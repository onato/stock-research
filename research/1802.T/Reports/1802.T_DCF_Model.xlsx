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<sst xmlns="http://schemas.openxmlformats.org/spreadsheetml/2006/main" count="372" uniqueCount="171">
  <si>
    <t xml:space="preserve">Ticker</t>
  </si>
  <si>
    <t xml:space="preserve">1802.T</t>
  </si>
  <si>
    <t xml:space="preserve">Company</t>
  </si>
  <si>
    <t xml:space="preserve">Obayashi Corporation</t>
  </si>
  <si>
    <t xml:space="preserve">Valuation date</t>
  </si>
  <si>
    <t xml:space="preserve">2026-10-26</t>
  </si>
  <si>
    <t xml:space="preserve">Current price</t>
  </si>
  <si>
    <t xml:space="preserve">Price as of</t>
  </si>
  <si>
    <t xml:space="preserve">2026-10-26T01:27:40Z (Tokyo regular session; Yahoo Finance chart API)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</si>
  <si>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</si>
  <si>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</si>
  <si>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</si>
  <si>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</si>
  <si>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</si>
  <si>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JPY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</si>
  <si>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</si>
  <si>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</si>
  <si>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</si>
  <si>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</si>
  <si>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</si>
  <si>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</si>
  <si>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2026-10-26T01:47:31Z</t>
  </si>
  <si>
    <t xml:space="preserve">Drivers file</t>
  </si>
  <si>
    <t xml:space="preserve">1802.T_Drivers.json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</si>
  <si>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</si>
  <si>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</si>
  <si>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</si>
  <si>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A general contractor is valued on mid-cycle owner FCF, not on peak-year earnings. FY2026's 7.5% operating margin and 14.4% ROE are the top of a cycle that management has already guided down; the base case normalises the EBIT margin to 5.75% and converts earnings to cash at the historical ~2.5% of sales after the real-estate and data-centre reinvestment the company has committed to. The balance sheet (net cash plus a JPY300bn cross-shareholding book being sold down) is worth ~JPY500/share and is counted once, in the bridge, with the income it produces excluded from the flows. Multiplex is treated as NPV-neutral until its first consolidated results.
key_risks_to_valuation: Margin normalisation judgment: if 7%+ op margins prove structural (bull), base IV is understated by roughly a third; if the FY2022-24 cost squeeze recurs (bear), it is overstated by a similar amount; FCF conversion: the model assumes ~1.5% of sales of net reinvestment forever; if the real-estate/data-centre programme ends and capex falls to D&amp;A, FCF margin rises by ~1.5pp of sales (~+JPY700/share); Cross-shareholding value (JPY247bn after tax, ~JPY360/share) depends on equity-market levels; the company is a forced seller down to 20% of net assets by March 2027; Multiplex (~JPY95-100bn) and GCON integration: a loss-making overseas project book is the classic way a Japanese contractor destroys a decade of domestic profit; Working-capital timing: advances received rose JPY106bn in FY2026 and can reverse; a single year's FCF says little; Compliance tail risk: 2018 maglev bid-rigging conviction; renewed antitrust action on mega-project tenders; WACC: at 7.5% in JPY the valuation is terminal-light (cap binds) but still sensitive -- each 1pp of WACC moves base IV by roughly JPY250-300/share</t>
  </si>
  <si>
    <t xml:space="preserve">Data sources</t>
  </si>
  <si>
    <t xml:space="preserve">price: Yahoo Finance chart API at inputs.price_as_of; 52-week range 2,580-4,439
financials: 1802.T_Metrics.csv (core_metrics, JPY millions) FY2014-FY2026 plus Q1 FY2027; FY2026 tanshin (1802.T_Annual_FY2025.txt: BS lines 1052-1144, P&amp;L 1186-1227, CF 1491-1545, share counts 107-115, 1742-1765); Q1 FY2027 tanshin (1802.T_Quarterly_Q1-FY2026.txt: BS lines 575-665, share counts 88-97); FY2027 guidance and segment table from the FY2026 tanshin lines 665-760; MTBP investment plan from 1802.T_Presentation_FY2025.txt lines 1271-1345
qualitative: 1802.T_Analysis.json (2026-10-26): business model, competitive position, guidance, bull/bear cases</t>
  </si>
  <si>
    <t xml:space="preserve">Scenario narrative: bear</t>
  </si>
  <si>
    <t xml:space="preserve">The 2022-24 playbook repeats: cost inflation and the labour shortage squeeze fixed-price backlog, op margin falls to ~4%, orders roll over after the large-project cohort and revenue contracts for two years; Multiplex/GCON integration disappoints and working capital absorbs cash on overseas projects. Margins recover only to ~4.5%, and the market caps the business at 12x FCF.</t>
  </si>
  <si>
    <t xml:space="preserve">Scenario narrative: base</t>
  </si>
  <si>
    <t xml:space="preserve">FY2027 follows management's guide: sales +13.9% to 2,945bn on backlog conversion, op profit down 7.5% to 180bn (6.1%) as fewer projects sit in their final, most-profitable stage and FY2026's claim approvals and property-sale gains do not repeat. From FY2028 the business is a mature, labour-constrained Big-4 contractor growing 1.5-4% with a mid-cycle 5.75% EBIT margin -- below FY2026's 7.5% peak but above the FY2017-26 mean -- reinvesting ~1.5% of sales net into real estate and data centres. Value is roughly half operating flows, a quarter terminal and a quarter balance sheet (net cash plus cross-shareholdings).</t>
  </si>
  <si>
    <t xml:space="preserve">Scenario narrative: bull</t>
  </si>
  <si>
    <t xml:space="preserve">The margin step-up is structural, not cyclical: inflation-indexed contracts, oligopoly discipline on mega-projects and data-centre/semiconductor specialisation (GCON, MiTASUN) hold the group op margin near 7%, overseas margins rise, and growth stays 3-6% through the decade. Capex eases as the MTBP investment wave passes.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</si>
  <si>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</si>
  <si>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</si>
  <si>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</si>
  <si>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</si>
  <si>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</si>
  <si>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</si>
  <si>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</si>
  <si>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</si>
  <si>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</si>
  <si>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</si>
  <si>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</si>
  <si>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</si>
  <si>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</si>
  <si>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</si>
  <si>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</si>
  <si>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</si>
  <si>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</si>
  <si>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</si>
  <si>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</si>
  <si>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</si>
  <si>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</si>
  <si>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</si>
  <si>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</si>
  <si>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</si>
  <si>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</si>
  <si>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</si>
  <si>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</si>
  <si>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Backlog</t>
  </si>
  <si>
    <t xml:space="preserve">OrderIntake</t>
  </si>
  <si>
    <t xml:space="preserve">OrdinaryIncome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</si>
  <si>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</si>
  <si>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</si>
  <si>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</si>
  <si>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</si>
  <si>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</si>
  <si>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</si>
  <si>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</si>
  <si>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</si>
  <si>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</si>
  <si>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</si>
  <si>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</si>
  <si>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</si>
  <si>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FY2026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</si>
  <si>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</si>
  <si>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</si>
  <si>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</si>
  <si>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</si>
  <si>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</si>
  <si>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</si>
  <si>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</si>
  <si>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</si>
  <si>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</si>
  <si>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</si>
  <si>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JPY millions</t>
  </si>
  <si>
    <t xml:space="preserve">FX rate (model -&gt; quote)</t>
  </si>
  <si>
    <t xml:space="preserve">BEAR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</si>
  <si>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</si>
  <si>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</si>
  <si>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</si>
  <si>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</si>
  <si>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</si>
  <si>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</si>
  <si>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</si>
  <si>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</si>
  <si>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</si>
  <si>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FY2036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</si>
  <si>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</si>
  <si>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</si>
  <si>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</si>
  <si>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</si>
  <si>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</si>
  <si>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</si>
  <si>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</si>
  <si>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</si>
  <si>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</si>
  <si>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</si>
  <si>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</si>
  <si>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</si>
  <si>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</si>
  <si>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</si>
  <si>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1802.T owner-FCF component DCF: bear case (millions, JPY)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</si>
  <si>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</si>
  <si>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</si>
  <si>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</si>
  <si>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</si>
  <si>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</si>
  <si>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</si>
  <si>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</si>
  <si>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</si>
  <si>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</si>
  <si>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</si>
  <si>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</si>
  <si>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</si>
  <si>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</si>
  <si>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</si>
  <si>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</si>
  <si>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</si>
  <si>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</si>
  <si>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</si>
  <si>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</si>
  <si>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</si>
  <si>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</si>
  <si>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</si>
  <si>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</si>
  <si>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</si>
  <si>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</si>
  <si>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</si>
  <si>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</si>
  <si>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</si>
  <si>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</si>
  <si>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</si>
  <si>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1802.T owner-FCF component DCF: base case (millions, JPY)</t>
  </si>
  <si>
    <t xml:space="preserve">1802.T owner-FCF component DCF: bull case (millions, JPY)</t>
  </si>
  <si>
    <t xml:space="preserve">1802.T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</si>
  <si>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</si>
  <si>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</si>
  <si>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</si>
  <si>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</si>
  <si>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</si>
  <si>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</si>
  <si>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</si>
  <si>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</si>
  <si>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</si>
  <si>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</si>
  <si>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</si>
  <si>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</si>
  <si>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</si>
  <si>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</si>
  <si>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7.5%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</si>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</sst>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2974.5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  <c r="AC1" s="2" t="s">
        <v>63</v>
      </c>
      <c r="AD1" s="2" t="s">
        <v>64</v>
      </c>
      <c r="AE1" s="2" t="s">
        <v>65</v>
      </c>
    </row>
    <row r="2" customFormat="false" ht="15" hidden="false" customHeight="false" outlineLevel="0" collapsed="false">
      <c r="A2" s="0" t="s">
        <v>66</v>
      </c>
      <c r="B2" s="0" t="n">
        <v>1612756</v>
      </c>
      <c r="C2" s="0" t="n">
        <v>1500697</v>
      </c>
      <c r="D2" s="0" t="n">
        <v>112059</v>
      </c>
      <c r="E2" s="0" t="n">
        <v>6.9</v>
      </c>
      <c r="F2" s="0" t="n">
        <v>31991</v>
      </c>
      <c r="G2" s="0" t="n">
        <v>2</v>
      </c>
      <c r="H2" s="0" t="n">
        <v>44094</v>
      </c>
      <c r="I2" s="0" t="n">
        <v>21627</v>
      </c>
      <c r="J2" s="0" t="n">
        <v>1.3</v>
      </c>
      <c r="K2" s="0" t="n">
        <v>30.11</v>
      </c>
      <c r="L2" s="0" t="n">
        <v>37962</v>
      </c>
      <c r="M2" s="0" t="n">
        <v>68191</v>
      </c>
      <c r="N2" s="0" t="n">
        <v>-30229</v>
      </c>
      <c r="O2" s="0" t="n">
        <v>412456</v>
      </c>
      <c r="P2" s="0" t="n">
        <v>1818886</v>
      </c>
      <c r="Q2" s="0" t="n">
        <v>1370778</v>
      </c>
      <c r="R2" s="0" t="n">
        <v>428441</v>
      </c>
      <c r="S2" s="0" t="n">
        <v>121177</v>
      </c>
      <c r="T2" s="0" t="n">
        <v>718.266</v>
      </c>
      <c r="AA2" s="0" t="s">
        <v>17</v>
      </c>
      <c r="AB2" s="0" t="s">
        <v>14</v>
      </c>
      <c r="AE2" s="0" t="n">
        <v>40135</v>
      </c>
    </row>
    <row r="3" customFormat="false" ht="15" hidden="false" customHeight="false" outlineLevel="0" collapsed="false">
      <c r="A3" s="0" t="s">
        <v>67</v>
      </c>
      <c r="B3" s="0" t="n">
        <v>1773981</v>
      </c>
      <c r="C3" s="0" t="n">
        <v>1642273</v>
      </c>
      <c r="D3" s="0" t="n">
        <v>131707</v>
      </c>
      <c r="E3" s="0" t="n">
        <v>7.4</v>
      </c>
      <c r="F3" s="0" t="n">
        <v>48388</v>
      </c>
      <c r="G3" s="0" t="n">
        <v>2.7</v>
      </c>
      <c r="H3" s="0" t="n">
        <v>62780</v>
      </c>
      <c r="I3" s="0" t="n">
        <v>28695</v>
      </c>
      <c r="J3" s="0" t="n">
        <v>1.6</v>
      </c>
      <c r="K3" s="0" t="n">
        <v>39.96</v>
      </c>
      <c r="L3" s="0" t="n">
        <v>74646</v>
      </c>
      <c r="M3" s="0" t="n">
        <v>41090</v>
      </c>
      <c r="N3" s="0" t="n">
        <v>33556</v>
      </c>
      <c r="O3" s="0" t="n">
        <v>507670</v>
      </c>
      <c r="P3" s="0" t="n">
        <v>1996193</v>
      </c>
      <c r="Q3" s="0" t="n">
        <v>1446710</v>
      </c>
      <c r="R3" s="0" t="n">
        <v>410819</v>
      </c>
      <c r="S3" s="0" t="n">
        <v>162607</v>
      </c>
      <c r="T3" s="0" t="n">
        <v>718.093</v>
      </c>
      <c r="AA3" s="0" t="s">
        <v>17</v>
      </c>
      <c r="AB3" s="0" t="s">
        <v>14</v>
      </c>
      <c r="AE3" s="0" t="n">
        <v>59913</v>
      </c>
    </row>
    <row r="4" customFormat="false" ht="15" hidden="false" customHeight="false" outlineLevel="0" collapsed="false">
      <c r="A4" s="0" t="s">
        <v>68</v>
      </c>
      <c r="B4" s="0" t="n">
        <v>1777834</v>
      </c>
      <c r="C4" s="0" t="n">
        <v>1584782</v>
      </c>
      <c r="D4" s="0" t="n">
        <v>193052</v>
      </c>
      <c r="E4" s="0" t="n">
        <v>10.9</v>
      </c>
      <c r="F4" s="0" t="n">
        <v>106380</v>
      </c>
      <c r="G4" s="0" t="n">
        <v>6</v>
      </c>
      <c r="H4" s="0" t="n">
        <v>120856</v>
      </c>
      <c r="I4" s="0" t="n">
        <v>63437</v>
      </c>
      <c r="J4" s="0" t="n">
        <v>3.6</v>
      </c>
      <c r="K4" s="0" t="n">
        <v>88.36</v>
      </c>
      <c r="L4" s="0" t="n">
        <v>124980</v>
      </c>
      <c r="M4" s="0" t="n">
        <v>59148</v>
      </c>
      <c r="N4" s="0" t="n">
        <v>65832</v>
      </c>
      <c r="O4" s="0" t="n">
        <v>516098</v>
      </c>
      <c r="P4" s="0" t="n">
        <v>1951907</v>
      </c>
      <c r="Q4" s="0" t="n">
        <v>1390249</v>
      </c>
      <c r="R4" s="0" t="n">
        <v>346338</v>
      </c>
      <c r="S4" s="0" t="n">
        <v>164802</v>
      </c>
      <c r="T4" s="0" t="n">
        <v>717.938</v>
      </c>
      <c r="AA4" s="0" t="s">
        <v>17</v>
      </c>
      <c r="AB4" s="0" t="s">
        <v>14</v>
      </c>
      <c r="AE4" s="0" t="n">
        <v>111208</v>
      </c>
    </row>
    <row r="5" customFormat="false" ht="15" hidden="false" customHeight="false" outlineLevel="0" collapsed="false">
      <c r="A5" s="0" t="s">
        <v>69</v>
      </c>
      <c r="B5" s="0" t="n">
        <v>1872721</v>
      </c>
      <c r="C5" s="0" t="n">
        <v>1647787</v>
      </c>
      <c r="D5" s="0" t="n">
        <v>224933</v>
      </c>
      <c r="E5" s="0" t="n">
        <v>12</v>
      </c>
      <c r="F5" s="0" t="n">
        <v>133742</v>
      </c>
      <c r="G5" s="0" t="n">
        <v>7.1</v>
      </c>
      <c r="H5" s="0" t="n">
        <v>148723</v>
      </c>
      <c r="I5" s="0" t="n">
        <v>94501</v>
      </c>
      <c r="J5" s="0" t="n">
        <v>5</v>
      </c>
      <c r="K5" s="0" t="n">
        <v>131.66</v>
      </c>
      <c r="L5" s="0" t="n">
        <v>158892</v>
      </c>
      <c r="M5" s="0" t="n">
        <v>39755</v>
      </c>
      <c r="N5" s="0" t="n">
        <v>119137</v>
      </c>
      <c r="O5" s="0" t="n">
        <v>594160</v>
      </c>
      <c r="P5" s="0" t="n">
        <v>2015996</v>
      </c>
      <c r="Q5" s="0" t="n">
        <v>1371919</v>
      </c>
      <c r="R5" s="0" t="n">
        <v>273358</v>
      </c>
      <c r="S5" s="0" t="n">
        <v>194195</v>
      </c>
      <c r="T5" s="0" t="n">
        <v>717.765</v>
      </c>
      <c r="AA5" s="0" t="s">
        <v>17</v>
      </c>
      <c r="AB5" s="0" t="s">
        <v>14</v>
      </c>
      <c r="AE5" s="0" t="n">
        <v>140106</v>
      </c>
    </row>
    <row r="6" customFormat="false" ht="15" hidden="false" customHeight="false" outlineLevel="0" collapsed="false">
      <c r="A6" s="0" t="s">
        <v>70</v>
      </c>
      <c r="B6" s="0" t="n">
        <v>1900655</v>
      </c>
      <c r="C6" s="0" t="n">
        <v>1666351</v>
      </c>
      <c r="D6" s="0" t="n">
        <v>234303</v>
      </c>
      <c r="E6" s="0" t="n">
        <v>12.3</v>
      </c>
      <c r="F6" s="0" t="n">
        <v>137800</v>
      </c>
      <c r="G6" s="0" t="n">
        <v>7.3</v>
      </c>
      <c r="H6" s="0" t="n">
        <v>152459</v>
      </c>
      <c r="I6" s="0" t="n">
        <v>92662</v>
      </c>
      <c r="J6" s="0" t="n">
        <v>4.9</v>
      </c>
      <c r="K6" s="0" t="n">
        <v>129.09</v>
      </c>
      <c r="L6" s="0" t="n">
        <v>114034</v>
      </c>
      <c r="M6" s="0" t="n">
        <v>71965</v>
      </c>
      <c r="N6" s="0" t="n">
        <v>42069</v>
      </c>
      <c r="O6" s="0" t="n">
        <v>684836</v>
      </c>
      <c r="P6" s="0" t="n">
        <v>2148861</v>
      </c>
      <c r="Q6" s="0" t="n">
        <v>1437336</v>
      </c>
      <c r="R6" s="0" t="n">
        <v>276727</v>
      </c>
      <c r="S6" s="0" t="n">
        <v>184783</v>
      </c>
      <c r="T6" s="0" t="n">
        <v>717.809</v>
      </c>
      <c r="AA6" s="0" t="s">
        <v>17</v>
      </c>
      <c r="AB6" s="0" t="s">
        <v>14</v>
      </c>
      <c r="AE6" s="0" t="n">
        <v>143951</v>
      </c>
    </row>
    <row r="7" customFormat="false" ht="15" hidden="false" customHeight="false" outlineLevel="0" collapsed="false">
      <c r="A7" s="0" t="s">
        <v>71</v>
      </c>
      <c r="B7" s="0" t="n">
        <v>2039685</v>
      </c>
      <c r="C7" s="0" t="n">
        <v>1785661</v>
      </c>
      <c r="D7" s="0" t="n">
        <v>254023</v>
      </c>
      <c r="E7" s="0" t="n">
        <v>12.5</v>
      </c>
      <c r="F7" s="0" t="n">
        <v>155480</v>
      </c>
      <c r="G7" s="0" t="n">
        <v>7.6</v>
      </c>
      <c r="H7" s="0" t="n">
        <v>173152</v>
      </c>
      <c r="I7" s="0" t="n">
        <v>113155</v>
      </c>
      <c r="J7" s="0" t="n">
        <v>5.5</v>
      </c>
      <c r="K7" s="0" t="n">
        <v>157.65</v>
      </c>
      <c r="L7" s="0" t="n">
        <v>44203</v>
      </c>
      <c r="M7" s="0" t="n">
        <v>36552</v>
      </c>
      <c r="N7" s="0" t="n">
        <v>7651</v>
      </c>
      <c r="O7" s="0" t="n">
        <v>768944</v>
      </c>
      <c r="P7" s="0" t="n">
        <v>2214512</v>
      </c>
      <c r="Q7" s="0" t="n">
        <v>1416362</v>
      </c>
      <c r="R7" s="0" t="n">
        <v>272215</v>
      </c>
      <c r="S7" s="0" t="n">
        <v>157699</v>
      </c>
      <c r="T7" s="0" t="n">
        <v>717.761</v>
      </c>
      <c r="AA7" s="0" t="s">
        <v>17</v>
      </c>
      <c r="AB7" s="0" t="s">
        <v>14</v>
      </c>
      <c r="AC7" s="0" t="n">
        <v>1670093</v>
      </c>
      <c r="AD7" s="0" t="n">
        <v>1327594</v>
      </c>
      <c r="AE7" s="0" t="n">
        <v>163054</v>
      </c>
    </row>
    <row r="8" customFormat="false" ht="15" hidden="false" customHeight="false" outlineLevel="0" collapsed="false">
      <c r="A8" s="0" t="s">
        <v>72</v>
      </c>
      <c r="B8" s="0" t="n">
        <v>2073043</v>
      </c>
      <c r="C8" s="0" t="n">
        <v>1817495</v>
      </c>
      <c r="D8" s="0" t="n">
        <v>255547</v>
      </c>
      <c r="E8" s="0" t="n">
        <v>12.3</v>
      </c>
      <c r="F8" s="0" t="n">
        <v>152871</v>
      </c>
      <c r="G8" s="0" t="n">
        <v>7.4</v>
      </c>
      <c r="H8" s="0" t="n">
        <v>172751</v>
      </c>
      <c r="I8" s="0" t="n">
        <v>113093</v>
      </c>
      <c r="J8" s="0" t="n">
        <v>5.5</v>
      </c>
      <c r="K8" s="0" t="n">
        <v>157.59</v>
      </c>
      <c r="L8" s="0" t="n">
        <v>237628</v>
      </c>
      <c r="M8" s="0" t="n">
        <v>47471</v>
      </c>
      <c r="N8" s="0" t="n">
        <v>190157</v>
      </c>
      <c r="O8" s="0" t="n">
        <v>817892</v>
      </c>
      <c r="P8" s="0" t="n">
        <v>2230297</v>
      </c>
      <c r="Q8" s="0" t="n">
        <v>1379798</v>
      </c>
      <c r="R8" s="0" t="n">
        <v>248551</v>
      </c>
      <c r="S8" s="0" t="n">
        <v>298945</v>
      </c>
      <c r="T8" s="0" t="n">
        <v>717.641</v>
      </c>
      <c r="AA8" s="0" t="s">
        <v>17</v>
      </c>
      <c r="AB8" s="0" t="s">
        <v>14</v>
      </c>
      <c r="AC8" s="0" t="n">
        <v>1809658</v>
      </c>
      <c r="AD8" s="0" t="n">
        <v>1555926</v>
      </c>
      <c r="AE8" s="0" t="n">
        <v>159005</v>
      </c>
    </row>
    <row r="9" customFormat="false" ht="15" hidden="false" customHeight="false" outlineLevel="0" collapsed="false">
      <c r="A9" s="0" t="s">
        <v>73</v>
      </c>
      <c r="B9" s="0" t="n">
        <v>1766893</v>
      </c>
      <c r="C9" s="0" t="n">
        <v>1541108</v>
      </c>
      <c r="D9" s="0" t="n">
        <v>225784</v>
      </c>
      <c r="E9" s="0" t="n">
        <v>12.8</v>
      </c>
      <c r="F9" s="0" t="n">
        <v>123161</v>
      </c>
      <c r="G9" s="0" t="n">
        <v>7</v>
      </c>
      <c r="H9" s="0" t="n">
        <v>143199</v>
      </c>
      <c r="I9" s="0" t="n">
        <v>98780</v>
      </c>
      <c r="J9" s="0" t="n">
        <v>5.6</v>
      </c>
      <c r="K9" s="0" t="n">
        <v>137.64</v>
      </c>
      <c r="L9" s="0" t="n">
        <v>24803</v>
      </c>
      <c r="M9" s="0" t="n">
        <v>57431</v>
      </c>
      <c r="N9" s="0" t="n">
        <v>-32628</v>
      </c>
      <c r="O9" s="0" t="n">
        <v>931008</v>
      </c>
      <c r="P9" s="0" t="n">
        <v>2272628</v>
      </c>
      <c r="Q9" s="0" t="n">
        <v>1310648</v>
      </c>
      <c r="R9" s="0" t="n">
        <v>265952</v>
      </c>
      <c r="S9" s="0" t="n">
        <v>236474</v>
      </c>
      <c r="T9" s="0" t="n">
        <v>717.669</v>
      </c>
      <c r="AA9" s="0" t="s">
        <v>17</v>
      </c>
      <c r="AB9" s="0" t="s">
        <v>14</v>
      </c>
      <c r="AC9" s="0" t="n">
        <v>2109230</v>
      </c>
      <c r="AD9" s="0" t="n">
        <v>1529989</v>
      </c>
      <c r="AE9" s="0" t="n">
        <v>128784</v>
      </c>
    </row>
    <row r="10" customFormat="false" ht="15" hidden="false" customHeight="false" outlineLevel="0" collapsed="false">
      <c r="A10" s="0" t="s">
        <v>74</v>
      </c>
      <c r="B10" s="0" t="n">
        <v>1922884</v>
      </c>
      <c r="C10" s="0" t="n">
        <v>1768544</v>
      </c>
      <c r="D10" s="0" t="n">
        <v>154339</v>
      </c>
      <c r="E10" s="0" t="n">
        <v>8</v>
      </c>
      <c r="F10" s="0" t="n">
        <v>41051</v>
      </c>
      <c r="G10" s="0" t="n">
        <v>2.1</v>
      </c>
      <c r="H10" s="0" t="n">
        <v>61742</v>
      </c>
      <c r="I10" s="0" t="n">
        <v>39127</v>
      </c>
      <c r="J10" s="0" t="n">
        <v>2</v>
      </c>
      <c r="K10" s="0" t="n">
        <v>54.55</v>
      </c>
      <c r="L10" s="0" t="n">
        <v>69697</v>
      </c>
      <c r="M10" s="0" t="n">
        <v>58030</v>
      </c>
      <c r="N10" s="0" t="n">
        <v>11667</v>
      </c>
      <c r="O10" s="0" t="n">
        <v>955691</v>
      </c>
      <c r="P10" s="0" t="n">
        <v>2422085</v>
      </c>
      <c r="Q10" s="0" t="n">
        <v>1433171</v>
      </c>
      <c r="R10" s="0" t="n">
        <v>280434</v>
      </c>
      <c r="S10" s="0" t="n">
        <v>249317</v>
      </c>
      <c r="T10" s="0" t="n">
        <v>717.269</v>
      </c>
      <c r="AA10" s="0" t="s">
        <v>17</v>
      </c>
      <c r="AB10" s="0" t="s">
        <v>14</v>
      </c>
      <c r="AC10" s="0" t="n">
        <v>2269378</v>
      </c>
      <c r="AD10" s="0" t="n">
        <v>1534281</v>
      </c>
      <c r="AE10" s="0" t="n">
        <v>49844</v>
      </c>
    </row>
    <row r="11" customFormat="false" ht="15" hidden="false" customHeight="false" outlineLevel="0" collapsed="false">
      <c r="A11" s="0" t="s">
        <v>75</v>
      </c>
      <c r="B11" s="0" t="n">
        <v>1983888</v>
      </c>
      <c r="C11" s="0" t="n">
        <v>1767318</v>
      </c>
      <c r="D11" s="0" t="n">
        <v>216569</v>
      </c>
      <c r="E11" s="0" t="n">
        <v>10.9</v>
      </c>
      <c r="F11" s="0" t="n">
        <v>93800</v>
      </c>
      <c r="G11" s="0" t="n">
        <v>4.7</v>
      </c>
      <c r="H11" s="0" t="n">
        <v>117741</v>
      </c>
      <c r="I11" s="0" t="n">
        <v>77671</v>
      </c>
      <c r="J11" s="0" t="n">
        <v>3.9</v>
      </c>
      <c r="K11" s="0" t="n">
        <v>108.34</v>
      </c>
      <c r="L11" s="0" t="n">
        <v>228456</v>
      </c>
      <c r="M11" s="0" t="n">
        <v>96589</v>
      </c>
      <c r="N11" s="0" t="n">
        <v>131867</v>
      </c>
      <c r="O11" s="0" t="n">
        <v>997109</v>
      </c>
      <c r="P11" s="0" t="n">
        <v>2609929</v>
      </c>
      <c r="Q11" s="0" t="n">
        <v>1574048</v>
      </c>
      <c r="R11" s="0" t="n">
        <v>337919</v>
      </c>
      <c r="S11" s="0" t="n">
        <v>405633</v>
      </c>
      <c r="T11" s="0" t="n">
        <v>716.919</v>
      </c>
      <c r="AA11" s="0" t="s">
        <v>17</v>
      </c>
      <c r="AB11" s="0" t="s">
        <v>14</v>
      </c>
      <c r="AC11" s="0" t="n">
        <v>2376248</v>
      </c>
      <c r="AD11" s="0" t="n">
        <v>1493898</v>
      </c>
      <c r="AE11" s="0" t="n">
        <v>100802</v>
      </c>
    </row>
    <row r="12" customFormat="false" ht="15" hidden="false" customHeight="false" outlineLevel="0" collapsed="false">
      <c r="A12" s="0" t="s">
        <v>76</v>
      </c>
      <c r="B12" s="0" t="n">
        <v>2325162</v>
      </c>
      <c r="C12" s="0" t="n">
        <v>2105560</v>
      </c>
      <c r="D12" s="0" t="n">
        <v>219602</v>
      </c>
      <c r="E12" s="0" t="n">
        <v>9.4</v>
      </c>
      <c r="F12" s="0" t="n">
        <v>79381</v>
      </c>
      <c r="G12" s="0" t="n">
        <v>3.4</v>
      </c>
      <c r="H12" s="0" t="n">
        <v>106498</v>
      </c>
      <c r="I12" s="0" t="n">
        <v>75059</v>
      </c>
      <c r="J12" s="0" t="n">
        <v>3.2</v>
      </c>
      <c r="K12" s="0" t="n">
        <v>104.69</v>
      </c>
      <c r="L12" s="0" t="n">
        <v>50399</v>
      </c>
      <c r="M12" s="0" t="n">
        <v>78391</v>
      </c>
      <c r="N12" s="0" t="n">
        <v>-27992</v>
      </c>
      <c r="O12" s="0" t="n">
        <v>1151630</v>
      </c>
      <c r="P12" s="0" t="n">
        <v>3017047</v>
      </c>
      <c r="Q12" s="0" t="n">
        <v>1822236</v>
      </c>
      <c r="R12" s="0" t="n">
        <v>323883</v>
      </c>
      <c r="S12" s="0" t="n">
        <v>326688</v>
      </c>
      <c r="T12" s="0" t="n">
        <v>716.964</v>
      </c>
      <c r="AA12" s="0" t="s">
        <v>17</v>
      </c>
      <c r="AB12" s="0" t="s">
        <v>14</v>
      </c>
      <c r="AC12" s="0" t="n">
        <v>2395601</v>
      </c>
      <c r="AD12" s="0" t="n">
        <v>1601552</v>
      </c>
      <c r="AE12" s="0" t="n">
        <v>91515</v>
      </c>
    </row>
    <row r="13" customFormat="false" ht="15" hidden="false" customHeight="false" outlineLevel="0" collapsed="false">
      <c r="A13" s="0" t="s">
        <v>77</v>
      </c>
      <c r="B13" s="0" t="n">
        <v>2620101</v>
      </c>
      <c r="C13" s="0" t="n">
        <v>2322267</v>
      </c>
      <c r="D13" s="0" t="n">
        <v>297833</v>
      </c>
      <c r="E13" s="0" t="n">
        <v>11.4</v>
      </c>
      <c r="F13" s="0" t="n">
        <v>143442</v>
      </c>
      <c r="G13" s="0" t="n">
        <v>5.5</v>
      </c>
      <c r="H13" s="0" t="n">
        <v>175899</v>
      </c>
      <c r="I13" s="0" t="n">
        <v>146052</v>
      </c>
      <c r="J13" s="0" t="n">
        <v>5.6</v>
      </c>
      <c r="K13" s="0" t="n">
        <v>203.88</v>
      </c>
      <c r="L13" s="0" t="n">
        <v>85625</v>
      </c>
      <c r="M13" s="0" t="n">
        <v>50178</v>
      </c>
      <c r="N13" s="0" t="n">
        <v>35447</v>
      </c>
      <c r="O13" s="0" t="n">
        <v>1158245</v>
      </c>
      <c r="P13" s="0" t="n">
        <v>3042778</v>
      </c>
      <c r="Q13" s="0" t="n">
        <v>1832577</v>
      </c>
      <c r="R13" s="0" t="n">
        <v>362764</v>
      </c>
      <c r="S13" s="0" t="n">
        <v>380169</v>
      </c>
      <c r="T13" s="0" t="n">
        <v>711.07</v>
      </c>
      <c r="AA13" s="0" t="s">
        <v>17</v>
      </c>
      <c r="AB13" s="0" t="s">
        <v>14</v>
      </c>
      <c r="AD13" s="0" t="n">
        <v>2044406</v>
      </c>
      <c r="AE13" s="0" t="n">
        <v>153383</v>
      </c>
    </row>
    <row r="14" customFormat="false" ht="15" hidden="false" customHeight="false" outlineLevel="0" collapsed="false">
      <c r="A14" s="0" t="s">
        <v>78</v>
      </c>
      <c r="B14" s="0" t="n">
        <v>2586258</v>
      </c>
      <c r="C14" s="0" t="n">
        <v>2221567</v>
      </c>
      <c r="D14" s="0" t="n">
        <v>364691</v>
      </c>
      <c r="E14" s="0" t="n">
        <v>14.1</v>
      </c>
      <c r="F14" s="0" t="n">
        <v>194678</v>
      </c>
      <c r="G14" s="0" t="n">
        <v>7.5</v>
      </c>
      <c r="H14" s="0" t="n">
        <v>231031</v>
      </c>
      <c r="I14" s="0" t="n">
        <v>173759</v>
      </c>
      <c r="J14" s="0" t="n">
        <v>6.7</v>
      </c>
      <c r="K14" s="0" t="n">
        <v>249.42</v>
      </c>
      <c r="L14" s="0" t="n">
        <v>252920</v>
      </c>
      <c r="M14" s="0" t="n">
        <v>125630</v>
      </c>
      <c r="N14" s="0" t="n">
        <v>127290</v>
      </c>
      <c r="O14" s="0" t="n">
        <v>1258424</v>
      </c>
      <c r="P14" s="0" t="n">
        <v>3143449</v>
      </c>
      <c r="Q14" s="0" t="n">
        <v>1826983</v>
      </c>
      <c r="R14" s="0" t="n">
        <v>344064</v>
      </c>
      <c r="S14" s="0" t="n">
        <v>416028</v>
      </c>
      <c r="T14" s="0" t="n">
        <v>687.422</v>
      </c>
      <c r="AA14" s="0" t="s">
        <v>17</v>
      </c>
      <c r="AB14" s="0" t="s">
        <v>14</v>
      </c>
      <c r="AD14" s="0" t="n">
        <v>1641646</v>
      </c>
      <c r="AE14" s="0" t="n">
        <v>204195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79</v>
      </c>
      <c r="B1" s="2" t="s">
        <v>80</v>
      </c>
    </row>
    <row r="2" customFormat="false" ht="15" hidden="false" customHeight="false" outlineLevel="0" collapsed="false">
      <c r="A2" s="0" t="s">
        <v>81</v>
      </c>
      <c r="B2" s="3" t="n">
        <v>2974.5</v>
      </c>
    </row>
    <row r="3" customFormat="false" ht="15" hidden="false" customHeight="false" outlineLevel="0" collapsed="false">
      <c r="A3" s="0" t="s">
        <v>82</v>
      </c>
      <c r="B3" s="3" t="n">
        <v>687.42</v>
      </c>
    </row>
    <row r="4" customFormat="false" ht="15" hidden="false" customHeight="false" outlineLevel="0" collapsed="false">
      <c r="A4" s="0" t="s">
        <v>83</v>
      </c>
      <c r="B4" s="3" t="n">
        <v>-114687</v>
      </c>
    </row>
    <row r="5" customFormat="false" ht="15" hidden="false" customHeight="false" outlineLevel="0" collapsed="false">
      <c r="A5" s="0" t="s">
        <v>84</v>
      </c>
      <c r="B5" s="3" t="n">
        <v>166095</v>
      </c>
    </row>
    <row r="6" customFormat="false" ht="15" hidden="false" customHeight="false" outlineLevel="0" collapsed="false">
      <c r="A6" s="0" t="s">
        <v>85</v>
      </c>
      <c r="B6" s="3" t="n">
        <v>15</v>
      </c>
    </row>
    <row r="7" customFormat="false" ht="15" hidden="false" customHeight="false" outlineLevel="0" collapsed="false">
      <c r="A7" s="0" t="s">
        <v>86</v>
      </c>
      <c r="B7" s="3" t="n">
        <v>2586258</v>
      </c>
    </row>
    <row r="8" customFormat="false" ht="15" hidden="false" customHeight="false" outlineLevel="0" collapsed="false">
      <c r="A8" s="0" t="s">
        <v>87</v>
      </c>
      <c r="B8" s="3" t="s">
        <v>78</v>
      </c>
    </row>
    <row r="9" customFormat="false" ht="15" hidden="false" customHeight="false" outlineLevel="0" collapsed="false">
      <c r="A9" s="0" t="s">
        <v>88</v>
      </c>
      <c r="B9" s="3" t="s">
        <v>89</v>
      </c>
    </row>
    <row r="10" customFormat="false" ht="15" hidden="false" customHeight="false" outlineLevel="0" collapsed="false">
      <c r="A10" s="0" t="s">
        <v>90</v>
      </c>
      <c r="B10" s="3" t="n">
        <v>1</v>
      </c>
    </row>
    <row r="12" customFormat="false" ht="15" hidden="false" customHeight="false" outlineLevel="0" collapsed="false">
      <c r="A12" s="2" t="s">
        <v>91</v>
      </c>
      <c r="C12" s="2" t="s">
        <v>92</v>
      </c>
      <c r="D12" s="2" t="s">
        <v>93</v>
      </c>
      <c r="E12" s="2" t="s">
        <v>94</v>
      </c>
      <c r="F12" s="2" t="s">
        <v>95</v>
      </c>
      <c r="G12" s="2" t="s">
        <v>96</v>
      </c>
      <c r="H12" s="2" t="s">
        <v>97</v>
      </c>
      <c r="I12" s="2" t="s">
        <v>98</v>
      </c>
      <c r="J12" s="2" t="s">
        <v>99</v>
      </c>
      <c r="K12" s="2" t="s">
        <v>100</v>
      </c>
      <c r="L12" s="2" t="s">
        <v>101</v>
      </c>
    </row>
    <row r="13" customFormat="false" ht="15" hidden="false" customHeight="false" outlineLevel="0" collapsed="false">
      <c r="A13" s="0" t="s">
        <v>102</v>
      </c>
      <c r="C13" s="3" t="n">
        <v>12</v>
      </c>
      <c r="D13" s="3" t="n">
        <v>0</v>
      </c>
      <c r="E13" s="3" t="n">
        <v>-3</v>
      </c>
      <c r="F13" s="3" t="n">
        <v>-2</v>
      </c>
      <c r="G13" s="3" t="n">
        <v>0</v>
      </c>
      <c r="H13" s="3" t="n">
        <v>1</v>
      </c>
      <c r="I13" s="3" t="n">
        <v>1</v>
      </c>
      <c r="J13" s="3" t="n">
        <v>1</v>
      </c>
      <c r="K13" s="3" t="n">
        <v>1</v>
      </c>
      <c r="L13" s="3" t="n">
        <v>1</v>
      </c>
    </row>
    <row r="14" customFormat="false" ht="15" hidden="false" customHeight="false" outlineLevel="0" collapsed="false">
      <c r="A14" s="0" t="s">
        <v>103</v>
      </c>
      <c r="C14" s="3" t="n">
        <v>6.8</v>
      </c>
      <c r="D14" s="3" t="n">
        <v>6</v>
      </c>
      <c r="E14" s="3" t="n">
        <v>5.5</v>
      </c>
      <c r="F14" s="3" t="n">
        <v>5.5</v>
      </c>
      <c r="G14" s="3" t="n">
        <v>5.7</v>
      </c>
      <c r="H14" s="3" t="n">
        <v>5.8</v>
      </c>
      <c r="I14" s="3" t="n">
        <v>6</v>
      </c>
      <c r="J14" s="3" t="n">
        <v>6</v>
      </c>
      <c r="K14" s="3" t="n">
        <v>6</v>
      </c>
      <c r="L14" s="3" t="n">
        <v>6</v>
      </c>
    </row>
    <row r="15" customFormat="false" ht="15" hidden="false" customHeight="false" outlineLevel="0" collapsed="false">
      <c r="A15" s="0" t="s">
        <v>104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</row>
    <row r="16" customFormat="false" ht="15" hidden="false" customHeight="false" outlineLevel="0" collapsed="false">
      <c r="A16" s="0" t="s">
        <v>105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106</v>
      </c>
      <c r="C17" s="3" t="n">
        <v>1.45</v>
      </c>
      <c r="D17" s="3" t="n">
        <v>1.5</v>
      </c>
      <c r="E17" s="3" t="n">
        <v>1.5</v>
      </c>
      <c r="F17" s="3" t="n">
        <v>1.5</v>
      </c>
      <c r="G17" s="3" t="n">
        <v>1.5</v>
      </c>
      <c r="H17" s="3" t="n">
        <v>1.5</v>
      </c>
      <c r="I17" s="3" t="n">
        <v>1.5</v>
      </c>
      <c r="J17" s="3" t="n">
        <v>1.5</v>
      </c>
      <c r="K17" s="3" t="n">
        <v>1.5</v>
      </c>
      <c r="L17" s="3" t="n">
        <v>1.5</v>
      </c>
    </row>
    <row r="18" customFormat="false" ht="15" hidden="false" customHeight="false" outlineLevel="0" collapsed="false">
      <c r="A18" s="0" t="s">
        <v>107</v>
      </c>
      <c r="C18" s="3" t="n">
        <v>3.5</v>
      </c>
      <c r="D18" s="3" t="n">
        <v>3.5</v>
      </c>
      <c r="E18" s="3" t="n">
        <v>3.2</v>
      </c>
      <c r="F18" s="3" t="n">
        <v>3</v>
      </c>
      <c r="G18" s="3" t="n">
        <v>3</v>
      </c>
      <c r="H18" s="3" t="n">
        <v>3</v>
      </c>
      <c r="I18" s="3" t="n">
        <v>3</v>
      </c>
      <c r="J18" s="3" t="n">
        <v>3</v>
      </c>
      <c r="K18" s="3" t="n">
        <v>3</v>
      </c>
      <c r="L18" s="3" t="n">
        <v>3</v>
      </c>
    </row>
    <row r="19" customFormat="false" ht="15" hidden="false" customHeight="false" outlineLevel="0" collapsed="false">
      <c r="A19" s="0" t="s">
        <v>108</v>
      </c>
      <c r="C19" s="3" t="n">
        <v>31</v>
      </c>
      <c r="D19" s="3" t="n">
        <v>31</v>
      </c>
      <c r="E19" s="3" t="n">
        <v>31</v>
      </c>
      <c r="F19" s="3" t="n">
        <v>31</v>
      </c>
      <c r="G19" s="3" t="n">
        <v>31</v>
      </c>
      <c r="H19" s="3" t="n">
        <v>31</v>
      </c>
      <c r="I19" s="3" t="n">
        <v>31</v>
      </c>
      <c r="J19" s="3" t="n">
        <v>31</v>
      </c>
      <c r="K19" s="3" t="n">
        <v>31</v>
      </c>
      <c r="L19" s="3" t="n">
        <v>31</v>
      </c>
    </row>
    <row r="20" customFormat="false" ht="15" hidden="false" customHeight="false" outlineLevel="0" collapsed="false">
      <c r="A20" s="0" t="s">
        <v>109</v>
      </c>
      <c r="B20" s="3" t="n">
        <v>7.5</v>
      </c>
    </row>
    <row r="21" customFormat="false" ht="15" hidden="false" customHeight="false" outlineLevel="0" collapsed="false">
      <c r="A21" s="0" t="s">
        <v>110</v>
      </c>
      <c r="B21" s="3" t="n">
        <v>0.5</v>
      </c>
    </row>
    <row r="22" customFormat="false" ht="15" hidden="false" customHeight="false" outlineLevel="0" collapsed="false">
      <c r="A22" s="0" t="s">
        <v>111</v>
      </c>
      <c r="B22" s="3" t="n">
        <v>12</v>
      </c>
    </row>
    <row r="23" customFormat="false" ht="15" hidden="false" customHeight="false" outlineLevel="0" collapsed="false">
      <c r="A23" s="0" t="s">
        <v>112</v>
      </c>
      <c r="B23" s="3" t="n">
        <v>-5</v>
      </c>
    </row>
    <row r="24" customFormat="false" ht="15" hidden="false" customHeight="false" outlineLevel="0" collapsed="false">
      <c r="A24" s="0" t="s">
        <v>113</v>
      </c>
      <c r="B24" s="3" t="n">
        <v>0.3</v>
      </c>
    </row>
    <row r="26" customFormat="false" ht="15" hidden="false" customHeight="false" outlineLevel="0" collapsed="false">
      <c r="A26" s="2" t="s">
        <v>114</v>
      </c>
      <c r="C26" s="2" t="s">
        <v>92</v>
      </c>
      <c r="D26" s="2" t="s">
        <v>93</v>
      </c>
      <c r="E26" s="2" t="s">
        <v>94</v>
      </c>
      <c r="F26" s="2" t="s">
        <v>95</v>
      </c>
      <c r="G26" s="2" t="s">
        <v>96</v>
      </c>
      <c r="H26" s="2" t="s">
        <v>97</v>
      </c>
      <c r="I26" s="2" t="s">
        <v>98</v>
      </c>
      <c r="J26" s="2" t="s">
        <v>99</v>
      </c>
      <c r="K26" s="2" t="s">
        <v>100</v>
      </c>
      <c r="L26" s="2" t="s">
        <v>101</v>
      </c>
    </row>
    <row r="27" customFormat="false" ht="15" hidden="false" customHeight="false" outlineLevel="0" collapsed="false">
      <c r="A27" s="0" t="s">
        <v>102</v>
      </c>
      <c r="C27" s="3" t="n">
        <v>13.9</v>
      </c>
      <c r="D27" s="3" t="n">
        <v>4</v>
      </c>
      <c r="E27" s="3" t="n">
        <v>3</v>
      </c>
      <c r="F27" s="3" t="n">
        <v>2.5</v>
      </c>
      <c r="G27" s="3" t="n">
        <v>2</v>
      </c>
      <c r="H27" s="3" t="n">
        <v>2</v>
      </c>
      <c r="I27" s="3" t="n">
        <v>2</v>
      </c>
      <c r="J27" s="3" t="n">
        <v>1.5</v>
      </c>
      <c r="K27" s="3" t="n">
        <v>1.5</v>
      </c>
      <c r="L27" s="3" t="n">
        <v>1.5</v>
      </c>
    </row>
    <row r="28" customFormat="false" ht="15" hidden="false" customHeight="false" outlineLevel="0" collapsed="false">
      <c r="A28" s="0" t="s">
        <v>103</v>
      </c>
      <c r="C28" s="3" t="n">
        <v>7.55</v>
      </c>
      <c r="D28" s="3" t="n">
        <v>7.4</v>
      </c>
      <c r="E28" s="3" t="n">
        <v>7.3</v>
      </c>
      <c r="F28" s="3" t="n">
        <v>7.25</v>
      </c>
      <c r="G28" s="3" t="n">
        <v>7.25</v>
      </c>
      <c r="H28" s="3" t="n">
        <v>7.25</v>
      </c>
      <c r="I28" s="3" t="n">
        <v>7.25</v>
      </c>
      <c r="J28" s="3" t="n">
        <v>7.25</v>
      </c>
      <c r="K28" s="3" t="n">
        <v>7.25</v>
      </c>
      <c r="L28" s="3" t="n">
        <v>7.25</v>
      </c>
    </row>
    <row r="29" customFormat="false" ht="15" hidden="false" customHeight="false" outlineLevel="0" collapsed="false">
      <c r="A29" s="0" t="s">
        <v>104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</row>
    <row r="30" customFormat="false" ht="15" hidden="false" customHeight="false" outlineLevel="0" collapsed="false">
      <c r="A30" s="0" t="s">
        <v>105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106</v>
      </c>
      <c r="C31" s="3" t="n">
        <v>1.45</v>
      </c>
      <c r="D31" s="3" t="n">
        <v>1.5</v>
      </c>
      <c r="E31" s="3" t="n">
        <v>1.5</v>
      </c>
      <c r="F31" s="3" t="n">
        <v>1.5</v>
      </c>
      <c r="G31" s="3" t="n">
        <v>1.5</v>
      </c>
      <c r="H31" s="3" t="n">
        <v>1.5</v>
      </c>
      <c r="I31" s="3" t="n">
        <v>1.5</v>
      </c>
      <c r="J31" s="3" t="n">
        <v>1.5</v>
      </c>
      <c r="K31" s="3" t="n">
        <v>1.5</v>
      </c>
      <c r="L31" s="3" t="n">
        <v>1.5</v>
      </c>
    </row>
    <row r="32" customFormat="false" ht="15" hidden="false" customHeight="false" outlineLevel="0" collapsed="false">
      <c r="A32" s="0" t="s">
        <v>107</v>
      </c>
      <c r="C32" s="3" t="n">
        <v>3.5</v>
      </c>
      <c r="D32" s="3" t="n">
        <v>3.5</v>
      </c>
      <c r="E32" s="3" t="n">
        <v>3.2</v>
      </c>
      <c r="F32" s="3" t="n">
        <v>3</v>
      </c>
      <c r="G32" s="3" t="n">
        <v>3</v>
      </c>
      <c r="H32" s="3" t="n">
        <v>3</v>
      </c>
      <c r="I32" s="3" t="n">
        <v>3</v>
      </c>
      <c r="J32" s="3" t="n">
        <v>3</v>
      </c>
      <c r="K32" s="3" t="n">
        <v>3</v>
      </c>
      <c r="L32" s="3" t="n">
        <v>3</v>
      </c>
    </row>
    <row r="33" customFormat="false" ht="15" hidden="false" customHeight="false" outlineLevel="0" collapsed="false">
      <c r="A33" s="0" t="s">
        <v>108</v>
      </c>
      <c r="C33" s="3" t="n">
        <v>31</v>
      </c>
      <c r="D33" s="3" t="n">
        <v>31</v>
      </c>
      <c r="E33" s="3" t="n">
        <v>31</v>
      </c>
      <c r="F33" s="3" t="n">
        <v>31</v>
      </c>
      <c r="G33" s="3" t="n">
        <v>31</v>
      </c>
      <c r="H33" s="3" t="n">
        <v>31</v>
      </c>
      <c r="I33" s="3" t="n">
        <v>31</v>
      </c>
      <c r="J33" s="3" t="n">
        <v>31</v>
      </c>
      <c r="K33" s="3" t="n">
        <v>31</v>
      </c>
      <c r="L33" s="3" t="n">
        <v>31</v>
      </c>
    </row>
    <row r="34" customFormat="false" ht="15" hidden="false" customHeight="false" outlineLevel="0" collapsed="false">
      <c r="A34" s="0" t="s">
        <v>109</v>
      </c>
      <c r="B34" s="3" t="n">
        <v>7.5</v>
      </c>
    </row>
    <row r="35" customFormat="false" ht="15" hidden="false" customHeight="false" outlineLevel="0" collapsed="false">
      <c r="A35" s="0" t="s">
        <v>110</v>
      </c>
      <c r="B35" s="3" t="n">
        <v>1</v>
      </c>
    </row>
    <row r="36" customFormat="false" ht="15" hidden="false" customHeight="false" outlineLevel="0" collapsed="false">
      <c r="A36" s="0" t="s">
        <v>111</v>
      </c>
      <c r="B36" s="3" t="n">
        <v>14</v>
      </c>
    </row>
    <row r="37" customFormat="false" ht="15" hidden="false" customHeight="false" outlineLevel="0" collapsed="false">
      <c r="A37" s="0" t="s">
        <v>112</v>
      </c>
      <c r="B37" s="3" t="n">
        <v>0</v>
      </c>
    </row>
    <row r="38" customFormat="false" ht="15" hidden="false" customHeight="false" outlineLevel="0" collapsed="false">
      <c r="A38" s="0" t="s">
        <v>113</v>
      </c>
      <c r="B38" s="3" t="n">
        <v>0.5</v>
      </c>
    </row>
    <row r="40" customFormat="false" ht="15" hidden="false" customHeight="false" outlineLevel="0" collapsed="false">
      <c r="A40" s="2" t="s">
        <v>115</v>
      </c>
      <c r="C40" s="2" t="s">
        <v>92</v>
      </c>
      <c r="D40" s="2" t="s">
        <v>93</v>
      </c>
      <c r="E40" s="2" t="s">
        <v>94</v>
      </c>
      <c r="F40" s="2" t="s">
        <v>95</v>
      </c>
      <c r="G40" s="2" t="s">
        <v>96</v>
      </c>
      <c r="H40" s="2" t="s">
        <v>97</v>
      </c>
      <c r="I40" s="2" t="s">
        <v>98</v>
      </c>
      <c r="J40" s="2" t="s">
        <v>99</v>
      </c>
      <c r="K40" s="2" t="s">
        <v>100</v>
      </c>
      <c r="L40" s="2" t="s">
        <v>101</v>
      </c>
    </row>
    <row r="41" customFormat="false" ht="15" hidden="false" customHeight="false" outlineLevel="0" collapsed="false">
      <c r="A41" s="0" t="s">
        <v>102</v>
      </c>
      <c r="C41" s="3" t="n">
        <v>15</v>
      </c>
      <c r="D41" s="3" t="n">
        <v>6</v>
      </c>
      <c r="E41" s="3" t="n">
        <v>5</v>
      </c>
      <c r="F41" s="3" t="n">
        <v>4</v>
      </c>
      <c r="G41" s="3" t="n">
        <v>3</v>
      </c>
      <c r="H41" s="3" t="n">
        <v>3</v>
      </c>
      <c r="I41" s="3" t="n">
        <v>2.5</v>
      </c>
      <c r="J41" s="3" t="n">
        <v>2.5</v>
      </c>
      <c r="K41" s="3" t="n">
        <v>2</v>
      </c>
      <c r="L41" s="3" t="n">
        <v>2</v>
      </c>
    </row>
    <row r="42" customFormat="false" ht="15" hidden="false" customHeight="false" outlineLevel="0" collapsed="false">
      <c r="A42" s="0" t="s">
        <v>103</v>
      </c>
      <c r="C42" s="3" t="n">
        <v>8</v>
      </c>
      <c r="D42" s="3" t="n">
        <v>8.3</v>
      </c>
      <c r="E42" s="3" t="n">
        <v>8.5</v>
      </c>
      <c r="F42" s="3" t="n">
        <v>8.5</v>
      </c>
      <c r="G42" s="3" t="n">
        <v>8.5</v>
      </c>
      <c r="H42" s="3" t="n">
        <v>8.5</v>
      </c>
      <c r="I42" s="3" t="n">
        <v>8.5</v>
      </c>
      <c r="J42" s="3" t="n">
        <v>8.5</v>
      </c>
      <c r="K42" s="3" t="n">
        <v>8.5</v>
      </c>
      <c r="L42" s="3" t="n">
        <v>8.5</v>
      </c>
    </row>
    <row r="43" customFormat="false" ht="15" hidden="false" customHeight="false" outlineLevel="0" collapsed="false">
      <c r="A43" s="0" t="s">
        <v>104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</row>
    <row r="44" customFormat="false" ht="15" hidden="false" customHeight="false" outlineLevel="0" collapsed="false">
      <c r="A44" s="0" t="s">
        <v>105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106</v>
      </c>
      <c r="C45" s="3" t="n">
        <v>1.45</v>
      </c>
      <c r="D45" s="3" t="n">
        <v>1.5</v>
      </c>
      <c r="E45" s="3" t="n">
        <v>1.5</v>
      </c>
      <c r="F45" s="3" t="n">
        <v>1.5</v>
      </c>
      <c r="G45" s="3" t="n">
        <v>1.5</v>
      </c>
      <c r="H45" s="3" t="n">
        <v>1.5</v>
      </c>
      <c r="I45" s="3" t="n">
        <v>1.5</v>
      </c>
      <c r="J45" s="3" t="n">
        <v>1.5</v>
      </c>
      <c r="K45" s="3" t="n">
        <v>1.5</v>
      </c>
      <c r="L45" s="3" t="n">
        <v>1.5</v>
      </c>
    </row>
    <row r="46" customFormat="false" ht="15" hidden="false" customHeight="false" outlineLevel="0" collapsed="false">
      <c r="A46" s="0" t="s">
        <v>107</v>
      </c>
      <c r="C46" s="3" t="n">
        <v>3.5</v>
      </c>
      <c r="D46" s="3" t="n">
        <v>3.3</v>
      </c>
      <c r="E46" s="3" t="n">
        <v>3</v>
      </c>
      <c r="F46" s="3" t="n">
        <v>2.8</v>
      </c>
      <c r="G46" s="3" t="n">
        <v>2.8</v>
      </c>
      <c r="H46" s="3" t="n">
        <v>2.8</v>
      </c>
      <c r="I46" s="3" t="n">
        <v>2.8</v>
      </c>
      <c r="J46" s="3" t="n">
        <v>2.8</v>
      </c>
      <c r="K46" s="3" t="n">
        <v>2.8</v>
      </c>
      <c r="L46" s="3" t="n">
        <v>2.8</v>
      </c>
    </row>
    <row r="47" customFormat="false" ht="15" hidden="false" customHeight="false" outlineLevel="0" collapsed="false">
      <c r="A47" s="0" t="s">
        <v>108</v>
      </c>
      <c r="C47" s="3" t="n">
        <v>30.6</v>
      </c>
      <c r="D47" s="3" t="n">
        <v>30.6</v>
      </c>
      <c r="E47" s="3" t="n">
        <v>30.6</v>
      </c>
      <c r="F47" s="3" t="n">
        <v>30.6</v>
      </c>
      <c r="G47" s="3" t="n">
        <v>30.6</v>
      </c>
      <c r="H47" s="3" t="n">
        <v>30.6</v>
      </c>
      <c r="I47" s="3" t="n">
        <v>30.6</v>
      </c>
      <c r="J47" s="3" t="n">
        <v>30.6</v>
      </c>
      <c r="K47" s="3" t="n">
        <v>30.6</v>
      </c>
      <c r="L47" s="3" t="n">
        <v>30.6</v>
      </c>
    </row>
    <row r="48" customFormat="false" ht="15" hidden="false" customHeight="false" outlineLevel="0" collapsed="false">
      <c r="A48" s="0" t="s">
        <v>109</v>
      </c>
      <c r="B48" s="3" t="n">
        <v>7.5</v>
      </c>
    </row>
    <row r="49" customFormat="false" ht="15" hidden="false" customHeight="false" outlineLevel="0" collapsed="false">
      <c r="A49" s="0" t="s">
        <v>110</v>
      </c>
      <c r="B49" s="3" t="n">
        <v>1.5</v>
      </c>
    </row>
    <row r="50" customFormat="false" ht="15" hidden="false" customHeight="false" outlineLevel="0" collapsed="false">
      <c r="A50" s="0" t="s">
        <v>111</v>
      </c>
      <c r="B50" s="3" t="n">
        <v>14</v>
      </c>
    </row>
    <row r="51" customFormat="false" ht="15" hidden="false" customHeight="false" outlineLevel="0" collapsed="false">
      <c r="A51" s="0" t="s">
        <v>112</v>
      </c>
      <c r="B51" s="3" t="n">
        <v>0</v>
      </c>
    </row>
    <row r="52" customFormat="false" ht="15" hidden="false" customHeight="false" outlineLevel="0" collapsed="false">
      <c r="A52" s="0" t="s">
        <v>113</v>
      </c>
      <c r="B52" s="3" t="n">
        <v>0.2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116</v>
      </c>
    </row>
    <row r="3" customFormat="false" ht="15" hidden="false" customHeight="false" outlineLevel="0" collapsed="false">
      <c r="A3" s="0" t="s">
        <v>117</v>
      </c>
      <c r="B3" s="0" t="s">
        <v>78</v>
      </c>
      <c r="C3" s="2" t="s">
        <v>92</v>
      </c>
      <c r="D3" s="2" t="s">
        <v>93</v>
      </c>
      <c r="E3" s="2" t="s">
        <v>94</v>
      </c>
      <c r="F3" s="2" t="s">
        <v>95</v>
      </c>
      <c r="G3" s="2" t="s">
        <v>96</v>
      </c>
      <c r="H3" s="2" t="s">
        <v>97</v>
      </c>
      <c r="I3" s="2" t="s">
        <v>98</v>
      </c>
      <c r="J3" s="2" t="s">
        <v>99</v>
      </c>
      <c r="K3" s="2" t="s">
        <v>100</v>
      </c>
      <c r="L3" s="2" t="s">
        <v>101</v>
      </c>
    </row>
    <row r="4" customFormat="false" ht="15" hidden="false" customHeight="false" outlineLevel="0" collapsed="false">
      <c r="A4" s="0" t="s">
        <v>118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102</v>
      </c>
      <c r="C5" s="4" t="n">
        <f aca="false">Assumptions!C13</f>
        <v>12</v>
      </c>
      <c r="D5" s="4" t="n">
        <f aca="false">Assumptions!D13</f>
        <v>0</v>
      </c>
      <c r="E5" s="4" t="n">
        <f aca="false">Assumptions!E13</f>
        <v>-3</v>
      </c>
      <c r="F5" s="4" t="n">
        <f aca="false">Assumptions!F13</f>
        <v>-2</v>
      </c>
      <c r="G5" s="4" t="n">
        <f aca="false">Assumptions!G13</f>
        <v>0</v>
      </c>
      <c r="H5" s="4" t="n">
        <f aca="false">Assumptions!H13</f>
        <v>1</v>
      </c>
      <c r="I5" s="4" t="n">
        <f aca="false">Assumptions!I13</f>
        <v>1</v>
      </c>
      <c r="J5" s="4" t="n">
        <f aca="false">Assumptions!J13</f>
        <v>1</v>
      </c>
      <c r="K5" s="4" t="n">
        <f aca="false">Assumptions!K13</f>
        <v>1</v>
      </c>
      <c r="L5" s="4" t="n">
        <f aca="false">Assumptions!L13</f>
        <v>1</v>
      </c>
    </row>
    <row r="6" customFormat="false" ht="15" hidden="false" customHeight="false" outlineLevel="0" collapsed="false">
      <c r="A6" s="0" t="s">
        <v>37</v>
      </c>
      <c r="B6" s="3" t="n">
        <v>2586258</v>
      </c>
      <c r="C6" s="0" t="n">
        <f aca="false">B6*(1+C5/100)</f>
        <v>2896608.96</v>
      </c>
      <c r="D6" s="0" t="n">
        <f aca="false">C6*(1+D5/100)</f>
        <v>2896608.96</v>
      </c>
      <c r="E6" s="0" t="n">
        <f aca="false">D6*(1+E5/100)</f>
        <v>2809710.6912</v>
      </c>
      <c r="F6" s="0" t="n">
        <f aca="false">E6*(1+F5/100)</f>
        <v>2753516.477376</v>
      </c>
      <c r="G6" s="0" t="n">
        <f aca="false">F6*(1+G5/100)</f>
        <v>2753516.477376</v>
      </c>
      <c r="H6" s="0" t="n">
        <f aca="false">G6*(1+H5/100)</f>
        <v>2781051.64214976</v>
      </c>
      <c r="I6" s="0" t="n">
        <f aca="false">H6*(1+I5/100)</f>
        <v>2808862.15857126</v>
      </c>
      <c r="J6" s="0" t="n">
        <f aca="false">I6*(1+J5/100)</f>
        <v>2836950.78015697</v>
      </c>
      <c r="K6" s="0" t="n">
        <f aca="false">J6*(1+K5/100)</f>
        <v>2865320.28795854</v>
      </c>
      <c r="L6" s="0" t="n">
        <f aca="false">K6*(1+L5/100)</f>
        <v>2893973.49083813</v>
      </c>
    </row>
    <row r="7" customFormat="false" ht="15" hidden="false" customHeight="false" outlineLevel="0" collapsed="false">
      <c r="A7" s="0" t="s">
        <v>103</v>
      </c>
      <c r="C7" s="4" t="n">
        <f aca="false">Assumptions!C14</f>
        <v>6.8</v>
      </c>
      <c r="D7" s="4" t="n">
        <f aca="false">Assumptions!D14</f>
        <v>6</v>
      </c>
      <c r="E7" s="4" t="n">
        <f aca="false">Assumptions!E14</f>
        <v>5.5</v>
      </c>
      <c r="F7" s="4" t="n">
        <f aca="false">Assumptions!F14</f>
        <v>5.5</v>
      </c>
      <c r="G7" s="4" t="n">
        <f aca="false">Assumptions!G14</f>
        <v>5.7</v>
      </c>
      <c r="H7" s="4" t="n">
        <f aca="false">Assumptions!H14</f>
        <v>5.8</v>
      </c>
      <c r="I7" s="4" t="n">
        <f aca="false">Assumptions!I14</f>
        <v>6</v>
      </c>
      <c r="J7" s="4" t="n">
        <f aca="false">Assumptions!J14</f>
        <v>6</v>
      </c>
      <c r="K7" s="4" t="n">
        <f aca="false">Assumptions!K14</f>
        <v>6</v>
      </c>
      <c r="L7" s="4" t="n">
        <f aca="false">Assumptions!L14</f>
        <v>6</v>
      </c>
    </row>
    <row r="8" customFormat="false" ht="15" hidden="false" customHeight="false" outlineLevel="0" collapsed="false">
      <c r="A8" s="0" t="s">
        <v>43</v>
      </c>
      <c r="C8" s="0" t="n">
        <f aca="false">C6*C7/100</f>
        <v>196969.40928</v>
      </c>
      <c r="D8" s="0" t="n">
        <f aca="false">D6*D7/100</f>
        <v>173796.5376</v>
      </c>
      <c r="E8" s="0" t="n">
        <f aca="false">E6*E7/100</f>
        <v>154534.088016</v>
      </c>
      <c r="F8" s="0" t="n">
        <f aca="false">F6*F7/100</f>
        <v>151443.40625568</v>
      </c>
      <c r="G8" s="0" t="n">
        <f aca="false">G6*G7/100</f>
        <v>156950.439210432</v>
      </c>
      <c r="H8" s="0" t="n">
        <f aca="false">H6*H7/100</f>
        <v>161300.995244686</v>
      </c>
      <c r="I8" s="0" t="n">
        <f aca="false">I6*I7/100</f>
        <v>168531.729514275</v>
      </c>
      <c r="J8" s="0" t="n">
        <f aca="false">J6*J7/100</f>
        <v>170217.046809418</v>
      </c>
      <c r="K8" s="0" t="n">
        <f aca="false">K6*K7/100</f>
        <v>171919.217277512</v>
      </c>
      <c r="L8" s="0" t="n">
        <f aca="false">L6*L7/100</f>
        <v>173638.409450288</v>
      </c>
    </row>
    <row r="9" customFormat="false" ht="15" hidden="false" customHeight="false" outlineLevel="0" collapsed="false">
      <c r="A9" s="0" t="s">
        <v>104</v>
      </c>
      <c r="C9" s="4" t="n">
        <f aca="false">Assumptions!C15</f>
        <v>0</v>
      </c>
      <c r="D9" s="4" t="n">
        <f aca="false">Assumptions!D15</f>
        <v>0</v>
      </c>
      <c r="E9" s="4" t="n">
        <f aca="false">Assumptions!E15</f>
        <v>0</v>
      </c>
      <c r="F9" s="4" t="n">
        <f aca="false">Assumptions!F15</f>
        <v>0</v>
      </c>
      <c r="G9" s="4" t="n">
        <f aca="false">Assumptions!G15</f>
        <v>0</v>
      </c>
      <c r="H9" s="4" t="n">
        <f aca="false">Assumptions!H15</f>
        <v>0</v>
      </c>
      <c r="I9" s="4" t="n">
        <f aca="false">Assumptions!I15</f>
        <v>0</v>
      </c>
      <c r="J9" s="4" t="n">
        <f aca="false">Assumptions!J15</f>
        <v>0</v>
      </c>
      <c r="K9" s="4" t="n">
        <f aca="false">Assumptions!K15</f>
        <v>0</v>
      </c>
      <c r="L9" s="4" t="n">
        <f aca="false">Assumptions!L15</f>
        <v>0</v>
      </c>
    </row>
    <row r="10" customFormat="false" ht="15" hidden="false" customHeight="false" outlineLevel="0" collapsed="false">
      <c r="A10" s="0" t="s">
        <v>119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120</v>
      </c>
      <c r="C11" s="0" t="n">
        <f aca="false">C8+C10+C24</f>
        <v>196969.40928</v>
      </c>
      <c r="D11" s="0" t="n">
        <f aca="false">D8+D10+D24</f>
        <v>173796.5376</v>
      </c>
      <c r="E11" s="0" t="n">
        <f aca="false">E8+E10+E24</f>
        <v>154534.088016</v>
      </c>
      <c r="F11" s="0" t="n">
        <f aca="false">F8+F10+F24</f>
        <v>151443.40625568</v>
      </c>
      <c r="G11" s="0" t="n">
        <f aca="false">G8+G10+G24</f>
        <v>156950.439210432</v>
      </c>
      <c r="H11" s="0" t="n">
        <f aca="false">H8+H10+H24</f>
        <v>161300.995244686</v>
      </c>
      <c r="I11" s="0" t="n">
        <f aca="false">I8+I10+I24</f>
        <v>168531.729514275</v>
      </c>
      <c r="J11" s="0" t="n">
        <f aca="false">J8+J10+J24</f>
        <v>170217.046809418</v>
      </c>
      <c r="K11" s="0" t="n">
        <f aca="false">K8+K10+K24</f>
        <v>171919.217277512</v>
      </c>
      <c r="L11" s="0" t="n">
        <f aca="false">L8+L10+L24</f>
        <v>173638.409450288</v>
      </c>
    </row>
    <row r="12" customFormat="false" ht="15" hidden="false" customHeight="false" outlineLevel="0" collapsed="false">
      <c r="A12" s="0" t="s">
        <v>121</v>
      </c>
      <c r="C12" s="4" t="n">
        <f aca="false">-C6*Assumptions!C17/100</f>
        <v>-42000.82992</v>
      </c>
      <c r="D12" s="4" t="n">
        <f aca="false">-D6*Assumptions!D17/100</f>
        <v>-43449.1344</v>
      </c>
      <c r="E12" s="4" t="n">
        <f aca="false">-E6*Assumptions!E17/100</f>
        <v>-42145.660368</v>
      </c>
      <c r="F12" s="4" t="n">
        <f aca="false">-F6*Assumptions!F17/100</f>
        <v>-41302.74716064</v>
      </c>
      <c r="G12" s="4" t="n">
        <f aca="false">-G6*Assumptions!G17/100</f>
        <v>-41302.74716064</v>
      </c>
      <c r="H12" s="4" t="n">
        <f aca="false">-H6*Assumptions!H17/100</f>
        <v>-41715.7746322464</v>
      </c>
      <c r="I12" s="4" t="n">
        <f aca="false">-I6*Assumptions!I17/100</f>
        <v>-42132.9323785689</v>
      </c>
      <c r="J12" s="4" t="n">
        <f aca="false">-J6*Assumptions!J17/100</f>
        <v>-42554.2617023546</v>
      </c>
      <c r="K12" s="4" t="n">
        <f aca="false">-K6*Assumptions!K17/100</f>
        <v>-42979.8043193781</v>
      </c>
      <c r="L12" s="4" t="n">
        <f aca="false">-L6*Assumptions!L17/100</f>
        <v>-43409.6023625719</v>
      </c>
    </row>
    <row r="13" customFormat="false" ht="15" hidden="false" customHeight="false" outlineLevel="0" collapsed="false">
      <c r="A13" s="0" t="s">
        <v>122</v>
      </c>
      <c r="C13" s="0" t="n">
        <f aca="false">C11+C12</f>
        <v>154968.57936</v>
      </c>
      <c r="D13" s="0" t="n">
        <f aca="false">D11+D12</f>
        <v>130347.4032</v>
      </c>
      <c r="E13" s="0" t="n">
        <f aca="false">E11+E12</f>
        <v>112388.427648</v>
      </c>
      <c r="F13" s="0" t="n">
        <f aca="false">F11+F12</f>
        <v>110140.65909504</v>
      </c>
      <c r="G13" s="0" t="n">
        <f aca="false">G11+G12</f>
        <v>115647.692049792</v>
      </c>
      <c r="H13" s="0" t="n">
        <f aca="false">H11+H12</f>
        <v>119585.22061244</v>
      </c>
      <c r="I13" s="0" t="n">
        <f aca="false">I11+I12</f>
        <v>126398.797135707</v>
      </c>
      <c r="J13" s="0" t="n">
        <f aca="false">J11+J12</f>
        <v>127662.785107064</v>
      </c>
      <c r="K13" s="0" t="n">
        <f aca="false">K11+K12</f>
        <v>128939.412958134</v>
      </c>
      <c r="L13" s="0" t="n">
        <f aca="false">L11+L12</f>
        <v>130228.807087716</v>
      </c>
    </row>
    <row r="14" customFormat="false" ht="15" hidden="false" customHeight="false" outlineLevel="0" collapsed="false">
      <c r="A14" s="0" t="s">
        <v>108</v>
      </c>
      <c r="C14" s="4" t="n">
        <f aca="false">Assumptions!C19</f>
        <v>31</v>
      </c>
      <c r="D14" s="4" t="n">
        <f aca="false">Assumptions!D19</f>
        <v>31</v>
      </c>
      <c r="E14" s="4" t="n">
        <f aca="false">Assumptions!E19</f>
        <v>31</v>
      </c>
      <c r="F14" s="4" t="n">
        <f aca="false">Assumptions!F19</f>
        <v>31</v>
      </c>
      <c r="G14" s="4" t="n">
        <f aca="false">Assumptions!G19</f>
        <v>31</v>
      </c>
      <c r="H14" s="4" t="n">
        <f aca="false">Assumptions!H19</f>
        <v>31</v>
      </c>
      <c r="I14" s="4" t="n">
        <f aca="false">Assumptions!I19</f>
        <v>31</v>
      </c>
      <c r="J14" s="4" t="n">
        <f aca="false">Assumptions!J19</f>
        <v>31</v>
      </c>
      <c r="K14" s="4" t="n">
        <f aca="false">Assumptions!K19</f>
        <v>31</v>
      </c>
      <c r="L14" s="4" t="n">
        <f aca="false">Assumptions!L19</f>
        <v>31</v>
      </c>
    </row>
    <row r="15" customFormat="false" ht="15" hidden="false" customHeight="false" outlineLevel="0" collapsed="false">
      <c r="A15" s="0" t="s">
        <v>123</v>
      </c>
      <c r="C15" s="0" t="n">
        <f aca="false">C13-MAX(0,C13)*C14/100</f>
        <v>106928.3197584</v>
      </c>
      <c r="D15" s="0" t="n">
        <f aca="false">D13-MAX(0,D13)*D14/100</f>
        <v>89939.708208</v>
      </c>
      <c r="E15" s="0" t="n">
        <f aca="false">E13-MAX(0,E13)*E14/100</f>
        <v>77548.01507712</v>
      </c>
      <c r="F15" s="0" t="n">
        <f aca="false">F13-MAX(0,F13)*F14/100</f>
        <v>75997.0547755776</v>
      </c>
      <c r="G15" s="0" t="n">
        <f aca="false">G13-MAX(0,G13)*G14/100</f>
        <v>79796.9075143565</v>
      </c>
      <c r="H15" s="0" t="n">
        <f aca="false">H13-MAX(0,H13)*H14/100</f>
        <v>82513.8022225834</v>
      </c>
      <c r="I15" s="0" t="n">
        <f aca="false">I13-MAX(0,I13)*I14/100</f>
        <v>87215.1700236375</v>
      </c>
      <c r="J15" s="0" t="n">
        <f aca="false">J13-MAX(0,J13)*J14/100</f>
        <v>88087.3217238739</v>
      </c>
      <c r="K15" s="0" t="n">
        <f aca="false">K13-MAX(0,K13)*K14/100</f>
        <v>88968.1949411127</v>
      </c>
      <c r="L15" s="0" t="n">
        <f aca="false">L13-MAX(0,L13)*L14/100</f>
        <v>89857.8768905238</v>
      </c>
    </row>
    <row r="16" customFormat="false" ht="15" hidden="false" customHeight="false" outlineLevel="0" collapsed="false">
      <c r="A16" s="0" t="s">
        <v>124</v>
      </c>
      <c r="C16" s="0" t="n">
        <f aca="false">-C12</f>
        <v>42000.82992</v>
      </c>
      <c r="D16" s="0" t="n">
        <f aca="false">-D12</f>
        <v>43449.1344</v>
      </c>
      <c r="E16" s="0" t="n">
        <f aca="false">-E12</f>
        <v>42145.660368</v>
      </c>
      <c r="F16" s="0" t="n">
        <f aca="false">-F12</f>
        <v>41302.74716064</v>
      </c>
      <c r="G16" s="0" t="n">
        <f aca="false">-G12</f>
        <v>41302.74716064</v>
      </c>
      <c r="H16" s="0" t="n">
        <f aca="false">-H12</f>
        <v>41715.7746322464</v>
      </c>
      <c r="I16" s="0" t="n">
        <f aca="false">-I12</f>
        <v>42132.9323785689</v>
      </c>
      <c r="J16" s="0" t="n">
        <f aca="false">-J12</f>
        <v>42554.2617023546</v>
      </c>
      <c r="K16" s="0" t="n">
        <f aca="false">-K12</f>
        <v>42979.8043193781</v>
      </c>
      <c r="L16" s="0" t="n">
        <f aca="false">-L12</f>
        <v>43409.6023625719</v>
      </c>
    </row>
    <row r="17" customFormat="false" ht="15" hidden="false" customHeight="false" outlineLevel="0" collapsed="false">
      <c r="A17" s="0" t="s">
        <v>125</v>
      </c>
      <c r="C17" s="4" t="n">
        <f aca="false">-C6*Assumptions!C18/100</f>
        <v>-101381.3136</v>
      </c>
      <c r="D17" s="4" t="n">
        <f aca="false">-D6*Assumptions!D18/100</f>
        <v>-101381.3136</v>
      </c>
      <c r="E17" s="4" t="n">
        <f aca="false">-E6*Assumptions!E18/100</f>
        <v>-89910.7421184</v>
      </c>
      <c r="F17" s="4" t="n">
        <f aca="false">-F6*Assumptions!F18/100</f>
        <v>-82605.49432128</v>
      </c>
      <c r="G17" s="4" t="n">
        <f aca="false">-G6*Assumptions!G18/100</f>
        <v>-82605.49432128</v>
      </c>
      <c r="H17" s="4" t="n">
        <f aca="false">-H6*Assumptions!H18/100</f>
        <v>-83431.5492644928</v>
      </c>
      <c r="I17" s="4" t="n">
        <f aca="false">-I6*Assumptions!I18/100</f>
        <v>-84265.8647571377</v>
      </c>
      <c r="J17" s="4" t="n">
        <f aca="false">-J6*Assumptions!J18/100</f>
        <v>-85108.5234047091</v>
      </c>
      <c r="K17" s="4" t="n">
        <f aca="false">-K6*Assumptions!K18/100</f>
        <v>-85959.6086387562</v>
      </c>
      <c r="L17" s="4" t="n">
        <f aca="false">-L6*Assumptions!L18/100</f>
        <v>-86819.2047251438</v>
      </c>
    </row>
    <row r="18" customFormat="false" ht="15" hidden="false" customHeight="false" outlineLevel="0" collapsed="false">
      <c r="A18" s="0" t="s">
        <v>126</v>
      </c>
      <c r="C18" s="4" t="n">
        <f aca="false">(C6-B6)*Assumptions!$B$23/100</f>
        <v>-15517.548</v>
      </c>
      <c r="D18" s="4" t="n">
        <f aca="false">(D6-C6)*Assumptions!$B$23/100</f>
        <v>-0</v>
      </c>
      <c r="E18" s="4" t="n">
        <f aca="false">(E6-D6)*Assumptions!$B$23/100</f>
        <v>4344.91344000001</v>
      </c>
      <c r="F18" s="4" t="n">
        <f aca="false">(F6-E6)*Assumptions!$B$23/100</f>
        <v>2809.71069120001</v>
      </c>
      <c r="G18" s="4" t="n">
        <f aca="false">(G6-F6)*Assumptions!$B$23/100</f>
        <v>-0</v>
      </c>
      <c r="H18" s="4" t="n">
        <f aca="false">(H6-G6)*Assumptions!$B$23/100</f>
        <v>-1376.758238688</v>
      </c>
      <c r="I18" s="4" t="n">
        <f aca="false">(I6-H6)*Assumptions!$B$23/100</f>
        <v>-1390.52582107489</v>
      </c>
      <c r="J18" s="4" t="n">
        <f aca="false">(J6-I6)*Assumptions!$B$23/100</f>
        <v>-1404.43107928564</v>
      </c>
      <c r="K18" s="4" t="n">
        <f aca="false">(K6-J6)*Assumptions!$B$23/100</f>
        <v>-1418.47539007848</v>
      </c>
      <c r="L18" s="4" t="n">
        <f aca="false">(L6-K6)*Assumptions!$B$23/100</f>
        <v>-1432.66014397927</v>
      </c>
    </row>
    <row r="19" customFormat="false" ht="15" hidden="false" customHeight="false" outlineLevel="0" collapsed="false">
      <c r="A19" s="0" t="s">
        <v>127</v>
      </c>
      <c r="C19" s="0" t="n">
        <f aca="false">C15+C16+C17+C18</f>
        <v>32030.2880784</v>
      </c>
      <c r="D19" s="0" t="n">
        <f aca="false">D15+D16+D17+D18</f>
        <v>32007.529008</v>
      </c>
      <c r="E19" s="0" t="n">
        <f aca="false">E15+E16+E17+E18</f>
        <v>34127.84676672</v>
      </c>
      <c r="F19" s="0" t="n">
        <f aca="false">F15+F16+F17+F18</f>
        <v>37504.0183061376</v>
      </c>
      <c r="G19" s="0" t="n">
        <f aca="false">G15+G16+G17+G18</f>
        <v>38494.1603537165</v>
      </c>
      <c r="H19" s="0" t="n">
        <f aca="false">H15+H16+H17+H18</f>
        <v>39421.269351649</v>
      </c>
      <c r="I19" s="0" t="n">
        <f aca="false">I15+I16+I17+I18</f>
        <v>43691.7118239938</v>
      </c>
      <c r="J19" s="0" t="n">
        <f aca="false">J15+J16+J17+J18</f>
        <v>44128.6289422337</v>
      </c>
      <c r="K19" s="0" t="n">
        <f aca="false">K15+K16+K17+K18</f>
        <v>44569.9152316561</v>
      </c>
      <c r="L19" s="0" t="n">
        <f aca="false">L15+L16+L17+L18</f>
        <v>45015.6143839727</v>
      </c>
    </row>
    <row r="20" customFormat="false" ht="15" hidden="false" customHeight="false" outlineLevel="0" collapsed="false">
      <c r="A20" s="0" t="s">
        <v>128</v>
      </c>
      <c r="C20" s="0" t="n">
        <f aca="false">1/(1+$B$27/100)^C4</f>
        <v>0.930232558139535</v>
      </c>
      <c r="D20" s="0" t="n">
        <f aca="false">1/(1+$B$27/100)^D4</f>
        <v>0.865332612222823</v>
      </c>
      <c r="E20" s="0" t="n">
        <f aca="false">1/(1+$B$27/100)^E4</f>
        <v>0.804960569509603</v>
      </c>
      <c r="F20" s="0" t="n">
        <f aca="false">1/(1+$B$27/100)^F4</f>
        <v>0.748800529776375</v>
      </c>
      <c r="G20" s="0" t="n">
        <f aca="false">1/(1+$B$27/100)^G4</f>
        <v>0.696558632350116</v>
      </c>
      <c r="H20" s="0" t="n">
        <f aca="false">1/(1+$B$27/100)^H4</f>
        <v>0.647961518465224</v>
      </c>
      <c r="I20" s="0" t="n">
        <f aca="false">1/(1+$B$27/100)^I4</f>
        <v>0.602754900897883</v>
      </c>
      <c r="J20" s="0" t="n">
        <f aca="false">1/(1+$B$27/100)^J4</f>
        <v>0.56070223339338</v>
      </c>
      <c r="K20" s="0" t="n">
        <f aca="false">1/(1+$B$27/100)^K4</f>
        <v>0.521583472924074</v>
      </c>
      <c r="L20" s="0" t="n">
        <f aca="false">1/(1+$B$27/100)^L4</f>
        <v>0.485193928301464</v>
      </c>
    </row>
    <row r="21" customFormat="false" ht="15" hidden="false" customHeight="false" outlineLevel="0" collapsed="false">
      <c r="A21" s="0" t="s">
        <v>129</v>
      </c>
      <c r="C21" s="0" t="n">
        <f aca="false">C19*C20</f>
        <v>29795.6168171163</v>
      </c>
      <c r="D21" s="0" t="n">
        <f aca="false">D19*D20</f>
        <v>27697.1586872904</v>
      </c>
      <c r="E21" s="0" t="n">
        <f aca="false">E19*E20</f>
        <v>27471.5709694754</v>
      </c>
      <c r="F21" s="0" t="n">
        <f aca="false">F19*F20</f>
        <v>28083.0287763787</v>
      </c>
      <c r="G21" s="0" t="n">
        <f aca="false">G19*G20</f>
        <v>26813.4396894508</v>
      </c>
      <c r="H21" s="0" t="n">
        <f aca="false">H19*H20</f>
        <v>25543.4655489211</v>
      </c>
      <c r="I21" s="0" t="n">
        <f aca="false">I19*I20</f>
        <v>26335.3934305302</v>
      </c>
      <c r="J21" s="0" t="n">
        <f aca="false">J19*J20</f>
        <v>24743.0208044982</v>
      </c>
      <c r="K21" s="0" t="n">
        <f aca="false">K19*K20</f>
        <v>23246.9311744588</v>
      </c>
      <c r="L21" s="0" t="n">
        <f aca="false">L19*L20</f>
        <v>21841.3027778636</v>
      </c>
    </row>
    <row r="23" customFormat="false" ht="15" hidden="false" customHeight="false" outlineLevel="0" collapsed="false">
      <c r="A23" s="0" t="s">
        <v>105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130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131</v>
      </c>
    </row>
    <row r="27" customFormat="false" ht="15" hidden="false" customHeight="false" outlineLevel="0" collapsed="false">
      <c r="A27" s="0" t="s">
        <v>109</v>
      </c>
      <c r="B27" s="4" t="n">
        <f aca="false">Assumptions!$B$20</f>
        <v>7.5</v>
      </c>
    </row>
    <row r="28" customFormat="false" ht="15" hidden="false" customHeight="false" outlineLevel="0" collapsed="false">
      <c r="A28" s="0" t="s">
        <v>110</v>
      </c>
      <c r="B28" s="4" t="n">
        <f aca="false">Assumptions!$B$21</f>
        <v>0.5</v>
      </c>
    </row>
    <row r="29" customFormat="false" ht="15" hidden="false" customHeight="false" outlineLevel="0" collapsed="false">
      <c r="A29" s="0" t="s">
        <v>111</v>
      </c>
      <c r="B29" s="4" t="n">
        <f aca="false">Assumptions!$B$22</f>
        <v>12</v>
      </c>
    </row>
    <row r="30" customFormat="false" ht="15" hidden="false" customHeight="false" outlineLevel="0" collapsed="false">
      <c r="A30" s="0" t="s">
        <v>132</v>
      </c>
      <c r="B30" s="0" t="n">
        <f aca="false">SUM(C21:L21)</f>
        <v>261570.928675984</v>
      </c>
    </row>
    <row r="31" customFormat="false" ht="15" hidden="false" customHeight="false" outlineLevel="0" collapsed="false">
      <c r="A31" s="0" t="s">
        <v>133</v>
      </c>
      <c r="B31" s="0" t="n">
        <f aca="false">L19</f>
        <v>45015.6143839727</v>
      </c>
    </row>
    <row r="32" customFormat="false" ht="15" hidden="false" customHeight="false" outlineLevel="0" collapsed="false">
      <c r="A32" s="0" t="s">
        <v>134</v>
      </c>
      <c r="B32" s="0" t="n">
        <f aca="false">IF(B27&gt;B28,B31*(1+B28/100)/((B27-B28)/100),B31*B29)</f>
        <v>646295.60651275</v>
      </c>
    </row>
    <row r="33" customFormat="false" ht="15" hidden="false" customHeight="false" outlineLevel="0" collapsed="false">
      <c r="A33" s="0" t="s">
        <v>135</v>
      </c>
      <c r="B33" s="0" t="n">
        <f aca="false">B31*B29</f>
        <v>540187.372607672</v>
      </c>
    </row>
    <row r="34" customFormat="false" ht="15" hidden="false" customHeight="false" outlineLevel="0" collapsed="false">
      <c r="A34" s="0" t="s">
        <v>136</v>
      </c>
      <c r="B34" s="0" t="n">
        <f aca="false">MAX(0,MIN(B32,B33))</f>
        <v>540187.372607672</v>
      </c>
    </row>
    <row r="35" customFormat="false" ht="15" hidden="false" customHeight="false" outlineLevel="0" collapsed="false">
      <c r="A35" s="0" t="s">
        <v>137</v>
      </c>
      <c r="B35" s="0" t="n">
        <f aca="false">B34/(1+B27/100)^L4</f>
        <v>262095.633334363</v>
      </c>
    </row>
    <row r="36" customFormat="false" ht="15" hidden="false" customHeight="false" outlineLevel="0" collapsed="false">
      <c r="A36" s="0" t="s">
        <v>138</v>
      </c>
      <c r="B36" s="0" t="n">
        <f aca="false">B30+B35</f>
        <v>523666.562010347</v>
      </c>
    </row>
    <row r="37" customFormat="false" ht="15" hidden="false" customHeight="false" outlineLevel="0" collapsed="false">
      <c r="A37" s="0" t="s">
        <v>139</v>
      </c>
      <c r="B37" s="0" t="n">
        <f aca="false">B36+Assumptions!$B$5-Assumptions!$B$4</f>
        <v>804448.562010347</v>
      </c>
    </row>
    <row r="38" customFormat="false" ht="15" hidden="false" customHeight="false" outlineLevel="0" collapsed="false">
      <c r="A38" s="0" t="s">
        <v>140</v>
      </c>
      <c r="B38" s="0" t="n">
        <f aca="false">B37/Assumptions!$B$3*Assumptions!$B$10</f>
        <v>1170.24317303882</v>
      </c>
    </row>
    <row r="39" customFormat="false" ht="15" hidden="false" customHeight="false" outlineLevel="0" collapsed="false">
      <c r="A39" s="0" t="s">
        <v>141</v>
      </c>
      <c r="B39" s="4" t="n">
        <f aca="false">B38/Assumptions!$B$2-1</f>
        <v>-0.606574828361465</v>
      </c>
    </row>
    <row r="41" customFormat="false" ht="15" hidden="false" customHeight="false" outlineLevel="0" collapsed="false">
      <c r="A41" s="0" t="s">
        <v>142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143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144</v>
      </c>
      <c r="B43" s="0" t="n">
        <f aca="false">(B37+B41+B42)/Assumptions!$B$3*Assumptions!$B$10</f>
        <v>1170.24317303882</v>
      </c>
    </row>
    <row r="45" customFormat="false" ht="15" hidden="false" customHeight="false" outlineLevel="0" collapsed="false">
      <c r="A45" s="0" t="s">
        <v>85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145</v>
      </c>
      <c r="B46" s="0" t="n">
        <f aca="false">MAX(0,MIN(IF(B45&gt;B28,B31*(1+B28/100)/((B45-B28)/100),B31*B29),B31*B29))</f>
        <v>312004.77555788</v>
      </c>
    </row>
    <row r="47" customFormat="false" ht="15" hidden="false" customHeight="false" outlineLevel="0" collapsed="false">
      <c r="A47" s="0" t="s">
        <v>146</v>
      </c>
      <c r="B47" s="0" t="n">
        <f aca="false">(SUMPRODUCT(C19:L19/(1+B45/100)^C4:L4)+B46/(1+B45/100)^L4+Assumptions!$B$5-Assumptions!$B$4)/Assumptions!$B$3*Assumptions!$B$10</f>
        <v>792.341315997874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147</v>
      </c>
    </row>
    <row r="3" customFormat="false" ht="15" hidden="false" customHeight="false" outlineLevel="0" collapsed="false">
      <c r="A3" s="0" t="s">
        <v>117</v>
      </c>
      <c r="B3" s="0" t="s">
        <v>78</v>
      </c>
      <c r="C3" s="2" t="s">
        <v>92</v>
      </c>
      <c r="D3" s="2" t="s">
        <v>93</v>
      </c>
      <c r="E3" s="2" t="s">
        <v>94</v>
      </c>
      <c r="F3" s="2" t="s">
        <v>95</v>
      </c>
      <c r="G3" s="2" t="s">
        <v>96</v>
      </c>
      <c r="H3" s="2" t="s">
        <v>97</v>
      </c>
      <c r="I3" s="2" t="s">
        <v>98</v>
      </c>
      <c r="J3" s="2" t="s">
        <v>99</v>
      </c>
      <c r="K3" s="2" t="s">
        <v>100</v>
      </c>
      <c r="L3" s="2" t="s">
        <v>101</v>
      </c>
    </row>
    <row r="4" customFormat="false" ht="15" hidden="false" customHeight="false" outlineLevel="0" collapsed="false">
      <c r="A4" s="0" t="s">
        <v>118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102</v>
      </c>
      <c r="C5" s="4" t="n">
        <f aca="false">Assumptions!C27</f>
        <v>13.9</v>
      </c>
      <c r="D5" s="4" t="n">
        <f aca="false">Assumptions!D27</f>
        <v>4</v>
      </c>
      <c r="E5" s="4" t="n">
        <f aca="false">Assumptions!E27</f>
        <v>3</v>
      </c>
      <c r="F5" s="4" t="n">
        <f aca="false">Assumptions!F27</f>
        <v>2.5</v>
      </c>
      <c r="G5" s="4" t="n">
        <f aca="false">Assumptions!G27</f>
        <v>2</v>
      </c>
      <c r="H5" s="4" t="n">
        <f aca="false">Assumptions!H27</f>
        <v>2</v>
      </c>
      <c r="I5" s="4" t="n">
        <f aca="false">Assumptions!I27</f>
        <v>2</v>
      </c>
      <c r="J5" s="4" t="n">
        <f aca="false">Assumptions!J27</f>
        <v>1.5</v>
      </c>
      <c r="K5" s="4" t="n">
        <f aca="false">Assumptions!K27</f>
        <v>1.5</v>
      </c>
      <c r="L5" s="4" t="n">
        <f aca="false">Assumptions!L27</f>
        <v>1.5</v>
      </c>
    </row>
    <row r="6" customFormat="false" ht="15" hidden="false" customHeight="false" outlineLevel="0" collapsed="false">
      <c r="A6" s="0" t="s">
        <v>37</v>
      </c>
      <c r="B6" s="3" t="n">
        <v>2586258</v>
      </c>
      <c r="C6" s="0" t="n">
        <f aca="false">B6*(1+C5/100)</f>
        <v>2945747.862</v>
      </c>
      <c r="D6" s="0" t="n">
        <f aca="false">C6*(1+D5/100)</f>
        <v>3063577.77648</v>
      </c>
      <c r="E6" s="0" t="n">
        <f aca="false">D6*(1+E5/100)</f>
        <v>3155485.1097744</v>
      </c>
      <c r="F6" s="0" t="n">
        <f aca="false">E6*(1+F5/100)</f>
        <v>3234372.23751876</v>
      </c>
      <c r="G6" s="0" t="n">
        <f aca="false">F6*(1+G5/100)</f>
        <v>3299059.68226914</v>
      </c>
      <c r="H6" s="0" t="n">
        <f aca="false">G6*(1+H5/100)</f>
        <v>3365040.87591452</v>
      </c>
      <c r="I6" s="0" t="n">
        <f aca="false">H6*(1+I5/100)</f>
        <v>3432341.69343281</v>
      </c>
      <c r="J6" s="0" t="n">
        <f aca="false">I6*(1+J5/100)</f>
        <v>3483826.8188343</v>
      </c>
      <c r="K6" s="0" t="n">
        <f aca="false">J6*(1+K5/100)</f>
        <v>3536084.22111681</v>
      </c>
      <c r="L6" s="0" t="n">
        <f aca="false">K6*(1+L5/100)</f>
        <v>3589125.48443357</v>
      </c>
    </row>
    <row r="7" customFormat="false" ht="15" hidden="false" customHeight="false" outlineLevel="0" collapsed="false">
      <c r="A7" s="0" t="s">
        <v>103</v>
      </c>
      <c r="C7" s="4" t="n">
        <f aca="false">Assumptions!C28</f>
        <v>7.55</v>
      </c>
      <c r="D7" s="4" t="n">
        <f aca="false">Assumptions!D28</f>
        <v>7.4</v>
      </c>
      <c r="E7" s="4" t="n">
        <f aca="false">Assumptions!E28</f>
        <v>7.3</v>
      </c>
      <c r="F7" s="4" t="n">
        <f aca="false">Assumptions!F28</f>
        <v>7.25</v>
      </c>
      <c r="G7" s="4" t="n">
        <f aca="false">Assumptions!G28</f>
        <v>7.25</v>
      </c>
      <c r="H7" s="4" t="n">
        <f aca="false">Assumptions!H28</f>
        <v>7.25</v>
      </c>
      <c r="I7" s="4" t="n">
        <f aca="false">Assumptions!I28</f>
        <v>7.25</v>
      </c>
      <c r="J7" s="4" t="n">
        <f aca="false">Assumptions!J28</f>
        <v>7.25</v>
      </c>
      <c r="K7" s="4" t="n">
        <f aca="false">Assumptions!K28</f>
        <v>7.25</v>
      </c>
      <c r="L7" s="4" t="n">
        <f aca="false">Assumptions!L28</f>
        <v>7.25</v>
      </c>
    </row>
    <row r="8" customFormat="false" ht="15" hidden="false" customHeight="false" outlineLevel="0" collapsed="false">
      <c r="A8" s="0" t="s">
        <v>43</v>
      </c>
      <c r="C8" s="0" t="n">
        <f aca="false">C6*C7/100</f>
        <v>222403.963581</v>
      </c>
      <c r="D8" s="0" t="n">
        <f aca="false">D6*D7/100</f>
        <v>226704.75545952</v>
      </c>
      <c r="E8" s="0" t="n">
        <f aca="false">E6*E7/100</f>
        <v>230350.413013531</v>
      </c>
      <c r="F8" s="0" t="n">
        <f aca="false">F6*F7/100</f>
        <v>234491.98722011</v>
      </c>
      <c r="G8" s="0" t="n">
        <f aca="false">G6*G7/100</f>
        <v>239181.826964512</v>
      </c>
      <c r="H8" s="0" t="n">
        <f aca="false">H6*H7/100</f>
        <v>243965.463503803</v>
      </c>
      <c r="I8" s="0" t="n">
        <f aca="false">I6*I7/100</f>
        <v>248844.772773879</v>
      </c>
      <c r="J8" s="0" t="n">
        <f aca="false">J6*J7/100</f>
        <v>252577.444365487</v>
      </c>
      <c r="K8" s="0" t="n">
        <f aca="false">K6*K7/100</f>
        <v>256366.106030969</v>
      </c>
      <c r="L8" s="0" t="n">
        <f aca="false">L6*L7/100</f>
        <v>260211.597621434</v>
      </c>
    </row>
    <row r="9" customFormat="false" ht="15" hidden="false" customHeight="false" outlineLevel="0" collapsed="false">
      <c r="A9" s="0" t="s">
        <v>104</v>
      </c>
      <c r="C9" s="4" t="n">
        <f aca="false">Assumptions!C29</f>
        <v>0</v>
      </c>
      <c r="D9" s="4" t="n">
        <f aca="false">Assumptions!D29</f>
        <v>0</v>
      </c>
      <c r="E9" s="4" t="n">
        <f aca="false">Assumptions!E29</f>
        <v>0</v>
      </c>
      <c r="F9" s="4" t="n">
        <f aca="false">Assumptions!F29</f>
        <v>0</v>
      </c>
      <c r="G9" s="4" t="n">
        <f aca="false">Assumptions!G29</f>
        <v>0</v>
      </c>
      <c r="H9" s="4" t="n">
        <f aca="false">Assumptions!H29</f>
        <v>0</v>
      </c>
      <c r="I9" s="4" t="n">
        <f aca="false">Assumptions!I29</f>
        <v>0</v>
      </c>
      <c r="J9" s="4" t="n">
        <f aca="false">Assumptions!J29</f>
        <v>0</v>
      </c>
      <c r="K9" s="4" t="n">
        <f aca="false">Assumptions!K29</f>
        <v>0</v>
      </c>
      <c r="L9" s="4" t="n">
        <f aca="false">Assumptions!L29</f>
        <v>0</v>
      </c>
    </row>
    <row r="10" customFormat="false" ht="15" hidden="false" customHeight="false" outlineLevel="0" collapsed="false">
      <c r="A10" s="0" t="s">
        <v>119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120</v>
      </c>
      <c r="C11" s="0" t="n">
        <f aca="false">C8+C10+C24</f>
        <v>222403.963581</v>
      </c>
      <c r="D11" s="0" t="n">
        <f aca="false">D8+D10+D24</f>
        <v>226704.75545952</v>
      </c>
      <c r="E11" s="0" t="n">
        <f aca="false">E8+E10+E24</f>
        <v>230350.413013531</v>
      </c>
      <c r="F11" s="0" t="n">
        <f aca="false">F8+F10+F24</f>
        <v>234491.98722011</v>
      </c>
      <c r="G11" s="0" t="n">
        <f aca="false">G8+G10+G24</f>
        <v>239181.826964512</v>
      </c>
      <c r="H11" s="0" t="n">
        <f aca="false">H8+H10+H24</f>
        <v>243965.463503803</v>
      </c>
      <c r="I11" s="0" t="n">
        <f aca="false">I8+I10+I24</f>
        <v>248844.772773879</v>
      </c>
      <c r="J11" s="0" t="n">
        <f aca="false">J8+J10+J24</f>
        <v>252577.444365487</v>
      </c>
      <c r="K11" s="0" t="n">
        <f aca="false">K8+K10+K24</f>
        <v>256366.106030969</v>
      </c>
      <c r="L11" s="0" t="n">
        <f aca="false">L8+L10+L24</f>
        <v>260211.597621434</v>
      </c>
    </row>
    <row r="12" customFormat="false" ht="15" hidden="false" customHeight="false" outlineLevel="0" collapsed="false">
      <c r="A12" s="0" t="s">
        <v>121</v>
      </c>
      <c r="C12" s="4" t="n">
        <f aca="false">-C6*Assumptions!C31/100</f>
        <v>-42713.343999</v>
      </c>
      <c r="D12" s="4" t="n">
        <f aca="false">-D6*Assumptions!D31/100</f>
        <v>-45953.6666472</v>
      </c>
      <c r="E12" s="4" t="n">
        <f aca="false">-E6*Assumptions!E31/100</f>
        <v>-47332.276646616</v>
      </c>
      <c r="F12" s="4" t="n">
        <f aca="false">-F6*Assumptions!F31/100</f>
        <v>-48515.5835627814</v>
      </c>
      <c r="G12" s="4" t="n">
        <f aca="false">-G6*Assumptions!G31/100</f>
        <v>-49485.895234037</v>
      </c>
      <c r="H12" s="4" t="n">
        <f aca="false">-H6*Assumptions!H31/100</f>
        <v>-50475.6131387178</v>
      </c>
      <c r="I12" s="4" t="n">
        <f aca="false">-I6*Assumptions!I31/100</f>
        <v>-51485.1254014921</v>
      </c>
      <c r="J12" s="4" t="n">
        <f aca="false">-J6*Assumptions!J31/100</f>
        <v>-52257.4022825145</v>
      </c>
      <c r="K12" s="4" t="n">
        <f aca="false">-K6*Assumptions!K31/100</f>
        <v>-53041.2633167522</v>
      </c>
      <c r="L12" s="4" t="n">
        <f aca="false">-L6*Assumptions!L31/100</f>
        <v>-53836.8822665035</v>
      </c>
    </row>
    <row r="13" customFormat="false" ht="15" hidden="false" customHeight="false" outlineLevel="0" collapsed="false">
      <c r="A13" s="0" t="s">
        <v>122</v>
      </c>
      <c r="C13" s="0" t="n">
        <f aca="false">C11+C12</f>
        <v>179690.619582</v>
      </c>
      <c r="D13" s="0" t="n">
        <f aca="false">D11+D12</f>
        <v>180751.08881232</v>
      </c>
      <c r="E13" s="0" t="n">
        <f aca="false">E11+E12</f>
        <v>183018.136366915</v>
      </c>
      <c r="F13" s="0" t="n">
        <f aca="false">F11+F12</f>
        <v>185976.403657329</v>
      </c>
      <c r="G13" s="0" t="n">
        <f aca="false">G11+G12</f>
        <v>189695.931730475</v>
      </c>
      <c r="H13" s="0" t="n">
        <f aca="false">H11+H12</f>
        <v>193489.850365085</v>
      </c>
      <c r="I13" s="0" t="n">
        <f aca="false">I11+I12</f>
        <v>197359.647372387</v>
      </c>
      <c r="J13" s="0" t="n">
        <f aca="false">J11+J12</f>
        <v>200320.042082972</v>
      </c>
      <c r="K13" s="0" t="n">
        <f aca="false">K11+K12</f>
        <v>203324.842714217</v>
      </c>
      <c r="L13" s="0" t="n">
        <f aca="false">L11+L12</f>
        <v>206374.71535493</v>
      </c>
    </row>
    <row r="14" customFormat="false" ht="15" hidden="false" customHeight="false" outlineLevel="0" collapsed="false">
      <c r="A14" s="0" t="s">
        <v>108</v>
      </c>
      <c r="C14" s="4" t="n">
        <f aca="false">Assumptions!C33</f>
        <v>31</v>
      </c>
      <c r="D14" s="4" t="n">
        <f aca="false">Assumptions!D33</f>
        <v>31</v>
      </c>
      <c r="E14" s="4" t="n">
        <f aca="false">Assumptions!E33</f>
        <v>31</v>
      </c>
      <c r="F14" s="4" t="n">
        <f aca="false">Assumptions!F33</f>
        <v>31</v>
      </c>
      <c r="G14" s="4" t="n">
        <f aca="false">Assumptions!G33</f>
        <v>31</v>
      </c>
      <c r="H14" s="4" t="n">
        <f aca="false">Assumptions!H33</f>
        <v>31</v>
      </c>
      <c r="I14" s="4" t="n">
        <f aca="false">Assumptions!I33</f>
        <v>31</v>
      </c>
      <c r="J14" s="4" t="n">
        <f aca="false">Assumptions!J33</f>
        <v>31</v>
      </c>
      <c r="K14" s="4" t="n">
        <f aca="false">Assumptions!K33</f>
        <v>31</v>
      </c>
      <c r="L14" s="4" t="n">
        <f aca="false">Assumptions!L33</f>
        <v>31</v>
      </c>
    </row>
    <row r="15" customFormat="false" ht="15" hidden="false" customHeight="false" outlineLevel="0" collapsed="false">
      <c r="A15" s="0" t="s">
        <v>123</v>
      </c>
      <c r="C15" s="0" t="n">
        <f aca="false">C13-MAX(0,C13)*C14/100</f>
        <v>123986.52751158</v>
      </c>
      <c r="D15" s="0" t="n">
        <f aca="false">D13-MAX(0,D13)*D14/100</f>
        <v>124718.251280501</v>
      </c>
      <c r="E15" s="0" t="n">
        <f aca="false">E13-MAX(0,E13)*E14/100</f>
        <v>126282.514093172</v>
      </c>
      <c r="F15" s="0" t="n">
        <f aca="false">F13-MAX(0,F13)*F14/100</f>
        <v>128323.718523557</v>
      </c>
      <c r="G15" s="0" t="n">
        <f aca="false">G13-MAX(0,G13)*G14/100</f>
        <v>130890.192894028</v>
      </c>
      <c r="H15" s="0" t="n">
        <f aca="false">H13-MAX(0,H13)*H14/100</f>
        <v>133507.996751909</v>
      </c>
      <c r="I15" s="0" t="n">
        <f aca="false">I13-MAX(0,I13)*I14/100</f>
        <v>136178.156686947</v>
      </c>
      <c r="J15" s="0" t="n">
        <f aca="false">J13-MAX(0,J13)*J14/100</f>
        <v>138220.829037251</v>
      </c>
      <c r="K15" s="0" t="n">
        <f aca="false">K13-MAX(0,K13)*K14/100</f>
        <v>140294.14147281</v>
      </c>
      <c r="L15" s="0" t="n">
        <f aca="false">L13-MAX(0,L13)*L14/100</f>
        <v>142398.553594902</v>
      </c>
    </row>
    <row r="16" customFormat="false" ht="15" hidden="false" customHeight="false" outlineLevel="0" collapsed="false">
      <c r="A16" s="0" t="s">
        <v>124</v>
      </c>
      <c r="C16" s="0" t="n">
        <f aca="false">-C12</f>
        <v>42713.343999</v>
      </c>
      <c r="D16" s="0" t="n">
        <f aca="false">-D12</f>
        <v>45953.6666472</v>
      </c>
      <c r="E16" s="0" t="n">
        <f aca="false">-E12</f>
        <v>47332.276646616</v>
      </c>
      <c r="F16" s="0" t="n">
        <f aca="false">-F12</f>
        <v>48515.5835627814</v>
      </c>
      <c r="G16" s="0" t="n">
        <f aca="false">-G12</f>
        <v>49485.895234037</v>
      </c>
      <c r="H16" s="0" t="n">
        <f aca="false">-H12</f>
        <v>50475.6131387178</v>
      </c>
      <c r="I16" s="0" t="n">
        <f aca="false">-I12</f>
        <v>51485.1254014921</v>
      </c>
      <c r="J16" s="0" t="n">
        <f aca="false">-J12</f>
        <v>52257.4022825145</v>
      </c>
      <c r="K16" s="0" t="n">
        <f aca="false">-K12</f>
        <v>53041.2633167522</v>
      </c>
      <c r="L16" s="0" t="n">
        <f aca="false">-L12</f>
        <v>53836.8822665035</v>
      </c>
    </row>
    <row r="17" customFormat="false" ht="15" hidden="false" customHeight="false" outlineLevel="0" collapsed="false">
      <c r="A17" s="0" t="s">
        <v>125</v>
      </c>
      <c r="C17" s="4" t="n">
        <f aca="false">-C6*Assumptions!C32/100</f>
        <v>-103101.17517</v>
      </c>
      <c r="D17" s="4" t="n">
        <f aca="false">-D6*Assumptions!D32/100</f>
        <v>-107225.2221768</v>
      </c>
      <c r="E17" s="4" t="n">
        <f aca="false">-E6*Assumptions!E32/100</f>
        <v>-100975.523512781</v>
      </c>
      <c r="F17" s="4" t="n">
        <f aca="false">-F6*Assumptions!F32/100</f>
        <v>-97031.1671255628</v>
      </c>
      <c r="G17" s="4" t="n">
        <f aca="false">-G6*Assumptions!G32/100</f>
        <v>-98971.7904680741</v>
      </c>
      <c r="H17" s="4" t="n">
        <f aca="false">-H6*Assumptions!H32/100</f>
        <v>-100951.226277436</v>
      </c>
      <c r="I17" s="4" t="n">
        <f aca="false">-I6*Assumptions!I32/100</f>
        <v>-102970.250802984</v>
      </c>
      <c r="J17" s="4" t="n">
        <f aca="false">-J6*Assumptions!J32/100</f>
        <v>-104514.804565029</v>
      </c>
      <c r="K17" s="4" t="n">
        <f aca="false">-K6*Assumptions!K32/100</f>
        <v>-106082.526633504</v>
      </c>
      <c r="L17" s="4" t="n">
        <f aca="false">-L6*Assumptions!L32/100</f>
        <v>-107673.764533007</v>
      </c>
    </row>
    <row r="18" customFormat="false" ht="15" hidden="false" customHeight="false" outlineLevel="0" collapsed="false">
      <c r="A18" s="0" t="s">
        <v>126</v>
      </c>
      <c r="C18" s="4" t="n">
        <f aca="false">(C6-B6)*Assumptions!$B$37/100</f>
        <v>0</v>
      </c>
      <c r="D18" s="4" t="n">
        <f aca="false">(D6-C6)*Assumptions!$B$37/100</f>
        <v>0</v>
      </c>
      <c r="E18" s="4" t="n">
        <f aca="false">(E6-D6)*Assumptions!$B$37/100</f>
        <v>0</v>
      </c>
      <c r="F18" s="4" t="n">
        <f aca="false">(F6-E6)*Assumptions!$B$37/100</f>
        <v>0</v>
      </c>
      <c r="G18" s="4" t="n">
        <f aca="false">(G6-F6)*Assumptions!$B$37/100</f>
        <v>0</v>
      </c>
      <c r="H18" s="4" t="n">
        <f aca="false">(H6-G6)*Assumptions!$B$37/100</f>
        <v>0</v>
      </c>
      <c r="I18" s="4" t="n">
        <f aca="false">(I6-H6)*Assumptions!$B$37/100</f>
        <v>0</v>
      </c>
      <c r="J18" s="4" t="n">
        <f aca="false">(J6-I6)*Assumptions!$B$37/100</f>
        <v>0</v>
      </c>
      <c r="K18" s="4" t="n">
        <f aca="false">(K6-J6)*Assumptions!$B$37/100</f>
        <v>0</v>
      </c>
      <c r="L18" s="4" t="n">
        <f aca="false">(L6-K6)*Assumptions!$B$37/100</f>
        <v>0</v>
      </c>
    </row>
    <row r="19" customFormat="false" ht="15" hidden="false" customHeight="false" outlineLevel="0" collapsed="false">
      <c r="A19" s="0" t="s">
        <v>127</v>
      </c>
      <c r="C19" s="0" t="n">
        <f aca="false">C15+C16+C17+C18</f>
        <v>63598.69634058</v>
      </c>
      <c r="D19" s="0" t="n">
        <f aca="false">D15+D16+D17+D18</f>
        <v>63446.6957509008</v>
      </c>
      <c r="E19" s="0" t="n">
        <f aca="false">E15+E16+E17+E18</f>
        <v>72639.2672270067</v>
      </c>
      <c r="F19" s="0" t="n">
        <f aca="false">F15+F16+F17+F18</f>
        <v>79808.1349607754</v>
      </c>
      <c r="G19" s="0" t="n">
        <f aca="false">G15+G16+G17+G18</f>
        <v>81404.2976599909</v>
      </c>
      <c r="H19" s="0" t="n">
        <f aca="false">H15+H16+H17+H18</f>
        <v>83032.3836131907</v>
      </c>
      <c r="I19" s="0" t="n">
        <f aca="false">I15+I16+I17+I18</f>
        <v>84693.0312854546</v>
      </c>
      <c r="J19" s="0" t="n">
        <f aca="false">J15+J16+J17+J18</f>
        <v>85963.4267547364</v>
      </c>
      <c r="K19" s="0" t="n">
        <f aca="false">K15+K16+K17+K18</f>
        <v>87252.8781560574</v>
      </c>
      <c r="L19" s="0" t="n">
        <f aca="false">L15+L16+L17+L18</f>
        <v>88561.6713283983</v>
      </c>
    </row>
    <row r="20" customFormat="false" ht="15" hidden="false" customHeight="false" outlineLevel="0" collapsed="false">
      <c r="A20" s="0" t="s">
        <v>128</v>
      </c>
      <c r="C20" s="0" t="n">
        <f aca="false">1/(1+$B$27/100)^C4</f>
        <v>0.930232558139535</v>
      </c>
      <c r="D20" s="0" t="n">
        <f aca="false">1/(1+$B$27/100)^D4</f>
        <v>0.865332612222823</v>
      </c>
      <c r="E20" s="0" t="n">
        <f aca="false">1/(1+$B$27/100)^E4</f>
        <v>0.804960569509603</v>
      </c>
      <c r="F20" s="0" t="n">
        <f aca="false">1/(1+$B$27/100)^F4</f>
        <v>0.748800529776375</v>
      </c>
      <c r="G20" s="0" t="n">
        <f aca="false">1/(1+$B$27/100)^G4</f>
        <v>0.696558632350116</v>
      </c>
      <c r="H20" s="0" t="n">
        <f aca="false">1/(1+$B$27/100)^H4</f>
        <v>0.647961518465224</v>
      </c>
      <c r="I20" s="0" t="n">
        <f aca="false">1/(1+$B$27/100)^I4</f>
        <v>0.602754900897883</v>
      </c>
      <c r="J20" s="0" t="n">
        <f aca="false">1/(1+$B$27/100)^J4</f>
        <v>0.56070223339338</v>
      </c>
      <c r="K20" s="0" t="n">
        <f aca="false">1/(1+$B$27/100)^K4</f>
        <v>0.521583472924074</v>
      </c>
      <c r="L20" s="0" t="n">
        <f aca="false">1/(1+$B$27/100)^L4</f>
        <v>0.485193928301464</v>
      </c>
    </row>
    <row r="21" customFormat="false" ht="15" hidden="false" customHeight="false" outlineLevel="0" collapsed="false">
      <c r="A21" s="0" t="s">
        <v>129</v>
      </c>
      <c r="C21" s="0" t="n">
        <f aca="false">C19*C20</f>
        <v>59161.5779912372</v>
      </c>
      <c r="D21" s="0" t="n">
        <f aca="false">D19*D20</f>
        <v>54902.4949710337</v>
      </c>
      <c r="E21" s="0" t="n">
        <f aca="false">E19*E20</f>
        <v>58471.7459158116</v>
      </c>
      <c r="F21" s="0" t="n">
        <f aca="false">F19*F20</f>
        <v>59760.373739093</v>
      </c>
      <c r="G21" s="0" t="n">
        <f aca="false">G19*G20</f>
        <v>56702.8662454651</v>
      </c>
      <c r="H21" s="0" t="n">
        <f aca="false">H19*H20</f>
        <v>53801.7893677901</v>
      </c>
      <c r="I21" s="0" t="n">
        <f aca="false">I19*I20</f>
        <v>51049.1396792055</v>
      </c>
      <c r="J21" s="0" t="n">
        <f aca="false">J19*J20</f>
        <v>48199.8853715289</v>
      </c>
      <c r="K21" s="0" t="n">
        <f aca="false">K19*K20</f>
        <v>45509.6592112575</v>
      </c>
      <c r="L21" s="0" t="n">
        <f aca="false">L19*L20</f>
        <v>42969.5852087687</v>
      </c>
    </row>
    <row r="23" customFormat="false" ht="15" hidden="false" customHeight="false" outlineLevel="0" collapsed="false">
      <c r="A23" s="0" t="s">
        <v>105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130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131</v>
      </c>
    </row>
    <row r="27" customFormat="false" ht="15" hidden="false" customHeight="false" outlineLevel="0" collapsed="false">
      <c r="A27" s="0" t="s">
        <v>109</v>
      </c>
      <c r="B27" s="4" t="n">
        <f aca="false">Assumptions!$B$34</f>
        <v>7.5</v>
      </c>
    </row>
    <row r="28" customFormat="false" ht="15" hidden="false" customHeight="false" outlineLevel="0" collapsed="false">
      <c r="A28" s="0" t="s">
        <v>110</v>
      </c>
      <c r="B28" s="4" t="n">
        <f aca="false">Assumptions!$B$35</f>
        <v>1</v>
      </c>
    </row>
    <row r="29" customFormat="false" ht="15" hidden="false" customHeight="false" outlineLevel="0" collapsed="false">
      <c r="A29" s="0" t="s">
        <v>111</v>
      </c>
      <c r="B29" s="4" t="n">
        <f aca="false">Assumptions!$B$36</f>
        <v>14</v>
      </c>
    </row>
    <row r="30" customFormat="false" ht="15" hidden="false" customHeight="false" outlineLevel="0" collapsed="false">
      <c r="A30" s="0" t="s">
        <v>132</v>
      </c>
      <c r="B30" s="0" t="n">
        <f aca="false">SUM(C21:L21)</f>
        <v>530529.117701191</v>
      </c>
    </row>
    <row r="31" customFormat="false" ht="15" hidden="false" customHeight="false" outlineLevel="0" collapsed="false">
      <c r="A31" s="0" t="s">
        <v>133</v>
      </c>
      <c r="B31" s="0" t="n">
        <f aca="false">L19</f>
        <v>88561.6713283983</v>
      </c>
    </row>
    <row r="32" customFormat="false" ht="15" hidden="false" customHeight="false" outlineLevel="0" collapsed="false">
      <c r="A32" s="0" t="s">
        <v>134</v>
      </c>
      <c r="B32" s="0" t="n">
        <f aca="false">IF(B27&gt;B28,B31*(1+B28/100)/((B27-B28)/100),B31*B29)</f>
        <v>1376112.12371819</v>
      </c>
    </row>
    <row r="33" customFormat="false" ht="15" hidden="false" customHeight="false" outlineLevel="0" collapsed="false">
      <c r="A33" s="0" t="s">
        <v>135</v>
      </c>
      <c r="B33" s="0" t="n">
        <f aca="false">B31*B29</f>
        <v>1239863.39859758</v>
      </c>
    </row>
    <row r="34" customFormat="false" ht="15" hidden="false" customHeight="false" outlineLevel="0" collapsed="false">
      <c r="A34" s="0" t="s">
        <v>136</v>
      </c>
      <c r="B34" s="0" t="n">
        <f aca="false">MAX(0,MIN(B32,B33))</f>
        <v>1239863.39859758</v>
      </c>
    </row>
    <row r="35" customFormat="false" ht="15" hidden="false" customHeight="false" outlineLevel="0" collapsed="false">
      <c r="A35" s="0" t="s">
        <v>137</v>
      </c>
      <c r="B35" s="0" t="n">
        <f aca="false">B34/(1+B27/100)^L4</f>
        <v>601574.192922762</v>
      </c>
    </row>
    <row r="36" customFormat="false" ht="15" hidden="false" customHeight="false" outlineLevel="0" collapsed="false">
      <c r="A36" s="0" t="s">
        <v>138</v>
      </c>
      <c r="B36" s="0" t="n">
        <f aca="false">B30+B35</f>
        <v>1132103.31062395</v>
      </c>
    </row>
    <row r="37" customFormat="false" ht="15" hidden="false" customHeight="false" outlineLevel="0" collapsed="false">
      <c r="A37" s="0" t="s">
        <v>139</v>
      </c>
      <c r="B37" s="0" t="n">
        <f aca="false">B36+Assumptions!$B$5-Assumptions!$B$4</f>
        <v>1412885.31062395</v>
      </c>
    </row>
    <row r="38" customFormat="false" ht="15" hidden="false" customHeight="false" outlineLevel="0" collapsed="false">
      <c r="A38" s="0" t="s">
        <v>140</v>
      </c>
      <c r="B38" s="0" t="n">
        <f aca="false">B37/Assumptions!$B$3*Assumptions!$B$10</f>
        <v>2055.34507378888</v>
      </c>
    </row>
    <row r="39" customFormat="false" ht="15" hidden="false" customHeight="false" outlineLevel="0" collapsed="false">
      <c r="A39" s="0" t="s">
        <v>141</v>
      </c>
      <c r="B39" s="4" t="n">
        <f aca="false">B38/Assumptions!$B$2-1</f>
        <v>-0.309011573780843</v>
      </c>
    </row>
    <row r="41" customFormat="false" ht="15" hidden="false" customHeight="false" outlineLevel="0" collapsed="false">
      <c r="A41" s="0" t="s">
        <v>142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143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144</v>
      </c>
      <c r="B43" s="0" t="n">
        <f aca="false">(B37+B41+B42)/Assumptions!$B$3*Assumptions!$B$10</f>
        <v>2055.34507378888</v>
      </c>
    </row>
    <row r="45" customFormat="false" ht="15" hidden="false" customHeight="false" outlineLevel="0" collapsed="false">
      <c r="A45" s="0" t="s">
        <v>85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145</v>
      </c>
      <c r="B46" s="0" t="n">
        <f aca="false">MAX(0,MIN(IF(B45&gt;B28,B31*(1+B28/100)/((B45-B28)/100),B31*B29),B31*B29))</f>
        <v>638909.20029773</v>
      </c>
    </row>
    <row r="47" customFormat="false" ht="15" hidden="false" customHeight="false" outlineLevel="0" collapsed="false">
      <c r="A47" s="0" t="s">
        <v>146</v>
      </c>
      <c r="B47" s="0" t="n">
        <f aca="false">(SUMPRODUCT(C19:L19/(1+B45/100)^C4:L4)+B46/(1+B45/100)^L4+Assumptions!$B$5-Assumptions!$B$4)/Assumptions!$B$3*Assumptions!$B$10</f>
        <v>1190.5164732585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148</v>
      </c>
    </row>
    <row r="3" customFormat="false" ht="15" hidden="false" customHeight="false" outlineLevel="0" collapsed="false">
      <c r="A3" s="0" t="s">
        <v>117</v>
      </c>
      <c r="B3" s="0" t="s">
        <v>78</v>
      </c>
      <c r="C3" s="2" t="s">
        <v>92</v>
      </c>
      <c r="D3" s="2" t="s">
        <v>93</v>
      </c>
      <c r="E3" s="2" t="s">
        <v>94</v>
      </c>
      <c r="F3" s="2" t="s">
        <v>95</v>
      </c>
      <c r="G3" s="2" t="s">
        <v>96</v>
      </c>
      <c r="H3" s="2" t="s">
        <v>97</v>
      </c>
      <c r="I3" s="2" t="s">
        <v>98</v>
      </c>
      <c r="J3" s="2" t="s">
        <v>99</v>
      </c>
      <c r="K3" s="2" t="s">
        <v>100</v>
      </c>
      <c r="L3" s="2" t="s">
        <v>101</v>
      </c>
    </row>
    <row r="4" customFormat="false" ht="15" hidden="false" customHeight="false" outlineLevel="0" collapsed="false">
      <c r="A4" s="0" t="s">
        <v>118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102</v>
      </c>
      <c r="C5" s="4" t="n">
        <f aca="false">Assumptions!C41</f>
        <v>15</v>
      </c>
      <c r="D5" s="4" t="n">
        <f aca="false">Assumptions!D41</f>
        <v>6</v>
      </c>
      <c r="E5" s="4" t="n">
        <f aca="false">Assumptions!E41</f>
        <v>5</v>
      </c>
      <c r="F5" s="4" t="n">
        <f aca="false">Assumptions!F41</f>
        <v>4</v>
      </c>
      <c r="G5" s="4" t="n">
        <f aca="false">Assumptions!G41</f>
        <v>3</v>
      </c>
      <c r="H5" s="4" t="n">
        <f aca="false">Assumptions!H41</f>
        <v>3</v>
      </c>
      <c r="I5" s="4" t="n">
        <f aca="false">Assumptions!I41</f>
        <v>2.5</v>
      </c>
      <c r="J5" s="4" t="n">
        <f aca="false">Assumptions!J41</f>
        <v>2.5</v>
      </c>
      <c r="K5" s="4" t="n">
        <f aca="false">Assumptions!K41</f>
        <v>2</v>
      </c>
      <c r="L5" s="4" t="n">
        <f aca="false">Assumptions!L41</f>
        <v>2</v>
      </c>
    </row>
    <row r="6" customFormat="false" ht="15" hidden="false" customHeight="false" outlineLevel="0" collapsed="false">
      <c r="A6" s="0" t="s">
        <v>37</v>
      </c>
      <c r="B6" s="3" t="n">
        <v>2586258</v>
      </c>
      <c r="C6" s="0" t="n">
        <f aca="false">B6*(1+C5/100)</f>
        <v>2974196.7</v>
      </c>
      <c r="D6" s="0" t="n">
        <f aca="false">C6*(1+D5/100)</f>
        <v>3152648.502</v>
      </c>
      <c r="E6" s="0" t="n">
        <f aca="false">D6*(1+E5/100)</f>
        <v>3310280.9271</v>
      </c>
      <c r="F6" s="0" t="n">
        <f aca="false">E6*(1+F5/100)</f>
        <v>3442692.164184</v>
      </c>
      <c r="G6" s="0" t="n">
        <f aca="false">F6*(1+G5/100)</f>
        <v>3545972.92910952</v>
      </c>
      <c r="H6" s="0" t="n">
        <f aca="false">G6*(1+H5/100)</f>
        <v>3652352.11698281</v>
      </c>
      <c r="I6" s="0" t="n">
        <f aca="false">H6*(1+I5/100)</f>
        <v>3743660.91990738</v>
      </c>
      <c r="J6" s="0" t="n">
        <f aca="false">I6*(1+J5/100)</f>
        <v>3837252.44290506</v>
      </c>
      <c r="K6" s="0" t="n">
        <f aca="false">J6*(1+K5/100)</f>
        <v>3913997.49176316</v>
      </c>
      <c r="L6" s="0" t="n">
        <f aca="false">K6*(1+L5/100)</f>
        <v>3992277.44159842</v>
      </c>
    </row>
    <row r="7" customFormat="false" ht="15" hidden="false" customHeight="false" outlineLevel="0" collapsed="false">
      <c r="A7" s="0" t="s">
        <v>103</v>
      </c>
      <c r="C7" s="4" t="n">
        <f aca="false">Assumptions!C42</f>
        <v>8</v>
      </c>
      <c r="D7" s="4" t="n">
        <f aca="false">Assumptions!D42</f>
        <v>8.3</v>
      </c>
      <c r="E7" s="4" t="n">
        <f aca="false">Assumptions!E42</f>
        <v>8.5</v>
      </c>
      <c r="F7" s="4" t="n">
        <f aca="false">Assumptions!F42</f>
        <v>8.5</v>
      </c>
      <c r="G7" s="4" t="n">
        <f aca="false">Assumptions!G42</f>
        <v>8.5</v>
      </c>
      <c r="H7" s="4" t="n">
        <f aca="false">Assumptions!H42</f>
        <v>8.5</v>
      </c>
      <c r="I7" s="4" t="n">
        <f aca="false">Assumptions!I42</f>
        <v>8.5</v>
      </c>
      <c r="J7" s="4" t="n">
        <f aca="false">Assumptions!J42</f>
        <v>8.5</v>
      </c>
      <c r="K7" s="4" t="n">
        <f aca="false">Assumptions!K42</f>
        <v>8.5</v>
      </c>
      <c r="L7" s="4" t="n">
        <f aca="false">Assumptions!L42</f>
        <v>8.5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237935.736</v>
      </c>
      <c r="D8" s="0" t="n">
        <f aca="false">D6*D7/100</f>
        <v>261669.825666</v>
      </c>
      <c r="E8" s="0" t="n">
        <f aca="false">E6*E7/100</f>
        <v>281373.8788035</v>
      </c>
      <c r="F8" s="0" t="n">
        <f aca="false">F6*F7/100</f>
        <v>292628.83395564</v>
      </c>
      <c r="G8" s="0" t="n">
        <f aca="false">G6*G7/100</f>
        <v>301407.698974309</v>
      </c>
      <c r="H8" s="0" t="n">
        <f aca="false">H6*H7/100</f>
        <v>310449.929943538</v>
      </c>
      <c r="I8" s="0" t="n">
        <f aca="false">I6*I7/100</f>
        <v>318211.178192127</v>
      </c>
      <c r="J8" s="0" t="n">
        <f aca="false">J6*J7/100</f>
        <v>326166.45764693</v>
      </c>
      <c r="K8" s="0" t="n">
        <f aca="false">K6*K7/100</f>
        <v>332689.786799869</v>
      </c>
      <c r="L8" s="0" t="n">
        <f aca="false">L6*L7/100</f>
        <v>339343.582535866</v>
      </c>
    </row>
    <row r="9" customFormat="false" ht="15" hidden="false" customHeight="false" outlineLevel="0" collapsed="false">
      <c r="A9" s="0" t="s">
        <v>104</v>
      </c>
      <c r="C9" s="4" t="n">
        <f aca="false">Assumptions!C43</f>
        <v>0</v>
      </c>
      <c r="D9" s="4" t="n">
        <f aca="false">Assumptions!D43</f>
        <v>0</v>
      </c>
      <c r="E9" s="4" t="n">
        <f aca="false">Assumptions!E43</f>
        <v>0</v>
      </c>
      <c r="F9" s="4" t="n">
        <f aca="false">Assumptions!F43</f>
        <v>0</v>
      </c>
      <c r="G9" s="4" t="n">
        <f aca="false">Assumptions!G43</f>
        <v>0</v>
      </c>
      <c r="H9" s="4" t="n">
        <f aca="false">Assumptions!H43</f>
        <v>0</v>
      </c>
      <c r="I9" s="4" t="n">
        <f aca="false">Assumptions!I43</f>
        <v>0</v>
      </c>
      <c r="J9" s="4" t="n">
        <f aca="false">Assumptions!J43</f>
        <v>0</v>
      </c>
      <c r="K9" s="4" t="n">
        <f aca="false">Assumptions!K43</f>
        <v>0</v>
      </c>
      <c r="L9" s="4" t="n">
        <f aca="false">Assumptions!L43</f>
        <v>0</v>
      </c>
    </row>
    <row r="10" customFormat="false" ht="15" hidden="false" customHeight="false" outlineLevel="0" collapsed="false">
      <c r="A10" s="0" t="s">
        <v>119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120</v>
      </c>
      <c r="C11" s="0" t="n">
        <f aca="false">C8+C10+C24</f>
        <v>237935.736</v>
      </c>
      <c r="D11" s="0" t="n">
        <f aca="false">D8+D10+D24</f>
        <v>261669.825666</v>
      </c>
      <c r="E11" s="0" t="n">
        <f aca="false">E8+E10+E24</f>
        <v>281373.8788035</v>
      </c>
      <c r="F11" s="0" t="n">
        <f aca="false">F8+F10+F24</f>
        <v>292628.83395564</v>
      </c>
      <c r="G11" s="0" t="n">
        <f aca="false">G8+G10+G24</f>
        <v>301407.698974309</v>
      </c>
      <c r="H11" s="0" t="n">
        <f aca="false">H8+H10+H24</f>
        <v>310449.929943538</v>
      </c>
      <c r="I11" s="0" t="n">
        <f aca="false">I8+I10+I24</f>
        <v>318211.178192127</v>
      </c>
      <c r="J11" s="0" t="n">
        <f aca="false">J8+J10+J24</f>
        <v>326166.45764693</v>
      </c>
      <c r="K11" s="0" t="n">
        <f aca="false">K8+K10+K24</f>
        <v>332689.786799869</v>
      </c>
      <c r="L11" s="0" t="n">
        <f aca="false">L8+L10+L24</f>
        <v>339343.582535866</v>
      </c>
    </row>
    <row r="12" customFormat="false" ht="15" hidden="false" customHeight="false" outlineLevel="0" collapsed="false">
      <c r="A12" s="0" t="s">
        <v>121</v>
      </c>
      <c r="C12" s="4" t="n">
        <f aca="false">-C6*Assumptions!C45/100</f>
        <v>-43125.85215</v>
      </c>
      <c r="D12" s="4" t="n">
        <f aca="false">-D6*Assumptions!D45/100</f>
        <v>-47289.72753</v>
      </c>
      <c r="E12" s="4" t="n">
        <f aca="false">-E6*Assumptions!E45/100</f>
        <v>-49654.2139065</v>
      </c>
      <c r="F12" s="4" t="n">
        <f aca="false">-F6*Assumptions!F45/100</f>
        <v>-51640.38246276</v>
      </c>
      <c r="G12" s="4" t="n">
        <f aca="false">-G6*Assumptions!G45/100</f>
        <v>-53189.5939366428</v>
      </c>
      <c r="H12" s="4" t="n">
        <f aca="false">-H6*Assumptions!H45/100</f>
        <v>-54785.2817547421</v>
      </c>
      <c r="I12" s="4" t="n">
        <f aca="false">-I6*Assumptions!I45/100</f>
        <v>-56154.9137986106</v>
      </c>
      <c r="J12" s="4" t="n">
        <f aca="false">-J6*Assumptions!J45/100</f>
        <v>-57558.7866435759</v>
      </c>
      <c r="K12" s="4" t="n">
        <f aca="false">-K6*Assumptions!K45/100</f>
        <v>-58709.9623764474</v>
      </c>
      <c r="L12" s="4" t="n">
        <f aca="false">-L6*Assumptions!L45/100</f>
        <v>-59884.1616239764</v>
      </c>
    </row>
    <row r="13" customFormat="false" ht="15" hidden="false" customHeight="false" outlineLevel="0" collapsed="false">
      <c r="A13" s="0" t="s">
        <v>122</v>
      </c>
      <c r="C13" s="0" t="n">
        <f aca="false">C11+C12</f>
        <v>194809.88385</v>
      </c>
      <c r="D13" s="0" t="n">
        <f aca="false">D11+D12</f>
        <v>214380.098136</v>
      </c>
      <c r="E13" s="0" t="n">
        <f aca="false">E11+E12</f>
        <v>231719.664897</v>
      </c>
      <c r="F13" s="0" t="n">
        <f aca="false">F11+F12</f>
        <v>240988.45149288</v>
      </c>
      <c r="G13" s="0" t="n">
        <f aca="false">G11+G12</f>
        <v>248218.105037666</v>
      </c>
      <c r="H13" s="0" t="n">
        <f aca="false">H11+H12</f>
        <v>255664.648188796</v>
      </c>
      <c r="I13" s="0" t="n">
        <f aca="false">I11+I12</f>
        <v>262056.264393516</v>
      </c>
      <c r="J13" s="0" t="n">
        <f aca="false">J11+J12</f>
        <v>268607.671003354</v>
      </c>
      <c r="K13" s="0" t="n">
        <f aca="false">K11+K12</f>
        <v>273979.824423421</v>
      </c>
      <c r="L13" s="0" t="n">
        <f aca="false">L11+L12</f>
        <v>279459.42091189</v>
      </c>
    </row>
    <row r="14" customFormat="false" ht="15" hidden="false" customHeight="false" outlineLevel="0" collapsed="false">
      <c r="A14" s="0" t="s">
        <v>108</v>
      </c>
      <c r="C14" s="4" t="n">
        <f aca="false">Assumptions!C47</f>
        <v>30.6</v>
      </c>
      <c r="D14" s="4" t="n">
        <f aca="false">Assumptions!D47</f>
        <v>30.6</v>
      </c>
      <c r="E14" s="4" t="n">
        <f aca="false">Assumptions!E47</f>
        <v>30.6</v>
      </c>
      <c r="F14" s="4" t="n">
        <f aca="false">Assumptions!F47</f>
        <v>30.6</v>
      </c>
      <c r="G14" s="4" t="n">
        <f aca="false">Assumptions!G47</f>
        <v>30.6</v>
      </c>
      <c r="H14" s="4" t="n">
        <f aca="false">Assumptions!H47</f>
        <v>30.6</v>
      </c>
      <c r="I14" s="4" t="n">
        <f aca="false">Assumptions!I47</f>
        <v>30.6</v>
      </c>
      <c r="J14" s="4" t="n">
        <f aca="false">Assumptions!J47</f>
        <v>30.6</v>
      </c>
      <c r="K14" s="4" t="n">
        <f aca="false">Assumptions!K47</f>
        <v>30.6</v>
      </c>
      <c r="L14" s="4" t="n">
        <f aca="false">Assumptions!L47</f>
        <v>30.6</v>
      </c>
    </row>
    <row r="15" customFormat="false" ht="15" hidden="false" customHeight="false" outlineLevel="0" collapsed="false">
      <c r="A15" s="0" t="s">
        <v>123</v>
      </c>
      <c r="C15" s="0" t="n">
        <f aca="false">C13-MAX(0,C13)*C14/100</f>
        <v>135198.0593919</v>
      </c>
      <c r="D15" s="0" t="n">
        <f aca="false">D13-MAX(0,D13)*D14/100</f>
        <v>148779.788106384</v>
      </c>
      <c r="E15" s="0" t="n">
        <f aca="false">E13-MAX(0,E13)*E14/100</f>
        <v>160813.447438518</v>
      </c>
      <c r="F15" s="0" t="n">
        <f aca="false">F13-MAX(0,F13)*F14/100</f>
        <v>167245.985336059</v>
      </c>
      <c r="G15" s="0" t="n">
        <f aca="false">G13-MAX(0,G13)*G14/100</f>
        <v>172263.36489614</v>
      </c>
      <c r="H15" s="0" t="n">
        <f aca="false">H13-MAX(0,H13)*H14/100</f>
        <v>177431.265843025</v>
      </c>
      <c r="I15" s="0" t="n">
        <f aca="false">I13-MAX(0,I13)*I14/100</f>
        <v>181867.0474891</v>
      </c>
      <c r="J15" s="0" t="n">
        <f aca="false">J13-MAX(0,J13)*J14/100</f>
        <v>186413.723676328</v>
      </c>
      <c r="K15" s="0" t="n">
        <f aca="false">K13-MAX(0,K13)*K14/100</f>
        <v>190141.998149854</v>
      </c>
      <c r="L15" s="0" t="n">
        <f aca="false">L13-MAX(0,L13)*L14/100</f>
        <v>193944.838112851</v>
      </c>
    </row>
    <row r="16" customFormat="false" ht="15" hidden="false" customHeight="false" outlineLevel="0" collapsed="false">
      <c r="A16" s="0" t="s">
        <v>124</v>
      </c>
      <c r="C16" s="0" t="n">
        <f aca="false">-C12</f>
        <v>43125.85215</v>
      </c>
      <c r="D16" s="0" t="n">
        <f aca="false">-D12</f>
        <v>47289.72753</v>
      </c>
      <c r="E16" s="0" t="n">
        <f aca="false">-E12</f>
        <v>49654.2139065</v>
      </c>
      <c r="F16" s="0" t="n">
        <f aca="false">-F12</f>
        <v>51640.38246276</v>
      </c>
      <c r="G16" s="0" t="n">
        <f aca="false">-G12</f>
        <v>53189.5939366428</v>
      </c>
      <c r="H16" s="0" t="n">
        <f aca="false">-H12</f>
        <v>54785.2817547421</v>
      </c>
      <c r="I16" s="0" t="n">
        <f aca="false">-I12</f>
        <v>56154.9137986106</v>
      </c>
      <c r="J16" s="0" t="n">
        <f aca="false">-J12</f>
        <v>57558.7866435759</v>
      </c>
      <c r="K16" s="0" t="n">
        <f aca="false">-K12</f>
        <v>58709.9623764474</v>
      </c>
      <c r="L16" s="0" t="n">
        <f aca="false">-L12</f>
        <v>59884.1616239764</v>
      </c>
    </row>
    <row r="17" customFormat="false" ht="15" hidden="false" customHeight="false" outlineLevel="0" collapsed="false">
      <c r="A17" s="0" t="s">
        <v>125</v>
      </c>
      <c r="C17" s="4" t="n">
        <f aca="false">-C6*Assumptions!C46/100</f>
        <v>-104096.8845</v>
      </c>
      <c r="D17" s="4" t="n">
        <f aca="false">-D6*Assumptions!D46/100</f>
        <v>-104037.400566</v>
      </c>
      <c r="E17" s="4" t="n">
        <f aca="false">-E6*Assumptions!E46/100</f>
        <v>-99308.427813</v>
      </c>
      <c r="F17" s="4" t="n">
        <f aca="false">-F6*Assumptions!F46/100</f>
        <v>-96395.380597152</v>
      </c>
      <c r="G17" s="4" t="n">
        <f aca="false">-G6*Assumptions!G46/100</f>
        <v>-99287.2420150666</v>
      </c>
      <c r="H17" s="4" t="n">
        <f aca="false">-H6*Assumptions!H46/100</f>
        <v>-102265.859275519</v>
      </c>
      <c r="I17" s="4" t="n">
        <f aca="false">-I6*Assumptions!I46/100</f>
        <v>-104822.505757407</v>
      </c>
      <c r="J17" s="4" t="n">
        <f aca="false">-J6*Assumptions!J46/100</f>
        <v>-107443.068401342</v>
      </c>
      <c r="K17" s="4" t="n">
        <f aca="false">-K6*Assumptions!K46/100</f>
        <v>-109591.929769369</v>
      </c>
      <c r="L17" s="4" t="n">
        <f aca="false">-L6*Assumptions!L46/100</f>
        <v>-111783.768364756</v>
      </c>
    </row>
    <row r="18" customFormat="false" ht="15" hidden="false" customHeight="false" outlineLevel="0" collapsed="false">
      <c r="A18" s="0" t="s">
        <v>126</v>
      </c>
      <c r="C18" s="4" t="n">
        <f aca="false">(C6-B6)*Assumptions!$B$51/100</f>
        <v>0</v>
      </c>
      <c r="D18" s="4" t="n">
        <f aca="false">(D6-C6)*Assumptions!$B$51/100</f>
        <v>0</v>
      </c>
      <c r="E18" s="4" t="n">
        <f aca="false">(E6-D6)*Assumptions!$B$51/100</f>
        <v>0</v>
      </c>
      <c r="F18" s="4" t="n">
        <f aca="false">(F6-E6)*Assumptions!$B$51/100</f>
        <v>0</v>
      </c>
      <c r="G18" s="4" t="n">
        <f aca="false">(G6-F6)*Assumptions!$B$51/100</f>
        <v>0</v>
      </c>
      <c r="H18" s="4" t="n">
        <f aca="false">(H6-G6)*Assumptions!$B$51/100</f>
        <v>0</v>
      </c>
      <c r="I18" s="4" t="n">
        <f aca="false">(I6-H6)*Assumptions!$B$51/100</f>
        <v>0</v>
      </c>
      <c r="J18" s="4" t="n">
        <f aca="false">(J6-I6)*Assumptions!$B$51/100</f>
        <v>0</v>
      </c>
      <c r="K18" s="4" t="n">
        <f aca="false">(K6-J6)*Assumptions!$B$51/100</f>
        <v>0</v>
      </c>
      <c r="L18" s="4" t="n">
        <f aca="false">(L6-K6)*Assumptions!$B$51/100</f>
        <v>0</v>
      </c>
    </row>
    <row r="19" customFormat="false" ht="15" hidden="false" customHeight="false" outlineLevel="0" collapsed="false">
      <c r="A19" s="0" t="s">
        <v>127</v>
      </c>
      <c r="C19" s="0" t="n">
        <f aca="false">C15+C16+C17+C18</f>
        <v>74227.0270419</v>
      </c>
      <c r="D19" s="0" t="n">
        <f aca="false">D15+D16+D17+D18</f>
        <v>92032.115070384</v>
      </c>
      <c r="E19" s="0" t="n">
        <f aca="false">E15+E16+E17+E18</f>
        <v>111159.233532018</v>
      </c>
      <c r="F19" s="0" t="n">
        <f aca="false">F15+F16+F17+F18</f>
        <v>122490.987201667</v>
      </c>
      <c r="G19" s="0" t="n">
        <f aca="false">G15+G16+G17+G18</f>
        <v>126165.716817717</v>
      </c>
      <c r="H19" s="0" t="n">
        <f aca="false">H15+H16+H17+H18</f>
        <v>129950.688322248</v>
      </c>
      <c r="I19" s="0" t="n">
        <f aca="false">I15+I16+I17+I18</f>
        <v>133199.455530304</v>
      </c>
      <c r="J19" s="0" t="n">
        <f aca="false">J15+J16+J17+J18</f>
        <v>136529.441918562</v>
      </c>
      <c r="K19" s="0" t="n">
        <f aca="false">K15+K16+K17+K18</f>
        <v>139260.030756933</v>
      </c>
      <c r="L19" s="0" t="n">
        <f aca="false">L15+L16+L17+L18</f>
        <v>142045.231372072</v>
      </c>
    </row>
    <row r="20" customFormat="false" ht="15" hidden="false" customHeight="false" outlineLevel="0" collapsed="false">
      <c r="A20" s="0" t="s">
        <v>128</v>
      </c>
      <c r="C20" s="0" t="n">
        <f aca="false">1/(1+$B$27/100)^C4</f>
        <v>0.930232558139535</v>
      </c>
      <c r="D20" s="0" t="n">
        <f aca="false">1/(1+$B$27/100)^D4</f>
        <v>0.865332612222823</v>
      </c>
      <c r="E20" s="0" t="n">
        <f aca="false">1/(1+$B$27/100)^E4</f>
        <v>0.804960569509603</v>
      </c>
      <c r="F20" s="0" t="n">
        <f aca="false">1/(1+$B$27/100)^F4</f>
        <v>0.748800529776375</v>
      </c>
      <c r="G20" s="0" t="n">
        <f aca="false">1/(1+$B$27/100)^G4</f>
        <v>0.696558632350116</v>
      </c>
      <c r="H20" s="0" t="n">
        <f aca="false">1/(1+$B$27/100)^H4</f>
        <v>0.647961518465224</v>
      </c>
      <c r="I20" s="0" t="n">
        <f aca="false">1/(1+$B$27/100)^I4</f>
        <v>0.602754900897883</v>
      </c>
      <c r="J20" s="0" t="n">
        <f aca="false">1/(1+$B$27/100)^J4</f>
        <v>0.56070223339338</v>
      </c>
      <c r="K20" s="0" t="n">
        <f aca="false">1/(1+$B$27/100)^K4</f>
        <v>0.521583472924074</v>
      </c>
      <c r="L20" s="0" t="n">
        <f aca="false">1/(1+$B$27/100)^L4</f>
        <v>0.485193928301464</v>
      </c>
    </row>
    <row r="21" customFormat="false" ht="15" hidden="false" customHeight="false" outlineLevel="0" collapsed="false">
      <c r="A21" s="0" t="s">
        <v>129</v>
      </c>
      <c r="C21" s="0" t="n">
        <f aca="false">C19*C20</f>
        <v>69048.3972482791</v>
      </c>
      <c r="D21" s="0" t="n">
        <f aca="false">D19*D20</f>
        <v>79638.3905422469</v>
      </c>
      <c r="E21" s="0" t="n">
        <f aca="false">E19*E20</f>
        <v>89478.7999301842</v>
      </c>
      <c r="F21" s="0" t="n">
        <f aca="false">F19*F20</f>
        <v>91721.3161094392</v>
      </c>
      <c r="G21" s="0" t="n">
        <f aca="false">G19*G20</f>
        <v>87881.8191560208</v>
      </c>
      <c r="H21" s="0" t="n">
        <f aca="false">H19*H20</f>
        <v>84203.0453308851</v>
      </c>
      <c r="I21" s="0" t="n">
        <f aca="false">I19*I20</f>
        <v>80286.6246178207</v>
      </c>
      <c r="J21" s="0" t="n">
        <f aca="false">J19*J20</f>
        <v>76552.3630076894</v>
      </c>
      <c r="K21" s="0" t="n">
        <f aca="false">K19*K20</f>
        <v>72635.7304817147</v>
      </c>
      <c r="L21" s="0" t="n">
        <f aca="false">L19*L20</f>
        <v>68919.483805906</v>
      </c>
    </row>
    <row r="23" customFormat="false" ht="15" hidden="false" customHeight="false" outlineLevel="0" collapsed="false">
      <c r="A23" s="0" t="s">
        <v>105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130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131</v>
      </c>
    </row>
    <row r="27" customFormat="false" ht="15" hidden="false" customHeight="false" outlineLevel="0" collapsed="false">
      <c r="A27" s="0" t="s">
        <v>109</v>
      </c>
      <c r="B27" s="4" t="n">
        <f aca="false">Assumptions!$B$48</f>
        <v>7.5</v>
      </c>
    </row>
    <row r="28" customFormat="false" ht="15" hidden="false" customHeight="false" outlineLevel="0" collapsed="false">
      <c r="A28" s="0" t="s">
        <v>110</v>
      </c>
      <c r="B28" s="4" t="n">
        <f aca="false">Assumptions!$B$49</f>
        <v>1.5</v>
      </c>
    </row>
    <row r="29" customFormat="false" ht="15" hidden="false" customHeight="false" outlineLevel="0" collapsed="false">
      <c r="A29" s="0" t="s">
        <v>111</v>
      </c>
      <c r="B29" s="4" t="n">
        <f aca="false">Assumptions!$B$50</f>
        <v>14</v>
      </c>
    </row>
    <row r="30" customFormat="false" ht="15" hidden="false" customHeight="false" outlineLevel="0" collapsed="false">
      <c r="A30" s="0" t="s">
        <v>132</v>
      </c>
      <c r="B30" s="0" t="n">
        <f aca="false">SUM(C21:L21)</f>
        <v>800365.970230186</v>
      </c>
    </row>
    <row r="31" customFormat="false" ht="15" hidden="false" customHeight="false" outlineLevel="0" collapsed="false">
      <c r="A31" s="0" t="s">
        <v>133</v>
      </c>
      <c r="B31" s="0" t="n">
        <f aca="false">L19</f>
        <v>142045.231372072</v>
      </c>
    </row>
    <row r="32" customFormat="false" ht="15" hidden="false" customHeight="false" outlineLevel="0" collapsed="false">
      <c r="A32" s="0" t="s">
        <v>134</v>
      </c>
      <c r="B32" s="0" t="n">
        <f aca="false">IF(B27&gt;B28,B31*(1+B28/100)/((B27-B28)/100),B31*B29)</f>
        <v>2402931.83071088</v>
      </c>
    </row>
    <row r="33" customFormat="false" ht="15" hidden="false" customHeight="false" outlineLevel="0" collapsed="false">
      <c r="A33" s="0" t="s">
        <v>135</v>
      </c>
      <c r="B33" s="0" t="n">
        <f aca="false">B31*B29</f>
        <v>1988633.23920901</v>
      </c>
    </row>
    <row r="34" customFormat="false" ht="15" hidden="false" customHeight="false" outlineLevel="0" collapsed="false">
      <c r="A34" s="0" t="s">
        <v>136</v>
      </c>
      <c r="B34" s="0" t="n">
        <f aca="false">MAX(0,MIN(B32,B33))</f>
        <v>1988633.23920901</v>
      </c>
    </row>
    <row r="35" customFormat="false" ht="15" hidden="false" customHeight="false" outlineLevel="0" collapsed="false">
      <c r="A35" s="0" t="s">
        <v>137</v>
      </c>
      <c r="B35" s="0" t="n">
        <f aca="false">B34/(1+B27/100)^L4</f>
        <v>964872.773282684</v>
      </c>
    </row>
    <row r="36" customFormat="false" ht="15" hidden="false" customHeight="false" outlineLevel="0" collapsed="false">
      <c r="A36" s="0" t="s">
        <v>138</v>
      </c>
      <c r="B36" s="0" t="n">
        <f aca="false">B30+B35</f>
        <v>1765238.74351287</v>
      </c>
    </row>
    <row r="37" customFormat="false" ht="15" hidden="false" customHeight="false" outlineLevel="0" collapsed="false">
      <c r="A37" s="0" t="s">
        <v>139</v>
      </c>
      <c r="B37" s="0" t="n">
        <f aca="false">B36+Assumptions!$B$5-Assumptions!$B$4</f>
        <v>2046020.74351287</v>
      </c>
    </row>
    <row r="38" customFormat="false" ht="15" hidden="false" customHeight="false" outlineLevel="0" collapsed="false">
      <c r="A38" s="0" t="s">
        <v>140</v>
      </c>
      <c r="B38" s="0" t="n">
        <f aca="false">B37/Assumptions!$B$3*Assumptions!$B$10</f>
        <v>2976.37651437676</v>
      </c>
    </row>
    <row r="39" customFormat="false" ht="15" hidden="false" customHeight="false" outlineLevel="0" collapsed="false">
      <c r="A39" s="0" t="s">
        <v>141</v>
      </c>
      <c r="B39" s="4" t="n">
        <f aca="false">B38/Assumptions!$B$2-1</f>
        <v>0.00063086716313876</v>
      </c>
    </row>
    <row r="41" customFormat="false" ht="15" hidden="false" customHeight="false" outlineLevel="0" collapsed="false">
      <c r="A41" s="0" t="s">
        <v>142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143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144</v>
      </c>
      <c r="B43" s="0" t="n">
        <f aca="false">(B37+B41+B42)/Assumptions!$B$3*Assumptions!$B$10</f>
        <v>2976.37651437676</v>
      </c>
    </row>
    <row r="45" customFormat="false" ht="15" hidden="false" customHeight="false" outlineLevel="0" collapsed="false">
      <c r="A45" s="0" t="s">
        <v>85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145</v>
      </c>
      <c r="B46" s="0" t="n">
        <f aca="false">MAX(0,MIN(IF(B45&gt;B28,B31*(1+B28/100)/((B45-B28)/100),B31*B29),B31*B29))</f>
        <v>1067969.70253817</v>
      </c>
    </row>
    <row r="47" customFormat="false" ht="15" hidden="false" customHeight="false" outlineLevel="0" collapsed="false">
      <c r="A47" s="0" t="s">
        <v>146</v>
      </c>
      <c r="B47" s="0" t="n">
        <f aca="false">(SUMPRODUCT(C19:L19/(1+B45/100)^C4:L4)+B46/(1+B45/100)^L4+Assumptions!$B$5-Assumptions!$B$4)/Assumptions!$B$3*Assumptions!$B$10</f>
        <v>1615.22532592959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149</v>
      </c>
    </row>
    <row r="3" customFormat="false" ht="15" hidden="false" customHeight="false" outlineLevel="0" collapsed="false">
      <c r="A3" s="2" t="s">
        <v>150</v>
      </c>
      <c r="B3" s="2" t="s">
        <v>151</v>
      </c>
      <c r="C3" s="2" t="s">
        <v>141</v>
      </c>
      <c r="D3" s="2" t="s">
        <v>152</v>
      </c>
      <c r="E3" s="2" t="s">
        <v>144</v>
      </c>
      <c r="F3" s="2" t="s">
        <v>153</v>
      </c>
    </row>
    <row r="4" customFormat="false" ht="15" hidden="false" customHeight="false" outlineLevel="0" collapsed="false">
      <c r="A4" s="0" t="s">
        <v>154</v>
      </c>
      <c r="B4" s="4" t="n">
        <f aca="false">DCF_Bear!$B$38</f>
        <v>1170.24317303882</v>
      </c>
      <c r="C4" s="0" t="n">
        <f aca="false">B4/Assumptions!$B$2-1</f>
        <v>-0.606574828361465</v>
      </c>
      <c r="D4" s="4" t="n">
        <f aca="false">Assumptions!$B$24</f>
        <v>0.3</v>
      </c>
      <c r="E4" s="4" t="n">
        <f aca="false">DCF_Bear!$B$43</f>
        <v>1170.24317303882</v>
      </c>
      <c r="F4" s="4" t="n">
        <f aca="false">DCF_Bear!$B$47</f>
        <v>792.341315997874</v>
      </c>
    </row>
    <row r="5" customFormat="false" ht="15" hidden="false" customHeight="false" outlineLevel="0" collapsed="false">
      <c r="A5" s="0" t="s">
        <v>155</v>
      </c>
      <c r="B5" s="4" t="n">
        <f aca="false">DCF_Base!$B$38</f>
        <v>2055.34507378888</v>
      </c>
      <c r="C5" s="0" t="n">
        <f aca="false">B5/Assumptions!$B$2-1</f>
        <v>-0.309011573780843</v>
      </c>
      <c r="D5" s="4" t="n">
        <f aca="false">Assumptions!$B$38</f>
        <v>0.5</v>
      </c>
      <c r="E5" s="4" t="n">
        <f aca="false">DCF_Base!$B$43</f>
        <v>2055.34507378888</v>
      </c>
      <c r="F5" s="4" t="n">
        <f aca="false">DCF_Base!$B$47</f>
        <v>1190.5164732585</v>
      </c>
    </row>
    <row r="6" customFormat="false" ht="15" hidden="false" customHeight="false" outlineLevel="0" collapsed="false">
      <c r="A6" s="0" t="s">
        <v>156</v>
      </c>
      <c r="B6" s="4" t="n">
        <f aca="false">DCF_Bull!$B$38</f>
        <v>2976.37651437676</v>
      </c>
      <c r="C6" s="0" t="n">
        <f aca="false">B6/Assumptions!$B$2-1</f>
        <v>0.00063086716313876</v>
      </c>
      <c r="D6" s="4" t="n">
        <f aca="false">Assumptions!$B$52</f>
        <v>0.2</v>
      </c>
      <c r="E6" s="4" t="n">
        <f aca="false">DCF_Bull!$B$43</f>
        <v>2976.37651437676</v>
      </c>
      <c r="F6" s="4" t="n">
        <f aca="false">DCF_Bull!$B$47</f>
        <v>1615.22532592959</v>
      </c>
    </row>
    <row r="8" customFormat="false" ht="15" hidden="false" customHeight="false" outlineLevel="0" collapsed="false">
      <c r="A8" s="0" t="s">
        <v>157</v>
      </c>
      <c r="B8" s="0" t="n">
        <f aca="false">SUMPRODUCT(B4:B6,D4:D6)</f>
        <v>1974.02079168144</v>
      </c>
    </row>
    <row r="9" customFormat="false" ht="15" hidden="false" customHeight="false" outlineLevel="0" collapsed="false">
      <c r="A9" s="0" t="s">
        <v>158</v>
      </c>
      <c r="B9" s="0" t="n">
        <f aca="false">SUMPRODUCT(E4:E6,D4:D6)</f>
        <v>1974.02079168144</v>
      </c>
    </row>
    <row r="10" customFormat="false" ht="15" hidden="false" customHeight="false" outlineLevel="0" collapsed="false">
      <c r="A10" s="0" t="s">
        <v>159</v>
      </c>
      <c r="B10" s="0" t="n">
        <f aca="false">1-Assumptions!$B$2/B8</f>
        <v>-0.506823034759613</v>
      </c>
    </row>
    <row r="11" customFormat="false" ht="15" hidden="false" customHeight="false" outlineLevel="0" collapsed="false">
      <c r="A11" s="0" t="s">
        <v>160</v>
      </c>
      <c r="B11" s="0" t="str">
        <f aca="false">IF(ABS(B9-B8)&gt;0.01*ABS(B8),(Assumptions!$B$2-B8)/(B9-B8)*100,"n/a")</f>
        <v>n/a</v>
      </c>
    </row>
    <row r="12" customFormat="false" ht="15" hidden="false" customHeight="false" outlineLevel="0" collapsed="false">
      <c r="A12" s="0" t="s">
        <v>161</v>
      </c>
      <c r="B12" s="0" t="n">
        <f aca="false">SUMPRODUCT(F4:F6,D4:D6)</f>
        <v>1156.00569661453</v>
      </c>
    </row>
    <row r="14" customFormat="false" ht="15" hidden="false" customHeight="false" outlineLevel="0" collapsed="false">
      <c r="A14" s="2" t="s">
        <v>162</v>
      </c>
      <c r="C14" s="0" t="s">
        <v>163</v>
      </c>
    </row>
    <row r="15" customFormat="false" ht="15" hidden="false" customHeight="false" outlineLevel="0" collapsed="false">
      <c r="A15" s="0" t="s">
        <v>164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2055.34507378888</v>
      </c>
      <c r="C15" s="3" t="n">
        <v>7.5</v>
      </c>
    </row>
    <row r="16" customFormat="false" ht="15" hidden="false" customHeight="false" outlineLevel="0" collapsed="false">
      <c r="A16" s="0" t="s">
        <v>165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1813.92138471455</v>
      </c>
      <c r="C16" s="3" t="n">
        <v>9</v>
      </c>
    </row>
    <row r="17" customFormat="false" ht="15" hidden="false" customHeight="false" outlineLevel="0" collapsed="false">
      <c r="A17" s="0" t="s">
        <v>166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1651.71468482392</v>
      </c>
      <c r="C17" s="3" t="n">
        <v>10</v>
      </c>
    </row>
    <row r="18" customFormat="false" ht="15" hidden="false" customHeight="false" outlineLevel="0" collapsed="false">
      <c r="A18" s="0" t="s">
        <v>167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1522.17554728612</v>
      </c>
      <c r="C18" s="3" t="n">
        <v>11</v>
      </c>
    </row>
    <row r="19" customFormat="false" ht="15" hidden="false" customHeight="false" outlineLevel="0" collapsed="false">
      <c r="A19" s="0" t="s">
        <v>168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1416.38293501528</v>
      </c>
      <c r="C19" s="3" t="n">
        <v>12</v>
      </c>
    </row>
    <row r="20" customFormat="false" ht="15" hidden="false" customHeight="false" outlineLevel="0" collapsed="false">
      <c r="A20" s="0" t="s">
        <v>169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1190.5164732585</v>
      </c>
      <c r="C20" s="3" t="n">
        <v>15</v>
      </c>
    </row>
    <row r="22" customFormat="false" ht="15" hidden="false" customHeight="false" outlineLevel="0" collapsed="false">
      <c r="A22" s="2" t="s">
        <v>170</v>
      </c>
    </row>
    <row r="23" customFormat="false" ht="15" hidden="false" customHeight="false" outlineLevel="0" collapsed="false">
      <c r="B23" s="3" t="n">
        <v>0</v>
      </c>
      <c r="C23" s="3" t="n">
        <v>0.5</v>
      </c>
      <c r="D23" s="3" t="n">
        <v>1</v>
      </c>
      <c r="E23" s="3" t="n">
        <v>1.5</v>
      </c>
      <c r="F23" s="3" t="n">
        <v>2</v>
      </c>
    </row>
    <row r="24" customFormat="false" ht="15" hidden="false" customHeight="false" outlineLevel="0" collapsed="false">
      <c r="A24" s="3" t="n">
        <v>5.5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2316.8972386757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2316.8972386757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2316.8972386757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2316.8972386757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2316.8972386757</v>
      </c>
    </row>
    <row r="25" customFormat="false" ht="15" hidden="false" customHeight="false" outlineLevel="0" collapsed="false">
      <c r="A25" s="3" t="n">
        <v>6.5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2179.97872099546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2179.97872099546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2179.97872099546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2179.97872099546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2179.97872099546</v>
      </c>
    </row>
    <row r="26" customFormat="false" ht="15" hidden="false" customHeight="false" outlineLevel="0" collapsed="false">
      <c r="A26" s="3" t="n">
        <v>7.5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2013.67274807945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2055.34507378888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2055.34507378888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2055.34507378888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2055.34507378888</v>
      </c>
    </row>
    <row r="27" customFormat="false" ht="15" hidden="false" customHeight="false" outlineLevel="0" collapsed="false">
      <c r="A27" s="3" t="n">
        <v>8.5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1814.38566800217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1859.84437601271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1911.36424509133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1941.75384528517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1941.75384528517</v>
      </c>
    </row>
    <row r="28" customFormat="false" ht="15" hidden="false" customHeight="false" outlineLevel="0" collapsed="false">
      <c r="A28" s="3" t="n">
        <v>9.5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1657.51868414386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1690.80766178455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1728.0129897359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1769.86898368118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1817.30577681915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2026-10-26T01:47:31Z</dcterms:created>
  <dc:creator>openpyxl</dc:creator>
  <dc:description/>
  <dc:language>en-NZ</dc:language>
  <cp:lastModifiedBy/>
  <dcterms:modified xsi:type="dcterms:W3CDTF">2026-10-26T01:47:31Z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