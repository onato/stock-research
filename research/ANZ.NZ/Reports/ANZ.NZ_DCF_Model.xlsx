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 Multiples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<sst xmlns="http://schemas.openxmlformats.org/spreadsheetml/2006/main" count="126" uniqueCount="117">
  <si>
    <t>ANZ.NZ - ANZ Group Holdings - Bank Earnings DCF (Base Case)</t>
  </si>
  <si>
    <t>Gray cells are INPUTS. Model built in AUD (reporting currency); NZD conversion at bottom. Earnings-at-CoE model -- NOT an owner-FCF DCF (bank funding is not net debt).</t>
  </si>
  <si>
    <t>KEY INPUTS</t>
  </si>
  <si>
    <t>Current Price (NZD, NZX quote)</t>
  </si>
  <si>
    <t>AUD/NZD FX rate</t>
  </si>
  <si>
    <t>Current Price (AUD, implied)</t>
  </si>
  <si>
    <t>Shares Outstanding, current (M)</t>
  </si>
  <si>
    <t>Starting NPAT, mid-cycle (A$M)</t>
  </si>
  <si>
    <t>Cost of Equity</t>
  </si>
  <si>
    <t>Terminal Growth Rate</t>
  </si>
  <si>
    <t>Payout Ratio (dividends / NPAT)</t>
  </si>
  <si>
    <t>Exit P/E Multiple (terminal cap)</t>
  </si>
  <si>
    <t>GROWTH &amp; SHARE COUNT ASSUMPTIONS</t>
  </si>
  <si>
    <t>Year 1</t>
  </si>
  <si>
    <t>Year 2</t>
  </si>
  <si>
    <t>Year 3</t>
  </si>
  <si>
    <t>Year 4</t>
  </si>
  <si>
    <t>Year 5</t>
  </si>
  <si>
    <t>NPAT Growth Rate</t>
  </si>
  <si>
    <t>Shares Outstanding (M)</t>
  </si>
  <si>
    <t>PROJECTIONS (A$M unless per-share)</t>
  </si>
  <si>
    <t>NPAT (A$M)</t>
  </si>
  <si>
    <t>EPS (A$)</t>
  </si>
  <si>
    <t>DPS (A$)</t>
  </si>
  <si>
    <t>Discount Factor (at CoE)</t>
  </si>
  <si>
    <t>PV of Dividends (A$)</t>
  </si>
  <si>
    <t>VALUATION</t>
  </si>
  <si>
    <t>Sum of PV of Dividends per Share (A$)</t>
  </si>
  <si>
    <t>Terminal EPS x (1+g) -- Gordon basis</t>
  </si>
  <si>
    <t>Terminal Value per Share -- Gordon (A$)</t>
  </si>
  <si>
    <t>Terminal Value per Share -- Exit P/E cap (A$)</t>
  </si>
  <si>
    <t>Terminal Value per Share USED (lower of the two, A$)</t>
  </si>
  <si>
    <t>PV of Terminal Value per Share (A$)</t>
  </si>
  <si>
    <t>INTRINSIC VALUE PER SHARE (A$)</t>
  </si>
  <si>
    <t>INTRINSIC VALUE PER SHARE (NZ$)</t>
  </si>
  <si>
    <t>Terminal Value % of Total IV</t>
  </si>
  <si>
    <t>Implied Exit P/E (TV per share / Y5 EPS)</t>
  </si>
  <si>
    <t>ENTRY PRICE (15% IRR Target)</t>
  </si>
  <si>
    <t>Hurdle Rate</t>
  </si>
  <si>
    <t>PV of Dividends @ Hurdle (A$)</t>
  </si>
  <si>
    <t>Exit Value per Share (Y5 EPS x Exit P/E, A$)</t>
  </si>
  <si>
    <t>PV of Exit Value @ Hurdle (A$)</t>
  </si>
  <si>
    <t>Entry Price (A$)</t>
  </si>
  <si>
    <t>Entry Price (NZ$)</t>
  </si>
  <si>
    <t>Entry Discount from Current Price</t>
  </si>
  <si>
    <t>Entry Price as % of Intrinsic Value</t>
  </si>
  <si>
    <t>UPSIDE / DOWNSIDE</t>
  </si>
  <si>
    <t>Upside to Intrinsic Value (NZD)</t>
  </si>
  <si>
    <t>Scenario Comparison</t>
  </si>
  <si>
    <t>Static summary of Base/Bull/Bear scenarios as computed in the DCF JSON (not live formulas -- see DCF Model tab for the interactive Base case).</t>
  </si>
  <si>
    <t>Base</t>
  </si>
  <si>
    <t>Bull</t>
  </si>
  <si>
    <t>Bear</t>
  </si>
  <si>
    <t>Starting NPAT (A$M)</t>
  </si>
  <si>
    <t>Terminal Growth</t>
  </si>
  <si>
    <t>Payout Ratio</t>
  </si>
  <si>
    <t>Exit P/E Multiple</t>
  </si>
  <si>
    <t>Intrinsic Value (A$)</t>
  </si>
  <si>
    <t>Intrinsic Value (NZ$)</t>
  </si>
  <si>
    <t>Upside vs Current (%)</t>
  </si>
  <si>
    <t>Terminal Value % of Total</t>
  </si>
  <si>
    <t>Terminal Value Basis Used</t>
  </si>
  <si>
    <t>gordon</t>
  </si>
  <si>
    <t>pe_cap</t>
  </si>
  <si>
    <t>Probability-Weighted IV (NZ$)</t>
  </si>
  <si>
    <t>Weighted Upside vs Current (%)</t>
  </si>
  <si>
    <t>Weights (Bull/Base/Bear)</t>
  </si>
  <si>
    <t>25% / 50% / 25%</t>
  </si>
  <si>
    <t>Sensitivity Analysis - Intrinsic Value (NZ$)</t>
  </si>
  <si>
    <t>By Cost of Equity &amp; Terminal Growth Rate (Base case NPAT/payout/exit-multiple structure held constant)</t>
  </si>
  <si>
    <t>CoE \ Term G</t>
  </si>
  <si>
    <t>Note: several upper-left cells are flat because the 12x exit-P/E cap binds before Gordon growth would otherwise -- the terminal-value cap working as intended.</t>
  </si>
  <si>
    <t>Note: several upper-left cells are flat because the 12x exit-P/E cap binds before Gordon growth would otherwise (at low CoE / high growth the Gordon perpetuity would exceed 12x mature earnings, so the cap holds intrinsic value down) -- this is the terminal-value cap working as intended, not a calculation error.</t>
  </si>
  <si>
    <t>Historical P/E and P/B (ANZ.AX, FY-end Sept close vs FY EPS/BVPS)</t>
  </si>
  <si>
    <t>Fiscal Year</t>
  </si>
  <si>
    <t>Sept Close (A$)</t>
  </si>
  <si>
    <t>P/E</t>
  </si>
  <si>
    <t>P/B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</si>
  <si>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</si>
  <si>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</si>
  <si>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</si>
  <si>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</si>
  <si>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</si>
  <si>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</si>
  <si>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</si>
  <si>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</si>
  <si>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</si>
  <si>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</si>
  <si>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10yr Avg</t>
  </si>
  <si>
    <t>10yr Min/Max</t>
  </si>
  <si>
    <t>10.22 / 18.5</t>
  </si>
  <si>
    <t>0.86 / 1.56</t>
  </si>
  <si>
    <t>Implied Multiples (Base Case IV)</t>
  </si>
  <si>
    <t>Implied P/E (vs FY2025 EPS)</t>
  </si>
  <si>
    <t>Implied P/B (vs FY2025 BVPS)</t>
  </si>
  <si>
    <t>Sanity Check Passed?</t>
  </si>
  <si>
    <t>YES</t>
  </si>
  <si>
    <t>The current market price (NZ$45.17, ~A$37.68) implies a much richer P/E of ~19.0x FY2025 EPS and P/B of ~1.61x -- both ABOVE the 10-year historical average (13.3x / 1.26x) and near the top of the 10-year range, reflecting the stock's strong rally over the past 12 months (ANZ.AX roughly $25 to $37.68 AUD-equivalent) on H1-2026 recovery optimism. The DCF's base-case intrinsic value of A$23.52 (implied P/E 11.9x, P/B 1.0x) sits comfortably WITHIN the historical range, i.e. the model is not producing an implausible output -- it is flagging that the market is currently paying a premium to ANZ's own historical multiple range for the post-Matos turnaround thesis to play out. No sanity-check fix was required.</t>
  </si>
  <si>
    <t>Model Provenance &amp; Notes</t>
  </si>
  <si>
    <t>Built by</t>
  </si>
  <si>
    <t>Claude Agent (dcf-analyst), Stocks Research pipeline</t>
  </si>
  <si>
    <t>Build date</t>
  </si>
  <si>
    <t>2026-08-08</t>
  </si>
  <si>
    <t>Data vintage</t>
  </si>
  <si>
    <t>Share price: NZX ANZ.NZ close fetched live 2026-08-08 (NZ$45.17). Financials: FY2025 10-K/Annual Report (year ended 30 Sep 2025) and H1-2026 interim report (to 31 Mar 2026). Historical multiples use ANZ.AX (ASX line) 10-year monthly closes fetched live from Yahoo Finance on 2026-08-08.</t>
  </si>
  <si>
    <t>FX rate used</t>
  </si>
  <si>
    <t>AUD/NZD = 1.1988 (fetched/quoted 2026-08-08). Model built in AUD; NZD figures = AUD figure x this rate.</t>
  </si>
  <si>
    <t>Model type</t>
  </si>
  <si>
    <t>Earnings-at-cost-of-equity (bank/financial model), NOT an owner-FCF DCF. See valuation_philosophy block in the JSON for full rationale.</t>
  </si>
  <si>
    <t>Key methodology choices</t>
  </si>
  <si>
    <t>1) Base-case starting NPAT is a mid-cycle normalization (A$6.5bn), not the FY2025 actual (A$6.035bn, depressed by ~A$250m ASIC penalties/restructuring) nor the H1-2026 annualized run-rate (A$7.3bn, single-half momentum). 2) Terminal value = lower of Gordon growth perpetuity and an exit-P/E cap (12x base, anchored to the 10yr average historical P/E of 13.3x with a modest discount for ongoing APRA remediation). 3) Discounting uses cost of equity (10.5% base), not WACC -- appropriate for a bank where debt/deposits are funding, not capital structure leverage subject to a blended discount rate. 4) No net-debt adjustment anywhere -- deposits and wholesale debt fund the loan book and are not netted against value. 5) Entry price discounts 5 years of base-case dividends per share plus a year-5 exit value (Y5 EPS x exit-P/E) at a 15% hurdle, per share.</t>
  </si>
  <si>
    <t>What to refresh after next earnings</t>
  </si>
  <si>
    <t>FY2026 annual report (due ~Nov 2026): update NPAT/EPS/DPS actuals, re-check whether FY2025 one-offs (ASIC penalties, restructuring) have fully cleared, re-verify payout ratio and buyback status (paused as at H1-2026), and refresh the live share price and AUD/NZD FX rate.</t>
  </si>
  <si>
    <t>Cell colour conventions</t>
  </si>
  <si>
    <t>Gray cells = inputs (editable). White cells with borders = formulas (do not hand-edit, they recalculate). Green cell = primary output (intrinsic value, AUD). Blue cell = NZD-converted output.</t>
  </si>
  <si>
    <t>Staleness warning</t>
  </si>
  <si>
    <t>All figures (share price, FX rate, financials) are point-in-time as of the build date above. Re-verify before relying on this model for a live decision -- ANZ price and AUD/NZD move daily, and the next quarterly/annual result will change the earnings base.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</si>
</sst>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0.0%"/>
    <numFmt numFmtId="166" formatCode="#,##0.0"/>
    <numFmt numFmtId="167" formatCode="&quot;A$&quot;#,##0.00"/>
    <numFmt numFmtId="168" formatCode="&quot;NZ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6" fontId="0" fillId="0" borderId="2" xfId="0" applyNumberFormat="1" applyBorder="1"/>
    <xf numFmtId="0" fontId="5" fillId="0" borderId="0" xfId="0" applyFont="1"/>
    <xf numFmtId="167" fontId="4" fillId="4" borderId="2" xfId="0" applyNumberFormat="1" applyFont="1" applyFill="1" applyBorder="1"/>
    <xf numFmtId="168" fontId="4" fillId="5" borderId="2" xfId="0" applyNumberFormat="1" applyFont="1" applyFill="1" applyBorder="1"/>
    <xf numFmtId="165" fontId="0" fillId="0" borderId="2" xfId="0" applyNumberFormat="1" applyBorder="1"/>
    <xf numFmtId="167" fontId="0" fillId="0" borderId="2" xfId="0" applyNumberFormat="1" applyBorder="1"/>
    <xf numFmtId="168" fontId="0" fillId="0" borderId="2" xfId="0" applyNumberFormat="1" applyBorder="1"/>
    <xf numFmtId="165" fontId="4" fillId="3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cols>
    <col min="1" max="1" width="30.7109375" customWidth="1"/>
    <col min="2" max="8" width="13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45.17</v>
      </c>
    </row>
    <row r="6" spans="1:6">
      <c r="A6" t="s">
        <v>4</v>
      </c>
      <c r="B6" s="4">
        <v>1.1988</v>
      </c>
    </row>
    <row r="7" spans="1:6">
      <c r="A7" t="s">
        <v>5</v>
      </c>
      <c r="B7" s="5">
        <f>B5/B6</f>
        <v>0</v>
      </c>
    </row>
    <row r="8" spans="1:6">
      <c r="A8" t="s">
        <v>6</v>
      </c>
      <c r="B8" s="4">
        <v>2997.7</v>
      </c>
    </row>
    <row r="9" spans="1:6">
      <c r="A9" t="s">
        <v>7</v>
      </c>
      <c r="B9" s="4">
        <v>6500</v>
      </c>
    </row>
    <row r="10" spans="1:6">
      <c r="A10" t="s">
        <v>8</v>
      </c>
      <c r="B10" s="6">
        <v>0.105</v>
      </c>
    </row>
    <row r="11" spans="1:6">
      <c r="A11" t="s">
        <v>9</v>
      </c>
      <c r="B11" s="6">
        <v>0.02</v>
      </c>
    </row>
    <row r="12" spans="1:6">
      <c r="A12" t="s">
        <v>10</v>
      </c>
      <c r="B12" s="6">
        <v>0.7</v>
      </c>
    </row>
    <row r="13" spans="1:6">
      <c r="A13" t="s">
        <v>11</v>
      </c>
      <c r="B13" s="4">
        <v>12</v>
      </c>
    </row>
    <row r="15" spans="1:6">
      <c r="A15" s="3" t="s">
        <v>12</v>
      </c>
    </row>
    <row r="16" spans="1:6">
      <c r="A16" s="7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</row>
    <row r="17" spans="1:6">
      <c r="A17" t="s">
        <v>18</v>
      </c>
      <c r="B17" s="6">
        <v>0.02</v>
      </c>
      <c r="C17" s="6">
        <v>0.02</v>
      </c>
      <c r="D17" s="6">
        <v>0.02</v>
      </c>
      <c r="E17" s="6">
        <v>0.02</v>
      </c>
      <c r="F17" s="6">
        <v>0.02</v>
      </c>
    </row>
    <row r="18" spans="1:6">
      <c r="A18" t="s">
        <v>19</v>
      </c>
      <c r="B18" s="4">
        <v>2995</v>
      </c>
      <c r="C18" s="4">
        <v>2992</v>
      </c>
      <c r="D18" s="4">
        <v>2990</v>
      </c>
      <c r="E18" s="4">
        <v>2988</v>
      </c>
      <c r="F18" s="4">
        <v>2988</v>
      </c>
    </row>
    <row r="20" spans="1:6">
      <c r="A20" s="3" t="s">
        <v>20</v>
      </c>
    </row>
    <row r="21" spans="1:6">
      <c r="A21" s="7"/>
      <c r="B21" s="7" t="s">
        <v>13</v>
      </c>
      <c r="C21" s="7" t="s">
        <v>14</v>
      </c>
      <c r="D21" s="7" t="s">
        <v>15</v>
      </c>
      <c r="E21" s="7" t="s">
        <v>16</v>
      </c>
      <c r="F21" s="7" t="s">
        <v>17</v>
      </c>
    </row>
    <row r="22" spans="1:6">
      <c r="A22" t="s">
        <v>21</v>
      </c>
      <c r="B22" s="8">
        <f>B9*(1+B17)</f>
        <v>0</v>
      </c>
      <c r="C22" s="8">
        <f>B22*(1+C17)</f>
        <v>0</v>
      </c>
      <c r="D22" s="8">
        <f>C22*(1+D17)</f>
        <v>0</v>
      </c>
      <c r="E22" s="8">
        <f>D22*(1+E17)</f>
        <v>0</v>
      </c>
      <c r="F22" s="8">
        <f>E22*(1+F17)</f>
        <v>0</v>
      </c>
    </row>
    <row r="23" spans="1:6">
      <c r="A23" t="s">
        <v>19</v>
      </c>
      <c r="B23" s="8">
        <f>B18</f>
        <v>0</v>
      </c>
      <c r="C23" s="8">
        <f>C18</f>
        <v>0</v>
      </c>
      <c r="D23" s="8">
        <f>D18</f>
        <v>0</v>
      </c>
      <c r="E23" s="8">
        <f>E18</f>
        <v>0</v>
      </c>
      <c r="F23" s="8">
        <f>F18</f>
        <v>0</v>
      </c>
    </row>
    <row r="24" spans="1:6">
      <c r="A24" t="s">
        <v>22</v>
      </c>
      <c r="B24" s="5">
        <f>B22/B23</f>
        <v>0</v>
      </c>
      <c r="C24" s="5">
        <f>C22/C23</f>
        <v>0</v>
      </c>
      <c r="D24" s="5">
        <f>D22/D23</f>
        <v>0</v>
      </c>
      <c r="E24" s="5">
        <f>E22/E23</f>
        <v>0</v>
      </c>
      <c r="F24" s="5">
        <f>F22/F23</f>
        <v>0</v>
      </c>
    </row>
    <row r="25" spans="1:6">
      <c r="A25" t="s">
        <v>23</v>
      </c>
      <c r="B25" s="5">
        <f>B24*$B$12</f>
        <v>0</v>
      </c>
      <c r="C25" s="5">
        <f>C24*$B$12</f>
        <v>0</v>
      </c>
      <c r="D25" s="5">
        <f>D24*$B$12</f>
        <v>0</v>
      </c>
      <c r="E25" s="5">
        <f>E24*$B$12</f>
        <v>0</v>
      </c>
      <c r="F25" s="5">
        <f>F24*$B$12</f>
        <v>0</v>
      </c>
    </row>
    <row r="26" spans="1:6">
      <c r="A26" t="s">
        <v>24</v>
      </c>
      <c r="B26" s="5">
        <f>1/(1+$B$10)^1</f>
        <v>0</v>
      </c>
      <c r="C26" s="5">
        <f>1/(1+$B$10)^2</f>
        <v>0</v>
      </c>
      <c r="D26" s="5">
        <f>1/(1+$B$10)^3</f>
        <v>0</v>
      </c>
      <c r="E26" s="5">
        <f>1/(1+$B$10)^4</f>
        <v>0</v>
      </c>
      <c r="F26" s="5">
        <f>1/(1+$B$10)^5</f>
        <v>0</v>
      </c>
    </row>
    <row r="27" spans="1:6">
      <c r="A27" t="s">
        <v>25</v>
      </c>
      <c r="B27" s="5">
        <f>B25*B26</f>
        <v>0</v>
      </c>
      <c r="C27" s="5">
        <f>C25*C26</f>
        <v>0</v>
      </c>
      <c r="D27" s="5">
        <f>D25*D26</f>
        <v>0</v>
      </c>
      <c r="E27" s="5">
        <f>E25*E26</f>
        <v>0</v>
      </c>
      <c r="F27" s="5">
        <f>F25*F26</f>
        <v>0</v>
      </c>
    </row>
    <row r="29" spans="1:6">
      <c r="A29" s="3" t="s">
        <v>26</v>
      </c>
    </row>
    <row r="30" spans="1:6">
      <c r="A30" t="s">
        <v>27</v>
      </c>
      <c r="B30" s="5">
        <f>SUM(B27:F27)</f>
        <v>0</v>
      </c>
    </row>
    <row r="31" spans="1:6">
      <c r="A31" t="s">
        <v>28</v>
      </c>
      <c r="B31" s="5">
        <f>F24*(1+B11)</f>
        <v>0</v>
      </c>
    </row>
    <row r="32" spans="1:6">
      <c r="A32" t="s">
        <v>29</v>
      </c>
      <c r="B32" s="5">
        <f>B31/(B10-B11)</f>
        <v>0</v>
      </c>
    </row>
    <row r="33" spans="1:2">
      <c r="A33" t="s">
        <v>30</v>
      </c>
      <c r="B33" s="5">
        <f>F24*B13</f>
        <v>0</v>
      </c>
    </row>
    <row r="34" spans="1:2">
      <c r="A34" t="s">
        <v>31</v>
      </c>
      <c r="B34" s="5">
        <f>MIN(B32,B33)</f>
        <v>0</v>
      </c>
    </row>
    <row r="35" spans="1:2">
      <c r="A35" t="s">
        <v>32</v>
      </c>
      <c r="B35" s="5">
        <f>B34*F26</f>
        <v>0</v>
      </c>
    </row>
    <row r="36" spans="1:2">
      <c r="A36" s="9" t="s">
        <v>33</v>
      </c>
      <c r="B36" s="10">
        <f>B30+B35</f>
        <v>0</v>
      </c>
    </row>
    <row r="37" spans="1:2">
      <c r="A37" s="9" t="s">
        <v>34</v>
      </c>
      <c r="B37" s="11">
        <f>B36*B6</f>
        <v>0</v>
      </c>
    </row>
    <row r="39" spans="1:2">
      <c r="A39" t="s">
        <v>35</v>
      </c>
      <c r="B39" s="12">
        <f>B35/B36</f>
        <v>0</v>
      </c>
    </row>
    <row r="40" spans="1:2">
      <c r="A40" t="s">
        <v>36</v>
      </c>
      <c r="B40" s="5">
        <f>B34/F24</f>
        <v>0</v>
      </c>
    </row>
    <row r="42" spans="1:2">
      <c r="A42" s="3" t="s">
        <v>37</v>
      </c>
    </row>
    <row r="43" spans="1:2">
      <c r="A43" t="s">
        <v>38</v>
      </c>
      <c r="B43" s="6">
        <v>0.15</v>
      </c>
    </row>
    <row r="44" spans="1:2">
      <c r="A44" t="s">
        <v>39</v>
      </c>
      <c r="B44" s="5">
        <f>NPV($B$43,B25:F25)</f>
        <v>0</v>
      </c>
    </row>
    <row r="45" spans="1:2">
      <c r="A45" t="s">
        <v>40</v>
      </c>
      <c r="B45" s="5">
        <f>F24*B13</f>
        <v>0</v>
      </c>
    </row>
    <row r="46" spans="1:2">
      <c r="A46" t="s">
        <v>41</v>
      </c>
      <c r="B46" s="5">
        <f>B45/(1+B43)^5</f>
        <v>0</v>
      </c>
    </row>
    <row r="47" spans="1:2">
      <c r="A47" t="s">
        <v>42</v>
      </c>
      <c r="B47" s="13">
        <f>B44+B46</f>
        <v>0</v>
      </c>
    </row>
    <row r="48" spans="1:2">
      <c r="A48" t="s">
        <v>43</v>
      </c>
      <c r="B48" s="14">
        <f>B47*B6</f>
        <v>0</v>
      </c>
    </row>
    <row r="49" spans="1:2">
      <c r="A49" t="s">
        <v>44</v>
      </c>
      <c r="B49" s="12">
        <f>(B5-B48)/B5</f>
        <v>0</v>
      </c>
    </row>
    <row r="50" spans="1:2">
      <c r="A50" t="s">
        <v>45</v>
      </c>
      <c r="B50" s="12">
        <f>B48/B37</f>
        <v>0</v>
      </c>
    </row>
    <row r="52" spans="1:2">
      <c r="A52" s="3" t="s">
        <v>46</v>
      </c>
    </row>
    <row r="53" spans="1:2">
      <c r="A53" t="s">
        <v>47</v>
      </c>
      <c r="B53" s="12">
        <f>(B37-B5)/B5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48</v>
      </c>
    </row>
    <row r="2" spans="1:4">
      <c r="A2" s="2" t="s">
        <v>49</v>
      </c>
    </row>
    <row r="4" spans="1:4">
      <c r="A4" s="7"/>
      <c r="B4" s="7" t="s">
        <v>50</v>
      </c>
      <c r="C4" s="7" t="s">
        <v>51</v>
      </c>
      <c r="D4" s="7" t="s">
        <v>52</v>
      </c>
    </row>
    <row r="5" spans="1:4">
      <c r="A5" t="s">
        <v>53</v>
      </c>
      <c r="B5" s="5">
        <v>6500</v>
      </c>
      <c r="C5" s="5">
        <v>6900</v>
      </c>
      <c r="D5" s="5">
        <v>5500</v>
      </c>
    </row>
    <row r="6" spans="1:4">
      <c r="A6" t="s">
        <v>8</v>
      </c>
      <c r="B6" s="12">
        <v>0.105</v>
      </c>
      <c r="C6" s="12">
        <v>0.1</v>
      </c>
      <c r="D6" s="12">
        <v>0.12</v>
      </c>
    </row>
    <row r="7" spans="1:4">
      <c r="A7" t="s">
        <v>54</v>
      </c>
      <c r="B7" s="12">
        <v>0.02</v>
      </c>
      <c r="C7" s="12">
        <v>0.025</v>
      </c>
      <c r="D7" s="12">
        <v>0.015</v>
      </c>
    </row>
    <row r="8" spans="1:4">
      <c r="A8" t="s">
        <v>55</v>
      </c>
      <c r="B8" s="12">
        <v>0.7</v>
      </c>
      <c r="C8" s="12">
        <v>0.65</v>
      </c>
      <c r="D8" s="12">
        <v>0.75</v>
      </c>
    </row>
    <row r="9" spans="1:4">
      <c r="A9" t="s">
        <v>56</v>
      </c>
      <c r="B9" s="5">
        <v>12</v>
      </c>
      <c r="C9" s="5">
        <v>13</v>
      </c>
      <c r="D9" s="5">
        <v>10</v>
      </c>
    </row>
    <row r="11" spans="1:4">
      <c r="A11" s="9" t="s">
        <v>57</v>
      </c>
      <c r="B11" s="13">
        <v>23.52</v>
      </c>
      <c r="C11" s="13">
        <v>28.16</v>
      </c>
      <c r="D11" s="13">
        <v>14.99</v>
      </c>
    </row>
    <row r="12" spans="1:4">
      <c r="A12" s="9" t="s">
        <v>58</v>
      </c>
      <c r="B12" s="14">
        <v>28.19</v>
      </c>
      <c r="C12" s="14">
        <v>33.75</v>
      </c>
      <c r="D12" s="14">
        <v>17.97</v>
      </c>
    </row>
    <row r="13" spans="1:4">
      <c r="A13" t="s">
        <v>59</v>
      </c>
      <c r="B13" s="12">
        <v>-0.3759</v>
      </c>
      <c r="C13" s="12">
        <v>-0.2527</v>
      </c>
      <c r="D13" s="12">
        <v>-0.6022</v>
      </c>
    </row>
    <row r="14" spans="1:4">
      <c r="A14" t="s">
        <v>60</v>
      </c>
      <c r="B14" s="12">
        <v>0.7440000000000001</v>
      </c>
      <c r="C14" s="12">
        <v>0.778</v>
      </c>
      <c r="D14" s="12">
        <v>0.67</v>
      </c>
    </row>
    <row r="15" spans="1:4">
      <c r="A15" t="s">
        <v>61</v>
      </c>
      <c r="B15" t="s">
        <v>62</v>
      </c>
      <c r="C15" t="s">
        <v>63</v>
      </c>
      <c r="D15" t="s">
        <v>62</v>
      </c>
    </row>
    <row r="18" spans="1:2">
      <c r="A18" s="9" t="s">
        <v>64</v>
      </c>
      <c r="B18" s="14">
        <v>27.03</v>
      </c>
    </row>
    <row r="19" spans="1:2">
      <c r="A19" t="s">
        <v>65</v>
      </c>
      <c r="B19" s="12">
        <v>-0.4017</v>
      </c>
    </row>
    <row r="20" spans="1:2">
      <c r="A20" t="s">
        <v>66</v>
      </c>
      <c r="B20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7">
      <c r="A1" s="1" t="s">
        <v>68</v>
      </c>
    </row>
    <row r="2" spans="1:7">
      <c r="A2" s="2" t="s">
        <v>69</v>
      </c>
    </row>
    <row r="4" spans="1:7">
      <c r="A4" s="7" t="s">
        <v>70</v>
      </c>
      <c r="B4" s="15">
        <v>0.01</v>
      </c>
      <c r="C4" s="15">
        <v>0.015</v>
      </c>
      <c r="D4" s="15">
        <v>0.02</v>
      </c>
      <c r="E4" s="15">
        <v>0.025</v>
      </c>
      <c r="F4" s="15">
        <v>0.03</v>
      </c>
    </row>
    <row r="5" spans="1:7">
      <c r="A5" s="15">
        <v>0.08500000000000001</v>
      </c>
      <c r="B5" s="14">
        <v>30.58</v>
      </c>
      <c r="C5" s="14">
        <v>30.58</v>
      </c>
      <c r="D5" s="14">
        <v>30.58</v>
      </c>
      <c r="E5" s="14">
        <v>30.58</v>
      </c>
      <c r="F5" s="14">
        <v>30.58</v>
      </c>
    </row>
    <row r="6" spans="1:7">
      <c r="A6" s="15">
        <v>0.095</v>
      </c>
      <c r="B6" s="14">
        <v>29.14</v>
      </c>
      <c r="C6" s="14">
        <v>29.36</v>
      </c>
      <c r="D6" s="14">
        <v>29.36</v>
      </c>
      <c r="E6" s="14">
        <v>29.36</v>
      </c>
      <c r="F6" s="14">
        <v>29.36</v>
      </c>
    </row>
    <row r="7" spans="1:7">
      <c r="A7" s="15">
        <v>0.105</v>
      </c>
      <c r="B7" s="14">
        <v>25.8</v>
      </c>
      <c r="C7" s="14">
        <v>26.93</v>
      </c>
      <c r="D7" s="14">
        <v>28.19</v>
      </c>
      <c r="E7" s="14">
        <v>28.19</v>
      </c>
      <c r="F7" s="14">
        <v>28.19</v>
      </c>
    </row>
    <row r="8" spans="1:7">
      <c r="A8" s="15">
        <v>0.115</v>
      </c>
      <c r="B8" s="14">
        <v>23.11</v>
      </c>
      <c r="C8" s="14">
        <v>23.99</v>
      </c>
      <c r="D8" s="14">
        <v>24.97</v>
      </c>
      <c r="E8" s="14">
        <v>26.06</v>
      </c>
      <c r="F8" s="14">
        <v>27.08</v>
      </c>
    </row>
    <row r="9" spans="1:7">
      <c r="A9" s="15">
        <v>0.125</v>
      </c>
      <c r="B9" s="14">
        <v>20.89</v>
      </c>
      <c r="C9" s="14">
        <v>21.6</v>
      </c>
      <c r="D9" s="14">
        <v>22.38</v>
      </c>
      <c r="E9" s="14">
        <v>23.24</v>
      </c>
      <c r="F9" s="14">
        <v>24.18</v>
      </c>
    </row>
    <row r="11" spans="1:7">
      <c r="A11" s="16" t="s">
        <v>72</v>
      </c>
      <c r="B11" s="16"/>
      <c r="C11" s="16"/>
      <c r="D11" s="16"/>
      <c r="E11" s="16"/>
      <c r="F11" s="16"/>
      <c r="G11" s="16"/>
    </row>
    <row r="12" spans="1:7">
      <c r="A12" s="16"/>
      <c r="B12" s="16"/>
      <c r="C12" s="16"/>
      <c r="D12" s="16"/>
      <c r="E12" s="16"/>
      <c r="F12" s="16"/>
      <c r="G12" s="16"/>
    </row>
    <row r="13" spans="1:7">
      <c r="A13" s="16"/>
      <c r="B13" s="16"/>
      <c r="C13" s="16"/>
      <c r="D13" s="16"/>
      <c r="E13" s="16"/>
      <c r="F13" s="16"/>
      <c r="G13" s="16"/>
    </row>
  </sheetData>
  <mergeCells count="1">
    <mergeCell ref="A11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10.7109375" customWidth="1"/>
    <col min="2" max="5" width="14.7109375" customWidth="1"/>
  </cols>
  <sheetData>
    <row r="1" spans="1:5">
      <c r="A1" s="1" t="s">
        <v>73</v>
      </c>
    </row>
    <row r="3" spans="1:5">
      <c r="A3" s="7" t="s">
        <v>74</v>
      </c>
      <c r="B3" s="7" t="s">
        <v>75</v>
      </c>
      <c r="C3" s="7" t="s">
        <v>22</v>
      </c>
      <c r="D3" s="7" t="s">
        <v>76</v>
      </c>
      <c r="E3" s="7" t="s">
        <v>77</v>
      </c>
    </row>
    <row r="4" spans="1:5">
      <c r="A4" t="s">
        <v>78</v>
      </c>
      <c r="B4" s="13">
        <v>27.63</v>
      </c>
      <c r="C4" s="13">
        <v>1.974</v>
      </c>
      <c r="D4" s="5">
        <v>14</v>
      </c>
      <c r="E4" s="5">
        <v>1.4</v>
      </c>
    </row>
    <row r="5" spans="1:5">
      <c r="A5" t="s">
        <v>79</v>
      </c>
      <c r="B5" s="13">
        <v>29.68</v>
      </c>
      <c r="C5" s="13">
        <v>2.201</v>
      </c>
      <c r="D5" s="5">
        <v>13.48</v>
      </c>
      <c r="E5" s="5">
        <v>1.48</v>
      </c>
    </row>
    <row r="6" spans="1:5">
      <c r="A6" t="s">
        <v>80</v>
      </c>
      <c r="B6" s="13">
        <v>25.72</v>
      </c>
      <c r="C6" s="13">
        <v>2.216</v>
      </c>
      <c r="D6" s="5">
        <v>11.61</v>
      </c>
      <c r="E6" s="5">
        <v>1.24</v>
      </c>
    </row>
    <row r="7" spans="1:5">
      <c r="A7" t="s">
        <v>81</v>
      </c>
      <c r="B7" s="13">
        <v>26.53</v>
      </c>
      <c r="C7" s="13">
        <v>2.1</v>
      </c>
      <c r="D7" s="5">
        <v>12.63</v>
      </c>
      <c r="E7" s="5">
        <v>1.24</v>
      </c>
    </row>
    <row r="8" spans="1:5">
      <c r="A8" t="s">
        <v>82</v>
      </c>
      <c r="B8" s="13">
        <v>18.66</v>
      </c>
      <c r="C8" s="13">
        <v>1.264</v>
      </c>
      <c r="D8" s="5">
        <v>14.76</v>
      </c>
      <c r="E8" s="5">
        <v>0.86</v>
      </c>
    </row>
    <row r="9" spans="1:5">
      <c r="A9" t="s">
        <v>83</v>
      </c>
      <c r="B9" s="13">
        <v>27.92</v>
      </c>
      <c r="C9" s="13">
        <v>2.153</v>
      </c>
      <c r="D9" s="5">
        <v>12.97</v>
      </c>
      <c r="E9" s="5">
        <v>1.24</v>
      </c>
    </row>
    <row r="10" spans="1:5">
      <c r="A10" t="s">
        <v>84</v>
      </c>
      <c r="B10" s="13">
        <v>25.56</v>
      </c>
      <c r="C10" s="13">
        <v>2.5</v>
      </c>
      <c r="D10" s="5">
        <v>10.22</v>
      </c>
      <c r="E10" s="5">
        <v>1.15</v>
      </c>
    </row>
    <row r="11" spans="1:5">
      <c r="A11" t="s">
        <v>85</v>
      </c>
      <c r="B11" s="13">
        <v>24.71</v>
      </c>
      <c r="C11" s="13">
        <v>2.391</v>
      </c>
      <c r="D11" s="5">
        <v>10.33</v>
      </c>
      <c r="E11" s="5">
        <v>1.07</v>
      </c>
    </row>
    <row r="12" spans="1:5">
      <c r="A12" t="s">
        <v>86</v>
      </c>
      <c r="B12" s="13">
        <v>31.15</v>
      </c>
      <c r="C12" s="13">
        <v>2.196</v>
      </c>
      <c r="D12" s="5">
        <v>14.18</v>
      </c>
      <c r="E12" s="5">
        <v>1.36</v>
      </c>
    </row>
    <row r="13" spans="1:5">
      <c r="A13" t="s">
        <v>87</v>
      </c>
      <c r="B13" s="13">
        <v>36.65</v>
      </c>
      <c r="C13" s="13">
        <v>1.981</v>
      </c>
      <c r="D13" s="5">
        <v>18.5</v>
      </c>
      <c r="E13" s="5">
        <v>1.56</v>
      </c>
    </row>
    <row r="15" spans="1:5">
      <c r="A15" s="9" t="s">
        <v>88</v>
      </c>
      <c r="D15" s="5">
        <v>13.27</v>
      </c>
      <c r="E15" s="5">
        <v>1.26</v>
      </c>
    </row>
    <row r="16" spans="1:5">
      <c r="A16" s="9" t="s">
        <v>89</v>
      </c>
      <c r="D16" t="s">
        <v>90</v>
      </c>
      <c r="E16" t="s">
        <v>91</v>
      </c>
    </row>
    <row r="19" spans="1:5">
      <c r="A19" s="9" t="s">
        <v>92</v>
      </c>
    </row>
    <row r="20" spans="1:5">
      <c r="A20" t="s">
        <v>93</v>
      </c>
      <c r="B20" s="5">
        <v>11.87</v>
      </c>
    </row>
    <row r="21" spans="1:5">
      <c r="A21" t="s">
        <v>94</v>
      </c>
      <c r="B21" s="5">
        <v>1</v>
      </c>
    </row>
    <row r="23" spans="1:5">
      <c r="A23" s="9" t="s">
        <v>95</v>
      </c>
      <c r="B23" t="s">
        <v>96</v>
      </c>
    </row>
    <row r="24" spans="1:5">
      <c r="A24" s="16" t="s">
        <v>97</v>
      </c>
      <c r="B24" s="16"/>
      <c r="C24" s="16"/>
      <c r="D24" s="16"/>
      <c r="E24" s="16"/>
    </row>
    <row r="25" spans="1:5">
      <c r="A25" s="16"/>
      <c r="B25" s="16"/>
      <c r="C25" s="16"/>
      <c r="D25" s="16"/>
      <c r="E25" s="16"/>
    </row>
    <row r="26" spans="1:5">
      <c r="A26" s="16"/>
      <c r="B26" s="16"/>
      <c r="C26" s="16"/>
      <c r="D26" s="16"/>
      <c r="E26" s="16"/>
    </row>
    <row r="27" spans="1:5">
      <c r="A27" s="16"/>
      <c r="B27" s="16"/>
      <c r="C27" s="16"/>
      <c r="D27" s="16"/>
      <c r="E27" s="16"/>
    </row>
    <row r="28" spans="1:5">
      <c r="A28" s="16"/>
      <c r="B28" s="16"/>
      <c r="C28" s="16"/>
      <c r="D28" s="16"/>
      <c r="E28" s="16"/>
    </row>
  </sheetData>
  <mergeCells count="1">
    <mergeCell ref="A24:E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98</v>
      </c>
    </row>
    <row r="4" spans="1:2" ht="30" customHeight="1">
      <c r="A4" s="9" t="s">
        <v>99</v>
      </c>
      <c r="B4" s="16" t="s">
        <v>100</v>
      </c>
    </row>
    <row r="5" spans="1:2" ht="30" customHeight="1">
      <c r="A5" s="9" t="s">
        <v>101</v>
      </c>
      <c r="B5" s="16" t="s">
        <v>102</v>
      </c>
    </row>
    <row r="6" spans="1:2" ht="60" customHeight="1">
      <c r="A6" s="9" t="s">
        <v>103</v>
      </c>
      <c r="B6" s="16" t="s">
        <v>104</v>
      </c>
    </row>
    <row r="7" spans="1:2" ht="30" customHeight="1">
      <c r="A7" s="9" t="s">
        <v>105</v>
      </c>
      <c r="B7" s="16" t="s">
        <v>106</v>
      </c>
    </row>
    <row r="8" spans="1:2" ht="30" customHeight="1">
      <c r="A8" s="9" t="s">
        <v>107</v>
      </c>
      <c r="B8" s="16" t="s">
        <v>108</v>
      </c>
    </row>
    <row r="9" spans="1:2" ht="60" customHeight="1">
      <c r="A9" s="9" t="s">
        <v>109</v>
      </c>
      <c r="B9" s="16" t="s">
        <v>110</v>
      </c>
    </row>
    <row r="10" spans="1:2" ht="60" customHeight="1">
      <c r="A10" s="9" t="s">
        <v>111</v>
      </c>
      <c r="B10" s="16" t="s">
        <v>112</v>
      </c>
    </row>
    <row r="11" spans="1:2" ht="60" customHeight="1">
      <c r="A11" s="9" t="s">
        <v>113</v>
      </c>
      <c r="B11" s="16" t="s">
        <v>114</v>
      </c>
    </row>
    <row r="12" spans="1:2" ht="60" customHeight="1">
      <c r="A12" s="9" t="s">
        <v>115</v>
      </c>
      <c r="B12" s="1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Scenarios</vt:lpstr>
      <vt:lpstr>Sensitivity</vt:lpstr>
      <vt:lpstr>Historical Multiples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2026-08-08T10:30:09Z</dcterms:created>
  <dcterms:modified xsi:type="dcterms:W3CDTF">2026-08-08T10:30:09Z</dcterms:modified>
</cp:coreProperties>
</file>