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<sst xmlns="http://schemas.openxmlformats.org/spreadsheetml/2006/main" count="351" uniqueCount="163">
  <si>
    <t xml:space="preserve">Ticker</t>
  </si>
  <si>
    <t xml:space="preserve">1209.HK</t>
  </si>
  <si>
    <t xml:space="preserve">Company</t>
  </si>
  <si>
    <t xml:space="preserve">China Resources Mixc Lifestyle Services Limited</t>
  </si>
  <si>
    <t xml:space="preserve">Valuation date</t>
  </si>
  <si>
    <t xml:space="preserve">2026-10-16</t>
  </si>
  <si>
    <t xml:space="preserve">Current price</t>
  </si>
  <si>
    <t xml:space="preserve">Price as of</t>
  </si>
  <si>
    <t xml:space="preserve">2026-10-16T06:32:46Z (regular HKEX afternoon session; not an after-hours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</si>
  <si>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</si>
  <si>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</si>
  <si>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</si>
  <si>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</si>
  <si>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</si>
  <si>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</si>
  <si>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</si>
  <si>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</si>
  <si>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</si>
  <si>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</si>
  <si>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</si>
  <si>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</si>
  <si>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</si>
  <si>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2026-10-16T06:54:22Z</t>
  </si>
  <si>
    <t xml:space="preserve">Drivers file</t>
  </si>
  <si>
    <t xml:space="preserve">1209.HK_Drivers.json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</si>
  <si>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</si>
  <si>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</si>
  <si>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</si>
  <si>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an asset-light, zero-debt services business whose economics are a blend of a high-margin, growing shopping-mall operator and a low-margin, mature property manager. Flows are stripped of investment income and non-cash revaluation gains; the RMB17bn of cash, deposits and principal-protected products is added back at fair value, less the dividend already declared against it. Leases on sub-let malls are an operating cost (treatment B), not debt. The valuation is reported in HKD at the 2026-10-16 CNY/HKD rate so it is comparable to the HKEX price.
key_risks_to_valuation: Parent dependence: most new malls and much of the office/PM pipeline come from CR Land; a slowdown in CR Land completions or a change in related-party terms moves the growth path directly.; Regulatory pricing of residential property-management fees and the collectability of developer/owner receivables (RMB3.0bn at Jun-2026, growing ~15%/yr) - the bear case charges this through margin and working capital.; Capital allocation of the RMB15bn liquid pile: common-control acquisitions from the parent (RMB121m in FY2025) and the proposed consumer fund could redeploy cash at below-WACC returns; the model credits it at face value.; FX: value is built in CNY and translated at 1.1729 CNY/HKD; a 5% RMB depreciation against HKD is a ~5% lower HKD value with no change in the business.; Mall gross margin (75.9%) and the sub-leasing portfolio are sensitive to retail-sales-linked fees; a consumption downturn hits the highest-margin 26% of revenue first.; Terminal assumptions: ~55-65% of value is terminal at a 9.5% CNY discount rate; +/-1pp on WACC or terminal growth moves the base IV by roughly 10-15% (see sensitivity grid).</t>
  </si>
  <si>
    <t xml:space="preserve">Data sources</t>
  </si>
  <si>
    <t xml:space="preserve">price: Yahoo Finance chart API at inputs.price_as_of; 52-week range 36.14-51.15 HKD. CNY/HKD from Yahoo CNYHKD=X at the same time.
financials: 1209.HK_Metrics.csv (core_metrics, 11 periods FY2019-H1 FY2026) plus the FY2025 annual report (segment table p.1193-1219 of the extract, income statement 7390-7418, balance sheet 7451-7486, cash flow 7642-7683, other income note 5 at 10981-11002, lease reconciliation 12296-12313, D&amp;A 12235-12237) and the H1-2026 interim report (balance sheet 3520-3579, cash flow 3689-3724, other income 4068-4088, dividend payable 4681-4684, FVTPL note 13 at 4491-4548, shares in issue 1939).
qualitative: No Analysis.json existed at build time; business context taken from the FY2025 annual report Chairman's statement and Future Outlook (978-1050), the H1-2026 Chairman's statement and Future Outlook (267-300, 530-600), and the segment disclosures.</t>
  </si>
  <si>
    <t xml:space="preserve">Scenario narrative: bear</t>
  </si>
  <si>
    <t xml:space="preserve">A prolonged China property and consumption downturn: CR Land slows mall completions, same-mall retail sales stall and rent concessions compress the 76% mall gross margin; property-management fees face local price caps and collection rates fall, with developer and owner receivables (RMB3.0bn and growing ~15%/yr against +5% revenue) needing larger impairments - working capital capture -10% of revenue growth. The subleasing portfolio's fixed lease cost rises as a share of revenue. Growth drops to 1-2%, EBITDA margin compresses to 27%, cash tax rises with less preferential-rate income. Terminal 2.0% and a 15x cap because a slow-growing, regulated service business with parent-pipeline dependence does not command a premium multiple.</t>
  </si>
  <si>
    <t xml:space="preserve">Scenario narrative: base</t>
  </si>
  <si>
    <t xml:space="preserve">China consumption grows at low-to-mid single digits in nominal terms; CR Land keeps delivering 10-14 new Mixc/Mixc One malls a year and the group adds a handful of third-party malls, so commercial-management revenue compounds at low-double-digits while shopping-mall retail sales (RMB266bn in 2025, +~15%) outgrow the market. Property management (60% of revenue) grows 1-3%: new state-owned-enterprise and urban-space contracts offset deliberate exits from low-margin third-party residential projects (the Nantong/Xiamen withdrawals). Mix shift lifts post-IFRS-16 EBITDA margin from 29.4% to ~31.5% over four years, then it plateaus. The 100% payout continues; the RMB15bn liquid pile is returned over time rather than deployed into acquisitions at poor returns. Revenue growth decays from 7.5% to 3%, terminal 2.5%.</t>
  </si>
  <si>
    <t xml:space="preserve">Scenario narrative: bull</t>
  </si>
  <si>
    <t xml:space="preserve">Domestic-demand stimulus and the 'Property Service Improvement Initiative' in the 15th Five-Year Plan lift mall retail sales and tenant sales-linked fees; third-party mall wins (12 new contracts in 2025) accelerate so commercial management grows mid-teens for several years, office leasing fills on the financial-institution strategic projects, and the membership/ecosystem business (CR Life Club) scales at 30-37% gross margin. Property-management margins recover as the mix tilts toward SOE and urban-space contracts and AI-driven cost control bites. EBITDA margin reaches 34%; growth starts at 10% and decays to 4%; terminal 3.0%, cap 20x reflecting a scarce SOE-backed consumer franchise.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</si>
  <si>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</si>
  <si>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</si>
  <si>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</si>
  <si>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</si>
  <si>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</si>
  <si>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</si>
  <si>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</si>
  <si>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</si>
  <si>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</si>
  <si>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</si>
  <si>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</si>
  <si>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</si>
  <si>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</si>
  <si>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</si>
  <si>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</si>
  <si>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</si>
  <si>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</si>
  <si>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</si>
  <si>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</si>
  <si>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</si>
  <si>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</si>
  <si>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</si>
  <si>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</si>
  <si>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</si>
  <si>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</si>
  <si>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</si>
  <si>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</si>
  <si>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</si>
  <si>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</si>
  <si>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</si>
  <si>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</si>
  <si>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</si>
  <si>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</si>
  <si>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</si>
  <si>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</si>
  <si>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</si>
  <si>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</si>
  <si>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</si>
  <si>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</si>
  <si>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</si>
  <si>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</si>
  <si>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</si>
  <si>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</si>
  <si>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</si>
  <si>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</si>
  <si>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</si>
  <si>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</si>
  <si>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</si>
  <si>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</si>
  <si>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</si>
  <si>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</si>
  <si>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</si>
  <si>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</si>
  <si>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</si>
  <si>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</si>
  <si>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</si>
  <si>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</si>
  <si>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</si>
  <si>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</si>
  <si>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</si>
  <si>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</si>
  <si>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</si>
  <si>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</si>
  <si>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</si>
  <si>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</si>
  <si>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</si>
  <si>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</si>
  <si>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</si>
  <si>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</si>
  <si>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</si>
  <si>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</si>
  <si>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1209.HK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</si>
  <si>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</si>
  <si>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</si>
  <si>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</si>
  <si>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</si>
  <si>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</si>
  <si>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</si>
  <si>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</si>
  <si>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</si>
  <si>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</si>
  <si>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</si>
  <si>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</si>
  <si>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</si>
  <si>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</si>
  <si>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</si>
  <si>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</si>
  <si>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</si>
  <si>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</si>
  <si>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</si>
  <si>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</si>
  <si>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</si>
  <si>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</si>
  <si>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</si>
  <si>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</si>
  <si>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</si>
  <si>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</si>
  <si>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</si>
  <si>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</si>
  <si>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</si>
  <si>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</si>
  <si>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</si>
  <si>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1209.HK owner-FCF component DCF: base case (millions, CNY)</t>
  </si>
  <si>
    <t xml:space="preserve">1209.HK owner-FCF component DCF: bull case (millions, CNY)</t>
  </si>
  <si>
    <t xml:space="preserve">1209.HK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</si>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</sst>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39.7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5868.103</v>
      </c>
      <c r="C2" s="0" t="n">
        <v>4925.797</v>
      </c>
      <c r="D2" s="0" t="n">
        <v>942.306</v>
      </c>
      <c r="E2" s="0" t="n">
        <v>16.1</v>
      </c>
      <c r="I2" s="0" t="n">
        <v>364.928</v>
      </c>
      <c r="J2" s="0" t="n">
        <v>6.2</v>
      </c>
      <c r="K2" s="0" t="n">
        <v>0.221</v>
      </c>
      <c r="L2" s="0" t="n">
        <v>455.094</v>
      </c>
      <c r="M2" s="0" t="n">
        <v>77.116</v>
      </c>
      <c r="N2" s="0" t="n">
        <v>377.978</v>
      </c>
      <c r="O2" s="0" t="n">
        <v>1031.584</v>
      </c>
      <c r="P2" s="0" t="n">
        <v>7101.278</v>
      </c>
      <c r="Q2" s="0" t="n">
        <v>6069.694</v>
      </c>
      <c r="R2" s="0" t="n">
        <v>0</v>
      </c>
      <c r="S2" s="0" t="n">
        <v>605.489</v>
      </c>
      <c r="T2" s="0" t="n">
        <v>1650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6778.911</v>
      </c>
      <c r="C3" s="0" t="n">
        <v>4951.878</v>
      </c>
      <c r="D3" s="0" t="n">
        <v>1827.033</v>
      </c>
      <c r="E3" s="0" t="n">
        <v>27</v>
      </c>
      <c r="I3" s="0" t="n">
        <v>817.71</v>
      </c>
      <c r="J3" s="0" t="n">
        <v>12.1</v>
      </c>
      <c r="K3" s="0" t="n">
        <v>0.485</v>
      </c>
      <c r="L3" s="0" t="n">
        <v>1102.898</v>
      </c>
      <c r="M3" s="0" t="n">
        <v>208.86</v>
      </c>
      <c r="N3" s="0" t="n">
        <v>894.038</v>
      </c>
      <c r="O3" s="0" t="n">
        <v>12463.032</v>
      </c>
      <c r="P3" s="0" t="n">
        <v>19075.954</v>
      </c>
      <c r="Q3" s="0" t="n">
        <v>6612.922</v>
      </c>
      <c r="R3" s="0" t="n">
        <v>521.815</v>
      </c>
      <c r="S3" s="0" t="n">
        <v>10312.459</v>
      </c>
      <c r="T3" s="0" t="n">
        <v>2282.5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8875.384</v>
      </c>
      <c r="C4" s="0" t="n">
        <v>6116.866</v>
      </c>
      <c r="D4" s="0" t="n">
        <v>2758.518</v>
      </c>
      <c r="E4" s="0" t="n">
        <v>31.1</v>
      </c>
      <c r="I4" s="0" t="n">
        <v>1724.925</v>
      </c>
      <c r="J4" s="0" t="n">
        <v>19.4</v>
      </c>
      <c r="K4" s="0" t="n">
        <v>0.756</v>
      </c>
      <c r="L4" s="0" t="n">
        <v>2289.784</v>
      </c>
      <c r="M4" s="0" t="n">
        <v>370.908</v>
      </c>
      <c r="N4" s="0" t="n">
        <v>1918.876</v>
      </c>
      <c r="O4" s="0" t="n">
        <v>13887.88</v>
      </c>
      <c r="P4" s="0" t="n">
        <v>21591.922</v>
      </c>
      <c r="Q4" s="0" t="n">
        <v>7702.897</v>
      </c>
      <c r="R4" s="0" t="n">
        <v>801.249</v>
      </c>
      <c r="S4" s="0" t="n">
        <v>13698.238</v>
      </c>
      <c r="T4" s="0" t="n">
        <v>2282.5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12016.179</v>
      </c>
      <c r="C5" s="0" t="n">
        <v>8405.245</v>
      </c>
      <c r="D5" s="0" t="n">
        <v>3610.934</v>
      </c>
      <c r="E5" s="0" t="n">
        <v>30.1</v>
      </c>
      <c r="I5" s="0" t="n">
        <v>2206.126</v>
      </c>
      <c r="J5" s="0" t="n">
        <v>18.4</v>
      </c>
      <c r="K5" s="0" t="n">
        <v>0.967</v>
      </c>
      <c r="L5" s="0" t="n">
        <v>1891.033</v>
      </c>
      <c r="M5" s="0" t="n">
        <v>121.045</v>
      </c>
      <c r="N5" s="0" t="n">
        <v>1769.988</v>
      </c>
      <c r="O5" s="0" t="n">
        <v>14279.729</v>
      </c>
      <c r="P5" s="0" t="n">
        <v>25837.842</v>
      </c>
      <c r="Q5" s="0" t="n">
        <v>11512.11</v>
      </c>
      <c r="R5" s="0" t="n">
        <v>0</v>
      </c>
      <c r="S5" s="0" t="n">
        <v>12592.832</v>
      </c>
      <c r="T5" s="0" t="n">
        <v>2282.5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14766.952</v>
      </c>
      <c r="C6" s="0" t="n">
        <v>10072.674</v>
      </c>
      <c r="D6" s="0" t="n">
        <v>4694.278</v>
      </c>
      <c r="E6" s="0" t="n">
        <v>31.8</v>
      </c>
      <c r="I6" s="0" t="n">
        <v>2928.749</v>
      </c>
      <c r="J6" s="0" t="n">
        <v>19.8</v>
      </c>
      <c r="K6" s="0" t="n">
        <v>1.283</v>
      </c>
      <c r="L6" s="0" t="n">
        <v>3041.505</v>
      </c>
      <c r="M6" s="0" t="n">
        <v>581.674</v>
      </c>
      <c r="N6" s="0" t="n">
        <v>2459.831</v>
      </c>
      <c r="O6" s="0" t="n">
        <v>15948.236</v>
      </c>
      <c r="P6" s="0" t="n">
        <v>27783.482</v>
      </c>
      <c r="Q6" s="0" t="n">
        <v>11747.432</v>
      </c>
      <c r="R6" s="0" t="n">
        <v>0</v>
      </c>
      <c r="S6" s="0" t="n">
        <v>11580.159</v>
      </c>
      <c r="T6" s="0" t="n">
        <v>2282.5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17042.658</v>
      </c>
      <c r="C7" s="0" t="n">
        <v>11433.19</v>
      </c>
      <c r="D7" s="0" t="n">
        <v>5609.468</v>
      </c>
      <c r="E7" s="0" t="n">
        <v>32.9</v>
      </c>
      <c r="I7" s="0" t="n">
        <v>3629.375</v>
      </c>
      <c r="J7" s="0" t="n">
        <v>21.3</v>
      </c>
      <c r="K7" s="0" t="n">
        <v>1.59</v>
      </c>
      <c r="L7" s="0" t="n">
        <v>4258.802</v>
      </c>
      <c r="M7" s="0" t="n">
        <v>392.071</v>
      </c>
      <c r="N7" s="0" t="n">
        <v>3866.731</v>
      </c>
      <c r="O7" s="0" t="n">
        <v>16525.372</v>
      </c>
      <c r="P7" s="0" t="n">
        <v>28908.135</v>
      </c>
      <c r="Q7" s="0" t="n">
        <v>12186.979</v>
      </c>
      <c r="R7" s="0" t="n">
        <v>0</v>
      </c>
      <c r="S7" s="0" t="n">
        <v>9570.816</v>
      </c>
      <c r="T7" s="0" t="n">
        <v>2282.5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18021.618</v>
      </c>
      <c r="C8" s="0" t="n">
        <v>11616.048</v>
      </c>
      <c r="D8" s="0" t="n">
        <v>6405.57</v>
      </c>
      <c r="E8" s="0" t="n">
        <v>35.5</v>
      </c>
      <c r="I8" s="0" t="n">
        <v>3969.023</v>
      </c>
      <c r="J8" s="0" t="n">
        <v>22</v>
      </c>
      <c r="K8" s="0" t="n">
        <v>1.739</v>
      </c>
      <c r="L8" s="0" t="n">
        <v>4081.187</v>
      </c>
      <c r="M8" s="0" t="n">
        <v>211.148</v>
      </c>
      <c r="N8" s="0" t="n">
        <v>3870.039</v>
      </c>
      <c r="O8" s="0" t="n">
        <v>15461.903</v>
      </c>
      <c r="P8" s="0" t="n">
        <v>29050.947</v>
      </c>
      <c r="Q8" s="0" t="n">
        <v>13357.211</v>
      </c>
      <c r="R8" s="0" t="n">
        <v>0</v>
      </c>
      <c r="S8" s="0" t="n">
        <v>5538.294</v>
      </c>
      <c r="T8" s="0" t="n">
        <v>2282.5</v>
      </c>
      <c r="AA8" s="0" t="s">
        <v>18</v>
      </c>
      <c r="AB8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39.7</v>
      </c>
    </row>
    <row r="3" customFormat="false" ht="15" hidden="false" customHeight="false" outlineLevel="0" collapsed="false">
      <c r="A3" s="0" t="s">
        <v>74</v>
      </c>
      <c r="B3" s="3" t="n">
        <v>2282.5</v>
      </c>
    </row>
    <row r="4" customFormat="false" ht="15" hidden="false" customHeight="false" outlineLevel="0" collapsed="false">
      <c r="A4" s="0" t="s">
        <v>75</v>
      </c>
      <c r="B4" s="3" t="n">
        <v>-4455.3</v>
      </c>
    </row>
    <row r="5" customFormat="false" ht="15" hidden="false" customHeight="false" outlineLevel="0" collapsed="false">
      <c r="A5" s="0" t="s">
        <v>76</v>
      </c>
      <c r="B5" s="3" t="n">
        <v>10576.1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18021.6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1.1729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4</v>
      </c>
      <c r="D13" s="3" t="n">
        <v>2</v>
      </c>
      <c r="E13" s="3" t="n">
        <v>1</v>
      </c>
      <c r="F13" s="3" t="n">
        <v>1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95</v>
      </c>
      <c r="C14" s="3" t="n">
        <v>29</v>
      </c>
      <c r="D14" s="3" t="n">
        <v>28</v>
      </c>
      <c r="E14" s="3" t="n">
        <v>27.5</v>
      </c>
      <c r="F14" s="3" t="n">
        <v>27</v>
      </c>
      <c r="G14" s="3" t="n">
        <v>27</v>
      </c>
      <c r="H14" s="3" t="n">
        <v>27</v>
      </c>
      <c r="I14" s="3" t="n">
        <v>27</v>
      </c>
      <c r="J14" s="3" t="n">
        <v>27</v>
      </c>
      <c r="K14" s="3" t="n">
        <v>27</v>
      </c>
      <c r="L14" s="3" t="n">
        <v>27</v>
      </c>
    </row>
    <row r="15" customFormat="false" ht="15" hidden="false" customHeight="false" outlineLevel="0" collapsed="false">
      <c r="A15" s="0" t="s">
        <v>96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97</v>
      </c>
      <c r="C16" s="3" t="n">
        <v>1.5</v>
      </c>
      <c r="D16" s="3" t="n">
        <v>1.5</v>
      </c>
      <c r="E16" s="3" t="n">
        <v>1.5</v>
      </c>
      <c r="F16" s="3" t="n">
        <v>1.5</v>
      </c>
      <c r="G16" s="3" t="n">
        <v>1.5</v>
      </c>
      <c r="H16" s="3" t="n">
        <v>1.5</v>
      </c>
      <c r="I16" s="3" t="n">
        <v>1.5</v>
      </c>
      <c r="J16" s="3" t="n">
        <v>1.5</v>
      </c>
      <c r="K16" s="3" t="n">
        <v>1.5</v>
      </c>
      <c r="L16" s="3" t="n">
        <v>1.5</v>
      </c>
    </row>
    <row r="17" customFormat="false" ht="15" hidden="false" customHeight="false" outlineLevel="0" collapsed="false">
      <c r="A17" s="0" t="s">
        <v>98</v>
      </c>
      <c r="C17" s="3" t="n">
        <v>0.75</v>
      </c>
      <c r="D17" s="3" t="n">
        <v>0.75</v>
      </c>
      <c r="E17" s="3" t="n">
        <v>0.75</v>
      </c>
      <c r="F17" s="3" t="n">
        <v>0.75</v>
      </c>
      <c r="G17" s="3" t="n">
        <v>0.75</v>
      </c>
      <c r="H17" s="3" t="n">
        <v>0.75</v>
      </c>
      <c r="I17" s="3" t="n">
        <v>0.75</v>
      </c>
      <c r="J17" s="3" t="n">
        <v>0.75</v>
      </c>
      <c r="K17" s="3" t="n">
        <v>0.75</v>
      </c>
      <c r="L17" s="3" t="n">
        <v>0.75</v>
      </c>
    </row>
    <row r="18" customFormat="false" ht="15" hidden="false" customHeight="false" outlineLevel="0" collapsed="false">
      <c r="A18" s="0" t="s">
        <v>99</v>
      </c>
      <c r="C18" s="3" t="n">
        <v>1.8</v>
      </c>
      <c r="D18" s="3" t="n">
        <v>1.8</v>
      </c>
      <c r="E18" s="3" t="n">
        <v>1.7</v>
      </c>
      <c r="F18" s="3" t="n">
        <v>1.6</v>
      </c>
      <c r="G18" s="3" t="n">
        <v>1.6</v>
      </c>
      <c r="H18" s="3" t="n">
        <v>1.6</v>
      </c>
      <c r="I18" s="3" t="n">
        <v>1.6</v>
      </c>
      <c r="J18" s="3" t="n">
        <v>1.6</v>
      </c>
      <c r="K18" s="3" t="n">
        <v>1.6</v>
      </c>
      <c r="L18" s="3" t="n">
        <v>1.6</v>
      </c>
    </row>
    <row r="19" customFormat="false" ht="15" hidden="false" customHeight="false" outlineLevel="0" collapsed="false">
      <c r="A19" s="0" t="s">
        <v>100</v>
      </c>
      <c r="C19" s="3" t="n">
        <v>28.5</v>
      </c>
      <c r="D19" s="3" t="n">
        <v>28.5</v>
      </c>
      <c r="E19" s="3" t="n">
        <v>28.5</v>
      </c>
      <c r="F19" s="3" t="n">
        <v>28.5</v>
      </c>
      <c r="G19" s="3" t="n">
        <v>28.5</v>
      </c>
      <c r="H19" s="3" t="n">
        <v>28.5</v>
      </c>
      <c r="I19" s="3" t="n">
        <v>28.5</v>
      </c>
      <c r="J19" s="3" t="n">
        <v>28.5</v>
      </c>
      <c r="K19" s="3" t="n">
        <v>28.5</v>
      </c>
      <c r="L19" s="3" t="n">
        <v>28.5</v>
      </c>
    </row>
    <row r="20" customFormat="false" ht="15" hidden="false" customHeight="false" outlineLevel="0" collapsed="false">
      <c r="A20" s="0" t="s">
        <v>101</v>
      </c>
      <c r="B20" s="3" t="n">
        <v>9.5</v>
      </c>
    </row>
    <row r="21" customFormat="false" ht="15" hidden="false" customHeight="false" outlineLevel="0" collapsed="false">
      <c r="A21" s="0" t="s">
        <v>102</v>
      </c>
      <c r="B21" s="3" t="n">
        <v>2</v>
      </c>
    </row>
    <row r="22" customFormat="false" ht="15" hidden="false" customHeight="false" outlineLevel="0" collapsed="false">
      <c r="A22" s="0" t="s">
        <v>103</v>
      </c>
      <c r="B22" s="3" t="n">
        <v>15</v>
      </c>
    </row>
    <row r="23" customFormat="false" ht="15" hidden="false" customHeight="false" outlineLevel="0" collapsed="false">
      <c r="A23" s="0" t="s">
        <v>104</v>
      </c>
      <c r="B23" s="3" t="n">
        <v>-10</v>
      </c>
    </row>
    <row r="24" customFormat="false" ht="15" hidden="false" customHeight="false" outlineLevel="0" collapsed="false">
      <c r="A24" s="0" t="s">
        <v>105</v>
      </c>
      <c r="B24" s="3" t="n">
        <v>0.25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7.5</v>
      </c>
      <c r="D27" s="3" t="n">
        <v>7</v>
      </c>
      <c r="E27" s="3" t="n">
        <v>6.5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95</v>
      </c>
      <c r="C28" s="3" t="n">
        <v>30</v>
      </c>
      <c r="D28" s="3" t="n">
        <v>30.5</v>
      </c>
      <c r="E28" s="3" t="n">
        <v>31</v>
      </c>
      <c r="F28" s="3" t="n">
        <v>31.3</v>
      </c>
      <c r="G28" s="3" t="n">
        <v>31.5</v>
      </c>
      <c r="H28" s="3" t="n">
        <v>31.5</v>
      </c>
      <c r="I28" s="3" t="n">
        <v>31.5</v>
      </c>
      <c r="J28" s="3" t="n">
        <v>31.5</v>
      </c>
      <c r="K28" s="3" t="n">
        <v>31.5</v>
      </c>
      <c r="L28" s="3" t="n">
        <v>31.5</v>
      </c>
    </row>
    <row r="29" customFormat="false" ht="15" hidden="false" customHeight="false" outlineLevel="0" collapsed="false">
      <c r="A29" s="0" t="s">
        <v>96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97</v>
      </c>
      <c r="C30" s="3" t="n">
        <v>1.4</v>
      </c>
      <c r="D30" s="3" t="n">
        <v>1.4</v>
      </c>
      <c r="E30" s="3" t="n">
        <v>1.4</v>
      </c>
      <c r="F30" s="3" t="n">
        <v>1.4</v>
      </c>
      <c r="G30" s="3" t="n">
        <v>1.4</v>
      </c>
      <c r="H30" s="3" t="n">
        <v>1.4</v>
      </c>
      <c r="I30" s="3" t="n">
        <v>1.4</v>
      </c>
      <c r="J30" s="3" t="n">
        <v>1.4</v>
      </c>
      <c r="K30" s="3" t="n">
        <v>1.4</v>
      </c>
      <c r="L30" s="3" t="n">
        <v>1.4</v>
      </c>
    </row>
    <row r="31" customFormat="false" ht="15" hidden="false" customHeight="false" outlineLevel="0" collapsed="false">
      <c r="A31" s="0" t="s">
        <v>98</v>
      </c>
      <c r="C31" s="3" t="n">
        <v>0.75</v>
      </c>
      <c r="D31" s="3" t="n">
        <v>0.75</v>
      </c>
      <c r="E31" s="3" t="n">
        <v>0.75</v>
      </c>
      <c r="F31" s="3" t="n">
        <v>0.75</v>
      </c>
      <c r="G31" s="3" t="n">
        <v>0.75</v>
      </c>
      <c r="H31" s="3" t="n">
        <v>0.75</v>
      </c>
      <c r="I31" s="3" t="n">
        <v>0.75</v>
      </c>
      <c r="J31" s="3" t="n">
        <v>0.75</v>
      </c>
      <c r="K31" s="3" t="n">
        <v>0.75</v>
      </c>
      <c r="L31" s="3" t="n">
        <v>0.75</v>
      </c>
    </row>
    <row r="32" customFormat="false" ht="15" hidden="false" customHeight="false" outlineLevel="0" collapsed="false">
      <c r="A32" s="0" t="s">
        <v>99</v>
      </c>
      <c r="C32" s="3" t="n">
        <v>1.6</v>
      </c>
      <c r="D32" s="3" t="n">
        <v>1.6</v>
      </c>
      <c r="E32" s="3" t="n">
        <v>1.6</v>
      </c>
      <c r="F32" s="3" t="n">
        <v>1.5</v>
      </c>
      <c r="G32" s="3" t="n">
        <v>1.5</v>
      </c>
      <c r="H32" s="3" t="n">
        <v>1.5</v>
      </c>
      <c r="I32" s="3" t="n">
        <v>1.5</v>
      </c>
      <c r="J32" s="3" t="n">
        <v>1.5</v>
      </c>
      <c r="K32" s="3" t="n">
        <v>1.5</v>
      </c>
      <c r="L32" s="3" t="n">
        <v>1.5</v>
      </c>
    </row>
    <row r="33" customFormat="false" ht="15" hidden="false" customHeight="false" outlineLevel="0" collapsed="false">
      <c r="A33" s="0" t="s">
        <v>100</v>
      </c>
      <c r="C33" s="3" t="n">
        <v>27.5</v>
      </c>
      <c r="D33" s="3" t="n">
        <v>27.5</v>
      </c>
      <c r="E33" s="3" t="n">
        <v>27.5</v>
      </c>
      <c r="F33" s="3" t="n">
        <v>27.5</v>
      </c>
      <c r="G33" s="3" t="n">
        <v>27.5</v>
      </c>
      <c r="H33" s="3" t="n">
        <v>27.5</v>
      </c>
      <c r="I33" s="3" t="n">
        <v>27.5</v>
      </c>
      <c r="J33" s="3" t="n">
        <v>27.5</v>
      </c>
      <c r="K33" s="3" t="n">
        <v>27.5</v>
      </c>
      <c r="L33" s="3" t="n">
        <v>27.5</v>
      </c>
    </row>
    <row r="34" customFormat="false" ht="15" hidden="false" customHeight="false" outlineLevel="0" collapsed="false">
      <c r="A34" s="0" t="s">
        <v>101</v>
      </c>
      <c r="B34" s="3" t="n">
        <v>9.5</v>
      </c>
    </row>
    <row r="35" customFormat="false" ht="15" hidden="false" customHeight="false" outlineLevel="0" collapsed="false">
      <c r="A35" s="0" t="s">
        <v>102</v>
      </c>
      <c r="B35" s="3" t="n">
        <v>2.5</v>
      </c>
    </row>
    <row r="36" customFormat="false" ht="15" hidden="false" customHeight="false" outlineLevel="0" collapsed="false">
      <c r="A36" s="0" t="s">
        <v>103</v>
      </c>
      <c r="B36" s="3" t="n">
        <v>18</v>
      </c>
    </row>
    <row r="37" customFormat="false" ht="15" hidden="false" customHeight="false" outlineLevel="0" collapsed="false">
      <c r="A37" s="0" t="s">
        <v>104</v>
      </c>
      <c r="B37" s="3" t="n">
        <v>0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10</v>
      </c>
      <c r="D41" s="3" t="n">
        <v>10</v>
      </c>
      <c r="E41" s="3" t="n">
        <v>9</v>
      </c>
      <c r="F41" s="3" t="n">
        <v>8</v>
      </c>
      <c r="G41" s="3" t="n">
        <v>7</v>
      </c>
      <c r="H41" s="3" t="n">
        <v>6</v>
      </c>
      <c r="I41" s="3" t="n">
        <v>5.5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95</v>
      </c>
      <c r="C42" s="3" t="n">
        <v>30.5</v>
      </c>
      <c r="D42" s="3" t="n">
        <v>31.5</v>
      </c>
      <c r="E42" s="3" t="n">
        <v>32.5</v>
      </c>
      <c r="F42" s="3" t="n">
        <v>33</v>
      </c>
      <c r="G42" s="3" t="n">
        <v>33.5</v>
      </c>
      <c r="H42" s="3" t="n">
        <v>34</v>
      </c>
      <c r="I42" s="3" t="n">
        <v>34</v>
      </c>
      <c r="J42" s="3" t="n">
        <v>34</v>
      </c>
      <c r="K42" s="3" t="n">
        <v>34</v>
      </c>
      <c r="L42" s="3" t="n">
        <v>34</v>
      </c>
    </row>
    <row r="43" customFormat="false" ht="15" hidden="false" customHeight="false" outlineLevel="0" collapsed="false">
      <c r="A43" s="0" t="s">
        <v>96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97</v>
      </c>
      <c r="C44" s="3" t="n">
        <v>1.3</v>
      </c>
      <c r="D44" s="3" t="n">
        <v>1.3</v>
      </c>
      <c r="E44" s="3" t="n">
        <v>1.3</v>
      </c>
      <c r="F44" s="3" t="n">
        <v>1.3</v>
      </c>
      <c r="G44" s="3" t="n">
        <v>1.3</v>
      </c>
      <c r="H44" s="3" t="n">
        <v>1.3</v>
      </c>
      <c r="I44" s="3" t="n">
        <v>1.3</v>
      </c>
      <c r="J44" s="3" t="n">
        <v>1.3</v>
      </c>
      <c r="K44" s="3" t="n">
        <v>1.3</v>
      </c>
      <c r="L44" s="3" t="n">
        <v>1.3</v>
      </c>
    </row>
    <row r="45" customFormat="false" ht="15" hidden="false" customHeight="false" outlineLevel="0" collapsed="false">
      <c r="A45" s="0" t="s">
        <v>98</v>
      </c>
      <c r="C45" s="3" t="n">
        <v>0.75</v>
      </c>
      <c r="D45" s="3" t="n">
        <v>0.75</v>
      </c>
      <c r="E45" s="3" t="n">
        <v>0.75</v>
      </c>
      <c r="F45" s="3" t="n">
        <v>0.75</v>
      </c>
      <c r="G45" s="3" t="n">
        <v>0.75</v>
      </c>
      <c r="H45" s="3" t="n">
        <v>0.75</v>
      </c>
      <c r="I45" s="3" t="n">
        <v>0.75</v>
      </c>
      <c r="J45" s="3" t="n">
        <v>0.75</v>
      </c>
      <c r="K45" s="3" t="n">
        <v>0.75</v>
      </c>
      <c r="L45" s="3" t="n">
        <v>0.75</v>
      </c>
    </row>
    <row r="46" customFormat="false" ht="15" hidden="false" customHeight="false" outlineLevel="0" collapsed="false">
      <c r="A46" s="0" t="s">
        <v>99</v>
      </c>
      <c r="C46" s="3" t="n">
        <v>1.6</v>
      </c>
      <c r="D46" s="3" t="n">
        <v>1.6</v>
      </c>
      <c r="E46" s="3" t="n">
        <v>1.5</v>
      </c>
      <c r="F46" s="3" t="n">
        <v>1.5</v>
      </c>
      <c r="G46" s="3" t="n">
        <v>1.5</v>
      </c>
      <c r="H46" s="3" t="n">
        <v>1.4</v>
      </c>
      <c r="I46" s="3" t="n">
        <v>1.4</v>
      </c>
      <c r="J46" s="3" t="n">
        <v>1.4</v>
      </c>
      <c r="K46" s="3" t="n">
        <v>1.4</v>
      </c>
      <c r="L46" s="3" t="n">
        <v>1.4</v>
      </c>
    </row>
    <row r="47" customFormat="false" ht="15" hidden="false" customHeight="false" outlineLevel="0" collapsed="false">
      <c r="A47" s="0" t="s">
        <v>100</v>
      </c>
      <c r="C47" s="3" t="n">
        <v>27</v>
      </c>
      <c r="D47" s="3" t="n">
        <v>27</v>
      </c>
      <c r="E47" s="3" t="n">
        <v>27</v>
      </c>
      <c r="F47" s="3" t="n">
        <v>27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101</v>
      </c>
      <c r="B48" s="3" t="n">
        <v>9.5</v>
      </c>
    </row>
    <row r="49" customFormat="false" ht="15" hidden="false" customHeight="false" outlineLevel="0" collapsed="false">
      <c r="A49" s="0" t="s">
        <v>102</v>
      </c>
      <c r="B49" s="3" t="n">
        <v>3</v>
      </c>
    </row>
    <row r="50" customFormat="false" ht="15" hidden="false" customHeight="false" outlineLevel="0" collapsed="false">
      <c r="A50" s="0" t="s">
        <v>103</v>
      </c>
      <c r="B50" s="3" t="n">
        <v>20</v>
      </c>
    </row>
    <row r="51" customFormat="false" ht="15" hidden="false" customHeight="false" outlineLevel="0" collapsed="false">
      <c r="A51" s="0" t="s">
        <v>104</v>
      </c>
      <c r="B51" s="3" t="n">
        <v>5</v>
      </c>
    </row>
    <row r="52" customFormat="false" ht="15" hidden="false" customHeight="false" outlineLevel="0" collapsed="false">
      <c r="A52" s="0" t="s">
        <v>105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4</v>
      </c>
      <c r="D5" s="4" t="n">
        <f aca="false">Assumptions!D13</f>
        <v>2</v>
      </c>
      <c r="E5" s="4" t="n">
        <f aca="false">Assumptions!E13</f>
        <v>1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18021.6</v>
      </c>
      <c r="C6" s="0" t="n">
        <f aca="false">B6*(1+C5/100)</f>
        <v>18742.464</v>
      </c>
      <c r="D6" s="0" t="n">
        <f aca="false">C6*(1+D5/100)</f>
        <v>19117.31328</v>
      </c>
      <c r="E6" s="0" t="n">
        <f aca="false">D6*(1+E5/100)</f>
        <v>19308.4864128</v>
      </c>
      <c r="F6" s="0" t="n">
        <f aca="false">E6*(1+F5/100)</f>
        <v>19501.571276928</v>
      </c>
      <c r="G6" s="0" t="n">
        <f aca="false">F6*(1+G5/100)</f>
        <v>19794.0948460819</v>
      </c>
      <c r="H6" s="0" t="n">
        <f aca="false">G6*(1+H5/100)</f>
        <v>20189.9767430036</v>
      </c>
      <c r="I6" s="0" t="n">
        <f aca="false">H6*(1+I5/100)</f>
        <v>20593.7762778636</v>
      </c>
      <c r="J6" s="0" t="n">
        <f aca="false">I6*(1+J5/100)</f>
        <v>21005.6518034209</v>
      </c>
      <c r="K6" s="0" t="n">
        <f aca="false">J6*(1+K5/100)</f>
        <v>21425.7648394893</v>
      </c>
      <c r="L6" s="0" t="n">
        <f aca="false">K6*(1+L5/100)</f>
        <v>21854.2801362791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29</v>
      </c>
      <c r="D7" s="4" t="n">
        <f aca="false">Assumptions!D14</f>
        <v>28</v>
      </c>
      <c r="E7" s="4" t="n">
        <f aca="false">Assumptions!E14</f>
        <v>27.5</v>
      </c>
      <c r="F7" s="4" t="n">
        <f aca="false">Assumptions!F14</f>
        <v>27</v>
      </c>
      <c r="G7" s="4" t="n">
        <f aca="false">Assumptions!G14</f>
        <v>27</v>
      </c>
      <c r="H7" s="4" t="n">
        <f aca="false">Assumptions!H14</f>
        <v>27</v>
      </c>
      <c r="I7" s="4" t="n">
        <f aca="false">Assumptions!I14</f>
        <v>27</v>
      </c>
      <c r="J7" s="4" t="n">
        <f aca="false">Assumptions!J14</f>
        <v>27</v>
      </c>
      <c r="K7" s="4" t="n">
        <f aca="false">Assumptions!K14</f>
        <v>27</v>
      </c>
      <c r="L7" s="4" t="n">
        <f aca="false">Assumptions!L14</f>
        <v>27</v>
      </c>
    </row>
    <row r="8" customFormat="false" ht="15" hidden="false" customHeight="false" outlineLevel="0" collapsed="false">
      <c r="A8" s="0" t="s">
        <v>44</v>
      </c>
      <c r="C8" s="0" t="n">
        <f aca="false">C6*C7/100</f>
        <v>5435.31456</v>
      </c>
      <c r="D8" s="0" t="n">
        <f aca="false">D6*D7/100</f>
        <v>5352.8477184</v>
      </c>
      <c r="E8" s="0" t="n">
        <f aca="false">E6*E7/100</f>
        <v>5309.83376352</v>
      </c>
      <c r="F8" s="0" t="n">
        <f aca="false">F6*F7/100</f>
        <v>5265.42424477056</v>
      </c>
      <c r="G8" s="0" t="n">
        <f aca="false">G6*G7/100</f>
        <v>5344.40560844212</v>
      </c>
      <c r="H8" s="0" t="n">
        <f aca="false">H6*H7/100</f>
        <v>5451.29372061096</v>
      </c>
      <c r="I8" s="0" t="n">
        <f aca="false">I6*I7/100</f>
        <v>5560.31959502318</v>
      </c>
      <c r="J8" s="0" t="n">
        <f aca="false">J6*J7/100</f>
        <v>5671.52598692364</v>
      </c>
      <c r="K8" s="0" t="n">
        <f aca="false">K6*K7/100</f>
        <v>5784.95650666211</v>
      </c>
      <c r="L8" s="0" t="n">
        <f aca="false">L6*L7/100</f>
        <v>5900.65563679536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5154.1776</v>
      </c>
      <c r="D11" s="0" t="n">
        <f aca="false">D8+D10+D24</f>
        <v>5066.0880192</v>
      </c>
      <c r="E11" s="0" t="n">
        <f aca="false">E8+E10+E24</f>
        <v>5020.206467328</v>
      </c>
      <c r="F11" s="0" t="n">
        <f aca="false">F8+F10+F24</f>
        <v>4972.90067561664</v>
      </c>
      <c r="G11" s="0" t="n">
        <f aca="false">G8+G10+G24</f>
        <v>5047.49418575089</v>
      </c>
      <c r="H11" s="0" t="n">
        <f aca="false">H8+H10+H24</f>
        <v>5148.44406946591</v>
      </c>
      <c r="I11" s="0" t="n">
        <f aca="false">I8+I10+I24</f>
        <v>5251.41295085522</v>
      </c>
      <c r="J11" s="0" t="n">
        <f aca="false">J8+J10+J24</f>
        <v>5356.44120987233</v>
      </c>
      <c r="K11" s="0" t="n">
        <f aca="false">K8+K10+K24</f>
        <v>5463.57003406977</v>
      </c>
      <c r="L11" s="0" t="n">
        <f aca="false">L8+L10+L24</f>
        <v>5572.84143475117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-140.56848</v>
      </c>
      <c r="D12" s="4" t="n">
        <f aca="false">-D6*Assumptions!D17/100</f>
        <v>-143.3798496</v>
      </c>
      <c r="E12" s="4" t="n">
        <f aca="false">-E6*Assumptions!E17/100</f>
        <v>-144.813648096</v>
      </c>
      <c r="F12" s="4" t="n">
        <f aca="false">-F6*Assumptions!F17/100</f>
        <v>-146.26178457696</v>
      </c>
      <c r="G12" s="4" t="n">
        <f aca="false">-G6*Assumptions!G17/100</f>
        <v>-148.455711345614</v>
      </c>
      <c r="H12" s="4" t="n">
        <f aca="false">-H6*Assumptions!H17/100</f>
        <v>-151.424825572527</v>
      </c>
      <c r="I12" s="4" t="n">
        <f aca="false">-I6*Assumptions!I17/100</f>
        <v>-154.453322083977</v>
      </c>
      <c r="J12" s="4" t="n">
        <f aca="false">-J6*Assumptions!J17/100</f>
        <v>-157.542388525657</v>
      </c>
      <c r="K12" s="4" t="n">
        <f aca="false">-K6*Assumptions!K17/100</f>
        <v>-160.69323629617</v>
      </c>
      <c r="L12" s="4" t="n">
        <f aca="false">-L6*Assumptions!L17/100</f>
        <v>-163.907101022093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5013.60912</v>
      </c>
      <c r="D13" s="0" t="n">
        <f aca="false">D11+D12</f>
        <v>4922.7081696</v>
      </c>
      <c r="E13" s="0" t="n">
        <f aca="false">E11+E12</f>
        <v>4875.392819232</v>
      </c>
      <c r="F13" s="0" t="n">
        <f aca="false">F11+F12</f>
        <v>4826.63889103968</v>
      </c>
      <c r="G13" s="0" t="n">
        <f aca="false">G11+G12</f>
        <v>4899.03847440527</v>
      </c>
      <c r="H13" s="0" t="n">
        <f aca="false">H11+H12</f>
        <v>4997.01924389338</v>
      </c>
      <c r="I13" s="0" t="n">
        <f aca="false">I11+I12</f>
        <v>5096.95962877125</v>
      </c>
      <c r="J13" s="0" t="n">
        <f aca="false">J11+J12</f>
        <v>5198.89882134667</v>
      </c>
      <c r="K13" s="0" t="n">
        <f aca="false">K11+K12</f>
        <v>5302.8767977736</v>
      </c>
      <c r="L13" s="0" t="n">
        <f aca="false">L11+L12</f>
        <v>5408.93433372908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28.5</v>
      </c>
      <c r="D14" s="4" t="n">
        <f aca="false">Assumptions!D19</f>
        <v>28.5</v>
      </c>
      <c r="E14" s="4" t="n">
        <f aca="false">Assumptions!E19</f>
        <v>28.5</v>
      </c>
      <c r="F14" s="4" t="n">
        <f aca="false">Assumptions!F19</f>
        <v>28.5</v>
      </c>
      <c r="G14" s="4" t="n">
        <f aca="false">Assumptions!G19</f>
        <v>28.5</v>
      </c>
      <c r="H14" s="4" t="n">
        <f aca="false">Assumptions!H19</f>
        <v>28.5</v>
      </c>
      <c r="I14" s="4" t="n">
        <f aca="false">Assumptions!I19</f>
        <v>28.5</v>
      </c>
      <c r="J14" s="4" t="n">
        <f aca="false">Assumptions!J19</f>
        <v>28.5</v>
      </c>
      <c r="K14" s="4" t="n">
        <f aca="false">Assumptions!K19</f>
        <v>28.5</v>
      </c>
      <c r="L14" s="4" t="n">
        <f aca="false">Assumptions!L19</f>
        <v>28.5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3584.7305208</v>
      </c>
      <c r="D15" s="0" t="n">
        <f aca="false">D13-MAX(0,D13)*D14/100</f>
        <v>3519.736341264</v>
      </c>
      <c r="E15" s="0" t="n">
        <f aca="false">E13-MAX(0,E13)*E14/100</f>
        <v>3485.90586575088</v>
      </c>
      <c r="F15" s="0" t="n">
        <f aca="false">F13-MAX(0,F13)*F14/100</f>
        <v>3451.04680709337</v>
      </c>
      <c r="G15" s="0" t="n">
        <f aca="false">G13-MAX(0,G13)*G14/100</f>
        <v>3502.81250919977</v>
      </c>
      <c r="H15" s="0" t="n">
        <f aca="false">H13-MAX(0,H13)*H14/100</f>
        <v>3572.86875938377</v>
      </c>
      <c r="I15" s="0" t="n">
        <f aca="false">I13-MAX(0,I13)*I14/100</f>
        <v>3644.32613457144</v>
      </c>
      <c r="J15" s="0" t="n">
        <f aca="false">J13-MAX(0,J13)*J14/100</f>
        <v>3717.21265726287</v>
      </c>
      <c r="K15" s="0" t="n">
        <f aca="false">K13-MAX(0,K13)*K14/100</f>
        <v>3791.55691040813</v>
      </c>
      <c r="L15" s="0" t="n">
        <f aca="false">L13-MAX(0,L13)*L14/100</f>
        <v>3867.38804861629</v>
      </c>
    </row>
    <row r="16" customFormat="false" ht="15" hidden="false" customHeight="false" outlineLevel="0" collapsed="false">
      <c r="A16" s="0" t="s">
        <v>116</v>
      </c>
      <c r="C16" s="0" t="n">
        <f aca="false">-C12</f>
        <v>140.56848</v>
      </c>
      <c r="D16" s="0" t="n">
        <f aca="false">-D12</f>
        <v>143.3798496</v>
      </c>
      <c r="E16" s="0" t="n">
        <f aca="false">-E12</f>
        <v>144.813648096</v>
      </c>
      <c r="F16" s="0" t="n">
        <f aca="false">-F12</f>
        <v>146.26178457696</v>
      </c>
      <c r="G16" s="0" t="n">
        <f aca="false">-G12</f>
        <v>148.455711345614</v>
      </c>
      <c r="H16" s="0" t="n">
        <f aca="false">-H12</f>
        <v>151.424825572527</v>
      </c>
      <c r="I16" s="0" t="n">
        <f aca="false">-I12</f>
        <v>154.453322083977</v>
      </c>
      <c r="J16" s="0" t="n">
        <f aca="false">-J12</f>
        <v>157.542388525657</v>
      </c>
      <c r="K16" s="0" t="n">
        <f aca="false">-K12</f>
        <v>160.69323629617</v>
      </c>
      <c r="L16" s="0" t="n">
        <f aca="false">-L12</f>
        <v>163.907101022093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-337.364352</v>
      </c>
      <c r="D17" s="4" t="n">
        <f aca="false">-D6*Assumptions!D18/100</f>
        <v>-344.11163904</v>
      </c>
      <c r="E17" s="4" t="n">
        <f aca="false">-E6*Assumptions!E18/100</f>
        <v>-328.2442690176</v>
      </c>
      <c r="F17" s="4" t="n">
        <f aca="false">-F6*Assumptions!F18/100</f>
        <v>-312.025140430848</v>
      </c>
      <c r="G17" s="4" t="n">
        <f aca="false">-G6*Assumptions!G18/100</f>
        <v>-316.705517537311</v>
      </c>
      <c r="H17" s="4" t="n">
        <f aca="false">-H6*Assumptions!H18/100</f>
        <v>-323.039627888057</v>
      </c>
      <c r="I17" s="4" t="n">
        <f aca="false">-I6*Assumptions!I18/100</f>
        <v>-329.500420445818</v>
      </c>
      <c r="J17" s="4" t="n">
        <f aca="false">-J6*Assumptions!J18/100</f>
        <v>-336.090428854734</v>
      </c>
      <c r="K17" s="4" t="n">
        <f aca="false">-K6*Assumptions!K18/100</f>
        <v>-342.812237431829</v>
      </c>
      <c r="L17" s="4" t="n">
        <f aca="false">-L6*Assumptions!L18/100</f>
        <v>-349.668482180466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-72.0864000000001</v>
      </c>
      <c r="D18" s="4" t="n">
        <f aca="false">(D6-C6)*Assumptions!$B$23/100</f>
        <v>-37.4849279999999</v>
      </c>
      <c r="E18" s="4" t="n">
        <f aca="false">(E6-D6)*Assumptions!$B$23/100</f>
        <v>-19.1173132799999</v>
      </c>
      <c r="F18" s="4" t="n">
        <f aca="false">(F6-E6)*Assumptions!$B$23/100</f>
        <v>-19.3084864127999</v>
      </c>
      <c r="G18" s="4" t="n">
        <f aca="false">(G6-F6)*Assumptions!$B$23/100</f>
        <v>-29.2523569153916</v>
      </c>
      <c r="H18" s="4" t="n">
        <f aca="false">(H6-G6)*Assumptions!$B$23/100</f>
        <v>-39.5881896921637</v>
      </c>
      <c r="I18" s="4" t="n">
        <f aca="false">(I6-H6)*Assumptions!$B$23/100</f>
        <v>-40.3799534860071</v>
      </c>
      <c r="J18" s="4" t="n">
        <f aca="false">(J6-I6)*Assumptions!$B$23/100</f>
        <v>-41.1875525557272</v>
      </c>
      <c r="K18" s="4" t="n">
        <f aca="false">(K6-J6)*Assumptions!$B$23/100</f>
        <v>-42.0113036068418</v>
      </c>
      <c r="L18" s="4" t="n">
        <f aca="false">(L6-K6)*Assumptions!$B$23/100</f>
        <v>-42.8515296789788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3315.8482488</v>
      </c>
      <c r="D19" s="0" t="n">
        <f aca="false">D15+D16+D17+D18</f>
        <v>3281.519623824</v>
      </c>
      <c r="E19" s="0" t="n">
        <f aca="false">E15+E16+E17+E18</f>
        <v>3283.35793154928</v>
      </c>
      <c r="F19" s="0" t="n">
        <f aca="false">F15+F16+F17+F18</f>
        <v>3265.97496482668</v>
      </c>
      <c r="G19" s="0" t="n">
        <f aca="false">G15+G16+G17+G18</f>
        <v>3305.31034609268</v>
      </c>
      <c r="H19" s="0" t="n">
        <f aca="false">H15+H16+H17+H18</f>
        <v>3361.66576737607</v>
      </c>
      <c r="I19" s="0" t="n">
        <f aca="false">I15+I16+I17+I18</f>
        <v>3428.89908272359</v>
      </c>
      <c r="J19" s="0" t="n">
        <f aca="false">J15+J16+J17+J18</f>
        <v>3497.47706437806</v>
      </c>
      <c r="K19" s="0" t="n">
        <f aca="false">K15+K16+K17+K18</f>
        <v>3567.42660566563</v>
      </c>
      <c r="L19" s="0" t="n">
        <f aca="false">L15+L16+L17+L18</f>
        <v>3638.77513777894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3028.17191671233</v>
      </c>
      <c r="D21" s="0" t="n">
        <f aca="false">D19*D20</f>
        <v>2736.82335549634</v>
      </c>
      <c r="E21" s="0" t="n">
        <f aca="false">E19*E20</f>
        <v>2500.78221397296</v>
      </c>
      <c r="F21" s="0" t="n">
        <f aca="false">F19*F20</f>
        <v>2271.72822869457</v>
      </c>
      <c r="G21" s="0" t="n">
        <f aca="false">G19*G20</f>
        <v>2099.62457418044</v>
      </c>
      <c r="H21" s="0" t="n">
        <f aca="false">H19*H20</f>
        <v>1950.15807933174</v>
      </c>
      <c r="I21" s="0" t="n">
        <f aca="false">I19*I20</f>
        <v>1816.58560814464</v>
      </c>
      <c r="J21" s="0" t="n">
        <f aca="false">J19*J20</f>
        <v>1692.16193635391</v>
      </c>
      <c r="K21" s="0" t="n">
        <f aca="false">K19*K20</f>
        <v>1576.26043386392</v>
      </c>
      <c r="L21" s="0" t="n">
        <f aca="false">L19*L20</f>
        <v>1468.29739044858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1.5</v>
      </c>
      <c r="D23" s="4" t="n">
        <f aca="false">Assumptions!D16</f>
        <v>1.5</v>
      </c>
      <c r="E23" s="4" t="n">
        <f aca="false">Assumptions!E16</f>
        <v>1.5</v>
      </c>
      <c r="F23" s="4" t="n">
        <f aca="false">Assumptions!F16</f>
        <v>1.5</v>
      </c>
      <c r="G23" s="4" t="n">
        <f aca="false">Assumptions!G16</f>
        <v>1.5</v>
      </c>
      <c r="H23" s="4" t="n">
        <f aca="false">Assumptions!H16</f>
        <v>1.5</v>
      </c>
      <c r="I23" s="4" t="n">
        <f aca="false">Assumptions!I16</f>
        <v>1.5</v>
      </c>
      <c r="J23" s="4" t="n">
        <f aca="false">Assumptions!J16</f>
        <v>1.5</v>
      </c>
      <c r="K23" s="4" t="n">
        <f aca="false">Assumptions!K16</f>
        <v>1.5</v>
      </c>
      <c r="L23" s="4" t="n">
        <f aca="false">Assumptions!L16</f>
        <v>1.5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-281.13696</v>
      </c>
      <c r="D24" s="0" t="n">
        <f aca="false">-D6*D23/100</f>
        <v>-286.7596992</v>
      </c>
      <c r="E24" s="0" t="n">
        <f aca="false">-E6*E23/100</f>
        <v>-289.627296192</v>
      </c>
      <c r="F24" s="0" t="n">
        <f aca="false">-F6*F23/100</f>
        <v>-292.52356915392</v>
      </c>
      <c r="G24" s="0" t="n">
        <f aca="false">-G6*G23/100</f>
        <v>-296.911422691229</v>
      </c>
      <c r="H24" s="0" t="n">
        <f aca="false">-H6*H23/100</f>
        <v>-302.849651145053</v>
      </c>
      <c r="I24" s="0" t="n">
        <f aca="false">-I6*I23/100</f>
        <v>-308.906644167954</v>
      </c>
      <c r="J24" s="0" t="n">
        <f aca="false">-J6*J23/100</f>
        <v>-315.084777051313</v>
      </c>
      <c r="K24" s="0" t="n">
        <f aca="false">-K6*K23/100</f>
        <v>-321.38647259234</v>
      </c>
      <c r="L24" s="0" t="n">
        <f aca="false">-L6*L23/100</f>
        <v>-327.814202044187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21140.5937371994</v>
      </c>
    </row>
    <row r="31" customFormat="false" ht="15" hidden="false" customHeight="false" outlineLevel="0" collapsed="false">
      <c r="A31" s="0" t="s">
        <v>125</v>
      </c>
      <c r="B31" s="0" t="n">
        <f aca="false">L19</f>
        <v>3638.77513777894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49487.3418737936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54581.6270666841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49487.3418737936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19968.8445101007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41109.4382473001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56140.8382473001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28.8488890165425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-0.273327732580793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28.8488890165425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28550.3895425732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20.0007275487559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7.5</v>
      </c>
      <c r="D5" s="4" t="n">
        <f aca="false">Assumptions!D27</f>
        <v>7</v>
      </c>
      <c r="E5" s="4" t="n">
        <f aca="false">Assumptions!E27</f>
        <v>6.5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18021.6</v>
      </c>
      <c r="C6" s="0" t="n">
        <f aca="false">B6*(1+C5/100)</f>
        <v>19373.22</v>
      </c>
      <c r="D6" s="0" t="n">
        <f aca="false">C6*(1+D5/100)</f>
        <v>20729.3454</v>
      </c>
      <c r="E6" s="0" t="n">
        <f aca="false">D6*(1+E5/100)</f>
        <v>22076.752851</v>
      </c>
      <c r="F6" s="0" t="n">
        <f aca="false">E6*(1+F5/100)</f>
        <v>23401.35802206</v>
      </c>
      <c r="G6" s="0" t="n">
        <f aca="false">F6*(1+G5/100)</f>
        <v>24688.4327132733</v>
      </c>
      <c r="H6" s="0" t="n">
        <f aca="false">G6*(1+H5/100)</f>
        <v>25922.854348937</v>
      </c>
      <c r="I6" s="0" t="n">
        <f aca="false">H6*(1+I5/100)</f>
        <v>27089.3827946391</v>
      </c>
      <c r="J6" s="0" t="n">
        <f aca="false">I6*(1+J5/100)</f>
        <v>28172.9581064247</v>
      </c>
      <c r="K6" s="0" t="n">
        <f aca="false">J6*(1+K5/100)</f>
        <v>29159.0116401496</v>
      </c>
      <c r="L6" s="0" t="n">
        <f aca="false">K6*(1+L5/100)</f>
        <v>30033.781989354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30</v>
      </c>
      <c r="D7" s="4" t="n">
        <f aca="false">Assumptions!D28</f>
        <v>30.5</v>
      </c>
      <c r="E7" s="4" t="n">
        <f aca="false">Assumptions!E28</f>
        <v>31</v>
      </c>
      <c r="F7" s="4" t="n">
        <f aca="false">Assumptions!F28</f>
        <v>31.3</v>
      </c>
      <c r="G7" s="4" t="n">
        <f aca="false">Assumptions!G28</f>
        <v>31.5</v>
      </c>
      <c r="H7" s="4" t="n">
        <f aca="false">Assumptions!H28</f>
        <v>31.5</v>
      </c>
      <c r="I7" s="4" t="n">
        <f aca="false">Assumptions!I28</f>
        <v>31.5</v>
      </c>
      <c r="J7" s="4" t="n">
        <f aca="false">Assumptions!J28</f>
        <v>31.5</v>
      </c>
      <c r="K7" s="4" t="n">
        <f aca="false">Assumptions!K28</f>
        <v>31.5</v>
      </c>
      <c r="L7" s="4" t="n">
        <f aca="false">Assumptions!L28</f>
        <v>31.5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5811.966</v>
      </c>
      <c r="D8" s="0" t="n">
        <f aca="false">D6*D7/100</f>
        <v>6322.450347</v>
      </c>
      <c r="E8" s="0" t="n">
        <f aca="false">E6*E7/100</f>
        <v>6843.79338381</v>
      </c>
      <c r="F8" s="0" t="n">
        <f aca="false">F6*F7/100</f>
        <v>7324.62506090478</v>
      </c>
      <c r="G8" s="0" t="n">
        <f aca="false">G6*G7/100</f>
        <v>7776.85630468109</v>
      </c>
      <c r="H8" s="0" t="n">
        <f aca="false">H6*H7/100</f>
        <v>8165.69911991514</v>
      </c>
      <c r="I8" s="0" t="n">
        <f aca="false">I6*I7/100</f>
        <v>8533.15558031132</v>
      </c>
      <c r="J8" s="0" t="n">
        <f aca="false">J6*J7/100</f>
        <v>8874.48180352378</v>
      </c>
      <c r="K8" s="0" t="n">
        <f aca="false">K6*K7/100</f>
        <v>9185.08866664711</v>
      </c>
      <c r="L8" s="0" t="n">
        <f aca="false">L6*L7/100</f>
        <v>9460.64132664652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5540.74092</v>
      </c>
      <c r="D11" s="0" t="n">
        <f aca="false">D8+D10+D24</f>
        <v>6032.2395114</v>
      </c>
      <c r="E11" s="0" t="n">
        <f aca="false">E8+E10+E24</f>
        <v>6534.718843896</v>
      </c>
      <c r="F11" s="0" t="n">
        <f aca="false">F8+F10+F24</f>
        <v>6997.00604859594</v>
      </c>
      <c r="G11" s="0" t="n">
        <f aca="false">G8+G10+G24</f>
        <v>7431.21824669526</v>
      </c>
      <c r="H11" s="0" t="n">
        <f aca="false">H8+H10+H24</f>
        <v>7802.77915903003</v>
      </c>
      <c r="I11" s="0" t="n">
        <f aca="false">I8+I10+I24</f>
        <v>8153.90422118638</v>
      </c>
      <c r="J11" s="0" t="n">
        <f aca="false">J8+J10+J24</f>
        <v>8480.06039003383</v>
      </c>
      <c r="K11" s="0" t="n">
        <f aca="false">K8+K10+K24</f>
        <v>8776.86250368502</v>
      </c>
      <c r="L11" s="0" t="n">
        <f aca="false">L8+L10+L24</f>
        <v>9040.16837879557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-145.29915</v>
      </c>
      <c r="D12" s="4" t="n">
        <f aca="false">-D6*Assumptions!D31/100</f>
        <v>-155.4700905</v>
      </c>
      <c r="E12" s="4" t="n">
        <f aca="false">-E6*Assumptions!E31/100</f>
        <v>-165.5756463825</v>
      </c>
      <c r="F12" s="4" t="n">
        <f aca="false">-F6*Assumptions!F31/100</f>
        <v>-175.51018516545</v>
      </c>
      <c r="G12" s="4" t="n">
        <f aca="false">-G6*Assumptions!G31/100</f>
        <v>-185.16324534955</v>
      </c>
      <c r="H12" s="4" t="n">
        <f aca="false">-H6*Assumptions!H31/100</f>
        <v>-194.421407617027</v>
      </c>
      <c r="I12" s="4" t="n">
        <f aca="false">-I6*Assumptions!I31/100</f>
        <v>-203.170370959793</v>
      </c>
      <c r="J12" s="4" t="n">
        <f aca="false">-J6*Assumptions!J31/100</f>
        <v>-211.297185798185</v>
      </c>
      <c r="K12" s="4" t="n">
        <f aca="false">-K6*Assumptions!K31/100</f>
        <v>-218.692587301122</v>
      </c>
      <c r="L12" s="4" t="n">
        <f aca="false">-L6*Assumptions!L31/100</f>
        <v>-225.253364920155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5395.44177</v>
      </c>
      <c r="D13" s="0" t="n">
        <f aca="false">D11+D12</f>
        <v>5876.7694209</v>
      </c>
      <c r="E13" s="0" t="n">
        <f aca="false">E11+E12</f>
        <v>6369.1431975135</v>
      </c>
      <c r="F13" s="0" t="n">
        <f aca="false">F11+F12</f>
        <v>6821.49586343049</v>
      </c>
      <c r="G13" s="0" t="n">
        <f aca="false">G11+G12</f>
        <v>7246.05500134571</v>
      </c>
      <c r="H13" s="0" t="n">
        <f aca="false">H11+H12</f>
        <v>7608.357751413</v>
      </c>
      <c r="I13" s="0" t="n">
        <f aca="false">I11+I12</f>
        <v>7950.73385022658</v>
      </c>
      <c r="J13" s="0" t="n">
        <f aca="false">J11+J12</f>
        <v>8268.76320423565</v>
      </c>
      <c r="K13" s="0" t="n">
        <f aca="false">K11+K12</f>
        <v>8558.16991638389</v>
      </c>
      <c r="L13" s="0" t="n">
        <f aca="false">L11+L12</f>
        <v>8814.91501387541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27.5</v>
      </c>
      <c r="D14" s="4" t="n">
        <f aca="false">Assumptions!D33</f>
        <v>27.5</v>
      </c>
      <c r="E14" s="4" t="n">
        <f aca="false">Assumptions!E33</f>
        <v>27.5</v>
      </c>
      <c r="F14" s="4" t="n">
        <f aca="false">Assumptions!F33</f>
        <v>27.5</v>
      </c>
      <c r="G14" s="4" t="n">
        <f aca="false">Assumptions!G33</f>
        <v>27.5</v>
      </c>
      <c r="H14" s="4" t="n">
        <f aca="false">Assumptions!H33</f>
        <v>27.5</v>
      </c>
      <c r="I14" s="4" t="n">
        <f aca="false">Assumptions!I33</f>
        <v>27.5</v>
      </c>
      <c r="J14" s="4" t="n">
        <f aca="false">Assumptions!J33</f>
        <v>27.5</v>
      </c>
      <c r="K14" s="4" t="n">
        <f aca="false">Assumptions!K33</f>
        <v>27.5</v>
      </c>
      <c r="L14" s="4" t="n">
        <f aca="false">Assumptions!L33</f>
        <v>27.5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3911.69528325</v>
      </c>
      <c r="D15" s="0" t="n">
        <f aca="false">D13-MAX(0,D13)*D14/100</f>
        <v>4260.6578301525</v>
      </c>
      <c r="E15" s="0" t="n">
        <f aca="false">E13-MAX(0,E13)*E14/100</f>
        <v>4617.62881819729</v>
      </c>
      <c r="F15" s="0" t="n">
        <f aca="false">F13-MAX(0,F13)*F14/100</f>
        <v>4945.58450098711</v>
      </c>
      <c r="G15" s="0" t="n">
        <f aca="false">G13-MAX(0,G13)*G14/100</f>
        <v>5253.38987597564</v>
      </c>
      <c r="H15" s="0" t="n">
        <f aca="false">H13-MAX(0,H13)*H14/100</f>
        <v>5516.05936977442</v>
      </c>
      <c r="I15" s="0" t="n">
        <f aca="false">I13-MAX(0,I13)*I14/100</f>
        <v>5764.28204141427</v>
      </c>
      <c r="J15" s="0" t="n">
        <f aca="false">J13-MAX(0,J13)*J14/100</f>
        <v>5994.85332307085</v>
      </c>
      <c r="K15" s="0" t="n">
        <f aca="false">K13-MAX(0,K13)*K14/100</f>
        <v>6204.67318937832</v>
      </c>
      <c r="L15" s="0" t="n">
        <f aca="false">L13-MAX(0,L13)*L14/100</f>
        <v>6390.81338505967</v>
      </c>
    </row>
    <row r="16" customFormat="false" ht="15" hidden="false" customHeight="false" outlineLevel="0" collapsed="false">
      <c r="A16" s="0" t="s">
        <v>116</v>
      </c>
      <c r="C16" s="0" t="n">
        <f aca="false">-C12</f>
        <v>145.29915</v>
      </c>
      <c r="D16" s="0" t="n">
        <f aca="false">-D12</f>
        <v>155.4700905</v>
      </c>
      <c r="E16" s="0" t="n">
        <f aca="false">-E12</f>
        <v>165.5756463825</v>
      </c>
      <c r="F16" s="0" t="n">
        <f aca="false">-F12</f>
        <v>175.51018516545</v>
      </c>
      <c r="G16" s="0" t="n">
        <f aca="false">-G12</f>
        <v>185.16324534955</v>
      </c>
      <c r="H16" s="0" t="n">
        <f aca="false">-H12</f>
        <v>194.421407617027</v>
      </c>
      <c r="I16" s="0" t="n">
        <f aca="false">-I12</f>
        <v>203.170370959793</v>
      </c>
      <c r="J16" s="0" t="n">
        <f aca="false">-J12</f>
        <v>211.297185798185</v>
      </c>
      <c r="K16" s="0" t="n">
        <f aca="false">-K12</f>
        <v>218.692587301122</v>
      </c>
      <c r="L16" s="0" t="n">
        <f aca="false">-L12</f>
        <v>225.253364920155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-309.97152</v>
      </c>
      <c r="D17" s="4" t="n">
        <f aca="false">-D6*Assumptions!D32/100</f>
        <v>-331.6695264</v>
      </c>
      <c r="E17" s="4" t="n">
        <f aca="false">-E6*Assumptions!E32/100</f>
        <v>-353.228045616</v>
      </c>
      <c r="F17" s="4" t="n">
        <f aca="false">-F6*Assumptions!F32/100</f>
        <v>-351.0203703309</v>
      </c>
      <c r="G17" s="4" t="n">
        <f aca="false">-G6*Assumptions!G32/100</f>
        <v>-370.326490699099</v>
      </c>
      <c r="H17" s="4" t="n">
        <f aca="false">-H6*Assumptions!H32/100</f>
        <v>-388.842815234054</v>
      </c>
      <c r="I17" s="4" t="n">
        <f aca="false">-I6*Assumptions!I32/100</f>
        <v>-406.340741919587</v>
      </c>
      <c r="J17" s="4" t="n">
        <f aca="false">-J6*Assumptions!J32/100</f>
        <v>-422.59437159637</v>
      </c>
      <c r="K17" s="4" t="n">
        <f aca="false">-K6*Assumptions!K32/100</f>
        <v>-437.385174602243</v>
      </c>
      <c r="L17" s="4" t="n">
        <f aca="false">-L6*Assumptions!L32/100</f>
        <v>-450.506729840311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3747.02291325</v>
      </c>
      <c r="D19" s="0" t="n">
        <f aca="false">D15+D16+D17+D18</f>
        <v>4084.4583942525</v>
      </c>
      <c r="E19" s="0" t="n">
        <f aca="false">E15+E16+E17+E18</f>
        <v>4429.97641896379</v>
      </c>
      <c r="F19" s="0" t="n">
        <f aca="false">F15+F16+F17+F18</f>
        <v>4770.07431582166</v>
      </c>
      <c r="G19" s="0" t="n">
        <f aca="false">G15+G16+G17+G18</f>
        <v>5068.22663062609</v>
      </c>
      <c r="H19" s="0" t="n">
        <f aca="false">H15+H16+H17+H18</f>
        <v>5321.6379621574</v>
      </c>
      <c r="I19" s="0" t="n">
        <f aca="false">I15+I16+I17+I18</f>
        <v>5561.11167045448</v>
      </c>
      <c r="J19" s="0" t="n">
        <f aca="false">J15+J16+J17+J18</f>
        <v>5783.55613727266</v>
      </c>
      <c r="K19" s="0" t="n">
        <f aca="false">K15+K16+K17+K18</f>
        <v>5985.9806020772</v>
      </c>
      <c r="L19" s="0" t="n">
        <f aca="false">L15+L16+L17+L18</f>
        <v>6165.56002013952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3421.93873356164</v>
      </c>
      <c r="D21" s="0" t="n">
        <f aca="false">D19*D20</f>
        <v>3406.4830960593</v>
      </c>
      <c r="E21" s="0" t="n">
        <f aca="false">E19*E20</f>
        <v>3374.10860095806</v>
      </c>
      <c r="F21" s="0" t="n">
        <f aca="false">F19*F20</f>
        <v>3317.9410720921</v>
      </c>
      <c r="G21" s="0" t="n">
        <f aca="false">G19*G20</f>
        <v>3219.47776969197</v>
      </c>
      <c r="H21" s="0" t="n">
        <f aca="false">H19*H20</f>
        <v>3087.17046408819</v>
      </c>
      <c r="I21" s="0" t="n">
        <f aca="false">I19*I20</f>
        <v>2946.20377623028</v>
      </c>
      <c r="J21" s="0" t="n">
        <f aca="false">J19*J20</f>
        <v>2798.22093815479</v>
      </c>
      <c r="K21" s="0" t="n">
        <f aca="false">K19*K20</f>
        <v>2644.89376346137</v>
      </c>
      <c r="L21" s="0" t="n">
        <f aca="false">L19*L20</f>
        <v>2487.89093731983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1.4</v>
      </c>
      <c r="D23" s="4" t="n">
        <f aca="false">Assumptions!D30</f>
        <v>1.4</v>
      </c>
      <c r="E23" s="4" t="n">
        <f aca="false">Assumptions!E30</f>
        <v>1.4</v>
      </c>
      <c r="F23" s="4" t="n">
        <f aca="false">Assumptions!F30</f>
        <v>1.4</v>
      </c>
      <c r="G23" s="4" t="n">
        <f aca="false">Assumptions!G30</f>
        <v>1.4</v>
      </c>
      <c r="H23" s="4" t="n">
        <f aca="false">Assumptions!H30</f>
        <v>1.4</v>
      </c>
      <c r="I23" s="4" t="n">
        <f aca="false">Assumptions!I30</f>
        <v>1.4</v>
      </c>
      <c r="J23" s="4" t="n">
        <f aca="false">Assumptions!J30</f>
        <v>1.4</v>
      </c>
      <c r="K23" s="4" t="n">
        <f aca="false">Assumptions!K30</f>
        <v>1.4</v>
      </c>
      <c r="L23" s="4" t="n">
        <f aca="false">Assumptions!L30</f>
        <v>1.4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-271.22508</v>
      </c>
      <c r="D24" s="0" t="n">
        <f aca="false">-D6*D23/100</f>
        <v>-290.2108356</v>
      </c>
      <c r="E24" s="0" t="n">
        <f aca="false">-E6*E23/100</f>
        <v>-309.074539914</v>
      </c>
      <c r="F24" s="0" t="n">
        <f aca="false">-F6*F23/100</f>
        <v>-327.61901230884</v>
      </c>
      <c r="G24" s="0" t="n">
        <f aca="false">-G6*G23/100</f>
        <v>-345.638057985826</v>
      </c>
      <c r="H24" s="0" t="n">
        <f aca="false">-H6*H23/100</f>
        <v>-362.919960885117</v>
      </c>
      <c r="I24" s="0" t="n">
        <f aca="false">-I6*I23/100</f>
        <v>-379.251359124948</v>
      </c>
      <c r="J24" s="0" t="n">
        <f aca="false">-J6*J23/100</f>
        <v>-394.421413489946</v>
      </c>
      <c r="K24" s="0" t="n">
        <f aca="false">-K6*K23/100</f>
        <v>-408.226162962094</v>
      </c>
      <c r="L24" s="0" t="n">
        <f aca="false">-L6*L23/100</f>
        <v>-420.472947850957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30704.3291516175</v>
      </c>
    </row>
    <row r="31" customFormat="false" ht="15" hidden="false" customHeight="false" outlineLevel="0" collapsed="false">
      <c r="A31" s="0" t="s">
        <v>125</v>
      </c>
      <c r="B31" s="0" t="n">
        <f aca="false">L19</f>
        <v>6165.56002013952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90281.4145806143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110980.080362511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90281.4145806143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36429.8315821832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67134.1607338008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82165.5607338008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42.2221188103724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0.063529441067314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42.2221188103724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50557.592165144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26.4860439132333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10</v>
      </c>
      <c r="D5" s="4" t="n">
        <f aca="false">Assumptions!D41</f>
        <v>10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5.5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18021.6</v>
      </c>
      <c r="C6" s="0" t="n">
        <f aca="false">B6*(1+C5/100)</f>
        <v>19823.76</v>
      </c>
      <c r="D6" s="0" t="n">
        <f aca="false">C6*(1+D5/100)</f>
        <v>21806.136</v>
      </c>
      <c r="E6" s="0" t="n">
        <f aca="false">D6*(1+E5/100)</f>
        <v>23768.68824</v>
      </c>
      <c r="F6" s="0" t="n">
        <f aca="false">E6*(1+F5/100)</f>
        <v>25670.1832992</v>
      </c>
      <c r="G6" s="0" t="n">
        <f aca="false">F6*(1+G5/100)</f>
        <v>27467.096130144</v>
      </c>
      <c r="H6" s="0" t="n">
        <f aca="false">G6*(1+H5/100)</f>
        <v>29115.1218979526</v>
      </c>
      <c r="I6" s="0" t="n">
        <f aca="false">H6*(1+I5/100)</f>
        <v>30716.45360234</v>
      </c>
      <c r="J6" s="0" t="n">
        <f aca="false">I6*(1+J5/100)</f>
        <v>32252.276282457</v>
      </c>
      <c r="K6" s="0" t="n">
        <f aca="false">J6*(1+K5/100)</f>
        <v>33703.6287151676</v>
      </c>
      <c r="L6" s="0" t="n">
        <f aca="false">K6*(1+L5/100)</f>
        <v>35051.7738637743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30.5</v>
      </c>
      <c r="D7" s="4" t="n">
        <f aca="false">Assumptions!D42</f>
        <v>31.5</v>
      </c>
      <c r="E7" s="4" t="n">
        <f aca="false">Assumptions!E42</f>
        <v>32.5</v>
      </c>
      <c r="F7" s="4" t="n">
        <f aca="false">Assumptions!F42</f>
        <v>33</v>
      </c>
      <c r="G7" s="4" t="n">
        <f aca="false">Assumptions!G42</f>
        <v>33.5</v>
      </c>
      <c r="H7" s="4" t="n">
        <f aca="false">Assumptions!H42</f>
        <v>34</v>
      </c>
      <c r="I7" s="4" t="n">
        <f aca="false">Assumptions!I42</f>
        <v>34</v>
      </c>
      <c r="J7" s="4" t="n">
        <f aca="false">Assumptions!J42</f>
        <v>34</v>
      </c>
      <c r="K7" s="4" t="n">
        <f aca="false">Assumptions!K42</f>
        <v>34</v>
      </c>
      <c r="L7" s="4" t="n">
        <f aca="false">Assumptions!L42</f>
        <v>34</v>
      </c>
    </row>
    <row r="8" customFormat="false" ht="15" hidden="false" customHeight="false" outlineLevel="0" collapsed="false">
      <c r="A8" s="0" t="s">
        <v>44</v>
      </c>
      <c r="C8" s="0" t="n">
        <f aca="false">C6*C7/100</f>
        <v>6046.2468</v>
      </c>
      <c r="D8" s="0" t="n">
        <f aca="false">D6*D7/100</f>
        <v>6868.93284</v>
      </c>
      <c r="E8" s="0" t="n">
        <f aca="false">E6*E7/100</f>
        <v>7724.823678</v>
      </c>
      <c r="F8" s="0" t="n">
        <f aca="false">F6*F7/100</f>
        <v>8471.160488736</v>
      </c>
      <c r="G8" s="0" t="n">
        <f aca="false">G6*G7/100</f>
        <v>9201.47720359824</v>
      </c>
      <c r="H8" s="0" t="n">
        <f aca="false">H6*H7/100</f>
        <v>9899.1414453039</v>
      </c>
      <c r="I8" s="0" t="n">
        <f aca="false">I6*I7/100</f>
        <v>10443.5942247956</v>
      </c>
      <c r="J8" s="0" t="n">
        <f aca="false">J6*J7/100</f>
        <v>10965.7739360354</v>
      </c>
      <c r="K8" s="0" t="n">
        <f aca="false">K6*K7/100</f>
        <v>11459.233763157</v>
      </c>
      <c r="L8" s="0" t="n">
        <f aca="false">L6*L7/100</f>
        <v>11917.6031136833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5788.53792</v>
      </c>
      <c r="D11" s="0" t="n">
        <f aca="false">D8+D10+D24</f>
        <v>6585.453072</v>
      </c>
      <c r="E11" s="0" t="n">
        <f aca="false">E8+E10+E24</f>
        <v>7415.83073088</v>
      </c>
      <c r="F11" s="0" t="n">
        <f aca="false">F8+F10+F24</f>
        <v>8137.4481058464</v>
      </c>
      <c r="G11" s="0" t="n">
        <f aca="false">G8+G10+G24</f>
        <v>8844.40495390637</v>
      </c>
      <c r="H11" s="0" t="n">
        <f aca="false">H8+H10+H24</f>
        <v>9520.64486063052</v>
      </c>
      <c r="I11" s="0" t="n">
        <f aca="false">I8+I10+I24</f>
        <v>10044.2803279652</v>
      </c>
      <c r="J11" s="0" t="n">
        <f aca="false">J8+J10+J24</f>
        <v>10546.4943443635</v>
      </c>
      <c r="K11" s="0" t="n">
        <f aca="false">K8+K10+K24</f>
        <v>11021.0865898598</v>
      </c>
      <c r="L11" s="0" t="n">
        <f aca="false">L8+L10+L24</f>
        <v>11461.9300534542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-148.6782</v>
      </c>
      <c r="D12" s="4" t="n">
        <f aca="false">-D6*Assumptions!D45/100</f>
        <v>-163.54602</v>
      </c>
      <c r="E12" s="4" t="n">
        <f aca="false">-E6*Assumptions!E45/100</f>
        <v>-178.2651618</v>
      </c>
      <c r="F12" s="4" t="n">
        <f aca="false">-F6*Assumptions!F45/100</f>
        <v>-192.526374744</v>
      </c>
      <c r="G12" s="4" t="n">
        <f aca="false">-G6*Assumptions!G45/100</f>
        <v>-206.00322097608</v>
      </c>
      <c r="H12" s="4" t="n">
        <f aca="false">-H6*Assumptions!H45/100</f>
        <v>-218.363414234645</v>
      </c>
      <c r="I12" s="4" t="n">
        <f aca="false">-I6*Assumptions!I45/100</f>
        <v>-230.37340201755</v>
      </c>
      <c r="J12" s="4" t="n">
        <f aca="false">-J6*Assumptions!J45/100</f>
        <v>-241.892072118428</v>
      </c>
      <c r="K12" s="4" t="n">
        <f aca="false">-K6*Assumptions!K45/100</f>
        <v>-252.777215363757</v>
      </c>
      <c r="L12" s="4" t="n">
        <f aca="false">-L6*Assumptions!L45/100</f>
        <v>-262.888303978307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5639.85972</v>
      </c>
      <c r="D13" s="0" t="n">
        <f aca="false">D11+D12</f>
        <v>6421.907052</v>
      </c>
      <c r="E13" s="0" t="n">
        <f aca="false">E11+E12</f>
        <v>7237.56556908</v>
      </c>
      <c r="F13" s="0" t="n">
        <f aca="false">F11+F12</f>
        <v>7944.9217311024</v>
      </c>
      <c r="G13" s="0" t="n">
        <f aca="false">G11+G12</f>
        <v>8638.40173293029</v>
      </c>
      <c r="H13" s="0" t="n">
        <f aca="false">H11+H12</f>
        <v>9302.28144639587</v>
      </c>
      <c r="I13" s="0" t="n">
        <f aca="false">I11+I12</f>
        <v>9813.90692594764</v>
      </c>
      <c r="J13" s="0" t="n">
        <f aca="false">J11+J12</f>
        <v>10304.602272245</v>
      </c>
      <c r="K13" s="0" t="n">
        <f aca="false">K11+K12</f>
        <v>10768.3093744961</v>
      </c>
      <c r="L13" s="0" t="n">
        <f aca="false">L11+L12</f>
        <v>11199.0417494759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27</v>
      </c>
      <c r="D14" s="4" t="n">
        <f aca="false">Assumptions!D47</f>
        <v>27</v>
      </c>
      <c r="E14" s="4" t="n">
        <f aca="false">Assumptions!E47</f>
        <v>27</v>
      </c>
      <c r="F14" s="4" t="n">
        <f aca="false">Assumptions!F47</f>
        <v>27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4117.0975956</v>
      </c>
      <c r="D15" s="0" t="n">
        <f aca="false">D13-MAX(0,D13)*D14/100</f>
        <v>4687.99214796</v>
      </c>
      <c r="E15" s="0" t="n">
        <f aca="false">E13-MAX(0,E13)*E14/100</f>
        <v>5283.4228654284</v>
      </c>
      <c r="F15" s="0" t="n">
        <f aca="false">F13-MAX(0,F13)*F14/100</f>
        <v>5799.79286370475</v>
      </c>
      <c r="G15" s="0" t="n">
        <f aca="false">G13-MAX(0,G13)*G14/100</f>
        <v>6306.03326503911</v>
      </c>
      <c r="H15" s="0" t="n">
        <f aca="false">H13-MAX(0,H13)*H14/100</f>
        <v>6790.66545586898</v>
      </c>
      <c r="I15" s="0" t="n">
        <f aca="false">I13-MAX(0,I13)*I14/100</f>
        <v>7164.15205594178</v>
      </c>
      <c r="J15" s="0" t="n">
        <f aca="false">J13-MAX(0,J13)*J14/100</f>
        <v>7522.35965873887</v>
      </c>
      <c r="K15" s="0" t="n">
        <f aca="false">K13-MAX(0,K13)*K14/100</f>
        <v>7860.86584338212</v>
      </c>
      <c r="L15" s="0" t="n">
        <f aca="false">L13-MAX(0,L13)*L14/100</f>
        <v>8175.3004771174</v>
      </c>
    </row>
    <row r="16" customFormat="false" ht="15" hidden="false" customHeight="false" outlineLevel="0" collapsed="false">
      <c r="A16" s="0" t="s">
        <v>116</v>
      </c>
      <c r="C16" s="0" t="n">
        <f aca="false">-C12</f>
        <v>148.6782</v>
      </c>
      <c r="D16" s="0" t="n">
        <f aca="false">-D12</f>
        <v>163.54602</v>
      </c>
      <c r="E16" s="0" t="n">
        <f aca="false">-E12</f>
        <v>178.2651618</v>
      </c>
      <c r="F16" s="0" t="n">
        <f aca="false">-F12</f>
        <v>192.526374744</v>
      </c>
      <c r="G16" s="0" t="n">
        <f aca="false">-G12</f>
        <v>206.00322097608</v>
      </c>
      <c r="H16" s="0" t="n">
        <f aca="false">-H12</f>
        <v>218.363414234645</v>
      </c>
      <c r="I16" s="0" t="n">
        <f aca="false">-I12</f>
        <v>230.37340201755</v>
      </c>
      <c r="J16" s="0" t="n">
        <f aca="false">-J12</f>
        <v>241.892072118428</v>
      </c>
      <c r="K16" s="0" t="n">
        <f aca="false">-K12</f>
        <v>252.777215363757</v>
      </c>
      <c r="L16" s="0" t="n">
        <f aca="false">-L12</f>
        <v>262.888303978307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-317.18016</v>
      </c>
      <c r="D17" s="4" t="n">
        <f aca="false">-D6*Assumptions!D46/100</f>
        <v>-348.898176</v>
      </c>
      <c r="E17" s="4" t="n">
        <f aca="false">-E6*Assumptions!E46/100</f>
        <v>-356.5303236</v>
      </c>
      <c r="F17" s="4" t="n">
        <f aca="false">-F6*Assumptions!F46/100</f>
        <v>-385.052749488</v>
      </c>
      <c r="G17" s="4" t="n">
        <f aca="false">-G6*Assumptions!G46/100</f>
        <v>-412.00644195216</v>
      </c>
      <c r="H17" s="4" t="n">
        <f aca="false">-H6*Assumptions!H46/100</f>
        <v>-407.611706571337</v>
      </c>
      <c r="I17" s="4" t="n">
        <f aca="false">-I6*Assumptions!I46/100</f>
        <v>-430.030350432761</v>
      </c>
      <c r="J17" s="4" t="n">
        <f aca="false">-J6*Assumptions!J46/100</f>
        <v>-451.531867954399</v>
      </c>
      <c r="K17" s="4" t="n">
        <f aca="false">-K6*Assumptions!K46/100</f>
        <v>-471.850802012347</v>
      </c>
      <c r="L17" s="4" t="n">
        <f aca="false">-L6*Assumptions!L46/100</f>
        <v>-490.72483409284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90.108</v>
      </c>
      <c r="D18" s="4" t="n">
        <f aca="false">(D6-C6)*Assumptions!$B$51/100</f>
        <v>99.1188</v>
      </c>
      <c r="E18" s="4" t="n">
        <f aca="false">(E6-D6)*Assumptions!$B$51/100</f>
        <v>98.127612</v>
      </c>
      <c r="F18" s="4" t="n">
        <f aca="false">(F6-E6)*Assumptions!$B$51/100</f>
        <v>95.0747529600001</v>
      </c>
      <c r="G18" s="4" t="n">
        <f aca="false">(G6-F6)*Assumptions!$B$51/100</f>
        <v>89.8456415472001</v>
      </c>
      <c r="H18" s="4" t="n">
        <f aca="false">(H6-G6)*Assumptions!$B$51/100</f>
        <v>82.4012883904321</v>
      </c>
      <c r="I18" s="4" t="n">
        <f aca="false">(I6-H6)*Assumptions!$B$51/100</f>
        <v>80.0665852193697</v>
      </c>
      <c r="J18" s="4" t="n">
        <f aca="false">(J6-I6)*Assumptions!$B$51/100</f>
        <v>76.7911340058501</v>
      </c>
      <c r="K18" s="4" t="n">
        <f aca="false">(K6-J6)*Assumptions!$B$51/100</f>
        <v>72.5676216355283</v>
      </c>
      <c r="L18" s="4" t="n">
        <f aca="false">(L6-K6)*Assumptions!$B$51/100</f>
        <v>67.4072574303355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4038.7036356</v>
      </c>
      <c r="D19" s="0" t="n">
        <f aca="false">D15+D16+D17+D18</f>
        <v>4601.75879196</v>
      </c>
      <c r="E19" s="0" t="n">
        <f aca="false">E15+E16+E17+E18</f>
        <v>5203.2853156284</v>
      </c>
      <c r="F19" s="0" t="n">
        <f aca="false">F15+F16+F17+F18</f>
        <v>5702.34124192075</v>
      </c>
      <c r="G19" s="0" t="n">
        <f aca="false">G15+G16+G17+G18</f>
        <v>6189.87568561023</v>
      </c>
      <c r="H19" s="0" t="n">
        <f aca="false">H15+H16+H17+H18</f>
        <v>6683.81845192272</v>
      </c>
      <c r="I19" s="0" t="n">
        <f aca="false">I15+I16+I17+I18</f>
        <v>7044.56169274594</v>
      </c>
      <c r="J19" s="0" t="n">
        <f aca="false">J15+J16+J17+J18</f>
        <v>7389.51099690875</v>
      </c>
      <c r="K19" s="0" t="n">
        <f aca="false">K15+K16+K17+K18</f>
        <v>7714.35987836906</v>
      </c>
      <c r="L19" s="0" t="n">
        <f aca="false">L15+L16+L17+L18</f>
        <v>8014.8712044332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3688.31382246575</v>
      </c>
      <c r="D21" s="0" t="n">
        <f aca="false">D19*D20</f>
        <v>3837.91730110715</v>
      </c>
      <c r="E21" s="0" t="n">
        <f aca="false">E19*E20</f>
        <v>3963.10230039716</v>
      </c>
      <c r="F21" s="0" t="n">
        <f aca="false">F19*F20</f>
        <v>3966.40198055164</v>
      </c>
      <c r="G21" s="0" t="n">
        <f aca="false">G19*G20</f>
        <v>3931.98028015515</v>
      </c>
      <c r="H21" s="0" t="n">
        <f aca="false">H19*H20</f>
        <v>3877.39396381982</v>
      </c>
      <c r="I21" s="0" t="n">
        <f aca="false">I19*I20</f>
        <v>3732.1160751586</v>
      </c>
      <c r="J21" s="0" t="n">
        <f aca="false">J19*J20</f>
        <v>3575.21979617647</v>
      </c>
      <c r="K21" s="0" t="n">
        <f aca="false">K19*K20</f>
        <v>3408.57474952636</v>
      </c>
      <c r="L21" s="0" t="n">
        <f aca="false">L19*L20</f>
        <v>3234.11423587826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1.3</v>
      </c>
      <c r="D23" s="4" t="n">
        <f aca="false">Assumptions!D44</f>
        <v>1.3</v>
      </c>
      <c r="E23" s="4" t="n">
        <f aca="false">Assumptions!E44</f>
        <v>1.3</v>
      </c>
      <c r="F23" s="4" t="n">
        <f aca="false">Assumptions!F44</f>
        <v>1.3</v>
      </c>
      <c r="G23" s="4" t="n">
        <f aca="false">Assumptions!G44</f>
        <v>1.3</v>
      </c>
      <c r="H23" s="4" t="n">
        <f aca="false">Assumptions!H44</f>
        <v>1.3</v>
      </c>
      <c r="I23" s="4" t="n">
        <f aca="false">Assumptions!I44</f>
        <v>1.3</v>
      </c>
      <c r="J23" s="4" t="n">
        <f aca="false">Assumptions!J44</f>
        <v>1.3</v>
      </c>
      <c r="K23" s="4" t="n">
        <f aca="false">Assumptions!K44</f>
        <v>1.3</v>
      </c>
      <c r="L23" s="4" t="n">
        <f aca="false">Assumptions!L44</f>
        <v>1.3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-257.70888</v>
      </c>
      <c r="D24" s="0" t="n">
        <f aca="false">-D6*D23/100</f>
        <v>-283.479768</v>
      </c>
      <c r="E24" s="0" t="n">
        <f aca="false">-E6*E23/100</f>
        <v>-308.99294712</v>
      </c>
      <c r="F24" s="0" t="n">
        <f aca="false">-F6*F23/100</f>
        <v>-333.7123828896</v>
      </c>
      <c r="G24" s="0" t="n">
        <f aca="false">-G6*G23/100</f>
        <v>-357.072249691872</v>
      </c>
      <c r="H24" s="0" t="n">
        <f aca="false">-H6*H23/100</f>
        <v>-378.496584673384</v>
      </c>
      <c r="I24" s="0" t="n">
        <f aca="false">-I6*I23/100</f>
        <v>-399.313896830421</v>
      </c>
      <c r="J24" s="0" t="n">
        <f aca="false">-J6*J23/100</f>
        <v>-419.279591671942</v>
      </c>
      <c r="K24" s="0" t="n">
        <f aca="false">-K6*K23/100</f>
        <v>-438.147173297179</v>
      </c>
      <c r="L24" s="0" t="n">
        <f aca="false">-L6*L23/100</f>
        <v>-455.673060229066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37215.1345052364</v>
      </c>
    </row>
    <row r="31" customFormat="false" ht="15" hidden="false" customHeight="false" outlineLevel="0" collapsed="false">
      <c r="A31" s="0" t="s">
        <v>125</v>
      </c>
      <c r="B31" s="0" t="n">
        <f aca="false">L19</f>
        <v>8014.8712044332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127004.882162557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160297.424088664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127004.882162557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51248.2717377632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88463.4062429995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103494.806243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53.1825008729087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0.339609593776038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53.1825008729087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68794.311171385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31.3018920183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28.8488890165425</v>
      </c>
      <c r="C4" s="0" t="n">
        <f aca="false">B4/Assumptions!$B$2-1</f>
        <v>-0.273327732580793</v>
      </c>
      <c r="D4" s="4" t="n">
        <f aca="false">Assumptions!$B$24</f>
        <v>0.25</v>
      </c>
      <c r="E4" s="4" t="n">
        <f aca="false">DCF_Bear!$B$43</f>
        <v>28.8488890165425</v>
      </c>
      <c r="F4" s="4" t="n">
        <f aca="false">DCF_Bear!$B$47</f>
        <v>20.0007275487559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42.2221188103724</v>
      </c>
      <c r="C5" s="0" t="n">
        <f aca="false">B5/Assumptions!$B$2-1</f>
        <v>0.063529441067314</v>
      </c>
      <c r="D5" s="4" t="n">
        <f aca="false">Assumptions!$B$38</f>
        <v>0.5</v>
      </c>
      <c r="E5" s="4" t="n">
        <f aca="false">DCF_Base!$B$43</f>
        <v>42.2221188103724</v>
      </c>
      <c r="F5" s="4" t="n">
        <f aca="false">DCF_Base!$B$47</f>
        <v>26.4860439132333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53.1825008729087</v>
      </c>
      <c r="C6" s="0" t="n">
        <f aca="false">B6/Assumptions!$B$2-1</f>
        <v>0.339609593776038</v>
      </c>
      <c r="D6" s="4" t="n">
        <f aca="false">Assumptions!$B$52</f>
        <v>0.25</v>
      </c>
      <c r="E6" s="4" t="n">
        <f aca="false">DCF_Bull!$B$43</f>
        <v>53.1825008729087</v>
      </c>
      <c r="F6" s="4" t="n">
        <f aca="false">DCF_Bull!$B$47</f>
        <v>31.3018920183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41.618906877549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41.618906877549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0.0461066140731371</v>
      </c>
    </row>
    <row r="11" customFormat="false" ht="15" hidden="false" customHeight="false" outlineLevel="0" collapsed="false">
      <c r="A11" s="0" t="s">
        <v>152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26.0686768483806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44.9882454682405</v>
      </c>
      <c r="C15" s="3" t="n">
        <v>9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42.2221188103724</v>
      </c>
      <c r="C16" s="3" t="n">
        <v>9.5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39.8272287101172</v>
      </c>
      <c r="C17" s="3" t="n">
        <v>10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35.8888301251436</v>
      </c>
      <c r="C18" s="3" t="n">
        <v>11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32.78648544602</v>
      </c>
      <c r="C19" s="3" t="n">
        <v>12</v>
      </c>
    </row>
    <row r="20" customFormat="false" ht="15" hidden="false" customHeight="false" outlineLevel="0" collapsed="false">
      <c r="A20" s="0" t="s">
        <v>161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26.4860439132333</v>
      </c>
      <c r="C20" s="3" t="n">
        <v>15</v>
      </c>
    </row>
    <row r="22" customFormat="false" ht="15" hidden="false" customHeight="false" outlineLevel="0" collapsed="false">
      <c r="A22" s="2" t="s">
        <v>162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51.1206297723879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52.7859593428362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52.7859593428362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52.7859593428362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52.7859593428362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44.5985448338041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46.2693033902499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48.2185217061033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49.5030296285321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49.5030296285321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39.7223051880764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40.8888848784812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42.2221188103724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43.7604656548622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45.5552036401004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35.9423402390399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36.7854241411251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37.7338935309711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38.8088255061298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40.0373191920255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32.9289791480432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33.5550094031525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34.2505985754962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35.0280217681155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35.9026228598124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2026-10-16T06:54:23Z</dcterms:created>
  <dc:creator>openpyxl</dc:creator>
  <dc:description/>
  <dc:language>en-NZ</dc:language>
  <cp:lastModifiedBy/>
  <dcterms:modified xsi:type="dcterms:W3CDTF">2026-10-16T06:54:23Z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