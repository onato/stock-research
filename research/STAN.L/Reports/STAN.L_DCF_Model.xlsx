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<sst xmlns="http://schemas.openxmlformats.org/spreadsheetml/2006/main" count="362" uniqueCount="171">
  <si>
    <t xml:space="preserve">Ticker</t>
  </si>
  <si>
    <t xml:space="preserve">STAN.L</t>
  </si>
  <si>
    <t xml:space="preserve">Company</t>
  </si>
  <si>
    <t xml:space="preserve">Standard Chartered PLC</t>
  </si>
  <si>
    <t xml:space="preserve">Valuation date</t>
  </si>
  <si>
    <t xml:space="preserve">2026-10-10</t>
  </si>
  <si>
    <t xml:space="preserve">Current price</t>
  </si>
  <si>
    <t xml:space="preserve">Price as of</t>
  </si>
  <si>
    <t xml:space="preserve">2026-10-09T16:00:08Z LSE regular close (Yahoo Finance chart API; 2026-10-10 is a Saturday, no later print)</t>
  </si>
  <si>
    <t xml:space="preserve">Balance sheet date</t>
  </si>
  <si>
    <t xml:space="preserve">2026-06-30</t>
  </si>
  <si>
    <t xml:space="preserve">Model</t>
  </si>
  <si>
    <t xml:space="preserve">Bank FCFE at cost of equity (engine route): NI to ordinary shareholders less CET1 retention, net debt zero, per ordinary share, USD flows bridged to a GBp quote</t>
  </si>
  <si>
    <t xml:space="preserve">Currency (model)</t>
  </si>
  <si>
    <t xml:space="preserve">USD</t>
  </si>
  <si>
    <t xml:space="preserve">Currency (quote)</t>
  </si>
  <si>
    <t xml:space="preserve">GBp</t>
  </si>
  <si>
    <t xml:space="preserve">Units</t>
  </si>
  <si>
    <t xml:space="preserve">millions</t>
  </si>
  <si>
    <t xml:space="preserve">Engine</t>
  </si>
  <si>
    <t xml:space="preserve">dcf_engine v1</t>
  </si>
  <si>
    <t xml:space="preserve">Built at</t>
  </si>
  <si>
    <t xml:space="preserve">2026-10-10T01:32:45Z</t>
  </si>
  <si>
    <t xml:space="preserve">Drivers file</t>
  </si>
  <si>
    <t xml:space="preserve">STAN.L_Drivers.json</t>
  </si>
  <si>
    <t xml:space="preserve">Convention</t>
  </si>
  <si>
    <t xml:space="preserve">Percents stored as percents; formulas divide by 100. Blue = input, green = link, black = formula.</t>
  </si>
  <si>
    <t xml:space="preserve">Methodology</t>
  </si>
  <si>
    <t xml:space="preserve">summary: Standard Chartered is valued as the cash its ordinary shareholders can actually take out: NI to ordinary (after AT1 and preference coupons and the small NCI) less the CET1 needed to keep the ratio at ~14.2% as risk-weighted assets grow, discounted at an 11.0% USD cost of equity. Deposits are funding, not debt, so net debt is zero and nothing is deducted after the flows. Value is computed per ordinary share in USD and bridged to pence sterling at spot GBPUSD so it is comparable to the LSE quote; the USD siblings are kept alongside. The three scenarios bracket management's May-2026 targets: bear = the FY2024 economics after an EM credit cycle, base = 2028 target met and 2030 target missed, bull = both met on schedule.
key_risks_to_valuation: Emerging-market credit cycle: a China/HK, Middle East or trade-driven ECL spike is the bear case; impairment at ~1% of loans takes ~10pp off the year-2 margin; RoTE path: the base assumes 14.4% -&gt; 16.5%; every 1pp of sustained RoTE is worth roughly 6-7% of value, so the gap between the 15% and 18% targets is the gap between base and bull; NII sensitivity to USD/HKD/SGD rate cuts: NII is 51% of income and guided only to low-single-digit growth; AML/sanctions conduct: a new enforcement action (2012 $667m, 2019 $1.1bn + GBP102m) would hit both the flow and the cost of equity; AT1 coupon drag: the stack grew to $9.1bn in H1'26; coupons of ~$640m/yr are ~12% of NI to ordinary and rise with every issuance; FX: a GBp holder's value moves one-for-one with GBPUSD; a 5% stronger pound takes ~5% off every GBp figure here with no change in the USD business; RWA intensity: base/bull assume RWA grows at 0.8x revenue; if RWA tracks revenue 1:1 the base loses ~5% of value; Share count: the $1.0bn Q3-2026 buyback (~37M shares at current prices) is not deducted because the count is paired with the 30-Jun CET1; a reader comparing to a post-buyback share count should also lower CET1 by ~$1.0bn</t>
  </si>
  <si>
    <t xml:space="preserve">Data sources</t>
  </si>
  <si>
    <t xml:space="preserve">price: Yahoo Finance chart API at inputs.price_as_of; 52-week range 1,351.5-2,364.0p; GBPUSD=X for the fx bridge
financials: Standard Chartered PLC Annual Reports FY2018-FY2025 and Half Year Report 2026 (research/STAN.L/Extracted), STAN.L_Metrics.csv and kpis (FY2017-FY2025 annual, Q1/H1 FY2025 and FY2026 interims; the H2-2026 files were mislabeled duplicates of H1 and were excluded); Half Year Report 2026 for H1'26 flows, capital, share counts and TNAV
qualitative: STAN.L_Analysis.json (2026-10-10), incl. the May-2026 Capital Markets Day targets and H1-2026 guidance upgrade</t>
  </si>
  <si>
    <t xml:space="preserve">Scenario narrative: bear</t>
  </si>
  <si>
    <t xml:space="preserve">The footprint's concentrations bite together. A China/Hong Kong slowdown with tightened offshore-account scrutiny chokes cross-border wealth flows, a wider Middle East conflict and tariff-driven trade contraction push CIB and SME exposures into a credit cycle (ECL ~1% of loans in year 2), and faster USD/HKD rate cuts compress NII. Revenue falls 3% in year 2 and Global Markets/wealth fees shrink with risk appetite. A legacy AML/sanctions matter recurs (the 2012 and 2019 pattern), raising compliance costs. Returns recover only to ~12% RoTE, the FY2024 franchise economics; buybacks pause in the trough year.</t>
  </si>
  <si>
    <t xml:space="preserve">Scenario narrative: base</t>
  </si>
  <si>
    <t xml:space="preserve">Standard Chartered delivers its 2028 RoTE target (~15%) but falls short of the 2030 one (~18%), settling at ~16.5%. Income grows ~5% for three years on Wealth Solutions, Global Markets flow and cross-border network income, with NII flat-to-low-single-digit as AAME policy rates drift down and the balance sheet grows. Costs grow ~2% after the final Fit for Growth charges in 2026, taking cost-to-income from 55-59% toward ~53%. Credit impairment runs ~30bp with Middle East overlays, normalising to ~25-30bp. CET1 is held at ~14% of RWA and roughly 70-85% of NI to ordinary is distributed through the &gt;=30% payout dividend plus $2.5-3bn/yr of buybacks. After 2030 growth fades to 3% nominal.</t>
  </si>
  <si>
    <t xml:space="preserve">Scenario narrative: bull</t>
  </si>
  <si>
    <t xml:space="preserve">The capital-light re-rating completes. Affluent net new money runs ahead of the $200bn-by-2028 target as Asian and Middle Eastern wealth formation compounds, network income reaches ~70% of CIB, RMB internationalisation and digital-asset services add new fee pools, and the &gt;15% corporate-function headcount reduction drops cost-to-income to ~52%. ECL stays benign at 25-30bp. RoTE hits ~15% in 2028 and ~18% in 2030 as targeted, and sustains at 18.5-19% with revenue growing 5-7% through 2030. Buybacks retire 4-5% of shares a year.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</si>
  <si>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</si>
  <si>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</si>
  <si>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</si>
  <si>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</si>
  <si>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</si>
  <si>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</si>
  <si>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</si>
  <si>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</si>
  <si>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</si>
  <si>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</si>
  <si>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</si>
  <si>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</si>
  <si>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</si>
  <si>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</si>
  <si>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</si>
  <si>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</si>
  <si>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</si>
  <si>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</si>
  <si>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</si>
  <si>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</si>
  <si>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</si>
  <si>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</si>
  <si>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</si>
  <si>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</si>
  <si>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</si>
  <si>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</si>
  <si>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</si>
  <si>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CreditImpairmentCharge</t>
  </si>
  <si>
    <t xml:space="preserve">Deposits</t>
  </si>
  <si>
    <t xml:space="preserve">NetInterestIncome</t>
  </si>
  <si>
    <t xml:space="preserve">OperatingExpenses</t>
  </si>
  <si>
    <t xml:space="preserve">ProfitForPeriodTotal</t>
  </si>
  <si>
    <t xml:space="preserve">TotalEquityInclNCI</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</si>
  <si>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</si>
  <si>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</si>
  <si>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</si>
  <si>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</si>
  <si>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</si>
  <si>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</si>
  <si>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</si>
  <si>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</si>
  <si>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</si>
  <si>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</si>
  <si>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</si>
  <si>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</si>
  <si>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</si>
  <si>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</si>
  <si>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</si>
  <si>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</si>
  <si>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</si>
  <si>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</si>
  <si>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t>
  </si>
  <si>
    <t xml:space="preserve">Currency / units</t>
  </si>
  <si>
    <t xml:space="preserve">USD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</si>
  <si>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</si>
  <si>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</si>
  <si>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</si>
  <si>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</si>
  <si>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</si>
  <si>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</si>
  <si>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</si>
  <si>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</si>
  <si>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</si>
  <si>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</si>
  <si>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</si>
  <si>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</si>
  <si>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</si>
  <si>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</si>
  <si>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</si>
  <si>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</si>
  <si>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</si>
  <si>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</si>
  <si>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</si>
  <si>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</si>
  <si>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</si>
  <si>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</si>
  <si>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</si>
  <si>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</si>
  <si>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</si>
  <si>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</si>
  <si>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STAN.L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</si>
  <si>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</si>
  <si>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</si>
  <si>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</si>
  <si>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</si>
  <si>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</si>
  <si>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</si>
  <si>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</si>
  <si>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</si>
  <si>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</si>
  <si>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</si>
  <si>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</si>
  <si>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</si>
  <si>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</si>
  <si>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</si>
  <si>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</si>
  <si>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</si>
  <si>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</si>
  <si>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</si>
  <si>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</si>
  <si>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</si>
  <si>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</si>
  <si>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</si>
  <si>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</si>
  <si>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</si>
  <si>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</si>
  <si>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</si>
  <si>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</si>
  <si>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</si>
  <si>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</si>
  <si>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</si>
  <si>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STAN.L owner-FCF component DCF: base case (millions, USD)</t>
  </si>
  <si>
    <t xml:space="preserve">STAN.L owner-FCF component DCF: bull case (millions, USD)</t>
  </si>
  <si>
    <t xml:space="preserve">STAN.L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</si>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</sst>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2119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row>
    <row r="2" customFormat="false" ht="15" hidden="false" customHeight="false" outlineLevel="0" collapsed="false">
      <c r="A2" s="0" t="s">
        <v>70</v>
      </c>
      <c r="B2" s="0" t="n">
        <v>14425</v>
      </c>
      <c r="I2" s="0" t="n">
        <v>1219</v>
      </c>
      <c r="J2" s="0" t="n">
        <v>8.5</v>
      </c>
      <c r="K2" s="0" t="n">
        <v>0.235</v>
      </c>
      <c r="L2" s="0" t="n">
        <v>-3208</v>
      </c>
      <c r="M2" s="0" t="n">
        <v>165</v>
      </c>
      <c r="O2" s="0" t="n">
        <v>46505</v>
      </c>
      <c r="P2" s="0" t="n">
        <v>663501</v>
      </c>
      <c r="Q2" s="0" t="n">
        <v>611694</v>
      </c>
      <c r="S2" s="0" t="n">
        <v>87231</v>
      </c>
      <c r="T2" s="0" t="n">
        <v>3325</v>
      </c>
      <c r="U2" s="0" t="n">
        <v>152</v>
      </c>
      <c r="AA2" s="0" t="s">
        <v>18</v>
      </c>
      <c r="AB2" s="0" t="s">
        <v>14</v>
      </c>
      <c r="AC2" s="0" t="n">
        <v>1362</v>
      </c>
      <c r="AD2" s="0" t="n">
        <v>370509</v>
      </c>
      <c r="AE2" s="0" t="n">
        <v>8181</v>
      </c>
      <c r="AH2" s="0" t="n">
        <v>51807</v>
      </c>
    </row>
    <row r="3" customFormat="false" ht="15" hidden="false" customHeight="false" outlineLevel="0" collapsed="false">
      <c r="A3" s="0" t="s">
        <v>71</v>
      </c>
      <c r="B3" s="0" t="n">
        <v>14789</v>
      </c>
      <c r="F3" s="0" t="n">
        <v>2548</v>
      </c>
      <c r="G3" s="0" t="n">
        <v>17.2</v>
      </c>
      <c r="I3" s="0" t="n">
        <v>1054</v>
      </c>
      <c r="J3" s="0" t="n">
        <v>7.1</v>
      </c>
      <c r="K3" s="0" t="n">
        <v>0.187</v>
      </c>
      <c r="L3" s="0" t="n">
        <v>25292</v>
      </c>
      <c r="M3" s="0" t="n">
        <v>171</v>
      </c>
      <c r="O3" s="0" t="n">
        <v>45118</v>
      </c>
      <c r="P3" s="0" t="n">
        <v>688762</v>
      </c>
      <c r="Q3" s="0" t="n">
        <v>638410</v>
      </c>
      <c r="S3" s="0" t="n">
        <v>97500</v>
      </c>
      <c r="T3" s="0" t="n">
        <v>3340</v>
      </c>
      <c r="U3" s="0" t="n">
        <v>166</v>
      </c>
      <c r="AA3" s="0" t="s">
        <v>18</v>
      </c>
      <c r="AB3" s="0" t="s">
        <v>14</v>
      </c>
      <c r="AC3" s="0" t="n">
        <v>653</v>
      </c>
      <c r="AD3" s="0" t="n">
        <v>391013</v>
      </c>
      <c r="AE3" s="0" t="n">
        <v>7795</v>
      </c>
      <c r="AG3" s="0" t="n">
        <v>1109</v>
      </c>
      <c r="AH3" s="0" t="n">
        <v>50352</v>
      </c>
    </row>
    <row r="4" customFormat="false" ht="15" hidden="false" customHeight="false" outlineLevel="0" collapsed="false">
      <c r="A4" s="0" t="s">
        <v>72</v>
      </c>
      <c r="B4" s="0" t="n">
        <v>15417</v>
      </c>
      <c r="F4" s="0" t="n">
        <v>3713</v>
      </c>
      <c r="G4" s="0" t="n">
        <v>24.1</v>
      </c>
      <c r="I4" s="0" t="n">
        <v>2303</v>
      </c>
      <c r="J4" s="0" t="n">
        <v>14.9</v>
      </c>
      <c r="K4" s="0" t="n">
        <v>0.57</v>
      </c>
      <c r="L4" s="0" t="n">
        <v>-926</v>
      </c>
      <c r="M4" s="0" t="n">
        <v>518</v>
      </c>
      <c r="O4" s="0" t="n">
        <v>44835</v>
      </c>
      <c r="P4" s="0" t="n">
        <v>720398</v>
      </c>
      <c r="Q4" s="0" t="n">
        <v>669737</v>
      </c>
      <c r="S4" s="0" t="n">
        <v>77454</v>
      </c>
      <c r="T4" s="0" t="n">
        <v>3290</v>
      </c>
      <c r="U4" s="0" t="n">
        <v>166</v>
      </c>
      <c r="AA4" s="0" t="s">
        <v>18</v>
      </c>
      <c r="AB4" s="0" t="s">
        <v>14</v>
      </c>
      <c r="AC4" s="0" t="n">
        <v>908</v>
      </c>
      <c r="AD4" s="0" t="n">
        <v>405357</v>
      </c>
      <c r="AE4" s="0" t="n">
        <v>7667</v>
      </c>
      <c r="AF4" s="0" t="n">
        <v>10933</v>
      </c>
      <c r="AG4" s="0" t="n">
        <v>2340</v>
      </c>
      <c r="AH4" s="0" t="n">
        <v>50661</v>
      </c>
    </row>
    <row r="5" customFormat="false" ht="15" hidden="false" customHeight="false" outlineLevel="0" collapsed="false">
      <c r="A5" s="0" t="s">
        <v>73</v>
      </c>
      <c r="B5" s="0" t="n">
        <v>14754</v>
      </c>
      <c r="F5" s="0" t="n">
        <v>1613</v>
      </c>
      <c r="G5" s="0" t="n">
        <v>10.9</v>
      </c>
      <c r="I5" s="0" t="n">
        <v>724</v>
      </c>
      <c r="J5" s="0" t="n">
        <v>4.9</v>
      </c>
      <c r="K5" s="0" t="n">
        <v>0.104</v>
      </c>
      <c r="L5" s="0" t="n">
        <v>21234</v>
      </c>
      <c r="M5" s="0" t="n">
        <v>1270</v>
      </c>
      <c r="O5" s="0" t="n">
        <v>45886</v>
      </c>
      <c r="P5" s="0" t="n">
        <v>789050</v>
      </c>
      <c r="Q5" s="0" t="n">
        <v>738321</v>
      </c>
      <c r="S5" s="0" t="n">
        <v>97874</v>
      </c>
      <c r="T5" s="0" t="n">
        <v>3199</v>
      </c>
      <c r="U5" s="0" t="n">
        <v>132</v>
      </c>
      <c r="AA5" s="0" t="s">
        <v>18</v>
      </c>
      <c r="AB5" s="0" t="s">
        <v>14</v>
      </c>
      <c r="AC5" s="0" t="n">
        <v>2325</v>
      </c>
      <c r="AD5" s="0" t="n">
        <v>439339</v>
      </c>
      <c r="AE5" s="0" t="n">
        <v>6852</v>
      </c>
      <c r="AF5" s="0" t="n">
        <v>10380</v>
      </c>
      <c r="AG5" s="0" t="n">
        <v>751</v>
      </c>
      <c r="AH5" s="0" t="n">
        <v>50729</v>
      </c>
    </row>
    <row r="6" customFormat="false" ht="15" hidden="false" customHeight="false" outlineLevel="0" collapsed="false">
      <c r="A6" s="0" t="s">
        <v>74</v>
      </c>
      <c r="B6" s="0" t="n">
        <v>14701</v>
      </c>
      <c r="F6" s="0" t="n">
        <v>3347</v>
      </c>
      <c r="G6" s="0" t="n">
        <v>22.8</v>
      </c>
      <c r="I6" s="0" t="n">
        <v>2315</v>
      </c>
      <c r="J6" s="0" t="n">
        <v>15.7</v>
      </c>
      <c r="K6" s="0" t="n">
        <v>0.613</v>
      </c>
      <c r="L6" s="0" t="n">
        <v>12218</v>
      </c>
      <c r="M6" s="0" t="n">
        <v>1341</v>
      </c>
      <c r="O6" s="0" t="n">
        <v>46011</v>
      </c>
      <c r="P6" s="0" t="n">
        <v>827818</v>
      </c>
      <c r="Q6" s="0" t="n">
        <v>775182</v>
      </c>
      <c r="S6" s="0" t="n">
        <v>99605</v>
      </c>
      <c r="T6" s="0" t="n">
        <v>3154</v>
      </c>
      <c r="U6" s="0" t="n">
        <v>167</v>
      </c>
      <c r="AA6" s="0" t="s">
        <v>18</v>
      </c>
      <c r="AB6" s="0" t="s">
        <v>14</v>
      </c>
      <c r="AC6" s="0" t="n">
        <v>254</v>
      </c>
      <c r="AD6" s="0" t="n">
        <v>474570</v>
      </c>
      <c r="AE6" s="0" t="n">
        <v>6798</v>
      </c>
      <c r="AF6" s="0" t="n">
        <v>10924</v>
      </c>
      <c r="AG6" s="0" t="n">
        <v>2313</v>
      </c>
      <c r="AH6" s="0" t="n">
        <v>52636</v>
      </c>
    </row>
    <row r="7" customFormat="false" ht="15" hidden="false" customHeight="false" outlineLevel="0" collapsed="false">
      <c r="A7" s="0" t="s">
        <v>75</v>
      </c>
      <c r="B7" s="0" t="n">
        <v>16318</v>
      </c>
      <c r="F7" s="0" t="n">
        <v>4286</v>
      </c>
      <c r="G7" s="0" t="n">
        <v>26.3</v>
      </c>
      <c r="I7" s="0" t="n">
        <v>2948</v>
      </c>
      <c r="J7" s="0" t="n">
        <v>18.1</v>
      </c>
      <c r="K7" s="0" t="n">
        <v>0.859</v>
      </c>
      <c r="L7" s="0" t="n">
        <v>15175</v>
      </c>
      <c r="M7" s="0" t="n">
        <v>1931</v>
      </c>
      <c r="O7" s="0" t="n">
        <v>43162</v>
      </c>
      <c r="P7" s="0" t="n">
        <v>819922</v>
      </c>
      <c r="Q7" s="0" t="n">
        <v>769906</v>
      </c>
      <c r="S7" s="0" t="n">
        <v>88719</v>
      </c>
      <c r="T7" s="0" t="n">
        <v>3023</v>
      </c>
      <c r="U7" s="0" t="n">
        <v>199</v>
      </c>
      <c r="AA7" s="0" t="s">
        <v>18</v>
      </c>
      <c r="AB7" s="0" t="s">
        <v>14</v>
      </c>
      <c r="AC7" s="0" t="n">
        <v>836</v>
      </c>
      <c r="AD7" s="0" t="n">
        <v>461677</v>
      </c>
      <c r="AE7" s="0" t="n">
        <v>7593</v>
      </c>
      <c r="AF7" s="0" t="n">
        <v>10913</v>
      </c>
      <c r="AG7" s="0" t="n">
        <v>2902</v>
      </c>
      <c r="AH7" s="0" t="n">
        <v>50016</v>
      </c>
    </row>
    <row r="8" customFormat="false" ht="15" hidden="false" customHeight="false" outlineLevel="0" collapsed="false">
      <c r="A8" s="0" t="s">
        <v>76</v>
      </c>
      <c r="B8" s="0" t="n">
        <v>18019</v>
      </c>
      <c r="F8" s="0" t="n">
        <v>5093</v>
      </c>
      <c r="G8" s="0" t="n">
        <v>28.3</v>
      </c>
      <c r="I8" s="0" t="n">
        <v>3469</v>
      </c>
      <c r="J8" s="0" t="n">
        <v>19.3</v>
      </c>
      <c r="K8" s="0" t="n">
        <v>1.086</v>
      </c>
      <c r="L8" s="0" t="n">
        <v>-5562</v>
      </c>
      <c r="M8" s="0" t="n">
        <v>1283</v>
      </c>
      <c r="O8" s="0" t="n">
        <v>44445</v>
      </c>
      <c r="P8" s="0" t="n">
        <v>822844</v>
      </c>
      <c r="Q8" s="0" t="n">
        <v>772491</v>
      </c>
      <c r="S8" s="0" t="n">
        <v>107635</v>
      </c>
      <c r="T8" s="0" t="n">
        <v>2841</v>
      </c>
      <c r="U8" s="0" t="n">
        <v>226</v>
      </c>
      <c r="AA8" s="0" t="s">
        <v>18</v>
      </c>
      <c r="AB8" s="0" t="s">
        <v>14</v>
      </c>
      <c r="AC8" s="0" t="n">
        <v>508</v>
      </c>
      <c r="AD8" s="0" t="n">
        <v>469418</v>
      </c>
      <c r="AE8" s="0" t="n">
        <v>7769</v>
      </c>
      <c r="AF8" s="0" t="n">
        <v>11551</v>
      </c>
      <c r="AG8" s="0" t="n">
        <v>3462</v>
      </c>
      <c r="AH8" s="0" t="n">
        <v>50353</v>
      </c>
    </row>
    <row r="9" customFormat="false" ht="15" hidden="false" customHeight="false" outlineLevel="0" collapsed="false">
      <c r="A9" s="0" t="s">
        <v>77</v>
      </c>
      <c r="B9" s="0" t="n">
        <v>19543</v>
      </c>
      <c r="F9" s="0" t="n">
        <v>6014</v>
      </c>
      <c r="G9" s="0" t="n">
        <v>30.8</v>
      </c>
      <c r="I9" s="0" t="n">
        <v>4050</v>
      </c>
      <c r="J9" s="0" t="n">
        <v>20.7</v>
      </c>
      <c r="K9" s="0" t="n">
        <v>1.413</v>
      </c>
      <c r="L9" s="0" t="n">
        <v>-20489</v>
      </c>
      <c r="M9" s="0" t="n">
        <v>1409</v>
      </c>
      <c r="O9" s="0" t="n">
        <v>44388</v>
      </c>
      <c r="P9" s="0" t="n">
        <v>849688</v>
      </c>
      <c r="Q9" s="0" t="n">
        <v>798404</v>
      </c>
      <c r="S9" s="0" t="n">
        <v>89928</v>
      </c>
      <c r="T9" s="0" t="n">
        <v>2610</v>
      </c>
      <c r="U9" s="0" t="n">
        <v>334</v>
      </c>
      <c r="AA9" s="0" t="s">
        <v>18</v>
      </c>
      <c r="AB9" s="0" t="s">
        <v>14</v>
      </c>
      <c r="AC9" s="0" t="n">
        <v>547</v>
      </c>
      <c r="AD9" s="0" t="n">
        <v>464489</v>
      </c>
      <c r="AE9" s="0" t="n">
        <v>6366</v>
      </c>
      <c r="AF9" s="0" t="n">
        <v>12502</v>
      </c>
      <c r="AG9" s="0" t="n">
        <v>4042</v>
      </c>
      <c r="AH9" s="0" t="n">
        <v>51284</v>
      </c>
    </row>
    <row r="10" customFormat="false" ht="15" hidden="false" customHeight="false" outlineLevel="0" collapsed="false">
      <c r="A10" s="0" t="s">
        <v>78</v>
      </c>
      <c r="B10" s="0" t="n">
        <v>20942</v>
      </c>
      <c r="F10" s="0" t="n">
        <v>6963</v>
      </c>
      <c r="G10" s="0" t="n">
        <v>33.2</v>
      </c>
      <c r="I10" s="0" t="n">
        <v>5085</v>
      </c>
      <c r="J10" s="0" t="n">
        <v>24.3</v>
      </c>
      <c r="K10" s="0" t="n">
        <v>1.954</v>
      </c>
      <c r="L10" s="0" t="n">
        <v>36841</v>
      </c>
      <c r="M10" s="0" t="n">
        <v>1357</v>
      </c>
      <c r="O10" s="0" t="n">
        <v>46593</v>
      </c>
      <c r="P10" s="0" t="n">
        <v>919955</v>
      </c>
      <c r="Q10" s="0" t="n">
        <v>865369</v>
      </c>
      <c r="S10" s="0" t="n">
        <v>104922</v>
      </c>
      <c r="T10" s="0" t="n">
        <v>2404</v>
      </c>
      <c r="U10" s="0" t="n">
        <v>399</v>
      </c>
      <c r="AA10" s="0" t="s">
        <v>18</v>
      </c>
      <c r="AB10" s="0" t="s">
        <v>14</v>
      </c>
      <c r="AC10" s="0" t="n">
        <v>672</v>
      </c>
      <c r="AD10" s="0" t="n">
        <v>530161</v>
      </c>
      <c r="AE10" s="0" t="n">
        <v>5955</v>
      </c>
      <c r="AF10" s="0" t="n">
        <v>13304</v>
      </c>
      <c r="AG10" s="0" t="n">
        <v>5097</v>
      </c>
      <c r="AH10" s="0" t="n">
        <v>54586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2119</v>
      </c>
    </row>
    <row r="3" customFormat="false" ht="15" hidden="false" customHeight="false" outlineLevel="0" collapsed="false">
      <c r="A3" s="0" t="s">
        <v>82</v>
      </c>
      <c r="B3" s="3" t="n">
        <v>2254</v>
      </c>
    </row>
    <row r="4" customFormat="false" ht="15" hidden="false" customHeight="false" outlineLevel="0" collapsed="false">
      <c r="A4" s="0" t="s">
        <v>83</v>
      </c>
      <c r="B4" s="3" t="n">
        <v>0</v>
      </c>
    </row>
    <row r="5" customFormat="false" ht="15" hidden="false" customHeight="false" outlineLevel="0" collapsed="false">
      <c r="A5" s="0" t="s">
        <v>84</v>
      </c>
      <c r="B5" s="3" t="n">
        <v>0</v>
      </c>
    </row>
    <row r="6" customFormat="false" ht="15" hidden="false" customHeight="false" outlineLevel="0" collapsed="false">
      <c r="A6" s="0" t="s">
        <v>85</v>
      </c>
      <c r="B6" s="3" t="n">
        <v>15</v>
      </c>
    </row>
    <row r="7" customFormat="false" ht="15" hidden="false" customHeight="false" outlineLevel="0" collapsed="false">
      <c r="A7" s="0" t="s">
        <v>86</v>
      </c>
      <c r="B7" s="3" t="n">
        <v>21640</v>
      </c>
    </row>
    <row r="8" customFormat="false" ht="15" hidden="false" customHeight="false" outlineLevel="0" collapsed="false">
      <c r="A8" s="0" t="s">
        <v>87</v>
      </c>
      <c r="B8" s="3" t="s">
        <v>88</v>
      </c>
    </row>
    <row r="9" customFormat="false" ht="15" hidden="false" customHeight="false" outlineLevel="0" collapsed="false">
      <c r="A9" s="0" t="s">
        <v>89</v>
      </c>
      <c r="B9" s="3" t="s">
        <v>90</v>
      </c>
    </row>
    <row r="10" customFormat="false" ht="15" hidden="false" customHeight="false" outlineLevel="0" collapsed="false">
      <c r="A10" s="0" t="s">
        <v>91</v>
      </c>
      <c r="B10" s="3" t="n">
        <v>75.5687</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2</v>
      </c>
      <c r="D13" s="3" t="n">
        <v>-3</v>
      </c>
      <c r="E13" s="3" t="n">
        <v>1</v>
      </c>
      <c r="F13" s="3" t="n">
        <v>2.5</v>
      </c>
      <c r="G13" s="3" t="n">
        <v>3</v>
      </c>
      <c r="H13" s="3" t="n">
        <v>3</v>
      </c>
      <c r="I13" s="3" t="n">
        <v>3</v>
      </c>
      <c r="J13" s="3" t="n">
        <v>2.5</v>
      </c>
      <c r="K13" s="3" t="n">
        <v>2.5</v>
      </c>
      <c r="L13" s="3" t="n">
        <v>2.5</v>
      </c>
    </row>
    <row r="14" customFormat="false" ht="15" hidden="false" customHeight="false" outlineLevel="0" collapsed="false">
      <c r="A14" s="0" t="s">
        <v>104</v>
      </c>
      <c r="C14" s="3" t="n">
        <v>32</v>
      </c>
      <c r="D14" s="3" t="n">
        <v>24</v>
      </c>
      <c r="E14" s="3" t="n">
        <v>28</v>
      </c>
      <c r="F14" s="3" t="n">
        <v>30</v>
      </c>
      <c r="G14" s="3" t="n">
        <v>31</v>
      </c>
      <c r="H14" s="3" t="n">
        <v>31</v>
      </c>
      <c r="I14" s="3" t="n">
        <v>31</v>
      </c>
      <c r="J14" s="3" t="n">
        <v>31</v>
      </c>
      <c r="K14" s="3" t="n">
        <v>31</v>
      </c>
      <c r="L14" s="3" t="n">
        <v>31</v>
      </c>
    </row>
    <row r="15" customFormat="false" ht="15" hidden="false" customHeight="false" outlineLevel="0" collapsed="false">
      <c r="A15" s="0" t="s">
        <v>105</v>
      </c>
      <c r="C15" s="3" t="n">
        <v>1.9</v>
      </c>
      <c r="D15" s="3" t="n">
        <v>1.9</v>
      </c>
      <c r="E15" s="3" t="n">
        <v>1.9</v>
      </c>
      <c r="F15" s="3" t="n">
        <v>1.9</v>
      </c>
      <c r="G15" s="3" t="n">
        <v>1.9</v>
      </c>
      <c r="H15" s="3" t="n">
        <v>1.9</v>
      </c>
      <c r="I15" s="3" t="n">
        <v>1.9</v>
      </c>
      <c r="J15" s="3" t="n">
        <v>1.9</v>
      </c>
      <c r="K15" s="3" t="n">
        <v>1.9</v>
      </c>
      <c r="L15" s="3" t="n">
        <v>1.9</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108</v>
      </c>
      <c r="C18" s="3" t="n">
        <v>3.35</v>
      </c>
      <c r="D18" s="3" t="n">
        <v>0</v>
      </c>
      <c r="E18" s="3" t="n">
        <v>1.69</v>
      </c>
      <c r="F18" s="3" t="n">
        <v>4.17</v>
      </c>
      <c r="G18" s="3" t="n">
        <v>4.98</v>
      </c>
      <c r="H18" s="3" t="n">
        <v>4.98</v>
      </c>
      <c r="I18" s="3" t="n">
        <v>4.98</v>
      </c>
      <c r="J18" s="3" t="n">
        <v>4.17</v>
      </c>
      <c r="K18" s="3" t="n">
        <v>4.17</v>
      </c>
      <c r="L18" s="3" t="n">
        <v>4.17</v>
      </c>
    </row>
    <row r="19" customFormat="false" ht="15" hidden="false" customHeight="false" outlineLevel="0" collapsed="false">
      <c r="A19" s="0" t="s">
        <v>109</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110</v>
      </c>
      <c r="B20" s="3" t="n">
        <v>11</v>
      </c>
    </row>
    <row r="21" customFormat="false" ht="15" hidden="false" customHeight="false" outlineLevel="0" collapsed="false">
      <c r="A21" s="0" t="s">
        <v>111</v>
      </c>
      <c r="B21" s="3" t="n">
        <v>2.5</v>
      </c>
    </row>
    <row r="22" customFormat="false" ht="15" hidden="false" customHeight="false" outlineLevel="0" collapsed="false">
      <c r="A22" s="0" t="s">
        <v>112</v>
      </c>
      <c r="B22" s="3" t="n">
        <v>12</v>
      </c>
    </row>
    <row r="23" customFormat="false" ht="15" hidden="false" customHeight="false" outlineLevel="0" collapsed="false">
      <c r="A23" s="0" t="s">
        <v>113</v>
      </c>
      <c r="B23" s="3" t="n">
        <v>0</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5.5</v>
      </c>
      <c r="D27" s="3" t="n">
        <v>5</v>
      </c>
      <c r="E27" s="3" t="n">
        <v>5</v>
      </c>
      <c r="F27" s="3" t="n">
        <v>4.5</v>
      </c>
      <c r="G27" s="3" t="n">
        <v>4</v>
      </c>
      <c r="H27" s="3" t="n">
        <v>3.5</v>
      </c>
      <c r="I27" s="3" t="n">
        <v>3.5</v>
      </c>
      <c r="J27" s="3" t="n">
        <v>3</v>
      </c>
      <c r="K27" s="3" t="n">
        <v>3</v>
      </c>
      <c r="L27" s="3" t="n">
        <v>3</v>
      </c>
    </row>
    <row r="28" customFormat="false" ht="15" hidden="false" customHeight="false" outlineLevel="0" collapsed="false">
      <c r="A28" s="0" t="s">
        <v>104</v>
      </c>
      <c r="C28" s="3" t="n">
        <v>34.8</v>
      </c>
      <c r="D28" s="3" t="n">
        <v>36</v>
      </c>
      <c r="E28" s="3" t="n">
        <v>37</v>
      </c>
      <c r="F28" s="3" t="n">
        <v>37.8</v>
      </c>
      <c r="G28" s="3" t="n">
        <v>38</v>
      </c>
      <c r="H28" s="3" t="n">
        <v>38</v>
      </c>
      <c r="I28" s="3" t="n">
        <v>38</v>
      </c>
      <c r="J28" s="3" t="n">
        <v>38</v>
      </c>
      <c r="K28" s="3" t="n">
        <v>38</v>
      </c>
      <c r="L28" s="3" t="n">
        <v>38</v>
      </c>
    </row>
    <row r="29" customFormat="false" ht="15" hidden="false" customHeight="false" outlineLevel="0" collapsed="false">
      <c r="A29" s="0" t="s">
        <v>105</v>
      </c>
      <c r="C29" s="3" t="n">
        <v>1.9</v>
      </c>
      <c r="D29" s="3" t="n">
        <v>1.9</v>
      </c>
      <c r="E29" s="3" t="n">
        <v>1.9</v>
      </c>
      <c r="F29" s="3" t="n">
        <v>1.9</v>
      </c>
      <c r="G29" s="3" t="n">
        <v>1.9</v>
      </c>
      <c r="H29" s="3" t="n">
        <v>1.9</v>
      </c>
      <c r="I29" s="3" t="n">
        <v>1.9</v>
      </c>
      <c r="J29" s="3" t="n">
        <v>1.9</v>
      </c>
      <c r="K29" s="3" t="n">
        <v>1.9</v>
      </c>
      <c r="L29" s="3" t="n">
        <v>1.9</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108</v>
      </c>
      <c r="C32" s="3" t="n">
        <v>7.15</v>
      </c>
      <c r="D32" s="3" t="n">
        <v>6.53</v>
      </c>
      <c r="E32" s="3" t="n">
        <v>6.53</v>
      </c>
      <c r="F32" s="3" t="n">
        <v>5.91</v>
      </c>
      <c r="G32" s="3" t="n">
        <v>5.28</v>
      </c>
      <c r="H32" s="3" t="n">
        <v>4.64</v>
      </c>
      <c r="I32" s="3" t="n">
        <v>4.64</v>
      </c>
      <c r="J32" s="3" t="n">
        <v>4</v>
      </c>
      <c r="K32" s="3" t="n">
        <v>4</v>
      </c>
      <c r="L32" s="3" t="n">
        <v>4</v>
      </c>
    </row>
    <row r="33" customFormat="false" ht="15" hidden="false" customHeight="false" outlineLevel="0" collapsed="false">
      <c r="A33" s="0" t="s">
        <v>109</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110</v>
      </c>
      <c r="B34" s="3" t="n">
        <v>11</v>
      </c>
    </row>
    <row r="35" customFormat="false" ht="15" hidden="false" customHeight="false" outlineLevel="0" collapsed="false">
      <c r="A35" s="0" t="s">
        <v>111</v>
      </c>
      <c r="B35" s="3" t="n">
        <v>3</v>
      </c>
    </row>
    <row r="36" customFormat="false" ht="15" hidden="false" customHeight="false" outlineLevel="0" collapsed="false">
      <c r="A36" s="0" t="s">
        <v>112</v>
      </c>
      <c r="B36" s="3" t="n">
        <v>15</v>
      </c>
    </row>
    <row r="37" customFormat="false" ht="15" hidden="false" customHeight="false" outlineLevel="0" collapsed="false">
      <c r="A37" s="0" t="s">
        <v>113</v>
      </c>
      <c r="B37" s="3" t="n">
        <v>0</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7</v>
      </c>
      <c r="D41" s="3" t="n">
        <v>6.5</v>
      </c>
      <c r="E41" s="3" t="n">
        <v>6</v>
      </c>
      <c r="F41" s="3" t="n">
        <v>5.5</v>
      </c>
      <c r="G41" s="3" t="n">
        <v>5</v>
      </c>
      <c r="H41" s="3" t="n">
        <v>4.5</v>
      </c>
      <c r="I41" s="3" t="n">
        <v>4</v>
      </c>
      <c r="J41" s="3" t="n">
        <v>3.5</v>
      </c>
      <c r="K41" s="3" t="n">
        <v>3.5</v>
      </c>
      <c r="L41" s="3" t="n">
        <v>3</v>
      </c>
    </row>
    <row r="42" customFormat="false" ht="15" hidden="false" customHeight="false" outlineLevel="0" collapsed="false">
      <c r="A42" s="0" t="s">
        <v>104</v>
      </c>
      <c r="C42" s="3" t="n">
        <v>35.5</v>
      </c>
      <c r="D42" s="3" t="n">
        <v>38</v>
      </c>
      <c r="E42" s="3" t="n">
        <v>39.5</v>
      </c>
      <c r="F42" s="3" t="n">
        <v>41</v>
      </c>
      <c r="G42" s="3" t="n">
        <v>41.5</v>
      </c>
      <c r="H42" s="3" t="n">
        <v>41.5</v>
      </c>
      <c r="I42" s="3" t="n">
        <v>41.5</v>
      </c>
      <c r="J42" s="3" t="n">
        <v>41.5</v>
      </c>
      <c r="K42" s="3" t="n">
        <v>41.5</v>
      </c>
      <c r="L42" s="3" t="n">
        <v>41.5</v>
      </c>
    </row>
    <row r="43" customFormat="false" ht="15" hidden="false" customHeight="false" outlineLevel="0" collapsed="false">
      <c r="A43" s="0" t="s">
        <v>105</v>
      </c>
      <c r="C43" s="3" t="n">
        <v>1.9</v>
      </c>
      <c r="D43" s="3" t="n">
        <v>1.9</v>
      </c>
      <c r="E43" s="3" t="n">
        <v>1.9</v>
      </c>
      <c r="F43" s="3" t="n">
        <v>1.9</v>
      </c>
      <c r="G43" s="3" t="n">
        <v>1.9</v>
      </c>
      <c r="H43" s="3" t="n">
        <v>1.9</v>
      </c>
      <c r="I43" s="3" t="n">
        <v>1.9</v>
      </c>
      <c r="J43" s="3" t="n">
        <v>1.9</v>
      </c>
      <c r="K43" s="3" t="n">
        <v>1.9</v>
      </c>
      <c r="L43" s="3" t="n">
        <v>1.9</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108</v>
      </c>
      <c r="C46" s="3" t="n">
        <v>8.98</v>
      </c>
      <c r="D46" s="3" t="n">
        <v>8.37</v>
      </c>
      <c r="E46" s="3" t="n">
        <v>7.77</v>
      </c>
      <c r="F46" s="3" t="n">
        <v>7.15</v>
      </c>
      <c r="G46" s="3" t="n">
        <v>6.53</v>
      </c>
      <c r="H46" s="3" t="n">
        <v>5.91</v>
      </c>
      <c r="I46" s="3" t="n">
        <v>5.28</v>
      </c>
      <c r="J46" s="3" t="n">
        <v>4.64</v>
      </c>
      <c r="K46" s="3" t="n">
        <v>4.64</v>
      </c>
      <c r="L46" s="3" t="n">
        <v>4</v>
      </c>
    </row>
    <row r="47" customFormat="false" ht="15" hidden="false" customHeight="false" outlineLevel="0" collapsed="false">
      <c r="A47" s="0" t="s">
        <v>109</v>
      </c>
      <c r="C47" s="3" t="n">
        <v>24.5</v>
      </c>
      <c r="D47" s="3" t="n">
        <v>24.5</v>
      </c>
      <c r="E47" s="3" t="n">
        <v>24.5</v>
      </c>
      <c r="F47" s="3" t="n">
        <v>24.5</v>
      </c>
      <c r="G47" s="3" t="n">
        <v>24.5</v>
      </c>
      <c r="H47" s="3" t="n">
        <v>24.5</v>
      </c>
      <c r="I47" s="3" t="n">
        <v>24.5</v>
      </c>
      <c r="J47" s="3" t="n">
        <v>24.5</v>
      </c>
      <c r="K47" s="3" t="n">
        <v>24.5</v>
      </c>
      <c r="L47" s="3" t="n">
        <v>24.5</v>
      </c>
    </row>
    <row r="48" customFormat="false" ht="15" hidden="false" customHeight="false" outlineLevel="0" collapsed="false">
      <c r="A48" s="0" t="s">
        <v>110</v>
      </c>
      <c r="B48" s="3" t="n">
        <v>11</v>
      </c>
    </row>
    <row r="49" customFormat="false" ht="15" hidden="false" customHeight="false" outlineLevel="0" collapsed="false">
      <c r="A49" s="0" t="s">
        <v>111</v>
      </c>
      <c r="B49" s="3" t="n">
        <v>3</v>
      </c>
    </row>
    <row r="50" customFormat="false" ht="15" hidden="false" customHeight="false" outlineLevel="0" collapsed="false">
      <c r="A50" s="0" t="s">
        <v>112</v>
      </c>
      <c r="B50" s="3" t="n">
        <v>15</v>
      </c>
    </row>
    <row r="51" customFormat="false" ht="15" hidden="false" customHeight="false" outlineLevel="0" collapsed="false">
      <c r="A51" s="0" t="s">
        <v>113</v>
      </c>
      <c r="B51" s="3" t="n">
        <v>0</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2</v>
      </c>
      <c r="D5" s="4" t="n">
        <f aca="false">Assumptions!D13</f>
        <v>-3</v>
      </c>
      <c r="E5" s="4" t="n">
        <f aca="false">Assumptions!E13</f>
        <v>1</v>
      </c>
      <c r="F5" s="4" t="n">
        <f aca="false">Assumptions!F13</f>
        <v>2.5</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21640</v>
      </c>
      <c r="C6" s="0" t="n">
        <f aca="false">B6*(1+C5/100)</f>
        <v>22072.8</v>
      </c>
      <c r="D6" s="0" t="n">
        <f aca="false">C6*(1+D5/100)</f>
        <v>21410.616</v>
      </c>
      <c r="E6" s="0" t="n">
        <f aca="false">D6*(1+E5/100)</f>
        <v>21624.72216</v>
      </c>
      <c r="F6" s="0" t="n">
        <f aca="false">E6*(1+F5/100)</f>
        <v>22165.340214</v>
      </c>
      <c r="G6" s="0" t="n">
        <f aca="false">F6*(1+G5/100)</f>
        <v>22830.30042042</v>
      </c>
      <c r="H6" s="0" t="n">
        <f aca="false">G6*(1+H5/100)</f>
        <v>23515.2094330326</v>
      </c>
      <c r="I6" s="0" t="n">
        <f aca="false">H6*(1+I5/100)</f>
        <v>24220.6657160236</v>
      </c>
      <c r="J6" s="0" t="n">
        <f aca="false">I6*(1+J5/100)</f>
        <v>24826.1823589242</v>
      </c>
      <c r="K6" s="0" t="n">
        <f aca="false">J6*(1+K5/100)</f>
        <v>25446.8369178973</v>
      </c>
      <c r="L6" s="0" t="n">
        <f aca="false">K6*(1+L5/100)</f>
        <v>26083.0078408447</v>
      </c>
    </row>
    <row r="7" customFormat="false" ht="15" hidden="false" customHeight="false" outlineLevel="0" collapsed="false">
      <c r="A7" s="0" t="s">
        <v>104</v>
      </c>
      <c r="C7" s="4" t="n">
        <f aca="false">Assumptions!C14</f>
        <v>32</v>
      </c>
      <c r="D7" s="4" t="n">
        <f aca="false">Assumptions!D14</f>
        <v>24</v>
      </c>
      <c r="E7" s="4" t="n">
        <f aca="false">Assumptions!E14</f>
        <v>28</v>
      </c>
      <c r="F7" s="4" t="n">
        <f aca="false">Assumptions!F14</f>
        <v>30</v>
      </c>
      <c r="G7" s="4" t="n">
        <f aca="false">Assumptions!G14</f>
        <v>31</v>
      </c>
      <c r="H7" s="4" t="n">
        <f aca="false">Assumptions!H14</f>
        <v>31</v>
      </c>
      <c r="I7" s="4" t="n">
        <f aca="false">Assumptions!I14</f>
        <v>31</v>
      </c>
      <c r="J7" s="4" t="n">
        <f aca="false">Assumptions!J14</f>
        <v>31</v>
      </c>
      <c r="K7" s="4" t="n">
        <f aca="false">Assumptions!K14</f>
        <v>31</v>
      </c>
      <c r="L7" s="4" t="n">
        <f aca="false">Assumptions!L14</f>
        <v>31</v>
      </c>
    </row>
    <row r="8" customFormat="false" ht="15" hidden="false" customHeight="false" outlineLevel="0" collapsed="false">
      <c r="A8" s="0" t="s">
        <v>44</v>
      </c>
      <c r="C8" s="0" t="n">
        <f aca="false">C6*C7/100</f>
        <v>7063.296</v>
      </c>
      <c r="D8" s="0" t="n">
        <f aca="false">D6*D7/100</f>
        <v>5138.54784</v>
      </c>
      <c r="E8" s="0" t="n">
        <f aca="false">E6*E7/100</f>
        <v>6054.9222048</v>
      </c>
      <c r="F8" s="0" t="n">
        <f aca="false">F6*F7/100</f>
        <v>6649.6020642</v>
      </c>
      <c r="G8" s="0" t="n">
        <f aca="false">G6*G7/100</f>
        <v>7077.3931303302</v>
      </c>
      <c r="H8" s="0" t="n">
        <f aca="false">H6*H7/100</f>
        <v>7289.71492424011</v>
      </c>
      <c r="I8" s="0" t="n">
        <f aca="false">I6*I7/100</f>
        <v>7508.40637196731</v>
      </c>
      <c r="J8" s="0" t="n">
        <f aca="false">J6*J7/100</f>
        <v>7696.11653126649</v>
      </c>
      <c r="K8" s="0" t="n">
        <f aca="false">K6*K7/100</f>
        <v>7888.51944454815</v>
      </c>
      <c r="L8" s="0" t="n">
        <f aca="false">L6*L7/100</f>
        <v>8085.73243066186</v>
      </c>
    </row>
    <row r="9" customFormat="false" ht="15" hidden="false" customHeight="false" outlineLevel="0" collapsed="false">
      <c r="A9" s="0" t="s">
        <v>105</v>
      </c>
      <c r="C9" s="4" t="n">
        <f aca="false">Assumptions!C15</f>
        <v>1.9</v>
      </c>
      <c r="D9" s="4" t="n">
        <f aca="false">Assumptions!D15</f>
        <v>1.9</v>
      </c>
      <c r="E9" s="4" t="n">
        <f aca="false">Assumptions!E15</f>
        <v>1.9</v>
      </c>
      <c r="F9" s="4" t="n">
        <f aca="false">Assumptions!F15</f>
        <v>1.9</v>
      </c>
      <c r="G9" s="4" t="n">
        <f aca="false">Assumptions!G15</f>
        <v>1.9</v>
      </c>
      <c r="H9" s="4" t="n">
        <f aca="false">Assumptions!H15</f>
        <v>1.9</v>
      </c>
      <c r="I9" s="4" t="n">
        <f aca="false">Assumptions!I15</f>
        <v>1.9</v>
      </c>
      <c r="J9" s="4" t="n">
        <f aca="false">Assumptions!J15</f>
        <v>1.9</v>
      </c>
      <c r="K9" s="4" t="n">
        <f aca="false">Assumptions!K15</f>
        <v>1.9</v>
      </c>
      <c r="L9" s="4" t="n">
        <f aca="false">Assumptions!L15</f>
        <v>1.9</v>
      </c>
    </row>
    <row r="10" customFormat="false" ht="15" hidden="false" customHeight="false" outlineLevel="0" collapsed="false">
      <c r="A10" s="0" t="s">
        <v>120</v>
      </c>
      <c r="C10" s="0" t="n">
        <f aca="false">-C6*C9/100</f>
        <v>-419.3832</v>
      </c>
      <c r="D10" s="0" t="n">
        <f aca="false">-D6*D9/100</f>
        <v>-406.801704</v>
      </c>
      <c r="E10" s="0" t="n">
        <f aca="false">-E6*E9/100</f>
        <v>-410.86972104</v>
      </c>
      <c r="F10" s="0" t="n">
        <f aca="false">-F6*F9/100</f>
        <v>-421.141464066</v>
      </c>
      <c r="G10" s="0" t="n">
        <f aca="false">-G6*G9/100</f>
        <v>-433.77570798798</v>
      </c>
      <c r="H10" s="0" t="n">
        <f aca="false">-H6*H9/100</f>
        <v>-446.788979227619</v>
      </c>
      <c r="I10" s="0" t="n">
        <f aca="false">-I6*I9/100</f>
        <v>-460.192648604448</v>
      </c>
      <c r="J10" s="0" t="n">
        <f aca="false">-J6*J9/100</f>
        <v>-471.697464819559</v>
      </c>
      <c r="K10" s="0" t="n">
        <f aca="false">-K6*K9/100</f>
        <v>-483.489901440048</v>
      </c>
      <c r="L10" s="0" t="n">
        <f aca="false">-L6*L9/100</f>
        <v>-495.577148976049</v>
      </c>
    </row>
    <row r="11" customFormat="false" ht="15" hidden="false" customHeight="false" outlineLevel="0" collapsed="false">
      <c r="A11" s="0" t="s">
        <v>121</v>
      </c>
      <c r="C11" s="0" t="n">
        <f aca="false">C8+C10+C24</f>
        <v>6643.9128</v>
      </c>
      <c r="D11" s="0" t="n">
        <f aca="false">D8+D10+D24</f>
        <v>4731.746136</v>
      </c>
      <c r="E11" s="0" t="n">
        <f aca="false">E8+E10+E24</f>
        <v>5644.05248376</v>
      </c>
      <c r="F11" s="0" t="n">
        <f aca="false">F8+F10+F24</f>
        <v>6228.460600134</v>
      </c>
      <c r="G11" s="0" t="n">
        <f aca="false">G8+G10+G24</f>
        <v>6643.61742234222</v>
      </c>
      <c r="H11" s="0" t="n">
        <f aca="false">H8+H10+H24</f>
        <v>6842.92594501249</v>
      </c>
      <c r="I11" s="0" t="n">
        <f aca="false">I8+I10+I24</f>
        <v>7048.21372336286</v>
      </c>
      <c r="J11" s="0" t="n">
        <f aca="false">J8+J10+J24</f>
        <v>7224.41906644693</v>
      </c>
      <c r="K11" s="0" t="n">
        <f aca="false">K8+K10+K24</f>
        <v>7405.0295431081</v>
      </c>
      <c r="L11" s="0" t="n">
        <f aca="false">L8+L10+L24</f>
        <v>7590.15528168581</v>
      </c>
    </row>
    <row r="12" customFormat="false" ht="15" hidden="false" customHeight="false" outlineLevel="0" collapsed="false">
      <c r="A12" s="0" t="s">
        <v>122</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123</v>
      </c>
      <c r="C13" s="0" t="n">
        <f aca="false">C11+C12</f>
        <v>6643.9128</v>
      </c>
      <c r="D13" s="0" t="n">
        <f aca="false">D11+D12</f>
        <v>4731.746136</v>
      </c>
      <c r="E13" s="0" t="n">
        <f aca="false">E11+E12</f>
        <v>5644.05248376</v>
      </c>
      <c r="F13" s="0" t="n">
        <f aca="false">F11+F12</f>
        <v>6228.460600134</v>
      </c>
      <c r="G13" s="0" t="n">
        <f aca="false">G11+G12</f>
        <v>6643.61742234222</v>
      </c>
      <c r="H13" s="0" t="n">
        <f aca="false">H11+H12</f>
        <v>6842.92594501249</v>
      </c>
      <c r="I13" s="0" t="n">
        <f aca="false">I11+I12</f>
        <v>7048.21372336286</v>
      </c>
      <c r="J13" s="0" t="n">
        <f aca="false">J11+J12</f>
        <v>7224.41906644693</v>
      </c>
      <c r="K13" s="0" t="n">
        <f aca="false">K11+K12</f>
        <v>7405.0295431081</v>
      </c>
      <c r="L13" s="0" t="n">
        <f aca="false">L11+L12</f>
        <v>7590.15528168581</v>
      </c>
    </row>
    <row r="14" customFormat="false" ht="15" hidden="false" customHeight="false" outlineLevel="0" collapsed="false">
      <c r="A14" s="0" t="s">
        <v>109</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124</v>
      </c>
      <c r="C15" s="0" t="n">
        <f aca="false">C13-MAX(0,C13)*C14/100</f>
        <v>4850.056344</v>
      </c>
      <c r="D15" s="0" t="n">
        <f aca="false">D13-MAX(0,D13)*D14/100</f>
        <v>3454.17467928</v>
      </c>
      <c r="E15" s="0" t="n">
        <f aca="false">E13-MAX(0,E13)*E14/100</f>
        <v>4120.1583131448</v>
      </c>
      <c r="F15" s="0" t="n">
        <f aca="false">F13-MAX(0,F13)*F14/100</f>
        <v>4546.77623809782</v>
      </c>
      <c r="G15" s="0" t="n">
        <f aca="false">G13-MAX(0,G13)*G14/100</f>
        <v>4849.84071830982</v>
      </c>
      <c r="H15" s="0" t="n">
        <f aca="false">H13-MAX(0,H13)*H14/100</f>
        <v>4995.33593985912</v>
      </c>
      <c r="I15" s="0" t="n">
        <f aca="false">I13-MAX(0,I13)*I14/100</f>
        <v>5145.19601805489</v>
      </c>
      <c r="J15" s="0" t="n">
        <f aca="false">J13-MAX(0,J13)*J14/100</f>
        <v>5273.82591850626</v>
      </c>
      <c r="K15" s="0" t="n">
        <f aca="false">K13-MAX(0,K13)*K14/100</f>
        <v>5405.67156646892</v>
      </c>
      <c r="L15" s="0" t="n">
        <f aca="false">L13-MAX(0,L13)*L14/100</f>
        <v>5540.81335563064</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-C6*Assumptions!C18/100</f>
        <v>-739.4388</v>
      </c>
      <c r="D17" s="4" t="n">
        <f aca="false">-D6*Assumptions!D18/100</f>
        <v>-0</v>
      </c>
      <c r="E17" s="4" t="n">
        <f aca="false">-E6*Assumptions!E18/100</f>
        <v>-365.457804504</v>
      </c>
      <c r="F17" s="4" t="n">
        <f aca="false">-F6*Assumptions!F18/100</f>
        <v>-924.2946869238</v>
      </c>
      <c r="G17" s="4" t="n">
        <f aca="false">-G6*Assumptions!G18/100</f>
        <v>-1136.94896093692</v>
      </c>
      <c r="H17" s="4" t="n">
        <f aca="false">-H6*Assumptions!H18/100</f>
        <v>-1171.05742976502</v>
      </c>
      <c r="I17" s="4" t="n">
        <f aca="false">-I6*Assumptions!I18/100</f>
        <v>-1206.18915265797</v>
      </c>
      <c r="J17" s="4" t="n">
        <f aca="false">-J6*Assumptions!J18/100</f>
        <v>-1035.25180436714</v>
      </c>
      <c r="K17" s="4" t="n">
        <f aca="false">-K6*Assumptions!K18/100</f>
        <v>-1061.13309947632</v>
      </c>
      <c r="L17" s="4" t="n">
        <f aca="false">-L6*Assumptions!L18/100</f>
        <v>-1087.66142696322</v>
      </c>
    </row>
    <row r="18" customFormat="false" ht="15" hidden="false" customHeight="false" outlineLevel="0" collapsed="false">
      <c r="A18" s="0" t="s">
        <v>127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128</v>
      </c>
      <c r="C19" s="0" t="n">
        <f aca="false">C15+C16+C17+C18</f>
        <v>4110.617544</v>
      </c>
      <c r="D19" s="0" t="n">
        <f aca="false">D15+D16+D17+D18</f>
        <v>3454.17467928</v>
      </c>
      <c r="E19" s="0" t="n">
        <f aca="false">E15+E16+E17+E18</f>
        <v>3754.7005086408</v>
      </c>
      <c r="F19" s="0" t="n">
        <f aca="false">F15+F16+F17+F18</f>
        <v>3622.48155117402</v>
      </c>
      <c r="G19" s="0" t="n">
        <f aca="false">G15+G16+G17+G18</f>
        <v>3712.8917573729</v>
      </c>
      <c r="H19" s="0" t="n">
        <f aca="false">H15+H16+H17+H18</f>
        <v>3824.27851009409</v>
      </c>
      <c r="I19" s="0" t="n">
        <f aca="false">I15+I16+I17+I18</f>
        <v>3939.00686539691</v>
      </c>
      <c r="J19" s="0" t="n">
        <f aca="false">J15+J16+J17+J18</f>
        <v>4238.57411413912</v>
      </c>
      <c r="K19" s="0" t="n">
        <f aca="false">K15+K16+K17+K18</f>
        <v>4344.5384669926</v>
      </c>
      <c r="L19" s="0" t="n">
        <f aca="false">L15+L16+L17+L18</f>
        <v>4453.15192866742</v>
      </c>
    </row>
    <row r="20" customFormat="false" ht="15" hidden="false" customHeight="false" outlineLevel="0" collapsed="false">
      <c r="A20" s="0" t="s">
        <v>129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130</v>
      </c>
      <c r="C21" s="0" t="n">
        <f aca="false">C19*C20</f>
        <v>3703.25904864865</v>
      </c>
      <c r="D21" s="0" t="n">
        <f aca="false">D19*D20</f>
        <v>2803.48565804724</v>
      </c>
      <c r="E21" s="0" t="n">
        <f aca="false">E19*E20</f>
        <v>2745.40465128445</v>
      </c>
      <c r="F21" s="0" t="n">
        <f aca="false">F19*F20</f>
        <v>2386.24080102715</v>
      </c>
      <c r="G21" s="0" t="n">
        <f aca="false">G19*G20</f>
        <v>2203.42054435063</v>
      </c>
      <c r="H21" s="0" t="n">
        <f aca="false">H19*H20</f>
        <v>2044.6154600731</v>
      </c>
      <c r="I21" s="0" t="n">
        <f aca="false">I19*I20</f>
        <v>1897.25578727504</v>
      </c>
      <c r="J21" s="0" t="n">
        <f aca="false">J19*J20</f>
        <v>1839.22961464788</v>
      </c>
      <c r="K21" s="0" t="n">
        <f aca="false">K19*K20</f>
        <v>1698.38770721989</v>
      </c>
      <c r="L21" s="0" t="n">
        <f aca="false">L19*L20</f>
        <v>1568.33099090125</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11</v>
      </c>
    </row>
    <row r="28" customFormat="false" ht="15" hidden="false" customHeight="false" outlineLevel="0" collapsed="false">
      <c r="A28" s="0" t="s">
        <v>111</v>
      </c>
      <c r="B28" s="4" t="n">
        <f aca="false">Assumptions!$B$21</f>
        <v>2.5</v>
      </c>
    </row>
    <row r="29" customFormat="false" ht="15" hidden="false" customHeight="false" outlineLevel="0" collapsed="false">
      <c r="A29" s="0" t="s">
        <v>112</v>
      </c>
      <c r="B29" s="4" t="n">
        <f aca="false">Assumptions!$B$22</f>
        <v>12</v>
      </c>
    </row>
    <row r="30" customFormat="false" ht="15" hidden="false" customHeight="false" outlineLevel="0" collapsed="false">
      <c r="A30" s="0" t="s">
        <v>133</v>
      </c>
      <c r="B30" s="0" t="n">
        <f aca="false">SUM(C21:L21)</f>
        <v>22889.6302634753</v>
      </c>
    </row>
    <row r="31" customFormat="false" ht="15" hidden="false" customHeight="false" outlineLevel="0" collapsed="false">
      <c r="A31" s="0" t="s">
        <v>134</v>
      </c>
      <c r="B31" s="0" t="n">
        <f aca="false">L19</f>
        <v>4453.15192866742</v>
      </c>
    </row>
    <row r="32" customFormat="false" ht="15" hidden="false" customHeight="false" outlineLevel="0" collapsed="false">
      <c r="A32" s="0" t="s">
        <v>135</v>
      </c>
      <c r="B32" s="0" t="n">
        <f aca="false">IF(B27&gt;B28,B31*(1+B28/100)/((B27-B28)/100),B31*B29)</f>
        <v>53699.77325746</v>
      </c>
    </row>
    <row r="33" customFormat="false" ht="15" hidden="false" customHeight="false" outlineLevel="0" collapsed="false">
      <c r="A33" s="0" t="s">
        <v>136</v>
      </c>
      <c r="B33" s="0" t="n">
        <f aca="false">B31*B29</f>
        <v>53437.823144009</v>
      </c>
    </row>
    <row r="34" customFormat="false" ht="15" hidden="false" customHeight="false" outlineLevel="0" collapsed="false">
      <c r="A34" s="0" t="s">
        <v>137</v>
      </c>
      <c r="B34" s="0" t="n">
        <f aca="false">MAX(0,MIN(B32,B33))</f>
        <v>53437.823144009</v>
      </c>
    </row>
    <row r="35" customFormat="false" ht="15" hidden="false" customHeight="false" outlineLevel="0" collapsed="false">
      <c r="A35" s="0" t="s">
        <v>138</v>
      </c>
      <c r="B35" s="0" t="n">
        <f aca="false">B34/(1+B27/100)^L4</f>
        <v>18819.9718908149</v>
      </c>
    </row>
    <row r="36" customFormat="false" ht="15" hidden="false" customHeight="false" outlineLevel="0" collapsed="false">
      <c r="A36" s="0" t="s">
        <v>139</v>
      </c>
      <c r="B36" s="0" t="n">
        <f aca="false">B30+B35</f>
        <v>41709.6021542902</v>
      </c>
    </row>
    <row r="37" customFormat="false" ht="15" hidden="false" customHeight="false" outlineLevel="0" collapsed="false">
      <c r="A37" s="0" t="s">
        <v>140</v>
      </c>
      <c r="B37" s="0" t="n">
        <f aca="false">B36+Assumptions!$B$5-Assumptions!$B$4</f>
        <v>41709.6021542902</v>
      </c>
    </row>
    <row r="38" customFormat="false" ht="15" hidden="false" customHeight="false" outlineLevel="0" collapsed="false">
      <c r="A38" s="0" t="s">
        <v>141</v>
      </c>
      <c r="B38" s="0" t="n">
        <f aca="false">B37/Assumptions!$B$3*Assumptions!$B$10</f>
        <v>1398.37640298</v>
      </c>
    </row>
    <row r="39" customFormat="false" ht="15" hidden="false" customHeight="false" outlineLevel="0" collapsed="false">
      <c r="A39" s="0" t="s">
        <v>142</v>
      </c>
      <c r="B39" s="4" t="n">
        <f aca="false">B38/Assumptions!$B$2-1</f>
        <v>-0.340077204823032</v>
      </c>
    </row>
    <row r="41" customFormat="false" ht="15" hidden="false" customHeight="false" outlineLevel="0" collapsed="false">
      <c r="A41" s="0" t="s">
        <v>143</v>
      </c>
      <c r="B41" s="0" t="n">
        <f aca="false">SUMPRODUCT(-C10:L10/(1+$B$27/100)^C4:L4)</f>
        <v>2572.01226785531</v>
      </c>
    </row>
    <row r="42" customFormat="false" ht="15" hidden="false" customHeight="false" outlineLevel="0" collapsed="false">
      <c r="A42" s="0" t="s">
        <v>144</v>
      </c>
      <c r="B42" s="0" t="n">
        <f aca="false">IF(B27&gt;B28,-L10*(1+B28/100)/((B27-B28)/100),-L10*20)/(1+B27/100)^L4</f>
        <v>2104.68169885039</v>
      </c>
    </row>
    <row r="43" customFormat="false" ht="15" hidden="false" customHeight="false" outlineLevel="0" collapsed="false">
      <c r="A43" s="0" t="s">
        <v>145</v>
      </c>
      <c r="B43" s="0" t="n">
        <f aca="false">(B37+B41+B42)/Assumptions!$B$3*Assumptions!$B$10</f>
        <v>1555.16951893465</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36515.8458150728</v>
      </c>
    </row>
    <row r="47" customFormat="false" ht="15" hidden="false" customHeight="false" outlineLevel="0" collapsed="false">
      <c r="A47" s="0" t="s">
        <v>147</v>
      </c>
      <c r="B47" s="0" t="n">
        <f aca="false">(SUMPRODUCT(C19:L19/(1+B45/100)^C4:L4)+B46/(1+B45/100)^L4+Assumptions!$B$5-Assumptions!$B$4)/Assumptions!$B$3*Assumptions!$B$10</f>
        <v>953.958067649544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5.5</v>
      </c>
      <c r="D5" s="4" t="n">
        <f aca="false">Assumptions!D27</f>
        <v>5</v>
      </c>
      <c r="E5" s="4" t="n">
        <f aca="false">Assumptions!E27</f>
        <v>5</v>
      </c>
      <c r="F5" s="4" t="n">
        <f aca="false">Assumptions!F27</f>
        <v>4.5</v>
      </c>
      <c r="G5" s="4" t="n">
        <f aca="false">Assumptions!G27</f>
        <v>4</v>
      </c>
      <c r="H5" s="4" t="n">
        <f aca="false">Assumptions!H27</f>
        <v>3.5</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21640</v>
      </c>
      <c r="C6" s="0" t="n">
        <f aca="false">B6*(1+C5/100)</f>
        <v>22830.2</v>
      </c>
      <c r="D6" s="0" t="n">
        <f aca="false">C6*(1+D5/100)</f>
        <v>23971.71</v>
      </c>
      <c r="E6" s="0" t="n">
        <f aca="false">D6*(1+E5/100)</f>
        <v>25170.2955</v>
      </c>
      <c r="F6" s="0" t="n">
        <f aca="false">E6*(1+F5/100)</f>
        <v>26302.9587975</v>
      </c>
      <c r="G6" s="0" t="n">
        <f aca="false">F6*(1+G5/100)</f>
        <v>27355.0771494</v>
      </c>
      <c r="H6" s="0" t="n">
        <f aca="false">G6*(1+H5/100)</f>
        <v>28312.504849629</v>
      </c>
      <c r="I6" s="0" t="n">
        <f aca="false">H6*(1+I5/100)</f>
        <v>29303.442519366</v>
      </c>
      <c r="J6" s="0" t="n">
        <f aca="false">I6*(1+J5/100)</f>
        <v>30182.545794947</v>
      </c>
      <c r="K6" s="0" t="n">
        <f aca="false">J6*(1+K5/100)</f>
        <v>31088.0221687954</v>
      </c>
      <c r="L6" s="0" t="n">
        <f aca="false">K6*(1+L5/100)</f>
        <v>32020.6628338593</v>
      </c>
    </row>
    <row r="7" customFormat="false" ht="15" hidden="false" customHeight="false" outlineLevel="0" collapsed="false">
      <c r="A7" s="0" t="s">
        <v>104</v>
      </c>
      <c r="C7" s="4" t="n">
        <f aca="false">Assumptions!C28</f>
        <v>34.8</v>
      </c>
      <c r="D7" s="4" t="n">
        <f aca="false">Assumptions!D28</f>
        <v>36</v>
      </c>
      <c r="E7" s="4" t="n">
        <f aca="false">Assumptions!E28</f>
        <v>37</v>
      </c>
      <c r="F7" s="4" t="n">
        <f aca="false">Assumptions!F28</f>
        <v>37.8</v>
      </c>
      <c r="G7" s="4" t="n">
        <f aca="false">Assumptions!G28</f>
        <v>38</v>
      </c>
      <c r="H7" s="4" t="n">
        <f aca="false">Assumptions!H28</f>
        <v>38</v>
      </c>
      <c r="I7" s="4" t="n">
        <f aca="false">Assumptions!I28</f>
        <v>38</v>
      </c>
      <c r="J7" s="4" t="n">
        <f aca="false">Assumptions!J28</f>
        <v>38</v>
      </c>
      <c r="K7" s="4" t="n">
        <f aca="false">Assumptions!K28</f>
        <v>38</v>
      </c>
      <c r="L7" s="4" t="n">
        <f aca="false">Assumptions!L28</f>
        <v>38</v>
      </c>
    </row>
    <row r="8" customFormat="false" ht="15" hidden="false" customHeight="false" outlineLevel="0" collapsed="false">
      <c r="A8" s="0" t="s">
        <v>44</v>
      </c>
      <c r="C8" s="0" t="n">
        <f aca="false">C6*C7/100</f>
        <v>7944.9096</v>
      </c>
      <c r="D8" s="0" t="n">
        <f aca="false">D6*D7/100</f>
        <v>8629.8156</v>
      </c>
      <c r="E8" s="0" t="n">
        <f aca="false">E6*E7/100</f>
        <v>9313.009335</v>
      </c>
      <c r="F8" s="0" t="n">
        <f aca="false">F6*F7/100</f>
        <v>9942.518425455</v>
      </c>
      <c r="G8" s="0" t="n">
        <f aca="false">G6*G7/100</f>
        <v>10394.929316772</v>
      </c>
      <c r="H8" s="0" t="n">
        <f aca="false">H6*H7/100</f>
        <v>10758.751842859</v>
      </c>
      <c r="I8" s="0" t="n">
        <f aca="false">I6*I7/100</f>
        <v>11135.3081573591</v>
      </c>
      <c r="J8" s="0" t="n">
        <f aca="false">J6*J7/100</f>
        <v>11469.3674020799</v>
      </c>
      <c r="K8" s="0" t="n">
        <f aca="false">K6*K7/100</f>
        <v>11813.4484241423</v>
      </c>
      <c r="L8" s="0" t="n">
        <f aca="false">L6*L7/100</f>
        <v>12167.8518768665</v>
      </c>
    </row>
    <row r="9" customFormat="false" ht="15" hidden="false" customHeight="false" outlineLevel="0" collapsed="false">
      <c r="A9" s="0" t="s">
        <v>105</v>
      </c>
      <c r="C9" s="4" t="n">
        <f aca="false">Assumptions!C29</f>
        <v>1.9</v>
      </c>
      <c r="D9" s="4" t="n">
        <f aca="false">Assumptions!D29</f>
        <v>1.9</v>
      </c>
      <c r="E9" s="4" t="n">
        <f aca="false">Assumptions!E29</f>
        <v>1.9</v>
      </c>
      <c r="F9" s="4" t="n">
        <f aca="false">Assumptions!F29</f>
        <v>1.9</v>
      </c>
      <c r="G9" s="4" t="n">
        <f aca="false">Assumptions!G29</f>
        <v>1.9</v>
      </c>
      <c r="H9" s="4" t="n">
        <f aca="false">Assumptions!H29</f>
        <v>1.9</v>
      </c>
      <c r="I9" s="4" t="n">
        <f aca="false">Assumptions!I29</f>
        <v>1.9</v>
      </c>
      <c r="J9" s="4" t="n">
        <f aca="false">Assumptions!J29</f>
        <v>1.9</v>
      </c>
      <c r="K9" s="4" t="n">
        <f aca="false">Assumptions!K29</f>
        <v>1.9</v>
      </c>
      <c r="L9" s="4" t="n">
        <f aca="false">Assumptions!L29</f>
        <v>1.9</v>
      </c>
    </row>
    <row r="10" customFormat="false" ht="15" hidden="false" customHeight="false" outlineLevel="0" collapsed="false">
      <c r="A10" s="0" t="s">
        <v>120</v>
      </c>
      <c r="C10" s="0" t="n">
        <f aca="false">-C6*C9/100</f>
        <v>-433.7738</v>
      </c>
      <c r="D10" s="0" t="n">
        <f aca="false">-D6*D9/100</f>
        <v>-455.46249</v>
      </c>
      <c r="E10" s="0" t="n">
        <f aca="false">-E6*E9/100</f>
        <v>-478.2356145</v>
      </c>
      <c r="F10" s="0" t="n">
        <f aca="false">-F6*F9/100</f>
        <v>-499.7562171525</v>
      </c>
      <c r="G10" s="0" t="n">
        <f aca="false">-G6*G9/100</f>
        <v>-519.7464658386</v>
      </c>
      <c r="H10" s="0" t="n">
        <f aca="false">-H6*H9/100</f>
        <v>-537.937592142951</v>
      </c>
      <c r="I10" s="0" t="n">
        <f aca="false">-I6*I9/100</f>
        <v>-556.765407867954</v>
      </c>
      <c r="J10" s="0" t="n">
        <f aca="false">-J6*J9/100</f>
        <v>-573.468370103993</v>
      </c>
      <c r="K10" s="0" t="n">
        <f aca="false">-K6*K9/100</f>
        <v>-590.672421207113</v>
      </c>
      <c r="L10" s="0" t="n">
        <f aca="false">-L6*L9/100</f>
        <v>-608.392593843326</v>
      </c>
    </row>
    <row r="11" customFormat="false" ht="15" hidden="false" customHeight="false" outlineLevel="0" collapsed="false">
      <c r="A11" s="0" t="s">
        <v>121</v>
      </c>
      <c r="C11" s="0" t="n">
        <f aca="false">C8+C10+C24</f>
        <v>7511.1358</v>
      </c>
      <c r="D11" s="0" t="n">
        <f aca="false">D8+D10+D24</f>
        <v>8174.35311</v>
      </c>
      <c r="E11" s="0" t="n">
        <f aca="false">E8+E10+E24</f>
        <v>8834.7737205</v>
      </c>
      <c r="F11" s="0" t="n">
        <f aca="false">F8+F10+F24</f>
        <v>9442.7622083025</v>
      </c>
      <c r="G11" s="0" t="n">
        <f aca="false">G8+G10+G24</f>
        <v>9875.1828509334</v>
      </c>
      <c r="H11" s="0" t="n">
        <f aca="false">H8+H10+H24</f>
        <v>10220.8142507161</v>
      </c>
      <c r="I11" s="0" t="n">
        <f aca="false">I8+I10+I24</f>
        <v>10578.5427494911</v>
      </c>
      <c r="J11" s="0" t="n">
        <f aca="false">J8+J10+J24</f>
        <v>10895.8990319759</v>
      </c>
      <c r="K11" s="0" t="n">
        <f aca="false">K8+K10+K24</f>
        <v>11222.7760029351</v>
      </c>
      <c r="L11" s="0" t="n">
        <f aca="false">L8+L10+L24</f>
        <v>11559.4592830232</v>
      </c>
    </row>
    <row r="12" customFormat="false" ht="15" hidden="false" customHeight="false" outlineLevel="0" collapsed="false">
      <c r="A12" s="0" t="s">
        <v>122</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123</v>
      </c>
      <c r="C13" s="0" t="n">
        <f aca="false">C11+C12</f>
        <v>7511.1358</v>
      </c>
      <c r="D13" s="0" t="n">
        <f aca="false">D11+D12</f>
        <v>8174.35311</v>
      </c>
      <c r="E13" s="0" t="n">
        <f aca="false">E11+E12</f>
        <v>8834.7737205</v>
      </c>
      <c r="F13" s="0" t="n">
        <f aca="false">F11+F12</f>
        <v>9442.7622083025</v>
      </c>
      <c r="G13" s="0" t="n">
        <f aca="false">G11+G12</f>
        <v>9875.1828509334</v>
      </c>
      <c r="H13" s="0" t="n">
        <f aca="false">H11+H12</f>
        <v>10220.8142507161</v>
      </c>
      <c r="I13" s="0" t="n">
        <f aca="false">I11+I12</f>
        <v>10578.5427494911</v>
      </c>
      <c r="J13" s="0" t="n">
        <f aca="false">J11+J12</f>
        <v>10895.8990319759</v>
      </c>
      <c r="K13" s="0" t="n">
        <f aca="false">K11+K12</f>
        <v>11222.7760029351</v>
      </c>
      <c r="L13" s="0" t="n">
        <f aca="false">L11+L12</f>
        <v>11559.4592830232</v>
      </c>
    </row>
    <row r="14" customFormat="false" ht="15" hidden="false" customHeight="false" outlineLevel="0" collapsed="false">
      <c r="A14" s="0" t="s">
        <v>109</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124</v>
      </c>
      <c r="C15" s="0" t="n">
        <f aca="false">C13-MAX(0,C13)*C14/100</f>
        <v>5633.35185</v>
      </c>
      <c r="D15" s="0" t="n">
        <f aca="false">D13-MAX(0,D13)*D14/100</f>
        <v>6130.7648325</v>
      </c>
      <c r="E15" s="0" t="n">
        <f aca="false">E13-MAX(0,E13)*E14/100</f>
        <v>6626.080290375</v>
      </c>
      <c r="F15" s="0" t="n">
        <f aca="false">F13-MAX(0,F13)*F14/100</f>
        <v>7082.07165622687</v>
      </c>
      <c r="G15" s="0" t="n">
        <f aca="false">G13-MAX(0,G13)*G14/100</f>
        <v>7406.38713820005</v>
      </c>
      <c r="H15" s="0" t="n">
        <f aca="false">H13-MAX(0,H13)*H14/100</f>
        <v>7665.61068803705</v>
      </c>
      <c r="I15" s="0" t="n">
        <f aca="false">I13-MAX(0,I13)*I14/100</f>
        <v>7933.90706211835</v>
      </c>
      <c r="J15" s="0" t="n">
        <f aca="false">J13-MAX(0,J13)*J14/100</f>
        <v>8171.9242739819</v>
      </c>
      <c r="K15" s="0" t="n">
        <f aca="false">K13-MAX(0,K13)*K14/100</f>
        <v>8417.08200220136</v>
      </c>
      <c r="L15" s="0" t="n">
        <f aca="false">L13-MAX(0,L13)*L14/100</f>
        <v>8669.5944622674</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-C6*Assumptions!C32/100</f>
        <v>-1632.3593</v>
      </c>
      <c r="D17" s="4" t="n">
        <f aca="false">-D6*Assumptions!D32/100</f>
        <v>-1565.352663</v>
      </c>
      <c r="E17" s="4" t="n">
        <f aca="false">-E6*Assumptions!E32/100</f>
        <v>-1643.62029615</v>
      </c>
      <c r="F17" s="4" t="n">
        <f aca="false">-F6*Assumptions!F32/100</f>
        <v>-1554.50486493225</v>
      </c>
      <c r="G17" s="4" t="n">
        <f aca="false">-G6*Assumptions!G32/100</f>
        <v>-1444.34807348832</v>
      </c>
      <c r="H17" s="4" t="n">
        <f aca="false">-H6*Assumptions!H32/100</f>
        <v>-1313.70022502279</v>
      </c>
      <c r="I17" s="4" t="n">
        <f aca="false">-I6*Assumptions!I32/100</f>
        <v>-1359.67973289858</v>
      </c>
      <c r="J17" s="4" t="n">
        <f aca="false">-J6*Assumptions!J32/100</f>
        <v>-1207.30183179788</v>
      </c>
      <c r="K17" s="4" t="n">
        <f aca="false">-K6*Assumptions!K32/100</f>
        <v>-1243.52088675182</v>
      </c>
      <c r="L17" s="4" t="n">
        <f aca="false">-L6*Assumptions!L32/100</f>
        <v>-1280.82651335437</v>
      </c>
    </row>
    <row r="18" customFormat="false" ht="15" hidden="false" customHeight="false" outlineLevel="0" collapsed="false">
      <c r="A18" s="0" t="s">
        <v>127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128</v>
      </c>
      <c r="C19" s="0" t="n">
        <f aca="false">C15+C16+C17+C18</f>
        <v>4000.99255</v>
      </c>
      <c r="D19" s="0" t="n">
        <f aca="false">D15+D16+D17+D18</f>
        <v>4565.4121695</v>
      </c>
      <c r="E19" s="0" t="n">
        <f aca="false">E15+E16+E17+E18</f>
        <v>4982.459994225</v>
      </c>
      <c r="F19" s="0" t="n">
        <f aca="false">F15+F16+F17+F18</f>
        <v>5527.56679129462</v>
      </c>
      <c r="G19" s="0" t="n">
        <f aca="false">G15+G16+G17+G18</f>
        <v>5962.03906471173</v>
      </c>
      <c r="H19" s="0" t="n">
        <f aca="false">H15+H16+H17+H18</f>
        <v>6351.91046301427</v>
      </c>
      <c r="I19" s="0" t="n">
        <f aca="false">I15+I16+I17+I18</f>
        <v>6574.22732921977</v>
      </c>
      <c r="J19" s="0" t="n">
        <f aca="false">J15+J16+J17+J18</f>
        <v>6964.62244218402</v>
      </c>
      <c r="K19" s="0" t="n">
        <f aca="false">K15+K16+K17+K18</f>
        <v>7173.56111544954</v>
      </c>
      <c r="L19" s="0" t="n">
        <f aca="false">L15+L16+L17+L18</f>
        <v>7388.76794891303</v>
      </c>
    </row>
    <row r="20" customFormat="false" ht="15" hidden="false" customHeight="false" outlineLevel="0" collapsed="false">
      <c r="A20" s="0" t="s">
        <v>129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130</v>
      </c>
      <c r="C21" s="0" t="n">
        <f aca="false">C19*C20</f>
        <v>3604.49779279279</v>
      </c>
      <c r="D21" s="0" t="n">
        <f aca="false">D19*D20</f>
        <v>3705.39093377161</v>
      </c>
      <c r="E21" s="0" t="n">
        <f aca="false">E19*E20</f>
        <v>3643.1318054541</v>
      </c>
      <c r="F21" s="0" t="n">
        <f aca="false">F19*F20</f>
        <v>3641.17945708106</v>
      </c>
      <c r="G21" s="0" t="n">
        <f aca="false">G19*G20</f>
        <v>3538.18000089018</v>
      </c>
      <c r="H21" s="0" t="n">
        <f aca="false">H19*H20</f>
        <v>3395.99072070709</v>
      </c>
      <c r="I21" s="0" t="n">
        <f aca="false">I19*I20</f>
        <v>3166.53188822688</v>
      </c>
      <c r="J21" s="0" t="n">
        <f aca="false">J19*J20</f>
        <v>3022.13421437548</v>
      </c>
      <c r="K21" s="0" t="n">
        <f aca="false">K19*K20</f>
        <v>2804.32273946553</v>
      </c>
      <c r="L21" s="0" t="n">
        <f aca="false">L19*L20</f>
        <v>2602.20938887342</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11</v>
      </c>
    </row>
    <row r="28" customFormat="false" ht="15" hidden="false" customHeight="false" outlineLevel="0" collapsed="false">
      <c r="A28" s="0" t="s">
        <v>111</v>
      </c>
      <c r="B28" s="4" t="n">
        <f aca="false">Assumptions!$B$35</f>
        <v>3</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33123.5689416381</v>
      </c>
    </row>
    <row r="31" customFormat="false" ht="15" hidden="false" customHeight="false" outlineLevel="0" collapsed="false">
      <c r="A31" s="0" t="s">
        <v>134</v>
      </c>
      <c r="B31" s="0" t="n">
        <f aca="false">L19</f>
        <v>7388.76794891303</v>
      </c>
    </row>
    <row r="32" customFormat="false" ht="15" hidden="false" customHeight="false" outlineLevel="0" collapsed="false">
      <c r="A32" s="0" t="s">
        <v>135</v>
      </c>
      <c r="B32" s="0" t="n">
        <f aca="false">IF(B27&gt;B28,B31*(1+B28/100)/((B27-B28)/100),B31*B29)</f>
        <v>95130.3873422552</v>
      </c>
    </row>
    <row r="33" customFormat="false" ht="15" hidden="false" customHeight="false" outlineLevel="0" collapsed="false">
      <c r="A33" s="0" t="s">
        <v>136</v>
      </c>
      <c r="B33" s="0" t="n">
        <f aca="false">B31*B29</f>
        <v>110831.519233695</v>
      </c>
    </row>
    <row r="34" customFormat="false" ht="15" hidden="false" customHeight="false" outlineLevel="0" collapsed="false">
      <c r="A34" s="0" t="s">
        <v>137</v>
      </c>
      <c r="B34" s="0" t="n">
        <f aca="false">MAX(0,MIN(B32,B33))</f>
        <v>95130.3873422552</v>
      </c>
    </row>
    <row r="35" customFormat="false" ht="15" hidden="false" customHeight="false" outlineLevel="0" collapsed="false">
      <c r="A35" s="0" t="s">
        <v>138</v>
      </c>
      <c r="B35" s="0" t="n">
        <f aca="false">B34/(1+B27/100)^L4</f>
        <v>33503.4458817453</v>
      </c>
    </row>
    <row r="36" customFormat="false" ht="15" hidden="false" customHeight="false" outlineLevel="0" collapsed="false">
      <c r="A36" s="0" t="s">
        <v>139</v>
      </c>
      <c r="B36" s="0" t="n">
        <f aca="false">B30+B35</f>
        <v>66627.0148233835</v>
      </c>
    </row>
    <row r="37" customFormat="false" ht="15" hidden="false" customHeight="false" outlineLevel="0" collapsed="false">
      <c r="A37" s="0" t="s">
        <v>140</v>
      </c>
      <c r="B37" s="0" t="n">
        <f aca="false">B36+Assumptions!$B$5-Assumptions!$B$4</f>
        <v>66627.0148233835</v>
      </c>
    </row>
    <row r="38" customFormat="false" ht="15" hidden="false" customHeight="false" outlineLevel="0" collapsed="false">
      <c r="A38" s="0" t="s">
        <v>141</v>
      </c>
      <c r="B38" s="0" t="n">
        <f aca="false">B37/Assumptions!$B$3*Assumptions!$B$10</f>
        <v>2233.76969613302</v>
      </c>
    </row>
    <row r="39" customFormat="false" ht="15" hidden="false" customHeight="false" outlineLevel="0" collapsed="false">
      <c r="A39" s="0" t="s">
        <v>142</v>
      </c>
      <c r="B39" s="4" t="n">
        <f aca="false">B38/Assumptions!$B$2-1</f>
        <v>0.0541621973256328</v>
      </c>
    </row>
    <row r="41" customFormat="false" ht="15" hidden="false" customHeight="false" outlineLevel="0" collapsed="false">
      <c r="A41" s="0" t="s">
        <v>143</v>
      </c>
      <c r="B41" s="0" t="n">
        <f aca="false">SUMPRODUCT(-C10:L10/(1+$B$27/100)^C4:L4)</f>
        <v>2997.57384731708</v>
      </c>
    </row>
    <row r="42" customFormat="false" ht="15" hidden="false" customHeight="false" outlineLevel="0" collapsed="false">
      <c r="A42" s="0" t="s">
        <v>144</v>
      </c>
      <c r="B42" s="0" t="n">
        <f aca="false">IF(B27&gt;B28,-L10*(1+B28/100)/((B27-B28)/100),-L10*20)/(1+B27/100)^L4</f>
        <v>2758.68026761933</v>
      </c>
    </row>
    <row r="43" customFormat="false" ht="15" hidden="false" customHeight="false" outlineLevel="0" collapsed="false">
      <c r="A43" s="0" t="s">
        <v>145</v>
      </c>
      <c r="B43" s="0" t="n">
        <f aca="false">(B37+B41+B42)/Assumptions!$B$3*Assumptions!$B$10</f>
        <v>2426.75667054978</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63420.2582281702</v>
      </c>
    </row>
    <row r="47" customFormat="false" ht="15" hidden="false" customHeight="false" outlineLevel="0" collapsed="false">
      <c r="A47" s="0" t="s">
        <v>147</v>
      </c>
      <c r="B47" s="0" t="n">
        <f aca="false">(SUMPRODUCT(C19:L19/(1+B45/100)^C4:L4)+B46/(1+B45/100)^L4+Assumptions!$B$5-Assumptions!$B$4)/Assumptions!$B$3*Assumptions!$B$10</f>
        <v>1453.98679516626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7</v>
      </c>
      <c r="D5" s="4" t="n">
        <f aca="false">Assumptions!D41</f>
        <v>6.5</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3.5</v>
      </c>
      <c r="L5" s="4" t="n">
        <f aca="false">Assumptions!L41</f>
        <v>3</v>
      </c>
    </row>
    <row r="6" customFormat="false" ht="15" hidden="false" customHeight="false" outlineLevel="0" collapsed="false">
      <c r="A6" s="0" t="s">
        <v>38</v>
      </c>
      <c r="B6" s="3" t="n">
        <v>21640</v>
      </c>
      <c r="C6" s="0" t="n">
        <f aca="false">B6*(1+C5/100)</f>
        <v>23154.8</v>
      </c>
      <c r="D6" s="0" t="n">
        <f aca="false">C6*(1+D5/100)</f>
        <v>24659.862</v>
      </c>
      <c r="E6" s="0" t="n">
        <f aca="false">D6*(1+E5/100)</f>
        <v>26139.45372</v>
      </c>
      <c r="F6" s="0" t="n">
        <f aca="false">E6*(1+F5/100)</f>
        <v>27577.1236746</v>
      </c>
      <c r="G6" s="0" t="n">
        <f aca="false">F6*(1+G5/100)</f>
        <v>28955.97985833</v>
      </c>
      <c r="H6" s="0" t="n">
        <f aca="false">G6*(1+H5/100)</f>
        <v>30258.9989519548</v>
      </c>
      <c r="I6" s="0" t="n">
        <f aca="false">H6*(1+I5/100)</f>
        <v>31469.358910033</v>
      </c>
      <c r="J6" s="0" t="n">
        <f aca="false">I6*(1+J5/100)</f>
        <v>32570.7864718842</v>
      </c>
      <c r="K6" s="0" t="n">
        <f aca="false">J6*(1+K5/100)</f>
        <v>33710.7639984001</v>
      </c>
      <c r="L6" s="0" t="n">
        <f aca="false">K6*(1+L5/100)</f>
        <v>34722.0869183522</v>
      </c>
    </row>
    <row r="7" customFormat="false" ht="15" hidden="false" customHeight="false" outlineLevel="0" collapsed="false">
      <c r="A7" s="0" t="s">
        <v>104</v>
      </c>
      <c r="C7" s="4" t="n">
        <f aca="false">Assumptions!C42</f>
        <v>35.5</v>
      </c>
      <c r="D7" s="4" t="n">
        <f aca="false">Assumptions!D42</f>
        <v>38</v>
      </c>
      <c r="E7" s="4" t="n">
        <f aca="false">Assumptions!E42</f>
        <v>39.5</v>
      </c>
      <c r="F7" s="4" t="n">
        <f aca="false">Assumptions!F42</f>
        <v>41</v>
      </c>
      <c r="G7" s="4" t="n">
        <f aca="false">Assumptions!G42</f>
        <v>41.5</v>
      </c>
      <c r="H7" s="4" t="n">
        <f aca="false">Assumptions!H42</f>
        <v>41.5</v>
      </c>
      <c r="I7" s="4" t="n">
        <f aca="false">Assumptions!I42</f>
        <v>41.5</v>
      </c>
      <c r="J7" s="4" t="n">
        <f aca="false">Assumptions!J42</f>
        <v>41.5</v>
      </c>
      <c r="K7" s="4" t="n">
        <f aca="false">Assumptions!K42</f>
        <v>41.5</v>
      </c>
      <c r="L7" s="4" t="n">
        <f aca="false">Assumptions!L42</f>
        <v>41.5</v>
      </c>
    </row>
    <row r="8" customFormat="false" ht="15" hidden="false" customHeight="false" outlineLevel="0" collapsed="false">
      <c r="A8" s="0" t="s">
        <v>44</v>
      </c>
      <c r="C8" s="0" t="n">
        <f aca="false">C6*C7/100</f>
        <v>8219.954</v>
      </c>
      <c r="D8" s="0" t="n">
        <f aca="false">D6*D7/100</f>
        <v>9370.74756</v>
      </c>
      <c r="E8" s="0" t="n">
        <f aca="false">E6*E7/100</f>
        <v>10325.0842194</v>
      </c>
      <c r="F8" s="0" t="n">
        <f aca="false">F6*F7/100</f>
        <v>11306.620706586</v>
      </c>
      <c r="G8" s="0" t="n">
        <f aca="false">G6*G7/100</f>
        <v>12016.731641207</v>
      </c>
      <c r="H8" s="0" t="n">
        <f aca="false">H6*H7/100</f>
        <v>12557.4845650613</v>
      </c>
      <c r="I8" s="0" t="n">
        <f aca="false">I6*I7/100</f>
        <v>13059.7839476637</v>
      </c>
      <c r="J8" s="0" t="n">
        <f aca="false">J6*J7/100</f>
        <v>13516.8763858319</v>
      </c>
      <c r="K8" s="0" t="n">
        <f aca="false">K6*K7/100</f>
        <v>13989.9670593361</v>
      </c>
      <c r="L8" s="0" t="n">
        <f aca="false">L6*L7/100</f>
        <v>14409.6660711161</v>
      </c>
    </row>
    <row r="9" customFormat="false" ht="15" hidden="false" customHeight="false" outlineLevel="0" collapsed="false">
      <c r="A9" s="0" t="s">
        <v>105</v>
      </c>
      <c r="C9" s="4" t="n">
        <f aca="false">Assumptions!C43</f>
        <v>1.9</v>
      </c>
      <c r="D9" s="4" t="n">
        <f aca="false">Assumptions!D43</f>
        <v>1.9</v>
      </c>
      <c r="E9" s="4" t="n">
        <f aca="false">Assumptions!E43</f>
        <v>1.9</v>
      </c>
      <c r="F9" s="4" t="n">
        <f aca="false">Assumptions!F43</f>
        <v>1.9</v>
      </c>
      <c r="G9" s="4" t="n">
        <f aca="false">Assumptions!G43</f>
        <v>1.9</v>
      </c>
      <c r="H9" s="4" t="n">
        <f aca="false">Assumptions!H43</f>
        <v>1.9</v>
      </c>
      <c r="I9" s="4" t="n">
        <f aca="false">Assumptions!I43</f>
        <v>1.9</v>
      </c>
      <c r="J9" s="4" t="n">
        <f aca="false">Assumptions!J43</f>
        <v>1.9</v>
      </c>
      <c r="K9" s="4" t="n">
        <f aca="false">Assumptions!K43</f>
        <v>1.9</v>
      </c>
      <c r="L9" s="4" t="n">
        <f aca="false">Assumptions!L43</f>
        <v>1.9</v>
      </c>
    </row>
    <row r="10" customFormat="false" ht="15" hidden="false" customHeight="false" outlineLevel="0" collapsed="false">
      <c r="A10" s="0" t="s">
        <v>120</v>
      </c>
      <c r="C10" s="0" t="n">
        <f aca="false">-C6*C9/100</f>
        <v>-439.9412</v>
      </c>
      <c r="D10" s="0" t="n">
        <f aca="false">-D6*D9/100</f>
        <v>-468.537378</v>
      </c>
      <c r="E10" s="0" t="n">
        <f aca="false">-E6*E9/100</f>
        <v>-496.64962068</v>
      </c>
      <c r="F10" s="0" t="n">
        <f aca="false">-F6*F9/100</f>
        <v>-523.9653498174</v>
      </c>
      <c r="G10" s="0" t="n">
        <f aca="false">-G6*G9/100</f>
        <v>-550.16361730827</v>
      </c>
      <c r="H10" s="0" t="n">
        <f aca="false">-H6*H9/100</f>
        <v>-574.920980087142</v>
      </c>
      <c r="I10" s="0" t="n">
        <f aca="false">-I6*I9/100</f>
        <v>-597.917819290628</v>
      </c>
      <c r="J10" s="0" t="n">
        <f aca="false">-J6*J9/100</f>
        <v>-618.8449429658</v>
      </c>
      <c r="K10" s="0" t="n">
        <f aca="false">-K6*K9/100</f>
        <v>-640.504515969603</v>
      </c>
      <c r="L10" s="0" t="n">
        <f aca="false">-L6*L9/100</f>
        <v>-659.719651448691</v>
      </c>
    </row>
    <row r="11" customFormat="false" ht="15" hidden="false" customHeight="false" outlineLevel="0" collapsed="false">
      <c r="A11" s="0" t="s">
        <v>121</v>
      </c>
      <c r="C11" s="0" t="n">
        <f aca="false">C8+C10+C24</f>
        <v>7780.0128</v>
      </c>
      <c r="D11" s="0" t="n">
        <f aca="false">D8+D10+D24</f>
        <v>8902.210182</v>
      </c>
      <c r="E11" s="0" t="n">
        <f aca="false">E8+E10+E24</f>
        <v>9828.43459872</v>
      </c>
      <c r="F11" s="0" t="n">
        <f aca="false">F8+F10+F24</f>
        <v>10782.6553567686</v>
      </c>
      <c r="G11" s="0" t="n">
        <f aca="false">G8+G10+G24</f>
        <v>11466.5680238987</v>
      </c>
      <c r="H11" s="0" t="n">
        <f aca="false">H8+H10+H24</f>
        <v>11982.5635849741</v>
      </c>
      <c r="I11" s="0" t="n">
        <f aca="false">I8+I10+I24</f>
        <v>12461.8661283731</v>
      </c>
      <c r="J11" s="0" t="n">
        <f aca="false">J8+J10+J24</f>
        <v>12898.0314428661</v>
      </c>
      <c r="K11" s="0" t="n">
        <f aca="false">K8+K10+K24</f>
        <v>13349.4625433665</v>
      </c>
      <c r="L11" s="0" t="n">
        <f aca="false">L8+L10+L24</f>
        <v>13749.9464196675</v>
      </c>
    </row>
    <row r="12" customFormat="false" ht="15" hidden="false" customHeight="false" outlineLevel="0" collapsed="false">
      <c r="A12" s="0" t="s">
        <v>122</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123</v>
      </c>
      <c r="C13" s="0" t="n">
        <f aca="false">C11+C12</f>
        <v>7780.0128</v>
      </c>
      <c r="D13" s="0" t="n">
        <f aca="false">D11+D12</f>
        <v>8902.210182</v>
      </c>
      <c r="E13" s="0" t="n">
        <f aca="false">E11+E12</f>
        <v>9828.43459872</v>
      </c>
      <c r="F13" s="0" t="n">
        <f aca="false">F11+F12</f>
        <v>10782.6553567686</v>
      </c>
      <c r="G13" s="0" t="n">
        <f aca="false">G11+G12</f>
        <v>11466.5680238987</v>
      </c>
      <c r="H13" s="0" t="n">
        <f aca="false">H11+H12</f>
        <v>11982.5635849741</v>
      </c>
      <c r="I13" s="0" t="n">
        <f aca="false">I11+I12</f>
        <v>12461.8661283731</v>
      </c>
      <c r="J13" s="0" t="n">
        <f aca="false">J11+J12</f>
        <v>12898.0314428661</v>
      </c>
      <c r="K13" s="0" t="n">
        <f aca="false">K11+K12</f>
        <v>13349.4625433665</v>
      </c>
      <c r="L13" s="0" t="n">
        <f aca="false">L11+L12</f>
        <v>13749.9464196675</v>
      </c>
    </row>
    <row r="14" customFormat="false" ht="15" hidden="false" customHeight="false" outlineLevel="0" collapsed="false">
      <c r="A14" s="0" t="s">
        <v>109</v>
      </c>
      <c r="C14" s="4" t="n">
        <f aca="false">Assumptions!C47</f>
        <v>24.5</v>
      </c>
      <c r="D14" s="4" t="n">
        <f aca="false">Assumptions!D47</f>
        <v>24.5</v>
      </c>
      <c r="E14" s="4" t="n">
        <f aca="false">Assumptions!E47</f>
        <v>24.5</v>
      </c>
      <c r="F14" s="4" t="n">
        <f aca="false">Assumptions!F47</f>
        <v>24.5</v>
      </c>
      <c r="G14" s="4" t="n">
        <f aca="false">Assumptions!G47</f>
        <v>24.5</v>
      </c>
      <c r="H14" s="4" t="n">
        <f aca="false">Assumptions!H47</f>
        <v>24.5</v>
      </c>
      <c r="I14" s="4" t="n">
        <f aca="false">Assumptions!I47</f>
        <v>24.5</v>
      </c>
      <c r="J14" s="4" t="n">
        <f aca="false">Assumptions!J47</f>
        <v>24.5</v>
      </c>
      <c r="K14" s="4" t="n">
        <f aca="false">Assumptions!K47</f>
        <v>24.5</v>
      </c>
      <c r="L14" s="4" t="n">
        <f aca="false">Assumptions!L47</f>
        <v>24.5</v>
      </c>
    </row>
    <row r="15" customFormat="false" ht="15" hidden="false" customHeight="false" outlineLevel="0" collapsed="false">
      <c r="A15" s="0" t="s">
        <v>124</v>
      </c>
      <c r="C15" s="0" t="n">
        <f aca="false">C13-MAX(0,C13)*C14/100</f>
        <v>5873.909664</v>
      </c>
      <c r="D15" s="0" t="n">
        <f aca="false">D13-MAX(0,D13)*D14/100</f>
        <v>6721.16868741</v>
      </c>
      <c r="E15" s="0" t="n">
        <f aca="false">E13-MAX(0,E13)*E14/100</f>
        <v>7420.4681220336</v>
      </c>
      <c r="F15" s="0" t="n">
        <f aca="false">F13-MAX(0,F13)*F14/100</f>
        <v>8140.90479436029</v>
      </c>
      <c r="G15" s="0" t="n">
        <f aca="false">G13-MAX(0,G13)*G14/100</f>
        <v>8657.2588580435</v>
      </c>
      <c r="H15" s="0" t="n">
        <f aca="false">H13-MAX(0,H13)*H14/100</f>
        <v>9046.83550665546</v>
      </c>
      <c r="I15" s="0" t="n">
        <f aca="false">I13-MAX(0,I13)*I14/100</f>
        <v>9408.70892692168</v>
      </c>
      <c r="J15" s="0" t="n">
        <f aca="false">J13-MAX(0,J13)*J14/100</f>
        <v>9738.01373936394</v>
      </c>
      <c r="K15" s="0" t="n">
        <f aca="false">K13-MAX(0,K13)*K14/100</f>
        <v>10078.8442202417</v>
      </c>
      <c r="L15" s="0" t="n">
        <f aca="false">L13-MAX(0,L13)*L14/100</f>
        <v>10381.2095468489</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-C6*Assumptions!C46/100</f>
        <v>-2079.30104</v>
      </c>
      <c r="D17" s="4" t="n">
        <f aca="false">-D6*Assumptions!D46/100</f>
        <v>-2064.0304494</v>
      </c>
      <c r="E17" s="4" t="n">
        <f aca="false">-E6*Assumptions!E46/100</f>
        <v>-2031.035554044</v>
      </c>
      <c r="F17" s="4" t="n">
        <f aca="false">-F6*Assumptions!F46/100</f>
        <v>-1971.7643427339</v>
      </c>
      <c r="G17" s="4" t="n">
        <f aca="false">-G6*Assumptions!G46/100</f>
        <v>-1890.82548474895</v>
      </c>
      <c r="H17" s="4" t="n">
        <f aca="false">-H6*Assumptions!H46/100</f>
        <v>-1788.30683806053</v>
      </c>
      <c r="I17" s="4" t="n">
        <f aca="false">-I6*Assumptions!I46/100</f>
        <v>-1661.58215044974</v>
      </c>
      <c r="J17" s="4" t="n">
        <f aca="false">-J6*Assumptions!J46/100</f>
        <v>-1511.28449229543</v>
      </c>
      <c r="K17" s="4" t="n">
        <f aca="false">-K6*Assumptions!K46/100</f>
        <v>-1564.17944952577</v>
      </c>
      <c r="L17" s="4" t="n">
        <f aca="false">-L6*Assumptions!L46/100</f>
        <v>-1388.88347673409</v>
      </c>
    </row>
    <row r="18" customFormat="false" ht="15" hidden="false" customHeight="false" outlineLevel="0" collapsed="false">
      <c r="A18" s="0" t="s">
        <v>127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128</v>
      </c>
      <c r="C19" s="0" t="n">
        <f aca="false">C15+C16+C17+C18</f>
        <v>3794.608624</v>
      </c>
      <c r="D19" s="0" t="n">
        <f aca="false">D15+D16+D17+D18</f>
        <v>4657.13823801</v>
      </c>
      <c r="E19" s="0" t="n">
        <f aca="false">E15+E16+E17+E18</f>
        <v>5389.4325679896</v>
      </c>
      <c r="F19" s="0" t="n">
        <f aca="false">F15+F16+F17+F18</f>
        <v>6169.14045162639</v>
      </c>
      <c r="G19" s="0" t="n">
        <f aca="false">G15+G16+G17+G18</f>
        <v>6766.43337329456</v>
      </c>
      <c r="H19" s="0" t="n">
        <f aca="false">H15+H16+H17+H18</f>
        <v>7258.52866859493</v>
      </c>
      <c r="I19" s="0" t="n">
        <f aca="false">I15+I16+I17+I18</f>
        <v>7747.12677647194</v>
      </c>
      <c r="J19" s="0" t="n">
        <f aca="false">J15+J16+J17+J18</f>
        <v>8226.72924706851</v>
      </c>
      <c r="K19" s="0" t="n">
        <f aca="false">K15+K16+K17+K18</f>
        <v>8514.66477071591</v>
      </c>
      <c r="L19" s="0" t="n">
        <f aca="false">L15+L16+L17+L18</f>
        <v>8992.32607011484</v>
      </c>
    </row>
    <row r="20" customFormat="false" ht="15" hidden="false" customHeight="false" outlineLevel="0" collapsed="false">
      <c r="A20" s="0" t="s">
        <v>129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130</v>
      </c>
      <c r="C21" s="0" t="n">
        <f aca="false">C19*C20</f>
        <v>3418.56632792793</v>
      </c>
      <c r="D21" s="0" t="n">
        <f aca="false">D19*D20</f>
        <v>3779.83786868761</v>
      </c>
      <c r="E21" s="0" t="n">
        <f aca="false">E19*E20</f>
        <v>3940.70664381664</v>
      </c>
      <c r="F21" s="0" t="n">
        <f aca="false">F19*F20</f>
        <v>4063.80389933718</v>
      </c>
      <c r="G21" s="0" t="n">
        <f aca="false">G19*G20</f>
        <v>4015.54887160141</v>
      </c>
      <c r="H21" s="0" t="n">
        <f aca="false">H19*H20</f>
        <v>3880.70583615205</v>
      </c>
      <c r="I21" s="0" t="n">
        <f aca="false">I19*I20</f>
        <v>3731.46877212506</v>
      </c>
      <c r="J21" s="0" t="n">
        <f aca="false">J19*J20</f>
        <v>3569.79579817289</v>
      </c>
      <c r="K21" s="0" t="n">
        <f aca="false">K19*K20</f>
        <v>3328.59337937743</v>
      </c>
      <c r="L21" s="0" t="n">
        <f aca="false">L19*L20</f>
        <v>3166.95766997345</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11</v>
      </c>
    </row>
    <row r="28" customFormat="false" ht="15" hidden="false" customHeight="false" outlineLevel="0" collapsed="false">
      <c r="A28" s="0" t="s">
        <v>111</v>
      </c>
      <c r="B28" s="4" t="n">
        <f aca="false">Assumptions!$B$49</f>
        <v>3</v>
      </c>
    </row>
    <row r="29" customFormat="false" ht="15" hidden="false" customHeight="false" outlineLevel="0" collapsed="false">
      <c r="A29" s="0" t="s">
        <v>112</v>
      </c>
      <c r="B29" s="4" t="n">
        <f aca="false">Assumptions!$B$50</f>
        <v>15</v>
      </c>
    </row>
    <row r="30" customFormat="false" ht="15" hidden="false" customHeight="false" outlineLevel="0" collapsed="false">
      <c r="A30" s="0" t="s">
        <v>133</v>
      </c>
      <c r="B30" s="0" t="n">
        <f aca="false">SUM(C21:L21)</f>
        <v>36895.9850671717</v>
      </c>
    </row>
    <row r="31" customFormat="false" ht="15" hidden="false" customHeight="false" outlineLevel="0" collapsed="false">
      <c r="A31" s="0" t="s">
        <v>134</v>
      </c>
      <c r="B31" s="0" t="n">
        <f aca="false">L19</f>
        <v>8992.32607011484</v>
      </c>
    </row>
    <row r="32" customFormat="false" ht="15" hidden="false" customHeight="false" outlineLevel="0" collapsed="false">
      <c r="A32" s="0" t="s">
        <v>135</v>
      </c>
      <c r="B32" s="0" t="n">
        <f aca="false">IF(B27&gt;B28,B31*(1+B28/100)/((B27-B28)/100),B31*B29)</f>
        <v>115776.198152729</v>
      </c>
    </row>
    <row r="33" customFormat="false" ht="15" hidden="false" customHeight="false" outlineLevel="0" collapsed="false">
      <c r="A33" s="0" t="s">
        <v>136</v>
      </c>
      <c r="B33" s="0" t="n">
        <f aca="false">B31*B29</f>
        <v>134884.891051723</v>
      </c>
    </row>
    <row r="34" customFormat="false" ht="15" hidden="false" customHeight="false" outlineLevel="0" collapsed="false">
      <c r="A34" s="0" t="s">
        <v>137</v>
      </c>
      <c r="B34" s="0" t="n">
        <f aca="false">MAX(0,MIN(B32,B33))</f>
        <v>115776.198152729</v>
      </c>
    </row>
    <row r="35" customFormat="false" ht="15" hidden="false" customHeight="false" outlineLevel="0" collapsed="false">
      <c r="A35" s="0" t="s">
        <v>138</v>
      </c>
      <c r="B35" s="0" t="n">
        <f aca="false">B34/(1+B27/100)^L4</f>
        <v>40774.5800009081</v>
      </c>
    </row>
    <row r="36" customFormat="false" ht="15" hidden="false" customHeight="false" outlineLevel="0" collapsed="false">
      <c r="A36" s="0" t="s">
        <v>139</v>
      </c>
      <c r="B36" s="0" t="n">
        <f aca="false">B30+B35</f>
        <v>77670.5650680798</v>
      </c>
    </row>
    <row r="37" customFormat="false" ht="15" hidden="false" customHeight="false" outlineLevel="0" collapsed="false">
      <c r="A37" s="0" t="s">
        <v>140</v>
      </c>
      <c r="B37" s="0" t="n">
        <f aca="false">B36+Assumptions!$B$5-Assumptions!$B$4</f>
        <v>77670.5650680798</v>
      </c>
    </row>
    <row r="38" customFormat="false" ht="15" hidden="false" customHeight="false" outlineLevel="0" collapsed="false">
      <c r="A38" s="0" t="s">
        <v>141</v>
      </c>
      <c r="B38" s="0" t="n">
        <f aca="false">B37/Assumptions!$B$3*Assumptions!$B$10</f>
        <v>2604.02113152626</v>
      </c>
    </row>
    <row r="39" customFormat="false" ht="15" hidden="false" customHeight="false" outlineLevel="0" collapsed="false">
      <c r="A39" s="0" t="s">
        <v>142</v>
      </c>
      <c r="B39" s="4" t="n">
        <f aca="false">B38/Assumptions!$B$2-1</f>
        <v>0.228891520304986</v>
      </c>
    </row>
    <row r="41" customFormat="false" ht="15" hidden="false" customHeight="false" outlineLevel="0" collapsed="false">
      <c r="A41" s="0" t="s">
        <v>143</v>
      </c>
      <c r="B41" s="0" t="n">
        <f aca="false">SUMPRODUCT(-C10:L10/(1+$B$27/100)^C4:L4)</f>
        <v>3158.04602814242</v>
      </c>
    </row>
    <row r="42" customFormat="false" ht="15" hidden="false" customHeight="false" outlineLevel="0" collapsed="false">
      <c r="A42" s="0" t="s">
        <v>144</v>
      </c>
      <c r="B42" s="0" t="n">
        <f aca="false">IF(B27&gt;B28,-L10*(1+B28/100)/((B27-B28)/100),-L10*20)/(1+B27/100)^L4</f>
        <v>2991.41640287765</v>
      </c>
    </row>
    <row r="43" customFormat="false" ht="15" hidden="false" customHeight="false" outlineLevel="0" collapsed="false">
      <c r="A43" s="0" t="s">
        <v>145</v>
      </c>
      <c r="B43" s="0" t="n">
        <f aca="false">(B37+B41+B42)/Assumptions!$B$3*Assumptions!$B$10</f>
        <v>2810.19099914429</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77184.132101819</v>
      </c>
    </row>
    <row r="47" customFormat="false" ht="15" hidden="false" customHeight="false" outlineLevel="0" collapsed="false">
      <c r="A47" s="0" t="s">
        <v>147</v>
      </c>
      <c r="B47" s="0" t="n">
        <f aca="false">(SUMPRODUCT(C19:L19/(1+B45/100)^C4:L4)+B46/(1+B45/100)^L4+Assumptions!$B$5-Assumptions!$B$4)/Assumptions!$B$3*Assumptions!$B$10</f>
        <v>1666.86421615642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1398.37640298</v>
      </c>
      <c r="C4" s="0" t="n">
        <f aca="false">B4/Assumptions!$B$2-1</f>
        <v>-0.340077204823032</v>
      </c>
      <c r="D4" s="4" t="n">
        <f aca="false">Assumptions!$B$24</f>
        <v>0.25</v>
      </c>
      <c r="E4" s="4" t="n">
        <f aca="false">DCF_Bear!$B$43</f>
        <v>1555.16951893465</v>
      </c>
      <c r="F4" s="4" t="n">
        <f aca="false">DCF_Bear!$B$47</f>
        <v>953.958067649544</v>
      </c>
    </row>
    <row r="5" customFormat="false" ht="15" hidden="false" customHeight="false" outlineLevel="0" collapsed="false">
      <c r="A5" s="0" t="s">
        <v>156</v>
      </c>
      <c r="B5" s="4" t="n">
        <f aca="false">DCF_Base!$B$38</f>
        <v>2233.76969613302</v>
      </c>
      <c r="C5" s="0" t="n">
        <f aca="false">B5/Assumptions!$B$2-1</f>
        <v>0.0541621973256328</v>
      </c>
      <c r="D5" s="4" t="n">
        <f aca="false">Assumptions!$B$38</f>
        <v>0.5</v>
      </c>
      <c r="E5" s="4" t="n">
        <f aca="false">DCF_Base!$B$43</f>
        <v>2426.75667054978</v>
      </c>
      <c r="F5" s="4" t="n">
        <f aca="false">DCF_Base!$B$47</f>
        <v>1453.98679516626</v>
      </c>
    </row>
    <row r="6" customFormat="false" ht="15" hidden="false" customHeight="false" outlineLevel="0" collapsed="false">
      <c r="A6" s="0" t="s">
        <v>157</v>
      </c>
      <c r="B6" s="4" t="n">
        <f aca="false">DCF_Bull!$B$38</f>
        <v>2604.02113152626</v>
      </c>
      <c r="C6" s="0" t="n">
        <f aca="false">B6/Assumptions!$B$2-1</f>
        <v>0.228891520304986</v>
      </c>
      <c r="D6" s="4" t="n">
        <f aca="false">Assumptions!$B$52</f>
        <v>0.25</v>
      </c>
      <c r="E6" s="4" t="n">
        <f aca="false">DCF_Bull!$B$43</f>
        <v>2810.19099914429</v>
      </c>
      <c r="F6" s="4" t="n">
        <f aca="false">DCF_Bull!$B$47</f>
        <v>1666.86421615642</v>
      </c>
    </row>
    <row r="8" customFormat="false" ht="15" hidden="false" customHeight="false" outlineLevel="0" collapsed="false">
      <c r="A8" s="0" t="s">
        <v>158</v>
      </c>
      <c r="B8" s="0" t="n">
        <f aca="false">SUMPRODUCT(B4:B6,D4:D6)</f>
        <v>2117.48423169307</v>
      </c>
    </row>
    <row r="9" customFormat="false" ht="15" hidden="false" customHeight="false" outlineLevel="0" collapsed="false">
      <c r="A9" s="0" t="s">
        <v>159</v>
      </c>
      <c r="B9" s="0" t="n">
        <f aca="false">SUMPRODUCT(E4:E6,D4:D6)</f>
        <v>2304.71846479463</v>
      </c>
    </row>
    <row r="10" customFormat="false" ht="15" hidden="false" customHeight="false" outlineLevel="0" collapsed="false">
      <c r="A10" s="0" t="s">
        <v>160</v>
      </c>
      <c r="B10" s="0" t="n">
        <f aca="false">1-Assumptions!$B$2/B8</f>
        <v>-0.000715834519209313</v>
      </c>
    </row>
    <row r="11" customFormat="false" ht="15" hidden="false" customHeight="false" outlineLevel="0" collapsed="false">
      <c r="A11" s="0" t="s">
        <v>161</v>
      </c>
      <c r="B11" s="0" t="n">
        <f aca="false">IF(ABS(B9-B8)&gt;0.01*ABS(B8),(Assumptions!$B$2-B8)/(B9-B8)*100,"n/a")</f>
        <v>0.809557249130422</v>
      </c>
    </row>
    <row r="12" customFormat="false" ht="15" hidden="false" customHeight="false" outlineLevel="0" collapsed="false">
      <c r="A12" s="0" t="s">
        <v>162</v>
      </c>
      <c r="B12" s="0" t="n">
        <f aca="false">SUMPRODUCT(F4:F6,D4:D6)</f>
        <v>1382.19896853462</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2791.78121194267</v>
      </c>
      <c r="C15" s="3" t="n">
        <v>9</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2569.69320639241</v>
      </c>
      <c r="C16" s="3" t="n">
        <v>10</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2233.76969613302</v>
      </c>
      <c r="C17" s="3" t="n">
        <v>11</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1973.06614698007</v>
      </c>
      <c r="C18" s="3" t="n">
        <v>12</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1453.98679516626</v>
      </c>
      <c r="C19" s="3" t="n">
        <v>15</v>
      </c>
    </row>
    <row r="21" customFormat="false" ht="15" hidden="false" customHeight="false" outlineLevel="0" collapsed="false">
      <c r="A21" s="2" t="s">
        <v>170</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2746.93577063515</v>
      </c>
      <c r="C23" s="0" t="n">
        <f aca="false">(SUMPRODUCT(DCF_Base!$C$19:$L$19/(1+$A$23/100)^DCF_Base!$C$4:$L$4)+MAX(0,MIN(IF($A$23&gt;$C$22,DCF_Base!$L$19*(1+$C$22/100)/(($A$23-$C$22)/100),DCF_Base!$L$19*DCF_Base!$B$29),DCF_Base!$L$19*DCF_Base!$B$29))/(1+$A$23/100)^DCF_Base!$L$4+Assumptions!$B$5-Assumptions!$B$4)/Assumptions!$B$3*Assumptions!$B$10</f>
        <v>2791.78121194267</v>
      </c>
      <c r="D23" s="0" t="n">
        <f aca="false">(SUMPRODUCT(DCF_Base!$C$19:$L$19/(1+$A$23/100)^DCF_Base!$C$4:$L$4)+MAX(0,MIN(IF($A$23&gt;$D$22,DCF_Base!$L$19*(1+$D$22/100)/(($A$23-$D$22)/100),DCF_Base!$L$19*DCF_Base!$B$29),DCF_Base!$L$19*DCF_Base!$B$29))/(1+$A$23/100)^DCF_Base!$L$4+Assumptions!$B$5-Assumptions!$B$4)/Assumptions!$B$3*Assumptions!$B$10</f>
        <v>2791.78121194267</v>
      </c>
      <c r="E23" s="0" t="n">
        <f aca="false">(SUMPRODUCT(DCF_Base!$C$19:$L$19/(1+$A$23/100)^DCF_Base!$C$4:$L$4)+MAX(0,MIN(IF($A$23&gt;$E$22,DCF_Base!$L$19*(1+$E$22/100)/(($A$23-$E$22)/100),DCF_Base!$L$19*DCF_Base!$B$29),DCF_Base!$L$19*DCF_Base!$B$29))/(1+$A$23/100)^DCF_Base!$L$4+Assumptions!$B$5-Assumptions!$B$4)/Assumptions!$B$3*Assumptions!$B$10</f>
        <v>2791.78121194267</v>
      </c>
      <c r="F23" s="0" t="n">
        <f aca="false">(SUMPRODUCT(DCF_Base!$C$19:$L$19/(1+$A$23/100)^DCF_Base!$C$4:$L$4)+MAX(0,MIN(IF($A$23&gt;$F$22,DCF_Base!$L$19*(1+$F$22/100)/(($A$23-$F$22)/100),DCF_Base!$L$19*DCF_Base!$B$29),DCF_Base!$L$19*DCF_Base!$B$29))/(1+$A$23/100)^DCF_Base!$L$4+Assumptions!$B$5-Assumptions!$B$4)/Assumptions!$B$3*Assumptions!$B$10</f>
        <v>2791.78121194267</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2382.09102956492</v>
      </c>
      <c r="C24" s="0" t="n">
        <f aca="false">(SUMPRODUCT(DCF_Base!$C$19:$L$19/(1+$A$24/100)^DCF_Base!$C$4:$L$4)+MAX(0,MIN(IF($A$24&gt;$C$22,DCF_Base!$L$19*(1+$C$22/100)/(($A$24-$C$22)/100),DCF_Base!$L$19*DCF_Base!$B$29),DCF_Base!$L$19*DCF_Base!$B$29))/(1+$A$24/100)^DCF_Base!$L$4+Assumptions!$B$5-Assumptions!$B$4)/Assumptions!$B$3*Assumptions!$B$10</f>
        <v>2469.63871208442</v>
      </c>
      <c r="D24" s="0" t="n">
        <f aca="false">(SUMPRODUCT(DCF_Base!$C$19:$L$19/(1+$A$24/100)^DCF_Base!$C$4:$L$4)+MAX(0,MIN(IF($A$24&gt;$D$22,DCF_Base!$L$19*(1+$D$22/100)/(($A$24-$D$22)/100),DCF_Base!$L$19*DCF_Base!$B$29),DCF_Base!$L$19*DCF_Base!$B$29))/(1+$A$24/100)^DCF_Base!$L$4+Assumptions!$B$5-Assumptions!$B$4)/Assumptions!$B$3*Assumptions!$B$10</f>
        <v>2569.69320639241</v>
      </c>
      <c r="E24" s="0" t="n">
        <f aca="false">(SUMPRODUCT(DCF_Base!$C$19:$L$19/(1+$A$24/100)^DCF_Base!$C$4:$L$4)+MAX(0,MIN(IF($A$24&gt;$E$22,DCF_Base!$L$19*(1+$E$22/100)/(($A$24-$E$22)/100),DCF_Base!$L$19*DCF_Base!$B$29),DCF_Base!$L$19*DCF_Base!$B$29))/(1+$A$24/100)^DCF_Base!$L$4+Assumptions!$B$5-Assumptions!$B$4)/Assumptions!$B$3*Assumptions!$B$10</f>
        <v>2596.98079574913</v>
      </c>
      <c r="F24" s="0" t="n">
        <f aca="false">(SUMPRODUCT(DCF_Base!$C$19:$L$19/(1+$A$24/100)^DCF_Base!$C$4:$L$4)+MAX(0,MIN(IF($A$24&gt;$F$22,DCF_Base!$L$19*(1+$F$22/100)/(($A$24-$F$22)/100),DCF_Base!$L$19*DCF_Base!$B$29),DCF_Base!$L$19*DCF_Base!$B$29))/(1+$A$24/100)^DCF_Base!$L$4+Assumptions!$B$5-Assumptions!$B$4)/Assumptions!$B$3*Assumptions!$B$10</f>
        <v>2596.98079574913</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2099.27016781552</v>
      </c>
      <c r="C25" s="0" t="n">
        <f aca="false">(SUMPRODUCT(DCF_Base!$C$19:$L$19/(1+$A$25/100)^DCF_Base!$C$4:$L$4)+MAX(0,MIN(IF($A$25&gt;$C$22,DCF_Base!$L$19*(1+$C$22/100)/(($A$25-$C$22)/100),DCF_Base!$L$19*DCF_Base!$B$29),DCF_Base!$L$19*DCF_Base!$B$29))/(1+$A$25/100)^DCF_Base!$L$4+Assumptions!$B$5-Assumptions!$B$4)/Assumptions!$B$3*Assumptions!$B$10</f>
        <v>2162.56406349434</v>
      </c>
      <c r="D25" s="0" t="n">
        <f aca="false">(SUMPRODUCT(DCF_Base!$C$19:$L$19/(1+$A$25/100)^DCF_Base!$C$4:$L$4)+MAX(0,MIN(IF($A$25&gt;$D$22,DCF_Base!$L$19*(1+$D$22/100)/(($A$25-$D$22)/100),DCF_Base!$L$19*DCF_Base!$B$29),DCF_Base!$L$19*DCF_Base!$B$29))/(1+$A$25/100)^DCF_Base!$L$4+Assumptions!$B$5-Assumptions!$B$4)/Assumptions!$B$3*Assumptions!$B$10</f>
        <v>2233.76969613302</v>
      </c>
      <c r="E25" s="0" t="n">
        <f aca="false">(SUMPRODUCT(DCF_Base!$C$19:$L$19/(1+$A$25/100)^DCF_Base!$C$4:$L$4)+MAX(0,MIN(IF($A$25&gt;$E$22,DCF_Base!$L$19*(1+$E$22/100)/(($A$25-$E$22)/100),DCF_Base!$L$19*DCF_Base!$B$29),DCF_Base!$L$19*DCF_Base!$B$29))/(1+$A$25/100)^DCF_Base!$L$4+Assumptions!$B$5-Assumptions!$B$4)/Assumptions!$B$3*Assumptions!$B$10</f>
        <v>2314.46941312352</v>
      </c>
      <c r="F25" s="0" t="n">
        <f aca="false">(SUMPRODUCT(DCF_Base!$C$19:$L$19/(1+$A$25/100)^DCF_Base!$C$4:$L$4)+MAX(0,MIN(IF($A$25&gt;$F$22,DCF_Base!$L$19*(1+$F$22/100)/(($A$25-$F$22)/100),DCF_Base!$L$19*DCF_Base!$B$29),DCF_Base!$L$19*DCF_Base!$B$29))/(1+$A$25/100)^DCF_Base!$L$4+Assumptions!$B$5-Assumptions!$B$4)/Assumptions!$B$3*Assumptions!$B$10</f>
        <v>2406.69766111266</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1873.81047057366</v>
      </c>
      <c r="C26" s="0" t="n">
        <f aca="false">(SUMPRODUCT(DCF_Base!$C$19:$L$19/(1+$A$26/100)^DCF_Base!$C$4:$L$4)+MAX(0,MIN(IF($A$26&gt;$C$22,DCF_Base!$L$19*(1+$C$22/100)/(($A$26-$C$22)/100),DCF_Base!$L$19*DCF_Base!$B$29),DCF_Base!$L$19*DCF_Base!$B$29))/(1+$A$26/100)^DCF_Base!$L$4+Assumptions!$B$5-Assumptions!$B$4)/Assumptions!$B$3*Assumptions!$B$10</f>
        <v>1920.82631729248</v>
      </c>
      <c r="D26" s="0" t="n">
        <f aca="false">(SUMPRODUCT(DCF_Base!$C$19:$L$19/(1+$A$26/100)^DCF_Base!$C$4:$L$4)+MAX(0,MIN(IF($A$26&gt;$D$22,DCF_Base!$L$19*(1+$D$22/100)/(($A$26-$D$22)/100),DCF_Base!$L$19*DCF_Base!$B$29),DCF_Base!$L$19*DCF_Base!$B$29))/(1+$A$26/100)^DCF_Base!$L$4+Assumptions!$B$5-Assumptions!$B$4)/Assumptions!$B$3*Assumptions!$B$10</f>
        <v>1973.06614698007</v>
      </c>
      <c r="E26" s="0" t="n">
        <f aca="false">(SUMPRODUCT(DCF_Base!$C$19:$L$19/(1+$A$26/100)^DCF_Base!$C$4:$L$4)+MAX(0,MIN(IF($A$26&gt;$E$22,DCF_Base!$L$19*(1+$E$22/100)/(($A$26-$E$22)/100),DCF_Base!$L$19*DCF_Base!$B$29),DCF_Base!$L$19*DCF_Base!$B$29))/(1+$A$26/100)^DCF_Base!$L$4+Assumptions!$B$5-Assumptions!$B$4)/Assumptions!$B$3*Assumptions!$B$10</f>
        <v>2031.45183898385</v>
      </c>
      <c r="F26" s="0" t="n">
        <f aca="false">(SUMPRODUCT(DCF_Base!$C$19:$L$19/(1+$A$26/100)^DCF_Base!$C$4:$L$4)+MAX(0,MIN(IF($A$26&gt;$F$22,DCF_Base!$L$19*(1+$F$22/100)/(($A$26-$F$22)/100),DCF_Base!$L$19*DCF_Base!$B$29),DCF_Base!$L$19*DCF_Base!$B$29))/(1+$A$26/100)^DCF_Base!$L$4+Assumptions!$B$5-Assumptions!$B$4)/Assumptions!$B$3*Assumptions!$B$10</f>
        <v>2097.1357424881</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1690.02143189459</v>
      </c>
      <c r="C27" s="0" t="n">
        <f aca="false">(SUMPRODUCT(DCF_Base!$C$19:$L$19/(1+$A$27/100)^DCF_Base!$C$4:$L$4)+MAX(0,MIN(IF($A$27&gt;$C$22,DCF_Base!$L$19*(1+$C$22/100)/(($A$27-$C$22)/100),DCF_Base!$L$19*DCF_Base!$B$29),DCF_Base!$L$19*DCF_Base!$B$29))/(1+$A$27/100)^DCF_Base!$L$4+Assumptions!$B$5-Assumptions!$B$4)/Assumptions!$B$3*Assumptions!$B$10</f>
        <v>1725.7192847902</v>
      </c>
      <c r="D27" s="0" t="n">
        <f aca="false">(SUMPRODUCT(DCF_Base!$C$19:$L$19/(1+$A$27/100)^DCF_Base!$C$4:$L$4)+MAX(0,MIN(IF($A$27&gt;$D$22,DCF_Base!$L$19*(1+$D$22/100)/(($A$27-$D$22)/100),DCF_Base!$L$19*DCF_Base!$B$29),DCF_Base!$L$19*DCF_Base!$B$29))/(1+$A$27/100)^DCF_Base!$L$4+Assumptions!$B$5-Assumptions!$B$4)/Assumptions!$B$3*Assumptions!$B$10</f>
        <v>1764.98692297538</v>
      </c>
      <c r="E27" s="0" t="n">
        <f aca="false">(SUMPRODUCT(DCF_Base!$C$19:$L$19/(1+$A$27/100)^DCF_Base!$C$4:$L$4)+MAX(0,MIN(IF($A$27&gt;$E$22,DCF_Base!$L$19*(1+$E$22/100)/(($A$27-$E$22)/100),DCF_Base!$L$19*DCF_Base!$B$29),DCF_Base!$L$19*DCF_Base!$B$29))/(1+$A$27/100)^DCF_Base!$L$4+Assumptions!$B$5-Assumptions!$B$4)/Assumptions!$B$3*Assumptions!$B$10</f>
        <v>1808.38799675899</v>
      </c>
      <c r="F27" s="0" t="n">
        <f aca="false">(SUMPRODUCT(DCF_Base!$C$19:$L$19/(1+$A$27/100)^DCF_Base!$C$4:$L$4)+MAX(0,MIN(IF($A$27&gt;$F$22,DCF_Base!$L$19*(1+$F$22/100)/(($A$27-$F$22)/100),DCF_Base!$L$19*DCF_Base!$B$29),DCF_Base!$L$19*DCF_Base!$B$29))/(1+$A$27/100)^DCF_Base!$L$4+Assumptions!$B$5-Assumptions!$B$4)/Assumptions!$B$3*Assumptions!$B$10</f>
        <v>1856.61141207411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2026-10-10T01:32:45Z</dcterms:created>
  <dc:creator>openpyxl</dc:creator>
  <dc:description/>
  <dc:language>en-NZ</dc:language>
  <cp:lastModifiedBy/>
  <dcterms:modified xsi:type="dcterms:W3CDTF">2026-10-10T01:32:45Z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