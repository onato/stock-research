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<sst xmlns="http://schemas.openxmlformats.org/spreadsheetml/2006/main" count="363" uniqueCount="166">
  <si>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</si>
  <si>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FLT.AX</t>
  </si>
  <si>
    <t xml:space="preserve">Company</t>
  </si>
  <si>
    <t xml:space="preserve">Flight Centre Travel Group Limited</t>
  </si>
  <si>
    <t xml:space="preserve">Valuation date</t>
  </si>
  <si>
    <t xml:space="preserve">2026-09-22</t>
  </si>
  <si>
    <t xml:space="preserve">Current price</t>
  </si>
  <si>
    <t xml:space="preserve">Price as of</t>
  </si>
  <si>
    <t xml:space="preserve">2026-09-22T06:10:05Z (ASX regular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</si>
  <si>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</si>
  <si>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</si>
  <si>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</si>
  <si>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</si>
  <si>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</si>
  <si>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</si>
  <si>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</si>
  <si>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</si>
  <si>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</si>
  <si>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</si>
  <si>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</si>
  <si>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</si>
  <si>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2026-09-22T11:35:48Z</t>
  </si>
  <si>
    <t xml:space="preserve">Drivers file</t>
  </si>
  <si>
    <t xml:space="preserve">FLT.AX_Drivers.json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</si>
  <si>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</si>
  <si>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</si>
  <si>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</si>
  <si>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Flight Centre's history is split by COVID: FY2016-FY2019 is a mature 15-16% (pre-IFRS16) margin travel agent, FY2020-FY2022 is near-zero revenue and ~A$1.4bn of cumulative losses funded by two equity raises and convertible notes, and FY2023-FY2026 is the recovery. No trailing CAGR is usable - the 3- and 5-year figures describe the bounce off the trough - so the DCF is a component build anchored on FY2026's clean cash economics: statutory EBITDA with non-cash gains stripped (14.0% of revenue, gross of SBC), lease cash charged in the flows (treatment B), D&amp;A ex right-of-use, cash tax ramping from 26% to 30% as COVID deferred tax assets are used, and capex at ~3.3% of revenue. FY2026 is not a peak - underlying PBT of 278m is below FY2019's 343m on the same revenue and the post-IFRS16 equivalent of the FY2019 margin is ~19-20% - so a modest recovery to 15.5% is the base, not a mid-cycle haircut. Risk is charged once: one 9.5% AUD WACC, a 13x terminal cap for a cyclical, and a 25/50/25 weighting with a year-2 demand shock in the bear. Net debt follows FLT's own capital-management definition (unrestricted cash and investments less borrowings) but adds the convertible notes at face (650m), which FLT excludes; restricted client cash (255m) and lease liabilities (352m) are excluded consistently.
key_risks_to_valuation: Revenue margin (revenue/TTV) has fallen from ~13% pre-COVID to 11.1%; further erosion from airline NDC/direct distribution and online leisure competition would make the margin ramp unattainable even if TTV grows.; Demand shocks: travel is the first discretionary spend cut in a recession and is exposed to geopolitical and health events; FY26 already absorbed a ~A$60m leisure profit hit from the Middle East conflict.; FLT has booked 'underlying adjustments' of 64-76m every year since COVID; if restructuring costs are permanent, the 14.0% clean anchor is itself generous and the ramp to 15.5% does not happen.; Client float: 824.8m of cash includes 254.5m restricted and the remainder partly funds 567m of client creditors; a TTV contraction reverses the float (modelled only through wc_capture x negative revenue change in the bear).; Convertible notes: 200m due Nov-2027 and 450m due Sep-2032 (strike A$15.88, put Sep-2030). Treated as debt at face; if the shares re-rate above the strikes the dilution (~28m shares on the 2032 notes) replaces the debt, roughly neutral at those prices.; Capex (3.3% of revenue) has exceeded D&amp;A ex-ROU (2.6%) for three years; if software capitalisation is really maintenance, owner FCF is structurally lower than NOPAT suggests.; Acquisition cadence: Iglu (~180m) in FY26, Scott Dunn earlier; the model assumes organic growth only and no further M&amp;A cash outflow.</t>
  </si>
  <si>
    <t xml:space="preserve">Data sources</t>
  </si>
  <si>
    <t xml:space="preserve">price: Yahoo Finance chart API at inputs.price_as_of; 52-week range 9.61-16.56
financials: FLT.AX_Metrics.csv (core_metrics, adjudicated 2026-09-22) plus FLT.AX_Annual_FY2026.txt: cash flow statement (lines 2213-2265), balance sheet (2273-2333), Appendix 4E statutory-to-underlying reconciliation (96-131), note B5 convertible notes (3588-3617), note B6 net cash/(debt) (3631-3659), note D4 share capital (4755-4787), note F7 right-of-use depreciation (5314), share-based payments expense (5617), EPS denominators (4999-5003)
qualitative: FY26 Annual Report directors' report and outlook (lines 289-480), H1 FY26 interim (capital management, AI rollout). No Analysis JSON existed at build time; FY27 guidance is due at the November 2026 AGM.</t>
  </si>
  <si>
    <t xml:space="preserve">Scenario narrative: bear</t>
  </si>
  <si>
    <t xml:space="preserve">A demand shock in year 2 - recession, a wider Middle East conflict (FCM UAE TTV already fell ~15% in FY26), an aviation capacity or health event - cuts revenue 6% with fixed lease and staff costs: EBITDA margin drops to 11.5% and cash tax falls to 20%. The recovery is partial because online direct booking and airline NDC keep eroding revenue margin, leaving margins at 13% and growth at 2%. Terminal growth 2%. The A$200m 2027 notes are refinanced from the 570m unrestricted cash; solvency is not the bear case, permanent margin loss is.</t>
  </si>
  <si>
    <t xml:space="preserve">Scenario narrative: base</t>
  </si>
  <si>
    <t xml:space="preserve">TTV grows mid-single digits on cruise (Iglu, Norwegian charter, cruise TTV &gt;A$2bn in FY27), corporate wins (FCM, Corporate Traveller) and a leisure network that has stopped shrinking; revenue margin holds near 11% of TTV so revenue grows 4-5% then decays to 2.5%. The Pillar cost-out and AI co-consulting tools lift the EBITDA margin 1.5pp over six years to 15.5%, well short of the pre-COVID structure. Cash tax normalises to 30% as the COVID deferred tax assets are consumed. Capex stays ~3.3% of revenue (mostly software). Buy-backs continue but are value-neutral here.</t>
  </si>
  <si>
    <t xml:space="preserve">Scenario narrative: bull</t>
  </si>
  <si>
    <t xml:space="preserve">Corporate share gains accelerate (productive-operations automation lets FCM/CT win mid-market accounts at lower cost), the cruise pivot scales faster than planned, and leisure recovers revenue margin through World360 Rewards and higher-attach luxury/Scott Dunn product. Revenue compounds 8% fading to 3%; EBITDA margin reaches 17% (still below the FY2019 equivalent), lease cost shrinks as the shop network is rationalised, and the float grows with TTV (8% capture). Nothing here requires a re-rating - the cap stays at 13x.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</si>
  <si>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</si>
  <si>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</si>
  <si>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</si>
  <si>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</si>
  <si>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</si>
  <si>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</si>
  <si>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</si>
  <si>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</si>
  <si>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</si>
  <si>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</si>
  <si>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</si>
  <si>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</si>
  <si>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</si>
  <si>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</si>
  <si>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</si>
  <si>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</si>
  <si>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</si>
  <si>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</si>
  <si>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</si>
  <si>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</si>
  <si>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</si>
  <si>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</si>
  <si>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</si>
  <si>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</si>
  <si>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</si>
  <si>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</si>
  <si>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</si>
  <si>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</si>
  <si>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</si>
  <si>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</si>
  <si>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</si>
  <si>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</si>
  <si>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</si>
  <si>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</si>
  <si>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</si>
  <si>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</si>
  <si>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</si>
  <si>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</si>
  <si>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</si>
  <si>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</si>
  <si>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</si>
  <si>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</si>
  <si>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</si>
  <si>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</si>
  <si>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</si>
  <si>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</si>
  <si>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</si>
  <si>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</si>
  <si>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</si>
  <si>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</si>
  <si>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</si>
  <si>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</si>
  <si>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</si>
  <si>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</si>
  <si>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</si>
  <si>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</si>
  <si>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</si>
  <si>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</si>
  <si>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</si>
  <si>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</si>
  <si>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</si>
  <si>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</si>
  <si>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</si>
  <si>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</si>
  <si>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</si>
  <si>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</si>
  <si>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</si>
  <si>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</si>
  <si>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</si>
  <si>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</si>
  <si>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</si>
  <si>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</si>
  <si>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</si>
  <si>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</si>
  <si>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</si>
  <si>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FLT.AX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</si>
  <si>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</si>
  <si>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</si>
  <si>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</si>
  <si>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</si>
  <si>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</si>
  <si>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</si>
  <si>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</si>
  <si>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</si>
  <si>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</si>
  <si>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</si>
  <si>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</si>
  <si>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</si>
  <si>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</si>
  <si>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</si>
  <si>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</si>
  <si>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</si>
  <si>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</si>
  <si>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</si>
  <si>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</si>
  <si>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</si>
  <si>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</si>
  <si>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</si>
  <si>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</si>
  <si>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</si>
  <si>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</si>
  <si>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</si>
  <si>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</si>
  <si>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</si>
  <si>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</si>
  <si>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</si>
  <si>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FLT.AX owner-FCF component DCF: base case (millions, AUD)</t>
  </si>
  <si>
    <t xml:space="preserve">FLT.AX owner-FCF component DCF: bull case (millions, AUD)</t>
  </si>
  <si>
    <t xml:space="preserve">FLT.AX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</si>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</sst>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10.35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2666.176</v>
      </c>
      <c r="H2" s="0" t="n">
        <v>439.738</v>
      </c>
      <c r="I2" s="0" t="n">
        <v>244.556</v>
      </c>
      <c r="J2" s="0" t="n">
        <v>9.17253774694544</v>
      </c>
      <c r="K2" s="0" t="n">
        <v>2.424</v>
      </c>
      <c r="L2" s="0" t="n">
        <v>356.603</v>
      </c>
      <c r="M2" s="0" t="n">
        <v>120.988</v>
      </c>
      <c r="N2" s="0" t="n">
        <v>235.615</v>
      </c>
      <c r="O2" s="0" t="n">
        <v>1345.945</v>
      </c>
      <c r="P2" s="0" t="n">
        <v>3001.316</v>
      </c>
      <c r="Q2" s="0" t="n">
        <v>1655.371</v>
      </c>
      <c r="R2" s="0" t="n">
        <v>76.845</v>
      </c>
      <c r="S2" s="0" t="n">
        <v>1315.984</v>
      </c>
      <c r="T2" s="0" t="n">
        <v>100.889438943894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2677.336</v>
      </c>
      <c r="H3" s="0" t="n">
        <v>428.923</v>
      </c>
      <c r="I3" s="0" t="n">
        <v>230.773</v>
      </c>
      <c r="J3" s="0" t="n">
        <v>8.61950087699116</v>
      </c>
      <c r="K3" s="0" t="n">
        <v>2.285</v>
      </c>
      <c r="L3" s="0" t="n">
        <v>295.354</v>
      </c>
      <c r="M3" s="0" t="n">
        <v>104.124</v>
      </c>
      <c r="N3" s="0" t="n">
        <v>191.23</v>
      </c>
      <c r="O3" s="0" t="n">
        <v>1428.755</v>
      </c>
      <c r="P3" s="0" t="n">
        <v>3195.488</v>
      </c>
      <c r="Q3" s="0" t="n">
        <v>1766.733</v>
      </c>
      <c r="R3" s="0" t="n">
        <v>55.866</v>
      </c>
      <c r="S3" s="0" t="n">
        <v>1281.648</v>
      </c>
      <c r="T3" s="0" t="n">
        <v>100.994748358862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2949.955</v>
      </c>
      <c r="H4" s="0" t="n">
        <v>466.811</v>
      </c>
      <c r="I4" s="0" t="n">
        <v>262.93</v>
      </c>
      <c r="J4" s="0" t="n">
        <v>8.91301731721331</v>
      </c>
      <c r="K4" s="0" t="n">
        <v>2.605</v>
      </c>
      <c r="L4" s="0" t="n">
        <v>314.337</v>
      </c>
      <c r="M4" s="0" t="n">
        <v>87.283</v>
      </c>
      <c r="N4" s="0" t="n">
        <v>227.054</v>
      </c>
      <c r="O4" s="0" t="n">
        <v>1554.442</v>
      </c>
      <c r="P4" s="0" t="n">
        <v>3405.219</v>
      </c>
      <c r="Q4" s="0" t="n">
        <v>1850.777</v>
      </c>
      <c r="R4" s="0" t="n">
        <v>35.498</v>
      </c>
      <c r="S4" s="0" t="n">
        <v>1272.992</v>
      </c>
      <c r="T4" s="0" t="n">
        <v>100.932821497121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3055.268</v>
      </c>
      <c r="H5" s="0" t="n">
        <v>451.419</v>
      </c>
      <c r="I5" s="0" t="n">
        <v>263.825</v>
      </c>
      <c r="J5" s="0" t="n">
        <v>8.63508536730657</v>
      </c>
      <c r="K5" s="0" t="n">
        <v>2.616</v>
      </c>
      <c r="L5" s="0" t="n">
        <v>278.883</v>
      </c>
      <c r="M5" s="0" t="n">
        <v>100.982</v>
      </c>
      <c r="N5" s="0" t="n">
        <v>177.901</v>
      </c>
      <c r="O5" s="0" t="n">
        <v>1462.318</v>
      </c>
      <c r="P5" s="0" t="n">
        <v>3493.414</v>
      </c>
      <c r="Q5" s="0" t="n">
        <v>2031.096</v>
      </c>
      <c r="R5" s="0" t="n">
        <v>185.085</v>
      </c>
      <c r="S5" s="0" t="n">
        <v>1172.252</v>
      </c>
      <c r="T5" s="0" t="n">
        <v>100.850535168196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1898.085</v>
      </c>
      <c r="H6" s="0" t="n">
        <v>-574.004</v>
      </c>
      <c r="I6" s="0" t="n">
        <v>-662.166</v>
      </c>
      <c r="J6" s="0" t="n">
        <v>-34.8860035246051</v>
      </c>
      <c r="K6" s="0" t="n">
        <v>-5.521</v>
      </c>
      <c r="L6" s="0" t="n">
        <v>5.654</v>
      </c>
      <c r="M6" s="0" t="n">
        <v>110.529</v>
      </c>
      <c r="N6" s="0" t="n">
        <v>-104.875</v>
      </c>
      <c r="O6" s="0" t="n">
        <v>1393.186</v>
      </c>
      <c r="P6" s="0" t="n">
        <v>3999.066</v>
      </c>
      <c r="Q6" s="0" t="n">
        <v>2605.88</v>
      </c>
      <c r="R6" s="0" t="n">
        <v>988.843</v>
      </c>
      <c r="S6" s="0" t="n">
        <v>1865.797</v>
      </c>
      <c r="T6" s="0" t="n">
        <v>119.935881180946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395.907</v>
      </c>
      <c r="H7" s="0" t="n">
        <v>-426.627</v>
      </c>
      <c r="I7" s="0" t="n">
        <v>-433.129</v>
      </c>
      <c r="J7" s="0" t="n">
        <v>-109.401702925182</v>
      </c>
      <c r="K7" s="0" t="n">
        <v>-2.175</v>
      </c>
      <c r="L7" s="0" t="n">
        <v>-912.233</v>
      </c>
      <c r="M7" s="0" t="n">
        <v>37.354</v>
      </c>
      <c r="N7" s="0" t="n">
        <v>-949.587</v>
      </c>
      <c r="O7" s="0" t="n">
        <v>956.036</v>
      </c>
      <c r="P7" s="0" t="n">
        <v>3264.876</v>
      </c>
      <c r="Q7" s="0" t="n">
        <v>2308.84</v>
      </c>
      <c r="R7" s="0" t="n">
        <v>1283.543</v>
      </c>
      <c r="S7" s="0" t="n">
        <v>1290.831</v>
      </c>
      <c r="T7" s="0" t="n">
        <v>199.139770114943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1007.485</v>
      </c>
      <c r="H8" s="0" t="n">
        <v>-194.03</v>
      </c>
      <c r="I8" s="0" t="n">
        <v>-286.651</v>
      </c>
      <c r="J8" s="0" t="n">
        <v>-28.4521357638079</v>
      </c>
      <c r="K8" s="0" t="n">
        <v>-1.437</v>
      </c>
      <c r="L8" s="0" t="n">
        <v>-101.374</v>
      </c>
      <c r="M8" s="0" t="n">
        <v>40.371</v>
      </c>
      <c r="N8" s="0" t="n">
        <v>-141.745</v>
      </c>
      <c r="O8" s="0" t="n">
        <v>777.462</v>
      </c>
      <c r="P8" s="0" t="n">
        <v>3732.087</v>
      </c>
      <c r="Q8" s="0" t="n">
        <v>2954.625</v>
      </c>
      <c r="R8" s="0" t="n">
        <v>1316.274</v>
      </c>
      <c r="S8" s="0" t="n">
        <v>1226.904</v>
      </c>
      <c r="T8" s="0" t="n">
        <v>199.478775226166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2280.782</v>
      </c>
      <c r="H9" s="0" t="n">
        <v>297.347</v>
      </c>
      <c r="I9" s="0" t="n">
        <v>47.461</v>
      </c>
      <c r="J9" s="0" t="n">
        <v>2.08090909170627</v>
      </c>
      <c r="K9" s="0" t="n">
        <v>0.231</v>
      </c>
      <c r="L9" s="0" t="n">
        <v>156.17</v>
      </c>
      <c r="M9" s="0" t="n">
        <v>92.031</v>
      </c>
      <c r="N9" s="0" t="n">
        <v>64.139</v>
      </c>
      <c r="O9" s="0" t="n">
        <v>1136.497</v>
      </c>
      <c r="P9" s="0" t="n">
        <v>4436.427</v>
      </c>
      <c r="Q9" s="0" t="n">
        <v>3299.93</v>
      </c>
      <c r="R9" s="0" t="n">
        <v>1358.733</v>
      </c>
      <c r="S9" s="0" t="n">
        <v>1328.438</v>
      </c>
      <c r="T9" s="0" t="n">
        <v>205.458874458874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2710.753</v>
      </c>
      <c r="H10" s="0" t="n">
        <v>369.708</v>
      </c>
      <c r="I10" s="0" t="n">
        <v>139.638</v>
      </c>
      <c r="J10" s="0" t="n">
        <v>5.15126239830778</v>
      </c>
      <c r="K10" s="0" t="n">
        <v>0.637</v>
      </c>
      <c r="L10" s="0" t="n">
        <v>421.48</v>
      </c>
      <c r="M10" s="0" t="n">
        <v>95.604</v>
      </c>
      <c r="N10" s="0" t="n">
        <v>325.876</v>
      </c>
      <c r="O10" s="0" t="n">
        <v>1203.203</v>
      </c>
      <c r="P10" s="0" t="n">
        <v>4214.281</v>
      </c>
      <c r="Q10" s="0" t="n">
        <v>3011.078</v>
      </c>
      <c r="R10" s="0" t="n">
        <v>988.152</v>
      </c>
      <c r="S10" s="0" t="n">
        <v>1138.142</v>
      </c>
      <c r="T10" s="0" t="n">
        <v>219.211930926217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2783.944</v>
      </c>
      <c r="H11" s="0" t="n">
        <v>427.834</v>
      </c>
      <c r="I11" s="0" t="n">
        <v>109.489</v>
      </c>
      <c r="J11" s="0" t="n">
        <v>3.93287364975732</v>
      </c>
      <c r="K11" s="0" t="n">
        <v>0.496</v>
      </c>
      <c r="L11" s="0" t="n">
        <v>139.158</v>
      </c>
      <c r="M11" s="0" t="n">
        <v>102.656</v>
      </c>
      <c r="N11" s="0" t="n">
        <v>36.502</v>
      </c>
      <c r="O11" s="0" t="n">
        <v>1223.626</v>
      </c>
      <c r="P11" s="0" t="n">
        <v>4109.075</v>
      </c>
      <c r="Q11" s="0" t="n">
        <v>2885.449</v>
      </c>
      <c r="R11" s="0" t="n">
        <v>884.083</v>
      </c>
      <c r="S11" s="0" t="n">
        <v>815.511</v>
      </c>
      <c r="T11" s="0" t="n">
        <v>220.743951612903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2854.861</v>
      </c>
      <c r="H12" s="0" t="n">
        <v>454.48</v>
      </c>
      <c r="I12" s="0" t="n">
        <v>149.174</v>
      </c>
      <c r="J12" s="0" t="n">
        <v>5.22526315641988</v>
      </c>
      <c r="K12" s="0" t="n">
        <v>0.709</v>
      </c>
      <c r="L12" s="0" t="n">
        <v>277.935</v>
      </c>
      <c r="M12" s="0" t="n">
        <v>94.643</v>
      </c>
      <c r="N12" s="0" t="n">
        <v>183.292</v>
      </c>
      <c r="O12" s="0" t="n">
        <v>1099.261</v>
      </c>
      <c r="P12" s="0" t="n">
        <v>4903.036</v>
      </c>
      <c r="Q12" s="0" t="n">
        <v>3803.775</v>
      </c>
      <c r="R12" s="0" t="n">
        <v>1234.854</v>
      </c>
      <c r="S12" s="0" t="n">
        <v>824.755</v>
      </c>
      <c r="T12" s="0" t="n">
        <v>210.400564174894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10.35</v>
      </c>
    </row>
    <row r="3" customFormat="false" ht="15" hidden="false" customHeight="false" outlineLevel="0" collapsed="false">
      <c r="A3" s="0" t="s">
        <v>77</v>
      </c>
      <c r="B3" s="3" t="n">
        <v>210.3</v>
      </c>
    </row>
    <row r="4" customFormat="false" ht="15" hidden="false" customHeight="false" outlineLevel="0" collapsed="false">
      <c r="A4" s="0" t="s">
        <v>78</v>
      </c>
      <c r="B4" s="3" t="n">
        <v>396.078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2854.861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1.5</v>
      </c>
      <c r="D13" s="3" t="n">
        <v>-6</v>
      </c>
      <c r="E13" s="3" t="n">
        <v>3</v>
      </c>
      <c r="F13" s="3" t="n">
        <v>4</v>
      </c>
      <c r="G13" s="3" t="n">
        <v>3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13.5</v>
      </c>
      <c r="D14" s="3" t="n">
        <v>11.5</v>
      </c>
      <c r="E14" s="3" t="n">
        <v>12.5</v>
      </c>
      <c r="F14" s="3" t="n">
        <v>13</v>
      </c>
      <c r="G14" s="3" t="n">
        <v>13</v>
      </c>
      <c r="H14" s="3" t="n">
        <v>13</v>
      </c>
      <c r="I14" s="3" t="n">
        <v>13</v>
      </c>
      <c r="J14" s="3" t="n">
        <v>13</v>
      </c>
      <c r="K14" s="3" t="n">
        <v>13</v>
      </c>
      <c r="L14" s="3" t="n">
        <v>13</v>
      </c>
    </row>
    <row r="15" customFormat="false" ht="15" hidden="false" customHeight="false" outlineLevel="0" collapsed="false">
      <c r="A15" s="0" t="s">
        <v>99</v>
      </c>
      <c r="C15" s="3" t="n">
        <v>0.55</v>
      </c>
      <c r="D15" s="3" t="n">
        <v>0.55</v>
      </c>
      <c r="E15" s="3" t="n">
        <v>0.55</v>
      </c>
      <c r="F15" s="3" t="n">
        <v>0.55</v>
      </c>
      <c r="G15" s="3" t="n">
        <v>0.55</v>
      </c>
      <c r="H15" s="3" t="n">
        <v>0.55</v>
      </c>
      <c r="I15" s="3" t="n">
        <v>0.55</v>
      </c>
      <c r="J15" s="3" t="n">
        <v>0.55</v>
      </c>
      <c r="K15" s="3" t="n">
        <v>0.55</v>
      </c>
      <c r="L15" s="3" t="n">
        <v>0.55</v>
      </c>
    </row>
    <row r="16" customFormat="false" ht="15" hidden="false" customHeight="false" outlineLevel="0" collapsed="false">
      <c r="A16" s="0" t="s">
        <v>100</v>
      </c>
      <c r="C16" s="3" t="n">
        <v>3.6</v>
      </c>
      <c r="D16" s="3" t="n">
        <v>4</v>
      </c>
      <c r="E16" s="3" t="n">
        <v>3.8</v>
      </c>
      <c r="F16" s="3" t="n">
        <v>3.7</v>
      </c>
      <c r="G16" s="3" t="n">
        <v>3.7</v>
      </c>
      <c r="H16" s="3" t="n">
        <v>3.7</v>
      </c>
      <c r="I16" s="3" t="n">
        <v>3.7</v>
      </c>
      <c r="J16" s="3" t="n">
        <v>3.7</v>
      </c>
      <c r="K16" s="3" t="n">
        <v>3.7</v>
      </c>
      <c r="L16" s="3" t="n">
        <v>3.7</v>
      </c>
    </row>
    <row r="17" customFormat="false" ht="15" hidden="false" customHeight="false" outlineLevel="0" collapsed="false">
      <c r="A17" s="0" t="s">
        <v>101</v>
      </c>
      <c r="C17" s="3" t="n">
        <v>2.6</v>
      </c>
      <c r="D17" s="3" t="n">
        <v>2.7</v>
      </c>
      <c r="E17" s="3" t="n">
        <v>2.6</v>
      </c>
      <c r="F17" s="3" t="n">
        <v>2.6</v>
      </c>
      <c r="G17" s="3" t="n">
        <v>2.6</v>
      </c>
      <c r="H17" s="3" t="n">
        <v>2.6</v>
      </c>
      <c r="I17" s="3" t="n">
        <v>2.6</v>
      </c>
      <c r="J17" s="3" t="n">
        <v>2.6</v>
      </c>
      <c r="K17" s="3" t="n">
        <v>2.6</v>
      </c>
      <c r="L17" s="3" t="n">
        <v>2.6</v>
      </c>
    </row>
    <row r="18" customFormat="false" ht="15" hidden="false" customHeight="false" outlineLevel="0" collapsed="false">
      <c r="A18" s="0" t="s">
        <v>102</v>
      </c>
      <c r="C18" s="3" t="n">
        <v>3.4</v>
      </c>
      <c r="D18" s="3" t="n">
        <v>3</v>
      </c>
      <c r="E18" s="3" t="n">
        <v>3.2</v>
      </c>
      <c r="F18" s="3" t="n">
        <v>3.3</v>
      </c>
      <c r="G18" s="3" t="n">
        <v>3.3</v>
      </c>
      <c r="H18" s="3" t="n">
        <v>3.3</v>
      </c>
      <c r="I18" s="3" t="n">
        <v>3.3</v>
      </c>
      <c r="J18" s="3" t="n">
        <v>3.3</v>
      </c>
      <c r="K18" s="3" t="n">
        <v>3.3</v>
      </c>
      <c r="L18" s="3" t="n">
        <v>3.3</v>
      </c>
    </row>
    <row r="19" customFormat="false" ht="15" hidden="false" customHeight="false" outlineLevel="0" collapsed="false">
      <c r="A19" s="0" t="s">
        <v>103</v>
      </c>
      <c r="C19" s="3" t="n">
        <v>26</v>
      </c>
      <c r="D19" s="3" t="n">
        <v>20</v>
      </c>
      <c r="E19" s="3" t="n">
        <v>25</v>
      </c>
      <c r="F19" s="3" t="n">
        <v>28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104</v>
      </c>
      <c r="B20" s="3" t="n">
        <v>9.5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13</v>
      </c>
    </row>
    <row r="23" customFormat="false" ht="15" hidden="false" customHeight="false" outlineLevel="0" collapsed="false">
      <c r="A23" s="0" t="s">
        <v>107</v>
      </c>
      <c r="B23" s="3" t="n">
        <v>5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5</v>
      </c>
      <c r="D27" s="3" t="n">
        <v>4.5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14</v>
      </c>
      <c r="D28" s="3" t="n">
        <v>14.3</v>
      </c>
      <c r="E28" s="3" t="n">
        <v>14.6</v>
      </c>
      <c r="F28" s="3" t="n">
        <v>14.9</v>
      </c>
      <c r="G28" s="3" t="n">
        <v>15.2</v>
      </c>
      <c r="H28" s="3" t="n">
        <v>15.5</v>
      </c>
      <c r="I28" s="3" t="n">
        <v>15.5</v>
      </c>
      <c r="J28" s="3" t="n">
        <v>15.5</v>
      </c>
      <c r="K28" s="3" t="n">
        <v>15.5</v>
      </c>
      <c r="L28" s="3" t="n">
        <v>15.5</v>
      </c>
    </row>
    <row r="29" customFormat="false" ht="15" hidden="false" customHeight="false" outlineLevel="0" collapsed="false">
      <c r="A29" s="0" t="s">
        <v>99</v>
      </c>
      <c r="C29" s="3" t="n">
        <v>0.55</v>
      </c>
      <c r="D29" s="3" t="n">
        <v>0.55</v>
      </c>
      <c r="E29" s="3" t="n">
        <v>0.55</v>
      </c>
      <c r="F29" s="3" t="n">
        <v>0.55</v>
      </c>
      <c r="G29" s="3" t="n">
        <v>0.55</v>
      </c>
      <c r="H29" s="3" t="n">
        <v>0.55</v>
      </c>
      <c r="I29" s="3" t="n">
        <v>0.55</v>
      </c>
      <c r="J29" s="3" t="n">
        <v>0.55</v>
      </c>
      <c r="K29" s="3" t="n">
        <v>0.55</v>
      </c>
      <c r="L29" s="3" t="n">
        <v>0.55</v>
      </c>
    </row>
    <row r="30" customFormat="false" ht="15" hidden="false" customHeight="false" outlineLevel="0" collapsed="false">
      <c r="A30" s="0" t="s">
        <v>100</v>
      </c>
      <c r="C30" s="3" t="n">
        <v>3.5</v>
      </c>
      <c r="D30" s="3" t="n">
        <v>3.5</v>
      </c>
      <c r="E30" s="3" t="n">
        <v>3.5</v>
      </c>
      <c r="F30" s="3" t="n">
        <v>3.5</v>
      </c>
      <c r="G30" s="3" t="n">
        <v>3.5</v>
      </c>
      <c r="H30" s="3" t="n">
        <v>3.5</v>
      </c>
      <c r="I30" s="3" t="n">
        <v>3.5</v>
      </c>
      <c r="J30" s="3" t="n">
        <v>3.5</v>
      </c>
      <c r="K30" s="3" t="n">
        <v>3.5</v>
      </c>
      <c r="L30" s="3" t="n">
        <v>3.5</v>
      </c>
    </row>
    <row r="31" customFormat="false" ht="15" hidden="false" customHeight="false" outlineLevel="0" collapsed="false">
      <c r="A31" s="0" t="s">
        <v>101</v>
      </c>
      <c r="C31" s="3" t="n">
        <v>2.6</v>
      </c>
      <c r="D31" s="3" t="n">
        <v>2.6</v>
      </c>
      <c r="E31" s="3" t="n">
        <v>2.6</v>
      </c>
      <c r="F31" s="3" t="n">
        <v>2.6</v>
      </c>
      <c r="G31" s="3" t="n">
        <v>2.6</v>
      </c>
      <c r="H31" s="3" t="n">
        <v>2.6</v>
      </c>
      <c r="I31" s="3" t="n">
        <v>2.6</v>
      </c>
      <c r="J31" s="3" t="n">
        <v>2.6</v>
      </c>
      <c r="K31" s="3" t="n">
        <v>2.6</v>
      </c>
      <c r="L31" s="3" t="n">
        <v>2.6</v>
      </c>
    </row>
    <row r="32" customFormat="false" ht="15" hidden="false" customHeight="false" outlineLevel="0" collapsed="false">
      <c r="A32" s="0" t="s">
        <v>102</v>
      </c>
      <c r="C32" s="3" t="n">
        <v>3.4</v>
      </c>
      <c r="D32" s="3" t="n">
        <v>3.4</v>
      </c>
      <c r="E32" s="3" t="n">
        <v>3.3</v>
      </c>
      <c r="F32" s="3" t="n">
        <v>3.3</v>
      </c>
      <c r="G32" s="3" t="n">
        <v>3.2</v>
      </c>
      <c r="H32" s="3" t="n">
        <v>3.2</v>
      </c>
      <c r="I32" s="3" t="n">
        <v>3.2</v>
      </c>
      <c r="J32" s="3" t="n">
        <v>3.2</v>
      </c>
      <c r="K32" s="3" t="n">
        <v>3.2</v>
      </c>
      <c r="L32" s="3" t="n">
        <v>3.2</v>
      </c>
    </row>
    <row r="33" customFormat="false" ht="15" hidden="false" customHeight="false" outlineLevel="0" collapsed="false">
      <c r="A33" s="0" t="s">
        <v>103</v>
      </c>
      <c r="C33" s="3" t="n">
        <v>26</v>
      </c>
      <c r="D33" s="3" t="n">
        <v>27</v>
      </c>
      <c r="E33" s="3" t="n">
        <v>28</v>
      </c>
      <c r="F33" s="3" t="n">
        <v>29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13</v>
      </c>
    </row>
    <row r="37" customFormat="false" ht="15" hidden="false" customHeight="false" outlineLevel="0" collapsed="false">
      <c r="A37" s="0" t="s">
        <v>107</v>
      </c>
      <c r="B37" s="3" t="n">
        <v>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8</v>
      </c>
      <c r="D41" s="3" t="n">
        <v>7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14.5</v>
      </c>
      <c r="D42" s="3" t="n">
        <v>15</v>
      </c>
      <c r="E42" s="3" t="n">
        <v>15.5</v>
      </c>
      <c r="F42" s="3" t="n">
        <v>16</v>
      </c>
      <c r="G42" s="3" t="n">
        <v>16.5</v>
      </c>
      <c r="H42" s="3" t="n">
        <v>17</v>
      </c>
      <c r="I42" s="3" t="n">
        <v>17</v>
      </c>
      <c r="J42" s="3" t="n">
        <v>17</v>
      </c>
      <c r="K42" s="3" t="n">
        <v>17</v>
      </c>
      <c r="L42" s="3" t="n">
        <v>17</v>
      </c>
    </row>
    <row r="43" customFormat="false" ht="15" hidden="false" customHeight="false" outlineLevel="0" collapsed="false">
      <c r="A43" s="0" t="s">
        <v>99</v>
      </c>
      <c r="C43" s="3" t="n">
        <v>0.55</v>
      </c>
      <c r="D43" s="3" t="n">
        <v>0.55</v>
      </c>
      <c r="E43" s="3" t="n">
        <v>0.55</v>
      </c>
      <c r="F43" s="3" t="n">
        <v>0.55</v>
      </c>
      <c r="G43" s="3" t="n">
        <v>0.55</v>
      </c>
      <c r="H43" s="3" t="n">
        <v>0.55</v>
      </c>
      <c r="I43" s="3" t="n">
        <v>0.55</v>
      </c>
      <c r="J43" s="3" t="n">
        <v>0.55</v>
      </c>
      <c r="K43" s="3" t="n">
        <v>0.55</v>
      </c>
      <c r="L43" s="3" t="n">
        <v>0.55</v>
      </c>
    </row>
    <row r="44" customFormat="false" ht="15" hidden="false" customHeight="false" outlineLevel="0" collapsed="false">
      <c r="A44" s="0" t="s">
        <v>100</v>
      </c>
      <c r="C44" s="3" t="n">
        <v>3.4</v>
      </c>
      <c r="D44" s="3" t="n">
        <v>3.4</v>
      </c>
      <c r="E44" s="3" t="n">
        <v>3.3</v>
      </c>
      <c r="F44" s="3" t="n">
        <v>3.3</v>
      </c>
      <c r="G44" s="3" t="n">
        <v>3.3</v>
      </c>
      <c r="H44" s="3" t="n">
        <v>3.3</v>
      </c>
      <c r="I44" s="3" t="n">
        <v>3.3</v>
      </c>
      <c r="J44" s="3" t="n">
        <v>3.3</v>
      </c>
      <c r="K44" s="3" t="n">
        <v>3.3</v>
      </c>
      <c r="L44" s="3" t="n">
        <v>3.3</v>
      </c>
    </row>
    <row r="45" customFormat="false" ht="15" hidden="false" customHeight="false" outlineLevel="0" collapsed="false">
      <c r="A45" s="0" t="s">
        <v>101</v>
      </c>
      <c r="C45" s="3" t="n">
        <v>2.6</v>
      </c>
      <c r="D45" s="3" t="n">
        <v>2.6</v>
      </c>
      <c r="E45" s="3" t="n">
        <v>2.6</v>
      </c>
      <c r="F45" s="3" t="n">
        <v>2.6</v>
      </c>
      <c r="G45" s="3" t="n">
        <v>2.6</v>
      </c>
      <c r="H45" s="3" t="n">
        <v>2.6</v>
      </c>
      <c r="I45" s="3" t="n">
        <v>2.6</v>
      </c>
      <c r="J45" s="3" t="n">
        <v>2.6</v>
      </c>
      <c r="K45" s="3" t="n">
        <v>2.6</v>
      </c>
      <c r="L45" s="3" t="n">
        <v>2.6</v>
      </c>
    </row>
    <row r="46" customFormat="false" ht="15" hidden="false" customHeight="false" outlineLevel="0" collapsed="false">
      <c r="A46" s="0" t="s">
        <v>102</v>
      </c>
      <c r="C46" s="3" t="n">
        <v>3.3</v>
      </c>
      <c r="D46" s="3" t="n">
        <v>3.3</v>
      </c>
      <c r="E46" s="3" t="n">
        <v>3.3</v>
      </c>
      <c r="F46" s="3" t="n">
        <v>3.2</v>
      </c>
      <c r="G46" s="3" t="n">
        <v>3.2</v>
      </c>
      <c r="H46" s="3" t="n">
        <v>3.2</v>
      </c>
      <c r="I46" s="3" t="n">
        <v>3.2</v>
      </c>
      <c r="J46" s="3" t="n">
        <v>3.2</v>
      </c>
      <c r="K46" s="3" t="n">
        <v>3.2</v>
      </c>
      <c r="L46" s="3" t="n">
        <v>3.2</v>
      </c>
    </row>
    <row r="47" customFormat="false" ht="15" hidden="false" customHeight="false" outlineLevel="0" collapsed="false">
      <c r="A47" s="0" t="s">
        <v>103</v>
      </c>
      <c r="C47" s="3" t="n">
        <v>26</v>
      </c>
      <c r="D47" s="3" t="n">
        <v>27</v>
      </c>
      <c r="E47" s="3" t="n">
        <v>28</v>
      </c>
      <c r="F47" s="3" t="n">
        <v>29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104</v>
      </c>
      <c r="B48" s="3" t="n">
        <v>9.5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13</v>
      </c>
    </row>
    <row r="51" customFormat="false" ht="15" hidden="false" customHeight="false" outlineLevel="0" collapsed="false">
      <c r="A51" s="0" t="s">
        <v>107</v>
      </c>
      <c r="B51" s="3" t="n">
        <v>8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1.5</v>
      </c>
      <c r="D5" s="4" t="n">
        <f aca="false">Assumptions!D13</f>
        <v>-6</v>
      </c>
      <c r="E5" s="4" t="n">
        <f aca="false">Assumptions!E13</f>
        <v>3</v>
      </c>
      <c r="F5" s="4" t="n">
        <f aca="false">Assumptions!F13</f>
        <v>4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2854.861</v>
      </c>
      <c r="C6" s="0" t="n">
        <f aca="false">B6*(1+C5/100)</f>
        <v>2897.683915</v>
      </c>
      <c r="D6" s="0" t="n">
        <f aca="false">C6*(1+D5/100)</f>
        <v>2723.8228801</v>
      </c>
      <c r="E6" s="0" t="n">
        <f aca="false">D6*(1+E5/100)</f>
        <v>2805.537566503</v>
      </c>
      <c r="F6" s="0" t="n">
        <f aca="false">E6*(1+F5/100)</f>
        <v>2917.75906916312</v>
      </c>
      <c r="G6" s="0" t="n">
        <f aca="false">F6*(1+G5/100)</f>
        <v>3005.29184123801</v>
      </c>
      <c r="H6" s="0" t="n">
        <f aca="false">G6*(1+H5/100)</f>
        <v>3080.42413726896</v>
      </c>
      <c r="I6" s="0" t="n">
        <f aca="false">H6*(1+I5/100)</f>
        <v>3142.03262001434</v>
      </c>
      <c r="J6" s="0" t="n">
        <f aca="false">I6*(1+J5/100)</f>
        <v>3204.87327241463</v>
      </c>
      <c r="K6" s="0" t="n">
        <f aca="false">J6*(1+K5/100)</f>
        <v>3268.97073786292</v>
      </c>
      <c r="L6" s="0" t="n">
        <f aca="false">K6*(1+L5/100)</f>
        <v>3334.35015262018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13.5</v>
      </c>
      <c r="D7" s="4" t="n">
        <f aca="false">Assumptions!D14</f>
        <v>11.5</v>
      </c>
      <c r="E7" s="4" t="n">
        <f aca="false">Assumptions!E14</f>
        <v>12.5</v>
      </c>
      <c r="F7" s="4" t="n">
        <f aca="false">Assumptions!F14</f>
        <v>13</v>
      </c>
      <c r="G7" s="4" t="n">
        <f aca="false">Assumptions!G14</f>
        <v>13</v>
      </c>
      <c r="H7" s="4" t="n">
        <f aca="false">Assumptions!H14</f>
        <v>13</v>
      </c>
      <c r="I7" s="4" t="n">
        <f aca="false">Assumptions!I14</f>
        <v>13</v>
      </c>
      <c r="J7" s="4" t="n">
        <f aca="false">Assumptions!J14</f>
        <v>13</v>
      </c>
      <c r="K7" s="4" t="n">
        <f aca="false">Assumptions!K14</f>
        <v>13</v>
      </c>
      <c r="L7" s="4" t="n">
        <f aca="false">Assumptions!L14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391.187328525</v>
      </c>
      <c r="D8" s="0" t="n">
        <f aca="false">D6*D7/100</f>
        <v>313.2396312115</v>
      </c>
      <c r="E8" s="0" t="n">
        <f aca="false">E6*E7/100</f>
        <v>350.692195812875</v>
      </c>
      <c r="F8" s="0" t="n">
        <f aca="false">F6*F7/100</f>
        <v>379.308678991206</v>
      </c>
      <c r="G8" s="0" t="n">
        <f aca="false">G6*G7/100</f>
        <v>390.687939360942</v>
      </c>
      <c r="H8" s="0" t="n">
        <f aca="false">H6*H7/100</f>
        <v>400.455137844965</v>
      </c>
      <c r="I8" s="0" t="n">
        <f aca="false">I6*I7/100</f>
        <v>408.464240601865</v>
      </c>
      <c r="J8" s="0" t="n">
        <f aca="false">J6*J7/100</f>
        <v>416.633525413902</v>
      </c>
      <c r="K8" s="0" t="n">
        <f aca="false">K6*K7/100</f>
        <v>424.96619592218</v>
      </c>
      <c r="L8" s="0" t="n">
        <f aca="false">L6*L7/100</f>
        <v>433.465519840624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0.55</v>
      </c>
      <c r="D9" s="4" t="n">
        <f aca="false">Assumptions!D15</f>
        <v>0.55</v>
      </c>
      <c r="E9" s="4" t="n">
        <f aca="false">Assumptions!E15</f>
        <v>0.55</v>
      </c>
      <c r="F9" s="4" t="n">
        <f aca="false">Assumptions!F15</f>
        <v>0.55</v>
      </c>
      <c r="G9" s="4" t="n">
        <f aca="false">Assumptions!G15</f>
        <v>0.55</v>
      </c>
      <c r="H9" s="4" t="n">
        <f aca="false">Assumptions!H15</f>
        <v>0.55</v>
      </c>
      <c r="I9" s="4" t="n">
        <f aca="false">Assumptions!I15</f>
        <v>0.55</v>
      </c>
      <c r="J9" s="4" t="n">
        <f aca="false">Assumptions!J15</f>
        <v>0.55</v>
      </c>
      <c r="K9" s="4" t="n">
        <f aca="false">Assumptions!K15</f>
        <v>0.55</v>
      </c>
      <c r="L9" s="4" t="n">
        <f aca="false">Assumptions!L15</f>
        <v>0.55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-15.9372615325</v>
      </c>
      <c r="D10" s="0" t="n">
        <f aca="false">-D6*D9/100</f>
        <v>-14.98102584055</v>
      </c>
      <c r="E10" s="0" t="n">
        <f aca="false">-E6*E9/100</f>
        <v>-15.4304566157665</v>
      </c>
      <c r="F10" s="0" t="n">
        <f aca="false">-F6*F9/100</f>
        <v>-16.0476748803972</v>
      </c>
      <c r="G10" s="0" t="n">
        <f aca="false">-G6*G9/100</f>
        <v>-16.5291051268091</v>
      </c>
      <c r="H10" s="0" t="n">
        <f aca="false">-H6*H9/100</f>
        <v>-16.9423327549793</v>
      </c>
      <c r="I10" s="0" t="n">
        <f aca="false">-I6*I9/100</f>
        <v>-17.2811794100789</v>
      </c>
      <c r="J10" s="0" t="n">
        <f aca="false">-J6*J9/100</f>
        <v>-17.6268029982805</v>
      </c>
      <c r="K10" s="0" t="n">
        <f aca="false">-K6*K9/100</f>
        <v>-17.9793390582461</v>
      </c>
      <c r="L10" s="0" t="n">
        <f aca="false">-L6*L9/100</f>
        <v>-18.338925839411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270.9334460525</v>
      </c>
      <c r="D11" s="0" t="n">
        <f aca="false">D8+D10+D24</f>
        <v>189.30569016695</v>
      </c>
      <c r="E11" s="0" t="n">
        <f aca="false">E8+E10+E24</f>
        <v>228.651311669994</v>
      </c>
      <c r="F11" s="0" t="n">
        <f aca="false">F8+F10+F24</f>
        <v>255.303918551773</v>
      </c>
      <c r="G11" s="0" t="n">
        <f aca="false">G8+G10+G24</f>
        <v>262.963036108326</v>
      </c>
      <c r="H11" s="0" t="n">
        <f aca="false">H8+H10+H24</f>
        <v>269.537112011034</v>
      </c>
      <c r="I11" s="0" t="n">
        <f aca="false">I8+I10+I24</f>
        <v>274.927854251255</v>
      </c>
      <c r="J11" s="0" t="n">
        <f aca="false">J8+J10+J24</f>
        <v>280.42641133628</v>
      </c>
      <c r="K11" s="0" t="n">
        <f aca="false">K8+K10+K24</f>
        <v>286.034939563006</v>
      </c>
      <c r="L11" s="0" t="n">
        <f aca="false">L8+L10+L24</f>
        <v>291.755638354266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-75.33978179</v>
      </c>
      <c r="D12" s="4" t="n">
        <f aca="false">-D6*Assumptions!D17/100</f>
        <v>-73.5432177627</v>
      </c>
      <c r="E12" s="4" t="n">
        <f aca="false">-E6*Assumptions!E17/100</f>
        <v>-72.943976729078</v>
      </c>
      <c r="F12" s="4" t="n">
        <f aca="false">-F6*Assumptions!F17/100</f>
        <v>-75.8617357982411</v>
      </c>
      <c r="G12" s="4" t="n">
        <f aca="false">-G6*Assumptions!G17/100</f>
        <v>-78.1375878721884</v>
      </c>
      <c r="H12" s="4" t="n">
        <f aca="false">-H6*Assumptions!H17/100</f>
        <v>-80.0910275689931</v>
      </c>
      <c r="I12" s="4" t="n">
        <f aca="false">-I6*Assumptions!I17/100</f>
        <v>-81.6928481203729</v>
      </c>
      <c r="J12" s="4" t="n">
        <f aca="false">-J6*Assumptions!J17/100</f>
        <v>-83.3267050827804</v>
      </c>
      <c r="K12" s="4" t="n">
        <f aca="false">-K6*Assumptions!K17/100</f>
        <v>-84.993239184436</v>
      </c>
      <c r="L12" s="4" t="n">
        <f aca="false">-L6*Assumptions!L17/100</f>
        <v>-86.6931039681247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195.5936642625</v>
      </c>
      <c r="D13" s="0" t="n">
        <f aca="false">D11+D12</f>
        <v>115.76247240425</v>
      </c>
      <c r="E13" s="0" t="n">
        <f aca="false">E11+E12</f>
        <v>155.707334940916</v>
      </c>
      <c r="F13" s="0" t="n">
        <f aca="false">F11+F12</f>
        <v>179.442182753532</v>
      </c>
      <c r="G13" s="0" t="n">
        <f aca="false">G11+G12</f>
        <v>184.825448236138</v>
      </c>
      <c r="H13" s="0" t="n">
        <f aca="false">H11+H12</f>
        <v>189.446084442041</v>
      </c>
      <c r="I13" s="0" t="n">
        <f aca="false">I11+I12</f>
        <v>193.235006130882</v>
      </c>
      <c r="J13" s="0" t="n">
        <f aca="false">J11+J12</f>
        <v>197.0997062535</v>
      </c>
      <c r="K13" s="0" t="n">
        <f aca="false">K11+K12</f>
        <v>201.04170037857</v>
      </c>
      <c r="L13" s="0" t="n">
        <f aca="false">L11+L12</f>
        <v>205.062534386141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26</v>
      </c>
      <c r="D14" s="4" t="n">
        <f aca="false">Assumptions!D19</f>
        <v>20</v>
      </c>
      <c r="E14" s="4" t="n">
        <f aca="false">Assumptions!E19</f>
        <v>25</v>
      </c>
      <c r="F14" s="4" t="n">
        <f aca="false">Assumptions!F19</f>
        <v>28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144.73931155425</v>
      </c>
      <c r="D15" s="0" t="n">
        <f aca="false">D13-MAX(0,D13)*D14/100</f>
        <v>92.6099779234</v>
      </c>
      <c r="E15" s="0" t="n">
        <f aca="false">E13-MAX(0,E13)*E14/100</f>
        <v>116.780501205687</v>
      </c>
      <c r="F15" s="0" t="n">
        <f aca="false">F13-MAX(0,F13)*F14/100</f>
        <v>129.198371582543</v>
      </c>
      <c r="G15" s="0" t="n">
        <f aca="false">G13-MAX(0,G13)*G14/100</f>
        <v>129.377813765296</v>
      </c>
      <c r="H15" s="0" t="n">
        <f aca="false">H13-MAX(0,H13)*H14/100</f>
        <v>132.612259109429</v>
      </c>
      <c r="I15" s="0" t="n">
        <f aca="false">I13-MAX(0,I13)*I14/100</f>
        <v>135.264504291617</v>
      </c>
      <c r="J15" s="0" t="n">
        <f aca="false">J13-MAX(0,J13)*J14/100</f>
        <v>137.96979437745</v>
      </c>
      <c r="K15" s="0" t="n">
        <f aca="false">K13-MAX(0,K13)*K14/100</f>
        <v>140.729190264999</v>
      </c>
      <c r="L15" s="0" t="n">
        <f aca="false">L13-MAX(0,L13)*L14/100</f>
        <v>143.543774070299</v>
      </c>
    </row>
    <row r="16" customFormat="false" ht="15" hidden="false" customHeight="false" outlineLevel="0" collapsed="false">
      <c r="A16" s="0" t="s">
        <v>119</v>
      </c>
      <c r="C16" s="0" t="n">
        <f aca="false">-C12</f>
        <v>75.33978179</v>
      </c>
      <c r="D16" s="0" t="n">
        <f aca="false">-D12</f>
        <v>73.5432177627</v>
      </c>
      <c r="E16" s="0" t="n">
        <f aca="false">-E12</f>
        <v>72.943976729078</v>
      </c>
      <c r="F16" s="0" t="n">
        <f aca="false">-F12</f>
        <v>75.8617357982411</v>
      </c>
      <c r="G16" s="0" t="n">
        <f aca="false">-G12</f>
        <v>78.1375878721884</v>
      </c>
      <c r="H16" s="0" t="n">
        <f aca="false">-H12</f>
        <v>80.0910275689931</v>
      </c>
      <c r="I16" s="0" t="n">
        <f aca="false">-I12</f>
        <v>81.6928481203729</v>
      </c>
      <c r="J16" s="0" t="n">
        <f aca="false">-J12</f>
        <v>83.3267050827804</v>
      </c>
      <c r="K16" s="0" t="n">
        <f aca="false">-K12</f>
        <v>84.993239184436</v>
      </c>
      <c r="L16" s="0" t="n">
        <f aca="false">-L12</f>
        <v>86.6931039681247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-98.52125311</v>
      </c>
      <c r="D17" s="4" t="n">
        <f aca="false">-D6*Assumptions!D18/100</f>
        <v>-81.714686403</v>
      </c>
      <c r="E17" s="4" t="n">
        <f aca="false">-E6*Assumptions!E18/100</f>
        <v>-89.777202128096</v>
      </c>
      <c r="F17" s="4" t="n">
        <f aca="false">-F6*Assumptions!F18/100</f>
        <v>-96.286049282383</v>
      </c>
      <c r="G17" s="4" t="n">
        <f aca="false">-G6*Assumptions!G18/100</f>
        <v>-99.1746307608545</v>
      </c>
      <c r="H17" s="4" t="n">
        <f aca="false">-H6*Assumptions!H18/100</f>
        <v>-101.653996529876</v>
      </c>
      <c r="I17" s="4" t="n">
        <f aca="false">-I6*Assumptions!I18/100</f>
        <v>-103.687076460473</v>
      </c>
      <c r="J17" s="4" t="n">
        <f aca="false">-J6*Assumptions!J18/100</f>
        <v>-105.760817989683</v>
      </c>
      <c r="K17" s="4" t="n">
        <f aca="false">-K6*Assumptions!K18/100</f>
        <v>-107.876034349476</v>
      </c>
      <c r="L17" s="4" t="n">
        <f aca="false">-L6*Assumptions!L18/100</f>
        <v>-110.033555036466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2.14114574999999</v>
      </c>
      <c r="D18" s="4" t="n">
        <f aca="false">(D6-C6)*Assumptions!$B$23/100</f>
        <v>-8.693051745</v>
      </c>
      <c r="E18" s="4" t="n">
        <f aca="false">(E6-D6)*Assumptions!$B$23/100</f>
        <v>4.08573432015001</v>
      </c>
      <c r="F18" s="4" t="n">
        <f aca="false">(F6-E6)*Assumptions!$B$23/100</f>
        <v>5.61107513300601</v>
      </c>
      <c r="G18" s="4" t="n">
        <f aca="false">(G6-F6)*Assumptions!$B$23/100</f>
        <v>4.37663860374469</v>
      </c>
      <c r="H18" s="4" t="n">
        <f aca="false">(H6-G6)*Assumptions!$B$23/100</f>
        <v>3.75661480154749</v>
      </c>
      <c r="I18" s="4" t="n">
        <f aca="false">(I6-H6)*Assumptions!$B$23/100</f>
        <v>3.08042413726896</v>
      </c>
      <c r="J18" s="4" t="n">
        <f aca="false">(J6-I6)*Assumptions!$B$23/100</f>
        <v>3.14203262001436</v>
      </c>
      <c r="K18" s="4" t="n">
        <f aca="false">(K6-J6)*Assumptions!$B$23/100</f>
        <v>3.20487327241462</v>
      </c>
      <c r="L18" s="4" t="n">
        <f aca="false">(L6-K6)*Assumptions!$B$23/100</f>
        <v>3.26897073786292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123.69898598425</v>
      </c>
      <c r="D19" s="0" t="n">
        <f aca="false">D15+D16+D17+D18</f>
        <v>75.7454575381</v>
      </c>
      <c r="E19" s="0" t="n">
        <f aca="false">E15+E16+E17+E18</f>
        <v>104.033010126819</v>
      </c>
      <c r="F19" s="0" t="n">
        <f aca="false">F15+F16+F17+F18</f>
        <v>114.385133231407</v>
      </c>
      <c r="G19" s="0" t="n">
        <f aca="false">G15+G16+G17+G18</f>
        <v>112.717409480375</v>
      </c>
      <c r="H19" s="0" t="n">
        <f aca="false">H15+H16+H17+H18</f>
        <v>114.805904950094</v>
      </c>
      <c r="I19" s="0" t="n">
        <f aca="false">I15+I16+I17+I18</f>
        <v>116.350700088786</v>
      </c>
      <c r="J19" s="0" t="n">
        <f aca="false">J15+J16+J17+J18</f>
        <v>118.677714090562</v>
      </c>
      <c r="K19" s="0" t="n">
        <f aca="false">K15+K16+K17+K18</f>
        <v>121.051268372373</v>
      </c>
      <c r="L19" s="0" t="n">
        <f aca="false">L15+L16+L17+L18</f>
        <v>123.47229373982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112.9671104879</v>
      </c>
      <c r="D21" s="0" t="n">
        <f aca="false">D19*D20</f>
        <v>63.1725423057067</v>
      </c>
      <c r="E21" s="0" t="n">
        <f aca="false">E19*E20</f>
        <v>79.2371428321427</v>
      </c>
      <c r="F21" s="0" t="n">
        <f aca="false">F19*F20</f>
        <v>79.5633582324679</v>
      </c>
      <c r="G21" s="0" t="n">
        <f aca="false">G19*G20</f>
        <v>71.6012168608382</v>
      </c>
      <c r="H21" s="0" t="n">
        <f aca="false">H19*H20</f>
        <v>66.6008100109765</v>
      </c>
      <c r="I21" s="0" t="n">
        <f aca="false">I19*I20</f>
        <v>61.6410696785385</v>
      </c>
      <c r="J21" s="0" t="n">
        <f aca="false">J19*J20</f>
        <v>57.419078604666</v>
      </c>
      <c r="K21" s="0" t="n">
        <f aca="false">K19*K20</f>
        <v>53.4862650016067</v>
      </c>
      <c r="L21" s="0" t="n">
        <f aca="false">L19*L20</f>
        <v>49.8228221932775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3.6</v>
      </c>
      <c r="D23" s="4" t="n">
        <f aca="false">Assumptions!D16</f>
        <v>4</v>
      </c>
      <c r="E23" s="4" t="n">
        <f aca="false">Assumptions!E16</f>
        <v>3.8</v>
      </c>
      <c r="F23" s="4" t="n">
        <f aca="false">Assumptions!F16</f>
        <v>3.7</v>
      </c>
      <c r="G23" s="4" t="n">
        <f aca="false">Assumptions!G16</f>
        <v>3.7</v>
      </c>
      <c r="H23" s="4" t="n">
        <f aca="false">Assumptions!H16</f>
        <v>3.7</v>
      </c>
      <c r="I23" s="4" t="n">
        <f aca="false">Assumptions!I16</f>
        <v>3.7</v>
      </c>
      <c r="J23" s="4" t="n">
        <f aca="false">Assumptions!J16</f>
        <v>3.7</v>
      </c>
      <c r="K23" s="4" t="n">
        <f aca="false">Assumptions!K16</f>
        <v>3.7</v>
      </c>
      <c r="L23" s="4" t="n">
        <f aca="false">Assumptions!L16</f>
        <v>3.7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-104.31662094</v>
      </c>
      <c r="D24" s="0" t="n">
        <f aca="false">-D6*D23/100</f>
        <v>-108.952915204</v>
      </c>
      <c r="E24" s="0" t="n">
        <f aca="false">-E6*E23/100</f>
        <v>-106.610427527114</v>
      </c>
      <c r="F24" s="0" t="n">
        <f aca="false">-F6*F23/100</f>
        <v>-107.957085559035</v>
      </c>
      <c r="G24" s="0" t="n">
        <f aca="false">-G6*G23/100</f>
        <v>-111.195798125807</v>
      </c>
      <c r="H24" s="0" t="n">
        <f aca="false">-H6*H23/100</f>
        <v>-113.975693078952</v>
      </c>
      <c r="I24" s="0" t="n">
        <f aca="false">-I6*I23/100</f>
        <v>-116.255206940531</v>
      </c>
      <c r="J24" s="0" t="n">
        <f aca="false">-J6*J23/100</f>
        <v>-118.580311079341</v>
      </c>
      <c r="K24" s="0" t="n">
        <f aca="false">-K6*K23/100</f>
        <v>-120.951917300928</v>
      </c>
      <c r="L24" s="0" t="n">
        <f aca="false">-L6*L23/100</f>
        <v>-123.370955646947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695.51141620812</v>
      </c>
    </row>
    <row r="31" customFormat="false" ht="15" hidden="false" customHeight="false" outlineLevel="0" collapsed="false">
      <c r="A31" s="0" t="s">
        <v>128</v>
      </c>
      <c r="B31" s="0" t="n">
        <f aca="false">L19</f>
        <v>123.47229373982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1679.22319486156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1605.13981861767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1605.13981861767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647.696688512607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1343.20810472073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947.130104720727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4.50370948511996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-0.564858986944932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103.319963608448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100.640227742403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5.47356298655054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968.78261242013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1.87909657069137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5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2854.861</v>
      </c>
      <c r="C6" s="0" t="n">
        <f aca="false">B6*(1+C5/100)</f>
        <v>2997.60405</v>
      </c>
      <c r="D6" s="0" t="n">
        <f aca="false">C6*(1+D5/100)</f>
        <v>3132.49623225</v>
      </c>
      <c r="E6" s="0" t="n">
        <f aca="false">D6*(1+E5/100)</f>
        <v>3257.79608154</v>
      </c>
      <c r="F6" s="0" t="n">
        <f aca="false">E6*(1+F5/100)</f>
        <v>3388.1079248016</v>
      </c>
      <c r="G6" s="0" t="n">
        <f aca="false">F6*(1+G5/100)</f>
        <v>3506.69170216966</v>
      </c>
      <c r="H6" s="0" t="n">
        <f aca="false">G6*(1+H5/100)</f>
        <v>3629.42591174559</v>
      </c>
      <c r="I6" s="0" t="n">
        <f aca="false">H6*(1+I5/100)</f>
        <v>3738.30868909796</v>
      </c>
      <c r="J6" s="0" t="n">
        <f aca="false">I6*(1+J5/100)</f>
        <v>3850.4579497709</v>
      </c>
      <c r="K6" s="0" t="n">
        <f aca="false">J6*(1+K5/100)</f>
        <v>3946.71939851517</v>
      </c>
      <c r="L6" s="0" t="n">
        <f aca="false">K6*(1+L5/100)</f>
        <v>4045.38738347805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14</v>
      </c>
      <c r="D7" s="4" t="n">
        <f aca="false">Assumptions!D28</f>
        <v>14.3</v>
      </c>
      <c r="E7" s="4" t="n">
        <f aca="false">Assumptions!E28</f>
        <v>14.6</v>
      </c>
      <c r="F7" s="4" t="n">
        <f aca="false">Assumptions!F28</f>
        <v>14.9</v>
      </c>
      <c r="G7" s="4" t="n">
        <f aca="false">Assumptions!G28</f>
        <v>15.2</v>
      </c>
      <c r="H7" s="4" t="n">
        <f aca="false">Assumptions!H28</f>
        <v>15.5</v>
      </c>
      <c r="I7" s="4" t="n">
        <f aca="false">Assumptions!I28</f>
        <v>15.5</v>
      </c>
      <c r="J7" s="4" t="n">
        <f aca="false">Assumptions!J28</f>
        <v>15.5</v>
      </c>
      <c r="K7" s="4" t="n">
        <f aca="false">Assumptions!K28</f>
        <v>15.5</v>
      </c>
      <c r="L7" s="4" t="n">
        <f aca="false">Assumptions!L28</f>
        <v>15.5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419.664567</v>
      </c>
      <c r="D8" s="0" t="n">
        <f aca="false">D6*D7/100</f>
        <v>447.94696121175</v>
      </c>
      <c r="E8" s="0" t="n">
        <f aca="false">E6*E7/100</f>
        <v>475.63822790484</v>
      </c>
      <c r="F8" s="0" t="n">
        <f aca="false">F6*F7/100</f>
        <v>504.828080795438</v>
      </c>
      <c r="G8" s="0" t="n">
        <f aca="false">G6*G7/100</f>
        <v>533.017138729788</v>
      </c>
      <c r="H8" s="0" t="n">
        <f aca="false">H6*H7/100</f>
        <v>562.561016320567</v>
      </c>
      <c r="I8" s="0" t="n">
        <f aca="false">I6*I7/100</f>
        <v>579.437846810184</v>
      </c>
      <c r="J8" s="0" t="n">
        <f aca="false">J6*J7/100</f>
        <v>596.82098221449</v>
      </c>
      <c r="K8" s="0" t="n">
        <f aca="false">K6*K7/100</f>
        <v>611.741506769852</v>
      </c>
      <c r="L8" s="0" t="n">
        <f aca="false">L6*L7/100</f>
        <v>627.035044439098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0.55</v>
      </c>
      <c r="D9" s="4" t="n">
        <f aca="false">Assumptions!D29</f>
        <v>0.55</v>
      </c>
      <c r="E9" s="4" t="n">
        <f aca="false">Assumptions!E29</f>
        <v>0.55</v>
      </c>
      <c r="F9" s="4" t="n">
        <f aca="false">Assumptions!F29</f>
        <v>0.55</v>
      </c>
      <c r="G9" s="4" t="n">
        <f aca="false">Assumptions!G29</f>
        <v>0.55</v>
      </c>
      <c r="H9" s="4" t="n">
        <f aca="false">Assumptions!H29</f>
        <v>0.55</v>
      </c>
      <c r="I9" s="4" t="n">
        <f aca="false">Assumptions!I29</f>
        <v>0.55</v>
      </c>
      <c r="J9" s="4" t="n">
        <f aca="false">Assumptions!J29</f>
        <v>0.55</v>
      </c>
      <c r="K9" s="4" t="n">
        <f aca="false">Assumptions!K29</f>
        <v>0.55</v>
      </c>
      <c r="L9" s="4" t="n">
        <f aca="false">Assumptions!L29</f>
        <v>0.55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-16.486822275</v>
      </c>
      <c r="D10" s="0" t="n">
        <f aca="false">-D6*D9/100</f>
        <v>-17.228729277375</v>
      </c>
      <c r="E10" s="0" t="n">
        <f aca="false">-E6*E9/100</f>
        <v>-17.91787844847</v>
      </c>
      <c r="F10" s="0" t="n">
        <f aca="false">-F6*F9/100</f>
        <v>-18.6345935864088</v>
      </c>
      <c r="G10" s="0" t="n">
        <f aca="false">-G6*G9/100</f>
        <v>-19.2868043619331</v>
      </c>
      <c r="H10" s="0" t="n">
        <f aca="false">-H6*H9/100</f>
        <v>-19.9618425146008</v>
      </c>
      <c r="I10" s="0" t="n">
        <f aca="false">-I6*I9/100</f>
        <v>-20.5606977900388</v>
      </c>
      <c r="J10" s="0" t="n">
        <f aca="false">-J6*J9/100</f>
        <v>-21.17751872374</v>
      </c>
      <c r="K10" s="0" t="n">
        <f aca="false">-K6*K9/100</f>
        <v>-21.7069566918334</v>
      </c>
      <c r="L10" s="0" t="n">
        <f aca="false">-L6*L9/100</f>
        <v>-22.2496306091293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298.261602975</v>
      </c>
      <c r="D11" s="0" t="n">
        <f aca="false">D8+D10+D24</f>
        <v>321.080863805625</v>
      </c>
      <c r="E11" s="0" t="n">
        <f aca="false">E8+E10+E24</f>
        <v>343.69748660247</v>
      </c>
      <c r="F11" s="0" t="n">
        <f aca="false">F8+F10+F24</f>
        <v>367.609709840974</v>
      </c>
      <c r="G11" s="0" t="n">
        <f aca="false">G8+G10+G24</f>
        <v>390.996124791917</v>
      </c>
      <c r="H11" s="0" t="n">
        <f aca="false">H8+H10+H24</f>
        <v>415.56926689487</v>
      </c>
      <c r="I11" s="0" t="n">
        <f aca="false">I8+I10+I24</f>
        <v>428.036344901716</v>
      </c>
      <c r="J11" s="0" t="n">
        <f aca="false">J8+J10+J24</f>
        <v>440.877435248768</v>
      </c>
      <c r="K11" s="0" t="n">
        <f aca="false">K8+K10+K24</f>
        <v>451.899371129987</v>
      </c>
      <c r="L11" s="0" t="n">
        <f aca="false">L8+L10+L24</f>
        <v>463.196855408237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-77.9377053</v>
      </c>
      <c r="D12" s="4" t="n">
        <f aca="false">-D6*Assumptions!D31/100</f>
        <v>-81.4449020385</v>
      </c>
      <c r="E12" s="4" t="n">
        <f aca="false">-E6*Assumptions!E31/100</f>
        <v>-84.70269812004</v>
      </c>
      <c r="F12" s="4" t="n">
        <f aca="false">-F6*Assumptions!F31/100</f>
        <v>-88.0908060448416</v>
      </c>
      <c r="G12" s="4" t="n">
        <f aca="false">-G6*Assumptions!G31/100</f>
        <v>-91.1739842564111</v>
      </c>
      <c r="H12" s="4" t="n">
        <f aca="false">-H6*Assumptions!H31/100</f>
        <v>-94.3650737053854</v>
      </c>
      <c r="I12" s="4" t="n">
        <f aca="false">-I6*Assumptions!I31/100</f>
        <v>-97.196025916547</v>
      </c>
      <c r="J12" s="4" t="n">
        <f aca="false">-J6*Assumptions!J31/100</f>
        <v>-100.111906694043</v>
      </c>
      <c r="K12" s="4" t="n">
        <f aca="false">-K6*Assumptions!K31/100</f>
        <v>-102.614704361394</v>
      </c>
      <c r="L12" s="4" t="n">
        <f aca="false">-L6*Assumptions!L31/100</f>
        <v>-105.180071970429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220.323897675</v>
      </c>
      <c r="D13" s="0" t="n">
        <f aca="false">D11+D12</f>
        <v>239.635961767125</v>
      </c>
      <c r="E13" s="0" t="n">
        <f aca="false">E11+E12</f>
        <v>258.99478848243</v>
      </c>
      <c r="F13" s="0" t="n">
        <f aca="false">F11+F12</f>
        <v>279.518903796132</v>
      </c>
      <c r="G13" s="0" t="n">
        <f aca="false">G11+G12</f>
        <v>299.822140535505</v>
      </c>
      <c r="H13" s="0" t="n">
        <f aca="false">H11+H12</f>
        <v>321.204193189485</v>
      </c>
      <c r="I13" s="0" t="n">
        <f aca="false">I11+I12</f>
        <v>330.840318985169</v>
      </c>
      <c r="J13" s="0" t="n">
        <f aca="false">J11+J12</f>
        <v>340.765528554725</v>
      </c>
      <c r="K13" s="0" t="n">
        <f aca="false">K11+K12</f>
        <v>349.284666768593</v>
      </c>
      <c r="L13" s="0" t="n">
        <f aca="false">L11+L12</f>
        <v>358.016783437807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26</v>
      </c>
      <c r="D14" s="4" t="n">
        <f aca="false">Assumptions!D33</f>
        <v>27</v>
      </c>
      <c r="E14" s="4" t="n">
        <f aca="false">Assumptions!E33</f>
        <v>28</v>
      </c>
      <c r="F14" s="4" t="n">
        <f aca="false">Assumptions!F33</f>
        <v>29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163.0396842795</v>
      </c>
      <c r="D15" s="0" t="n">
        <f aca="false">D13-MAX(0,D13)*D14/100</f>
        <v>174.934252090001</v>
      </c>
      <c r="E15" s="0" t="n">
        <f aca="false">E13-MAX(0,E13)*E14/100</f>
        <v>186.47624770735</v>
      </c>
      <c r="F15" s="0" t="n">
        <f aca="false">F13-MAX(0,F13)*F14/100</f>
        <v>198.458421695254</v>
      </c>
      <c r="G15" s="0" t="n">
        <f aca="false">G13-MAX(0,G13)*G14/100</f>
        <v>209.875498374854</v>
      </c>
      <c r="H15" s="0" t="n">
        <f aca="false">H13-MAX(0,H13)*H14/100</f>
        <v>224.84293523264</v>
      </c>
      <c r="I15" s="0" t="n">
        <f aca="false">I13-MAX(0,I13)*I14/100</f>
        <v>231.588223289619</v>
      </c>
      <c r="J15" s="0" t="n">
        <f aca="false">J13-MAX(0,J13)*J14/100</f>
        <v>238.535869988307</v>
      </c>
      <c r="K15" s="0" t="n">
        <f aca="false">K13-MAX(0,K13)*K14/100</f>
        <v>244.499266738015</v>
      </c>
      <c r="L15" s="0" t="n">
        <f aca="false">L13-MAX(0,L13)*L14/100</f>
        <v>250.611748406465</v>
      </c>
    </row>
    <row r="16" customFormat="false" ht="15" hidden="false" customHeight="false" outlineLevel="0" collapsed="false">
      <c r="A16" s="0" t="s">
        <v>119</v>
      </c>
      <c r="C16" s="0" t="n">
        <f aca="false">-C12</f>
        <v>77.9377053</v>
      </c>
      <c r="D16" s="0" t="n">
        <f aca="false">-D12</f>
        <v>81.4449020385</v>
      </c>
      <c r="E16" s="0" t="n">
        <f aca="false">-E12</f>
        <v>84.70269812004</v>
      </c>
      <c r="F16" s="0" t="n">
        <f aca="false">-F12</f>
        <v>88.0908060448416</v>
      </c>
      <c r="G16" s="0" t="n">
        <f aca="false">-G12</f>
        <v>91.1739842564111</v>
      </c>
      <c r="H16" s="0" t="n">
        <f aca="false">-H12</f>
        <v>94.3650737053854</v>
      </c>
      <c r="I16" s="0" t="n">
        <f aca="false">-I12</f>
        <v>97.196025916547</v>
      </c>
      <c r="J16" s="0" t="n">
        <f aca="false">-J12</f>
        <v>100.111906694043</v>
      </c>
      <c r="K16" s="0" t="n">
        <f aca="false">-K12</f>
        <v>102.614704361394</v>
      </c>
      <c r="L16" s="0" t="n">
        <f aca="false">-L12</f>
        <v>105.180071970429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-101.9185377</v>
      </c>
      <c r="D17" s="4" t="n">
        <f aca="false">-D6*Assumptions!D32/100</f>
        <v>-106.5048718965</v>
      </c>
      <c r="E17" s="4" t="n">
        <f aca="false">-E6*Assumptions!E32/100</f>
        <v>-107.50727069082</v>
      </c>
      <c r="F17" s="4" t="n">
        <f aca="false">-F6*Assumptions!F32/100</f>
        <v>-111.807561518453</v>
      </c>
      <c r="G17" s="4" t="n">
        <f aca="false">-G6*Assumptions!G32/100</f>
        <v>-112.214134469429</v>
      </c>
      <c r="H17" s="4" t="n">
        <f aca="false">-H6*Assumptions!H32/100</f>
        <v>-116.141629175859</v>
      </c>
      <c r="I17" s="4" t="n">
        <f aca="false">-I6*Assumptions!I32/100</f>
        <v>-119.625878051135</v>
      </c>
      <c r="J17" s="4" t="n">
        <f aca="false">-J6*Assumptions!J32/100</f>
        <v>-123.214654392669</v>
      </c>
      <c r="K17" s="4" t="n">
        <f aca="false">-K6*Assumptions!K32/100</f>
        <v>-126.295020752486</v>
      </c>
      <c r="L17" s="4" t="n">
        <f aca="false">-L6*Assumptions!L32/100</f>
        <v>-129.452396271298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7.1371525</v>
      </c>
      <c r="D18" s="4" t="n">
        <f aca="false">(D6-C6)*Assumptions!$B$37/100</f>
        <v>6.74460911249998</v>
      </c>
      <c r="E18" s="4" t="n">
        <f aca="false">(E6-D6)*Assumptions!$B$37/100</f>
        <v>6.26499246450001</v>
      </c>
      <c r="F18" s="4" t="n">
        <f aca="false">(F6-E6)*Assumptions!$B$37/100</f>
        <v>6.51559216308001</v>
      </c>
      <c r="G18" s="4" t="n">
        <f aca="false">(G6-F6)*Assumptions!$B$37/100</f>
        <v>5.92918886840278</v>
      </c>
      <c r="H18" s="4" t="n">
        <f aca="false">(H6-G6)*Assumptions!$B$37/100</f>
        <v>6.13671047879689</v>
      </c>
      <c r="I18" s="4" t="n">
        <f aca="false">(I6-H6)*Assumptions!$B$37/100</f>
        <v>5.4441388676184</v>
      </c>
      <c r="J18" s="4" t="n">
        <f aca="false">(J6-I6)*Assumptions!$B$37/100</f>
        <v>5.60746303364695</v>
      </c>
      <c r="K18" s="4" t="n">
        <f aca="false">(K6-J6)*Assumptions!$B$37/100</f>
        <v>4.8130724372136</v>
      </c>
      <c r="L18" s="4" t="n">
        <f aca="false">(L6-K6)*Assumptions!$B$37/100</f>
        <v>4.93339924814395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146.1960043795</v>
      </c>
      <c r="D19" s="0" t="n">
        <f aca="false">D15+D16+D17+D18</f>
        <v>156.618891344501</v>
      </c>
      <c r="E19" s="0" t="n">
        <f aca="false">E15+E16+E17+E18</f>
        <v>169.93666760107</v>
      </c>
      <c r="F19" s="0" t="n">
        <f aca="false">F15+F16+F17+F18</f>
        <v>181.257258384723</v>
      </c>
      <c r="G19" s="0" t="n">
        <f aca="false">G15+G16+G17+G18</f>
        <v>194.764537030239</v>
      </c>
      <c r="H19" s="0" t="n">
        <f aca="false">H15+H16+H17+H18</f>
        <v>209.203090240963</v>
      </c>
      <c r="I19" s="0" t="n">
        <f aca="false">I15+I16+I17+I18</f>
        <v>214.602510022649</v>
      </c>
      <c r="J19" s="0" t="n">
        <f aca="false">J15+J16+J17+J18</f>
        <v>221.040585323329</v>
      </c>
      <c r="K19" s="0" t="n">
        <f aca="false">K15+K16+K17+K18</f>
        <v>225.632022784137</v>
      </c>
      <c r="L19" s="0" t="n">
        <f aca="false">L15+L16+L17+L18</f>
        <v>231.272823353741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133.512332766667</v>
      </c>
      <c r="D21" s="0" t="n">
        <f aca="false">D19*D20</f>
        <v>130.621873058945</v>
      </c>
      <c r="E21" s="0" t="n">
        <f aca="false">E19*E20</f>
        <v>129.432917366418</v>
      </c>
      <c r="F21" s="0" t="n">
        <f aca="false">F19*F20</f>
        <v>126.077889439735</v>
      </c>
      <c r="G21" s="0" t="n">
        <f aca="false">G19*G20</f>
        <v>123.719822137421</v>
      </c>
      <c r="H21" s="0" t="n">
        <f aca="false">H19*H20</f>
        <v>121.362183181294</v>
      </c>
      <c r="I21" s="0" t="n">
        <f aca="false">I19*I20</f>
        <v>113.693585542682</v>
      </c>
      <c r="J21" s="0" t="n">
        <f aca="false">J19*J20</f>
        <v>106.944651241062</v>
      </c>
      <c r="K21" s="0" t="n">
        <f aca="false">K19*K20</f>
        <v>99.6950657828482</v>
      </c>
      <c r="L21" s="0" t="n">
        <f aca="false">L19*L20</f>
        <v>93.32186523052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3.5</v>
      </c>
      <c r="D23" s="4" t="n">
        <f aca="false">Assumptions!D30</f>
        <v>3.5</v>
      </c>
      <c r="E23" s="4" t="n">
        <f aca="false">Assumptions!E30</f>
        <v>3.5</v>
      </c>
      <c r="F23" s="4" t="n">
        <f aca="false">Assumptions!F30</f>
        <v>3.5</v>
      </c>
      <c r="G23" s="4" t="n">
        <f aca="false">Assumptions!G30</f>
        <v>3.5</v>
      </c>
      <c r="H23" s="4" t="n">
        <f aca="false">Assumptions!H30</f>
        <v>3.5</v>
      </c>
      <c r="I23" s="4" t="n">
        <f aca="false">Assumptions!I30</f>
        <v>3.5</v>
      </c>
      <c r="J23" s="4" t="n">
        <f aca="false">Assumptions!J30</f>
        <v>3.5</v>
      </c>
      <c r="K23" s="4" t="n">
        <f aca="false">Assumptions!K30</f>
        <v>3.5</v>
      </c>
      <c r="L23" s="4" t="n">
        <f aca="false">Assumptions!L30</f>
        <v>3.5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-104.91614175</v>
      </c>
      <c r="D24" s="0" t="n">
        <f aca="false">-D6*D23/100</f>
        <v>-109.63736812875</v>
      </c>
      <c r="E24" s="0" t="n">
        <f aca="false">-E6*E23/100</f>
        <v>-114.0228628539</v>
      </c>
      <c r="F24" s="0" t="n">
        <f aca="false">-F6*F23/100</f>
        <v>-118.583777368056</v>
      </c>
      <c r="G24" s="0" t="n">
        <f aca="false">-G6*G23/100</f>
        <v>-122.734209575938</v>
      </c>
      <c r="H24" s="0" t="n">
        <f aca="false">-H6*H23/100</f>
        <v>-127.029906911096</v>
      </c>
      <c r="I24" s="0" t="n">
        <f aca="false">-I6*I23/100</f>
        <v>-130.840804118429</v>
      </c>
      <c r="J24" s="0" t="n">
        <f aca="false">-J6*J23/100</f>
        <v>-134.766028241982</v>
      </c>
      <c r="K24" s="0" t="n">
        <f aca="false">-K6*K23/100</f>
        <v>-138.135178948031</v>
      </c>
      <c r="L24" s="0" t="n">
        <f aca="false">-L6*L23/100</f>
        <v>-141.588558421732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1178.38218574759</v>
      </c>
    </row>
    <row r="31" customFormat="false" ht="15" hidden="false" customHeight="false" outlineLevel="0" collapsed="false">
      <c r="A31" s="0" t="s">
        <v>128</v>
      </c>
      <c r="B31" s="0" t="n">
        <f aca="false">L19</f>
        <v>231.272823353741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3386.49491339406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3006.54670359863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3006.54670359863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1213.18424799676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2391.56643374435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1995.48843374435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9.48877048856087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-0.0832105808153748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119.574269116417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131.464180578689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10.6824863691843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1896.43715150067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4.73197437862107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8</v>
      </c>
      <c r="D5" s="4" t="n">
        <f aca="false">Assumptions!D41</f>
        <v>7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2854.861</v>
      </c>
      <c r="C6" s="0" t="n">
        <f aca="false">B6*(1+C5/100)</f>
        <v>3083.24988</v>
      </c>
      <c r="D6" s="0" t="n">
        <f aca="false">C6*(1+D5/100)</f>
        <v>3299.0773716</v>
      </c>
      <c r="E6" s="0" t="n">
        <f aca="false">D6*(1+E5/100)</f>
        <v>3497.022013896</v>
      </c>
      <c r="F6" s="0" t="n">
        <f aca="false">E6*(1+F5/100)</f>
        <v>3689.35822466028</v>
      </c>
      <c r="G6" s="0" t="n">
        <f aca="false">F6*(1+G5/100)</f>
        <v>3873.82613589329</v>
      </c>
      <c r="H6" s="0" t="n">
        <f aca="false">G6*(1+H5/100)</f>
        <v>4048.14831200849</v>
      </c>
      <c r="I6" s="0" t="n">
        <f aca="false">H6*(1+I5/100)</f>
        <v>4210.07424448883</v>
      </c>
      <c r="J6" s="0" t="n">
        <f aca="false">I6*(1+J5/100)</f>
        <v>4357.42684304594</v>
      </c>
      <c r="K6" s="0" t="n">
        <f aca="false">J6*(1+K5/100)</f>
        <v>4488.14964833732</v>
      </c>
      <c r="L6" s="0" t="n">
        <f aca="false">K6*(1+L5/100)</f>
        <v>4622.79413778744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14.5</v>
      </c>
      <c r="D7" s="4" t="n">
        <f aca="false">Assumptions!D42</f>
        <v>15</v>
      </c>
      <c r="E7" s="4" t="n">
        <f aca="false">Assumptions!E42</f>
        <v>15.5</v>
      </c>
      <c r="F7" s="4" t="n">
        <f aca="false">Assumptions!F42</f>
        <v>16</v>
      </c>
      <c r="G7" s="4" t="n">
        <f aca="false">Assumptions!G42</f>
        <v>16.5</v>
      </c>
      <c r="H7" s="4" t="n">
        <f aca="false">Assumptions!H42</f>
        <v>17</v>
      </c>
      <c r="I7" s="4" t="n">
        <f aca="false">Assumptions!I42</f>
        <v>17</v>
      </c>
      <c r="J7" s="4" t="n">
        <f aca="false">Assumptions!J42</f>
        <v>17</v>
      </c>
      <c r="K7" s="4" t="n">
        <f aca="false">Assumptions!K42</f>
        <v>17</v>
      </c>
      <c r="L7" s="4" t="n">
        <f aca="false">Assumptions!L42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447.0712326</v>
      </c>
      <c r="D8" s="0" t="n">
        <f aca="false">D6*D7/100</f>
        <v>494.86160574</v>
      </c>
      <c r="E8" s="0" t="n">
        <f aca="false">E6*E7/100</f>
        <v>542.03841215388</v>
      </c>
      <c r="F8" s="0" t="n">
        <f aca="false">F6*F7/100</f>
        <v>590.297315945645</v>
      </c>
      <c r="G8" s="0" t="n">
        <f aca="false">G6*G7/100</f>
        <v>639.181312422394</v>
      </c>
      <c r="H8" s="0" t="n">
        <f aca="false">H6*H7/100</f>
        <v>688.185213041444</v>
      </c>
      <c r="I8" s="0" t="n">
        <f aca="false">I6*I7/100</f>
        <v>715.712621563101</v>
      </c>
      <c r="J8" s="0" t="n">
        <f aca="false">J6*J7/100</f>
        <v>740.76256331781</v>
      </c>
      <c r="K8" s="0" t="n">
        <f aca="false">K6*K7/100</f>
        <v>762.985440217344</v>
      </c>
      <c r="L8" s="0" t="n">
        <f aca="false">L6*L7/100</f>
        <v>785.875003423865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0.55</v>
      </c>
      <c r="D9" s="4" t="n">
        <f aca="false">Assumptions!D43</f>
        <v>0.55</v>
      </c>
      <c r="E9" s="4" t="n">
        <f aca="false">Assumptions!E43</f>
        <v>0.55</v>
      </c>
      <c r="F9" s="4" t="n">
        <f aca="false">Assumptions!F43</f>
        <v>0.55</v>
      </c>
      <c r="G9" s="4" t="n">
        <f aca="false">Assumptions!G43</f>
        <v>0.55</v>
      </c>
      <c r="H9" s="4" t="n">
        <f aca="false">Assumptions!H43</f>
        <v>0.55</v>
      </c>
      <c r="I9" s="4" t="n">
        <f aca="false">Assumptions!I43</f>
        <v>0.55</v>
      </c>
      <c r="J9" s="4" t="n">
        <f aca="false">Assumptions!J43</f>
        <v>0.55</v>
      </c>
      <c r="K9" s="4" t="n">
        <f aca="false">Assumptions!K43</f>
        <v>0.55</v>
      </c>
      <c r="L9" s="4" t="n">
        <f aca="false">Assumptions!L43</f>
        <v>0.55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-16.95787434</v>
      </c>
      <c r="D10" s="0" t="n">
        <f aca="false">-D6*D9/100</f>
        <v>-18.1449255438</v>
      </c>
      <c r="E10" s="0" t="n">
        <f aca="false">-E6*E9/100</f>
        <v>-19.233621076428</v>
      </c>
      <c r="F10" s="0" t="n">
        <f aca="false">-F6*F9/100</f>
        <v>-20.2914702356315</v>
      </c>
      <c r="G10" s="0" t="n">
        <f aca="false">-G6*G9/100</f>
        <v>-21.3060437474131</v>
      </c>
      <c r="H10" s="0" t="n">
        <f aca="false">-H6*H9/100</f>
        <v>-22.2648157160467</v>
      </c>
      <c r="I10" s="0" t="n">
        <f aca="false">-I6*I9/100</f>
        <v>-23.1554083446886</v>
      </c>
      <c r="J10" s="0" t="n">
        <f aca="false">-J6*J9/100</f>
        <v>-23.9658476367527</v>
      </c>
      <c r="K10" s="0" t="n">
        <f aca="false">-K6*K9/100</f>
        <v>-24.6848230658553</v>
      </c>
      <c r="L10" s="0" t="n">
        <f aca="false">-L6*L9/100</f>
        <v>-25.4253677578309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325.28286234</v>
      </c>
      <c r="D11" s="0" t="n">
        <f aca="false">D8+D10+D24</f>
        <v>364.5480495618</v>
      </c>
      <c r="E11" s="0" t="n">
        <f aca="false">E8+E10+E24</f>
        <v>407.403064618884</v>
      </c>
      <c r="F11" s="0" t="n">
        <f aca="false">F8+F10+F24</f>
        <v>448.257024296224</v>
      </c>
      <c r="G11" s="0" t="n">
        <f aca="false">G8+G10+G24</f>
        <v>490.039006190502</v>
      </c>
      <c r="H11" s="0" t="n">
        <f aca="false">H8+H10+H24</f>
        <v>532.331503029117</v>
      </c>
      <c r="I11" s="0" t="n">
        <f aca="false">I8+I10+I24</f>
        <v>553.624763150281</v>
      </c>
      <c r="J11" s="0" t="n">
        <f aca="false">J8+J10+J24</f>
        <v>573.001629860541</v>
      </c>
      <c r="K11" s="0" t="n">
        <f aca="false">K8+K10+K24</f>
        <v>590.191678756357</v>
      </c>
      <c r="L11" s="0" t="n">
        <f aca="false">L8+L10+L24</f>
        <v>607.897429119048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-80.16449688</v>
      </c>
      <c r="D12" s="4" t="n">
        <f aca="false">-D6*Assumptions!D45/100</f>
        <v>-85.7760116616</v>
      </c>
      <c r="E12" s="4" t="n">
        <f aca="false">-E6*Assumptions!E45/100</f>
        <v>-90.922572361296</v>
      </c>
      <c r="F12" s="4" t="n">
        <f aca="false">-F6*Assumptions!F45/100</f>
        <v>-95.9233138411673</v>
      </c>
      <c r="G12" s="4" t="n">
        <f aca="false">-G6*Assumptions!G45/100</f>
        <v>-100.719479533226</v>
      </c>
      <c r="H12" s="4" t="n">
        <f aca="false">-H6*Assumptions!H45/100</f>
        <v>-105.251856112221</v>
      </c>
      <c r="I12" s="4" t="n">
        <f aca="false">-I6*Assumptions!I45/100</f>
        <v>-109.46193035671</v>
      </c>
      <c r="J12" s="4" t="n">
        <f aca="false">-J6*Assumptions!J45/100</f>
        <v>-113.293097919194</v>
      </c>
      <c r="K12" s="4" t="n">
        <f aca="false">-K6*Assumptions!K45/100</f>
        <v>-116.69189085677</v>
      </c>
      <c r="L12" s="4" t="n">
        <f aca="false">-L6*Assumptions!L45/100</f>
        <v>-120.192647582473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245.11836546</v>
      </c>
      <c r="D13" s="0" t="n">
        <f aca="false">D11+D12</f>
        <v>278.7720379002</v>
      </c>
      <c r="E13" s="0" t="n">
        <f aca="false">E11+E12</f>
        <v>316.480492257588</v>
      </c>
      <c r="F13" s="0" t="n">
        <f aca="false">F11+F12</f>
        <v>352.333710455057</v>
      </c>
      <c r="G13" s="0" t="n">
        <f aca="false">G11+G12</f>
        <v>389.319526657276</v>
      </c>
      <c r="H13" s="0" t="n">
        <f aca="false">H11+H12</f>
        <v>427.079646916896</v>
      </c>
      <c r="I13" s="0" t="n">
        <f aca="false">I11+I12</f>
        <v>444.162832793572</v>
      </c>
      <c r="J13" s="0" t="n">
        <f aca="false">J11+J12</f>
        <v>459.708531941347</v>
      </c>
      <c r="K13" s="0" t="n">
        <f aca="false">K11+K12</f>
        <v>473.499787899587</v>
      </c>
      <c r="L13" s="0" t="n">
        <f aca="false">L11+L12</f>
        <v>487.704781536575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26</v>
      </c>
      <c r="D14" s="4" t="n">
        <f aca="false">Assumptions!D47</f>
        <v>27</v>
      </c>
      <c r="E14" s="4" t="n">
        <f aca="false">Assumptions!E47</f>
        <v>28</v>
      </c>
      <c r="F14" s="4" t="n">
        <f aca="false">Assumptions!F47</f>
        <v>29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181.3875904404</v>
      </c>
      <c r="D15" s="0" t="n">
        <f aca="false">D13-MAX(0,D13)*D14/100</f>
        <v>203.503587667146</v>
      </c>
      <c r="E15" s="0" t="n">
        <f aca="false">E13-MAX(0,E13)*E14/100</f>
        <v>227.865954425463</v>
      </c>
      <c r="F15" s="0" t="n">
        <f aca="false">F13-MAX(0,F13)*F14/100</f>
        <v>250.15693442309</v>
      </c>
      <c r="G15" s="0" t="n">
        <f aca="false">G13-MAX(0,G13)*G14/100</f>
        <v>272.523668660093</v>
      </c>
      <c r="H15" s="0" t="n">
        <f aca="false">H13-MAX(0,H13)*H14/100</f>
        <v>298.955752841827</v>
      </c>
      <c r="I15" s="0" t="n">
        <f aca="false">I13-MAX(0,I13)*I14/100</f>
        <v>310.9139829555</v>
      </c>
      <c r="J15" s="0" t="n">
        <f aca="false">J13-MAX(0,J13)*J14/100</f>
        <v>321.795972358943</v>
      </c>
      <c r="K15" s="0" t="n">
        <f aca="false">K13-MAX(0,K13)*K14/100</f>
        <v>331.449851529711</v>
      </c>
      <c r="L15" s="0" t="n">
        <f aca="false">L13-MAX(0,L13)*L14/100</f>
        <v>341.393347075602</v>
      </c>
    </row>
    <row r="16" customFormat="false" ht="15" hidden="false" customHeight="false" outlineLevel="0" collapsed="false">
      <c r="A16" s="0" t="s">
        <v>119</v>
      </c>
      <c r="C16" s="0" t="n">
        <f aca="false">-C12</f>
        <v>80.16449688</v>
      </c>
      <c r="D16" s="0" t="n">
        <f aca="false">-D12</f>
        <v>85.7760116616</v>
      </c>
      <c r="E16" s="0" t="n">
        <f aca="false">-E12</f>
        <v>90.922572361296</v>
      </c>
      <c r="F16" s="0" t="n">
        <f aca="false">-F12</f>
        <v>95.9233138411673</v>
      </c>
      <c r="G16" s="0" t="n">
        <f aca="false">-G12</f>
        <v>100.719479533226</v>
      </c>
      <c r="H16" s="0" t="n">
        <f aca="false">-H12</f>
        <v>105.251856112221</v>
      </c>
      <c r="I16" s="0" t="n">
        <f aca="false">-I12</f>
        <v>109.46193035671</v>
      </c>
      <c r="J16" s="0" t="n">
        <f aca="false">-J12</f>
        <v>113.293097919194</v>
      </c>
      <c r="K16" s="0" t="n">
        <f aca="false">-K12</f>
        <v>116.69189085677</v>
      </c>
      <c r="L16" s="0" t="n">
        <f aca="false">-L12</f>
        <v>120.192647582473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-101.74724604</v>
      </c>
      <c r="D17" s="4" t="n">
        <f aca="false">-D6*Assumptions!D46/100</f>
        <v>-108.8695532628</v>
      </c>
      <c r="E17" s="4" t="n">
        <f aca="false">-E6*Assumptions!E46/100</f>
        <v>-115.401726458568</v>
      </c>
      <c r="F17" s="4" t="n">
        <f aca="false">-F6*Assumptions!F46/100</f>
        <v>-118.059463189129</v>
      </c>
      <c r="G17" s="4" t="n">
        <f aca="false">-G6*Assumptions!G46/100</f>
        <v>-123.962436348585</v>
      </c>
      <c r="H17" s="4" t="n">
        <f aca="false">-H6*Assumptions!H46/100</f>
        <v>-129.540745984272</v>
      </c>
      <c r="I17" s="4" t="n">
        <f aca="false">-I6*Assumptions!I46/100</f>
        <v>-134.722375823643</v>
      </c>
      <c r="J17" s="4" t="n">
        <f aca="false">-J6*Assumptions!J46/100</f>
        <v>-139.43765897747</v>
      </c>
      <c r="K17" s="4" t="n">
        <f aca="false">-K6*Assumptions!K46/100</f>
        <v>-143.620788746794</v>
      </c>
      <c r="L17" s="4" t="n">
        <f aca="false">-L6*Assumptions!L46/100</f>
        <v>-147.929412409198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18.2711104</v>
      </c>
      <c r="D18" s="4" t="n">
        <f aca="false">(D6-C6)*Assumptions!$B$51/100</f>
        <v>17.266199328</v>
      </c>
      <c r="E18" s="4" t="n">
        <f aca="false">(E6-D6)*Assumptions!$B$51/100</f>
        <v>15.83557138368</v>
      </c>
      <c r="F18" s="4" t="n">
        <f aca="false">(F6-E6)*Assumptions!$B$51/100</f>
        <v>15.3868968611424</v>
      </c>
      <c r="G18" s="4" t="n">
        <f aca="false">(G6-F6)*Assumptions!$B$51/100</f>
        <v>14.7574328986411</v>
      </c>
      <c r="H18" s="4" t="n">
        <f aca="false">(H6-G6)*Assumptions!$B$51/100</f>
        <v>13.9457740892158</v>
      </c>
      <c r="I18" s="4" t="n">
        <f aca="false">(I6-H6)*Assumptions!$B$51/100</f>
        <v>12.9540745984272</v>
      </c>
      <c r="J18" s="4" t="n">
        <f aca="false">(J6-I6)*Assumptions!$B$51/100</f>
        <v>11.7882078845687</v>
      </c>
      <c r="K18" s="4" t="n">
        <f aca="false">(K6-J6)*Assumptions!$B$51/100</f>
        <v>10.4578244233102</v>
      </c>
      <c r="L18" s="4" t="n">
        <f aca="false">(L6-K6)*Assumptions!$B$51/100</f>
        <v>10.7715591560096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178.0759516804</v>
      </c>
      <c r="D19" s="0" t="n">
        <f aca="false">D15+D16+D17+D18</f>
        <v>197.676245393946</v>
      </c>
      <c r="E19" s="0" t="n">
        <f aca="false">E15+E16+E17+E18</f>
        <v>219.222371711871</v>
      </c>
      <c r="F19" s="0" t="n">
        <f aca="false">F15+F16+F17+F18</f>
        <v>243.407681936271</v>
      </c>
      <c r="G19" s="0" t="n">
        <f aca="false">G15+G16+G17+G18</f>
        <v>264.038144743375</v>
      </c>
      <c r="H19" s="0" t="n">
        <f aca="false">H15+H16+H17+H18</f>
        <v>288.612637058992</v>
      </c>
      <c r="I19" s="0" t="n">
        <f aca="false">I15+I16+I17+I18</f>
        <v>298.607612086995</v>
      </c>
      <c r="J19" s="0" t="n">
        <f aca="false">J15+J16+J17+J18</f>
        <v>307.439619185236</v>
      </c>
      <c r="K19" s="0" t="n">
        <f aca="false">K15+K16+K17+K18</f>
        <v>314.978778062997</v>
      </c>
      <c r="L19" s="0" t="n">
        <f aca="false">L15+L16+L17+L18</f>
        <v>324.428141404887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162.626439890776</v>
      </c>
      <c r="D21" s="0" t="n">
        <f aca="false">D19*D20</f>
        <v>164.864156622211</v>
      </c>
      <c r="E21" s="0" t="n">
        <f aca="false">E19*E20</f>
        <v>166.971563719625</v>
      </c>
      <c r="F21" s="0" t="n">
        <f aca="false">F19*F20</f>
        <v>169.308126391312</v>
      </c>
      <c r="G21" s="0" t="n">
        <f aca="false">G19*G20</f>
        <v>167.724334230688</v>
      </c>
      <c r="H21" s="0" t="n">
        <f aca="false">H19*H20</f>
        <v>167.428978639109</v>
      </c>
      <c r="I21" s="0" t="n">
        <f aca="false">I19*I20</f>
        <v>158.198383070756</v>
      </c>
      <c r="J21" s="0" t="n">
        <f aca="false">J19*J20</f>
        <v>148.746542646709</v>
      </c>
      <c r="K21" s="0" t="n">
        <f aca="false">K19*K20</f>
        <v>139.17275398995</v>
      </c>
      <c r="L21" s="0" t="n">
        <f aca="false">L19*L20</f>
        <v>130.911357634383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3.4</v>
      </c>
      <c r="D23" s="4" t="n">
        <f aca="false">Assumptions!D44</f>
        <v>3.4</v>
      </c>
      <c r="E23" s="4" t="n">
        <f aca="false">Assumptions!E44</f>
        <v>3.3</v>
      </c>
      <c r="F23" s="4" t="n">
        <f aca="false">Assumptions!F44</f>
        <v>3.3</v>
      </c>
      <c r="G23" s="4" t="n">
        <f aca="false">Assumptions!G44</f>
        <v>3.3</v>
      </c>
      <c r="H23" s="4" t="n">
        <f aca="false">Assumptions!H44</f>
        <v>3.3</v>
      </c>
      <c r="I23" s="4" t="n">
        <f aca="false">Assumptions!I44</f>
        <v>3.3</v>
      </c>
      <c r="J23" s="4" t="n">
        <f aca="false">Assumptions!J44</f>
        <v>3.3</v>
      </c>
      <c r="K23" s="4" t="n">
        <f aca="false">Assumptions!K44</f>
        <v>3.3</v>
      </c>
      <c r="L23" s="4" t="n">
        <f aca="false">Assumptions!L44</f>
        <v>3.3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-104.83049592</v>
      </c>
      <c r="D24" s="0" t="n">
        <f aca="false">-D6*D23/100</f>
        <v>-112.1686306344</v>
      </c>
      <c r="E24" s="0" t="n">
        <f aca="false">-E6*E23/100</f>
        <v>-115.401726458568</v>
      </c>
      <c r="F24" s="0" t="n">
        <f aca="false">-F6*F23/100</f>
        <v>-121.748821413789</v>
      </c>
      <c r="G24" s="0" t="n">
        <f aca="false">-G6*G23/100</f>
        <v>-127.836262484479</v>
      </c>
      <c r="H24" s="0" t="n">
        <f aca="false">-H6*H23/100</f>
        <v>-133.58889429628</v>
      </c>
      <c r="I24" s="0" t="n">
        <f aca="false">-I6*I23/100</f>
        <v>-138.932450068131</v>
      </c>
      <c r="J24" s="0" t="n">
        <f aca="false">-J6*J23/100</f>
        <v>-143.795085820516</v>
      </c>
      <c r="K24" s="0" t="n">
        <f aca="false">-K6*K23/100</f>
        <v>-148.108938395132</v>
      </c>
      <c r="L24" s="0" t="n">
        <f aca="false">-L6*L23/100</f>
        <v>-152.552206546985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1575.95263683552</v>
      </c>
    </row>
    <row r="31" customFormat="false" ht="15" hidden="false" customHeight="false" outlineLevel="0" collapsed="false">
      <c r="A31" s="0" t="s">
        <v>128</v>
      </c>
      <c r="B31" s="0" t="n">
        <f aca="false">L19</f>
        <v>324.428141404887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4750.55492771442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4217.56583826354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4217.56583826354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1701.84764924697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3277.80028608249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2881.72228608249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13.7029114887422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0.323952800844661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130.862784536878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150.228342974089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15.0395312106204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2660.31075952008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7.07409024760844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4.50370948511996</v>
      </c>
      <c r="C4" s="0" t="n">
        <f aca="false">B4/Assumptions!$B$2-1</f>
        <v>-0.564858986944932</v>
      </c>
      <c r="D4" s="4" t="n">
        <f aca="false">Assumptions!$B$24</f>
        <v>0.25</v>
      </c>
      <c r="E4" s="4" t="n">
        <f aca="false">DCF_Bear!$B$43</f>
        <v>5.47356298655054</v>
      </c>
      <c r="F4" s="4" t="n">
        <f aca="false">DCF_Bear!$B$47</f>
        <v>1.87909657069137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9.48877048856087</v>
      </c>
      <c r="C5" s="0" t="n">
        <f aca="false">B5/Assumptions!$B$2-1</f>
        <v>-0.0832105808153748</v>
      </c>
      <c r="D5" s="4" t="n">
        <f aca="false">Assumptions!$B$38</f>
        <v>0.5</v>
      </c>
      <c r="E5" s="4" t="n">
        <f aca="false">DCF_Base!$B$43</f>
        <v>10.6824863691843</v>
      </c>
      <c r="F5" s="4" t="n">
        <f aca="false">DCF_Base!$B$47</f>
        <v>4.73197437862107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13.7029114887422</v>
      </c>
      <c r="C6" s="0" t="n">
        <f aca="false">B6/Assumptions!$B$2-1</f>
        <v>0.323952800844661</v>
      </c>
      <c r="D6" s="4" t="n">
        <f aca="false">Assumptions!$B$52</f>
        <v>0.25</v>
      </c>
      <c r="E6" s="4" t="n">
        <f aca="false">DCF_Bull!$B$43</f>
        <v>15.0395312106204</v>
      </c>
      <c r="F6" s="4" t="n">
        <f aca="false">DCF_Bull!$B$47</f>
        <v>7.07409024760844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9.29604048774599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10.4695167338849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-0.113377250630883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89.8151552468048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4.60428389388549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9.89409777627654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9.48877048856087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9.10136216064057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8.01221693764932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6.93088638259476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4.73197437862107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11.2274418017019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11.2274418017019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11.2274418017019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11.2274418017019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11.2274418017019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10.3183001176927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10.3183001176927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10.3183001176927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10.3183001176927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10.3183001176927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9.35009677061252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9.48877048856087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9.48877048856087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9.48877048856087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9.48877048856087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8.0331366308759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8.32577643439903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8.65499621336255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8.73097000850798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8.73097000850798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6.98255697423122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7.19985607151156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7.44129951293416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7.71114806511237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8.01472768631284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2026-09-22T11:35:48Z</dcterms:created>
  <dc:creator>openpyxl</dc:creator>
  <dc:description/>
  <dc:language>en-NZ</dc:language>
  <cp:lastModifiedBy/>
  <dcterms:modified xsi:type="dcterms:W3CDTF">2026-09-22T11:35:48Z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