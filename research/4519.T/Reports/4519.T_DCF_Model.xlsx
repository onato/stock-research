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<sst xmlns="http://schemas.openxmlformats.org/spreadsheetml/2006/main" count="365" uniqueCount="170">
  <si>
    <t xml:space="preserve">Ticker</t>
  </si>
  <si>
    <t xml:space="preserve">4519.T</t>
  </si>
  <si>
    <t xml:space="preserve">Company</t>
  </si>
  <si>
    <t xml:space="preserve">Chugai Pharmaceutical Co., Ltd.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</si>
  <si>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</si>
  <si>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</si>
  <si>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</si>
  <si>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</si>
  <si>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regular close (Tokyo)</t>
  </si>
  <si>
    <t xml:space="preserve">Balance sheet date</t>
  </si>
  <si>
    <t xml:space="preserve">2026-09-30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</si>
  <si>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</si>
  <si>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</si>
  <si>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</si>
  <si>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</si>
  <si>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</si>
  <si>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</si>
  <si>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</si>
  <si>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</si>
  <si>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</si>
  <si>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</si>
  <si>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2026-10-31T03:14:53Z</t>
  </si>
  <si>
    <t xml:space="preserve">Drivers file</t>
  </si>
  <si>
    <t xml:space="preserve">4519.T_Drivers.json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</si>
  <si>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</si>
  <si>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</si>
  <si>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</si>
  <si>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Chugai is valued as a going-concern antibody R&amp;D engine whose economics are a declining-then-refilling sequence of franchises rather than a steady compounder, so the explicit horizon is run through the Hemlibra cliff before capitalising a 45% margin at 18x owner FCF. Flows are IFRS, SBC-expensed (immaterial), lease-charged (treatment B) and ex interest income, with the company's own 869bn net-cash definition (cash + marketable securities, no debt, leases excluded) added in the bridge. Risk is charged in the flows and the 25/50/25 weights, not in the discount rate, which is a single JPY cost of equity of 7% across scenarios. The current price (~23x FY2026 Core EPS, ~27x year-1 owner FCF ex cash) sits above the weighted intrinsic value; the market is paying for the pipeline and Roche's commercial reach at a level the house method only reaches in the bull case.
key_risks_to_valuation: Hemlibra biosimilar timing: the base fades revenue over FY2031-33; if US exclusivity (~2029) is enforced to the ~2032 composition patents and bispecific manufacturing deters entrants, the cliff shifts right and the base is ~10% too low; if entry is on the 2029 date the bear path applies; Roche alliance: overseas revenue and royalties depend on Roche's commercial and portfolio decisions; a change in the alliance terms or a Roche buy-in/sell-down is outside the three scenarios; FX: ~56% of sales plus royalty income are USD/EUR/CHF-linked; a 10% yen appreciation is worth roughly 5-6% of revenue and more of margin, and the FY2026 guidance assumes 151/USD; Japan NHI pricing: now annual revisions; the FY2026 revision was poorly received by industry and a steeper regime would hit the domestic 44% of sales directly; Terminal multiple: the 18x cap binds in every scenario (Gordon at 7%/2% is 20.4x), so the valuation is sensitive to the cap, not to terminal growth; at 15x the base falls materially; Pipeline binary risk in both directions: NXT007, RG6640, RG6160 and Enspryng expansions are the swing factors between bear and bull; Working-capital and cash-tax timing: FY2025 showed a 29% FCF drop on receivables and a tax catch-up; the model uses a 30% cash rate and -25% capture, both of which can be off by a year</t>
  </si>
  <si>
    <t xml:space="preserve">Data sources</t>
  </si>
  <si>
    <t xml:space="preserve">price: Yahoo Finance chart API at inputs.price_as_of; 52-week range 5,974-10,700
financials: 4519.T_Metrics.csv (core_metrics, IFRS, FY2016-FY2025 annual plus quarterlies to 9M FY2026); FY2025 annual report (kessan tanshin, English) for cash-flow component lines, lease payments, ROU depreciation and diluted share count; 9M FY2026 tanshin for the 2026-09-30 balance sheet
qualitative: 4519.T_Analysis.json (2026-10-31): segment mix, Roche alliance, Actemra/Hemlibra biosimilar timeline, NHI pricing, FY2026 guidance and pipeline events</t>
  </si>
  <si>
    <t xml:space="preserve">Scenario narrative: bear</t>
  </si>
  <si>
    <t xml:space="preserve">Actemra erosion is fast, NHI cuts and a stronger yen compress both domestic and translated revenue, Hemlibra biosimilars land on the 2029-30 exclusivity expiry, and Roche's unilateral program decisions plus pipeline attrition leave no replacement of scale; revenue falls ~15% peak-to-trough over FY2030-33 and margin compresses to 38%.</t>
  </si>
  <si>
    <t xml:space="preserve">Scenario narrative: base</t>
  </si>
  <si>
    <t xml:space="preserve">Chugai remains Roche's antibody-engineering hub with a growing royalty stream but loses its two largest legacy franchises in sequence: Actemra to biosimilars from 2026 and Hemlibra from ~2030. Revenue grows ~10% in FY2026 on royalties and new launches, decelerates to low single digits through 2030, dips ~2% across the Hemlibra cliff and resumes 2-2.5% growth as NXT007, RG6640 and the TOP I 2030 launch cadence partly refill the portfolio. EBITDA margin eases from ~51% to 45% as the highest-margin income erodes while R&amp;D is maintained at ~14% of revenue. Capex normalises from the Utsunomiya peak to 4.5%.</t>
  </si>
  <si>
    <t xml:space="preserve">Scenario narrative: bull</t>
  </si>
  <si>
    <t xml:space="preserve">Royalty income compounds at 20%+ for several more years (Hemlibra, NEMLUVIO, Enspryng label expansions), NXT007 succeeds Hemlibra before the cliff, RG6640 gives Chugai a Roche-commercialised obesity product, and the yen stays weak; growth stays at 3%+ into the terminal period with margins held at 50-52% on royalty mix.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</si>
  <si>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</si>
  <si>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</si>
  <si>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</si>
  <si>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</si>
  <si>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</si>
  <si>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</si>
  <si>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</si>
  <si>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</si>
  <si>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</si>
  <si>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</si>
  <si>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</si>
  <si>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</si>
  <si>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</si>
  <si>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</si>
  <si>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</si>
  <si>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</si>
  <si>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</si>
  <si>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</si>
  <si>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</si>
  <si>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</si>
  <si>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</si>
  <si>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</si>
  <si>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</si>
  <si>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</si>
  <si>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</si>
  <si>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</si>
  <si>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</si>
  <si>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CashTaxRate</t>
  </si>
  <si>
    <t xml:space="preserve">DrugSales</t>
  </si>
  <si>
    <t xml:space="preserve">OtherRevenue</t>
  </si>
  <si>
    <t xml:space="preserve">ResearchAndDevelopment</t>
  </si>
  <si>
    <t xml:space="preserve">ShortTermInvestments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</si>
  <si>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</si>
  <si>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</si>
  <si>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</si>
  <si>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</si>
  <si>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</si>
  <si>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</si>
  <si>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</si>
  <si>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</si>
  <si>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</si>
  <si>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</si>
  <si>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</si>
  <si>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</si>
  <si>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</si>
  <si>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</si>
  <si>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</si>
  <si>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</si>
  <si>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</si>
  <si>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</si>
  <si>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</si>
  <si>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</si>
  <si>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</si>
  <si>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</si>
  <si>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</si>
  <si>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</si>
  <si>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</si>
  <si>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</si>
  <si>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</si>
  <si>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</si>
  <si>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</si>
  <si>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</si>
  <si>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</si>
  <si>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</si>
  <si>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</si>
  <si>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</si>
  <si>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</si>
  <si>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</si>
  <si>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</si>
  <si>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</si>
  <si>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</si>
  <si>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</si>
  <si>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</si>
  <si>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</si>
  <si>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</si>
  <si>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</si>
  <si>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</si>
  <si>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</si>
  <si>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</si>
  <si>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4519.T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</si>
  <si>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</si>
  <si>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</si>
  <si>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</si>
  <si>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</si>
  <si>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</si>
  <si>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</si>
  <si>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</si>
  <si>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</si>
  <si>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</si>
  <si>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</si>
  <si>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</si>
  <si>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</si>
  <si>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</si>
  <si>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</si>
  <si>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</si>
  <si>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</si>
  <si>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</si>
  <si>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</si>
  <si>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</si>
  <si>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</si>
  <si>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</si>
  <si>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</si>
  <si>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</si>
  <si>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</si>
  <si>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</si>
  <si>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</si>
  <si>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</si>
  <si>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</si>
  <si>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</si>
  <si>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</si>
  <si>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4519.T owner-FCF component DCF: base case (millions, JPY)</t>
  </si>
  <si>
    <t xml:space="preserve">4519.T owner-FCF component DCF: bull case (millions, JPY)</t>
  </si>
  <si>
    <t xml:space="preserve">4519.T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</si>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</sst>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6822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</row>
    <row r="2" customFormat="false" ht="15" hidden="false" customHeight="false" outlineLevel="0" collapsed="false">
      <c r="A2" s="0" t="s">
        <v>68</v>
      </c>
      <c r="B2" s="0" t="n">
        <v>491780</v>
      </c>
      <c r="C2" s="0" t="n">
        <v>247944</v>
      </c>
      <c r="D2" s="0" t="n">
        <v>243836</v>
      </c>
      <c r="E2" s="0" t="n">
        <v>49.6</v>
      </c>
      <c r="F2" s="0" t="n">
        <v>76884</v>
      </c>
      <c r="G2" s="0" t="n">
        <v>15.6</v>
      </c>
      <c r="H2" s="0" t="n">
        <v>93253</v>
      </c>
      <c r="I2" s="0" t="n">
        <v>53592</v>
      </c>
      <c r="J2" s="0" t="n">
        <v>10.9</v>
      </c>
      <c r="K2" s="0" t="n">
        <v>32.66</v>
      </c>
      <c r="L2" s="0" t="n">
        <v>38787</v>
      </c>
      <c r="M2" s="0" t="n">
        <v>36331</v>
      </c>
      <c r="N2" s="0" t="n">
        <v>2456</v>
      </c>
      <c r="O2" s="0" t="n">
        <v>645508</v>
      </c>
      <c r="P2" s="0" t="n">
        <v>806285</v>
      </c>
      <c r="Q2" s="0" t="n">
        <v>159788</v>
      </c>
      <c r="R2" s="0" t="n">
        <v>645</v>
      </c>
      <c r="S2" s="0" t="n">
        <v>95368</v>
      </c>
      <c r="T2" s="0" t="n">
        <v>1640.9</v>
      </c>
      <c r="U2" s="0" t="n">
        <v>433</v>
      </c>
      <c r="AA2" s="0" t="s">
        <v>17</v>
      </c>
      <c r="AB2" s="0" t="s">
        <v>14</v>
      </c>
      <c r="AC2" s="0" t="n">
        <v>34</v>
      </c>
      <c r="AD2" s="0" t="n">
        <v>472673</v>
      </c>
      <c r="AE2" s="0" t="n">
        <v>19108</v>
      </c>
      <c r="AF2" s="0" t="n">
        <v>85011</v>
      </c>
      <c r="AG2" s="0" t="n">
        <v>110176</v>
      </c>
    </row>
    <row r="3" customFormat="false" ht="15" hidden="false" customHeight="false" outlineLevel="0" collapsed="false">
      <c r="A3" s="0" t="s">
        <v>69</v>
      </c>
      <c r="B3" s="0" t="n">
        <v>534199</v>
      </c>
      <c r="C3" s="0" t="n">
        <v>254171</v>
      </c>
      <c r="D3" s="0" t="n">
        <v>280028</v>
      </c>
      <c r="E3" s="0" t="n">
        <v>52.4</v>
      </c>
      <c r="F3" s="0" t="n">
        <v>98934</v>
      </c>
      <c r="G3" s="0" t="n">
        <v>18.5</v>
      </c>
      <c r="H3" s="0" t="n">
        <v>115268</v>
      </c>
      <c r="I3" s="0" t="n">
        <v>72713</v>
      </c>
      <c r="J3" s="0" t="n">
        <v>13.6</v>
      </c>
      <c r="K3" s="0" t="n">
        <v>44.28</v>
      </c>
      <c r="L3" s="0" t="n">
        <v>107623</v>
      </c>
      <c r="M3" s="0" t="n">
        <v>44526</v>
      </c>
      <c r="N3" s="0" t="n">
        <v>63097</v>
      </c>
      <c r="O3" s="0" t="n">
        <v>691924</v>
      </c>
      <c r="P3" s="0" t="n">
        <v>852473</v>
      </c>
      <c r="Q3" s="0" t="n">
        <v>159576</v>
      </c>
      <c r="R3" s="0" t="n">
        <v>336</v>
      </c>
      <c r="S3" s="0" t="n">
        <v>139074</v>
      </c>
      <c r="T3" s="0" t="n">
        <v>1642.1</v>
      </c>
      <c r="U3" s="0" t="n">
        <v>415</v>
      </c>
      <c r="AA3" s="0" t="s">
        <v>17</v>
      </c>
      <c r="AB3" s="0" t="s">
        <v>14</v>
      </c>
      <c r="AC3" s="0" t="n">
        <v>23.3</v>
      </c>
      <c r="AD3" s="0" t="n">
        <v>499308</v>
      </c>
      <c r="AE3" s="0" t="n">
        <v>34891</v>
      </c>
      <c r="AF3" s="0" t="n">
        <v>92947</v>
      </c>
      <c r="AG3" s="0" t="n">
        <v>104018</v>
      </c>
    </row>
    <row r="4" customFormat="false" ht="15" hidden="false" customHeight="false" outlineLevel="0" collapsed="false">
      <c r="A4" s="0" t="s">
        <v>70</v>
      </c>
      <c r="B4" s="0" t="n">
        <v>579787</v>
      </c>
      <c r="C4" s="0" t="n">
        <v>262847</v>
      </c>
      <c r="D4" s="0" t="n">
        <v>316940</v>
      </c>
      <c r="E4" s="0" t="n">
        <v>54.7</v>
      </c>
      <c r="F4" s="0" t="n">
        <v>124323</v>
      </c>
      <c r="G4" s="0" t="n">
        <v>21.4</v>
      </c>
      <c r="H4" s="0" t="n">
        <v>140901</v>
      </c>
      <c r="I4" s="0" t="n">
        <v>92488</v>
      </c>
      <c r="J4" s="0" t="n">
        <v>16</v>
      </c>
      <c r="K4" s="0" t="n">
        <v>56.27</v>
      </c>
      <c r="L4" s="0" t="n">
        <v>119074</v>
      </c>
      <c r="M4" s="0" t="n">
        <v>77671</v>
      </c>
      <c r="N4" s="0" t="n">
        <v>41403</v>
      </c>
      <c r="O4" s="0" t="n">
        <v>755864</v>
      </c>
      <c r="P4" s="0" t="n">
        <v>919548</v>
      </c>
      <c r="Q4" s="0" t="n">
        <v>163019</v>
      </c>
      <c r="R4" s="0" t="n">
        <v>215</v>
      </c>
      <c r="S4" s="0" t="n">
        <v>146860</v>
      </c>
      <c r="T4" s="0" t="n">
        <v>1643.6</v>
      </c>
      <c r="U4" s="0" t="n">
        <v>282</v>
      </c>
      <c r="AA4" s="0" t="s">
        <v>17</v>
      </c>
      <c r="AB4" s="0" t="s">
        <v>14</v>
      </c>
      <c r="AC4" s="0" t="n">
        <v>26</v>
      </c>
      <c r="AD4" s="0" t="n">
        <v>527844</v>
      </c>
      <c r="AE4" s="0" t="n">
        <v>51943</v>
      </c>
      <c r="AF4" s="0" t="n">
        <v>99202</v>
      </c>
      <c r="AG4" s="0" t="n">
        <v>102533</v>
      </c>
    </row>
    <row r="5" customFormat="false" ht="15" hidden="false" customHeight="false" outlineLevel="0" collapsed="false">
      <c r="A5" s="0" t="s">
        <v>71</v>
      </c>
      <c r="B5" s="0" t="n">
        <v>686184</v>
      </c>
      <c r="C5" s="0" t="n">
        <v>266071</v>
      </c>
      <c r="D5" s="0" t="n">
        <v>420113</v>
      </c>
      <c r="E5" s="0" t="n">
        <v>61.2</v>
      </c>
      <c r="F5" s="0" t="n">
        <v>210597</v>
      </c>
      <c r="G5" s="0" t="n">
        <v>30.7</v>
      </c>
      <c r="H5" s="0" t="n">
        <v>236998</v>
      </c>
      <c r="I5" s="0" t="n">
        <v>157560</v>
      </c>
      <c r="J5" s="0" t="n">
        <v>23</v>
      </c>
      <c r="K5" s="0" t="n">
        <v>95.81</v>
      </c>
      <c r="L5" s="0" t="n">
        <v>206641</v>
      </c>
      <c r="M5" s="0" t="n">
        <v>61177</v>
      </c>
      <c r="N5" s="0" t="n">
        <v>145464</v>
      </c>
      <c r="O5" s="0" t="n">
        <v>853985</v>
      </c>
      <c r="P5" s="0" t="n">
        <v>1058915</v>
      </c>
      <c r="Q5" s="0" t="n">
        <v>204930</v>
      </c>
      <c r="R5" s="0" t="n">
        <v>0</v>
      </c>
      <c r="S5" s="0" t="n">
        <v>203941</v>
      </c>
      <c r="T5" s="0" t="n">
        <v>1644.5</v>
      </c>
      <c r="U5" s="0" t="n">
        <v>300</v>
      </c>
      <c r="AA5" s="0" t="s">
        <v>17</v>
      </c>
      <c r="AB5" s="0" t="s">
        <v>14</v>
      </c>
      <c r="AC5" s="0" t="n">
        <v>16.7</v>
      </c>
      <c r="AD5" s="0" t="n">
        <v>588896</v>
      </c>
      <c r="AE5" s="0" t="n">
        <v>97288</v>
      </c>
      <c r="AF5" s="0" t="n">
        <v>107942</v>
      </c>
      <c r="AG5" s="0" t="n">
        <v>129117</v>
      </c>
    </row>
    <row r="6" customFormat="false" ht="15" hidden="false" customHeight="false" outlineLevel="0" collapsed="false">
      <c r="A6" s="0" t="s">
        <v>72</v>
      </c>
      <c r="B6" s="0" t="n">
        <v>786946</v>
      </c>
      <c r="C6" s="0" t="n">
        <v>273465</v>
      </c>
      <c r="D6" s="0" t="n">
        <v>513481</v>
      </c>
      <c r="E6" s="0" t="n">
        <v>65.2</v>
      </c>
      <c r="F6" s="0" t="n">
        <v>301230</v>
      </c>
      <c r="G6" s="0" t="n">
        <v>38.3</v>
      </c>
      <c r="H6" s="0" t="n">
        <v>331606</v>
      </c>
      <c r="I6" s="0" t="n">
        <v>214733</v>
      </c>
      <c r="J6" s="0" t="n">
        <v>27.3</v>
      </c>
      <c r="K6" s="0" t="n">
        <v>130.53</v>
      </c>
      <c r="L6" s="0" t="n">
        <v>205035</v>
      </c>
      <c r="M6" s="0" t="n">
        <v>61389</v>
      </c>
      <c r="N6" s="0" t="n">
        <v>143646</v>
      </c>
      <c r="O6" s="0" t="n">
        <v>980003</v>
      </c>
      <c r="P6" s="0" t="n">
        <v>1235498</v>
      </c>
      <c r="Q6" s="0" t="n">
        <v>255495</v>
      </c>
      <c r="R6" s="0" t="n">
        <v>0</v>
      </c>
      <c r="S6" s="0" t="n">
        <v>212333</v>
      </c>
      <c r="T6" s="0" t="n">
        <v>1645.1</v>
      </c>
      <c r="U6" s="0" t="n">
        <v>325</v>
      </c>
      <c r="AA6" s="0" t="s">
        <v>17</v>
      </c>
      <c r="AB6" s="0" t="s">
        <v>14</v>
      </c>
      <c r="AC6" s="0" t="n">
        <v>22.4</v>
      </c>
      <c r="AD6" s="0" t="n">
        <v>633314</v>
      </c>
      <c r="AE6" s="0" t="n">
        <v>153631</v>
      </c>
      <c r="AF6" s="0" t="n">
        <v>117850</v>
      </c>
      <c r="AG6" s="0" t="n">
        <v>166287</v>
      </c>
    </row>
    <row r="7" customFormat="false" ht="15" hidden="false" customHeight="false" outlineLevel="0" collapsed="false">
      <c r="A7" s="0" t="s">
        <v>73</v>
      </c>
      <c r="B7" s="0" t="n">
        <v>999759</v>
      </c>
      <c r="C7" s="0" t="n">
        <v>338147</v>
      </c>
      <c r="D7" s="0" t="n">
        <v>661612</v>
      </c>
      <c r="E7" s="0" t="n">
        <v>66.2</v>
      </c>
      <c r="F7" s="0" t="n">
        <v>421897</v>
      </c>
      <c r="G7" s="0" t="n">
        <v>42.2</v>
      </c>
      <c r="H7" s="0" t="n">
        <v>452765</v>
      </c>
      <c r="I7" s="0" t="n">
        <v>302995</v>
      </c>
      <c r="J7" s="0" t="n">
        <v>30.3</v>
      </c>
      <c r="K7" s="0" t="n">
        <v>184.17</v>
      </c>
      <c r="L7" s="0" t="n">
        <v>279626</v>
      </c>
      <c r="M7" s="0" t="n">
        <v>72866</v>
      </c>
      <c r="N7" s="0" t="n">
        <v>206760</v>
      </c>
      <c r="O7" s="0" t="n">
        <v>1188017</v>
      </c>
      <c r="P7" s="0" t="n">
        <v>1538694</v>
      </c>
      <c r="Q7" s="0" t="n">
        <v>350677</v>
      </c>
      <c r="R7" s="0" t="n">
        <v>0</v>
      </c>
      <c r="S7" s="0" t="n">
        <v>267753</v>
      </c>
      <c r="T7" s="0" t="n">
        <v>1645.2</v>
      </c>
      <c r="U7" s="0" t="n">
        <v>322</v>
      </c>
      <c r="AA7" s="0" t="s">
        <v>17</v>
      </c>
      <c r="AB7" s="0" t="s">
        <v>14</v>
      </c>
      <c r="AC7" s="0" t="n">
        <v>24.8</v>
      </c>
      <c r="AD7" s="0" t="n">
        <v>802836</v>
      </c>
      <c r="AE7" s="0" t="n">
        <v>196922</v>
      </c>
      <c r="AF7" s="0" t="n">
        <v>137299</v>
      </c>
      <c r="AG7" s="0" t="n">
        <v>204217</v>
      </c>
    </row>
    <row r="8" customFormat="false" ht="15" hidden="false" customHeight="false" outlineLevel="0" collapsed="false">
      <c r="A8" s="0" t="s">
        <v>74</v>
      </c>
      <c r="B8" s="0" t="n">
        <v>1259946</v>
      </c>
      <c r="C8" s="0" t="n">
        <v>476251</v>
      </c>
      <c r="D8" s="0" t="n">
        <v>783695</v>
      </c>
      <c r="E8" s="0" t="n">
        <v>62.2</v>
      </c>
      <c r="F8" s="0" t="n">
        <v>533309</v>
      </c>
      <c r="G8" s="0" t="n">
        <v>42.3</v>
      </c>
      <c r="H8" s="0" t="n">
        <v>564743</v>
      </c>
      <c r="I8" s="0" t="n">
        <v>374429</v>
      </c>
      <c r="J8" s="0" t="n">
        <v>29.7</v>
      </c>
      <c r="K8" s="0" t="n">
        <v>227.57</v>
      </c>
      <c r="L8" s="0" t="n">
        <v>244112</v>
      </c>
      <c r="M8" s="0" t="n">
        <v>71239</v>
      </c>
      <c r="N8" s="0" t="n">
        <v>172873</v>
      </c>
      <c r="O8" s="0" t="n">
        <v>1424387</v>
      </c>
      <c r="P8" s="0" t="n">
        <v>1869758</v>
      </c>
      <c r="Q8" s="0" t="n">
        <v>445372</v>
      </c>
      <c r="R8" s="0" t="n">
        <v>0</v>
      </c>
      <c r="S8" s="0" t="n">
        <v>222169</v>
      </c>
      <c r="T8" s="0" t="n">
        <v>1645.3</v>
      </c>
      <c r="U8" s="0" t="n">
        <v>344</v>
      </c>
      <c r="AA8" s="0" t="s">
        <v>17</v>
      </c>
      <c r="AB8" s="0" t="s">
        <v>14</v>
      </c>
      <c r="AC8" s="0" t="n">
        <v>28.6</v>
      </c>
      <c r="AD8" s="0" t="n">
        <v>1039247</v>
      </c>
      <c r="AE8" s="0" t="n">
        <v>128784</v>
      </c>
      <c r="AF8" s="0" t="n">
        <v>149626</v>
      </c>
      <c r="AG8" s="0" t="n">
        <v>280938</v>
      </c>
    </row>
    <row r="9" customFormat="false" ht="15" hidden="false" customHeight="false" outlineLevel="0" collapsed="false">
      <c r="A9" s="0" t="s">
        <v>75</v>
      </c>
      <c r="B9" s="0" t="n">
        <v>1111367</v>
      </c>
      <c r="C9" s="0" t="n">
        <v>413306</v>
      </c>
      <c r="D9" s="0" t="n">
        <v>698061</v>
      </c>
      <c r="E9" s="0" t="n">
        <v>62.8</v>
      </c>
      <c r="F9" s="0" t="n">
        <v>439174</v>
      </c>
      <c r="G9" s="0" t="n">
        <v>39.5</v>
      </c>
      <c r="H9" s="0" t="n">
        <v>470914</v>
      </c>
      <c r="I9" s="0" t="n">
        <v>325472</v>
      </c>
      <c r="J9" s="0" t="n">
        <v>29.3</v>
      </c>
      <c r="K9" s="0" t="n">
        <v>197.8</v>
      </c>
      <c r="L9" s="0" t="n">
        <v>409925</v>
      </c>
      <c r="M9" s="0" t="n">
        <v>74258</v>
      </c>
      <c r="N9" s="0" t="n">
        <v>335667</v>
      </c>
      <c r="O9" s="0" t="n">
        <v>1625580</v>
      </c>
      <c r="P9" s="0" t="n">
        <v>1932547</v>
      </c>
      <c r="Q9" s="0" t="n">
        <v>306967</v>
      </c>
      <c r="R9" s="0" t="n">
        <v>0</v>
      </c>
      <c r="S9" s="0" t="n">
        <v>458674</v>
      </c>
      <c r="T9" s="0" t="n">
        <v>1645.5</v>
      </c>
      <c r="U9" s="0" t="n">
        <v>338</v>
      </c>
      <c r="AA9" s="0" t="s">
        <v>17</v>
      </c>
      <c r="AB9" s="0" t="s">
        <v>14</v>
      </c>
      <c r="AC9" s="0" t="n">
        <v>39.7</v>
      </c>
      <c r="AD9" s="0" t="n">
        <v>974493</v>
      </c>
      <c r="AE9" s="0" t="n">
        <v>136874</v>
      </c>
      <c r="AF9" s="0" t="n">
        <v>174868</v>
      </c>
      <c r="AG9" s="0" t="n">
        <v>280308</v>
      </c>
    </row>
    <row r="10" customFormat="false" ht="15" hidden="false" customHeight="false" outlineLevel="0" collapsed="false">
      <c r="A10" s="0" t="s">
        <v>76</v>
      </c>
      <c r="B10" s="0" t="n">
        <v>1170611</v>
      </c>
      <c r="C10" s="0" t="n">
        <v>339409</v>
      </c>
      <c r="D10" s="0" t="n">
        <v>831201</v>
      </c>
      <c r="E10" s="0" t="n">
        <v>71</v>
      </c>
      <c r="F10" s="0" t="n">
        <v>542002</v>
      </c>
      <c r="G10" s="0" t="n">
        <v>46.3</v>
      </c>
      <c r="H10" s="0" t="n">
        <v>573667</v>
      </c>
      <c r="I10" s="0" t="n">
        <v>387317</v>
      </c>
      <c r="J10" s="0" t="n">
        <v>33.1</v>
      </c>
      <c r="K10" s="0" t="n">
        <v>235.36</v>
      </c>
      <c r="L10" s="0" t="n">
        <v>447600</v>
      </c>
      <c r="M10" s="0" t="n">
        <v>54389</v>
      </c>
      <c r="N10" s="0" t="n">
        <v>393211</v>
      </c>
      <c r="O10" s="0" t="n">
        <v>1901499</v>
      </c>
      <c r="P10" s="0" t="n">
        <v>2208373</v>
      </c>
      <c r="Q10" s="0" t="n">
        <v>306873</v>
      </c>
      <c r="R10" s="0" t="n">
        <v>0</v>
      </c>
      <c r="S10" s="0" t="n">
        <v>540202</v>
      </c>
      <c r="T10" s="0" t="n">
        <v>1645.6</v>
      </c>
      <c r="U10" s="0" t="n">
        <v>383</v>
      </c>
      <c r="AA10" s="0" t="s">
        <v>17</v>
      </c>
      <c r="AB10" s="0" t="s">
        <v>14</v>
      </c>
      <c r="AC10" s="0" t="n">
        <v>18.5</v>
      </c>
      <c r="AD10" s="0" t="n">
        <v>997901</v>
      </c>
      <c r="AE10" s="0" t="n">
        <v>172710</v>
      </c>
      <c r="AF10" s="0" t="n">
        <v>181440</v>
      </c>
      <c r="AG10" s="0" t="n">
        <v>456143</v>
      </c>
    </row>
    <row r="11" customFormat="false" ht="15" hidden="false" customHeight="false" outlineLevel="0" collapsed="false">
      <c r="A11" s="0" t="s">
        <v>77</v>
      </c>
      <c r="B11" s="0" t="n">
        <v>1257941</v>
      </c>
      <c r="C11" s="0" t="n">
        <v>363690</v>
      </c>
      <c r="D11" s="0" t="n">
        <v>894251</v>
      </c>
      <c r="E11" s="0" t="n">
        <v>71.1</v>
      </c>
      <c r="F11" s="0" t="n">
        <v>598833</v>
      </c>
      <c r="G11" s="0" t="n">
        <v>47.6</v>
      </c>
      <c r="H11" s="0" t="n">
        <v>631368</v>
      </c>
      <c r="I11" s="0" t="n">
        <v>434012</v>
      </c>
      <c r="J11" s="0" t="n">
        <v>34.5</v>
      </c>
      <c r="K11" s="0" t="n">
        <v>263.72</v>
      </c>
      <c r="L11" s="0" t="n">
        <v>386280</v>
      </c>
      <c r="M11" s="0" t="n">
        <v>111607</v>
      </c>
      <c r="N11" s="0" t="n">
        <v>274673</v>
      </c>
      <c r="O11" s="0" t="n">
        <v>2025732</v>
      </c>
      <c r="P11" s="0" t="n">
        <v>2468595</v>
      </c>
      <c r="Q11" s="0" t="n">
        <v>442862</v>
      </c>
      <c r="R11" s="0" t="n">
        <v>0</v>
      </c>
      <c r="S11" s="0" t="n">
        <v>426602</v>
      </c>
      <c r="T11" s="0" t="n">
        <v>1645.7</v>
      </c>
      <c r="U11" s="0" t="n">
        <v>483</v>
      </c>
      <c r="AA11" s="0" t="s">
        <v>17</v>
      </c>
      <c r="AB11" s="0" t="s">
        <v>14</v>
      </c>
      <c r="AC11" s="0" t="n">
        <v>32</v>
      </c>
      <c r="AD11" s="0" t="n">
        <v>1077803</v>
      </c>
      <c r="AE11" s="0" t="n">
        <v>180138</v>
      </c>
      <c r="AF11" s="0" t="n">
        <v>187598</v>
      </c>
      <c r="AG11" s="0" t="n">
        <v>553094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6822</v>
      </c>
    </row>
    <row r="3" customFormat="false" ht="15" hidden="false" customHeight="false" outlineLevel="0" collapsed="false">
      <c r="A3" s="0" t="s">
        <v>81</v>
      </c>
      <c r="B3" s="3" t="n">
        <v>1645.6</v>
      </c>
    </row>
    <row r="4" customFormat="false" ht="15" hidden="false" customHeight="false" outlineLevel="0" collapsed="false">
      <c r="A4" s="0" t="s">
        <v>82</v>
      </c>
      <c r="B4" s="3" t="n">
        <v>-868995</v>
      </c>
    </row>
    <row r="5" customFormat="false" ht="15" hidden="false" customHeight="false" outlineLevel="0" collapsed="false">
      <c r="A5" s="0" t="s">
        <v>83</v>
      </c>
      <c r="B5" s="3" t="n">
        <v>0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1257941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7</v>
      </c>
      <c r="D13" s="3" t="n">
        <v>2</v>
      </c>
      <c r="E13" s="3" t="n">
        <v>1</v>
      </c>
      <c r="F13" s="3" t="n">
        <v>0</v>
      </c>
      <c r="G13" s="3" t="n">
        <v>-2</v>
      </c>
      <c r="H13" s="3" t="n">
        <v>-5</v>
      </c>
      <c r="I13" s="3" t="n">
        <v>-8</v>
      </c>
      <c r="J13" s="3" t="n">
        <v>-5</v>
      </c>
      <c r="K13" s="3" t="n">
        <v>0</v>
      </c>
      <c r="L13" s="3" t="n">
        <v>1</v>
      </c>
    </row>
    <row r="14" customFormat="false" ht="15" hidden="false" customHeight="false" outlineLevel="0" collapsed="false">
      <c r="A14" s="0" t="s">
        <v>102</v>
      </c>
      <c r="C14" s="3" t="n">
        <v>50.5</v>
      </c>
      <c r="D14" s="3" t="n">
        <v>49</v>
      </c>
      <c r="E14" s="3" t="n">
        <v>47.5</v>
      </c>
      <c r="F14" s="3" t="n">
        <v>46</v>
      </c>
      <c r="G14" s="3" t="n">
        <v>44</v>
      </c>
      <c r="H14" s="3" t="n">
        <v>42</v>
      </c>
      <c r="I14" s="3" t="n">
        <v>40</v>
      </c>
      <c r="J14" s="3" t="n">
        <v>38</v>
      </c>
      <c r="K14" s="3" t="n">
        <v>38</v>
      </c>
      <c r="L14" s="3" t="n">
        <v>38</v>
      </c>
    </row>
    <row r="15" customFormat="false" ht="15" hidden="false" customHeight="false" outlineLevel="0" collapsed="false">
      <c r="A15" s="0" t="s">
        <v>103</v>
      </c>
      <c r="C15" s="3" t="n">
        <v>0.04</v>
      </c>
      <c r="D15" s="3" t="n">
        <v>0.04</v>
      </c>
      <c r="E15" s="3" t="n">
        <v>0.04</v>
      </c>
      <c r="F15" s="3" t="n">
        <v>0.04</v>
      </c>
      <c r="G15" s="3" t="n">
        <v>0.04</v>
      </c>
      <c r="H15" s="3" t="n">
        <v>0.04</v>
      </c>
      <c r="I15" s="3" t="n">
        <v>0.04</v>
      </c>
      <c r="J15" s="3" t="n">
        <v>0.04</v>
      </c>
      <c r="K15" s="3" t="n">
        <v>0.04</v>
      </c>
      <c r="L15" s="3" t="n">
        <v>0.04</v>
      </c>
    </row>
    <row r="16" customFormat="false" ht="15" hidden="false" customHeight="false" outlineLevel="0" collapsed="false">
      <c r="A16" s="0" t="s">
        <v>104</v>
      </c>
      <c r="C16" s="3" t="n">
        <v>0.7</v>
      </c>
      <c r="D16" s="3" t="n">
        <v>0.7</v>
      </c>
      <c r="E16" s="3" t="n">
        <v>0.7</v>
      </c>
      <c r="F16" s="3" t="n">
        <v>0.7</v>
      </c>
      <c r="G16" s="3" t="n">
        <v>0.7</v>
      </c>
      <c r="H16" s="3" t="n">
        <v>0.7</v>
      </c>
      <c r="I16" s="3" t="n">
        <v>0.7</v>
      </c>
      <c r="J16" s="3" t="n">
        <v>0.7</v>
      </c>
      <c r="K16" s="3" t="n">
        <v>0.7</v>
      </c>
      <c r="L16" s="3" t="n">
        <v>0.7</v>
      </c>
    </row>
    <row r="17" customFormat="false" ht="15" hidden="false" customHeight="false" outlineLevel="0" collapsed="false">
      <c r="A17" s="0" t="s">
        <v>105</v>
      </c>
      <c r="C17" s="3" t="n">
        <v>2.1</v>
      </c>
      <c r="D17" s="3" t="n">
        <v>2.2</v>
      </c>
      <c r="E17" s="3" t="n">
        <v>2.4</v>
      </c>
      <c r="F17" s="3" t="n">
        <v>2.6</v>
      </c>
      <c r="G17" s="3" t="n">
        <v>2.8</v>
      </c>
      <c r="H17" s="3" t="n">
        <v>3</v>
      </c>
      <c r="I17" s="3" t="n">
        <v>3</v>
      </c>
      <c r="J17" s="3" t="n">
        <v>3</v>
      </c>
      <c r="K17" s="3" t="n">
        <v>3</v>
      </c>
      <c r="L17" s="3" t="n">
        <v>3</v>
      </c>
    </row>
    <row r="18" customFormat="false" ht="15" hidden="false" customHeight="false" outlineLevel="0" collapsed="false">
      <c r="A18" s="0" t="s">
        <v>106</v>
      </c>
      <c r="C18" s="3" t="n">
        <v>7</v>
      </c>
      <c r="D18" s="3" t="n">
        <v>7</v>
      </c>
      <c r="E18" s="3" t="n">
        <v>6.5</v>
      </c>
      <c r="F18" s="3" t="n">
        <v>6</v>
      </c>
      <c r="G18" s="3" t="n">
        <v>5.5</v>
      </c>
      <c r="H18" s="3" t="n">
        <v>5</v>
      </c>
      <c r="I18" s="3" t="n">
        <v>4.5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107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108</v>
      </c>
      <c r="B20" s="3" t="n">
        <v>7</v>
      </c>
    </row>
    <row r="21" customFormat="false" ht="15" hidden="false" customHeight="false" outlineLevel="0" collapsed="false">
      <c r="A21" s="0" t="s">
        <v>109</v>
      </c>
      <c r="B21" s="3" t="n">
        <v>1.5</v>
      </c>
    </row>
    <row r="22" customFormat="false" ht="15" hidden="false" customHeight="false" outlineLevel="0" collapsed="false">
      <c r="A22" s="0" t="s">
        <v>110</v>
      </c>
      <c r="B22" s="3" t="n">
        <v>18</v>
      </c>
    </row>
    <row r="23" customFormat="false" ht="15" hidden="false" customHeight="false" outlineLevel="0" collapsed="false">
      <c r="A23" s="0" t="s">
        <v>111</v>
      </c>
      <c r="B23" s="3" t="n">
        <v>-25</v>
      </c>
    </row>
    <row r="24" customFormat="false" ht="15" hidden="false" customHeight="false" outlineLevel="0" collapsed="false">
      <c r="A24" s="0" t="s">
        <v>112</v>
      </c>
      <c r="B24" s="3" t="n">
        <v>0.25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10</v>
      </c>
      <c r="D27" s="3" t="n">
        <v>5</v>
      </c>
      <c r="E27" s="3" t="n">
        <v>4</v>
      </c>
      <c r="F27" s="3" t="n">
        <v>3</v>
      </c>
      <c r="G27" s="3" t="n">
        <v>2</v>
      </c>
      <c r="H27" s="3" t="n">
        <v>0</v>
      </c>
      <c r="I27" s="3" t="n">
        <v>-2</v>
      </c>
      <c r="J27" s="3" t="n">
        <v>0</v>
      </c>
      <c r="K27" s="3" t="n">
        <v>2</v>
      </c>
      <c r="L27" s="3" t="n">
        <v>2.5</v>
      </c>
    </row>
    <row r="28" customFormat="false" ht="15" hidden="false" customHeight="false" outlineLevel="0" collapsed="false">
      <c r="A28" s="0" t="s">
        <v>102</v>
      </c>
      <c r="C28" s="3" t="n">
        <v>51.5</v>
      </c>
      <c r="D28" s="3" t="n">
        <v>51</v>
      </c>
      <c r="E28" s="3" t="n">
        <v>50.5</v>
      </c>
      <c r="F28" s="3" t="n">
        <v>50</v>
      </c>
      <c r="G28" s="3" t="n">
        <v>49</v>
      </c>
      <c r="H28" s="3" t="n">
        <v>47.5</v>
      </c>
      <c r="I28" s="3" t="n">
        <v>46</v>
      </c>
      <c r="J28" s="3" t="n">
        <v>45</v>
      </c>
      <c r="K28" s="3" t="n">
        <v>45</v>
      </c>
      <c r="L28" s="3" t="n">
        <v>45</v>
      </c>
    </row>
    <row r="29" customFormat="false" ht="15" hidden="false" customHeight="false" outlineLevel="0" collapsed="false">
      <c r="A29" s="0" t="s">
        <v>103</v>
      </c>
      <c r="C29" s="3" t="n">
        <v>0.04</v>
      </c>
      <c r="D29" s="3" t="n">
        <v>0.04</v>
      </c>
      <c r="E29" s="3" t="n">
        <v>0.04</v>
      </c>
      <c r="F29" s="3" t="n">
        <v>0.04</v>
      </c>
      <c r="G29" s="3" t="n">
        <v>0.04</v>
      </c>
      <c r="H29" s="3" t="n">
        <v>0.04</v>
      </c>
      <c r="I29" s="3" t="n">
        <v>0.04</v>
      </c>
      <c r="J29" s="3" t="n">
        <v>0.04</v>
      </c>
      <c r="K29" s="3" t="n">
        <v>0.04</v>
      </c>
      <c r="L29" s="3" t="n">
        <v>0.04</v>
      </c>
    </row>
    <row r="30" customFormat="false" ht="15" hidden="false" customHeight="false" outlineLevel="0" collapsed="false">
      <c r="A30" s="0" t="s">
        <v>104</v>
      </c>
      <c r="C30" s="3" t="n">
        <v>0.7</v>
      </c>
      <c r="D30" s="3" t="n">
        <v>0.7</v>
      </c>
      <c r="E30" s="3" t="n">
        <v>0.7</v>
      </c>
      <c r="F30" s="3" t="n">
        <v>0.7</v>
      </c>
      <c r="G30" s="3" t="n">
        <v>0.7</v>
      </c>
      <c r="H30" s="3" t="n">
        <v>0.7</v>
      </c>
      <c r="I30" s="3" t="n">
        <v>0.7</v>
      </c>
      <c r="J30" s="3" t="n">
        <v>0.7</v>
      </c>
      <c r="K30" s="3" t="n">
        <v>0.7</v>
      </c>
      <c r="L30" s="3" t="n">
        <v>0.7</v>
      </c>
    </row>
    <row r="31" customFormat="false" ht="15" hidden="false" customHeight="false" outlineLevel="0" collapsed="false">
      <c r="A31" s="0" t="s">
        <v>105</v>
      </c>
      <c r="C31" s="3" t="n">
        <v>2.1</v>
      </c>
      <c r="D31" s="3" t="n">
        <v>2.2</v>
      </c>
      <c r="E31" s="3" t="n">
        <v>2.4</v>
      </c>
      <c r="F31" s="3" t="n">
        <v>2.6</v>
      </c>
      <c r="G31" s="3" t="n">
        <v>2.8</v>
      </c>
      <c r="H31" s="3" t="n">
        <v>3</v>
      </c>
      <c r="I31" s="3" t="n">
        <v>3</v>
      </c>
      <c r="J31" s="3" t="n">
        <v>3</v>
      </c>
      <c r="K31" s="3" t="n">
        <v>3</v>
      </c>
      <c r="L31" s="3" t="n">
        <v>3</v>
      </c>
    </row>
    <row r="32" customFormat="false" ht="15" hidden="false" customHeight="false" outlineLevel="0" collapsed="false">
      <c r="A32" s="0" t="s">
        <v>106</v>
      </c>
      <c r="C32" s="3" t="n">
        <v>7</v>
      </c>
      <c r="D32" s="3" t="n">
        <v>7</v>
      </c>
      <c r="E32" s="3" t="n">
        <v>6.5</v>
      </c>
      <c r="F32" s="3" t="n">
        <v>6</v>
      </c>
      <c r="G32" s="3" t="n">
        <v>5.5</v>
      </c>
      <c r="H32" s="3" t="n">
        <v>5</v>
      </c>
      <c r="I32" s="3" t="n">
        <v>4.5</v>
      </c>
      <c r="J32" s="3" t="n">
        <v>4.5</v>
      </c>
      <c r="K32" s="3" t="n">
        <v>4.5</v>
      </c>
      <c r="L32" s="3" t="n">
        <v>4.5</v>
      </c>
    </row>
    <row r="33" customFormat="false" ht="15" hidden="false" customHeight="false" outlineLevel="0" collapsed="false">
      <c r="A33" s="0" t="s">
        <v>107</v>
      </c>
      <c r="C33" s="3" t="n">
        <v>30</v>
      </c>
      <c r="D33" s="3" t="n">
        <v>30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108</v>
      </c>
      <c r="B34" s="3" t="n">
        <v>7</v>
      </c>
    </row>
    <row r="35" customFormat="false" ht="15" hidden="false" customHeight="false" outlineLevel="0" collapsed="false">
      <c r="A35" s="0" t="s">
        <v>109</v>
      </c>
      <c r="B35" s="3" t="n">
        <v>2</v>
      </c>
    </row>
    <row r="36" customFormat="false" ht="15" hidden="false" customHeight="false" outlineLevel="0" collapsed="false">
      <c r="A36" s="0" t="s">
        <v>110</v>
      </c>
      <c r="B36" s="3" t="n">
        <v>18</v>
      </c>
    </row>
    <row r="37" customFormat="false" ht="15" hidden="false" customHeight="false" outlineLevel="0" collapsed="false">
      <c r="A37" s="0" t="s">
        <v>111</v>
      </c>
      <c r="B37" s="3" t="n">
        <v>-25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12.5</v>
      </c>
      <c r="D41" s="3" t="n">
        <v>8</v>
      </c>
      <c r="E41" s="3" t="n">
        <v>7</v>
      </c>
      <c r="F41" s="3" t="n">
        <v>6</v>
      </c>
      <c r="G41" s="3" t="n">
        <v>5</v>
      </c>
      <c r="H41" s="3" t="n">
        <v>4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102</v>
      </c>
      <c r="C42" s="3" t="n">
        <v>52</v>
      </c>
      <c r="D42" s="3" t="n">
        <v>52</v>
      </c>
      <c r="E42" s="3" t="n">
        <v>52</v>
      </c>
      <c r="F42" s="3" t="n">
        <v>52</v>
      </c>
      <c r="G42" s="3" t="n">
        <v>51.5</v>
      </c>
      <c r="H42" s="3" t="n">
        <v>51</v>
      </c>
      <c r="I42" s="3" t="n">
        <v>50.5</v>
      </c>
      <c r="J42" s="3" t="n">
        <v>50</v>
      </c>
      <c r="K42" s="3" t="n">
        <v>50</v>
      </c>
      <c r="L42" s="3" t="n">
        <v>50</v>
      </c>
    </row>
    <row r="43" customFormat="false" ht="15" hidden="false" customHeight="false" outlineLevel="0" collapsed="false">
      <c r="A43" s="0" t="s">
        <v>103</v>
      </c>
      <c r="C43" s="3" t="n">
        <v>0.04</v>
      </c>
      <c r="D43" s="3" t="n">
        <v>0.04</v>
      </c>
      <c r="E43" s="3" t="n">
        <v>0.04</v>
      </c>
      <c r="F43" s="3" t="n">
        <v>0.04</v>
      </c>
      <c r="G43" s="3" t="n">
        <v>0.04</v>
      </c>
      <c r="H43" s="3" t="n">
        <v>0.04</v>
      </c>
      <c r="I43" s="3" t="n">
        <v>0.04</v>
      </c>
      <c r="J43" s="3" t="n">
        <v>0.04</v>
      </c>
      <c r="K43" s="3" t="n">
        <v>0.04</v>
      </c>
      <c r="L43" s="3" t="n">
        <v>0.04</v>
      </c>
    </row>
    <row r="44" customFormat="false" ht="15" hidden="false" customHeight="false" outlineLevel="0" collapsed="false">
      <c r="A44" s="0" t="s">
        <v>104</v>
      </c>
      <c r="C44" s="3" t="n">
        <v>0.7</v>
      </c>
      <c r="D44" s="3" t="n">
        <v>0.7</v>
      </c>
      <c r="E44" s="3" t="n">
        <v>0.7</v>
      </c>
      <c r="F44" s="3" t="n">
        <v>0.7</v>
      </c>
      <c r="G44" s="3" t="n">
        <v>0.7</v>
      </c>
      <c r="H44" s="3" t="n">
        <v>0.7</v>
      </c>
      <c r="I44" s="3" t="n">
        <v>0.7</v>
      </c>
      <c r="J44" s="3" t="n">
        <v>0.7</v>
      </c>
      <c r="K44" s="3" t="n">
        <v>0.7</v>
      </c>
      <c r="L44" s="3" t="n">
        <v>0.7</v>
      </c>
    </row>
    <row r="45" customFormat="false" ht="15" hidden="false" customHeight="false" outlineLevel="0" collapsed="false">
      <c r="A45" s="0" t="s">
        <v>105</v>
      </c>
      <c r="C45" s="3" t="n">
        <v>2.1</v>
      </c>
      <c r="D45" s="3" t="n">
        <v>2.2</v>
      </c>
      <c r="E45" s="3" t="n">
        <v>2.4</v>
      </c>
      <c r="F45" s="3" t="n">
        <v>2.6</v>
      </c>
      <c r="G45" s="3" t="n">
        <v>2.8</v>
      </c>
      <c r="H45" s="3" t="n">
        <v>3</v>
      </c>
      <c r="I45" s="3" t="n">
        <v>3</v>
      </c>
      <c r="J45" s="3" t="n">
        <v>3</v>
      </c>
      <c r="K45" s="3" t="n">
        <v>3</v>
      </c>
      <c r="L45" s="3" t="n">
        <v>3</v>
      </c>
    </row>
    <row r="46" customFormat="false" ht="15" hidden="false" customHeight="false" outlineLevel="0" collapsed="false">
      <c r="A46" s="0" t="s">
        <v>106</v>
      </c>
      <c r="C46" s="3" t="n">
        <v>7</v>
      </c>
      <c r="D46" s="3" t="n">
        <v>6.5</v>
      </c>
      <c r="E46" s="3" t="n">
        <v>6</v>
      </c>
      <c r="F46" s="3" t="n">
        <v>5.5</v>
      </c>
      <c r="G46" s="3" t="n">
        <v>5</v>
      </c>
      <c r="H46" s="3" t="n">
        <v>5</v>
      </c>
      <c r="I46" s="3" t="n">
        <v>4.5</v>
      </c>
      <c r="J46" s="3" t="n">
        <v>4.5</v>
      </c>
      <c r="K46" s="3" t="n">
        <v>4.5</v>
      </c>
      <c r="L46" s="3" t="n">
        <v>4.5</v>
      </c>
    </row>
    <row r="47" customFormat="false" ht="15" hidden="false" customHeight="false" outlineLevel="0" collapsed="false">
      <c r="A47" s="0" t="s">
        <v>107</v>
      </c>
      <c r="C47" s="3" t="n">
        <v>30</v>
      </c>
      <c r="D47" s="3" t="n">
        <v>30</v>
      </c>
      <c r="E47" s="3" t="n">
        <v>30</v>
      </c>
      <c r="F47" s="3" t="n">
        <v>30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108</v>
      </c>
      <c r="B48" s="3" t="n">
        <v>7</v>
      </c>
    </row>
    <row r="49" customFormat="false" ht="15" hidden="false" customHeight="false" outlineLevel="0" collapsed="false">
      <c r="A49" s="0" t="s">
        <v>109</v>
      </c>
      <c r="B49" s="3" t="n">
        <v>2.5</v>
      </c>
    </row>
    <row r="50" customFormat="false" ht="15" hidden="false" customHeight="false" outlineLevel="0" collapsed="false">
      <c r="A50" s="0" t="s">
        <v>110</v>
      </c>
      <c r="B50" s="3" t="n">
        <v>18</v>
      </c>
    </row>
    <row r="51" customFormat="false" ht="15" hidden="false" customHeight="false" outlineLevel="0" collapsed="false">
      <c r="A51" s="0" t="s">
        <v>111</v>
      </c>
      <c r="B51" s="3" t="n">
        <v>-25</v>
      </c>
    </row>
    <row r="52" customFormat="false" ht="15" hidden="false" customHeight="false" outlineLevel="0" collapsed="false">
      <c r="A52" s="0" t="s">
        <v>112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7</v>
      </c>
      <c r="D5" s="4" t="n">
        <f aca="false">Assumptions!D13</f>
        <v>2</v>
      </c>
      <c r="E5" s="4" t="n">
        <f aca="false">Assumptions!E13</f>
        <v>1</v>
      </c>
      <c r="F5" s="4" t="n">
        <f aca="false">Assumptions!F13</f>
        <v>0</v>
      </c>
      <c r="G5" s="4" t="n">
        <f aca="false">Assumptions!G13</f>
        <v>-2</v>
      </c>
      <c r="H5" s="4" t="n">
        <f aca="false">Assumptions!H13</f>
        <v>-5</v>
      </c>
      <c r="I5" s="4" t="n">
        <f aca="false">Assumptions!I13</f>
        <v>-8</v>
      </c>
      <c r="J5" s="4" t="n">
        <f aca="false">Assumptions!J13</f>
        <v>-5</v>
      </c>
      <c r="K5" s="4" t="n">
        <f aca="false">Assumptions!K13</f>
        <v>0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1257941</v>
      </c>
      <c r="C6" s="0" t="n">
        <f aca="false">B6*(1+C5/100)</f>
        <v>1345996.87</v>
      </c>
      <c r="D6" s="0" t="n">
        <f aca="false">C6*(1+D5/100)</f>
        <v>1372916.8074</v>
      </c>
      <c r="E6" s="0" t="n">
        <f aca="false">D6*(1+E5/100)</f>
        <v>1386645.975474</v>
      </c>
      <c r="F6" s="0" t="n">
        <f aca="false">E6*(1+F5/100)</f>
        <v>1386645.975474</v>
      </c>
      <c r="G6" s="0" t="n">
        <f aca="false">F6*(1+G5/100)</f>
        <v>1358913.05596452</v>
      </c>
      <c r="H6" s="0" t="n">
        <f aca="false">G6*(1+H5/100)</f>
        <v>1290967.40316629</v>
      </c>
      <c r="I6" s="0" t="n">
        <f aca="false">H6*(1+I5/100)</f>
        <v>1187690.01091299</v>
      </c>
      <c r="J6" s="0" t="n">
        <f aca="false">I6*(1+J5/100)</f>
        <v>1128305.51036734</v>
      </c>
      <c r="K6" s="0" t="n">
        <f aca="false">J6*(1+K5/100)</f>
        <v>1128305.51036734</v>
      </c>
      <c r="L6" s="0" t="n">
        <f aca="false">K6*(1+L5/100)</f>
        <v>1139588.56547101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50.5</v>
      </c>
      <c r="D7" s="4" t="n">
        <f aca="false">Assumptions!D14</f>
        <v>49</v>
      </c>
      <c r="E7" s="4" t="n">
        <f aca="false">Assumptions!E14</f>
        <v>47.5</v>
      </c>
      <c r="F7" s="4" t="n">
        <f aca="false">Assumptions!F14</f>
        <v>46</v>
      </c>
      <c r="G7" s="4" t="n">
        <f aca="false">Assumptions!G14</f>
        <v>44</v>
      </c>
      <c r="H7" s="4" t="n">
        <f aca="false">Assumptions!H14</f>
        <v>42</v>
      </c>
      <c r="I7" s="4" t="n">
        <f aca="false">Assumptions!I14</f>
        <v>40</v>
      </c>
      <c r="J7" s="4" t="n">
        <f aca="false">Assumptions!J14</f>
        <v>38</v>
      </c>
      <c r="K7" s="4" t="n">
        <f aca="false">Assumptions!K14</f>
        <v>38</v>
      </c>
      <c r="L7" s="4" t="n">
        <f aca="false">Assumptions!L14</f>
        <v>38</v>
      </c>
    </row>
    <row r="8" customFormat="false" ht="15" hidden="false" customHeight="false" outlineLevel="0" collapsed="false">
      <c r="A8" s="0" t="s">
        <v>43</v>
      </c>
      <c r="C8" s="0" t="n">
        <f aca="false">C6*C7/100</f>
        <v>679728.41935</v>
      </c>
      <c r="D8" s="0" t="n">
        <f aca="false">D6*D7/100</f>
        <v>672729.235626</v>
      </c>
      <c r="E8" s="0" t="n">
        <f aca="false">E6*E7/100</f>
        <v>658656.83835015</v>
      </c>
      <c r="F8" s="0" t="n">
        <f aca="false">F6*F7/100</f>
        <v>637857.14871804</v>
      </c>
      <c r="G8" s="0" t="n">
        <f aca="false">G6*G7/100</f>
        <v>597921.744624389</v>
      </c>
      <c r="H8" s="0" t="n">
        <f aca="false">H6*H7/100</f>
        <v>542206.309329844</v>
      </c>
      <c r="I8" s="0" t="n">
        <f aca="false">I6*I7/100</f>
        <v>475076.004365196</v>
      </c>
      <c r="J8" s="0" t="n">
        <f aca="false">J6*J7/100</f>
        <v>428756.09393959</v>
      </c>
      <c r="K8" s="0" t="n">
        <f aca="false">K6*K7/100</f>
        <v>428756.09393959</v>
      </c>
      <c r="L8" s="0" t="n">
        <f aca="false">L6*L7/100</f>
        <v>433043.654878985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0.04</v>
      </c>
      <c r="D9" s="4" t="n">
        <f aca="false">Assumptions!D15</f>
        <v>0.04</v>
      </c>
      <c r="E9" s="4" t="n">
        <f aca="false">Assumptions!E15</f>
        <v>0.04</v>
      </c>
      <c r="F9" s="4" t="n">
        <f aca="false">Assumptions!F15</f>
        <v>0.04</v>
      </c>
      <c r="G9" s="4" t="n">
        <f aca="false">Assumptions!G15</f>
        <v>0.04</v>
      </c>
      <c r="H9" s="4" t="n">
        <f aca="false">Assumptions!H15</f>
        <v>0.04</v>
      </c>
      <c r="I9" s="4" t="n">
        <f aca="false">Assumptions!I15</f>
        <v>0.04</v>
      </c>
      <c r="J9" s="4" t="n">
        <f aca="false">Assumptions!J15</f>
        <v>0.04</v>
      </c>
      <c r="K9" s="4" t="n">
        <f aca="false">Assumptions!K15</f>
        <v>0.04</v>
      </c>
      <c r="L9" s="4" t="n">
        <f aca="false">Assumptions!L15</f>
        <v>0.04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-538.398748</v>
      </c>
      <c r="D10" s="0" t="n">
        <f aca="false">-D6*D9/100</f>
        <v>-549.16672296</v>
      </c>
      <c r="E10" s="0" t="n">
        <f aca="false">-E6*E9/100</f>
        <v>-554.6583901896</v>
      </c>
      <c r="F10" s="0" t="n">
        <f aca="false">-F6*F9/100</f>
        <v>-554.6583901896</v>
      </c>
      <c r="G10" s="0" t="n">
        <f aca="false">-G6*G9/100</f>
        <v>-543.565222385808</v>
      </c>
      <c r="H10" s="0" t="n">
        <f aca="false">-H6*H9/100</f>
        <v>-516.386961266518</v>
      </c>
      <c r="I10" s="0" t="n">
        <f aca="false">-I6*I9/100</f>
        <v>-475.076004365196</v>
      </c>
      <c r="J10" s="0" t="n">
        <f aca="false">-J6*J9/100</f>
        <v>-451.322204146936</v>
      </c>
      <c r="K10" s="0" t="n">
        <f aca="false">-K6*K9/100</f>
        <v>-451.322204146936</v>
      </c>
      <c r="L10" s="0" t="n">
        <f aca="false">-L6*L9/100</f>
        <v>-455.835426188406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669768.042512</v>
      </c>
      <c r="D11" s="0" t="n">
        <f aca="false">D8+D10+D24</f>
        <v>662569.65125124</v>
      </c>
      <c r="E11" s="0" t="n">
        <f aca="false">E8+E10+E24</f>
        <v>648395.658131642</v>
      </c>
      <c r="F11" s="0" t="n">
        <f aca="false">F8+F10+F24</f>
        <v>627595.968499532</v>
      </c>
      <c r="G11" s="0" t="n">
        <f aca="false">G8+G10+G24</f>
        <v>587865.788010252</v>
      </c>
      <c r="H11" s="0" t="n">
        <f aca="false">H8+H10+H24</f>
        <v>532653.150546413</v>
      </c>
      <c r="I11" s="0" t="n">
        <f aca="false">I8+I10+I24</f>
        <v>466287.09828444</v>
      </c>
      <c r="J11" s="0" t="n">
        <f aca="false">J8+J10+J24</f>
        <v>420406.633162871</v>
      </c>
      <c r="K11" s="0" t="n">
        <f aca="false">K8+K10+K24</f>
        <v>420406.633162871</v>
      </c>
      <c r="L11" s="0" t="n">
        <f aca="false">L8+L10+L24</f>
        <v>424610.6994945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-28265.93427</v>
      </c>
      <c r="D12" s="4" t="n">
        <f aca="false">-D6*Assumptions!D17/100</f>
        <v>-30204.1697628</v>
      </c>
      <c r="E12" s="4" t="n">
        <f aca="false">-E6*Assumptions!E17/100</f>
        <v>-33279.503411376</v>
      </c>
      <c r="F12" s="4" t="n">
        <f aca="false">-F6*Assumptions!F17/100</f>
        <v>-36052.795362324</v>
      </c>
      <c r="G12" s="4" t="n">
        <f aca="false">-G6*Assumptions!G17/100</f>
        <v>-38049.5655670066</v>
      </c>
      <c r="H12" s="4" t="n">
        <f aca="false">-H6*Assumptions!H17/100</f>
        <v>-38729.0220949888</v>
      </c>
      <c r="I12" s="4" t="n">
        <f aca="false">-I6*Assumptions!I17/100</f>
        <v>-35630.7003273897</v>
      </c>
      <c r="J12" s="4" t="n">
        <f aca="false">-J6*Assumptions!J17/100</f>
        <v>-33849.1653110202</v>
      </c>
      <c r="K12" s="4" t="n">
        <f aca="false">-K6*Assumptions!K17/100</f>
        <v>-33849.1653110202</v>
      </c>
      <c r="L12" s="4" t="n">
        <f aca="false">-L6*Assumptions!L17/100</f>
        <v>-34187.6569641304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641502.108242</v>
      </c>
      <c r="D13" s="0" t="n">
        <f aca="false">D11+D12</f>
        <v>632365.48148844</v>
      </c>
      <c r="E13" s="0" t="n">
        <f aca="false">E11+E12</f>
        <v>615116.154720266</v>
      </c>
      <c r="F13" s="0" t="n">
        <f aca="false">F11+F12</f>
        <v>591543.173137208</v>
      </c>
      <c r="G13" s="0" t="n">
        <f aca="false">G11+G12</f>
        <v>549816.222443245</v>
      </c>
      <c r="H13" s="0" t="n">
        <f aca="false">H11+H12</f>
        <v>493924.128451424</v>
      </c>
      <c r="I13" s="0" t="n">
        <f aca="false">I11+I12</f>
        <v>430656.39795705</v>
      </c>
      <c r="J13" s="0" t="n">
        <f aca="false">J11+J12</f>
        <v>386557.467851851</v>
      </c>
      <c r="K13" s="0" t="n">
        <f aca="false">K11+K12</f>
        <v>386557.467851851</v>
      </c>
      <c r="L13" s="0" t="n">
        <f aca="false">L11+L12</f>
        <v>390423.04253037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449051.4757694</v>
      </c>
      <c r="D15" s="0" t="n">
        <f aca="false">D13-MAX(0,D13)*D14/100</f>
        <v>442655.837041908</v>
      </c>
      <c r="E15" s="0" t="n">
        <f aca="false">E13-MAX(0,E13)*E14/100</f>
        <v>430581.308304186</v>
      </c>
      <c r="F15" s="0" t="n">
        <f aca="false">F13-MAX(0,F13)*F14/100</f>
        <v>414080.221196046</v>
      </c>
      <c r="G15" s="0" t="n">
        <f aca="false">G13-MAX(0,G13)*G14/100</f>
        <v>384871.355710271</v>
      </c>
      <c r="H15" s="0" t="n">
        <f aca="false">H13-MAX(0,H13)*H14/100</f>
        <v>345746.889915997</v>
      </c>
      <c r="I15" s="0" t="n">
        <f aca="false">I13-MAX(0,I13)*I14/100</f>
        <v>301459.478569935</v>
      </c>
      <c r="J15" s="0" t="n">
        <f aca="false">J13-MAX(0,J13)*J14/100</f>
        <v>270590.227496296</v>
      </c>
      <c r="K15" s="0" t="n">
        <f aca="false">K13-MAX(0,K13)*K14/100</f>
        <v>270590.227496296</v>
      </c>
      <c r="L15" s="0" t="n">
        <f aca="false">L13-MAX(0,L13)*L14/100</f>
        <v>273296.129771259</v>
      </c>
    </row>
    <row r="16" customFormat="false" ht="15" hidden="false" customHeight="false" outlineLevel="0" collapsed="false">
      <c r="A16" s="0" t="s">
        <v>123</v>
      </c>
      <c r="C16" s="0" t="n">
        <f aca="false">-C12</f>
        <v>28265.93427</v>
      </c>
      <c r="D16" s="0" t="n">
        <f aca="false">-D12</f>
        <v>30204.1697628</v>
      </c>
      <c r="E16" s="0" t="n">
        <f aca="false">-E12</f>
        <v>33279.503411376</v>
      </c>
      <c r="F16" s="0" t="n">
        <f aca="false">-F12</f>
        <v>36052.795362324</v>
      </c>
      <c r="G16" s="0" t="n">
        <f aca="false">-G12</f>
        <v>38049.5655670066</v>
      </c>
      <c r="H16" s="0" t="n">
        <f aca="false">-H12</f>
        <v>38729.0220949888</v>
      </c>
      <c r="I16" s="0" t="n">
        <f aca="false">-I12</f>
        <v>35630.7003273897</v>
      </c>
      <c r="J16" s="0" t="n">
        <f aca="false">-J12</f>
        <v>33849.1653110202</v>
      </c>
      <c r="K16" s="0" t="n">
        <f aca="false">-K12</f>
        <v>33849.1653110202</v>
      </c>
      <c r="L16" s="0" t="n">
        <f aca="false">-L12</f>
        <v>34187.6569641304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-94219.7809</v>
      </c>
      <c r="D17" s="4" t="n">
        <f aca="false">-D6*Assumptions!D18/100</f>
        <v>-96104.176518</v>
      </c>
      <c r="E17" s="4" t="n">
        <f aca="false">-E6*Assumptions!E18/100</f>
        <v>-90131.98840581</v>
      </c>
      <c r="F17" s="4" t="n">
        <f aca="false">-F6*Assumptions!F18/100</f>
        <v>-83198.75852844</v>
      </c>
      <c r="G17" s="4" t="n">
        <f aca="false">-G6*Assumptions!G18/100</f>
        <v>-74740.2180780486</v>
      </c>
      <c r="H17" s="4" t="n">
        <f aca="false">-H6*Assumptions!H18/100</f>
        <v>-64548.3701583147</v>
      </c>
      <c r="I17" s="4" t="n">
        <f aca="false">-I6*Assumptions!I18/100</f>
        <v>-53446.0504910846</v>
      </c>
      <c r="J17" s="4" t="n">
        <f aca="false">-J6*Assumptions!J18/100</f>
        <v>-50773.7479665303</v>
      </c>
      <c r="K17" s="4" t="n">
        <f aca="false">-K6*Assumptions!K18/100</f>
        <v>-50773.7479665303</v>
      </c>
      <c r="L17" s="4" t="n">
        <f aca="false">-L6*Assumptions!L18/100</f>
        <v>-51281.4854461956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-22013.9675</v>
      </c>
      <c r="D18" s="4" t="n">
        <f aca="false">(D6-C6)*Assumptions!$B$23/100</f>
        <v>-6729.98434999998</v>
      </c>
      <c r="E18" s="4" t="n">
        <f aca="false">(E6-D6)*Assumptions!$B$23/100</f>
        <v>-3432.29201849998</v>
      </c>
      <c r="F18" s="4" t="n">
        <f aca="false">(F6-E6)*Assumptions!$B$23/100</f>
        <v>-0</v>
      </c>
      <c r="G18" s="4" t="n">
        <f aca="false">(G6-F6)*Assumptions!$B$23/100</f>
        <v>6933.22987737</v>
      </c>
      <c r="H18" s="4" t="n">
        <f aca="false">(H6-G6)*Assumptions!$B$23/100</f>
        <v>16986.4131995565</v>
      </c>
      <c r="I18" s="4" t="n">
        <f aca="false">(I6-H6)*Assumptions!$B$23/100</f>
        <v>25819.3480633259</v>
      </c>
      <c r="J18" s="4" t="n">
        <f aca="false">(J6-I6)*Assumptions!$B$23/100</f>
        <v>14846.1251364124</v>
      </c>
      <c r="K18" s="4" t="n">
        <f aca="false">(K6-J6)*Assumptions!$B$23/100</f>
        <v>-0</v>
      </c>
      <c r="L18" s="4" t="n">
        <f aca="false">(L6-K6)*Assumptions!$B$23/100</f>
        <v>-2820.76377591834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361083.6616394</v>
      </c>
      <c r="D19" s="0" t="n">
        <f aca="false">D15+D16+D17+D18</f>
        <v>370025.845936708</v>
      </c>
      <c r="E19" s="0" t="n">
        <f aca="false">E15+E16+E17+E18</f>
        <v>370296.531291252</v>
      </c>
      <c r="F19" s="0" t="n">
        <f aca="false">F15+F16+F17+F18</f>
        <v>366934.25802993</v>
      </c>
      <c r="G19" s="0" t="n">
        <f aca="false">G15+G16+G17+G18</f>
        <v>355113.933076599</v>
      </c>
      <c r="H19" s="0" t="n">
        <f aca="false">H15+H16+H17+H18</f>
        <v>336913.955052228</v>
      </c>
      <c r="I19" s="0" t="n">
        <f aca="false">I15+I16+I17+I18</f>
        <v>309463.476469566</v>
      </c>
      <c r="J19" s="0" t="n">
        <f aca="false">J15+J16+J17+J18</f>
        <v>268511.769977198</v>
      </c>
      <c r="K19" s="0" t="n">
        <f aca="false">K15+K16+K17+K18</f>
        <v>253665.644840786</v>
      </c>
      <c r="L19" s="0" t="n">
        <f aca="false">L15+L16+L17+L18</f>
        <v>253381.537513275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337461.366018131</v>
      </c>
      <c r="D21" s="0" t="n">
        <f aca="false">D19*D20</f>
        <v>323194.904303178</v>
      </c>
      <c r="E21" s="0" t="n">
        <f aca="false">E19*E20</f>
        <v>302272.272313096</v>
      </c>
      <c r="F21" s="0" t="n">
        <f aca="false">F19*F20</f>
        <v>279932.388587245</v>
      </c>
      <c r="G21" s="0" t="n">
        <f aca="false">G19*G20</f>
        <v>253191.326425704</v>
      </c>
      <c r="H21" s="0" t="n">
        <f aca="false">H19*H20</f>
        <v>224499.994044318</v>
      </c>
      <c r="I21" s="0" t="n">
        <f aca="false">I19*I20</f>
        <v>192718.300094131</v>
      </c>
      <c r="J21" s="0" t="n">
        <f aca="false">J19*J20</f>
        <v>156276.294809603</v>
      </c>
      <c r="K21" s="0" t="n">
        <f aca="false">K19*K20</f>
        <v>137977.30356327</v>
      </c>
      <c r="L21" s="0" t="n">
        <f aca="false">L19*L20</f>
        <v>128806.32523488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0.7</v>
      </c>
      <c r="D23" s="4" t="n">
        <f aca="false">Assumptions!D16</f>
        <v>0.7</v>
      </c>
      <c r="E23" s="4" t="n">
        <f aca="false">Assumptions!E16</f>
        <v>0.7</v>
      </c>
      <c r="F23" s="4" t="n">
        <f aca="false">Assumptions!F16</f>
        <v>0.7</v>
      </c>
      <c r="G23" s="4" t="n">
        <f aca="false">Assumptions!G16</f>
        <v>0.7</v>
      </c>
      <c r="H23" s="4" t="n">
        <f aca="false">Assumptions!H16</f>
        <v>0.7</v>
      </c>
      <c r="I23" s="4" t="n">
        <f aca="false">Assumptions!I16</f>
        <v>0.7</v>
      </c>
      <c r="J23" s="4" t="n">
        <f aca="false">Assumptions!J16</f>
        <v>0.7</v>
      </c>
      <c r="K23" s="4" t="n">
        <f aca="false">Assumptions!K16</f>
        <v>0.7</v>
      </c>
      <c r="L23" s="4" t="n">
        <f aca="false">Assumptions!L16</f>
        <v>0.7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-9421.97809</v>
      </c>
      <c r="D24" s="0" t="n">
        <f aca="false">-D6*D23/100</f>
        <v>-9610.4176518</v>
      </c>
      <c r="E24" s="0" t="n">
        <f aca="false">-E6*E23/100</f>
        <v>-9706.521828318</v>
      </c>
      <c r="F24" s="0" t="n">
        <f aca="false">-F6*F23/100</f>
        <v>-9706.521828318</v>
      </c>
      <c r="G24" s="0" t="n">
        <f aca="false">-G6*G23/100</f>
        <v>-9512.39139175164</v>
      </c>
      <c r="H24" s="0" t="n">
        <f aca="false">-H6*H23/100</f>
        <v>-9036.77182216406</v>
      </c>
      <c r="I24" s="0" t="n">
        <f aca="false">-I6*I23/100</f>
        <v>-8313.83007639093</v>
      </c>
      <c r="J24" s="0" t="n">
        <f aca="false">-J6*J23/100</f>
        <v>-7898.13857257139</v>
      </c>
      <c r="K24" s="0" t="n">
        <f aca="false">-K6*K23/100</f>
        <v>-7898.13857257139</v>
      </c>
      <c r="L24" s="0" t="n">
        <f aca="false">-L6*L23/100</f>
        <v>-7977.1199582971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2336330.47539355</v>
      </c>
    </row>
    <row r="31" customFormat="false" ht="15" hidden="false" customHeight="false" outlineLevel="0" collapsed="false">
      <c r="A31" s="0" t="s">
        <v>132</v>
      </c>
      <c r="B31" s="0" t="n">
        <f aca="false">L19</f>
        <v>253381.537513275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4676041.10138135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4560867.67523895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4560867.67523895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2318513.85422784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4654844.32962139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5523839.32962139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3356.73269908932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-0.507954749473861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3626.13759079612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4276.35400865992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3361.53489379001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1905053.78204425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1852.21954150062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10</v>
      </c>
      <c r="D5" s="4" t="n">
        <f aca="false">Assumptions!D27</f>
        <v>5</v>
      </c>
      <c r="E5" s="4" t="n">
        <f aca="false">Assumptions!E27</f>
        <v>4</v>
      </c>
      <c r="F5" s="4" t="n">
        <f aca="false">Assumptions!F27</f>
        <v>3</v>
      </c>
      <c r="G5" s="4" t="n">
        <f aca="false">Assumptions!G27</f>
        <v>2</v>
      </c>
      <c r="H5" s="4" t="n">
        <f aca="false">Assumptions!H27</f>
        <v>0</v>
      </c>
      <c r="I5" s="4" t="n">
        <f aca="false">Assumptions!I27</f>
        <v>-2</v>
      </c>
      <c r="J5" s="4" t="n">
        <f aca="false">Assumptions!J27</f>
        <v>0</v>
      </c>
      <c r="K5" s="4" t="n">
        <f aca="false">Assumptions!K27</f>
        <v>2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1257941</v>
      </c>
      <c r="C6" s="0" t="n">
        <f aca="false">B6*(1+C5/100)</f>
        <v>1383735.1</v>
      </c>
      <c r="D6" s="0" t="n">
        <f aca="false">C6*(1+D5/100)</f>
        <v>1452921.855</v>
      </c>
      <c r="E6" s="0" t="n">
        <f aca="false">D6*(1+E5/100)</f>
        <v>1511038.7292</v>
      </c>
      <c r="F6" s="0" t="n">
        <f aca="false">E6*(1+F5/100)</f>
        <v>1556369.891076</v>
      </c>
      <c r="G6" s="0" t="n">
        <f aca="false">F6*(1+G5/100)</f>
        <v>1587497.28889752</v>
      </c>
      <c r="H6" s="0" t="n">
        <f aca="false">G6*(1+H5/100)</f>
        <v>1587497.28889752</v>
      </c>
      <c r="I6" s="0" t="n">
        <f aca="false">H6*(1+I5/100)</f>
        <v>1555747.34311957</v>
      </c>
      <c r="J6" s="0" t="n">
        <f aca="false">I6*(1+J5/100)</f>
        <v>1555747.34311957</v>
      </c>
      <c r="K6" s="0" t="n">
        <f aca="false">J6*(1+K5/100)</f>
        <v>1586862.28998196</v>
      </c>
      <c r="L6" s="0" t="n">
        <f aca="false">K6*(1+L5/100)</f>
        <v>1626533.84723151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51.5</v>
      </c>
      <c r="D7" s="4" t="n">
        <f aca="false">Assumptions!D28</f>
        <v>51</v>
      </c>
      <c r="E7" s="4" t="n">
        <f aca="false">Assumptions!E28</f>
        <v>50.5</v>
      </c>
      <c r="F7" s="4" t="n">
        <f aca="false">Assumptions!F28</f>
        <v>50</v>
      </c>
      <c r="G7" s="4" t="n">
        <f aca="false">Assumptions!G28</f>
        <v>49</v>
      </c>
      <c r="H7" s="4" t="n">
        <f aca="false">Assumptions!H28</f>
        <v>47.5</v>
      </c>
      <c r="I7" s="4" t="n">
        <f aca="false">Assumptions!I28</f>
        <v>46</v>
      </c>
      <c r="J7" s="4" t="n">
        <f aca="false">Assumptions!J28</f>
        <v>45</v>
      </c>
      <c r="K7" s="4" t="n">
        <f aca="false">Assumptions!K28</f>
        <v>45</v>
      </c>
      <c r="L7" s="4" t="n">
        <f aca="false">Assumptions!L28</f>
        <v>45</v>
      </c>
    </row>
    <row r="8" customFormat="false" ht="15" hidden="false" customHeight="false" outlineLevel="0" collapsed="false">
      <c r="A8" s="0" t="s">
        <v>43</v>
      </c>
      <c r="C8" s="0" t="n">
        <f aca="false">C6*C7/100</f>
        <v>712623.5765</v>
      </c>
      <c r="D8" s="0" t="n">
        <f aca="false">D6*D7/100</f>
        <v>740990.14605</v>
      </c>
      <c r="E8" s="0" t="n">
        <f aca="false">E6*E7/100</f>
        <v>763074.558246</v>
      </c>
      <c r="F8" s="0" t="n">
        <f aca="false">F6*F7/100</f>
        <v>778184.945538</v>
      </c>
      <c r="G8" s="0" t="n">
        <f aca="false">G6*G7/100</f>
        <v>777873.671559785</v>
      </c>
      <c r="H8" s="0" t="n">
        <f aca="false">H6*H7/100</f>
        <v>754061.212226322</v>
      </c>
      <c r="I8" s="0" t="n">
        <f aca="false">I6*I7/100</f>
        <v>715643.777835002</v>
      </c>
      <c r="J8" s="0" t="n">
        <f aca="false">J6*J7/100</f>
        <v>700086.304403807</v>
      </c>
      <c r="K8" s="0" t="n">
        <f aca="false">K6*K7/100</f>
        <v>714088.030491883</v>
      </c>
      <c r="L8" s="0" t="n">
        <f aca="false">L6*L7/100</f>
        <v>731940.23125418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0.04</v>
      </c>
      <c r="D9" s="4" t="n">
        <f aca="false">Assumptions!D29</f>
        <v>0.04</v>
      </c>
      <c r="E9" s="4" t="n">
        <f aca="false">Assumptions!E29</f>
        <v>0.04</v>
      </c>
      <c r="F9" s="4" t="n">
        <f aca="false">Assumptions!F29</f>
        <v>0.04</v>
      </c>
      <c r="G9" s="4" t="n">
        <f aca="false">Assumptions!G29</f>
        <v>0.04</v>
      </c>
      <c r="H9" s="4" t="n">
        <f aca="false">Assumptions!H29</f>
        <v>0.04</v>
      </c>
      <c r="I9" s="4" t="n">
        <f aca="false">Assumptions!I29</f>
        <v>0.04</v>
      </c>
      <c r="J9" s="4" t="n">
        <f aca="false">Assumptions!J29</f>
        <v>0.04</v>
      </c>
      <c r="K9" s="4" t="n">
        <f aca="false">Assumptions!K29</f>
        <v>0.04</v>
      </c>
      <c r="L9" s="4" t="n">
        <f aca="false">Assumptions!L29</f>
        <v>0.04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-553.49404</v>
      </c>
      <c r="D10" s="0" t="n">
        <f aca="false">-D6*D9/100</f>
        <v>-581.168742</v>
      </c>
      <c r="E10" s="0" t="n">
        <f aca="false">-E6*E9/100</f>
        <v>-604.41549168</v>
      </c>
      <c r="F10" s="0" t="n">
        <f aca="false">-F6*F9/100</f>
        <v>-622.5479564304</v>
      </c>
      <c r="G10" s="0" t="n">
        <f aca="false">-G6*G9/100</f>
        <v>-634.998915559008</v>
      </c>
      <c r="H10" s="0" t="n">
        <f aca="false">-H6*H9/100</f>
        <v>-634.998915559008</v>
      </c>
      <c r="I10" s="0" t="n">
        <f aca="false">-I6*I9/100</f>
        <v>-622.298937247828</v>
      </c>
      <c r="J10" s="0" t="n">
        <f aca="false">-J6*J9/100</f>
        <v>-622.298937247828</v>
      </c>
      <c r="K10" s="0" t="n">
        <f aca="false">-K6*K9/100</f>
        <v>-634.744915992785</v>
      </c>
      <c r="L10" s="0" t="n">
        <f aca="false">-L6*L9/100</f>
        <v>-650.613538892604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702383.93676</v>
      </c>
      <c r="D11" s="0" t="n">
        <f aca="false">D8+D10+D24</f>
        <v>730238.524323</v>
      </c>
      <c r="E11" s="0" t="n">
        <f aca="false">E8+E10+E24</f>
        <v>751892.87164992</v>
      </c>
      <c r="F11" s="0" t="n">
        <f aca="false">F8+F10+F24</f>
        <v>766667.808344038</v>
      </c>
      <c r="G11" s="0" t="n">
        <f aca="false">G8+G10+G24</f>
        <v>766126.191621943</v>
      </c>
      <c r="H11" s="0" t="n">
        <f aca="false">H8+H10+H24</f>
        <v>742313.732288481</v>
      </c>
      <c r="I11" s="0" t="n">
        <f aca="false">I8+I10+I24</f>
        <v>704131.247495917</v>
      </c>
      <c r="J11" s="0" t="n">
        <f aca="false">J8+J10+J24</f>
        <v>688573.774064722</v>
      </c>
      <c r="K11" s="0" t="n">
        <f aca="false">K8+K10+K24</f>
        <v>702345.249546016</v>
      </c>
      <c r="L11" s="0" t="n">
        <f aca="false">L8+L10+L24</f>
        <v>719903.880784666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-29058.4371</v>
      </c>
      <c r="D12" s="4" t="n">
        <f aca="false">-D6*Assumptions!D31/100</f>
        <v>-31964.28081</v>
      </c>
      <c r="E12" s="4" t="n">
        <f aca="false">-E6*Assumptions!E31/100</f>
        <v>-36264.9295008</v>
      </c>
      <c r="F12" s="4" t="n">
        <f aca="false">-F6*Assumptions!F31/100</f>
        <v>-40465.617167976</v>
      </c>
      <c r="G12" s="4" t="n">
        <f aca="false">-G6*Assumptions!G31/100</f>
        <v>-44449.9240891306</v>
      </c>
      <c r="H12" s="4" t="n">
        <f aca="false">-H6*Assumptions!H31/100</f>
        <v>-47624.9186669256</v>
      </c>
      <c r="I12" s="4" t="n">
        <f aca="false">-I6*Assumptions!I31/100</f>
        <v>-46672.4202935871</v>
      </c>
      <c r="J12" s="4" t="n">
        <f aca="false">-J6*Assumptions!J31/100</f>
        <v>-46672.4202935871</v>
      </c>
      <c r="K12" s="4" t="n">
        <f aca="false">-K6*Assumptions!K31/100</f>
        <v>-47605.8686994588</v>
      </c>
      <c r="L12" s="4" t="n">
        <f aca="false">-L6*Assumptions!L31/100</f>
        <v>-48796.0154169453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673325.49966</v>
      </c>
      <c r="D13" s="0" t="n">
        <f aca="false">D11+D12</f>
        <v>698274.243513</v>
      </c>
      <c r="E13" s="0" t="n">
        <f aca="false">E11+E12</f>
        <v>715627.94214912</v>
      </c>
      <c r="F13" s="0" t="n">
        <f aca="false">F11+F12</f>
        <v>726202.191176062</v>
      </c>
      <c r="G13" s="0" t="n">
        <f aca="false">G11+G12</f>
        <v>721676.267532813</v>
      </c>
      <c r="H13" s="0" t="n">
        <f aca="false">H11+H12</f>
        <v>694688.813621555</v>
      </c>
      <c r="I13" s="0" t="n">
        <f aca="false">I11+I12</f>
        <v>657458.82720233</v>
      </c>
      <c r="J13" s="0" t="n">
        <f aca="false">J11+J12</f>
        <v>641901.353771135</v>
      </c>
      <c r="K13" s="0" t="n">
        <f aca="false">K11+K12</f>
        <v>654739.380846557</v>
      </c>
      <c r="L13" s="0" t="n">
        <f aca="false">L11+L12</f>
        <v>671107.865367721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30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471327.849762</v>
      </c>
      <c r="D15" s="0" t="n">
        <f aca="false">D13-MAX(0,D13)*D14/100</f>
        <v>488791.9704591</v>
      </c>
      <c r="E15" s="0" t="n">
        <f aca="false">E13-MAX(0,E13)*E14/100</f>
        <v>500939.559504384</v>
      </c>
      <c r="F15" s="0" t="n">
        <f aca="false">F13-MAX(0,F13)*F14/100</f>
        <v>508341.533823243</v>
      </c>
      <c r="G15" s="0" t="n">
        <f aca="false">G13-MAX(0,G13)*G14/100</f>
        <v>505173.387272969</v>
      </c>
      <c r="H15" s="0" t="n">
        <f aca="false">H13-MAX(0,H13)*H14/100</f>
        <v>486282.169535088</v>
      </c>
      <c r="I15" s="0" t="n">
        <f aca="false">I13-MAX(0,I13)*I14/100</f>
        <v>460221.179041631</v>
      </c>
      <c r="J15" s="0" t="n">
        <f aca="false">J13-MAX(0,J13)*J14/100</f>
        <v>449330.947639794</v>
      </c>
      <c r="K15" s="0" t="n">
        <f aca="false">K13-MAX(0,K13)*K14/100</f>
        <v>458317.56659259</v>
      </c>
      <c r="L15" s="0" t="n">
        <f aca="false">L13-MAX(0,L13)*L14/100</f>
        <v>469775.505757405</v>
      </c>
    </row>
    <row r="16" customFormat="false" ht="15" hidden="false" customHeight="false" outlineLevel="0" collapsed="false">
      <c r="A16" s="0" t="s">
        <v>123</v>
      </c>
      <c r="C16" s="0" t="n">
        <f aca="false">-C12</f>
        <v>29058.4371</v>
      </c>
      <c r="D16" s="0" t="n">
        <f aca="false">-D12</f>
        <v>31964.28081</v>
      </c>
      <c r="E16" s="0" t="n">
        <f aca="false">-E12</f>
        <v>36264.9295008</v>
      </c>
      <c r="F16" s="0" t="n">
        <f aca="false">-F12</f>
        <v>40465.617167976</v>
      </c>
      <c r="G16" s="0" t="n">
        <f aca="false">-G12</f>
        <v>44449.9240891306</v>
      </c>
      <c r="H16" s="0" t="n">
        <f aca="false">-H12</f>
        <v>47624.9186669256</v>
      </c>
      <c r="I16" s="0" t="n">
        <f aca="false">-I12</f>
        <v>46672.4202935871</v>
      </c>
      <c r="J16" s="0" t="n">
        <f aca="false">-J12</f>
        <v>46672.4202935871</v>
      </c>
      <c r="K16" s="0" t="n">
        <f aca="false">-K12</f>
        <v>47605.8686994588</v>
      </c>
      <c r="L16" s="0" t="n">
        <f aca="false">-L12</f>
        <v>48796.0154169453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-96861.457</v>
      </c>
      <c r="D17" s="4" t="n">
        <f aca="false">-D6*Assumptions!D32/100</f>
        <v>-101704.52985</v>
      </c>
      <c r="E17" s="4" t="n">
        <f aca="false">-E6*Assumptions!E32/100</f>
        <v>-98217.517398</v>
      </c>
      <c r="F17" s="4" t="n">
        <f aca="false">-F6*Assumptions!F32/100</f>
        <v>-93382.19346456</v>
      </c>
      <c r="G17" s="4" t="n">
        <f aca="false">-G6*Assumptions!G32/100</f>
        <v>-87312.3508893636</v>
      </c>
      <c r="H17" s="4" t="n">
        <f aca="false">-H6*Assumptions!H32/100</f>
        <v>-79374.864444876</v>
      </c>
      <c r="I17" s="4" t="n">
        <f aca="false">-I6*Assumptions!I32/100</f>
        <v>-70008.6304403806</v>
      </c>
      <c r="J17" s="4" t="n">
        <f aca="false">-J6*Assumptions!J32/100</f>
        <v>-70008.6304403806</v>
      </c>
      <c r="K17" s="4" t="n">
        <f aca="false">-K6*Assumptions!K32/100</f>
        <v>-71408.8030491883</v>
      </c>
      <c r="L17" s="4" t="n">
        <f aca="false">-L6*Assumptions!L32/100</f>
        <v>-73194.023125418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-31448.525</v>
      </c>
      <c r="D18" s="4" t="n">
        <f aca="false">(D6-C6)*Assumptions!$B$37/100</f>
        <v>-17296.68875</v>
      </c>
      <c r="E18" s="4" t="n">
        <f aca="false">(E6-D6)*Assumptions!$B$37/100</f>
        <v>-14529.21855</v>
      </c>
      <c r="F18" s="4" t="n">
        <f aca="false">(F6-E6)*Assumptions!$B$37/100</f>
        <v>-11332.790469</v>
      </c>
      <c r="G18" s="4" t="n">
        <f aca="false">(G6-F6)*Assumptions!$B$37/100</f>
        <v>-7781.84945538</v>
      </c>
      <c r="H18" s="4" t="n">
        <f aca="false">(H6-G6)*Assumptions!$B$37/100</f>
        <v>-0</v>
      </c>
      <c r="I18" s="4" t="n">
        <f aca="false">(I6-H6)*Assumptions!$B$37/100</f>
        <v>7937.48644448759</v>
      </c>
      <c r="J18" s="4" t="n">
        <f aca="false">(J6-I6)*Assumptions!$B$37/100</f>
        <v>-0</v>
      </c>
      <c r="K18" s="4" t="n">
        <f aca="false">(K6-J6)*Assumptions!$B$37/100</f>
        <v>-7778.73671559786</v>
      </c>
      <c r="L18" s="4" t="n">
        <f aca="false">(L6-K6)*Assumptions!$B$37/100</f>
        <v>-9917.88931238721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372076.304862</v>
      </c>
      <c r="D19" s="0" t="n">
        <f aca="false">D15+D16+D17+D18</f>
        <v>401755.0326691</v>
      </c>
      <c r="E19" s="0" t="n">
        <f aca="false">E15+E16+E17+E18</f>
        <v>424457.753057184</v>
      </c>
      <c r="F19" s="0" t="n">
        <f aca="false">F15+F16+F17+F18</f>
        <v>444092.167057659</v>
      </c>
      <c r="G19" s="0" t="n">
        <f aca="false">G15+G16+G17+G18</f>
        <v>454529.111017356</v>
      </c>
      <c r="H19" s="0" t="n">
        <f aca="false">H15+H16+H17+H18</f>
        <v>454532.223757138</v>
      </c>
      <c r="I19" s="0" t="n">
        <f aca="false">I15+I16+I17+I18</f>
        <v>444822.455339325</v>
      </c>
      <c r="J19" s="0" t="n">
        <f aca="false">J15+J16+J17+J18</f>
        <v>425994.737493001</v>
      </c>
      <c r="K19" s="0" t="n">
        <f aca="false">K15+K16+K17+K18</f>
        <v>426735.895527263</v>
      </c>
      <c r="L19" s="0" t="n">
        <f aca="false">L15+L16+L17+L18</f>
        <v>435459.608736545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347734.864357009</v>
      </c>
      <c r="D21" s="0" t="n">
        <f aca="false">D19*D20</f>
        <v>350908.404811861</v>
      </c>
      <c r="E21" s="0" t="n">
        <f aca="false">E19*E20</f>
        <v>346483.962650441</v>
      </c>
      <c r="F21" s="0" t="n">
        <f aca="false">F19*F20</f>
        <v>338795.787956098</v>
      </c>
      <c r="G21" s="0" t="n">
        <f aca="false">G19*G20</f>
        <v>324072.974328373</v>
      </c>
      <c r="H21" s="0" t="n">
        <f aca="false">H19*H20</f>
        <v>302874.012774596</v>
      </c>
      <c r="I21" s="0" t="n">
        <f aca="false">I19*I20</f>
        <v>277013.069247035</v>
      </c>
      <c r="J21" s="0" t="n">
        <f aca="false">J19*J20</f>
        <v>247932.81571772</v>
      </c>
      <c r="K21" s="0" t="n">
        <f aca="false">K19*K20</f>
        <v>232116.052749142</v>
      </c>
      <c r="L21" s="0" t="n">
        <f aca="false">L19*L20</f>
        <v>221365.583854484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0.7</v>
      </c>
      <c r="D23" s="4" t="n">
        <f aca="false">Assumptions!D30</f>
        <v>0.7</v>
      </c>
      <c r="E23" s="4" t="n">
        <f aca="false">Assumptions!E30</f>
        <v>0.7</v>
      </c>
      <c r="F23" s="4" t="n">
        <f aca="false">Assumptions!F30</f>
        <v>0.7</v>
      </c>
      <c r="G23" s="4" t="n">
        <f aca="false">Assumptions!G30</f>
        <v>0.7</v>
      </c>
      <c r="H23" s="4" t="n">
        <f aca="false">Assumptions!H30</f>
        <v>0.7</v>
      </c>
      <c r="I23" s="4" t="n">
        <f aca="false">Assumptions!I30</f>
        <v>0.7</v>
      </c>
      <c r="J23" s="4" t="n">
        <f aca="false">Assumptions!J30</f>
        <v>0.7</v>
      </c>
      <c r="K23" s="4" t="n">
        <f aca="false">Assumptions!K30</f>
        <v>0.7</v>
      </c>
      <c r="L23" s="4" t="n">
        <f aca="false">Assumptions!L30</f>
        <v>0.7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-9686.1457</v>
      </c>
      <c r="D24" s="0" t="n">
        <f aca="false">-D6*D23/100</f>
        <v>-10170.452985</v>
      </c>
      <c r="E24" s="0" t="n">
        <f aca="false">-E6*E23/100</f>
        <v>-10577.2711044</v>
      </c>
      <c r="F24" s="0" t="n">
        <f aca="false">-F6*F23/100</f>
        <v>-10894.589237532</v>
      </c>
      <c r="G24" s="0" t="n">
        <f aca="false">-G6*G23/100</f>
        <v>-11112.4810222826</v>
      </c>
      <c r="H24" s="0" t="n">
        <f aca="false">-H6*H23/100</f>
        <v>-11112.4810222826</v>
      </c>
      <c r="I24" s="0" t="n">
        <f aca="false">-I6*I23/100</f>
        <v>-10890.231401837</v>
      </c>
      <c r="J24" s="0" t="n">
        <f aca="false">-J6*J23/100</f>
        <v>-10890.231401837</v>
      </c>
      <c r="K24" s="0" t="n">
        <f aca="false">-K6*K23/100</f>
        <v>-11108.0360298737</v>
      </c>
      <c r="L24" s="0" t="n">
        <f aca="false">-L6*L23/100</f>
        <v>-11385.7369306206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2989297.52844676</v>
      </c>
    </row>
    <row r="31" customFormat="false" ht="15" hidden="false" customHeight="false" outlineLevel="0" collapsed="false">
      <c r="A31" s="0" t="s">
        <v>132</v>
      </c>
      <c r="B31" s="0" t="n">
        <f aca="false">L19</f>
        <v>435459.608736545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8883376.01822552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7838272.95725781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7838272.95725781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3984580.50938071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6973878.03782746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7842873.03782746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4765.9656282374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-0.301382933415802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4294.81167407879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6747.0742117661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4772.67557347673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3416683.08393289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2328.50672527404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12.5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1257941</v>
      </c>
      <c r="C6" s="0" t="n">
        <f aca="false">B6*(1+C5/100)</f>
        <v>1415183.625</v>
      </c>
      <c r="D6" s="0" t="n">
        <f aca="false">C6*(1+D5/100)</f>
        <v>1528398.315</v>
      </c>
      <c r="E6" s="0" t="n">
        <f aca="false">D6*(1+E5/100)</f>
        <v>1635386.19705</v>
      </c>
      <c r="F6" s="0" t="n">
        <f aca="false">E6*(1+F5/100)</f>
        <v>1733509.368873</v>
      </c>
      <c r="G6" s="0" t="n">
        <f aca="false">F6*(1+G5/100)</f>
        <v>1820184.83731665</v>
      </c>
      <c r="H6" s="0" t="n">
        <f aca="false">G6*(1+H5/100)</f>
        <v>1892992.23080932</v>
      </c>
      <c r="I6" s="0" t="n">
        <f aca="false">H6*(1+I5/100)</f>
        <v>1949781.9977336</v>
      </c>
      <c r="J6" s="0" t="n">
        <f aca="false">I6*(1+J5/100)</f>
        <v>2008275.4576656</v>
      </c>
      <c r="K6" s="0" t="n">
        <f aca="false">J6*(1+K5/100)</f>
        <v>2068523.72139557</v>
      </c>
      <c r="L6" s="0" t="n">
        <f aca="false">K6*(1+L5/100)</f>
        <v>2130579.43303744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52</v>
      </c>
      <c r="D7" s="4" t="n">
        <f aca="false">Assumptions!D42</f>
        <v>52</v>
      </c>
      <c r="E7" s="4" t="n">
        <f aca="false">Assumptions!E42</f>
        <v>52</v>
      </c>
      <c r="F7" s="4" t="n">
        <f aca="false">Assumptions!F42</f>
        <v>52</v>
      </c>
      <c r="G7" s="4" t="n">
        <f aca="false">Assumptions!G42</f>
        <v>51.5</v>
      </c>
      <c r="H7" s="4" t="n">
        <f aca="false">Assumptions!H42</f>
        <v>51</v>
      </c>
      <c r="I7" s="4" t="n">
        <f aca="false">Assumptions!I42</f>
        <v>50.5</v>
      </c>
      <c r="J7" s="4" t="n">
        <f aca="false">Assumptions!J42</f>
        <v>50</v>
      </c>
      <c r="K7" s="4" t="n">
        <f aca="false">Assumptions!K42</f>
        <v>50</v>
      </c>
      <c r="L7" s="4" t="n">
        <f aca="false">Assumptions!L42</f>
        <v>50</v>
      </c>
    </row>
    <row r="8" customFormat="false" ht="15" hidden="false" customHeight="false" outlineLevel="0" collapsed="false">
      <c r="A8" s="0" t="s">
        <v>43</v>
      </c>
      <c r="C8" s="0" t="n">
        <f aca="false">C6*C7/100</f>
        <v>735895.485</v>
      </c>
      <c r="D8" s="0" t="n">
        <f aca="false">D6*D7/100</f>
        <v>794767.1238</v>
      </c>
      <c r="E8" s="0" t="n">
        <f aca="false">E6*E7/100</f>
        <v>850400.822466</v>
      </c>
      <c r="F8" s="0" t="n">
        <f aca="false">F6*F7/100</f>
        <v>901424.87181396</v>
      </c>
      <c r="G8" s="0" t="n">
        <f aca="false">G6*G7/100</f>
        <v>937395.191218075</v>
      </c>
      <c r="H8" s="0" t="n">
        <f aca="false">H6*H7/100</f>
        <v>965426.037712751</v>
      </c>
      <c r="I8" s="0" t="n">
        <f aca="false">I6*I7/100</f>
        <v>984639.908855466</v>
      </c>
      <c r="J8" s="0" t="n">
        <f aca="false">J6*J7/100</f>
        <v>1004137.7288328</v>
      </c>
      <c r="K8" s="0" t="n">
        <f aca="false">K6*K7/100</f>
        <v>1034261.86069779</v>
      </c>
      <c r="L8" s="0" t="n">
        <f aca="false">L6*L7/100</f>
        <v>1065289.71651872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0.04</v>
      </c>
      <c r="D9" s="4" t="n">
        <f aca="false">Assumptions!D43</f>
        <v>0.04</v>
      </c>
      <c r="E9" s="4" t="n">
        <f aca="false">Assumptions!E43</f>
        <v>0.04</v>
      </c>
      <c r="F9" s="4" t="n">
        <f aca="false">Assumptions!F43</f>
        <v>0.04</v>
      </c>
      <c r="G9" s="4" t="n">
        <f aca="false">Assumptions!G43</f>
        <v>0.04</v>
      </c>
      <c r="H9" s="4" t="n">
        <f aca="false">Assumptions!H43</f>
        <v>0.04</v>
      </c>
      <c r="I9" s="4" t="n">
        <f aca="false">Assumptions!I43</f>
        <v>0.04</v>
      </c>
      <c r="J9" s="4" t="n">
        <f aca="false">Assumptions!J43</f>
        <v>0.04</v>
      </c>
      <c r="K9" s="4" t="n">
        <f aca="false">Assumptions!K43</f>
        <v>0.04</v>
      </c>
      <c r="L9" s="4" t="n">
        <f aca="false">Assumptions!L43</f>
        <v>0.04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-566.07345</v>
      </c>
      <c r="D10" s="0" t="n">
        <f aca="false">-D6*D9/100</f>
        <v>-611.359326</v>
      </c>
      <c r="E10" s="0" t="n">
        <f aca="false">-E6*E9/100</f>
        <v>-654.15447882</v>
      </c>
      <c r="F10" s="0" t="n">
        <f aca="false">-F6*F9/100</f>
        <v>-693.4037475492</v>
      </c>
      <c r="G10" s="0" t="n">
        <f aca="false">-G6*G9/100</f>
        <v>-728.07393492666</v>
      </c>
      <c r="H10" s="0" t="n">
        <f aca="false">-H6*H9/100</f>
        <v>-757.196892323727</v>
      </c>
      <c r="I10" s="0" t="n">
        <f aca="false">-I6*I9/100</f>
        <v>-779.912799093438</v>
      </c>
      <c r="J10" s="0" t="n">
        <f aca="false">-J6*J9/100</f>
        <v>-803.310183066242</v>
      </c>
      <c r="K10" s="0" t="n">
        <f aca="false">-K6*K9/100</f>
        <v>-827.409488558229</v>
      </c>
      <c r="L10" s="0" t="n">
        <f aca="false">-L6*L9/100</f>
        <v>-852.231773214976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725423.126175</v>
      </c>
      <c r="D11" s="0" t="n">
        <f aca="false">D8+D10+D24</f>
        <v>783456.976269</v>
      </c>
      <c r="E11" s="0" t="n">
        <f aca="false">E8+E10+E24</f>
        <v>838298.96460783</v>
      </c>
      <c r="F11" s="0" t="n">
        <f aca="false">F8+F10+F24</f>
        <v>888596.9024843</v>
      </c>
      <c r="G11" s="0" t="n">
        <f aca="false">G8+G10+G24</f>
        <v>923925.823421932</v>
      </c>
      <c r="H11" s="0" t="n">
        <f aca="false">H8+H10+H24</f>
        <v>951417.895204763</v>
      </c>
      <c r="I11" s="0" t="n">
        <f aca="false">I8+I10+I24</f>
        <v>970211.522072237</v>
      </c>
      <c r="J11" s="0" t="n">
        <f aca="false">J8+J10+J24</f>
        <v>989276.490446076</v>
      </c>
      <c r="K11" s="0" t="n">
        <f aca="false">K8+K10+K24</f>
        <v>1018954.78515946</v>
      </c>
      <c r="L11" s="0" t="n">
        <f aca="false">L8+L10+L24</f>
        <v>1049523.42871424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-29718.856125</v>
      </c>
      <c r="D12" s="4" t="n">
        <f aca="false">-D6*Assumptions!D45/100</f>
        <v>-33624.76293</v>
      </c>
      <c r="E12" s="4" t="n">
        <f aca="false">-E6*Assumptions!E45/100</f>
        <v>-39249.2687292</v>
      </c>
      <c r="F12" s="4" t="n">
        <f aca="false">-F6*Assumptions!F45/100</f>
        <v>-45071.243590698</v>
      </c>
      <c r="G12" s="4" t="n">
        <f aca="false">-G6*Assumptions!G45/100</f>
        <v>-50965.1754448662</v>
      </c>
      <c r="H12" s="4" t="n">
        <f aca="false">-H6*Assumptions!H45/100</f>
        <v>-56789.7669242795</v>
      </c>
      <c r="I12" s="4" t="n">
        <f aca="false">-I6*Assumptions!I45/100</f>
        <v>-58493.4599320079</v>
      </c>
      <c r="J12" s="4" t="n">
        <f aca="false">-J6*Assumptions!J45/100</f>
        <v>-60248.2637299681</v>
      </c>
      <c r="K12" s="4" t="n">
        <f aca="false">-K6*Assumptions!K45/100</f>
        <v>-62055.7116418672</v>
      </c>
      <c r="L12" s="4" t="n">
        <f aca="false">-L6*Assumptions!L45/100</f>
        <v>-63917.3829911232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695704.27005</v>
      </c>
      <c r="D13" s="0" t="n">
        <f aca="false">D11+D12</f>
        <v>749832.213339</v>
      </c>
      <c r="E13" s="0" t="n">
        <f aca="false">E11+E12</f>
        <v>799049.69587863</v>
      </c>
      <c r="F13" s="0" t="n">
        <f aca="false">F11+F12</f>
        <v>843525.658893602</v>
      </c>
      <c r="G13" s="0" t="n">
        <f aca="false">G11+G12</f>
        <v>872960.647977066</v>
      </c>
      <c r="H13" s="0" t="n">
        <f aca="false">H11+H12</f>
        <v>894628.128280483</v>
      </c>
      <c r="I13" s="0" t="n">
        <f aca="false">I11+I12</f>
        <v>911718.062140229</v>
      </c>
      <c r="J13" s="0" t="n">
        <f aca="false">J11+J12</f>
        <v>929028.226716108</v>
      </c>
      <c r="K13" s="0" t="n">
        <f aca="false">K11+K12</f>
        <v>956899.073517592</v>
      </c>
      <c r="L13" s="0" t="n">
        <f aca="false">L11+L12</f>
        <v>985606.04572312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30</v>
      </c>
      <c r="D14" s="4" t="n">
        <f aca="false">Assumptions!D47</f>
        <v>30</v>
      </c>
      <c r="E14" s="4" t="n">
        <f aca="false">Assumptions!E47</f>
        <v>30</v>
      </c>
      <c r="F14" s="4" t="n">
        <f aca="false">Assumptions!F47</f>
        <v>30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486992.989035</v>
      </c>
      <c r="D15" s="0" t="n">
        <f aca="false">D13-MAX(0,D13)*D14/100</f>
        <v>524882.5493373</v>
      </c>
      <c r="E15" s="0" t="n">
        <f aca="false">E13-MAX(0,E13)*E14/100</f>
        <v>559334.787115041</v>
      </c>
      <c r="F15" s="0" t="n">
        <f aca="false">F13-MAX(0,F13)*F14/100</f>
        <v>590467.961225522</v>
      </c>
      <c r="G15" s="0" t="n">
        <f aca="false">G13-MAX(0,G13)*G14/100</f>
        <v>611072.453583946</v>
      </c>
      <c r="H15" s="0" t="n">
        <f aca="false">H13-MAX(0,H13)*H14/100</f>
        <v>626239.689796338</v>
      </c>
      <c r="I15" s="0" t="n">
        <f aca="false">I13-MAX(0,I13)*I14/100</f>
        <v>638202.643498161</v>
      </c>
      <c r="J15" s="0" t="n">
        <f aca="false">J13-MAX(0,J13)*J14/100</f>
        <v>650319.758701276</v>
      </c>
      <c r="K15" s="0" t="n">
        <f aca="false">K13-MAX(0,K13)*K14/100</f>
        <v>669829.351462314</v>
      </c>
      <c r="L15" s="0" t="n">
        <f aca="false">L13-MAX(0,L13)*L14/100</f>
        <v>689924.232006184</v>
      </c>
    </row>
    <row r="16" customFormat="false" ht="15" hidden="false" customHeight="false" outlineLevel="0" collapsed="false">
      <c r="A16" s="0" t="s">
        <v>123</v>
      </c>
      <c r="C16" s="0" t="n">
        <f aca="false">-C12</f>
        <v>29718.856125</v>
      </c>
      <c r="D16" s="0" t="n">
        <f aca="false">-D12</f>
        <v>33624.76293</v>
      </c>
      <c r="E16" s="0" t="n">
        <f aca="false">-E12</f>
        <v>39249.2687292</v>
      </c>
      <c r="F16" s="0" t="n">
        <f aca="false">-F12</f>
        <v>45071.243590698</v>
      </c>
      <c r="G16" s="0" t="n">
        <f aca="false">-G12</f>
        <v>50965.1754448662</v>
      </c>
      <c r="H16" s="0" t="n">
        <f aca="false">-H12</f>
        <v>56789.7669242795</v>
      </c>
      <c r="I16" s="0" t="n">
        <f aca="false">-I12</f>
        <v>58493.4599320079</v>
      </c>
      <c r="J16" s="0" t="n">
        <f aca="false">-J12</f>
        <v>60248.2637299681</v>
      </c>
      <c r="K16" s="0" t="n">
        <f aca="false">-K12</f>
        <v>62055.7116418672</v>
      </c>
      <c r="L16" s="0" t="n">
        <f aca="false">-L12</f>
        <v>63917.3829911232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-99062.85375</v>
      </c>
      <c r="D17" s="4" t="n">
        <f aca="false">-D6*Assumptions!D46/100</f>
        <v>-99345.890475</v>
      </c>
      <c r="E17" s="4" t="n">
        <f aca="false">-E6*Assumptions!E46/100</f>
        <v>-98123.171823</v>
      </c>
      <c r="F17" s="4" t="n">
        <f aca="false">-F6*Assumptions!F46/100</f>
        <v>-95343.015288015</v>
      </c>
      <c r="G17" s="4" t="n">
        <f aca="false">-G6*Assumptions!G46/100</f>
        <v>-91009.2418658325</v>
      </c>
      <c r="H17" s="4" t="n">
        <f aca="false">-H6*Assumptions!H46/100</f>
        <v>-94649.6115404658</v>
      </c>
      <c r="I17" s="4" t="n">
        <f aca="false">-I6*Assumptions!I46/100</f>
        <v>-87740.1898980118</v>
      </c>
      <c r="J17" s="4" t="n">
        <f aca="false">-J6*Assumptions!J46/100</f>
        <v>-90372.3955949522</v>
      </c>
      <c r="K17" s="4" t="n">
        <f aca="false">-K6*Assumptions!K46/100</f>
        <v>-93083.5674628007</v>
      </c>
      <c r="L17" s="4" t="n">
        <f aca="false">-L6*Assumptions!L46/100</f>
        <v>-95876.0744866848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-39310.65625</v>
      </c>
      <c r="D18" s="4" t="n">
        <f aca="false">(D6-C6)*Assumptions!$B$51/100</f>
        <v>-28303.6725</v>
      </c>
      <c r="E18" s="4" t="n">
        <f aca="false">(E6-D6)*Assumptions!$B$51/100</f>
        <v>-26746.9705125</v>
      </c>
      <c r="F18" s="4" t="n">
        <f aca="false">(F6-E6)*Assumptions!$B$51/100</f>
        <v>-24530.79295575</v>
      </c>
      <c r="G18" s="4" t="n">
        <f aca="false">(G6-F6)*Assumptions!$B$51/100</f>
        <v>-21668.8671109125</v>
      </c>
      <c r="H18" s="4" t="n">
        <f aca="false">(H6-G6)*Assumptions!$B$51/100</f>
        <v>-18201.8483731665</v>
      </c>
      <c r="I18" s="4" t="n">
        <f aca="false">(I6-H6)*Assumptions!$B$51/100</f>
        <v>-14197.4417310699</v>
      </c>
      <c r="J18" s="4" t="n">
        <f aca="false">(J6-I6)*Assumptions!$B$51/100</f>
        <v>-14623.364983002</v>
      </c>
      <c r="K18" s="4" t="n">
        <f aca="false">(K6-J6)*Assumptions!$B$51/100</f>
        <v>-15062.065932492</v>
      </c>
      <c r="L18" s="4" t="n">
        <f aca="false">(L6-K6)*Assumptions!$B$51/100</f>
        <v>-15513.9279104669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378338.33516</v>
      </c>
      <c r="D19" s="0" t="n">
        <f aca="false">D15+D16+D17+D18</f>
        <v>430857.7492923</v>
      </c>
      <c r="E19" s="0" t="n">
        <f aca="false">E15+E16+E17+E18</f>
        <v>473713.913508741</v>
      </c>
      <c r="F19" s="0" t="n">
        <f aca="false">F15+F16+F17+F18</f>
        <v>515665.396572455</v>
      </c>
      <c r="G19" s="0" t="n">
        <f aca="false">G15+G16+G17+G18</f>
        <v>549359.520052067</v>
      </c>
      <c r="H19" s="0" t="n">
        <f aca="false">H15+H16+H17+H18</f>
        <v>570177.996806985</v>
      </c>
      <c r="I19" s="0" t="n">
        <f aca="false">I15+I16+I17+I18</f>
        <v>594758.471801087</v>
      </c>
      <c r="J19" s="0" t="n">
        <f aca="false">J15+J16+J17+J18</f>
        <v>605572.26185329</v>
      </c>
      <c r="K19" s="0" t="n">
        <f aca="false">K15+K16+K17+K18</f>
        <v>623739.429708888</v>
      </c>
      <c r="L19" s="0" t="n">
        <f aca="false">L15+L16+L17+L18</f>
        <v>642451.612600155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353587.229121495</v>
      </c>
      <c r="D21" s="0" t="n">
        <f aca="false">D19*D20</f>
        <v>376327.844608525</v>
      </c>
      <c r="E21" s="0" t="n">
        <f aca="false">E19*E20</f>
        <v>386691.661850842</v>
      </c>
      <c r="F21" s="0" t="n">
        <f aca="false">F19*F20</f>
        <v>393398.662063714</v>
      </c>
      <c r="G21" s="0" t="n">
        <f aca="false">G19*G20</f>
        <v>391685.745364905</v>
      </c>
      <c r="H21" s="0" t="n">
        <f aca="false">H19*H20</f>
        <v>379933.674363611</v>
      </c>
      <c r="I21" s="0" t="n">
        <f aca="false">I19*I20</f>
        <v>370385.684797801</v>
      </c>
      <c r="J21" s="0" t="n">
        <f aca="false">J19*J20</f>
        <v>352448.569870658</v>
      </c>
      <c r="K21" s="0" t="n">
        <f aca="false">K19*K20</f>
        <v>339272.922398858</v>
      </c>
      <c r="L21" s="0" t="n">
        <f aca="false">L19*L20</f>
        <v>326589.822496097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0.7</v>
      </c>
      <c r="D23" s="4" t="n">
        <f aca="false">Assumptions!D44</f>
        <v>0.7</v>
      </c>
      <c r="E23" s="4" t="n">
        <f aca="false">Assumptions!E44</f>
        <v>0.7</v>
      </c>
      <c r="F23" s="4" t="n">
        <f aca="false">Assumptions!F44</f>
        <v>0.7</v>
      </c>
      <c r="G23" s="4" t="n">
        <f aca="false">Assumptions!G44</f>
        <v>0.7</v>
      </c>
      <c r="H23" s="4" t="n">
        <f aca="false">Assumptions!H44</f>
        <v>0.7</v>
      </c>
      <c r="I23" s="4" t="n">
        <f aca="false">Assumptions!I44</f>
        <v>0.7</v>
      </c>
      <c r="J23" s="4" t="n">
        <f aca="false">Assumptions!J44</f>
        <v>0.7</v>
      </c>
      <c r="K23" s="4" t="n">
        <f aca="false">Assumptions!K44</f>
        <v>0.7</v>
      </c>
      <c r="L23" s="4" t="n">
        <f aca="false">Assumptions!L44</f>
        <v>0.7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-9906.285375</v>
      </c>
      <c r="D24" s="0" t="n">
        <f aca="false">-D6*D23/100</f>
        <v>-10698.788205</v>
      </c>
      <c r="E24" s="0" t="n">
        <f aca="false">-E6*E23/100</f>
        <v>-11447.70337935</v>
      </c>
      <c r="F24" s="0" t="n">
        <f aca="false">-F6*F23/100</f>
        <v>-12134.565582111</v>
      </c>
      <c r="G24" s="0" t="n">
        <f aca="false">-G6*G23/100</f>
        <v>-12741.2938612166</v>
      </c>
      <c r="H24" s="0" t="n">
        <f aca="false">-H6*H23/100</f>
        <v>-13250.9456156652</v>
      </c>
      <c r="I24" s="0" t="n">
        <f aca="false">-I6*I23/100</f>
        <v>-13648.4739841352</v>
      </c>
      <c r="J24" s="0" t="n">
        <f aca="false">-J6*J23/100</f>
        <v>-14057.9282036592</v>
      </c>
      <c r="K24" s="0" t="n">
        <f aca="false">-K6*K23/100</f>
        <v>-14479.666049769</v>
      </c>
      <c r="L24" s="0" t="n">
        <f aca="false">-L6*L23/100</f>
        <v>-14914.0560312621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3670321.8169365</v>
      </c>
    </row>
    <row r="31" customFormat="false" ht="15" hidden="false" customHeight="false" outlineLevel="0" collapsed="false">
      <c r="A31" s="0" t="s">
        <v>132</v>
      </c>
      <c r="B31" s="0" t="n">
        <f aca="false">L19</f>
        <v>642451.612600155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14633620.0647813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11564129.0268028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11564129.0268028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5878616.80492974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9548938.62186625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10417933.6218662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6330.78124809568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-0.0720050940932749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4986.17543835144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9868.04898032804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6339.80787936614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5268103.22332127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2861.91932622077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3356.73269908932</v>
      </c>
      <c r="C4" s="0" t="n">
        <f aca="false">B4/Assumptions!$B$2-1</f>
        <v>-0.507954749473861</v>
      </c>
      <c r="D4" s="4" t="n">
        <f aca="false">Assumptions!$B$24</f>
        <v>0.25</v>
      </c>
      <c r="E4" s="4" t="n">
        <f aca="false">DCF_Bear!$B$43</f>
        <v>3361.53489379001</v>
      </c>
      <c r="F4" s="4" t="n">
        <f aca="false">DCF_Bear!$B$47</f>
        <v>1852.21954150062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4765.9656282374</v>
      </c>
      <c r="C5" s="0" t="n">
        <f aca="false">B5/Assumptions!$B$2-1</f>
        <v>-0.301382933415802</v>
      </c>
      <c r="D5" s="4" t="n">
        <f aca="false">Assumptions!$B$38</f>
        <v>0.5</v>
      </c>
      <c r="E5" s="4" t="n">
        <f aca="false">DCF_Base!$B$43</f>
        <v>4772.67557347673</v>
      </c>
      <c r="F5" s="4" t="n">
        <f aca="false">DCF_Base!$B$47</f>
        <v>2328.50672527404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6330.78124809568</v>
      </c>
      <c r="C6" s="0" t="n">
        <f aca="false">B6/Assumptions!$B$2-1</f>
        <v>-0.0720050940932749</v>
      </c>
      <c r="D6" s="4" t="n">
        <f aca="false">Assumptions!$B$52</f>
        <v>0.25</v>
      </c>
      <c r="E6" s="4" t="n">
        <f aca="false">DCF_Bull!$B$43</f>
        <v>6339.80787936614</v>
      </c>
      <c r="F6" s="4" t="n">
        <f aca="false">DCF_Bull!$B$47</f>
        <v>2861.91932622077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4804.86130091495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4811.67348002741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-0.419812055490747</v>
      </c>
    </row>
    <row r="11" customFormat="false" ht="15" hidden="false" customHeight="false" outlineLevel="0" collapsed="false">
      <c r="A11" s="0" t="s">
        <v>159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2342.78807956737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4765.9656282374</v>
      </c>
      <c r="C15" s="3" t="n">
        <v>7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3813.2953457253</v>
      </c>
      <c r="C16" s="3" t="n">
        <v>9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3413.18350229119</v>
      </c>
      <c r="C17" s="3" t="n">
        <v>10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3101.18642870316</v>
      </c>
      <c r="C18" s="3" t="n">
        <v>11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2850.92825877979</v>
      </c>
      <c r="C19" s="3" t="n">
        <v>12</v>
      </c>
    </row>
    <row r="20" customFormat="false" ht="15" hidden="false" customHeight="false" outlineLevel="0" collapsed="false">
      <c r="A20" s="0" t="s">
        <v>168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2328.50672527404</v>
      </c>
      <c r="C20" s="3" t="n">
        <v>15</v>
      </c>
    </row>
    <row r="22" customFormat="false" ht="15" hidden="false" customHeight="false" outlineLevel="0" collapsed="false">
      <c r="A22" s="2" t="s">
        <v>169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5453.31708316228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5453.31708316228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5453.31708316228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5453.31708316228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5453.31708316228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5093.27563782801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5093.27563782801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5093.27563782801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5093.27563782801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5093.27563782801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4609.02600267212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4765.9656282374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4765.9656282374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4765.9656282374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4765.9656282374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4030.29101657873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4175.75933135081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4345.47236525157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4468.04288973545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4468.04288973545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3595.72630803214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3697.25852562228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3813.2953457253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3947.18398430571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4103.38739598285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2026-10-31T03:14:53Z</dcterms:created>
  <dc:creator>openpyxl</dc:creator>
  <dc:description/>
  <dc:language>en-NZ</dc:language>
  <cp:lastModifiedBy/>
  <dcterms:modified xsi:type="dcterms:W3CDTF">2026-10-31T03:14:53Z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