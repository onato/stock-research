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<sst xmlns="http://schemas.openxmlformats.org/spreadsheetml/2006/main" count="362" uniqueCount="172">
  <si>
    <t xml:space="preserve">Ticker</t>
  </si>
  <si>
    <t xml:space="preserve">0780.HK</t>
  </si>
  <si>
    <t xml:space="preserve">Company</t>
  </si>
  <si>
    <t xml:space="preserve">Tongcheng Travel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</si>
  <si>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</si>
  <si>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</si>
  <si>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</si>
  <si>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</si>
  <si>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(HKEX, Friday 9 Oct 2026)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</si>
  <si>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</si>
  <si>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</si>
  <si>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</si>
  <si>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</si>
  <si>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</si>
  <si>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</si>
  <si>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</si>
  <si>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</si>
  <si>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</si>
  <si>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</si>
  <si>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</si>
  <si>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</si>
  <si>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</si>
  <si>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2026-10-11T07:52:23Z</t>
  </si>
  <si>
    <t xml:space="preserve">Drivers file</t>
  </si>
  <si>
    <t xml:space="preserve">0780.HK_Drivers.json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</si>
  <si>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</si>
  <si>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</si>
  <si>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</si>
  <si>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Tongcheng on fully SBC-expensed owner free cash flow in RMB, discounted at a CNY-built 9.5% WACC, with lease cash charged as an operating cost, the NCI deducted once at book, interest income stripped and the RMB14.3bn cash-plus-deposits pile added back net of RMB4.2bn borrowings and the July 2026 dividend. Scenarios carry the regulatory, competitive and demand risk; the discount rate does not carry it twice. The terminal value is capped at a China-appropriate 10-15x owner FCF rather than the 20x house default. Per-share values are computed in CNY and converted to HKD at 1.1721 so they are comparable to the HKEX quote.
key_risks_to_valuation: SAMR antitrust spillover from Trip.com onto Tongcheng itself (a fine, or remedies that remove or reprice Trip.com-sourced hotel supply) - the bear axis the 30% weight is for; Weixin ecosystem distribution terms: ~87% of users are in lower-tier cities reached through Tencent's Mini Program; a change in placement or traffic economics hits user acquisition cost directly; Meituan and Fliggy pushing into lower-tier-city travel with local-services traffic, compressing take-rates and lifting marketing spend; Chinese consumer discretionary demand and airfare pass-through: FY2026 transportation ticketing and outbound tourism have already softened on fuel surcharges; Integration of Wanda Hotels (RMB2.5bn, Oct 2025) and Dida Inc. (RMB~1.1bn, Aug 2026): both were cash-funded acquisitions whose returns are not yet visible in the flows; Long-term investments (RMB2.9bn of private stakes, taken at 50% of book) and short-term wealth-management products (RMB7.5bn, taken at face) are less liquid than cash; FX: the CNY-&gt;HKD rate used to convert the RMB value into the HKD quote is dated 2026-10-10 and is not refreshed by price-only updates</t>
  </si>
  <si>
    <t xml:space="preserve">Data sources</t>
  </si>
  <si>
    <t xml:space="preserve">price: Yahoo Finance chart API (0780.HK, HKD) at inputs.price_as_of; 52-week range 9.645-25.42. CNY-&gt;HKD from Yahoo CNYHKD=X, 2026-10-10.
financials: 0780.HK_Metrics.csv (FY2018-FY2025 annuals, H1 FY2023-H1 FY2026 half-years, RMB millions, built from the HKEX annual and interim reports); kpis table for adjusted EBITDA, adjusted net profit, cash taxes paid, short-term investments, lease and D&amp;A components. H1 FY2026 interim report for the 30 June 2026 balance sheet, share count, lease cash, NCI, long-term investments, dividend and Dida offer. FY2025 annual report for SBC (12214), finance income (786), lease payments (CF financing), D&amp;A split (15429-15433).
qualitative: 0780.HK_Analysis.json (2026-10-11): business model, guidance (core-OTA mid-teens FY2026), antitrust timeline, Wanda acquisition, bull/bear axes</t>
  </si>
  <si>
    <t xml:space="preserve">Scenario narrative: bear</t>
  </si>
  <si>
    <t xml:space="preserve">The 2026 demand soft patch (fuel surcharges, extreme weather, Q2 MPUs -5.8%) persists, and the antitrust episode turns against Tongcheng: either a direct SAMR finding on its own hotel-pricing practices or remedies that force Trip.com to withdraw or reprice shared supply, stripping inventory from the accommodation segment. Meituan and Fliggy press into lower-tier cities with local-services traffic while Weixin placement economics worsen, so growth falls to 2-3% and adjusted-EBITDA margin erodes to 22.5% as marketing spend rises to defend the user base. Tourism keeps shrinking after the FY2025 RMB453m goodwill impairment, Wanda integration costs run ahead of fees, HNTE preferences lapse (tax 24%), and the terminal multiple is 10x. The bear still generates positive cash - the balance sheet (RMB10bn net cash) carries no solvency risk - so this is a growth-and-margin bear, not a going-concern one.</t>
  </si>
  <si>
    <t xml:space="preserve">Scenario narrative: base</t>
  </si>
  <si>
    <t xml:space="preserve">Tongcheng stays China's mass-market, lower-tier-city OTA inside the Weixin ecosystem, with the Tencent and Trip.com relationships intact but no longer a source of advantage. Core OTA grows high-single-digit (accommodation and 'others' double-digit, transportation mid-single-digit, tourism flat to down) and the hotel-management arm (Elong + Wanda, 3,500 hotels open and 2,000 in pipeline) plus Dida add inorganic revenue in FY2026-27. Adjusted-EBITDA margin drifts from 26.5% to 28% on operating leverage; the structural 66%-vs-81% gross-margin gap to Trip.com means it never closes fully. The Trip.com antitrust settlement (RMB5.3bn, July 2026) does not spill over into a Tongcheng penalty, and shared hotel supply continues on commercial terms. Cash tax normalises from 17.5% to 22%. The terminal multiple is capped at 12x owner FCF (~7x EV/EBITDA) - a China consumer-internet exit, not a US one.</t>
  </si>
  <si>
    <t xml:space="preserve">Scenario narrative: bull</t>
  </si>
  <si>
    <t xml:space="preserve">Lower-tier-city penetration and experiential-travel demand keep core OTA at the guided mid-teens through FY2027, outbound/international recovers on visa-free expansion and restored flight capacity, and the Wanda/Elong hotel-management pipeline converts into a high-margin third leg. SAMR's remedies against Trip.com loosen its grip on shared hotel supply, letting Tongcheng, Meituan and Fliggy take share and lift take-rates, so adjusted-EBITDA margin reaches 30%. SBC keeps falling toward 0.7% of revenue, tax settles at 21%, and a buyer pays 15x terminal owner FCF. The bull case requires three independent things to land - Wanda integration, outbound recovery and a favourable antitrust read-through - which is why it carries a 20% weight rather than the 35% default.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</si>
  <si>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</si>
  <si>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</si>
  <si>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</si>
  <si>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</si>
  <si>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</si>
  <si>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</si>
  <si>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</si>
  <si>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</si>
  <si>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</si>
  <si>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</si>
  <si>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</si>
  <si>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</si>
  <si>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</si>
  <si>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</si>
  <si>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</si>
  <si>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</si>
  <si>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</si>
  <si>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</si>
  <si>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</si>
  <si>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</si>
  <si>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</si>
  <si>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</si>
  <si>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</si>
  <si>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</si>
  <si>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</si>
  <si>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</si>
  <si>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</si>
  <si>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</si>
  <si>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AdjustedNetProfit</t>
  </si>
  <si>
    <t xml:space="preserve">CapexIntangibles</t>
  </si>
  <si>
    <t xml:space="preserve">CapexPPE</t>
  </si>
  <si>
    <t xml:space="preserve">MAU</t>
  </si>
  <si>
    <t xml:space="preserve">SharesDiluted</t>
  </si>
  <si>
    <t xml:space="preserve">ShortTermInvestments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</si>
  <si>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</si>
  <si>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</si>
  <si>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</si>
  <si>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</si>
  <si>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</si>
  <si>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</si>
  <si>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</si>
  <si>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</si>
  <si>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</si>
  <si>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</si>
  <si>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</si>
  <si>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</si>
  <si>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</si>
  <si>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</si>
  <si>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</si>
  <si>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</si>
  <si>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</si>
  <si>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</si>
  <si>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</si>
  <si>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</si>
  <si>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</si>
  <si>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</si>
  <si>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</si>
  <si>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</si>
  <si>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</si>
  <si>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</si>
  <si>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</si>
  <si>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</si>
  <si>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</si>
  <si>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</si>
  <si>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</si>
  <si>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</si>
  <si>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</si>
  <si>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</si>
  <si>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</si>
  <si>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</si>
  <si>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</si>
  <si>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</si>
  <si>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</si>
  <si>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</si>
  <si>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</si>
  <si>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</si>
  <si>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</si>
  <si>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</si>
  <si>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</si>
  <si>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</si>
  <si>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0780.HK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</si>
  <si>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</si>
  <si>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</si>
  <si>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</si>
  <si>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</si>
  <si>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</si>
  <si>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</si>
  <si>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</si>
  <si>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</si>
  <si>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</si>
  <si>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</si>
  <si>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</si>
  <si>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</si>
  <si>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</si>
  <si>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</si>
  <si>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</si>
  <si>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</si>
  <si>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</si>
  <si>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</si>
  <si>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</si>
  <si>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</si>
  <si>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</si>
  <si>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</si>
  <si>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</si>
  <si>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</si>
  <si>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</si>
  <si>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</si>
  <si>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</si>
  <si>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</si>
  <si>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</si>
  <si>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</si>
  <si>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0780.HK owner-FCF component DCF: base case (millions, CNY)</t>
  </si>
  <si>
    <t xml:space="preserve">0780.HK owner-FCF component DCF: bull case (millions, CNY)</t>
  </si>
  <si>
    <t xml:space="preserve">0780.HK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</si>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</sst>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10.04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</row>
    <row r="2" customFormat="false" ht="15" hidden="false" customHeight="false" outlineLevel="0" collapsed="false">
      <c r="A2" s="0" t="s">
        <v>72</v>
      </c>
      <c r="B2" s="0" t="n">
        <v>5255.639</v>
      </c>
      <c r="C2" s="0" t="n">
        <v>1600.513</v>
      </c>
      <c r="D2" s="0" t="n">
        <v>3655.126</v>
      </c>
      <c r="E2" s="0" t="n">
        <v>69.5</v>
      </c>
      <c r="F2" s="0" t="n">
        <v>-311.192</v>
      </c>
      <c r="G2" s="0" t="n">
        <v>-5.9</v>
      </c>
      <c r="H2" s="0" t="n">
        <v>144.5</v>
      </c>
      <c r="I2" s="0" t="n">
        <v>529.957</v>
      </c>
      <c r="J2" s="0" t="n">
        <v>10.1</v>
      </c>
      <c r="K2" s="0" t="n">
        <v>-0.22</v>
      </c>
      <c r="L2" s="0" t="n">
        <v>2360.953</v>
      </c>
      <c r="M2" s="0" t="n">
        <v>337.531</v>
      </c>
      <c r="N2" s="0" t="n">
        <v>2023.422</v>
      </c>
      <c r="O2" s="0" t="n">
        <v>11535.453</v>
      </c>
      <c r="P2" s="0" t="n">
        <v>16791.343</v>
      </c>
      <c r="Q2" s="0" t="n">
        <v>5263.532</v>
      </c>
      <c r="R2" s="0" t="n">
        <v>172.305</v>
      </c>
      <c r="S2" s="0" t="n">
        <v>3143.883</v>
      </c>
      <c r="T2" s="0" t="n">
        <v>1695.298</v>
      </c>
      <c r="U2" s="0" t="n">
        <v>572.191</v>
      </c>
      <c r="AA2" s="0" t="s">
        <v>18</v>
      </c>
      <c r="AB2" s="0" t="s">
        <v>14</v>
      </c>
      <c r="AC2" s="0" t="n">
        <v>1152.134</v>
      </c>
      <c r="AD2" s="0" t="n">
        <v>915.945</v>
      </c>
      <c r="AE2" s="0" t="n">
        <v>0.04</v>
      </c>
      <c r="AF2" s="0" t="n">
        <v>337.491</v>
      </c>
      <c r="AG2" s="0" t="n">
        <v>175.2</v>
      </c>
      <c r="AH2" s="0" t="n">
        <v>1695.298</v>
      </c>
      <c r="AJ2" s="0" t="n">
        <v>11527.811</v>
      </c>
    </row>
    <row r="3" customFormat="false" ht="15" hidden="false" customHeight="false" outlineLevel="0" collapsed="false">
      <c r="A3" s="0" t="s">
        <v>73</v>
      </c>
      <c r="B3" s="0" t="n">
        <v>7392.932</v>
      </c>
      <c r="C3" s="0" t="n">
        <v>2316.975</v>
      </c>
      <c r="D3" s="0" t="n">
        <v>5075.957</v>
      </c>
      <c r="E3" s="0" t="n">
        <v>68.7</v>
      </c>
      <c r="F3" s="0" t="n">
        <v>859.527</v>
      </c>
      <c r="G3" s="0" t="n">
        <v>11.6</v>
      </c>
      <c r="H3" s="0" t="n">
        <v>1440.666</v>
      </c>
      <c r="I3" s="0" t="n">
        <v>688.097</v>
      </c>
      <c r="J3" s="0" t="n">
        <v>9.3</v>
      </c>
      <c r="K3" s="0" t="n">
        <v>0.33</v>
      </c>
      <c r="L3" s="0" t="n">
        <v>1696.442</v>
      </c>
      <c r="M3" s="0" t="n">
        <v>302.593</v>
      </c>
      <c r="N3" s="0" t="n">
        <v>1393.849</v>
      </c>
      <c r="O3" s="0" t="n">
        <v>13156.366</v>
      </c>
      <c r="P3" s="0" t="n">
        <v>19483.26</v>
      </c>
      <c r="Q3" s="0" t="n">
        <v>6331.586</v>
      </c>
      <c r="R3" s="0" t="n">
        <v>239.816</v>
      </c>
      <c r="S3" s="0" t="n">
        <v>2271.268</v>
      </c>
      <c r="T3" s="0" t="n">
        <v>2116.958</v>
      </c>
      <c r="U3" s="0" t="n">
        <v>542.21</v>
      </c>
      <c r="AA3" s="0" t="s">
        <v>18</v>
      </c>
      <c r="AB3" s="0" t="s">
        <v>14</v>
      </c>
      <c r="AC3" s="0" t="n">
        <v>2018.532</v>
      </c>
      <c r="AD3" s="0" t="n">
        <v>1544.32</v>
      </c>
      <c r="AE3" s="0" t="n">
        <v>1.455</v>
      </c>
      <c r="AF3" s="0" t="n">
        <v>301.138</v>
      </c>
      <c r="AG3" s="0" t="n">
        <v>205.2</v>
      </c>
      <c r="AH3" s="0" t="n">
        <v>2116.958</v>
      </c>
      <c r="AJ3" s="0" t="n">
        <v>13151.674</v>
      </c>
    </row>
    <row r="4" customFormat="false" ht="15" hidden="false" customHeight="false" outlineLevel="0" collapsed="false">
      <c r="A4" s="0" t="s">
        <v>74</v>
      </c>
      <c r="B4" s="0" t="n">
        <v>5932.591</v>
      </c>
      <c r="C4" s="0" t="n">
        <v>1696.606</v>
      </c>
      <c r="D4" s="0" t="n">
        <v>4235.985</v>
      </c>
      <c r="E4" s="0" t="n">
        <v>71.4</v>
      </c>
      <c r="F4" s="0" t="n">
        <v>381.922</v>
      </c>
      <c r="G4" s="0" t="n">
        <v>6.4</v>
      </c>
      <c r="H4" s="0" t="n">
        <v>983.932</v>
      </c>
      <c r="I4" s="0" t="n">
        <v>327.593</v>
      </c>
      <c r="J4" s="0" t="n">
        <v>5.5</v>
      </c>
      <c r="K4" s="0" t="n">
        <v>0.15</v>
      </c>
      <c r="L4" s="0" t="n">
        <v>135.52</v>
      </c>
      <c r="M4" s="0" t="n">
        <v>166.198</v>
      </c>
      <c r="N4" s="0" t="n">
        <v>-30.678</v>
      </c>
      <c r="O4" s="0" t="n">
        <v>14013.741</v>
      </c>
      <c r="P4" s="0" t="n">
        <v>19113.791</v>
      </c>
      <c r="Q4" s="0" t="n">
        <v>5097.12</v>
      </c>
      <c r="R4" s="0" t="n">
        <v>162.532</v>
      </c>
      <c r="S4" s="0" t="n">
        <v>1804.484</v>
      </c>
      <c r="T4" s="0" t="n">
        <v>2181.365</v>
      </c>
      <c r="U4" s="0" t="n">
        <v>382.147</v>
      </c>
      <c r="AA4" s="0" t="s">
        <v>18</v>
      </c>
      <c r="AB4" s="0" t="s">
        <v>14</v>
      </c>
      <c r="AC4" s="0" t="n">
        <v>1366.484</v>
      </c>
      <c r="AD4" s="0" t="n">
        <v>953.972</v>
      </c>
      <c r="AE4" s="0" t="n">
        <v>6.192</v>
      </c>
      <c r="AF4" s="0" t="n">
        <v>160.006</v>
      </c>
      <c r="AG4" s="0" t="n">
        <v>191.4</v>
      </c>
      <c r="AH4" s="0" t="n">
        <v>2181.365</v>
      </c>
      <c r="AJ4" s="0" t="n">
        <v>14016.671</v>
      </c>
    </row>
    <row r="5" customFormat="false" ht="15" hidden="false" customHeight="false" outlineLevel="0" collapsed="false">
      <c r="A5" s="0" t="s">
        <v>75</v>
      </c>
      <c r="B5" s="0" t="n">
        <v>7537.556</v>
      </c>
      <c r="C5" s="0" t="n">
        <v>1889.681</v>
      </c>
      <c r="D5" s="0" t="n">
        <v>5647.875</v>
      </c>
      <c r="E5" s="0" t="n">
        <v>74.9</v>
      </c>
      <c r="F5" s="0" t="n">
        <v>895.29</v>
      </c>
      <c r="G5" s="0" t="n">
        <v>11.9</v>
      </c>
      <c r="H5" s="0" t="n">
        <v>1565.132</v>
      </c>
      <c r="I5" s="0" t="n">
        <v>723.404</v>
      </c>
      <c r="J5" s="0" t="n">
        <v>9.6</v>
      </c>
      <c r="K5" s="0" t="n">
        <v>0.32</v>
      </c>
      <c r="L5" s="0" t="n">
        <v>1837.68</v>
      </c>
      <c r="M5" s="0" t="n">
        <v>310.375</v>
      </c>
      <c r="N5" s="0" t="n">
        <v>1527.305</v>
      </c>
      <c r="O5" s="0" t="n">
        <v>15219.151</v>
      </c>
      <c r="P5" s="0" t="n">
        <v>21506.398</v>
      </c>
      <c r="Q5" s="0" t="n">
        <v>6247.792</v>
      </c>
      <c r="R5" s="0" t="n">
        <v>113.229</v>
      </c>
      <c r="S5" s="0" t="n">
        <v>2045.604</v>
      </c>
      <c r="T5" s="0" t="n">
        <v>2247.323</v>
      </c>
      <c r="U5" s="0" t="n">
        <v>330.028</v>
      </c>
      <c r="AA5" s="0" t="s">
        <v>18</v>
      </c>
      <c r="AB5" s="0" t="s">
        <v>14</v>
      </c>
      <c r="AC5" s="0" t="n">
        <v>1906.922</v>
      </c>
      <c r="AD5" s="0" t="n">
        <v>1307.822</v>
      </c>
      <c r="AE5" s="0" t="n">
        <v>0.353</v>
      </c>
      <c r="AF5" s="0" t="n">
        <v>310.022</v>
      </c>
      <c r="AG5" s="0" t="n">
        <v>256.9</v>
      </c>
      <c r="AH5" s="0" t="n">
        <v>2247.323</v>
      </c>
      <c r="AI5" s="0" t="n">
        <v>3343.317</v>
      </c>
      <c r="AJ5" s="0" t="n">
        <v>15258.606</v>
      </c>
    </row>
    <row r="6" customFormat="false" ht="15" hidden="false" customHeight="false" outlineLevel="0" collapsed="false">
      <c r="A6" s="0" t="s">
        <v>76</v>
      </c>
      <c r="B6" s="0" t="n">
        <v>6584.666</v>
      </c>
      <c r="C6" s="0" t="n">
        <v>1806.64</v>
      </c>
      <c r="D6" s="0" t="n">
        <v>4778.026</v>
      </c>
      <c r="E6" s="0" t="n">
        <v>72.6</v>
      </c>
      <c r="F6" s="0" t="n">
        <v>-24.19</v>
      </c>
      <c r="G6" s="0" t="n">
        <v>-0.4</v>
      </c>
      <c r="H6" s="0" t="n">
        <v>815.998</v>
      </c>
      <c r="I6" s="0" t="n">
        <v>-146.009</v>
      </c>
      <c r="J6" s="0" t="n">
        <v>-2.2</v>
      </c>
      <c r="K6" s="0" t="n">
        <v>-0.07</v>
      </c>
      <c r="L6" s="0" t="n">
        <v>302.315</v>
      </c>
      <c r="M6" s="0" t="n">
        <v>533.016</v>
      </c>
      <c r="N6" s="0" t="n">
        <v>-230.701</v>
      </c>
      <c r="O6" s="0" t="n">
        <v>15731.912</v>
      </c>
      <c r="P6" s="0" t="n">
        <v>25034.7</v>
      </c>
      <c r="Q6" s="0" t="n">
        <v>9044.444</v>
      </c>
      <c r="R6" s="0" t="n">
        <v>2301.213</v>
      </c>
      <c r="S6" s="0" t="n">
        <v>3546.988</v>
      </c>
      <c r="T6" s="0" t="n">
        <v>2221.973</v>
      </c>
      <c r="U6" s="0" t="n">
        <v>441.091</v>
      </c>
      <c r="AA6" s="0" t="s">
        <v>18</v>
      </c>
      <c r="AB6" s="0" t="s">
        <v>14</v>
      </c>
      <c r="AC6" s="0" t="n">
        <v>1437.175</v>
      </c>
      <c r="AD6" s="0" t="n">
        <v>646.172</v>
      </c>
      <c r="AE6" s="0" t="n">
        <v>17.708</v>
      </c>
      <c r="AF6" s="0" t="n">
        <v>515.308</v>
      </c>
      <c r="AG6" s="0" t="n">
        <v>233.8</v>
      </c>
      <c r="AH6" s="0" t="n">
        <v>2221.973</v>
      </c>
      <c r="AI6" s="0" t="n">
        <v>2669.201</v>
      </c>
      <c r="AJ6" s="0" t="n">
        <v>15990.256</v>
      </c>
    </row>
    <row r="7" customFormat="false" ht="15" hidden="false" customHeight="false" outlineLevel="0" collapsed="false">
      <c r="A7" s="0" t="s">
        <v>77</v>
      </c>
      <c r="B7" s="0" t="n">
        <v>11896.244</v>
      </c>
      <c r="C7" s="0" t="n">
        <v>3158.033</v>
      </c>
      <c r="D7" s="0" t="n">
        <v>8738.211</v>
      </c>
      <c r="E7" s="0" t="n">
        <v>73.5</v>
      </c>
      <c r="F7" s="0" t="n">
        <v>1869.365</v>
      </c>
      <c r="G7" s="0" t="n">
        <v>15.7</v>
      </c>
      <c r="H7" s="0" t="n">
        <v>2780.122</v>
      </c>
      <c r="I7" s="0" t="n">
        <v>1554.131</v>
      </c>
      <c r="J7" s="0" t="n">
        <v>13.1</v>
      </c>
      <c r="K7" s="0" t="n">
        <v>0.68</v>
      </c>
      <c r="L7" s="0" t="n">
        <v>4003.442</v>
      </c>
      <c r="M7" s="0" t="n">
        <v>793.732</v>
      </c>
      <c r="N7" s="0" t="n">
        <v>3209.71</v>
      </c>
      <c r="O7" s="0" t="n">
        <v>17702.711</v>
      </c>
      <c r="P7" s="0" t="n">
        <v>31716.609</v>
      </c>
      <c r="Q7" s="0" t="n">
        <v>13170.32</v>
      </c>
      <c r="R7" s="0" t="n">
        <v>2551.037</v>
      </c>
      <c r="S7" s="0" t="n">
        <v>5192.398</v>
      </c>
      <c r="T7" s="0" t="n">
        <v>2296.837</v>
      </c>
      <c r="U7" s="0" t="n">
        <v>348.136</v>
      </c>
      <c r="AA7" s="0" t="s">
        <v>18</v>
      </c>
      <c r="AB7" s="0" t="s">
        <v>14</v>
      </c>
      <c r="AC7" s="0" t="n">
        <v>3123.894</v>
      </c>
      <c r="AD7" s="0" t="n">
        <v>2199.101</v>
      </c>
      <c r="AE7" s="0" t="n">
        <v>22.05</v>
      </c>
      <c r="AF7" s="0" t="n">
        <v>771.682</v>
      </c>
      <c r="AH7" s="0" t="n">
        <v>2296.837</v>
      </c>
      <c r="AI7" s="0" t="n">
        <v>3948.468</v>
      </c>
      <c r="AJ7" s="0" t="n">
        <v>18546.289</v>
      </c>
    </row>
    <row r="8" customFormat="false" ht="15" hidden="false" customHeight="false" outlineLevel="0" collapsed="false">
      <c r="A8" s="0" t="s">
        <v>78</v>
      </c>
      <c r="B8" s="0" t="n">
        <v>17340.686</v>
      </c>
      <c r="C8" s="0" t="n">
        <v>6227.199</v>
      </c>
      <c r="D8" s="0" t="n">
        <v>11113.487</v>
      </c>
      <c r="E8" s="0" t="n">
        <v>64.1</v>
      </c>
      <c r="F8" s="0" t="n">
        <v>2423.498</v>
      </c>
      <c r="G8" s="0" t="n">
        <v>14</v>
      </c>
      <c r="H8" s="0" t="n">
        <v>3506.104</v>
      </c>
      <c r="I8" s="0" t="n">
        <v>1974.356</v>
      </c>
      <c r="J8" s="0" t="n">
        <v>11.4</v>
      </c>
      <c r="K8" s="0" t="n">
        <v>0.86</v>
      </c>
      <c r="L8" s="0" t="n">
        <v>2969.875</v>
      </c>
      <c r="M8" s="0" t="n">
        <v>415.331</v>
      </c>
      <c r="N8" s="0" t="n">
        <v>2554.544</v>
      </c>
      <c r="O8" s="0" t="n">
        <v>20001.471</v>
      </c>
      <c r="P8" s="0" t="n">
        <v>37777.196</v>
      </c>
      <c r="Q8" s="0" t="n">
        <v>16814.889</v>
      </c>
      <c r="R8" s="0" t="n">
        <v>4153.746</v>
      </c>
      <c r="S8" s="0" t="n">
        <v>8019.963</v>
      </c>
      <c r="T8" s="0" t="n">
        <v>2291.023</v>
      </c>
      <c r="U8" s="0" t="n">
        <v>408.329</v>
      </c>
      <c r="AA8" s="0" t="s">
        <v>18</v>
      </c>
      <c r="AB8" s="0" t="s">
        <v>14</v>
      </c>
      <c r="AC8" s="0" t="n">
        <v>4050.156</v>
      </c>
      <c r="AD8" s="0" t="n">
        <v>2785.403</v>
      </c>
      <c r="AE8" s="0" t="n">
        <v>12.174</v>
      </c>
      <c r="AF8" s="0" t="n">
        <v>403.157</v>
      </c>
      <c r="AH8" s="0" t="n">
        <v>2291.023</v>
      </c>
      <c r="AI8" s="0" t="n">
        <v>2893.672</v>
      </c>
      <c r="AJ8" s="0" t="n">
        <v>20962.307</v>
      </c>
    </row>
    <row r="9" customFormat="false" ht="15" hidden="false" customHeight="false" outlineLevel="0" collapsed="false">
      <c r="A9" s="0" t="s">
        <v>79</v>
      </c>
      <c r="B9" s="0" t="n">
        <v>19395.959</v>
      </c>
      <c r="C9" s="0" t="n">
        <v>6538.207</v>
      </c>
      <c r="D9" s="0" t="n">
        <v>12857.752</v>
      </c>
      <c r="E9" s="0" t="n">
        <v>66.3</v>
      </c>
      <c r="F9" s="0" t="n">
        <v>3137.381</v>
      </c>
      <c r="G9" s="0" t="n">
        <v>16.2</v>
      </c>
      <c r="H9" s="0" t="n">
        <v>4436.585</v>
      </c>
      <c r="I9" s="0" t="n">
        <v>2371.234</v>
      </c>
      <c r="J9" s="0" t="n">
        <v>12.2</v>
      </c>
      <c r="K9" s="0" t="n">
        <v>1.01</v>
      </c>
      <c r="L9" s="0" t="n">
        <v>4310.911</v>
      </c>
      <c r="M9" s="0" t="n">
        <v>564.189</v>
      </c>
      <c r="N9" s="0" t="n">
        <v>3746.722</v>
      </c>
      <c r="O9" s="0" t="n">
        <v>22555.015</v>
      </c>
      <c r="P9" s="0" t="n">
        <v>41945.317</v>
      </c>
      <c r="Q9" s="0" t="n">
        <v>18372.116</v>
      </c>
      <c r="R9" s="0" t="n">
        <v>4099.84</v>
      </c>
      <c r="S9" s="0" t="n">
        <v>6505.907</v>
      </c>
      <c r="T9" s="0" t="n">
        <v>2338.788</v>
      </c>
      <c r="U9" s="0" t="n">
        <v>247.521</v>
      </c>
      <c r="AA9" s="0" t="s">
        <v>18</v>
      </c>
      <c r="AB9" s="0" t="s">
        <v>14</v>
      </c>
      <c r="AC9" s="0" t="n">
        <v>5137.719</v>
      </c>
      <c r="AD9" s="0" t="n">
        <v>3403.303</v>
      </c>
      <c r="AE9" s="0" t="n">
        <v>34.539</v>
      </c>
      <c r="AF9" s="0" t="n">
        <v>529.65</v>
      </c>
      <c r="AH9" s="0" t="n">
        <v>2338.788</v>
      </c>
      <c r="AI9" s="0" t="n">
        <v>5348.926</v>
      </c>
      <c r="AJ9" s="0" t="n">
        <v>23573.201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10.04</v>
      </c>
    </row>
    <row r="3" customFormat="false" ht="15" hidden="false" customHeight="false" outlineLevel="0" collapsed="false">
      <c r="A3" s="0" t="s">
        <v>83</v>
      </c>
      <c r="B3" s="3" t="n">
        <v>2370</v>
      </c>
    </row>
    <row r="4" customFormat="false" ht="15" hidden="false" customHeight="false" outlineLevel="0" collapsed="false">
      <c r="A4" s="0" t="s">
        <v>84</v>
      </c>
      <c r="B4" s="3" t="n">
        <v>-10077.5</v>
      </c>
    </row>
    <row r="5" customFormat="false" ht="15" hidden="false" customHeight="false" outlineLevel="0" collapsed="false">
      <c r="A5" s="0" t="s">
        <v>85</v>
      </c>
      <c r="B5" s="3" t="n">
        <v>-67.8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19395.959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1.1721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5</v>
      </c>
      <c r="D13" s="3" t="n">
        <v>2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25.5</v>
      </c>
      <c r="D14" s="3" t="n">
        <v>24.5</v>
      </c>
      <c r="E14" s="3" t="n">
        <v>23.5</v>
      </c>
      <c r="F14" s="3" t="n">
        <v>23</v>
      </c>
      <c r="G14" s="3" t="n">
        <v>22.5</v>
      </c>
      <c r="H14" s="3" t="n">
        <v>22.5</v>
      </c>
      <c r="I14" s="3" t="n">
        <v>22.5</v>
      </c>
      <c r="J14" s="3" t="n">
        <v>22.5</v>
      </c>
      <c r="K14" s="3" t="n">
        <v>22.5</v>
      </c>
      <c r="L14" s="3" t="n">
        <v>22.5</v>
      </c>
    </row>
    <row r="15" customFormat="false" ht="15" hidden="false" customHeight="false" outlineLevel="0" collapsed="false">
      <c r="A15" s="0" t="s">
        <v>105</v>
      </c>
      <c r="C15" s="3" t="n">
        <v>1.2</v>
      </c>
      <c r="D15" s="3" t="n">
        <v>1.2</v>
      </c>
      <c r="E15" s="3" t="n">
        <v>1.1</v>
      </c>
      <c r="F15" s="3" t="n">
        <v>1.1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106</v>
      </c>
      <c r="C16" s="3" t="n">
        <v>2.1</v>
      </c>
      <c r="D16" s="3" t="n">
        <v>2.1</v>
      </c>
      <c r="E16" s="3" t="n">
        <v>2.1</v>
      </c>
      <c r="F16" s="3" t="n">
        <v>2.1</v>
      </c>
      <c r="G16" s="3" t="n">
        <v>2.1</v>
      </c>
      <c r="H16" s="3" t="n">
        <v>2.1</v>
      </c>
      <c r="I16" s="3" t="n">
        <v>2.1</v>
      </c>
      <c r="J16" s="3" t="n">
        <v>2.1</v>
      </c>
      <c r="K16" s="3" t="n">
        <v>2.1</v>
      </c>
      <c r="L16" s="3" t="n">
        <v>2.1</v>
      </c>
    </row>
    <row r="17" customFormat="false" ht="15" hidden="false" customHeight="false" outlineLevel="0" collapsed="false">
      <c r="A17" s="0" t="s">
        <v>107</v>
      </c>
      <c r="C17" s="3" t="n">
        <v>3</v>
      </c>
      <c r="D17" s="3" t="n">
        <v>3</v>
      </c>
      <c r="E17" s="3" t="n">
        <v>3</v>
      </c>
      <c r="F17" s="3" t="n">
        <v>3</v>
      </c>
      <c r="G17" s="3" t="n">
        <v>3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108</v>
      </c>
      <c r="C18" s="3" t="n">
        <v>3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109</v>
      </c>
      <c r="C19" s="3" t="n">
        <v>20</v>
      </c>
      <c r="D19" s="3" t="n">
        <v>21</v>
      </c>
      <c r="E19" s="3" t="n">
        <v>22</v>
      </c>
      <c r="F19" s="3" t="n">
        <v>23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110</v>
      </c>
      <c r="B20" s="3" t="n">
        <v>9.5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10</v>
      </c>
    </row>
    <row r="23" customFormat="false" ht="15" hidden="false" customHeight="false" outlineLevel="0" collapsed="false">
      <c r="A23" s="0" t="s">
        <v>113</v>
      </c>
      <c r="B23" s="3" t="n">
        <v>0</v>
      </c>
    </row>
    <row r="24" customFormat="false" ht="15" hidden="false" customHeight="false" outlineLevel="0" collapsed="false">
      <c r="A24" s="0" t="s">
        <v>114</v>
      </c>
      <c r="B24" s="3" t="n">
        <v>0.3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8.5</v>
      </c>
      <c r="D27" s="3" t="n">
        <v>8.5</v>
      </c>
      <c r="E27" s="3" t="n">
        <v>7.5</v>
      </c>
      <c r="F27" s="3" t="n">
        <v>6.5</v>
      </c>
      <c r="G27" s="3" t="n">
        <v>5.5</v>
      </c>
      <c r="H27" s="3" t="n">
        <v>5</v>
      </c>
      <c r="I27" s="3" t="n">
        <v>4</v>
      </c>
      <c r="J27" s="3" t="n">
        <v>3.5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104</v>
      </c>
      <c r="C28" s="3" t="n">
        <v>26.5</v>
      </c>
      <c r="D28" s="3" t="n">
        <v>26.8</v>
      </c>
      <c r="E28" s="3" t="n">
        <v>27.1</v>
      </c>
      <c r="F28" s="3" t="n">
        <v>27.4</v>
      </c>
      <c r="G28" s="3" t="n">
        <v>27.6</v>
      </c>
      <c r="H28" s="3" t="n">
        <v>27.8</v>
      </c>
      <c r="I28" s="3" t="n">
        <v>28</v>
      </c>
      <c r="J28" s="3" t="n">
        <v>28</v>
      </c>
      <c r="K28" s="3" t="n">
        <v>28</v>
      </c>
      <c r="L28" s="3" t="n">
        <v>28</v>
      </c>
    </row>
    <row r="29" customFormat="false" ht="15" hidden="false" customHeight="false" outlineLevel="0" collapsed="false">
      <c r="A29" s="0" t="s">
        <v>105</v>
      </c>
      <c r="C29" s="3" t="n">
        <v>1</v>
      </c>
      <c r="D29" s="3" t="n">
        <v>1</v>
      </c>
      <c r="E29" s="3" t="n">
        <v>0.9</v>
      </c>
      <c r="F29" s="3" t="n">
        <v>0.9</v>
      </c>
      <c r="G29" s="3" t="n">
        <v>0.8</v>
      </c>
      <c r="H29" s="3" t="n">
        <v>0.8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106</v>
      </c>
      <c r="C30" s="3" t="n">
        <v>1.9</v>
      </c>
      <c r="D30" s="3" t="n">
        <v>1.9</v>
      </c>
      <c r="E30" s="3" t="n">
        <v>1.9</v>
      </c>
      <c r="F30" s="3" t="n">
        <v>1.9</v>
      </c>
      <c r="G30" s="3" t="n">
        <v>1.9</v>
      </c>
      <c r="H30" s="3" t="n">
        <v>1.9</v>
      </c>
      <c r="I30" s="3" t="n">
        <v>1.9</v>
      </c>
      <c r="J30" s="3" t="n">
        <v>1.9</v>
      </c>
      <c r="K30" s="3" t="n">
        <v>1.9</v>
      </c>
      <c r="L30" s="3" t="n">
        <v>1.9</v>
      </c>
    </row>
    <row r="31" customFormat="false" ht="15" hidden="false" customHeight="false" outlineLevel="0" collapsed="false">
      <c r="A31" s="0" t="s">
        <v>107</v>
      </c>
      <c r="C31" s="3" t="n">
        <v>3</v>
      </c>
      <c r="D31" s="3" t="n">
        <v>3</v>
      </c>
      <c r="E31" s="3" t="n">
        <v>2.9</v>
      </c>
      <c r="F31" s="3" t="n">
        <v>2.9</v>
      </c>
      <c r="G31" s="3" t="n">
        <v>2.8</v>
      </c>
      <c r="H31" s="3" t="n">
        <v>2.8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108</v>
      </c>
      <c r="C32" s="3" t="n">
        <v>2.8</v>
      </c>
      <c r="D32" s="3" t="n">
        <v>2.8</v>
      </c>
      <c r="E32" s="3" t="n">
        <v>2.8</v>
      </c>
      <c r="F32" s="3" t="n">
        <v>2.8</v>
      </c>
      <c r="G32" s="3" t="n">
        <v>2.8</v>
      </c>
      <c r="H32" s="3" t="n">
        <v>2.8</v>
      </c>
      <c r="I32" s="3" t="n">
        <v>2.8</v>
      </c>
      <c r="J32" s="3" t="n">
        <v>2.8</v>
      </c>
      <c r="K32" s="3" t="n">
        <v>2.8</v>
      </c>
      <c r="L32" s="3" t="n">
        <v>2.8</v>
      </c>
    </row>
    <row r="33" customFormat="false" ht="15" hidden="false" customHeight="false" outlineLevel="0" collapsed="false">
      <c r="A33" s="0" t="s">
        <v>109</v>
      </c>
      <c r="C33" s="3" t="n">
        <v>19</v>
      </c>
      <c r="D33" s="3" t="n">
        <v>20</v>
      </c>
      <c r="E33" s="3" t="n">
        <v>21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110</v>
      </c>
      <c r="B34" s="3" t="n">
        <v>9.5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12</v>
      </c>
    </row>
    <row r="37" customFormat="false" ht="15" hidden="false" customHeight="false" outlineLevel="0" collapsed="false">
      <c r="A37" s="0" t="s">
        <v>113</v>
      </c>
      <c r="B37" s="3" t="n">
        <v>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11</v>
      </c>
      <c r="D41" s="3" t="n">
        <v>12</v>
      </c>
      <c r="E41" s="3" t="n">
        <v>11</v>
      </c>
      <c r="F41" s="3" t="n">
        <v>10</v>
      </c>
      <c r="G41" s="3" t="n">
        <v>8.5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104</v>
      </c>
      <c r="C42" s="3" t="n">
        <v>26.8</v>
      </c>
      <c r="D42" s="3" t="n">
        <v>27.5</v>
      </c>
      <c r="E42" s="3" t="n">
        <v>28.2</v>
      </c>
      <c r="F42" s="3" t="n">
        <v>28.8</v>
      </c>
      <c r="G42" s="3" t="n">
        <v>29.3</v>
      </c>
      <c r="H42" s="3" t="n">
        <v>29.7</v>
      </c>
      <c r="I42" s="3" t="n">
        <v>30</v>
      </c>
      <c r="J42" s="3" t="n">
        <v>30</v>
      </c>
      <c r="K42" s="3" t="n">
        <v>30</v>
      </c>
      <c r="L42" s="3" t="n">
        <v>30</v>
      </c>
    </row>
    <row r="43" customFormat="false" ht="15" hidden="false" customHeight="false" outlineLevel="0" collapsed="false">
      <c r="A43" s="0" t="s">
        <v>105</v>
      </c>
      <c r="C43" s="3" t="n">
        <v>1</v>
      </c>
      <c r="D43" s="3" t="n">
        <v>0.9</v>
      </c>
      <c r="E43" s="3" t="n">
        <v>0.9</v>
      </c>
      <c r="F43" s="3" t="n">
        <v>0.8</v>
      </c>
      <c r="G43" s="3" t="n">
        <v>0.8</v>
      </c>
      <c r="H43" s="3" t="n">
        <v>0.7</v>
      </c>
      <c r="I43" s="3" t="n">
        <v>0.7</v>
      </c>
      <c r="J43" s="3" t="n">
        <v>0.7</v>
      </c>
      <c r="K43" s="3" t="n">
        <v>0.7</v>
      </c>
      <c r="L43" s="3" t="n">
        <v>0.7</v>
      </c>
    </row>
    <row r="44" customFormat="false" ht="15" hidden="false" customHeight="false" outlineLevel="0" collapsed="false">
      <c r="A44" s="0" t="s">
        <v>106</v>
      </c>
      <c r="C44" s="3" t="n">
        <v>1.9</v>
      </c>
      <c r="D44" s="3" t="n">
        <v>1.9</v>
      </c>
      <c r="E44" s="3" t="n">
        <v>1.9</v>
      </c>
      <c r="F44" s="3" t="n">
        <v>1.9</v>
      </c>
      <c r="G44" s="3" t="n">
        <v>1.9</v>
      </c>
      <c r="H44" s="3" t="n">
        <v>1.9</v>
      </c>
      <c r="I44" s="3" t="n">
        <v>1.9</v>
      </c>
      <c r="J44" s="3" t="n">
        <v>1.9</v>
      </c>
      <c r="K44" s="3" t="n">
        <v>1.9</v>
      </c>
      <c r="L44" s="3" t="n">
        <v>1.9</v>
      </c>
    </row>
    <row r="45" customFormat="false" ht="15" hidden="false" customHeight="false" outlineLevel="0" collapsed="false">
      <c r="A45" s="0" t="s">
        <v>107</v>
      </c>
      <c r="C45" s="3" t="n">
        <v>3</v>
      </c>
      <c r="D45" s="3" t="n">
        <v>3</v>
      </c>
      <c r="E45" s="3" t="n">
        <v>2.9</v>
      </c>
      <c r="F45" s="3" t="n">
        <v>2.9</v>
      </c>
      <c r="G45" s="3" t="n">
        <v>2.8</v>
      </c>
      <c r="H45" s="3" t="n">
        <v>2.8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108</v>
      </c>
      <c r="C46" s="3" t="n">
        <v>2.8</v>
      </c>
      <c r="D46" s="3" t="n">
        <v>2.8</v>
      </c>
      <c r="E46" s="3" t="n">
        <v>2.8</v>
      </c>
      <c r="F46" s="3" t="n">
        <v>2.8</v>
      </c>
      <c r="G46" s="3" t="n">
        <v>2.8</v>
      </c>
      <c r="H46" s="3" t="n">
        <v>2.8</v>
      </c>
      <c r="I46" s="3" t="n">
        <v>2.8</v>
      </c>
      <c r="J46" s="3" t="n">
        <v>2.8</v>
      </c>
      <c r="K46" s="3" t="n">
        <v>2.8</v>
      </c>
      <c r="L46" s="3" t="n">
        <v>2.8</v>
      </c>
    </row>
    <row r="47" customFormat="false" ht="15" hidden="false" customHeight="false" outlineLevel="0" collapsed="false">
      <c r="A47" s="0" t="s">
        <v>109</v>
      </c>
      <c r="C47" s="3" t="n">
        <v>19</v>
      </c>
      <c r="D47" s="3" t="n">
        <v>19</v>
      </c>
      <c r="E47" s="3" t="n">
        <v>20</v>
      </c>
      <c r="F47" s="3" t="n">
        <v>20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110</v>
      </c>
      <c r="B48" s="3" t="n">
        <v>9.5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15</v>
      </c>
    </row>
    <row r="51" customFormat="false" ht="15" hidden="false" customHeight="false" outlineLevel="0" collapsed="false">
      <c r="A51" s="0" t="s">
        <v>113</v>
      </c>
      <c r="B51" s="3" t="n">
        <v>0</v>
      </c>
    </row>
    <row r="52" customFormat="false" ht="15" hidden="false" customHeight="false" outlineLevel="0" collapsed="false">
      <c r="A52" s="0" t="s">
        <v>114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5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19395.959</v>
      </c>
      <c r="C6" s="0" t="n">
        <f aca="false">B6*(1+C5/100)</f>
        <v>20365.75695</v>
      </c>
      <c r="D6" s="0" t="n">
        <f aca="false">C6*(1+D5/100)</f>
        <v>20773.072089</v>
      </c>
      <c r="E6" s="0" t="n">
        <f aca="false">D6*(1+E5/100)</f>
        <v>21188.53353078</v>
      </c>
      <c r="F6" s="0" t="n">
        <f aca="false">E6*(1+F5/100)</f>
        <v>21824.1895367034</v>
      </c>
      <c r="G6" s="0" t="n">
        <f aca="false">F6*(1+G5/100)</f>
        <v>22478.9152228045</v>
      </c>
      <c r="H6" s="0" t="n">
        <f aca="false">G6*(1+H5/100)</f>
        <v>23153.2826794886</v>
      </c>
      <c r="I6" s="0" t="n">
        <f aca="false">H6*(1+I5/100)</f>
        <v>23732.1147464759</v>
      </c>
      <c r="J6" s="0" t="n">
        <f aca="false">I6*(1+J5/100)</f>
        <v>24325.4176151377</v>
      </c>
      <c r="K6" s="0" t="n">
        <f aca="false">J6*(1+K5/100)</f>
        <v>24811.9259674405</v>
      </c>
      <c r="L6" s="0" t="n">
        <f aca="false">K6*(1+L5/100)</f>
        <v>25308.1644867893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25.5</v>
      </c>
      <c r="D7" s="4" t="n">
        <f aca="false">Assumptions!D14</f>
        <v>24.5</v>
      </c>
      <c r="E7" s="4" t="n">
        <f aca="false">Assumptions!E14</f>
        <v>23.5</v>
      </c>
      <c r="F7" s="4" t="n">
        <f aca="false">Assumptions!F14</f>
        <v>23</v>
      </c>
      <c r="G7" s="4" t="n">
        <f aca="false">Assumptions!G14</f>
        <v>22.5</v>
      </c>
      <c r="H7" s="4" t="n">
        <f aca="false">Assumptions!H14</f>
        <v>22.5</v>
      </c>
      <c r="I7" s="4" t="n">
        <f aca="false">Assumptions!I14</f>
        <v>22.5</v>
      </c>
      <c r="J7" s="4" t="n">
        <f aca="false">Assumptions!J14</f>
        <v>22.5</v>
      </c>
      <c r="K7" s="4" t="n">
        <f aca="false">Assumptions!K14</f>
        <v>22.5</v>
      </c>
      <c r="L7" s="4" t="n">
        <f aca="false">Assumptions!L14</f>
        <v>22.5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5193.26802225</v>
      </c>
      <c r="D8" s="0" t="n">
        <f aca="false">D6*D7/100</f>
        <v>5089.402661805</v>
      </c>
      <c r="E8" s="0" t="n">
        <f aca="false">E6*E7/100</f>
        <v>4979.3053797333</v>
      </c>
      <c r="F8" s="0" t="n">
        <f aca="false">F6*F7/100</f>
        <v>5019.56359344178</v>
      </c>
      <c r="G8" s="0" t="n">
        <f aca="false">G6*G7/100</f>
        <v>5057.75592513101</v>
      </c>
      <c r="H8" s="0" t="n">
        <f aca="false">H6*H7/100</f>
        <v>5209.48860288494</v>
      </c>
      <c r="I8" s="0" t="n">
        <f aca="false">I6*I7/100</f>
        <v>5339.72581795707</v>
      </c>
      <c r="J8" s="0" t="n">
        <f aca="false">J6*J7/100</f>
        <v>5473.21896340599</v>
      </c>
      <c r="K8" s="0" t="n">
        <f aca="false">K6*K7/100</f>
        <v>5582.68334267411</v>
      </c>
      <c r="L8" s="0" t="n">
        <f aca="false">L6*L7/100</f>
        <v>5694.3370095276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1.2</v>
      </c>
      <c r="D9" s="4" t="n">
        <f aca="false">Assumptions!D15</f>
        <v>1.2</v>
      </c>
      <c r="E9" s="4" t="n">
        <f aca="false">Assumptions!E15</f>
        <v>1.1</v>
      </c>
      <c r="F9" s="4" t="n">
        <f aca="false">Assumptions!F15</f>
        <v>1.1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-244.3890834</v>
      </c>
      <c r="D10" s="0" t="n">
        <f aca="false">-D6*D9/100</f>
        <v>-249.276865068</v>
      </c>
      <c r="E10" s="0" t="n">
        <f aca="false">-E6*E9/100</f>
        <v>-233.07386883858</v>
      </c>
      <c r="F10" s="0" t="n">
        <f aca="false">-F6*F9/100</f>
        <v>-240.066084903737</v>
      </c>
      <c r="G10" s="0" t="n">
        <f aca="false">-G6*G9/100</f>
        <v>-224.789152228045</v>
      </c>
      <c r="H10" s="0" t="n">
        <f aca="false">-H6*H9/100</f>
        <v>-231.532826794886</v>
      </c>
      <c r="I10" s="0" t="n">
        <f aca="false">-I6*I9/100</f>
        <v>-237.321147464759</v>
      </c>
      <c r="J10" s="0" t="n">
        <f aca="false">-J6*J9/100</f>
        <v>-243.254176151377</v>
      </c>
      <c r="K10" s="0" t="n">
        <f aca="false">-K6*K9/100</f>
        <v>-248.119259674405</v>
      </c>
      <c r="L10" s="0" t="n">
        <f aca="false">-L6*L9/100</f>
        <v>-253.081644867893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4521.1980429</v>
      </c>
      <c r="D11" s="0" t="n">
        <f aca="false">D8+D10+D24</f>
        <v>4403.891282868</v>
      </c>
      <c r="E11" s="0" t="n">
        <f aca="false">E8+E10+E24</f>
        <v>4301.27230674834</v>
      </c>
      <c r="F11" s="0" t="n">
        <f aca="false">F8+F10+F24</f>
        <v>4321.18952826727</v>
      </c>
      <c r="G11" s="0" t="n">
        <f aca="false">G8+G10+G24</f>
        <v>4360.90955322407</v>
      </c>
      <c r="H11" s="0" t="n">
        <f aca="false">H8+H10+H24</f>
        <v>4491.7368398208</v>
      </c>
      <c r="I11" s="0" t="n">
        <f aca="false">I8+I10+I24</f>
        <v>4604.03026081632</v>
      </c>
      <c r="J11" s="0" t="n">
        <f aca="false">J8+J10+J24</f>
        <v>4719.13101733672</v>
      </c>
      <c r="K11" s="0" t="n">
        <f aca="false">K8+K10+K24</f>
        <v>4813.51363768346</v>
      </c>
      <c r="L11" s="0" t="n">
        <f aca="false">L8+L10+L24</f>
        <v>4909.78391043713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-610.9727085</v>
      </c>
      <c r="D12" s="4" t="n">
        <f aca="false">-D6*Assumptions!D17/100</f>
        <v>-623.19216267</v>
      </c>
      <c r="E12" s="4" t="n">
        <f aca="false">-E6*Assumptions!E17/100</f>
        <v>-635.6560059234</v>
      </c>
      <c r="F12" s="4" t="n">
        <f aca="false">-F6*Assumptions!F17/100</f>
        <v>-654.725686101102</v>
      </c>
      <c r="G12" s="4" t="n">
        <f aca="false">-G6*Assumptions!G17/100</f>
        <v>-674.367456684135</v>
      </c>
      <c r="H12" s="4" t="n">
        <f aca="false">-H6*Assumptions!H17/100</f>
        <v>-694.598480384659</v>
      </c>
      <c r="I12" s="4" t="n">
        <f aca="false">-I6*Assumptions!I17/100</f>
        <v>-711.963442394276</v>
      </c>
      <c r="J12" s="4" t="n">
        <f aca="false">-J6*Assumptions!J17/100</f>
        <v>-729.762528454132</v>
      </c>
      <c r="K12" s="4" t="n">
        <f aca="false">-K6*Assumptions!K17/100</f>
        <v>-744.357779023215</v>
      </c>
      <c r="L12" s="4" t="n">
        <f aca="false">-L6*Assumptions!L17/100</f>
        <v>-759.244934603679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3910.2253344</v>
      </c>
      <c r="D13" s="0" t="n">
        <f aca="false">D11+D12</f>
        <v>3780.699120198</v>
      </c>
      <c r="E13" s="0" t="n">
        <f aca="false">E11+E12</f>
        <v>3665.61630082494</v>
      </c>
      <c r="F13" s="0" t="n">
        <f aca="false">F11+F12</f>
        <v>3666.46384216617</v>
      </c>
      <c r="G13" s="0" t="n">
        <f aca="false">G11+G12</f>
        <v>3686.54209653994</v>
      </c>
      <c r="H13" s="0" t="n">
        <f aca="false">H11+H12</f>
        <v>3797.13835943614</v>
      </c>
      <c r="I13" s="0" t="n">
        <f aca="false">I11+I12</f>
        <v>3892.06681842204</v>
      </c>
      <c r="J13" s="0" t="n">
        <f aca="false">J11+J12</f>
        <v>3989.36848888259</v>
      </c>
      <c r="K13" s="0" t="n">
        <f aca="false">K11+K12</f>
        <v>4069.15585866024</v>
      </c>
      <c r="L13" s="0" t="n">
        <f aca="false">L11+L12</f>
        <v>4150.53897583345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20</v>
      </c>
      <c r="D14" s="4" t="n">
        <f aca="false">Assumptions!D19</f>
        <v>21</v>
      </c>
      <c r="E14" s="4" t="n">
        <f aca="false">Assumptions!E19</f>
        <v>22</v>
      </c>
      <c r="F14" s="4" t="n">
        <f aca="false">Assumptions!F19</f>
        <v>23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3128.18026752</v>
      </c>
      <c r="D15" s="0" t="n">
        <f aca="false">D13-MAX(0,D13)*D14/100</f>
        <v>2986.75230495642</v>
      </c>
      <c r="E15" s="0" t="n">
        <f aca="false">E13-MAX(0,E13)*E14/100</f>
        <v>2859.18071464345</v>
      </c>
      <c r="F15" s="0" t="n">
        <f aca="false">F13-MAX(0,F13)*F14/100</f>
        <v>2823.17715846795</v>
      </c>
      <c r="G15" s="0" t="n">
        <f aca="false">G13-MAX(0,G13)*G14/100</f>
        <v>2801.77199337035</v>
      </c>
      <c r="H15" s="0" t="n">
        <f aca="false">H13-MAX(0,H13)*H14/100</f>
        <v>2885.82515317146</v>
      </c>
      <c r="I15" s="0" t="n">
        <f aca="false">I13-MAX(0,I13)*I14/100</f>
        <v>2957.97078200075</v>
      </c>
      <c r="J15" s="0" t="n">
        <f aca="false">J13-MAX(0,J13)*J14/100</f>
        <v>3031.92005155077</v>
      </c>
      <c r="K15" s="0" t="n">
        <f aca="false">K13-MAX(0,K13)*K14/100</f>
        <v>3092.55845258179</v>
      </c>
      <c r="L15" s="0" t="n">
        <f aca="false">L13-MAX(0,L13)*L14/100</f>
        <v>3154.40962163342</v>
      </c>
    </row>
    <row r="16" customFormat="false" ht="15" hidden="false" customHeight="false" outlineLevel="0" collapsed="false">
      <c r="A16" s="0" t="s">
        <v>125</v>
      </c>
      <c r="C16" s="0" t="n">
        <f aca="false">-C12</f>
        <v>610.9727085</v>
      </c>
      <c r="D16" s="0" t="n">
        <f aca="false">-D12</f>
        <v>623.19216267</v>
      </c>
      <c r="E16" s="0" t="n">
        <f aca="false">-E12</f>
        <v>635.6560059234</v>
      </c>
      <c r="F16" s="0" t="n">
        <f aca="false">-F12</f>
        <v>654.725686101102</v>
      </c>
      <c r="G16" s="0" t="n">
        <f aca="false">-G12</f>
        <v>674.367456684135</v>
      </c>
      <c r="H16" s="0" t="n">
        <f aca="false">-H12</f>
        <v>694.598480384659</v>
      </c>
      <c r="I16" s="0" t="n">
        <f aca="false">-I12</f>
        <v>711.963442394276</v>
      </c>
      <c r="J16" s="0" t="n">
        <f aca="false">-J12</f>
        <v>729.762528454132</v>
      </c>
      <c r="K16" s="0" t="n">
        <f aca="false">-K12</f>
        <v>744.357779023215</v>
      </c>
      <c r="L16" s="0" t="n">
        <f aca="false">-L12</f>
        <v>759.244934603679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-610.9727085</v>
      </c>
      <c r="D17" s="4" t="n">
        <f aca="false">-D6*Assumptions!D18/100</f>
        <v>-623.19216267</v>
      </c>
      <c r="E17" s="4" t="n">
        <f aca="false">-E6*Assumptions!E18/100</f>
        <v>-635.6560059234</v>
      </c>
      <c r="F17" s="4" t="n">
        <f aca="false">-F6*Assumptions!F18/100</f>
        <v>-654.725686101102</v>
      </c>
      <c r="G17" s="4" t="n">
        <f aca="false">-G6*Assumptions!G18/100</f>
        <v>-674.367456684135</v>
      </c>
      <c r="H17" s="4" t="n">
        <f aca="false">-H6*Assumptions!H18/100</f>
        <v>-694.598480384659</v>
      </c>
      <c r="I17" s="4" t="n">
        <f aca="false">-I6*Assumptions!I18/100</f>
        <v>-711.963442394276</v>
      </c>
      <c r="J17" s="4" t="n">
        <f aca="false">-J6*Assumptions!J18/100</f>
        <v>-729.762528454132</v>
      </c>
      <c r="K17" s="4" t="n">
        <f aca="false">-K6*Assumptions!K18/100</f>
        <v>-744.357779023215</v>
      </c>
      <c r="L17" s="4" t="n">
        <f aca="false">-L6*Assumptions!L18/100</f>
        <v>-759.244934603679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3128.18026752</v>
      </c>
      <c r="D19" s="0" t="n">
        <f aca="false">D15+D16+D17+D18</f>
        <v>2986.75230495642</v>
      </c>
      <c r="E19" s="0" t="n">
        <f aca="false">E15+E16+E17+E18</f>
        <v>2859.18071464345</v>
      </c>
      <c r="F19" s="0" t="n">
        <f aca="false">F15+F16+F17+F18</f>
        <v>2823.17715846795</v>
      </c>
      <c r="G19" s="0" t="n">
        <f aca="false">G15+G16+G17+G18</f>
        <v>2801.77199337035</v>
      </c>
      <c r="H19" s="0" t="n">
        <f aca="false">H15+H16+H17+H18</f>
        <v>2885.82515317146</v>
      </c>
      <c r="I19" s="0" t="n">
        <f aca="false">I15+I16+I17+I18</f>
        <v>2957.97078200075</v>
      </c>
      <c r="J19" s="0" t="n">
        <f aca="false">J15+J16+J17+J18</f>
        <v>3031.92005155077</v>
      </c>
      <c r="K19" s="0" t="n">
        <f aca="false">K15+K16+K17+K18</f>
        <v>3092.55845258179</v>
      </c>
      <c r="L19" s="0" t="n">
        <f aca="false">L15+L16+L17+L18</f>
        <v>3154.40962163342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2856.78563243836</v>
      </c>
      <c r="D21" s="0" t="n">
        <f aca="false">D19*D20</f>
        <v>2490.98417877561</v>
      </c>
      <c r="E21" s="0" t="n">
        <f aca="false">E19*E20</f>
        <v>2177.70600305553</v>
      </c>
      <c r="F21" s="0" t="n">
        <f aca="false">F19*F20</f>
        <v>1963.72945738049</v>
      </c>
      <c r="G21" s="0" t="n">
        <f aca="false">G19*G20</f>
        <v>1779.76308200076</v>
      </c>
      <c r="H21" s="0" t="n">
        <f aca="false">H19*H20</f>
        <v>1674.11504516966</v>
      </c>
      <c r="I21" s="0" t="n">
        <f aca="false">I19*I20</f>
        <v>1567.09399205379</v>
      </c>
      <c r="J21" s="0" t="n">
        <f aca="false">J19*J20</f>
        <v>1466.91446744761</v>
      </c>
      <c r="K21" s="0" t="n">
        <f aca="false">K19*K20</f>
        <v>1366.44087378682</v>
      </c>
      <c r="L21" s="0" t="n">
        <f aca="false">L19*L20</f>
        <v>1272.84903311649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2.1</v>
      </c>
      <c r="D23" s="4" t="n">
        <f aca="false">Assumptions!D16</f>
        <v>2.1</v>
      </c>
      <c r="E23" s="4" t="n">
        <f aca="false">Assumptions!E16</f>
        <v>2.1</v>
      </c>
      <c r="F23" s="4" t="n">
        <f aca="false">Assumptions!F16</f>
        <v>2.1</v>
      </c>
      <c r="G23" s="4" t="n">
        <f aca="false">Assumptions!G16</f>
        <v>2.1</v>
      </c>
      <c r="H23" s="4" t="n">
        <f aca="false">Assumptions!H16</f>
        <v>2.1</v>
      </c>
      <c r="I23" s="4" t="n">
        <f aca="false">Assumptions!I16</f>
        <v>2.1</v>
      </c>
      <c r="J23" s="4" t="n">
        <f aca="false">Assumptions!J16</f>
        <v>2.1</v>
      </c>
      <c r="K23" s="4" t="n">
        <f aca="false">Assumptions!K16</f>
        <v>2.1</v>
      </c>
      <c r="L23" s="4" t="n">
        <f aca="false">Assumptions!L16</f>
        <v>2.1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-427.68089595</v>
      </c>
      <c r="D24" s="0" t="n">
        <f aca="false">-D6*D23/100</f>
        <v>-436.234513869</v>
      </c>
      <c r="E24" s="0" t="n">
        <f aca="false">-E6*E23/100</f>
        <v>-444.95920414638</v>
      </c>
      <c r="F24" s="0" t="n">
        <f aca="false">-F6*F23/100</f>
        <v>-458.307980270771</v>
      </c>
      <c r="G24" s="0" t="n">
        <f aca="false">-G6*G23/100</f>
        <v>-472.057219678895</v>
      </c>
      <c r="H24" s="0" t="n">
        <f aca="false">-H6*H23/100</f>
        <v>-486.218936269261</v>
      </c>
      <c r="I24" s="0" t="n">
        <f aca="false">-I6*I23/100</f>
        <v>-498.374409675993</v>
      </c>
      <c r="J24" s="0" t="n">
        <f aca="false">-J6*J23/100</f>
        <v>-510.833769917893</v>
      </c>
      <c r="K24" s="0" t="n">
        <f aca="false">-K6*K23/100</f>
        <v>-521.050445316251</v>
      </c>
      <c r="L24" s="0" t="n">
        <f aca="false">-L6*L23/100</f>
        <v>-531.471454222576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18616.3817652251</v>
      </c>
    </row>
    <row r="31" customFormat="false" ht="15" hidden="false" customHeight="false" outlineLevel="0" collapsed="false">
      <c r="A31" s="0" t="s">
        <v>134</v>
      </c>
      <c r="B31" s="0" t="n">
        <f aca="false">L19</f>
        <v>3154.40962163342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42899.9708542145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31544.0962163342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31544.0962163342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12728.4903311649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31344.87209639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41354.57209639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20.4521915418476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1.03707087070195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1507.8745189299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1388.85966386266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21.8847915990843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24749.9831851238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15.3326381278753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8.5</v>
      </c>
      <c r="D5" s="4" t="n">
        <f aca="false">Assumptions!D27</f>
        <v>8.5</v>
      </c>
      <c r="E5" s="4" t="n">
        <f aca="false">Assumptions!E27</f>
        <v>7.5</v>
      </c>
      <c r="F5" s="4" t="n">
        <f aca="false">Assumptions!F27</f>
        <v>6.5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19395.959</v>
      </c>
      <c r="C6" s="0" t="n">
        <f aca="false">B6*(1+C5/100)</f>
        <v>21044.615515</v>
      </c>
      <c r="D6" s="0" t="n">
        <f aca="false">C6*(1+D5/100)</f>
        <v>22833.407833775</v>
      </c>
      <c r="E6" s="0" t="n">
        <f aca="false">D6*(1+E5/100)</f>
        <v>24545.9134213081</v>
      </c>
      <c r="F6" s="0" t="n">
        <f aca="false">E6*(1+F5/100)</f>
        <v>26141.3977936931</v>
      </c>
      <c r="G6" s="0" t="n">
        <f aca="false">F6*(1+G5/100)</f>
        <v>27579.1746723463</v>
      </c>
      <c r="H6" s="0" t="n">
        <f aca="false">G6*(1+H5/100)</f>
        <v>28958.1334059636</v>
      </c>
      <c r="I6" s="0" t="n">
        <f aca="false">H6*(1+I5/100)</f>
        <v>30116.4587422021</v>
      </c>
      <c r="J6" s="0" t="n">
        <f aca="false">I6*(1+J5/100)</f>
        <v>31170.5347981792</v>
      </c>
      <c r="K6" s="0" t="n">
        <f aca="false">J6*(1+K5/100)</f>
        <v>32105.6508421246</v>
      </c>
      <c r="L6" s="0" t="n">
        <f aca="false">K6*(1+L5/100)</f>
        <v>32908.2921131777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26.5</v>
      </c>
      <c r="D7" s="4" t="n">
        <f aca="false">Assumptions!D28</f>
        <v>26.8</v>
      </c>
      <c r="E7" s="4" t="n">
        <f aca="false">Assumptions!E28</f>
        <v>27.1</v>
      </c>
      <c r="F7" s="4" t="n">
        <f aca="false">Assumptions!F28</f>
        <v>27.4</v>
      </c>
      <c r="G7" s="4" t="n">
        <f aca="false">Assumptions!G28</f>
        <v>27.6</v>
      </c>
      <c r="H7" s="4" t="n">
        <f aca="false">Assumptions!H28</f>
        <v>27.8</v>
      </c>
      <c r="I7" s="4" t="n">
        <f aca="false">Assumptions!I28</f>
        <v>28</v>
      </c>
      <c r="J7" s="4" t="n">
        <f aca="false">Assumptions!J28</f>
        <v>28</v>
      </c>
      <c r="K7" s="4" t="n">
        <f aca="false">Assumptions!K28</f>
        <v>28</v>
      </c>
      <c r="L7" s="4" t="n">
        <f aca="false">Assumptions!L28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5576.823111475</v>
      </c>
      <c r="D8" s="0" t="n">
        <f aca="false">D6*D7/100</f>
        <v>6119.3532994517</v>
      </c>
      <c r="E8" s="0" t="n">
        <f aca="false">E6*E7/100</f>
        <v>6651.9425371745</v>
      </c>
      <c r="F8" s="0" t="n">
        <f aca="false">F6*F7/100</f>
        <v>7162.74299547192</v>
      </c>
      <c r="G8" s="0" t="n">
        <f aca="false">G6*G7/100</f>
        <v>7611.85220956757</v>
      </c>
      <c r="H8" s="0" t="n">
        <f aca="false">H6*H7/100</f>
        <v>8050.36108685788</v>
      </c>
      <c r="I8" s="0" t="n">
        <f aca="false">I6*I7/100</f>
        <v>8432.6084478166</v>
      </c>
      <c r="J8" s="0" t="n">
        <f aca="false">J6*J7/100</f>
        <v>8727.74974349018</v>
      </c>
      <c r="K8" s="0" t="n">
        <f aca="false">K6*K7/100</f>
        <v>8989.58223579488</v>
      </c>
      <c r="L8" s="0" t="n">
        <f aca="false">L6*L7/100</f>
        <v>9214.32179168975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0.9</v>
      </c>
      <c r="F9" s="4" t="n">
        <f aca="false">Assumptions!F29</f>
        <v>0.9</v>
      </c>
      <c r="G9" s="4" t="n">
        <f aca="false">Assumptions!G29</f>
        <v>0.8</v>
      </c>
      <c r="H9" s="4" t="n">
        <f aca="false">Assumptions!H29</f>
        <v>0.8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-210.44615515</v>
      </c>
      <c r="D10" s="0" t="n">
        <f aca="false">-D6*D9/100</f>
        <v>-228.33407833775</v>
      </c>
      <c r="E10" s="0" t="n">
        <f aca="false">-E6*E9/100</f>
        <v>-220.913220791773</v>
      </c>
      <c r="F10" s="0" t="n">
        <f aca="false">-F6*F9/100</f>
        <v>-235.272580143238</v>
      </c>
      <c r="G10" s="0" t="n">
        <f aca="false">-G6*G9/100</f>
        <v>-220.63339737877</v>
      </c>
      <c r="H10" s="0" t="n">
        <f aca="false">-H6*H9/100</f>
        <v>-231.665067247709</v>
      </c>
      <c r="I10" s="0" t="n">
        <f aca="false">-I6*I9/100</f>
        <v>-240.931669937617</v>
      </c>
      <c r="J10" s="0" t="n">
        <f aca="false">-J6*J9/100</f>
        <v>-249.364278385434</v>
      </c>
      <c r="K10" s="0" t="n">
        <f aca="false">-K6*K9/100</f>
        <v>-256.845206736997</v>
      </c>
      <c r="L10" s="0" t="n">
        <f aca="false">-L6*L9/100</f>
        <v>-263.266336905422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4966.52926154</v>
      </c>
      <c r="D11" s="0" t="n">
        <f aca="false">D8+D10+D24</f>
        <v>5457.18447227222</v>
      </c>
      <c r="E11" s="0" t="n">
        <f aca="false">E8+E10+E24</f>
        <v>5964.65696137787</v>
      </c>
      <c r="F11" s="0" t="n">
        <f aca="false">F8+F10+F24</f>
        <v>6430.78385724851</v>
      </c>
      <c r="G11" s="0" t="n">
        <f aca="false">G8+G10+G24</f>
        <v>6867.21449341422</v>
      </c>
      <c r="H11" s="0" t="n">
        <f aca="false">H8+H10+H24</f>
        <v>7268.49148489686</v>
      </c>
      <c r="I11" s="0" t="n">
        <f aca="false">I8+I10+I24</f>
        <v>7619.46406177714</v>
      </c>
      <c r="J11" s="0" t="n">
        <f aca="false">J8+J10+J24</f>
        <v>7886.14530393934</v>
      </c>
      <c r="K11" s="0" t="n">
        <f aca="false">K8+K10+K24</f>
        <v>8122.72966305752</v>
      </c>
      <c r="L11" s="0" t="n">
        <f aca="false">L8+L10+L24</f>
        <v>8325.79790463396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-631.33846545</v>
      </c>
      <c r="D12" s="4" t="n">
        <f aca="false">-D6*Assumptions!D31/100</f>
        <v>-685.00223501325</v>
      </c>
      <c r="E12" s="4" t="n">
        <f aca="false">-E6*Assumptions!E31/100</f>
        <v>-711.831489217935</v>
      </c>
      <c r="F12" s="4" t="n">
        <f aca="false">-F6*Assumptions!F31/100</f>
        <v>-758.100536017101</v>
      </c>
      <c r="G12" s="4" t="n">
        <f aca="false">-G6*Assumptions!G31/100</f>
        <v>-772.216890825696</v>
      </c>
      <c r="H12" s="4" t="n">
        <f aca="false">-H6*Assumptions!H31/100</f>
        <v>-810.82773536698</v>
      </c>
      <c r="I12" s="4" t="n">
        <f aca="false">-I6*Assumptions!I31/100</f>
        <v>-843.26084478166</v>
      </c>
      <c r="J12" s="4" t="n">
        <f aca="false">-J6*Assumptions!J31/100</f>
        <v>-872.774974349018</v>
      </c>
      <c r="K12" s="4" t="n">
        <f aca="false">-K6*Assumptions!K31/100</f>
        <v>-898.958223579488</v>
      </c>
      <c r="L12" s="4" t="n">
        <f aca="false">-L6*Assumptions!L31/100</f>
        <v>-921.432179168975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4335.19079609</v>
      </c>
      <c r="D13" s="0" t="n">
        <f aca="false">D11+D12</f>
        <v>4772.18223725897</v>
      </c>
      <c r="E13" s="0" t="n">
        <f aca="false">E11+E12</f>
        <v>5252.82547215994</v>
      </c>
      <c r="F13" s="0" t="n">
        <f aca="false">F11+F12</f>
        <v>5672.68332123141</v>
      </c>
      <c r="G13" s="0" t="n">
        <f aca="false">G11+G12</f>
        <v>6094.99760258853</v>
      </c>
      <c r="H13" s="0" t="n">
        <f aca="false">H11+H12</f>
        <v>6457.66374952988</v>
      </c>
      <c r="I13" s="0" t="n">
        <f aca="false">I11+I12</f>
        <v>6776.20321699548</v>
      </c>
      <c r="J13" s="0" t="n">
        <f aca="false">J11+J12</f>
        <v>7013.37032959032</v>
      </c>
      <c r="K13" s="0" t="n">
        <f aca="false">K11+K12</f>
        <v>7223.77143947803</v>
      </c>
      <c r="L13" s="0" t="n">
        <f aca="false">L11+L12</f>
        <v>7404.36572546498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19</v>
      </c>
      <c r="D14" s="4" t="n">
        <f aca="false">Assumptions!D33</f>
        <v>20</v>
      </c>
      <c r="E14" s="4" t="n">
        <f aca="false">Assumptions!E33</f>
        <v>21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3511.5045448329</v>
      </c>
      <c r="D15" s="0" t="n">
        <f aca="false">D13-MAX(0,D13)*D14/100</f>
        <v>3817.74578980718</v>
      </c>
      <c r="E15" s="0" t="n">
        <f aca="false">E13-MAX(0,E13)*E14/100</f>
        <v>4149.73212300635</v>
      </c>
      <c r="F15" s="0" t="n">
        <f aca="false">F13-MAX(0,F13)*F14/100</f>
        <v>4424.6929905605</v>
      </c>
      <c r="G15" s="0" t="n">
        <f aca="false">G13-MAX(0,G13)*G14/100</f>
        <v>4754.09813001905</v>
      </c>
      <c r="H15" s="0" t="n">
        <f aca="false">H13-MAX(0,H13)*H14/100</f>
        <v>5036.97772463331</v>
      </c>
      <c r="I15" s="0" t="n">
        <f aca="false">I13-MAX(0,I13)*I14/100</f>
        <v>5285.43850925647</v>
      </c>
      <c r="J15" s="0" t="n">
        <f aca="false">J13-MAX(0,J13)*J14/100</f>
        <v>5470.42885708045</v>
      </c>
      <c r="K15" s="0" t="n">
        <f aca="false">K13-MAX(0,K13)*K14/100</f>
        <v>5634.54172279286</v>
      </c>
      <c r="L15" s="0" t="n">
        <f aca="false">L13-MAX(0,L13)*L14/100</f>
        <v>5775.40526586269</v>
      </c>
    </row>
    <row r="16" customFormat="false" ht="15" hidden="false" customHeight="false" outlineLevel="0" collapsed="false">
      <c r="A16" s="0" t="s">
        <v>125</v>
      </c>
      <c r="C16" s="0" t="n">
        <f aca="false">-C12</f>
        <v>631.33846545</v>
      </c>
      <c r="D16" s="0" t="n">
        <f aca="false">-D12</f>
        <v>685.00223501325</v>
      </c>
      <c r="E16" s="0" t="n">
        <f aca="false">-E12</f>
        <v>711.831489217935</v>
      </c>
      <c r="F16" s="0" t="n">
        <f aca="false">-F12</f>
        <v>758.100536017101</v>
      </c>
      <c r="G16" s="0" t="n">
        <f aca="false">-G12</f>
        <v>772.216890825696</v>
      </c>
      <c r="H16" s="0" t="n">
        <f aca="false">-H12</f>
        <v>810.82773536698</v>
      </c>
      <c r="I16" s="0" t="n">
        <f aca="false">-I12</f>
        <v>843.26084478166</v>
      </c>
      <c r="J16" s="0" t="n">
        <f aca="false">-J12</f>
        <v>872.774974349018</v>
      </c>
      <c r="K16" s="0" t="n">
        <f aca="false">-K12</f>
        <v>898.958223579488</v>
      </c>
      <c r="L16" s="0" t="n">
        <f aca="false">-L12</f>
        <v>921.432179168975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-589.24923442</v>
      </c>
      <c r="D17" s="4" t="n">
        <f aca="false">-D6*Assumptions!D32/100</f>
        <v>-639.3354193457</v>
      </c>
      <c r="E17" s="4" t="n">
        <f aca="false">-E6*Assumptions!E32/100</f>
        <v>-687.285575796627</v>
      </c>
      <c r="F17" s="4" t="n">
        <f aca="false">-F6*Assumptions!F32/100</f>
        <v>-731.959138223408</v>
      </c>
      <c r="G17" s="4" t="n">
        <f aca="false">-G6*Assumptions!G32/100</f>
        <v>-772.216890825696</v>
      </c>
      <c r="H17" s="4" t="n">
        <f aca="false">-H6*Assumptions!H32/100</f>
        <v>-810.82773536698</v>
      </c>
      <c r="I17" s="4" t="n">
        <f aca="false">-I6*Assumptions!I32/100</f>
        <v>-843.26084478166</v>
      </c>
      <c r="J17" s="4" t="n">
        <f aca="false">-J6*Assumptions!J32/100</f>
        <v>-872.774974349018</v>
      </c>
      <c r="K17" s="4" t="n">
        <f aca="false">-K6*Assumptions!K32/100</f>
        <v>-898.958223579488</v>
      </c>
      <c r="L17" s="4" t="n">
        <f aca="false">-L6*Assumptions!L32/100</f>
        <v>-921.432179168975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3553.5937758629</v>
      </c>
      <c r="D19" s="0" t="n">
        <f aca="false">D15+D16+D17+D18</f>
        <v>3863.41260547473</v>
      </c>
      <c r="E19" s="0" t="n">
        <f aca="false">E15+E16+E17+E18</f>
        <v>4174.27803642766</v>
      </c>
      <c r="F19" s="0" t="n">
        <f aca="false">F15+F16+F17+F18</f>
        <v>4450.8343883542</v>
      </c>
      <c r="G19" s="0" t="n">
        <f aca="false">G15+G16+G17+G18</f>
        <v>4754.09813001905</v>
      </c>
      <c r="H19" s="0" t="n">
        <f aca="false">H15+H16+H17+H18</f>
        <v>5036.97772463331</v>
      </c>
      <c r="I19" s="0" t="n">
        <f aca="false">I15+I16+I17+I18</f>
        <v>5285.43850925647</v>
      </c>
      <c r="J19" s="0" t="n">
        <f aca="false">J15+J16+J17+J18</f>
        <v>5470.42885708045</v>
      </c>
      <c r="K19" s="0" t="n">
        <f aca="false">K15+K16+K17+K18</f>
        <v>5634.54172279286</v>
      </c>
      <c r="L19" s="0" t="n">
        <f aca="false">L15+L16+L17+L18</f>
        <v>5775.40526586269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3245.2911195095</v>
      </c>
      <c r="D21" s="0" t="n">
        <f aca="false">D19*D20</f>
        <v>3222.12848395549</v>
      </c>
      <c r="E21" s="0" t="n">
        <f aca="false">E19*E20</f>
        <v>3179.35494311172</v>
      </c>
      <c r="F21" s="0" t="n">
        <f aca="false">F19*F20</f>
        <v>3095.88598509215</v>
      </c>
      <c r="G21" s="0" t="n">
        <f aca="false">G19*G20</f>
        <v>3019.93465565287</v>
      </c>
      <c r="H21" s="0" t="n">
        <f aca="false">H19*H20</f>
        <v>2922.03433798681</v>
      </c>
      <c r="I21" s="0" t="n">
        <f aca="false">I19*I20</f>
        <v>2800.15576341263</v>
      </c>
      <c r="J21" s="0" t="n">
        <f aca="false">J19*J20</f>
        <v>2646.72257089687</v>
      </c>
      <c r="K21" s="0" t="n">
        <f aca="false">K19*K20</f>
        <v>2489.61118540984</v>
      </c>
      <c r="L21" s="0" t="n">
        <f aca="false">L19*L20</f>
        <v>2330.45795894529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1.9</v>
      </c>
      <c r="D23" s="4" t="n">
        <f aca="false">Assumptions!D30</f>
        <v>1.9</v>
      </c>
      <c r="E23" s="4" t="n">
        <f aca="false">Assumptions!E30</f>
        <v>1.9</v>
      </c>
      <c r="F23" s="4" t="n">
        <f aca="false">Assumptions!F30</f>
        <v>1.9</v>
      </c>
      <c r="G23" s="4" t="n">
        <f aca="false">Assumptions!G30</f>
        <v>1.9</v>
      </c>
      <c r="H23" s="4" t="n">
        <f aca="false">Assumptions!H30</f>
        <v>1.9</v>
      </c>
      <c r="I23" s="4" t="n">
        <f aca="false">Assumptions!I30</f>
        <v>1.9</v>
      </c>
      <c r="J23" s="4" t="n">
        <f aca="false">Assumptions!J30</f>
        <v>1.9</v>
      </c>
      <c r="K23" s="4" t="n">
        <f aca="false">Assumptions!K30</f>
        <v>1.9</v>
      </c>
      <c r="L23" s="4" t="n">
        <f aca="false">Assumptions!L30</f>
        <v>1.9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-399.847694785</v>
      </c>
      <c r="D24" s="0" t="n">
        <f aca="false">-D6*D23/100</f>
        <v>-433.834748841725</v>
      </c>
      <c r="E24" s="0" t="n">
        <f aca="false">-E6*E23/100</f>
        <v>-466.372355004854</v>
      </c>
      <c r="F24" s="0" t="n">
        <f aca="false">-F6*F23/100</f>
        <v>-496.68655808017</v>
      </c>
      <c r="G24" s="0" t="n">
        <f aca="false">-G6*G23/100</f>
        <v>-524.004318774579</v>
      </c>
      <c r="H24" s="0" t="n">
        <f aca="false">-H6*H23/100</f>
        <v>-550.204534713308</v>
      </c>
      <c r="I24" s="0" t="n">
        <f aca="false">-I6*I23/100</f>
        <v>-572.21271610184</v>
      </c>
      <c r="J24" s="0" t="n">
        <f aca="false">-J6*J23/100</f>
        <v>-592.240161165405</v>
      </c>
      <c r="K24" s="0" t="n">
        <f aca="false">-K6*K23/100</f>
        <v>-610.007366000367</v>
      </c>
      <c r="L24" s="0" t="n">
        <f aca="false">-L6*L23/100</f>
        <v>-625.257550150376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28951.5770039732</v>
      </c>
    </row>
    <row r="31" customFormat="false" ht="15" hidden="false" customHeight="false" outlineLevel="0" collapsed="false">
      <c r="A31" s="0" t="s">
        <v>134</v>
      </c>
      <c r="B31" s="0" t="n">
        <f aca="false">L19</f>
        <v>5775.40526586269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84568.4342501322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69304.8631903522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69304.8631903522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27965.4955073435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56917.0725113166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66926.7725113166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33.0991012913562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2.29672323619086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1457.0845476632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1555.53563397243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34.5890135761221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47358.323180074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21.9398233015922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11</v>
      </c>
      <c r="D5" s="4" t="n">
        <f aca="false">Assumptions!D41</f>
        <v>12</v>
      </c>
      <c r="E5" s="4" t="n">
        <f aca="false">Assumptions!E41</f>
        <v>11</v>
      </c>
      <c r="F5" s="4" t="n">
        <f aca="false">Assumptions!F41</f>
        <v>10</v>
      </c>
      <c r="G5" s="4" t="n">
        <f aca="false">Assumptions!G41</f>
        <v>8.5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19395.959</v>
      </c>
      <c r="C6" s="0" t="n">
        <f aca="false">B6*(1+C5/100)</f>
        <v>21529.51449</v>
      </c>
      <c r="D6" s="0" t="n">
        <f aca="false">C6*(1+D5/100)</f>
        <v>24113.0562288</v>
      </c>
      <c r="E6" s="0" t="n">
        <f aca="false">D6*(1+E5/100)</f>
        <v>26765.492413968</v>
      </c>
      <c r="F6" s="0" t="n">
        <f aca="false">E6*(1+F5/100)</f>
        <v>29442.0416553648</v>
      </c>
      <c r="G6" s="0" t="n">
        <f aca="false">F6*(1+G5/100)</f>
        <v>31944.6151960708</v>
      </c>
      <c r="H6" s="0" t="n">
        <f aca="false">G6*(1+H5/100)</f>
        <v>34180.7382597958</v>
      </c>
      <c r="I6" s="0" t="n">
        <f aca="false">H6*(1+I5/100)</f>
        <v>36231.5825553835</v>
      </c>
      <c r="J6" s="0" t="n">
        <f aca="false">I6*(1+J5/100)</f>
        <v>38043.1616831527</v>
      </c>
      <c r="K6" s="0" t="n">
        <f aca="false">J6*(1+K5/100)</f>
        <v>39564.8881504788</v>
      </c>
      <c r="L6" s="0" t="n">
        <f aca="false">K6*(1+L5/100)</f>
        <v>40949.6592357456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26.8</v>
      </c>
      <c r="D7" s="4" t="n">
        <f aca="false">Assumptions!D42</f>
        <v>27.5</v>
      </c>
      <c r="E7" s="4" t="n">
        <f aca="false">Assumptions!E42</f>
        <v>28.2</v>
      </c>
      <c r="F7" s="4" t="n">
        <f aca="false">Assumptions!F42</f>
        <v>28.8</v>
      </c>
      <c r="G7" s="4" t="n">
        <f aca="false">Assumptions!G42</f>
        <v>29.3</v>
      </c>
      <c r="H7" s="4" t="n">
        <f aca="false">Assumptions!H42</f>
        <v>29.7</v>
      </c>
      <c r="I7" s="4" t="n">
        <f aca="false">Assumptions!I42</f>
        <v>30</v>
      </c>
      <c r="J7" s="4" t="n">
        <f aca="false">Assumptions!J42</f>
        <v>30</v>
      </c>
      <c r="K7" s="4" t="n">
        <f aca="false">Assumptions!K42</f>
        <v>30</v>
      </c>
      <c r="L7" s="4" t="n">
        <f aca="false">Assumptions!L42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5769.90988332</v>
      </c>
      <c r="D8" s="0" t="n">
        <f aca="false">D6*D7/100</f>
        <v>6631.09046292</v>
      </c>
      <c r="E8" s="0" t="n">
        <f aca="false">E6*E7/100</f>
        <v>7547.86886073898</v>
      </c>
      <c r="F8" s="0" t="n">
        <f aca="false">F6*F7/100</f>
        <v>8479.30799674507</v>
      </c>
      <c r="G8" s="0" t="n">
        <f aca="false">G6*G7/100</f>
        <v>9359.77225244875</v>
      </c>
      <c r="H8" s="0" t="n">
        <f aca="false">H6*H7/100</f>
        <v>10151.6792631593</v>
      </c>
      <c r="I8" s="0" t="n">
        <f aca="false">I6*I7/100</f>
        <v>10869.4747666151</v>
      </c>
      <c r="J8" s="0" t="n">
        <f aca="false">J6*J7/100</f>
        <v>11412.9485049458</v>
      </c>
      <c r="K8" s="0" t="n">
        <f aca="false">K6*K7/100</f>
        <v>11869.4664451436</v>
      </c>
      <c r="L8" s="0" t="n">
        <f aca="false">L6*L7/100</f>
        <v>12284.8977707237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1</v>
      </c>
      <c r="D9" s="4" t="n">
        <f aca="false">Assumptions!D43</f>
        <v>0.9</v>
      </c>
      <c r="E9" s="4" t="n">
        <f aca="false">Assumptions!E43</f>
        <v>0.9</v>
      </c>
      <c r="F9" s="4" t="n">
        <f aca="false">Assumptions!F43</f>
        <v>0.8</v>
      </c>
      <c r="G9" s="4" t="n">
        <f aca="false">Assumptions!G43</f>
        <v>0.8</v>
      </c>
      <c r="H9" s="4" t="n">
        <f aca="false">Assumptions!H43</f>
        <v>0.7</v>
      </c>
      <c r="I9" s="4" t="n">
        <f aca="false">Assumptions!I43</f>
        <v>0.7</v>
      </c>
      <c r="J9" s="4" t="n">
        <f aca="false">Assumptions!J43</f>
        <v>0.7</v>
      </c>
      <c r="K9" s="4" t="n">
        <f aca="false">Assumptions!K43</f>
        <v>0.7</v>
      </c>
      <c r="L9" s="4" t="n">
        <f aca="false">Assumptions!L43</f>
        <v>0.7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-215.2951449</v>
      </c>
      <c r="D10" s="0" t="n">
        <f aca="false">-D6*D9/100</f>
        <v>-217.0175060592</v>
      </c>
      <c r="E10" s="0" t="n">
        <f aca="false">-E6*E9/100</f>
        <v>-240.889431725712</v>
      </c>
      <c r="F10" s="0" t="n">
        <f aca="false">-F6*F9/100</f>
        <v>-235.536333242919</v>
      </c>
      <c r="G10" s="0" t="n">
        <f aca="false">-G6*G9/100</f>
        <v>-255.556921568567</v>
      </c>
      <c r="H10" s="0" t="n">
        <f aca="false">-H6*H9/100</f>
        <v>-239.26516781857</v>
      </c>
      <c r="I10" s="0" t="n">
        <f aca="false">-I6*I9/100</f>
        <v>-253.621077887685</v>
      </c>
      <c r="J10" s="0" t="n">
        <f aca="false">-J6*J9/100</f>
        <v>-266.302131782069</v>
      </c>
      <c r="K10" s="0" t="n">
        <f aca="false">-K6*K9/100</f>
        <v>-276.954217053352</v>
      </c>
      <c r="L10" s="0" t="n">
        <f aca="false">-L6*L9/100</f>
        <v>-286.647614650219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5145.55396311</v>
      </c>
      <c r="D11" s="0" t="n">
        <f aca="false">D8+D10+D24</f>
        <v>5955.9248885136</v>
      </c>
      <c r="E11" s="0" t="n">
        <f aca="false">E8+E10+E24</f>
        <v>6798.43507314787</v>
      </c>
      <c r="F11" s="0" t="n">
        <f aca="false">F8+F10+F24</f>
        <v>7684.37287205022</v>
      </c>
      <c r="G11" s="0" t="n">
        <f aca="false">G8+G10+G24</f>
        <v>8497.26764215484</v>
      </c>
      <c r="H11" s="0" t="n">
        <f aca="false">H8+H10+H24</f>
        <v>9262.98006840466</v>
      </c>
      <c r="I11" s="0" t="n">
        <f aca="false">I8+I10+I24</f>
        <v>9927.45362017509</v>
      </c>
      <c r="J11" s="0" t="n">
        <f aca="false">J8+J10+J24</f>
        <v>10423.8263011838</v>
      </c>
      <c r="K11" s="0" t="n">
        <f aca="false">K8+K10+K24</f>
        <v>10840.7793532312</v>
      </c>
      <c r="L11" s="0" t="n">
        <f aca="false">L8+L10+L24</f>
        <v>11220.2066305943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-645.8854347</v>
      </c>
      <c r="D12" s="4" t="n">
        <f aca="false">-D6*Assumptions!D45/100</f>
        <v>-723.391686864</v>
      </c>
      <c r="E12" s="4" t="n">
        <f aca="false">-E6*Assumptions!E45/100</f>
        <v>-776.199280005072</v>
      </c>
      <c r="F12" s="4" t="n">
        <f aca="false">-F6*Assumptions!F45/100</f>
        <v>-853.819208005579</v>
      </c>
      <c r="G12" s="4" t="n">
        <f aca="false">-G6*Assumptions!G45/100</f>
        <v>-894.449225489983</v>
      </c>
      <c r="H12" s="4" t="n">
        <f aca="false">-H6*Assumptions!H45/100</f>
        <v>-957.060671274282</v>
      </c>
      <c r="I12" s="4" t="n">
        <f aca="false">-I6*Assumptions!I45/100</f>
        <v>-1014.48431155074</v>
      </c>
      <c r="J12" s="4" t="n">
        <f aca="false">-J6*Assumptions!J45/100</f>
        <v>-1065.20852712828</v>
      </c>
      <c r="K12" s="4" t="n">
        <f aca="false">-K6*Assumptions!K45/100</f>
        <v>-1107.81686821341</v>
      </c>
      <c r="L12" s="4" t="n">
        <f aca="false">-L6*Assumptions!L45/100</f>
        <v>-1146.59045860088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4499.66852841</v>
      </c>
      <c r="D13" s="0" t="n">
        <f aca="false">D11+D12</f>
        <v>5232.5332016496</v>
      </c>
      <c r="E13" s="0" t="n">
        <f aca="false">E11+E12</f>
        <v>6022.2357931428</v>
      </c>
      <c r="F13" s="0" t="n">
        <f aca="false">F11+F12</f>
        <v>6830.55366404464</v>
      </c>
      <c r="G13" s="0" t="n">
        <f aca="false">G11+G12</f>
        <v>7602.81841666486</v>
      </c>
      <c r="H13" s="0" t="n">
        <f aca="false">H11+H12</f>
        <v>8305.91939713037</v>
      </c>
      <c r="I13" s="0" t="n">
        <f aca="false">I11+I12</f>
        <v>8912.96930862435</v>
      </c>
      <c r="J13" s="0" t="n">
        <f aca="false">J11+J12</f>
        <v>9358.61777405557</v>
      </c>
      <c r="K13" s="0" t="n">
        <f aca="false">K11+K12</f>
        <v>9732.96248501779</v>
      </c>
      <c r="L13" s="0" t="n">
        <f aca="false">L11+L12</f>
        <v>10073.6161719934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19</v>
      </c>
      <c r="D14" s="4" t="n">
        <f aca="false">Assumptions!D47</f>
        <v>19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3644.7315080121</v>
      </c>
      <c r="D15" s="0" t="n">
        <f aca="false">D13-MAX(0,D13)*D14/100</f>
        <v>4238.35189333618</v>
      </c>
      <c r="E15" s="0" t="n">
        <f aca="false">E13-MAX(0,E13)*E14/100</f>
        <v>4817.78863451424</v>
      </c>
      <c r="F15" s="0" t="n">
        <f aca="false">F13-MAX(0,F13)*F14/100</f>
        <v>5464.44293123571</v>
      </c>
      <c r="G15" s="0" t="n">
        <f aca="false">G13-MAX(0,G13)*G14/100</f>
        <v>6006.22654916524</v>
      </c>
      <c r="H15" s="0" t="n">
        <f aca="false">H13-MAX(0,H13)*H14/100</f>
        <v>6561.676323733</v>
      </c>
      <c r="I15" s="0" t="n">
        <f aca="false">I13-MAX(0,I13)*I14/100</f>
        <v>7041.24575381323</v>
      </c>
      <c r="J15" s="0" t="n">
        <f aca="false">J13-MAX(0,J13)*J14/100</f>
        <v>7393.3080415039</v>
      </c>
      <c r="K15" s="0" t="n">
        <f aca="false">K13-MAX(0,K13)*K14/100</f>
        <v>7689.04036316405</v>
      </c>
      <c r="L15" s="0" t="n">
        <f aca="false">L13-MAX(0,L13)*L14/100</f>
        <v>7958.15677587479</v>
      </c>
    </row>
    <row r="16" customFormat="false" ht="15" hidden="false" customHeight="false" outlineLevel="0" collapsed="false">
      <c r="A16" s="0" t="s">
        <v>125</v>
      </c>
      <c r="C16" s="0" t="n">
        <f aca="false">-C12</f>
        <v>645.8854347</v>
      </c>
      <c r="D16" s="0" t="n">
        <f aca="false">-D12</f>
        <v>723.391686864</v>
      </c>
      <c r="E16" s="0" t="n">
        <f aca="false">-E12</f>
        <v>776.199280005072</v>
      </c>
      <c r="F16" s="0" t="n">
        <f aca="false">-F12</f>
        <v>853.819208005579</v>
      </c>
      <c r="G16" s="0" t="n">
        <f aca="false">-G12</f>
        <v>894.449225489983</v>
      </c>
      <c r="H16" s="0" t="n">
        <f aca="false">-H12</f>
        <v>957.060671274282</v>
      </c>
      <c r="I16" s="0" t="n">
        <f aca="false">-I12</f>
        <v>1014.48431155074</v>
      </c>
      <c r="J16" s="0" t="n">
        <f aca="false">-J12</f>
        <v>1065.20852712828</v>
      </c>
      <c r="K16" s="0" t="n">
        <f aca="false">-K12</f>
        <v>1107.81686821341</v>
      </c>
      <c r="L16" s="0" t="n">
        <f aca="false">-L12</f>
        <v>1146.59045860088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-602.82640572</v>
      </c>
      <c r="D17" s="4" t="n">
        <f aca="false">-D6*Assumptions!D46/100</f>
        <v>-675.1655744064</v>
      </c>
      <c r="E17" s="4" t="n">
        <f aca="false">-E6*Assumptions!E46/100</f>
        <v>-749.433787591104</v>
      </c>
      <c r="F17" s="4" t="n">
        <f aca="false">-F6*Assumptions!F46/100</f>
        <v>-824.377166350215</v>
      </c>
      <c r="G17" s="4" t="n">
        <f aca="false">-G6*Assumptions!G46/100</f>
        <v>-894.449225489983</v>
      </c>
      <c r="H17" s="4" t="n">
        <f aca="false">-H6*Assumptions!H46/100</f>
        <v>-957.060671274282</v>
      </c>
      <c r="I17" s="4" t="n">
        <f aca="false">-I6*Assumptions!I46/100</f>
        <v>-1014.48431155074</v>
      </c>
      <c r="J17" s="4" t="n">
        <f aca="false">-J6*Assumptions!J46/100</f>
        <v>-1065.20852712828</v>
      </c>
      <c r="K17" s="4" t="n">
        <f aca="false">-K6*Assumptions!K46/100</f>
        <v>-1107.81686821341</v>
      </c>
      <c r="L17" s="4" t="n">
        <f aca="false">-L6*Assumptions!L46/100</f>
        <v>-1146.59045860088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3687.7905369921</v>
      </c>
      <c r="D19" s="0" t="n">
        <f aca="false">D15+D16+D17+D18</f>
        <v>4286.57800579378</v>
      </c>
      <c r="E19" s="0" t="n">
        <f aca="false">E15+E16+E17+E18</f>
        <v>4844.55412692821</v>
      </c>
      <c r="F19" s="0" t="n">
        <f aca="false">F15+F16+F17+F18</f>
        <v>5493.88497289107</v>
      </c>
      <c r="G19" s="0" t="n">
        <f aca="false">G15+G16+G17+G18</f>
        <v>6006.22654916524</v>
      </c>
      <c r="H19" s="0" t="n">
        <f aca="false">H15+H16+H17+H18</f>
        <v>6561.676323733</v>
      </c>
      <c r="I19" s="0" t="n">
        <f aca="false">I15+I16+I17+I18</f>
        <v>7041.24575381323</v>
      </c>
      <c r="J19" s="0" t="n">
        <f aca="false">J15+J16+J17+J18</f>
        <v>7393.3080415039</v>
      </c>
      <c r="K19" s="0" t="n">
        <f aca="false">K15+K16+K17+K18</f>
        <v>7689.04036316405</v>
      </c>
      <c r="L19" s="0" t="n">
        <f aca="false">L15+L16+L17+L18</f>
        <v>7958.15677587479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3367.84523926219</v>
      </c>
      <c r="D21" s="0" t="n">
        <f aca="false">D19*D20</f>
        <v>3575.05306877987</v>
      </c>
      <c r="E21" s="0" t="n">
        <f aca="false">E19*E20</f>
        <v>3689.87330891906</v>
      </c>
      <c r="F21" s="0" t="n">
        <f aca="false">F19*F20</f>
        <v>3821.40515849909</v>
      </c>
      <c r="G21" s="0" t="n">
        <f aca="false">G19*G20</f>
        <v>3815.32126798016</v>
      </c>
      <c r="H21" s="0" t="n">
        <f aca="false">H19*H20</f>
        <v>3806.53728900473</v>
      </c>
      <c r="I21" s="0" t="n">
        <f aca="false">I19*I20</f>
        <v>3730.35933435133</v>
      </c>
      <c r="J21" s="0" t="n">
        <f aca="false">J19*J20</f>
        <v>3577.05689595333</v>
      </c>
      <c r="K21" s="0" t="n">
        <f aca="false">K19*K20</f>
        <v>3397.38737149905</v>
      </c>
      <c r="L21" s="0" t="n">
        <f aca="false">L19*L20</f>
        <v>3211.22915936212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1.9</v>
      </c>
      <c r="D23" s="4" t="n">
        <f aca="false">Assumptions!D44</f>
        <v>1.9</v>
      </c>
      <c r="E23" s="4" t="n">
        <f aca="false">Assumptions!E44</f>
        <v>1.9</v>
      </c>
      <c r="F23" s="4" t="n">
        <f aca="false">Assumptions!F44</f>
        <v>1.9</v>
      </c>
      <c r="G23" s="4" t="n">
        <f aca="false">Assumptions!G44</f>
        <v>1.9</v>
      </c>
      <c r="H23" s="4" t="n">
        <f aca="false">Assumptions!H44</f>
        <v>1.9</v>
      </c>
      <c r="I23" s="4" t="n">
        <f aca="false">Assumptions!I44</f>
        <v>1.9</v>
      </c>
      <c r="J23" s="4" t="n">
        <f aca="false">Assumptions!J44</f>
        <v>1.9</v>
      </c>
      <c r="K23" s="4" t="n">
        <f aca="false">Assumptions!K44</f>
        <v>1.9</v>
      </c>
      <c r="L23" s="4" t="n">
        <f aca="false">Assumptions!L44</f>
        <v>1.9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-409.06077531</v>
      </c>
      <c r="D24" s="0" t="n">
        <f aca="false">-D6*D23/100</f>
        <v>-458.1480683472</v>
      </c>
      <c r="E24" s="0" t="n">
        <f aca="false">-E6*E23/100</f>
        <v>-508.544355865392</v>
      </c>
      <c r="F24" s="0" t="n">
        <f aca="false">-F6*F23/100</f>
        <v>-559.398791451931</v>
      </c>
      <c r="G24" s="0" t="n">
        <f aca="false">-G6*G23/100</f>
        <v>-606.947688725346</v>
      </c>
      <c r="H24" s="0" t="n">
        <f aca="false">-H6*H23/100</f>
        <v>-649.43402693612</v>
      </c>
      <c r="I24" s="0" t="n">
        <f aca="false">-I6*I23/100</f>
        <v>-688.400068552287</v>
      </c>
      <c r="J24" s="0" t="n">
        <f aca="false">-J6*J23/100</f>
        <v>-722.820071979901</v>
      </c>
      <c r="K24" s="0" t="n">
        <f aca="false">-K6*K23/100</f>
        <v>-751.732874859097</v>
      </c>
      <c r="L24" s="0" t="n">
        <f aca="false">-L6*L23/100</f>
        <v>-778.043525479166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35992.0680936109</v>
      </c>
    </row>
    <row r="31" customFormat="false" ht="15" hidden="false" customHeight="false" outlineLevel="0" collapsed="false">
      <c r="A31" s="0" t="s">
        <v>134</v>
      </c>
      <c r="B31" s="0" t="n">
        <f aca="false">L19</f>
        <v>7958.15677587479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126106.176602324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119372.351638122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119372.351638122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48168.4373904318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84160.5054840427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94170.2054840427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46.5725307374879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3.63869828062629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1527.30387289816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1832.86723814733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48.2343267540518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68307.5123262586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27.0565068247236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20.4521915418476</v>
      </c>
      <c r="C4" s="0" t="n">
        <f aca="false">B4/Assumptions!$B$2-1</f>
        <v>1.03707087070195</v>
      </c>
      <c r="D4" s="4" t="n">
        <f aca="false">Assumptions!$B$24</f>
        <v>0.3</v>
      </c>
      <c r="E4" s="4" t="n">
        <f aca="false">DCF_Bear!$B$43</f>
        <v>21.8847915990843</v>
      </c>
      <c r="F4" s="4" t="n">
        <f aca="false">DCF_Bear!$B$47</f>
        <v>15.3326381278753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33.0991012913562</v>
      </c>
      <c r="C5" s="0" t="n">
        <f aca="false">B5/Assumptions!$B$2-1</f>
        <v>2.29672323619086</v>
      </c>
      <c r="D5" s="4" t="n">
        <f aca="false">Assumptions!$B$38</f>
        <v>0.5</v>
      </c>
      <c r="E5" s="4" t="n">
        <f aca="false">DCF_Base!$B$43</f>
        <v>34.5890135761221</v>
      </c>
      <c r="F5" s="4" t="n">
        <f aca="false">DCF_Base!$B$47</f>
        <v>21.9398233015922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46.5725307374879</v>
      </c>
      <c r="C6" s="0" t="n">
        <f aca="false">B6/Assumptions!$B$2-1</f>
        <v>3.63869828062629</v>
      </c>
      <c r="D6" s="4" t="n">
        <f aca="false">Assumptions!$B$52</f>
        <v>0.2</v>
      </c>
      <c r="E6" s="4" t="n">
        <f aca="false">DCF_Bull!$B$43</f>
        <v>48.2343267540518</v>
      </c>
      <c r="F6" s="4" t="n">
        <f aca="false">DCF_Bull!$B$47</f>
        <v>27.0565068247236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31.99971425573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33.5068096185967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0.68624719834171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-1457.0885689648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20.9810044541034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34.0932760073379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33.0991012913562</v>
      </c>
      <c r="C16" s="3" t="n">
        <v>9.5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32.1486918577137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30.3704926380967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27.6292506378628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21.9398233015922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37.3623826550732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37.3623826550732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37.3623826550732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37.3623826550732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37.3623826550732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35.1335451751019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35.1335451751019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35.1335451751019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35.1335451751019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35.1335451751019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33.0991012913562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33.0991012913562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33.0991012913562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33.0991012913562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33.0991012913562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30.4797899931608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31.2398481977266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31.2398481977266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31.2398481977266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31.2398481977266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27.7594740297899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28.3238537202636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28.9509422652344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29.5386620226285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29.5386620226285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2026-10-11T07:52:23Z</dcterms:created>
  <dc:creator>openpyxl</dc:creator>
  <dc:description/>
  <dc:language>en-NZ</dc:language>
  <cp:lastModifiedBy/>
  <dcterms:modified xsi:type="dcterms:W3CDTF">2026-10-11T07:52:23Z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