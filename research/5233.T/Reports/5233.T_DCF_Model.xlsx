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<sst xmlns="http://schemas.openxmlformats.org/spreadsheetml/2006/main" count="359" uniqueCount="166">
  <si>
    <t xml:space="preserve">Ticker</t>
  </si>
  <si>
    <t xml:space="preserve">5233.T</t>
  </si>
  <si>
    <t xml:space="preserve">Company</t>
  </si>
  <si>
    <t xml:space="preserve">Taiheiyo Cement Corporation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</si>
  <si>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</si>
  <si>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</si>
  <si>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</si>
  <si>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</si>
  <si>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regular TSE close (Friday; Yahoo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</si>
  <si>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</si>
  <si>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</si>
  <si>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</si>
  <si>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</si>
  <si>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</si>
  <si>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</si>
  <si>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</si>
  <si>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</si>
  <si>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</si>
  <si>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</si>
  <si>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</si>
  <si>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</si>
  <si>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2026-10-31T08:04:33Z</t>
  </si>
  <si>
    <t xml:space="preserve">Drivers file</t>
  </si>
  <si>
    <t xml:space="preserve">5233.T_Drivers.json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</si>
  <si>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</si>
  <si>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</si>
  <si>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</si>
  <si>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owner-FCF DCF on the organic business at a JPY cost of equity of 7.5%, with cyclicality in the scenario flows and weights rather than the rate. The result is far below both book value (P/B ~0.7) and the market price because the business earns ~5% on invested capital and has spent 6-11% of revenue on capex against ~7% D&amp;A for a decade; owner FCF has averaged ~23bn/yr on a ~460bn market capitalisation with ~380bn of net debt ahead of equity. The market is pricing the asset base (land, quarries, CalPortland) and the Palliser activist thesis (CalPortland sale/IPO at ~444bn, non-core real estate disposals); that is a sum-of-parts re-rating case the DCF does not grant. Memo: at 13x terminal FCF the implied terminal EV/EBITDA is ~3.3x versus ~5.8x today -- the gap is the price of the re-rating thesis.
key_risks_to_valuation: Capex intensity: every 1pp of revenue (~9bn/yr) of permanent capex above the 8.5% terminal assumption is worth roughly 800-900 yen/share at the base cap multiple; Energy/coal and freight shock (FY2023 analogue) with lagging price pass-through; the bear path puts DCF equity at the zero floor; Vulcan ready-mix acquisition ($712M) closes after the Q1 balance-sheet date: the model keeps the pre-funding cash and excludes the target; if the assets were bought above DCF value the bridge is generous by the difference; Philippines / emerging-market impairments recurring (24.8bn FY2026, also FY2025); GX-ETS carbon pricing from FY2026-27 on a process-emission-intensive product; CCUS (C2SP kiln) capex with unproven economics; Upside risk: Palliser Capital campaign forces a CalPortland sale or US IPO at a multiple the DCF does not assume; domestic pricing proves structural and margins hold 16%+; Cross-shareholding bridge (138bn) is at balance-sheet fair value; a Japanese equity drawdown or forced unwinding at a discount reduces it</t>
  </si>
  <si>
    <t xml:space="preserve">Data sources</t>
  </si>
  <si>
    <t xml:space="preserve">price: Yahoo Finance chart API at inputs.price_as_of; 52-week range 3265-4968 JPY
financials: 5233.T_Metrics.csv / core_metrics (FY2018-FY2026 tanshin, J-GAAP, JPY millions); Q1 FY2027 tanshin (2026-08-06) for the 2026-06-30 balance sheet and share count; FY2026 tanshin for the P&amp;L bridge, segment table, D&amp;A, cash taxes, and FY2027 guidance; H1 FY2026 tanshin subsequent-events note for the Vulcan ready-mix acquisition terms
qualitative: 5233.T_Analysis.json (2026-10-31): segment mix, Palliser Capital campaign, price-revision history, GX-ETS and decarbonisation risks</t>
  </si>
  <si>
    <t xml:space="preserve">Scenario narrative: bear</t>
  </si>
  <si>
    <t xml:space="preserve">A repeat of the FY2023 energy shock: coal, fuel and maritime freight spike on Middle East escalation while price pass-through lags a year, so EBITDA margin drops to ~12% in years 2-3 and only recovers to 13%. Domestic demand falls 5-6% a year and pricing cannot fully offset; US West Coast housing stays weak; the Philippines unit needs a further impairment; Japan's GX-ETS carbon pricing adds cost and the C2SP/CCUS programme keeps capex at 9-10% of revenue. With 2.6x ND/EBITDA the DCF equity value in this path sits at or near the zero floor -- the business survives on its asset base and A+/A credit, but owner cash flow does not cover the debt plus a positive equity value at a 7.5% rate.</t>
  </si>
  <si>
    <t xml:space="preserve">Scenario narrative: base</t>
  </si>
  <si>
    <t xml:space="preserve">The organic business earns a mid-cycle 14.5% EBITDA margin on revenue growing ~1-1.5%: domestic volumes decline 4-6% a year but the oligopoly keeps passing through costs (cumulative ~7,000 yen/t since FY2023) and blended-cement exports keep plants loaded; CalPortland grows with US infrastructure spending; the Environmental and Mineral Resources segments grow modestly. Capex falls back from the 26 Medium-Term Plan peak (101bn FY2026) toward ~8.5% of revenue, still above D&amp;A to fund decarbonisation. Owner FCF recovers from 13bn (FY2026) to ~25bn in year 1 and ~40bn by year 10. The Vulcan ready-mix acquisition is excluded from both the flows and the net debt (its pre-funding cash is left in the bridge).</t>
  </si>
  <si>
    <t xml:space="preserve">Scenario narrative: bull</t>
  </si>
  <si>
    <t xml:space="preserve">Three consecutive years of domestic price revisions prove structural rather than cyclical: the domestic cement operating margin reaches management's 10%+ target, group EBITDA margin holds 16-16.5%. Energy and freight stay benign, CalPortland benefits from the LA Olympics build-out, Bay Area data-centre construction (now with the Vulcan ready-mix footprint) and reshoring. Growth capex normalises to ~8% of revenue once Medium-Term-Plan projects complete, lifting FCF conversion. Terminal cap 15x. The Palliser-driven CalPortland monetisation is a further upside not in these flows.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</si>
  <si>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</si>
  <si>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</si>
  <si>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</si>
  <si>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</si>
  <si>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</si>
  <si>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</si>
  <si>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</si>
  <si>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</si>
  <si>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</si>
  <si>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</si>
  <si>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</si>
  <si>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</si>
  <si>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</si>
  <si>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</si>
  <si>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</si>
  <si>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</si>
  <si>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</si>
  <si>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</si>
  <si>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</si>
  <si>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</si>
  <si>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</si>
  <si>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</si>
  <si>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</si>
  <si>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</si>
  <si>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</si>
  <si>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</si>
  <si>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</si>
  <si>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NonControllingInterests</t>
  </si>
  <si>
    <t xml:space="preserve">OrdinaryProfit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</si>
  <si>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</si>
  <si>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</si>
  <si>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</si>
  <si>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</si>
  <si>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</si>
  <si>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</si>
  <si>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</si>
  <si>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</si>
  <si>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</si>
  <si>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</si>
  <si>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</si>
  <si>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</si>
  <si>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</si>
  <si>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</si>
  <si>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</si>
  <si>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</si>
  <si>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</si>
  <si>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</si>
  <si>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</si>
  <si>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</si>
  <si>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</si>
  <si>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</si>
  <si>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</si>
  <si>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</si>
  <si>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</si>
  <si>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</si>
  <si>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</si>
  <si>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</si>
  <si>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</si>
  <si>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</si>
  <si>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</si>
  <si>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</si>
  <si>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</si>
  <si>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</si>
  <si>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</si>
  <si>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</si>
  <si>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</si>
  <si>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</si>
  <si>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</si>
  <si>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</si>
  <si>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</si>
  <si>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</si>
  <si>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</si>
  <si>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</si>
  <si>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</si>
  <si>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</si>
  <si>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5233.T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</si>
  <si>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</si>
  <si>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</si>
  <si>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</si>
  <si>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</si>
  <si>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</si>
  <si>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</si>
  <si>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</si>
  <si>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</si>
  <si>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</si>
  <si>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</si>
  <si>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</si>
  <si>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</si>
  <si>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</si>
  <si>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</si>
  <si>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</si>
  <si>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</si>
  <si>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</si>
  <si>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</si>
  <si>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</si>
  <si>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</si>
  <si>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</si>
  <si>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</si>
  <si>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</si>
  <si>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</si>
  <si>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</si>
  <si>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</si>
  <si>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</si>
  <si>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</si>
  <si>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</si>
  <si>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</si>
  <si>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5233.T owner-FCF component DCF: base case (millions, JPY)</t>
  </si>
  <si>
    <t xml:space="preserve">5233.T owner-FCF component DCF: bull case (millions, JPY)</t>
  </si>
  <si>
    <t xml:space="preserve">5233.T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</si>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</sst>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4231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871113</v>
      </c>
      <c r="C2" s="0" t="n">
        <v>664996</v>
      </c>
      <c r="D2" s="0" t="n">
        <v>206117</v>
      </c>
      <c r="E2" s="0" t="n">
        <v>23.7</v>
      </c>
      <c r="F2" s="0" t="n">
        <v>65129</v>
      </c>
      <c r="G2" s="0" t="n">
        <v>7.5</v>
      </c>
      <c r="H2" s="0" t="n">
        <v>109132</v>
      </c>
      <c r="I2" s="0" t="n">
        <v>38525</v>
      </c>
      <c r="J2" s="0" t="n">
        <v>4.4</v>
      </c>
      <c r="K2" s="0" t="n">
        <v>311.4</v>
      </c>
      <c r="L2" s="0" t="n">
        <v>107683</v>
      </c>
      <c r="M2" s="0" t="n">
        <v>52588</v>
      </c>
      <c r="N2" s="0" t="n">
        <v>55095</v>
      </c>
      <c r="O2" s="0" t="n">
        <v>395268</v>
      </c>
      <c r="P2" s="0" t="n">
        <v>1022142</v>
      </c>
      <c r="Q2" s="0" t="n">
        <v>589815</v>
      </c>
      <c r="R2" s="0" t="n">
        <v>288606</v>
      </c>
      <c r="S2" s="0" t="n">
        <v>44976</v>
      </c>
      <c r="T2" s="0" t="n">
        <v>123.77</v>
      </c>
      <c r="V2" s="0" t="n">
        <v>60</v>
      </c>
      <c r="AA2" s="0" t="s">
        <v>17</v>
      </c>
      <c r="AB2" s="0" t="s">
        <v>14</v>
      </c>
      <c r="AC2" s="0" t="n">
        <v>37058</v>
      </c>
      <c r="AD2" s="0" t="n">
        <v>64366</v>
      </c>
    </row>
    <row r="3" customFormat="false" ht="15" hidden="false" customHeight="false" outlineLevel="0" collapsed="false">
      <c r="A3" s="0" t="s">
        <v>66</v>
      </c>
      <c r="B3" s="0" t="n">
        <v>916071</v>
      </c>
      <c r="C3" s="0" t="n">
        <v>712660</v>
      </c>
      <c r="D3" s="0" t="n">
        <v>203411</v>
      </c>
      <c r="E3" s="0" t="n">
        <v>22.2</v>
      </c>
      <c r="F3" s="0" t="n">
        <v>66012</v>
      </c>
      <c r="G3" s="0" t="n">
        <v>7.2</v>
      </c>
      <c r="H3" s="0" t="n">
        <v>110020</v>
      </c>
      <c r="I3" s="0" t="n">
        <v>43452</v>
      </c>
      <c r="J3" s="0" t="n">
        <v>4.7</v>
      </c>
      <c r="K3" s="0" t="n">
        <v>351.72</v>
      </c>
      <c r="L3" s="0" t="n">
        <v>97283</v>
      </c>
      <c r="M3" s="0" t="n">
        <v>64520</v>
      </c>
      <c r="N3" s="0" t="n">
        <v>32763</v>
      </c>
      <c r="O3" s="0" t="n">
        <v>414710</v>
      </c>
      <c r="P3" s="0" t="n">
        <v>1034428</v>
      </c>
      <c r="Q3" s="0" t="n">
        <v>583783</v>
      </c>
      <c r="R3" s="0" t="n">
        <v>279614</v>
      </c>
      <c r="S3" s="0" t="n">
        <v>50084</v>
      </c>
      <c r="T3" s="0" t="n">
        <v>122.39</v>
      </c>
      <c r="V3" s="0" t="n">
        <v>80</v>
      </c>
      <c r="AA3" s="0" t="s">
        <v>17</v>
      </c>
      <c r="AB3" s="0" t="s">
        <v>14</v>
      </c>
      <c r="AC3" s="0" t="n">
        <v>35935</v>
      </c>
      <c r="AD3" s="0" t="n">
        <v>64306</v>
      </c>
    </row>
    <row r="4" customFormat="false" ht="15" hidden="false" customHeight="false" outlineLevel="0" collapsed="false">
      <c r="A4" s="0" t="s">
        <v>67</v>
      </c>
      <c r="B4" s="0" t="n">
        <v>884350</v>
      </c>
      <c r="C4" s="0" t="n">
        <v>689321</v>
      </c>
      <c r="D4" s="0" t="n">
        <v>195029</v>
      </c>
      <c r="E4" s="0" t="n">
        <v>22.1</v>
      </c>
      <c r="F4" s="0" t="n">
        <v>61008</v>
      </c>
      <c r="G4" s="0" t="n">
        <v>6.9</v>
      </c>
      <c r="H4" s="0" t="n">
        <v>109871</v>
      </c>
      <c r="I4" s="0" t="n">
        <v>39151</v>
      </c>
      <c r="J4" s="0" t="n">
        <v>4.4</v>
      </c>
      <c r="K4" s="0" t="n">
        <v>319.89</v>
      </c>
      <c r="L4" s="0" t="n">
        <v>90902</v>
      </c>
      <c r="M4" s="0" t="n">
        <v>66378</v>
      </c>
      <c r="N4" s="0" t="n">
        <v>24524</v>
      </c>
      <c r="O4" s="0" t="n">
        <v>436678</v>
      </c>
      <c r="P4" s="0" t="n">
        <v>1032923</v>
      </c>
      <c r="Q4" s="0" t="n">
        <v>559682</v>
      </c>
      <c r="R4" s="0" t="n">
        <v>266115</v>
      </c>
      <c r="S4" s="0" t="n">
        <v>45748</v>
      </c>
      <c r="T4" s="0" t="n">
        <v>122.4</v>
      </c>
      <c r="V4" s="0" t="n">
        <v>60</v>
      </c>
      <c r="AA4" s="0" t="s">
        <v>17</v>
      </c>
      <c r="AB4" s="0" t="s">
        <v>14</v>
      </c>
      <c r="AC4" s="0" t="n">
        <v>36563</v>
      </c>
      <c r="AD4" s="0" t="n">
        <v>60541</v>
      </c>
    </row>
    <row r="5" customFormat="false" ht="15" hidden="false" customHeight="false" outlineLevel="0" collapsed="false">
      <c r="A5" s="0" t="s">
        <v>68</v>
      </c>
      <c r="B5" s="0" t="n">
        <v>863903</v>
      </c>
      <c r="C5" s="0" t="n">
        <v>672631</v>
      </c>
      <c r="D5" s="0" t="n">
        <v>191272</v>
      </c>
      <c r="E5" s="0" t="n">
        <v>22.1</v>
      </c>
      <c r="F5" s="0" t="n">
        <v>63610</v>
      </c>
      <c r="G5" s="0" t="n">
        <v>7.4</v>
      </c>
      <c r="H5" s="0" t="n">
        <v>116293</v>
      </c>
      <c r="I5" s="0" t="n">
        <v>46800</v>
      </c>
      <c r="J5" s="0" t="n">
        <v>5.4</v>
      </c>
      <c r="K5" s="0" t="n">
        <v>387.79</v>
      </c>
      <c r="L5" s="0" t="n">
        <v>110403</v>
      </c>
      <c r="M5" s="0" t="n">
        <v>58656</v>
      </c>
      <c r="N5" s="0" t="n">
        <v>51747</v>
      </c>
      <c r="O5" s="0" t="n">
        <v>470922</v>
      </c>
      <c r="P5" s="0" t="n">
        <v>1044227</v>
      </c>
      <c r="Q5" s="0" t="n">
        <v>537405</v>
      </c>
      <c r="R5" s="0" t="n">
        <v>248101</v>
      </c>
      <c r="S5" s="0" t="n">
        <v>63819</v>
      </c>
      <c r="T5" s="0" t="n">
        <v>118.58</v>
      </c>
      <c r="V5" s="0" t="n">
        <v>60</v>
      </c>
      <c r="AA5" s="0" t="s">
        <v>17</v>
      </c>
      <c r="AB5" s="0" t="s">
        <v>14</v>
      </c>
      <c r="AC5" s="0" t="n">
        <v>35899</v>
      </c>
      <c r="AD5" s="0" t="n">
        <v>65744</v>
      </c>
    </row>
    <row r="6" customFormat="false" ht="15" hidden="false" customHeight="false" outlineLevel="0" collapsed="false">
      <c r="A6" s="0" t="s">
        <v>69</v>
      </c>
      <c r="B6" s="0" t="n">
        <v>708201</v>
      </c>
      <c r="C6" s="0" t="n">
        <v>532818</v>
      </c>
      <c r="D6" s="0" t="n">
        <v>175382</v>
      </c>
      <c r="E6" s="0" t="n">
        <v>24.8</v>
      </c>
      <c r="F6" s="0" t="n">
        <v>46701</v>
      </c>
      <c r="G6" s="0" t="n">
        <v>6.6</v>
      </c>
      <c r="H6" s="0" t="n">
        <v>102711</v>
      </c>
      <c r="I6" s="0" t="n">
        <v>28971</v>
      </c>
      <c r="J6" s="0" t="n">
        <v>4.1</v>
      </c>
      <c r="K6" s="0" t="n">
        <v>245.79</v>
      </c>
      <c r="L6" s="0" t="n">
        <v>71191</v>
      </c>
      <c r="M6" s="0" t="n">
        <v>67326</v>
      </c>
      <c r="N6" s="0" t="n">
        <v>3865</v>
      </c>
      <c r="O6" s="0" t="n">
        <v>510618</v>
      </c>
      <c r="P6" s="0" t="n">
        <v>1103007</v>
      </c>
      <c r="Q6" s="0" t="n">
        <v>558208</v>
      </c>
      <c r="R6" s="0" t="n">
        <v>270586</v>
      </c>
      <c r="S6" s="0" t="n">
        <v>50213</v>
      </c>
      <c r="T6" s="0" t="n">
        <v>117.05</v>
      </c>
      <c r="V6" s="0" t="n">
        <v>70</v>
      </c>
      <c r="AA6" s="0" t="s">
        <v>17</v>
      </c>
      <c r="AB6" s="0" t="s">
        <v>14</v>
      </c>
      <c r="AC6" s="0" t="n">
        <v>34181</v>
      </c>
      <c r="AD6" s="0" t="n">
        <v>50193</v>
      </c>
    </row>
    <row r="7" customFormat="false" ht="15" hidden="false" customHeight="false" outlineLevel="0" collapsed="false">
      <c r="A7" s="0" t="s">
        <v>70</v>
      </c>
      <c r="B7" s="0" t="n">
        <v>809542</v>
      </c>
      <c r="C7" s="0" t="n">
        <v>668324</v>
      </c>
      <c r="D7" s="0" t="n">
        <v>141218</v>
      </c>
      <c r="E7" s="0" t="n">
        <v>17.4</v>
      </c>
      <c r="F7" s="0" t="n">
        <v>4456</v>
      </c>
      <c r="G7" s="0" t="n">
        <v>0.6</v>
      </c>
      <c r="H7" s="0" t="n">
        <v>68875</v>
      </c>
      <c r="I7" s="0" t="n">
        <v>-33206</v>
      </c>
      <c r="J7" s="0" t="n">
        <v>-4.1</v>
      </c>
      <c r="K7" s="0" t="n">
        <v>-283.68</v>
      </c>
      <c r="L7" s="0" t="n">
        <v>-268</v>
      </c>
      <c r="M7" s="0" t="n">
        <v>63401</v>
      </c>
      <c r="N7" s="0" t="n">
        <v>-63669</v>
      </c>
      <c r="O7" s="0" t="n">
        <v>494958</v>
      </c>
      <c r="P7" s="0" t="n">
        <v>1268862</v>
      </c>
      <c r="Q7" s="0" t="n">
        <v>740005</v>
      </c>
      <c r="R7" s="0" t="n">
        <v>403484</v>
      </c>
      <c r="S7" s="0" t="n">
        <v>70828</v>
      </c>
      <c r="T7" s="0" t="n">
        <v>117.05</v>
      </c>
      <c r="V7" s="0" t="n">
        <v>70</v>
      </c>
      <c r="AA7" s="0" t="s">
        <v>17</v>
      </c>
      <c r="AB7" s="0" t="s">
        <v>14</v>
      </c>
      <c r="AC7" s="0" t="n">
        <v>33899</v>
      </c>
      <c r="AD7" s="0" t="n">
        <v>1015</v>
      </c>
    </row>
    <row r="8" customFormat="false" ht="15" hidden="false" customHeight="false" outlineLevel="0" collapsed="false">
      <c r="A8" s="0" t="s">
        <v>71</v>
      </c>
      <c r="B8" s="0" t="n">
        <v>886275</v>
      </c>
      <c r="C8" s="0" t="n">
        <v>694062</v>
      </c>
      <c r="D8" s="0" t="n">
        <v>192213</v>
      </c>
      <c r="E8" s="0" t="n">
        <v>21.7</v>
      </c>
      <c r="F8" s="0" t="n">
        <v>56470</v>
      </c>
      <c r="G8" s="0" t="n">
        <v>6.4</v>
      </c>
      <c r="H8" s="0" t="n">
        <v>122774</v>
      </c>
      <c r="I8" s="0" t="n">
        <v>43272</v>
      </c>
      <c r="J8" s="0" t="n">
        <v>4.9</v>
      </c>
      <c r="K8" s="0" t="n">
        <v>371.08</v>
      </c>
      <c r="L8" s="0" t="n">
        <v>140543</v>
      </c>
      <c r="M8" s="0" t="n">
        <v>87159</v>
      </c>
      <c r="N8" s="0" t="n">
        <v>53384</v>
      </c>
      <c r="O8" s="0" t="n">
        <v>563210</v>
      </c>
      <c r="P8" s="0" t="n">
        <v>1338251</v>
      </c>
      <c r="Q8" s="0" t="n">
        <v>741866</v>
      </c>
      <c r="R8" s="0" t="n">
        <v>370468</v>
      </c>
      <c r="S8" s="0" t="n">
        <v>71146</v>
      </c>
      <c r="T8" s="0" t="n">
        <v>115.58</v>
      </c>
      <c r="V8" s="0" t="n">
        <v>70</v>
      </c>
      <c r="AA8" s="0" t="s">
        <v>17</v>
      </c>
      <c r="AB8" s="0" t="s">
        <v>14</v>
      </c>
      <c r="AC8" s="0" t="n">
        <v>33174</v>
      </c>
      <c r="AD8" s="0" t="n">
        <v>59472</v>
      </c>
    </row>
    <row r="9" customFormat="false" ht="15" hidden="false" customHeight="false" outlineLevel="0" collapsed="false">
      <c r="A9" s="0" t="s">
        <v>72</v>
      </c>
      <c r="B9" s="0" t="n">
        <v>896295</v>
      </c>
      <c r="C9" s="0" t="n">
        <v>679205</v>
      </c>
      <c r="D9" s="0" t="n">
        <v>217089</v>
      </c>
      <c r="E9" s="0" t="n">
        <v>24.2</v>
      </c>
      <c r="F9" s="0" t="n">
        <v>77750</v>
      </c>
      <c r="G9" s="0" t="n">
        <v>8.7</v>
      </c>
      <c r="H9" s="0" t="n">
        <v>138626</v>
      </c>
      <c r="I9" s="0" t="n">
        <v>57428</v>
      </c>
      <c r="J9" s="0" t="n">
        <v>6.4</v>
      </c>
      <c r="K9" s="0" t="n">
        <v>502.48</v>
      </c>
      <c r="L9" s="0" t="n">
        <v>117874</v>
      </c>
      <c r="M9" s="0" t="n">
        <v>83953</v>
      </c>
      <c r="N9" s="0" t="n">
        <v>33921</v>
      </c>
      <c r="O9" s="0" t="n">
        <v>641669</v>
      </c>
      <c r="P9" s="0" t="n">
        <v>1423695</v>
      </c>
      <c r="Q9" s="0" t="n">
        <v>747571</v>
      </c>
      <c r="R9" s="0" t="n">
        <v>389688</v>
      </c>
      <c r="S9" s="0" t="n">
        <v>65339</v>
      </c>
      <c r="T9" s="0" t="n">
        <v>111.42</v>
      </c>
      <c r="V9" s="0" t="n">
        <v>80</v>
      </c>
      <c r="AA9" s="0" t="s">
        <v>17</v>
      </c>
      <c r="AB9" s="0" t="s">
        <v>14</v>
      </c>
      <c r="AC9" s="0" t="n">
        <v>34455</v>
      </c>
      <c r="AD9" s="0" t="n">
        <v>75374</v>
      </c>
    </row>
    <row r="10" customFormat="false" ht="15" hidden="false" customHeight="false" outlineLevel="0" collapsed="false">
      <c r="A10" s="0" t="s">
        <v>73</v>
      </c>
      <c r="B10" s="0" t="n">
        <v>898441</v>
      </c>
      <c r="C10" s="0" t="n">
        <v>675177</v>
      </c>
      <c r="D10" s="0" t="n">
        <v>223264</v>
      </c>
      <c r="E10" s="0" t="n">
        <v>24.9</v>
      </c>
      <c r="F10" s="0" t="n">
        <v>74620</v>
      </c>
      <c r="G10" s="0" t="n">
        <v>8.3</v>
      </c>
      <c r="H10" s="0" t="n">
        <v>145138</v>
      </c>
      <c r="I10" s="0" t="n">
        <v>25401</v>
      </c>
      <c r="J10" s="0" t="n">
        <v>2.8</v>
      </c>
      <c r="K10" s="0" t="n">
        <v>227.87</v>
      </c>
      <c r="L10" s="0" t="n">
        <v>114205</v>
      </c>
      <c r="M10" s="0" t="n">
        <v>100979</v>
      </c>
      <c r="N10" s="0" t="n">
        <v>13226</v>
      </c>
      <c r="O10" s="0" t="n">
        <v>680569</v>
      </c>
      <c r="P10" s="0" t="n">
        <v>1479061</v>
      </c>
      <c r="Q10" s="0" t="n">
        <v>766824</v>
      </c>
      <c r="R10" s="0" t="n">
        <v>389767</v>
      </c>
      <c r="S10" s="0" t="n">
        <v>53926</v>
      </c>
      <c r="T10" s="0" t="n">
        <v>111.6</v>
      </c>
      <c r="V10" s="0" t="n">
        <v>100</v>
      </c>
      <c r="AA10" s="0" t="s">
        <v>17</v>
      </c>
      <c r="AB10" s="0" t="s">
        <v>14</v>
      </c>
      <c r="AC10" s="0" t="n">
        <v>31668</v>
      </c>
      <c r="AD10" s="0" t="n">
        <v>75087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4231</v>
      </c>
    </row>
    <row r="3" customFormat="false" ht="15" hidden="false" customHeight="false" outlineLevel="0" collapsed="false">
      <c r="A3" s="0" t="s">
        <v>77</v>
      </c>
      <c r="B3" s="3" t="n">
        <v>108.963</v>
      </c>
    </row>
    <row r="4" customFormat="false" ht="15" hidden="false" customHeight="false" outlineLevel="0" collapsed="false">
      <c r="A4" s="0" t="s">
        <v>78</v>
      </c>
      <c r="B4" s="3" t="n">
        <v>379178</v>
      </c>
    </row>
    <row r="5" customFormat="false" ht="15" hidden="false" customHeight="false" outlineLevel="0" collapsed="false">
      <c r="A5" s="0" t="s">
        <v>79</v>
      </c>
      <c r="B5" s="3" t="n">
        <v>105511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898441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1</v>
      </c>
      <c r="D13" s="3" t="n">
        <v>-2</v>
      </c>
      <c r="E13" s="3" t="n">
        <v>0</v>
      </c>
      <c r="F13" s="3" t="n">
        <v>0.5</v>
      </c>
      <c r="G13" s="3" t="n">
        <v>0.5</v>
      </c>
      <c r="H13" s="3" t="n">
        <v>0.5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98</v>
      </c>
      <c r="C14" s="3" t="n">
        <v>15</v>
      </c>
      <c r="D14" s="3" t="n">
        <v>12</v>
      </c>
      <c r="E14" s="3" t="n">
        <v>12</v>
      </c>
      <c r="F14" s="3" t="n">
        <v>12.5</v>
      </c>
      <c r="G14" s="3" t="n">
        <v>13</v>
      </c>
      <c r="H14" s="3" t="n">
        <v>13</v>
      </c>
      <c r="I14" s="3" t="n">
        <v>13</v>
      </c>
      <c r="J14" s="3" t="n">
        <v>13</v>
      </c>
      <c r="K14" s="3" t="n">
        <v>13</v>
      </c>
      <c r="L14" s="3" t="n">
        <v>13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7.8</v>
      </c>
      <c r="D17" s="3" t="n">
        <v>8</v>
      </c>
      <c r="E17" s="3" t="n">
        <v>8.2</v>
      </c>
      <c r="F17" s="3" t="n">
        <v>8.2</v>
      </c>
      <c r="G17" s="3" t="n">
        <v>8.2</v>
      </c>
      <c r="H17" s="3" t="n">
        <v>8.2</v>
      </c>
      <c r="I17" s="3" t="n">
        <v>8.2</v>
      </c>
      <c r="J17" s="3" t="n">
        <v>8.2</v>
      </c>
      <c r="K17" s="3" t="n">
        <v>8.2</v>
      </c>
      <c r="L17" s="3" t="n">
        <v>8.2</v>
      </c>
    </row>
    <row r="18" customFormat="false" ht="15" hidden="false" customHeight="false" outlineLevel="0" collapsed="false">
      <c r="A18" s="0" t="s">
        <v>102</v>
      </c>
      <c r="C18" s="3" t="n">
        <v>10.5</v>
      </c>
      <c r="D18" s="3" t="n">
        <v>10</v>
      </c>
      <c r="E18" s="3" t="n">
        <v>9.5</v>
      </c>
      <c r="F18" s="3" t="n">
        <v>9.5</v>
      </c>
      <c r="G18" s="3" t="n">
        <v>9</v>
      </c>
      <c r="H18" s="3" t="n">
        <v>9</v>
      </c>
      <c r="I18" s="3" t="n">
        <v>9</v>
      </c>
      <c r="J18" s="3" t="n">
        <v>9</v>
      </c>
      <c r="K18" s="3" t="n">
        <v>9</v>
      </c>
      <c r="L18" s="3" t="n">
        <v>9</v>
      </c>
    </row>
    <row r="19" customFormat="false" ht="15" hidden="false" customHeight="false" outlineLevel="0" collapsed="false">
      <c r="A19" s="0" t="s">
        <v>103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104</v>
      </c>
      <c r="B20" s="3" t="n">
        <v>7.5</v>
      </c>
    </row>
    <row r="21" customFormat="false" ht="15" hidden="false" customHeight="false" outlineLevel="0" collapsed="false">
      <c r="A21" s="0" t="s">
        <v>105</v>
      </c>
      <c r="B21" s="3" t="n">
        <v>0.5</v>
      </c>
    </row>
    <row r="22" customFormat="false" ht="15" hidden="false" customHeight="false" outlineLevel="0" collapsed="false">
      <c r="A22" s="0" t="s">
        <v>106</v>
      </c>
      <c r="B22" s="3" t="n">
        <v>11</v>
      </c>
    </row>
    <row r="23" customFormat="false" ht="15" hidden="false" customHeight="false" outlineLevel="0" collapsed="false">
      <c r="A23" s="0" t="s">
        <v>107</v>
      </c>
      <c r="B23" s="3" t="n">
        <v>-10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3</v>
      </c>
      <c r="D27" s="3" t="n">
        <v>2</v>
      </c>
      <c r="E27" s="3" t="n">
        <v>1.5</v>
      </c>
      <c r="F27" s="3" t="n">
        <v>1.5</v>
      </c>
      <c r="G27" s="3" t="n">
        <v>1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98</v>
      </c>
      <c r="C28" s="3" t="n">
        <v>16</v>
      </c>
      <c r="D28" s="3" t="n">
        <v>15.5</v>
      </c>
      <c r="E28" s="3" t="n">
        <v>15</v>
      </c>
      <c r="F28" s="3" t="n">
        <v>14.5</v>
      </c>
      <c r="G28" s="3" t="n">
        <v>14.5</v>
      </c>
      <c r="H28" s="3" t="n">
        <v>14.5</v>
      </c>
      <c r="I28" s="3" t="n">
        <v>14.5</v>
      </c>
      <c r="J28" s="3" t="n">
        <v>14.5</v>
      </c>
      <c r="K28" s="3" t="n">
        <v>14.5</v>
      </c>
      <c r="L28" s="3" t="n">
        <v>14.5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7.8</v>
      </c>
      <c r="D31" s="3" t="n">
        <v>7.9</v>
      </c>
      <c r="E31" s="3" t="n">
        <v>8</v>
      </c>
      <c r="F31" s="3" t="n">
        <v>8</v>
      </c>
      <c r="G31" s="3" t="n">
        <v>8</v>
      </c>
      <c r="H31" s="3" t="n">
        <v>8</v>
      </c>
      <c r="I31" s="3" t="n">
        <v>8</v>
      </c>
      <c r="J31" s="3" t="n">
        <v>8</v>
      </c>
      <c r="K31" s="3" t="n">
        <v>8</v>
      </c>
      <c r="L31" s="3" t="n">
        <v>8</v>
      </c>
    </row>
    <row r="32" customFormat="false" ht="15" hidden="false" customHeight="false" outlineLevel="0" collapsed="false">
      <c r="A32" s="0" t="s">
        <v>102</v>
      </c>
      <c r="C32" s="3" t="n">
        <v>10.5</v>
      </c>
      <c r="D32" s="3" t="n">
        <v>10</v>
      </c>
      <c r="E32" s="3" t="n">
        <v>9.5</v>
      </c>
      <c r="F32" s="3" t="n">
        <v>9</v>
      </c>
      <c r="G32" s="3" t="n">
        <v>9</v>
      </c>
      <c r="H32" s="3" t="n">
        <v>8.5</v>
      </c>
      <c r="I32" s="3" t="n">
        <v>8.5</v>
      </c>
      <c r="J32" s="3" t="n">
        <v>8.5</v>
      </c>
      <c r="K32" s="3" t="n">
        <v>8.5</v>
      </c>
      <c r="L32" s="3" t="n">
        <v>8.5</v>
      </c>
    </row>
    <row r="33" customFormat="false" ht="15" hidden="false" customHeight="false" outlineLevel="0" collapsed="false">
      <c r="A33" s="0" t="s">
        <v>103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104</v>
      </c>
      <c r="B34" s="3" t="n">
        <v>7.5</v>
      </c>
    </row>
    <row r="35" customFormat="false" ht="15" hidden="false" customHeight="false" outlineLevel="0" collapsed="false">
      <c r="A35" s="0" t="s">
        <v>105</v>
      </c>
      <c r="B35" s="3" t="n">
        <v>1</v>
      </c>
    </row>
    <row r="36" customFormat="false" ht="15" hidden="false" customHeight="false" outlineLevel="0" collapsed="false">
      <c r="A36" s="0" t="s">
        <v>106</v>
      </c>
      <c r="B36" s="3" t="n">
        <v>13</v>
      </c>
    </row>
    <row r="37" customFormat="false" ht="15" hidden="false" customHeight="false" outlineLevel="0" collapsed="false">
      <c r="A37" s="0" t="s">
        <v>107</v>
      </c>
      <c r="B37" s="3" t="n">
        <v>-10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4</v>
      </c>
      <c r="D41" s="3" t="n">
        <v>3</v>
      </c>
      <c r="E41" s="3" t="n">
        <v>2.5</v>
      </c>
      <c r="F41" s="3" t="n">
        <v>2</v>
      </c>
      <c r="G41" s="3" t="n">
        <v>2</v>
      </c>
      <c r="H41" s="3" t="n">
        <v>1.5</v>
      </c>
      <c r="I41" s="3" t="n">
        <v>1.5</v>
      </c>
      <c r="J41" s="3" t="n">
        <v>1.5</v>
      </c>
      <c r="K41" s="3" t="n">
        <v>1.5</v>
      </c>
      <c r="L41" s="3" t="n">
        <v>1.5</v>
      </c>
    </row>
    <row r="42" customFormat="false" ht="15" hidden="false" customHeight="false" outlineLevel="0" collapsed="false">
      <c r="A42" s="0" t="s">
        <v>98</v>
      </c>
      <c r="C42" s="3" t="n">
        <v>16.5</v>
      </c>
      <c r="D42" s="3" t="n">
        <v>16.5</v>
      </c>
      <c r="E42" s="3" t="n">
        <v>16.5</v>
      </c>
      <c r="F42" s="3" t="n">
        <v>16</v>
      </c>
      <c r="G42" s="3" t="n">
        <v>16</v>
      </c>
      <c r="H42" s="3" t="n">
        <v>16</v>
      </c>
      <c r="I42" s="3" t="n">
        <v>16</v>
      </c>
      <c r="J42" s="3" t="n">
        <v>16</v>
      </c>
      <c r="K42" s="3" t="n">
        <v>16</v>
      </c>
      <c r="L42" s="3" t="n">
        <v>16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7.8</v>
      </c>
      <c r="D45" s="3" t="n">
        <v>7.8</v>
      </c>
      <c r="E45" s="3" t="n">
        <v>7.8</v>
      </c>
      <c r="F45" s="3" t="n">
        <v>7.8</v>
      </c>
      <c r="G45" s="3" t="n">
        <v>7.8</v>
      </c>
      <c r="H45" s="3" t="n">
        <v>7.8</v>
      </c>
      <c r="I45" s="3" t="n">
        <v>7.8</v>
      </c>
      <c r="J45" s="3" t="n">
        <v>7.8</v>
      </c>
      <c r="K45" s="3" t="n">
        <v>7.8</v>
      </c>
      <c r="L45" s="3" t="n">
        <v>7.8</v>
      </c>
    </row>
    <row r="46" customFormat="false" ht="15" hidden="false" customHeight="false" outlineLevel="0" collapsed="false">
      <c r="A46" s="0" t="s">
        <v>102</v>
      </c>
      <c r="C46" s="3" t="n">
        <v>10</v>
      </c>
      <c r="D46" s="3" t="n">
        <v>9.5</v>
      </c>
      <c r="E46" s="3" t="n">
        <v>9</v>
      </c>
      <c r="F46" s="3" t="n">
        <v>8.5</v>
      </c>
      <c r="G46" s="3" t="n">
        <v>8</v>
      </c>
      <c r="H46" s="3" t="n">
        <v>8</v>
      </c>
      <c r="I46" s="3" t="n">
        <v>8</v>
      </c>
      <c r="J46" s="3" t="n">
        <v>8</v>
      </c>
      <c r="K46" s="3" t="n">
        <v>8</v>
      </c>
      <c r="L46" s="3" t="n">
        <v>8</v>
      </c>
    </row>
    <row r="47" customFormat="false" ht="15" hidden="false" customHeight="false" outlineLevel="0" collapsed="false">
      <c r="A47" s="0" t="s">
        <v>103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104</v>
      </c>
      <c r="B48" s="3" t="n">
        <v>7.5</v>
      </c>
    </row>
    <row r="49" customFormat="false" ht="15" hidden="false" customHeight="false" outlineLevel="0" collapsed="false">
      <c r="A49" s="0" t="s">
        <v>105</v>
      </c>
      <c r="B49" s="3" t="n">
        <v>1.5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-10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1</v>
      </c>
      <c r="D5" s="4" t="n">
        <f aca="false">Assumptions!D13</f>
        <v>-2</v>
      </c>
      <c r="E5" s="4" t="n">
        <f aca="false">Assumptions!E13</f>
        <v>0</v>
      </c>
      <c r="F5" s="4" t="n">
        <f aca="false">Assumptions!F13</f>
        <v>0.5</v>
      </c>
      <c r="G5" s="4" t="n">
        <f aca="false">Assumptions!G13</f>
        <v>0.5</v>
      </c>
      <c r="H5" s="4" t="n">
        <f aca="false">Assumptions!H13</f>
        <v>0.5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898441</v>
      </c>
      <c r="C6" s="0" t="n">
        <f aca="false">B6*(1+C5/100)</f>
        <v>907425.41</v>
      </c>
      <c r="D6" s="0" t="n">
        <f aca="false">C6*(1+D5/100)</f>
        <v>889276.9018</v>
      </c>
      <c r="E6" s="0" t="n">
        <f aca="false">D6*(1+E5/100)</f>
        <v>889276.9018</v>
      </c>
      <c r="F6" s="0" t="n">
        <f aca="false">E6*(1+F5/100)</f>
        <v>893723.286309</v>
      </c>
      <c r="G6" s="0" t="n">
        <f aca="false">F6*(1+G5/100)</f>
        <v>898191.902740545</v>
      </c>
      <c r="H6" s="0" t="n">
        <f aca="false">G6*(1+H5/100)</f>
        <v>902682.862254247</v>
      </c>
      <c r="I6" s="0" t="n">
        <f aca="false">H6*(1+I5/100)</f>
        <v>907196.276565519</v>
      </c>
      <c r="J6" s="0" t="n">
        <f aca="false">I6*(1+J5/100)</f>
        <v>911732.257948346</v>
      </c>
      <c r="K6" s="0" t="n">
        <f aca="false">J6*(1+K5/100)</f>
        <v>916290.919238088</v>
      </c>
      <c r="L6" s="0" t="n">
        <f aca="false">K6*(1+L5/100)</f>
        <v>920872.373834278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15</v>
      </c>
      <c r="D7" s="4" t="n">
        <f aca="false">Assumptions!D14</f>
        <v>12</v>
      </c>
      <c r="E7" s="4" t="n">
        <f aca="false">Assumptions!E14</f>
        <v>12</v>
      </c>
      <c r="F7" s="4" t="n">
        <f aca="false">Assumptions!F14</f>
        <v>12.5</v>
      </c>
      <c r="G7" s="4" t="n">
        <f aca="false">Assumptions!G14</f>
        <v>13</v>
      </c>
      <c r="H7" s="4" t="n">
        <f aca="false">Assumptions!H14</f>
        <v>13</v>
      </c>
      <c r="I7" s="4" t="n">
        <f aca="false">Assumptions!I14</f>
        <v>13</v>
      </c>
      <c r="J7" s="4" t="n">
        <f aca="false">Assumptions!J14</f>
        <v>13</v>
      </c>
      <c r="K7" s="4" t="n">
        <f aca="false">Assumptions!K14</f>
        <v>13</v>
      </c>
      <c r="L7" s="4" t="n">
        <f aca="false">Assumptions!L14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136113.8115</v>
      </c>
      <c r="D8" s="0" t="n">
        <f aca="false">D6*D7/100</f>
        <v>106713.228216</v>
      </c>
      <c r="E8" s="0" t="n">
        <f aca="false">E6*E7/100</f>
        <v>106713.228216</v>
      </c>
      <c r="F8" s="0" t="n">
        <f aca="false">F6*F7/100</f>
        <v>111715.410788625</v>
      </c>
      <c r="G8" s="0" t="n">
        <f aca="false">G6*G7/100</f>
        <v>116764.947356271</v>
      </c>
      <c r="H8" s="0" t="n">
        <f aca="false">H6*H7/100</f>
        <v>117348.772093052</v>
      </c>
      <c r="I8" s="0" t="n">
        <f aca="false">I6*I7/100</f>
        <v>117935.515953517</v>
      </c>
      <c r="J8" s="0" t="n">
        <f aca="false">J6*J7/100</f>
        <v>118525.193533285</v>
      </c>
      <c r="K8" s="0" t="n">
        <f aca="false">K6*K7/100</f>
        <v>119117.819500951</v>
      </c>
      <c r="L8" s="0" t="n">
        <f aca="false">L6*L7/100</f>
        <v>119713.408598456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136113.8115</v>
      </c>
      <c r="D11" s="0" t="n">
        <f aca="false">D8+D10+D24</f>
        <v>106713.228216</v>
      </c>
      <c r="E11" s="0" t="n">
        <f aca="false">E8+E10+E24</f>
        <v>106713.228216</v>
      </c>
      <c r="F11" s="0" t="n">
        <f aca="false">F8+F10+F24</f>
        <v>111715.410788625</v>
      </c>
      <c r="G11" s="0" t="n">
        <f aca="false">G8+G10+G24</f>
        <v>116764.947356271</v>
      </c>
      <c r="H11" s="0" t="n">
        <f aca="false">H8+H10+H24</f>
        <v>117348.772093052</v>
      </c>
      <c r="I11" s="0" t="n">
        <f aca="false">I8+I10+I24</f>
        <v>117935.515953517</v>
      </c>
      <c r="J11" s="0" t="n">
        <f aca="false">J8+J10+J24</f>
        <v>118525.193533285</v>
      </c>
      <c r="K11" s="0" t="n">
        <f aca="false">K8+K10+K24</f>
        <v>119117.819500951</v>
      </c>
      <c r="L11" s="0" t="n">
        <f aca="false">L8+L10+L24</f>
        <v>119713.408598456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-70779.18198</v>
      </c>
      <c r="D12" s="4" t="n">
        <f aca="false">-D6*Assumptions!D17/100</f>
        <v>-71142.152144</v>
      </c>
      <c r="E12" s="4" t="n">
        <f aca="false">-E6*Assumptions!E17/100</f>
        <v>-72920.7059476</v>
      </c>
      <c r="F12" s="4" t="n">
        <f aca="false">-F6*Assumptions!F17/100</f>
        <v>-73285.309477338</v>
      </c>
      <c r="G12" s="4" t="n">
        <f aca="false">-G6*Assumptions!G17/100</f>
        <v>-73651.7360247247</v>
      </c>
      <c r="H12" s="4" t="n">
        <f aca="false">-H6*Assumptions!H17/100</f>
        <v>-74019.9947048483</v>
      </c>
      <c r="I12" s="4" t="n">
        <f aca="false">-I6*Assumptions!I17/100</f>
        <v>-74390.0946783725</v>
      </c>
      <c r="J12" s="4" t="n">
        <f aca="false">-J6*Assumptions!J17/100</f>
        <v>-74762.0451517644</v>
      </c>
      <c r="K12" s="4" t="n">
        <f aca="false">-K6*Assumptions!K17/100</f>
        <v>-75135.8553775232</v>
      </c>
      <c r="L12" s="4" t="n">
        <f aca="false">-L6*Assumptions!L17/100</f>
        <v>-75511.5346544108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65334.62952</v>
      </c>
      <c r="D13" s="0" t="n">
        <f aca="false">D11+D12</f>
        <v>35571.076072</v>
      </c>
      <c r="E13" s="0" t="n">
        <f aca="false">E11+E12</f>
        <v>33792.5222684</v>
      </c>
      <c r="F13" s="0" t="n">
        <f aca="false">F11+F12</f>
        <v>38430.101311287</v>
      </c>
      <c r="G13" s="0" t="n">
        <f aca="false">G11+G12</f>
        <v>43113.2113315462</v>
      </c>
      <c r="H13" s="0" t="n">
        <f aca="false">H11+H12</f>
        <v>43328.7773882039</v>
      </c>
      <c r="I13" s="0" t="n">
        <f aca="false">I11+I12</f>
        <v>43545.4212751449</v>
      </c>
      <c r="J13" s="0" t="n">
        <f aca="false">J11+J12</f>
        <v>43763.1483815206</v>
      </c>
      <c r="K13" s="0" t="n">
        <f aca="false">K11+K12</f>
        <v>43981.9641234282</v>
      </c>
      <c r="L13" s="0" t="n">
        <f aca="false">L11+L12</f>
        <v>44201.8739440454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45734.240664</v>
      </c>
      <c r="D15" s="0" t="n">
        <f aca="false">D13-MAX(0,D13)*D14/100</f>
        <v>24899.7532504</v>
      </c>
      <c r="E15" s="0" t="n">
        <f aca="false">E13-MAX(0,E13)*E14/100</f>
        <v>23654.76558788</v>
      </c>
      <c r="F15" s="0" t="n">
        <f aca="false">F13-MAX(0,F13)*F14/100</f>
        <v>26901.0709179009</v>
      </c>
      <c r="G15" s="0" t="n">
        <f aca="false">G13-MAX(0,G13)*G14/100</f>
        <v>30179.2479320823</v>
      </c>
      <c r="H15" s="0" t="n">
        <f aca="false">H13-MAX(0,H13)*H14/100</f>
        <v>30330.1441717427</v>
      </c>
      <c r="I15" s="0" t="n">
        <f aca="false">I13-MAX(0,I13)*I14/100</f>
        <v>30481.7948926014</v>
      </c>
      <c r="J15" s="0" t="n">
        <f aca="false">J13-MAX(0,J13)*J14/100</f>
        <v>30634.2038670644</v>
      </c>
      <c r="K15" s="0" t="n">
        <f aca="false">K13-MAX(0,K13)*K14/100</f>
        <v>30787.3748863997</v>
      </c>
      <c r="L15" s="0" t="n">
        <f aca="false">L13-MAX(0,L13)*L14/100</f>
        <v>30941.3117608317</v>
      </c>
    </row>
    <row r="16" customFormat="false" ht="15" hidden="false" customHeight="false" outlineLevel="0" collapsed="false">
      <c r="A16" s="0" t="s">
        <v>119</v>
      </c>
      <c r="C16" s="0" t="n">
        <f aca="false">-C12</f>
        <v>70779.18198</v>
      </c>
      <c r="D16" s="0" t="n">
        <f aca="false">-D12</f>
        <v>71142.152144</v>
      </c>
      <c r="E16" s="0" t="n">
        <f aca="false">-E12</f>
        <v>72920.7059476</v>
      </c>
      <c r="F16" s="0" t="n">
        <f aca="false">-F12</f>
        <v>73285.309477338</v>
      </c>
      <c r="G16" s="0" t="n">
        <f aca="false">-G12</f>
        <v>73651.7360247247</v>
      </c>
      <c r="H16" s="0" t="n">
        <f aca="false">-H12</f>
        <v>74019.9947048483</v>
      </c>
      <c r="I16" s="0" t="n">
        <f aca="false">-I12</f>
        <v>74390.0946783725</v>
      </c>
      <c r="J16" s="0" t="n">
        <f aca="false">-J12</f>
        <v>74762.0451517644</v>
      </c>
      <c r="K16" s="0" t="n">
        <f aca="false">-K12</f>
        <v>75135.8553775232</v>
      </c>
      <c r="L16" s="0" t="n">
        <f aca="false">-L12</f>
        <v>75511.5346544108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-95279.66805</v>
      </c>
      <c r="D17" s="4" t="n">
        <f aca="false">-D6*Assumptions!D18/100</f>
        <v>-88927.69018</v>
      </c>
      <c r="E17" s="4" t="n">
        <f aca="false">-E6*Assumptions!E18/100</f>
        <v>-84481.305671</v>
      </c>
      <c r="F17" s="4" t="n">
        <f aca="false">-F6*Assumptions!F18/100</f>
        <v>-84903.712199355</v>
      </c>
      <c r="G17" s="4" t="n">
        <f aca="false">-G6*Assumptions!G18/100</f>
        <v>-80837.271246649</v>
      </c>
      <c r="H17" s="4" t="n">
        <f aca="false">-H6*Assumptions!H18/100</f>
        <v>-81241.4576028823</v>
      </c>
      <c r="I17" s="4" t="n">
        <f aca="false">-I6*Assumptions!I18/100</f>
        <v>-81647.6648908967</v>
      </c>
      <c r="J17" s="4" t="n">
        <f aca="false">-J6*Assumptions!J18/100</f>
        <v>-82055.9032153512</v>
      </c>
      <c r="K17" s="4" t="n">
        <f aca="false">-K6*Assumptions!K18/100</f>
        <v>-82466.1827314279</v>
      </c>
      <c r="L17" s="4" t="n">
        <f aca="false">-L6*Assumptions!L18/100</f>
        <v>-82878.513645085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-898.441000000003</v>
      </c>
      <c r="D18" s="4" t="n">
        <f aca="false">(D6-C6)*Assumptions!$B$23/100</f>
        <v>1814.85082</v>
      </c>
      <c r="E18" s="4" t="n">
        <f aca="false">(E6-D6)*Assumptions!$B$23/100</f>
        <v>-0</v>
      </c>
      <c r="F18" s="4" t="n">
        <f aca="false">(F6-E6)*Assumptions!$B$23/100</f>
        <v>-444.638450899988</v>
      </c>
      <c r="G18" s="4" t="n">
        <f aca="false">(G6-F6)*Assumptions!$B$23/100</f>
        <v>-446.861643154488</v>
      </c>
      <c r="H18" s="4" t="n">
        <f aca="false">(H6-G6)*Assumptions!$B$23/100</f>
        <v>-449.095951370266</v>
      </c>
      <c r="I18" s="4" t="n">
        <f aca="false">(I6-H6)*Assumptions!$B$23/100</f>
        <v>-451.341431127116</v>
      </c>
      <c r="J18" s="4" t="n">
        <f aca="false">(J6-I6)*Assumptions!$B$23/100</f>
        <v>-453.598138282751</v>
      </c>
      <c r="K18" s="4" t="n">
        <f aca="false">(K6-J6)*Assumptions!$B$23/100</f>
        <v>-455.866128974163</v>
      </c>
      <c r="L18" s="4" t="n">
        <f aca="false">(L6-K6)*Assumptions!$B$23/100</f>
        <v>-458.145459619036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20335.313594</v>
      </c>
      <c r="D19" s="0" t="n">
        <f aca="false">D15+D16+D17+D18</f>
        <v>8929.0660344</v>
      </c>
      <c r="E19" s="0" t="n">
        <f aca="false">E15+E16+E17+E18</f>
        <v>12094.16586448</v>
      </c>
      <c r="F19" s="0" t="n">
        <f aca="false">F15+F16+F17+F18</f>
        <v>14838.0297449839</v>
      </c>
      <c r="G19" s="0" t="n">
        <f aca="false">G15+G16+G17+G18</f>
        <v>22546.8510670035</v>
      </c>
      <c r="H19" s="0" t="n">
        <f aca="false">H15+H16+H17+H18</f>
        <v>22659.5853223385</v>
      </c>
      <c r="I19" s="0" t="n">
        <f aca="false">I15+I16+I17+I18</f>
        <v>22772.8832489501</v>
      </c>
      <c r="J19" s="0" t="n">
        <f aca="false">J15+J16+J17+J18</f>
        <v>22886.7476651949</v>
      </c>
      <c r="K19" s="0" t="n">
        <f aca="false">K15+K16+K17+K18</f>
        <v>23001.1814035209</v>
      </c>
      <c r="L19" s="0" t="n">
        <f aca="false">L15+L16+L17+L18</f>
        <v>23116.1873105385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18916.5707851163</v>
      </c>
      <c r="D21" s="0" t="n">
        <f aca="false">D19*D20</f>
        <v>7726.61203625744</v>
      </c>
      <c r="E21" s="0" t="n">
        <f aca="false">E19*E20</f>
        <v>9735.32664201541</v>
      </c>
      <c r="F21" s="0" t="n">
        <f aca="false">F19*F20</f>
        <v>11110.7245338815</v>
      </c>
      <c r="G21" s="0" t="n">
        <f aca="false">G19*G20</f>
        <v>15705.2037430337</v>
      </c>
      <c r="H21" s="0" t="n">
        <f aca="false">H19*H20</f>
        <v>14682.5393132547</v>
      </c>
      <c r="I21" s="0" t="n">
        <f aca="false">I19*I20</f>
        <v>13726.46698588</v>
      </c>
      <c r="J21" s="0" t="n">
        <f aca="false">J19*J20</f>
        <v>12832.6505309855</v>
      </c>
      <c r="K21" s="0" t="n">
        <f aca="false">K19*K20</f>
        <v>11997.036077805</v>
      </c>
      <c r="L21" s="0" t="n">
        <f aca="false">L19*L20</f>
        <v>11215.8337285526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127648.964376782</v>
      </c>
    </row>
    <row r="31" customFormat="false" ht="15" hidden="false" customHeight="false" outlineLevel="0" collapsed="false">
      <c r="A31" s="0" t="s">
        <v>128</v>
      </c>
      <c r="B31" s="0" t="n">
        <f aca="false">L19</f>
        <v>23116.1873105385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331882.403529874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254278.060415923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254278.060415923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123374.171014079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251023.135390861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-22643.8646091387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-207.812418978357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-1.04911661994289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-207.812418978357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160219.09135925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-1320.5545825037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3</v>
      </c>
      <c r="D5" s="4" t="n">
        <f aca="false">Assumptions!D27</f>
        <v>2</v>
      </c>
      <c r="E5" s="4" t="n">
        <f aca="false">Assumptions!E27</f>
        <v>1.5</v>
      </c>
      <c r="F5" s="4" t="n">
        <f aca="false">Assumptions!F27</f>
        <v>1.5</v>
      </c>
      <c r="G5" s="4" t="n">
        <f aca="false">Assumptions!G27</f>
        <v>1</v>
      </c>
      <c r="H5" s="4" t="n">
        <f aca="false">Assumptions!H27</f>
        <v>1</v>
      </c>
      <c r="I5" s="4" t="n">
        <f aca="false">Assumptions!I27</f>
        <v>1</v>
      </c>
      <c r="J5" s="4" t="n">
        <f aca="false">Assumptions!J27</f>
        <v>1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37</v>
      </c>
      <c r="B6" s="3" t="n">
        <v>898441</v>
      </c>
      <c r="C6" s="0" t="n">
        <f aca="false">B6*(1+C5/100)</f>
        <v>925394.23</v>
      </c>
      <c r="D6" s="0" t="n">
        <f aca="false">C6*(1+D5/100)</f>
        <v>943902.1146</v>
      </c>
      <c r="E6" s="0" t="n">
        <f aca="false">D6*(1+E5/100)</f>
        <v>958060.646319</v>
      </c>
      <c r="F6" s="0" t="n">
        <f aca="false">E6*(1+F5/100)</f>
        <v>972431.556013785</v>
      </c>
      <c r="G6" s="0" t="n">
        <f aca="false">F6*(1+G5/100)</f>
        <v>982155.871573923</v>
      </c>
      <c r="H6" s="0" t="n">
        <f aca="false">G6*(1+H5/100)</f>
        <v>991977.430289662</v>
      </c>
      <c r="I6" s="0" t="n">
        <f aca="false">H6*(1+I5/100)</f>
        <v>1001897.20459256</v>
      </c>
      <c r="J6" s="0" t="n">
        <f aca="false">I6*(1+J5/100)</f>
        <v>1011916.17663848</v>
      </c>
      <c r="K6" s="0" t="n">
        <f aca="false">J6*(1+K5/100)</f>
        <v>1022035.33840487</v>
      </c>
      <c r="L6" s="0" t="n">
        <f aca="false">K6*(1+L5/100)</f>
        <v>1032255.69178892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16</v>
      </c>
      <c r="D7" s="4" t="n">
        <f aca="false">Assumptions!D28</f>
        <v>15.5</v>
      </c>
      <c r="E7" s="4" t="n">
        <f aca="false">Assumptions!E28</f>
        <v>15</v>
      </c>
      <c r="F7" s="4" t="n">
        <f aca="false">Assumptions!F28</f>
        <v>14.5</v>
      </c>
      <c r="G7" s="4" t="n">
        <f aca="false">Assumptions!G28</f>
        <v>14.5</v>
      </c>
      <c r="H7" s="4" t="n">
        <f aca="false">Assumptions!H28</f>
        <v>14.5</v>
      </c>
      <c r="I7" s="4" t="n">
        <f aca="false">Assumptions!I28</f>
        <v>14.5</v>
      </c>
      <c r="J7" s="4" t="n">
        <f aca="false">Assumptions!J28</f>
        <v>14.5</v>
      </c>
      <c r="K7" s="4" t="n">
        <f aca="false">Assumptions!K28</f>
        <v>14.5</v>
      </c>
      <c r="L7" s="4" t="n">
        <f aca="false">Assumptions!L28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148063.0768</v>
      </c>
      <c r="D8" s="0" t="n">
        <f aca="false">D6*D7/100</f>
        <v>146304.827763</v>
      </c>
      <c r="E8" s="0" t="n">
        <f aca="false">E6*E7/100</f>
        <v>143709.09694785</v>
      </c>
      <c r="F8" s="0" t="n">
        <f aca="false">F6*F7/100</f>
        <v>141002.575621999</v>
      </c>
      <c r="G8" s="0" t="n">
        <f aca="false">G6*G7/100</f>
        <v>142412.601378219</v>
      </c>
      <c r="H8" s="0" t="n">
        <f aca="false">H6*H7/100</f>
        <v>143836.727392001</v>
      </c>
      <c r="I8" s="0" t="n">
        <f aca="false">I6*I7/100</f>
        <v>145275.094665921</v>
      </c>
      <c r="J8" s="0" t="n">
        <f aca="false">J6*J7/100</f>
        <v>146727.84561258</v>
      </c>
      <c r="K8" s="0" t="n">
        <f aca="false">K6*K7/100</f>
        <v>148195.124068706</v>
      </c>
      <c r="L8" s="0" t="n">
        <f aca="false">L6*L7/100</f>
        <v>149677.075309393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148063.0768</v>
      </c>
      <c r="D11" s="0" t="n">
        <f aca="false">D8+D10+D24</f>
        <v>146304.827763</v>
      </c>
      <c r="E11" s="0" t="n">
        <f aca="false">E8+E10+E24</f>
        <v>143709.09694785</v>
      </c>
      <c r="F11" s="0" t="n">
        <f aca="false">F8+F10+F24</f>
        <v>141002.575621999</v>
      </c>
      <c r="G11" s="0" t="n">
        <f aca="false">G8+G10+G24</f>
        <v>142412.601378219</v>
      </c>
      <c r="H11" s="0" t="n">
        <f aca="false">H8+H10+H24</f>
        <v>143836.727392001</v>
      </c>
      <c r="I11" s="0" t="n">
        <f aca="false">I8+I10+I24</f>
        <v>145275.094665921</v>
      </c>
      <c r="J11" s="0" t="n">
        <f aca="false">J8+J10+J24</f>
        <v>146727.84561258</v>
      </c>
      <c r="K11" s="0" t="n">
        <f aca="false">K8+K10+K24</f>
        <v>148195.124068706</v>
      </c>
      <c r="L11" s="0" t="n">
        <f aca="false">L8+L10+L24</f>
        <v>149677.075309393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-72180.74994</v>
      </c>
      <c r="D12" s="4" t="n">
        <f aca="false">-D6*Assumptions!D31/100</f>
        <v>-74568.2670534</v>
      </c>
      <c r="E12" s="4" t="n">
        <f aca="false">-E6*Assumptions!E31/100</f>
        <v>-76644.85170552</v>
      </c>
      <c r="F12" s="4" t="n">
        <f aca="false">-F6*Assumptions!F31/100</f>
        <v>-77794.5244811028</v>
      </c>
      <c r="G12" s="4" t="n">
        <f aca="false">-G6*Assumptions!G31/100</f>
        <v>-78572.4697259138</v>
      </c>
      <c r="H12" s="4" t="n">
        <f aca="false">-H6*Assumptions!H31/100</f>
        <v>-79358.194423173</v>
      </c>
      <c r="I12" s="4" t="n">
        <f aca="false">-I6*Assumptions!I31/100</f>
        <v>-80151.7763674047</v>
      </c>
      <c r="J12" s="4" t="n">
        <f aca="false">-J6*Assumptions!J31/100</f>
        <v>-80953.2941310787</v>
      </c>
      <c r="K12" s="4" t="n">
        <f aca="false">-K6*Assumptions!K31/100</f>
        <v>-81762.8270723895</v>
      </c>
      <c r="L12" s="4" t="n">
        <f aca="false">-L6*Assumptions!L31/100</f>
        <v>-82580.4553431134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75882.32686</v>
      </c>
      <c r="D13" s="0" t="n">
        <f aca="false">D11+D12</f>
        <v>71736.5607096</v>
      </c>
      <c r="E13" s="0" t="n">
        <f aca="false">E11+E12</f>
        <v>67064.24524233</v>
      </c>
      <c r="F13" s="0" t="n">
        <f aca="false">F11+F12</f>
        <v>63208.051140896</v>
      </c>
      <c r="G13" s="0" t="n">
        <f aca="false">G11+G12</f>
        <v>63840.131652305</v>
      </c>
      <c r="H13" s="0" t="n">
        <f aca="false">H11+H12</f>
        <v>64478.532968828</v>
      </c>
      <c r="I13" s="0" t="n">
        <f aca="false">I11+I12</f>
        <v>65123.3182985163</v>
      </c>
      <c r="J13" s="0" t="n">
        <f aca="false">J11+J12</f>
        <v>65774.5514815015</v>
      </c>
      <c r="K13" s="0" t="n">
        <f aca="false">K11+K12</f>
        <v>66432.2969963165</v>
      </c>
      <c r="L13" s="0" t="n">
        <f aca="false">L11+L12</f>
        <v>67096.6199662796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53117.628802</v>
      </c>
      <c r="D15" s="0" t="n">
        <f aca="false">D13-MAX(0,D13)*D14/100</f>
        <v>50215.59249672</v>
      </c>
      <c r="E15" s="0" t="n">
        <f aca="false">E13-MAX(0,E13)*E14/100</f>
        <v>46944.971669631</v>
      </c>
      <c r="F15" s="0" t="n">
        <f aca="false">F13-MAX(0,F13)*F14/100</f>
        <v>44245.6357986272</v>
      </c>
      <c r="G15" s="0" t="n">
        <f aca="false">G13-MAX(0,G13)*G14/100</f>
        <v>44688.0921566135</v>
      </c>
      <c r="H15" s="0" t="n">
        <f aca="false">H13-MAX(0,H13)*H14/100</f>
        <v>45134.9730781796</v>
      </c>
      <c r="I15" s="0" t="n">
        <f aca="false">I13-MAX(0,I13)*I14/100</f>
        <v>45586.3228089614</v>
      </c>
      <c r="J15" s="0" t="n">
        <f aca="false">J13-MAX(0,J13)*J14/100</f>
        <v>46042.186037051</v>
      </c>
      <c r="K15" s="0" t="n">
        <f aca="false">K13-MAX(0,K13)*K14/100</f>
        <v>46502.6078974216</v>
      </c>
      <c r="L15" s="0" t="n">
        <f aca="false">L13-MAX(0,L13)*L14/100</f>
        <v>46967.6339763958</v>
      </c>
    </row>
    <row r="16" customFormat="false" ht="15" hidden="false" customHeight="false" outlineLevel="0" collapsed="false">
      <c r="A16" s="0" t="s">
        <v>119</v>
      </c>
      <c r="C16" s="0" t="n">
        <f aca="false">-C12</f>
        <v>72180.74994</v>
      </c>
      <c r="D16" s="0" t="n">
        <f aca="false">-D12</f>
        <v>74568.2670534</v>
      </c>
      <c r="E16" s="0" t="n">
        <f aca="false">-E12</f>
        <v>76644.85170552</v>
      </c>
      <c r="F16" s="0" t="n">
        <f aca="false">-F12</f>
        <v>77794.5244811028</v>
      </c>
      <c r="G16" s="0" t="n">
        <f aca="false">-G12</f>
        <v>78572.4697259138</v>
      </c>
      <c r="H16" s="0" t="n">
        <f aca="false">-H12</f>
        <v>79358.194423173</v>
      </c>
      <c r="I16" s="0" t="n">
        <f aca="false">-I12</f>
        <v>80151.7763674047</v>
      </c>
      <c r="J16" s="0" t="n">
        <f aca="false">-J12</f>
        <v>80953.2941310787</v>
      </c>
      <c r="K16" s="0" t="n">
        <f aca="false">-K12</f>
        <v>81762.8270723895</v>
      </c>
      <c r="L16" s="0" t="n">
        <f aca="false">-L12</f>
        <v>82580.4553431134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-97166.39415</v>
      </c>
      <c r="D17" s="4" t="n">
        <f aca="false">-D6*Assumptions!D32/100</f>
        <v>-94390.21146</v>
      </c>
      <c r="E17" s="4" t="n">
        <f aca="false">-E6*Assumptions!E32/100</f>
        <v>-91015.761400305</v>
      </c>
      <c r="F17" s="4" t="n">
        <f aca="false">-F6*Assumptions!F32/100</f>
        <v>-87518.8400412406</v>
      </c>
      <c r="G17" s="4" t="n">
        <f aca="false">-G6*Assumptions!G32/100</f>
        <v>-88394.0284416531</v>
      </c>
      <c r="H17" s="4" t="n">
        <f aca="false">-H6*Assumptions!H32/100</f>
        <v>-84318.0815746213</v>
      </c>
      <c r="I17" s="4" t="n">
        <f aca="false">-I6*Assumptions!I32/100</f>
        <v>-85161.2623903675</v>
      </c>
      <c r="J17" s="4" t="n">
        <f aca="false">-J6*Assumptions!J32/100</f>
        <v>-86012.8750142712</v>
      </c>
      <c r="K17" s="4" t="n">
        <f aca="false">-K6*Assumptions!K32/100</f>
        <v>-86873.0037644139</v>
      </c>
      <c r="L17" s="4" t="n">
        <f aca="false">-L6*Assumptions!L32/100</f>
        <v>-87741.733802058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-2695.323</v>
      </c>
      <c r="D18" s="4" t="n">
        <f aca="false">(D6-C6)*Assumptions!$B$37/100</f>
        <v>-1850.78846</v>
      </c>
      <c r="E18" s="4" t="n">
        <f aca="false">(E6-D6)*Assumptions!$B$37/100</f>
        <v>-1415.8531719</v>
      </c>
      <c r="F18" s="4" t="n">
        <f aca="false">(F6-E6)*Assumptions!$B$37/100</f>
        <v>-1437.09096947849</v>
      </c>
      <c r="G18" s="4" t="n">
        <f aca="false">(G6-F6)*Assumptions!$B$37/100</f>
        <v>-972.431556013785</v>
      </c>
      <c r="H18" s="4" t="n">
        <f aca="false">(H6-G6)*Assumptions!$B$37/100</f>
        <v>-982.155871573929</v>
      </c>
      <c r="I18" s="4" t="n">
        <f aca="false">(I6-H6)*Assumptions!$B$37/100</f>
        <v>-991.977430289658</v>
      </c>
      <c r="J18" s="4" t="n">
        <f aca="false">(J6-I6)*Assumptions!$B$37/100</f>
        <v>-1001.89720459256</v>
      </c>
      <c r="K18" s="4" t="n">
        <f aca="false">(K6-J6)*Assumptions!$B$37/100</f>
        <v>-1011.91617663848</v>
      </c>
      <c r="L18" s="4" t="n">
        <f aca="false">(L6-K6)*Assumptions!$B$37/100</f>
        <v>-1022.03533840487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25436.661592</v>
      </c>
      <c r="D19" s="0" t="n">
        <f aca="false">D15+D16+D17+D18</f>
        <v>28542.85963012</v>
      </c>
      <c r="E19" s="0" t="n">
        <f aca="false">E15+E16+E17+E18</f>
        <v>31158.208802946</v>
      </c>
      <c r="F19" s="0" t="n">
        <f aca="false">F15+F16+F17+F18</f>
        <v>33084.2292690109</v>
      </c>
      <c r="G19" s="0" t="n">
        <f aca="false">G15+G16+G17+G18</f>
        <v>33894.1018848605</v>
      </c>
      <c r="H19" s="0" t="n">
        <f aca="false">H15+H16+H17+H18</f>
        <v>39192.9300551574</v>
      </c>
      <c r="I19" s="0" t="n">
        <f aca="false">I15+I16+I17+I18</f>
        <v>39584.859355709</v>
      </c>
      <c r="J19" s="0" t="n">
        <f aca="false">J15+J16+J17+J18</f>
        <v>39980.707949266</v>
      </c>
      <c r="K19" s="0" t="n">
        <f aca="false">K15+K16+K17+K18</f>
        <v>40380.5150287587</v>
      </c>
      <c r="L19" s="0" t="n">
        <f aca="false">L15+L16+L17+L18</f>
        <v>40784.3201790463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23662.0107832558</v>
      </c>
      <c r="D21" s="0" t="n">
        <f aca="false">D19*D20</f>
        <v>24699.0672840411</v>
      </c>
      <c r="E21" s="0" t="n">
        <f aca="false">E19*E20</f>
        <v>25081.1295029185</v>
      </c>
      <c r="F21" s="0" t="n">
        <f aca="false">F19*F20</f>
        <v>24773.4884038784</v>
      </c>
      <c r="G21" s="0" t="n">
        <f aca="false">G19*G20</f>
        <v>23609.2292536539</v>
      </c>
      <c r="H21" s="0" t="n">
        <f aca="false">H19*H20</f>
        <v>25395.5104716411</v>
      </c>
      <c r="I21" s="0" t="n">
        <f aca="false">I19*I20</f>
        <v>23859.967978007</v>
      </c>
      <c r="J21" s="0" t="n">
        <f aca="false">J19*J20</f>
        <v>22417.2722398019</v>
      </c>
      <c r="K21" s="0" t="n">
        <f aca="false">K19*K20</f>
        <v>21061.8092671628</v>
      </c>
      <c r="L21" s="0" t="n">
        <f aca="false">L19*L20</f>
        <v>19788.3045207762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234347.789705137</v>
      </c>
    </row>
    <row r="31" customFormat="false" ht="15" hidden="false" customHeight="false" outlineLevel="0" collapsed="false">
      <c r="A31" s="0" t="s">
        <v>128</v>
      </c>
      <c r="B31" s="0" t="n">
        <f aca="false">L19</f>
        <v>40784.3201790463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633725.590474412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530196.162327602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530196.162327602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257247.95877009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491595.748475227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217928.748475227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2000.0252239313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-0.527292549295367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2000.0252239313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294229.738434548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-316.867929278694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4</v>
      </c>
      <c r="D5" s="4" t="n">
        <f aca="false">Assumptions!D41</f>
        <v>3</v>
      </c>
      <c r="E5" s="4" t="n">
        <f aca="false">Assumptions!E41</f>
        <v>2.5</v>
      </c>
      <c r="F5" s="4" t="n">
        <f aca="false">Assumptions!F41</f>
        <v>2</v>
      </c>
      <c r="G5" s="4" t="n">
        <f aca="false">Assumptions!G41</f>
        <v>2</v>
      </c>
      <c r="H5" s="4" t="n">
        <f aca="false">Assumptions!H41</f>
        <v>1.5</v>
      </c>
      <c r="I5" s="4" t="n">
        <f aca="false">Assumptions!I41</f>
        <v>1.5</v>
      </c>
      <c r="J5" s="4" t="n">
        <f aca="false">Assumptions!J41</f>
        <v>1.5</v>
      </c>
      <c r="K5" s="4" t="n">
        <f aca="false">Assumptions!K41</f>
        <v>1.5</v>
      </c>
      <c r="L5" s="4" t="n">
        <f aca="false">Assumptions!L41</f>
        <v>1.5</v>
      </c>
    </row>
    <row r="6" customFormat="false" ht="15" hidden="false" customHeight="false" outlineLevel="0" collapsed="false">
      <c r="A6" s="0" t="s">
        <v>37</v>
      </c>
      <c r="B6" s="3" t="n">
        <v>898441</v>
      </c>
      <c r="C6" s="0" t="n">
        <f aca="false">B6*(1+C5/100)</f>
        <v>934378.64</v>
      </c>
      <c r="D6" s="0" t="n">
        <f aca="false">C6*(1+D5/100)</f>
        <v>962409.9992</v>
      </c>
      <c r="E6" s="0" t="n">
        <f aca="false">D6*(1+E5/100)</f>
        <v>986470.24918</v>
      </c>
      <c r="F6" s="0" t="n">
        <f aca="false">E6*(1+F5/100)</f>
        <v>1006199.6541636</v>
      </c>
      <c r="G6" s="0" t="n">
        <f aca="false">F6*(1+G5/100)</f>
        <v>1026323.64724687</v>
      </c>
      <c r="H6" s="0" t="n">
        <f aca="false">G6*(1+H5/100)</f>
        <v>1041718.50195558</v>
      </c>
      <c r="I6" s="0" t="n">
        <f aca="false">H6*(1+I5/100)</f>
        <v>1057344.27948491</v>
      </c>
      <c r="J6" s="0" t="n">
        <f aca="false">I6*(1+J5/100)</f>
        <v>1073204.44367718</v>
      </c>
      <c r="K6" s="0" t="n">
        <f aca="false">J6*(1+K5/100)</f>
        <v>1089302.51033234</v>
      </c>
      <c r="L6" s="0" t="n">
        <f aca="false">K6*(1+L5/100)</f>
        <v>1105642.04798732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16.5</v>
      </c>
      <c r="D7" s="4" t="n">
        <f aca="false">Assumptions!D42</f>
        <v>16.5</v>
      </c>
      <c r="E7" s="4" t="n">
        <f aca="false">Assumptions!E42</f>
        <v>16.5</v>
      </c>
      <c r="F7" s="4" t="n">
        <f aca="false">Assumptions!F42</f>
        <v>16</v>
      </c>
      <c r="G7" s="4" t="n">
        <f aca="false">Assumptions!G42</f>
        <v>16</v>
      </c>
      <c r="H7" s="4" t="n">
        <f aca="false">Assumptions!H42</f>
        <v>16</v>
      </c>
      <c r="I7" s="4" t="n">
        <f aca="false">Assumptions!I42</f>
        <v>16</v>
      </c>
      <c r="J7" s="4" t="n">
        <f aca="false">Assumptions!J42</f>
        <v>16</v>
      </c>
      <c r="K7" s="4" t="n">
        <f aca="false">Assumptions!K42</f>
        <v>16</v>
      </c>
      <c r="L7" s="4" t="n">
        <f aca="false">Assumptions!L42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154172.4756</v>
      </c>
      <c r="D8" s="0" t="n">
        <f aca="false">D6*D7/100</f>
        <v>158797.649868</v>
      </c>
      <c r="E8" s="0" t="n">
        <f aca="false">E6*E7/100</f>
        <v>162767.5911147</v>
      </c>
      <c r="F8" s="0" t="n">
        <f aca="false">F6*F7/100</f>
        <v>160991.944666176</v>
      </c>
      <c r="G8" s="0" t="n">
        <f aca="false">G6*G7/100</f>
        <v>164211.7835595</v>
      </c>
      <c r="H8" s="0" t="n">
        <f aca="false">H6*H7/100</f>
        <v>166674.960312892</v>
      </c>
      <c r="I8" s="0" t="n">
        <f aca="false">I6*I7/100</f>
        <v>169175.084717585</v>
      </c>
      <c r="J8" s="0" t="n">
        <f aca="false">J6*J7/100</f>
        <v>171712.710988349</v>
      </c>
      <c r="K8" s="0" t="n">
        <f aca="false">K6*K7/100</f>
        <v>174288.401653174</v>
      </c>
      <c r="L8" s="0" t="n">
        <f aca="false">L6*L7/100</f>
        <v>176902.727677972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154172.4756</v>
      </c>
      <c r="D11" s="0" t="n">
        <f aca="false">D8+D10+D24</f>
        <v>158797.649868</v>
      </c>
      <c r="E11" s="0" t="n">
        <f aca="false">E8+E10+E24</f>
        <v>162767.5911147</v>
      </c>
      <c r="F11" s="0" t="n">
        <f aca="false">F8+F10+F24</f>
        <v>160991.944666176</v>
      </c>
      <c r="G11" s="0" t="n">
        <f aca="false">G8+G10+G24</f>
        <v>164211.7835595</v>
      </c>
      <c r="H11" s="0" t="n">
        <f aca="false">H8+H10+H24</f>
        <v>166674.960312892</v>
      </c>
      <c r="I11" s="0" t="n">
        <f aca="false">I8+I10+I24</f>
        <v>169175.084717585</v>
      </c>
      <c r="J11" s="0" t="n">
        <f aca="false">J8+J10+J24</f>
        <v>171712.710988349</v>
      </c>
      <c r="K11" s="0" t="n">
        <f aca="false">K8+K10+K24</f>
        <v>174288.401653174</v>
      </c>
      <c r="L11" s="0" t="n">
        <f aca="false">L8+L10+L24</f>
        <v>176902.727677972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-72881.53392</v>
      </c>
      <c r="D12" s="4" t="n">
        <f aca="false">-D6*Assumptions!D45/100</f>
        <v>-75067.9799376</v>
      </c>
      <c r="E12" s="4" t="n">
        <f aca="false">-E6*Assumptions!E45/100</f>
        <v>-76944.67943604</v>
      </c>
      <c r="F12" s="4" t="n">
        <f aca="false">-F6*Assumptions!F45/100</f>
        <v>-78483.5730247608</v>
      </c>
      <c r="G12" s="4" t="n">
        <f aca="false">-G6*Assumptions!G45/100</f>
        <v>-80053.244485256</v>
      </c>
      <c r="H12" s="4" t="n">
        <f aca="false">-H6*Assumptions!H45/100</f>
        <v>-81254.0431525349</v>
      </c>
      <c r="I12" s="4" t="n">
        <f aca="false">-I6*Assumptions!I45/100</f>
        <v>-82472.8537998229</v>
      </c>
      <c r="J12" s="4" t="n">
        <f aca="false">-J6*Assumptions!J45/100</f>
        <v>-83709.9466068202</v>
      </c>
      <c r="K12" s="4" t="n">
        <f aca="false">-K6*Assumptions!K45/100</f>
        <v>-84965.5958059225</v>
      </c>
      <c r="L12" s="4" t="n">
        <f aca="false">-L6*Assumptions!L45/100</f>
        <v>-86240.0797430113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81290.94168</v>
      </c>
      <c r="D13" s="0" t="n">
        <f aca="false">D11+D12</f>
        <v>83729.6699304</v>
      </c>
      <c r="E13" s="0" t="n">
        <f aca="false">E11+E12</f>
        <v>85822.91167866</v>
      </c>
      <c r="F13" s="0" t="n">
        <f aca="false">F11+F12</f>
        <v>82508.3716414152</v>
      </c>
      <c r="G13" s="0" t="n">
        <f aca="false">G11+G12</f>
        <v>84158.5390742435</v>
      </c>
      <c r="H13" s="0" t="n">
        <f aca="false">H11+H12</f>
        <v>85420.9171603572</v>
      </c>
      <c r="I13" s="0" t="n">
        <f aca="false">I11+I12</f>
        <v>86702.2309177625</v>
      </c>
      <c r="J13" s="0" t="n">
        <f aca="false">J11+J12</f>
        <v>88002.7643815289</v>
      </c>
      <c r="K13" s="0" t="n">
        <f aca="false">K11+K12</f>
        <v>89322.8058472519</v>
      </c>
      <c r="L13" s="0" t="n">
        <f aca="false">L11+L12</f>
        <v>90662.6479349606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56903.659176</v>
      </c>
      <c r="D15" s="0" t="n">
        <f aca="false">D13-MAX(0,D13)*D14/100</f>
        <v>58610.76895128</v>
      </c>
      <c r="E15" s="0" t="n">
        <f aca="false">E13-MAX(0,E13)*E14/100</f>
        <v>60076.038175062</v>
      </c>
      <c r="F15" s="0" t="n">
        <f aca="false">F13-MAX(0,F13)*F14/100</f>
        <v>57755.8601489907</v>
      </c>
      <c r="G15" s="0" t="n">
        <f aca="false">G13-MAX(0,G13)*G14/100</f>
        <v>58910.9773519705</v>
      </c>
      <c r="H15" s="0" t="n">
        <f aca="false">H13-MAX(0,H13)*H14/100</f>
        <v>59794.64201225</v>
      </c>
      <c r="I15" s="0" t="n">
        <f aca="false">I13-MAX(0,I13)*I14/100</f>
        <v>60691.5616424338</v>
      </c>
      <c r="J15" s="0" t="n">
        <f aca="false">J13-MAX(0,J13)*J14/100</f>
        <v>61601.9350670703</v>
      </c>
      <c r="K15" s="0" t="n">
        <f aca="false">K13-MAX(0,K13)*K14/100</f>
        <v>62525.9640930763</v>
      </c>
      <c r="L15" s="0" t="n">
        <f aca="false">L13-MAX(0,L13)*L14/100</f>
        <v>63463.8535544724</v>
      </c>
    </row>
    <row r="16" customFormat="false" ht="15" hidden="false" customHeight="false" outlineLevel="0" collapsed="false">
      <c r="A16" s="0" t="s">
        <v>119</v>
      </c>
      <c r="C16" s="0" t="n">
        <f aca="false">-C12</f>
        <v>72881.53392</v>
      </c>
      <c r="D16" s="0" t="n">
        <f aca="false">-D12</f>
        <v>75067.9799376</v>
      </c>
      <c r="E16" s="0" t="n">
        <f aca="false">-E12</f>
        <v>76944.67943604</v>
      </c>
      <c r="F16" s="0" t="n">
        <f aca="false">-F12</f>
        <v>78483.5730247608</v>
      </c>
      <c r="G16" s="0" t="n">
        <f aca="false">-G12</f>
        <v>80053.244485256</v>
      </c>
      <c r="H16" s="0" t="n">
        <f aca="false">-H12</f>
        <v>81254.0431525349</v>
      </c>
      <c r="I16" s="0" t="n">
        <f aca="false">-I12</f>
        <v>82472.8537998229</v>
      </c>
      <c r="J16" s="0" t="n">
        <f aca="false">-J12</f>
        <v>83709.9466068202</v>
      </c>
      <c r="K16" s="0" t="n">
        <f aca="false">-K12</f>
        <v>84965.5958059225</v>
      </c>
      <c r="L16" s="0" t="n">
        <f aca="false">-L12</f>
        <v>86240.0797430113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-93437.864</v>
      </c>
      <c r="D17" s="4" t="n">
        <f aca="false">-D6*Assumptions!D46/100</f>
        <v>-91428.949924</v>
      </c>
      <c r="E17" s="4" t="n">
        <f aca="false">-E6*Assumptions!E46/100</f>
        <v>-88782.3224262</v>
      </c>
      <c r="F17" s="4" t="n">
        <f aca="false">-F6*Assumptions!F46/100</f>
        <v>-85526.970603906</v>
      </c>
      <c r="G17" s="4" t="n">
        <f aca="false">-G6*Assumptions!G46/100</f>
        <v>-82105.8917797498</v>
      </c>
      <c r="H17" s="4" t="n">
        <f aca="false">-H6*Assumptions!H46/100</f>
        <v>-83337.480156446</v>
      </c>
      <c r="I17" s="4" t="n">
        <f aca="false">-I6*Assumptions!I46/100</f>
        <v>-84587.5423587927</v>
      </c>
      <c r="J17" s="4" t="n">
        <f aca="false">-J6*Assumptions!J46/100</f>
        <v>-85856.3554941746</v>
      </c>
      <c r="K17" s="4" t="n">
        <f aca="false">-K6*Assumptions!K46/100</f>
        <v>-87144.2008265872</v>
      </c>
      <c r="L17" s="4" t="n">
        <f aca="false">-L6*Assumptions!L46/100</f>
        <v>-88451.363838986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-3593.764</v>
      </c>
      <c r="D18" s="4" t="n">
        <f aca="false">(D6-C6)*Assumptions!$B$51/100</f>
        <v>-2803.13592000001</v>
      </c>
      <c r="E18" s="4" t="n">
        <f aca="false">(E6-D6)*Assumptions!$B$51/100</f>
        <v>-2406.024998</v>
      </c>
      <c r="F18" s="4" t="n">
        <f aca="false">(F6-E6)*Assumptions!$B$51/100</f>
        <v>-1972.94049836</v>
      </c>
      <c r="G18" s="4" t="n">
        <f aca="false">(G6-F6)*Assumptions!$B$51/100</f>
        <v>-2012.3993083272</v>
      </c>
      <c r="H18" s="4" t="n">
        <f aca="false">(H6-G6)*Assumptions!$B$51/100</f>
        <v>-1539.4854708703</v>
      </c>
      <c r="I18" s="4" t="n">
        <f aca="false">(I6-H6)*Assumptions!$B$51/100</f>
        <v>-1562.57775293335</v>
      </c>
      <c r="J18" s="4" t="n">
        <f aca="false">(J6-I6)*Assumptions!$B$51/100</f>
        <v>-1586.01641922735</v>
      </c>
      <c r="K18" s="4" t="n">
        <f aca="false">(K6-J6)*Assumptions!$B$51/100</f>
        <v>-1609.80666551576</v>
      </c>
      <c r="L18" s="4" t="n">
        <f aca="false">(L6-K6)*Assumptions!$B$51/100</f>
        <v>-1633.9537654985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32753.565096</v>
      </c>
      <c r="D19" s="0" t="n">
        <f aca="false">D15+D16+D17+D18</f>
        <v>39446.66304488</v>
      </c>
      <c r="E19" s="0" t="n">
        <f aca="false">E15+E16+E17+E18</f>
        <v>45832.370186902</v>
      </c>
      <c r="F19" s="0" t="n">
        <f aca="false">F15+F16+F17+F18</f>
        <v>48739.5220714854</v>
      </c>
      <c r="G19" s="0" t="n">
        <f aca="false">G15+G16+G17+G18</f>
        <v>54845.9307491495</v>
      </c>
      <c r="H19" s="0" t="n">
        <f aca="false">H15+H16+H17+H18</f>
        <v>56171.7195374686</v>
      </c>
      <c r="I19" s="0" t="n">
        <f aca="false">I15+I16+I17+I18</f>
        <v>57014.2953305306</v>
      </c>
      <c r="J19" s="0" t="n">
        <f aca="false">J15+J16+J17+J18</f>
        <v>57869.5097604885</v>
      </c>
      <c r="K19" s="0" t="n">
        <f aca="false">K15+K16+K17+K18</f>
        <v>58737.5524068958</v>
      </c>
      <c r="L19" s="0" t="n">
        <f aca="false">L15+L16+L17+L18</f>
        <v>59618.6156929993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30468.4326474419</v>
      </c>
      <c r="D21" s="0" t="n">
        <f aca="false">D19*D20</f>
        <v>34134.4839760995</v>
      </c>
      <c r="E21" s="0" t="n">
        <f aca="false">E19*E20</f>
        <v>36893.2508076236</v>
      </c>
      <c r="F21" s="0" t="n">
        <f aca="false">F19*F20</f>
        <v>36496.1799481756</v>
      </c>
      <c r="G21" s="0" t="n">
        <f aca="false">G19*G20</f>
        <v>38203.4065125968</v>
      </c>
      <c r="H21" s="0" t="n">
        <f aca="false">H19*H20</f>
        <v>36397.1126863009</v>
      </c>
      <c r="I21" s="0" t="n">
        <f aca="false">I19*I20</f>
        <v>34365.6459317166</v>
      </c>
      <c r="J21" s="0" t="n">
        <f aca="false">J19*J20</f>
        <v>32447.5633680859</v>
      </c>
      <c r="K21" s="0" t="n">
        <f aca="false">K19*K20</f>
        <v>30636.5365754485</v>
      </c>
      <c r="L21" s="0" t="n">
        <f aca="false">L19*L20</f>
        <v>28926.5903479817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338969.202801471</v>
      </c>
    </row>
    <row r="31" customFormat="false" ht="15" hidden="false" customHeight="false" outlineLevel="0" collapsed="false">
      <c r="A31" s="0" t="s">
        <v>128</v>
      </c>
      <c r="B31" s="0" t="n">
        <f aca="false">L19</f>
        <v>59618.6156929993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1008548.24880657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894279.235394989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894279.235394989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433898.855219725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772868.058021196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499201.058021196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4581.38136818182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0.0828128972303996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4581.38136818182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448243.666136254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704.65218462515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-207.812418978357</v>
      </c>
      <c r="C4" s="0" t="n">
        <f aca="false">B4/Assumptions!$B$2-1</f>
        <v>-1.04911661994289</v>
      </c>
      <c r="D4" s="4" t="n">
        <f aca="false">Assumptions!$B$24</f>
        <v>0.25</v>
      </c>
      <c r="E4" s="4" t="n">
        <f aca="false">DCF_Bear!$B$43</f>
        <v>-207.812418978357</v>
      </c>
      <c r="F4" s="4" t="n">
        <f aca="false">DCF_Bear!$B$47</f>
        <v>-1320.5545825037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2000.0252239313</v>
      </c>
      <c r="C5" s="0" t="n">
        <f aca="false">B5/Assumptions!$B$2-1</f>
        <v>-0.527292549295367</v>
      </c>
      <c r="D5" s="4" t="n">
        <f aca="false">Assumptions!$B$38</f>
        <v>0.5</v>
      </c>
      <c r="E5" s="4" t="n">
        <f aca="false">DCF_Base!$B$43</f>
        <v>2000.0252239313</v>
      </c>
      <c r="F5" s="4" t="n">
        <f aca="false">DCF_Base!$B$47</f>
        <v>-316.867929278694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4581.38136818182</v>
      </c>
      <c r="C6" s="0" t="n">
        <f aca="false">B6/Assumptions!$B$2-1</f>
        <v>0.0828128972303996</v>
      </c>
      <c r="D6" s="4" t="n">
        <f aca="false">Assumptions!$B$52</f>
        <v>0.25</v>
      </c>
      <c r="E6" s="4" t="n">
        <f aca="false">DCF_Bull!$B$43</f>
        <v>4581.38136818182</v>
      </c>
      <c r="F6" s="4" t="n">
        <f aca="false">DCF_Bull!$B$47</f>
        <v>704.65218462515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2093.40484926652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2093.40484926652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-1.0211092954535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-312.409564108985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2000.0252239313</v>
      </c>
      <c r="C15" s="3" t="n">
        <v>7.5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1483.33544015025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1014.06441786718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639.63566102166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334.133356081363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-316.867929278694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2717.98709592326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2717.98709592326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2717.98709592326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2717.98709592326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2717.98709592326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2342.16644435458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2342.16644435458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2342.16644435458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2342.16644435458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2342.16644435458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2000.0252239313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2000.0252239313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2000.0252239313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2000.0252239313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2000.0252239313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1483.66471546844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1615.73576336776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1688.16182189319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1688.16182189319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1688.16182189319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1029.94144551196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1126.65581230572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1234.74833989875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1356.35243344091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1403.5503692906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2026-10-31T08:04:33Z</dcterms:created>
  <dc:creator>openpyxl</dc:creator>
  <dc:description/>
  <dc:language>en-NZ</dc:language>
  <cp:lastModifiedBy/>
  <dcterms:modified xsi:type="dcterms:W3CDTF">2026-10-31T08:04:33Z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