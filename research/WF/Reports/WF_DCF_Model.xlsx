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<sst xmlns="http://schemas.openxmlformats.org/spreadsheetml/2006/main" count="365" uniqueCount="170">
  <si>
    <t xml:space="preserve">Ticker</t>
  </si>
  <si>
    <t xml:space="preserve">WF</t>
  </si>
  <si>
    <t xml:space="preserve">Company</t>
  </si>
  <si>
    <t xml:space="preserve">Woori Financial Group Inc.</t>
  </si>
  <si>
    <t xml:space="preserve">Valuation date</t>
  </si>
  <si>
    <t xml:space="preserve">2026-10-04</t>
  </si>
  <si>
    <t xml:space="preserve">Current price</t>
  </si>
  <si>
    <t xml:space="preserve">Price as of</t>
  </si>
  <si>
    <t xml:space="preserve">2026-10-02T20:00:02Z regular close (NYSE)</t>
  </si>
  <si>
    <t xml:space="preserve">Balance sheet date</t>
  </si>
  <si>
    <t xml:space="preserve">2026-06-30</t>
  </si>
  <si>
    <t xml:space="preserve">Model</t>
  </si>
  <si>
    <t xml:space="preserve">Bank FCFE at cost of equity (engine route), net debt zero, CET1 retention on common equity, hybrid coupons charged in the flow</t>
  </si>
  <si>
    <t xml:space="preserve">Currency (model)</t>
  </si>
  <si>
    <t xml:space="preserve">KRW</t>
  </si>
  <si>
    <t xml:space="preserve">Currency (quote)</t>
  </si>
  <si>
    <t xml:space="preserve">USD</t>
  </si>
  <si>
    <t xml:space="preserve">Units</t>
  </si>
  <si>
    <t xml:space="preserve">millions</t>
  </si>
  <si>
    <t xml:space="preserve">Engine</t>
  </si>
  <si>
    <t xml:space="preserve">dcf_engine v1</t>
  </si>
  <si>
    <t xml:space="preserve">Built at</t>
  </si>
  <si>
    <t xml:space="preserve">2026-10-04T09:44:53Z</t>
  </si>
  <si>
    <t xml:space="preserve">Drivers file</t>
  </si>
  <si>
    <t xml:space="preserve">WF_Drivers.json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</si>
  <si>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</si>
  <si>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</si>
  <si>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</si>
  <si>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the capital its balance sheet growth requires, discounted at the cost of equity in the flows' own currency. Woori's case rests on three things: whether the Value-up 2.0 targets (ROE ~10%, CET1 mid-to-high 13%, TSR ~50%) are delivered or merely promised; whether the 2026 rate-driven NIM uplift and record fee income persist through a credit cycle; and whether the governance scandal ends in reputation damage only or in regulator-imposed capital retention. At a 10% KRW cost of equity and a ~9% steady-state ROE the fair value is a little below book; the ADR trades at ~0.69x common book and ~8x earnings, so the gap to value is the market's discount for Korean governance and payout credibility, not for the earnings. Any valuation here is in KRW first; the USD figure moves one-for-one with the won.
key_risks_to_valuation: Governance scandal escalation: further improper-loan findings, fines or an FSS-imposed capital/payout restriction would push the realised path toward the bear case (payout ~30%, CET1 build instead of buybacks).; Credit cycle: real-estate project finance, SME and card losses (card net charge-offs already 2.6%) -- every 10bps on the ~KRW 420tn credit book is ~KRW 420bn pre-tax, ~1.1pts of margin.; Rate reversal: the CD-linked loan mix that gives ~4bps NIM per 25bps hike gives it back as fast on cuts; FY2027 base growth of 5% leans on the H2 2026 NIM expansion persisting.; KRW/USD: all flows, book and dividends are KRW; a 10% won depreciation is a 10% cut to every USD value in this file with no offset in the KRW model.; Insurance integration: the Tongyang/ABL merger (H2 2027) and the Tongyang FSC investigation; the insurers are ~9% of assets and their K-ICS capital needs could divert group capital.; Cost of equity: the 10% KRW CoE is built on an assumed ~3.5% 10Y KTB; each 1pt on the CoE is roughly +/-12% on the base value (sensitivity grid).</t>
  </si>
  <si>
    <t xml:space="preserve">Data sources</t>
  </si>
  <si>
    <t xml:space="preserve">price: Yahoo Finance chart API at inputs.price_as_of (regular NYSE close); 52-week range 48.83-84.71. Parity vs KRX 316140.KS at 1 ADS = 3 shares and KRW=X in inputs.fx_note.
financials: WF_Metrics.csv (29 periods FY2015-Q2 FY2026, from the 20-F/6-K filings; equity attributable to owners incl. hybrids; EPS per common share); 20-F FY2025 (consolidated income statement F-5, capital-adequacy note, equity note, Value-up section); Q2 2026 6-K (summary income statement, balance sheet, BIS/CET1 table, dividend and treasury-share tables); 20-F FY2023 and FY2022 for FY2021-22 income-statement comparatives.
qualitative: WF_Analysis.json (2026-10-04): Q2 2026 results and guidance (CET1 13.71%, KRW 350bn 2026 buybacks, credit cost low-40bps, NIM outlook, Value-up 2.0 targets), governance scandal timeline, Tongyang/ABL acquisition and merger plan, bull/bear axes.</t>
  </si>
  <si>
    <t xml:space="preserve">Scenario narrative: bear</t>
  </si>
  <si>
    <t xml:space="preserve">Value trap: further scandal findings and a capital-hoarding regulator, a two-year domestic credit cycle (PF, SME, card) with BOK cuts compressing the CD-linked NIM, loan caps, a slipped insurance merger; ROE ~7%, payout ~30% for two years, back to 0.5-0.6x book, with won weakness on top for ADR holders.</t>
  </si>
  <si>
    <t xml:space="preserve">Scenario narrative: base</t>
  </si>
  <si>
    <t xml:space="preserve">Value-up delivered at a discount to target: ROE on common equity ~9-9.5% (vs the 10% ambition), NIM uplift from the 2026 BOK hikes, fee income compounding, insurers merged H2 2027, credit costs low-40bps, CET1 held ~13.7% with capital above target returned via periodic buybacks. Core revenue +5% FY2027 fading to 2.5%.</t>
  </si>
  <si>
    <t xml:space="preserve">Scenario narrative: bull</t>
  </si>
  <si>
    <t xml:space="preserve">Targets met in full: ROE ~10-10.5%, ~50% TSR, full NIM pass-through, securities/WM/insurance platforms reach scale with 2028 merger synergies, benign credit through a semiconductor-led upcycle, governance remediation accepted; the stock re-rates toward KB/Shinhan multiples.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</si>
  <si>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</si>
  <si>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</si>
  <si>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</si>
  <si>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</si>
  <si>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</si>
  <si>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</si>
  <si>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</si>
  <si>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</si>
  <si>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</si>
  <si>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</si>
  <si>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</si>
  <si>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</si>
  <si>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</si>
  <si>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</si>
  <si>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</si>
  <si>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</si>
  <si>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</si>
  <si>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</si>
  <si>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</si>
  <si>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</si>
  <si>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</si>
  <si>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</si>
  <si>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</si>
  <si>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</si>
  <si>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</si>
  <si>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</si>
  <si>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</si>
  <si>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CustomerDeposits</t>
  </si>
  <si>
    <t xml:space="preserve">NetInterestIncome</t>
  </si>
  <si>
    <t xml:space="preserve">TotalEquityInclNCI</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</si>
  <si>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</si>
  <si>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</si>
  <si>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</si>
  <si>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</si>
  <si>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</si>
  <si>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</si>
  <si>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</si>
  <si>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</si>
  <si>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</si>
  <si>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</si>
  <si>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</si>
  <si>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</si>
  <si>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</si>
  <si>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</si>
  <si>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</si>
  <si>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</si>
  <si>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</si>
  <si>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</si>
  <si>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</si>
  <si>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</si>
  <si>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</si>
  <si>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</si>
  <si>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KRW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</si>
  <si>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</si>
  <si>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</si>
  <si>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</si>
  <si>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</si>
  <si>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</si>
  <si>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</si>
  <si>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</si>
  <si>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</si>
  <si>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</si>
  <si>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</si>
  <si>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</si>
  <si>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</si>
  <si>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</si>
  <si>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</si>
  <si>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</si>
  <si>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</si>
  <si>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</si>
  <si>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</si>
  <si>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</si>
  <si>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</si>
  <si>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</si>
  <si>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</si>
  <si>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</si>
  <si>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</si>
  <si>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</si>
  <si>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</si>
  <si>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WF owner-FCF component DCF: bear case (millions, KRW)</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</si>
  <si>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</si>
  <si>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</si>
  <si>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</si>
  <si>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</si>
  <si>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</si>
  <si>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</si>
  <si>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</si>
  <si>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</si>
  <si>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</si>
  <si>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</si>
  <si>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</si>
  <si>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</si>
  <si>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</si>
  <si>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</si>
  <si>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</si>
  <si>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</si>
  <si>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</si>
  <si>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</si>
  <si>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</si>
  <si>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</si>
  <si>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</si>
  <si>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</si>
  <si>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</si>
  <si>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</si>
  <si>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</si>
  <si>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</si>
  <si>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</si>
  <si>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</si>
  <si>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</si>
  <si>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</si>
  <si>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WF owner-FCF component DCF: base case (millions, KRW)</t>
  </si>
  <si>
    <t xml:space="preserve">WF owner-FCF component DCF: bull case (millions, KRW)</t>
  </si>
  <si>
    <t xml:space="preserve">WF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</si>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</sst>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75.21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F2" s="0" t="n">
        <v>1351586</v>
      </c>
      <c r="I2" s="0" t="n">
        <v>1059157</v>
      </c>
      <c r="K2" s="0" t="n">
        <v>1301</v>
      </c>
      <c r="L2" s="0" t="n">
        <v>-383906</v>
      </c>
      <c r="O2" s="0" t="n">
        <v>19188472</v>
      </c>
      <c r="P2" s="0" t="n">
        <v>291859072</v>
      </c>
      <c r="Q2" s="0" t="n">
        <v>272549157</v>
      </c>
      <c r="R2" s="0" t="n">
        <v>41932776</v>
      </c>
      <c r="S2" s="0" t="n">
        <v>6644055</v>
      </c>
      <c r="AA2" s="0" t="s">
        <v>18</v>
      </c>
      <c r="AB2" s="0" t="s">
        <v>14</v>
      </c>
      <c r="AC2" s="0" t="n">
        <v>209141826</v>
      </c>
      <c r="AE2" s="0" t="n">
        <v>19309915</v>
      </c>
    </row>
    <row r="3" customFormat="false" ht="15" hidden="false" customHeight="false" outlineLevel="0" collapsed="false">
      <c r="A3" s="0" t="s">
        <v>68</v>
      </c>
      <c r="F3" s="0" t="n">
        <v>1574206</v>
      </c>
      <c r="I3" s="0" t="n">
        <v>1261266</v>
      </c>
      <c r="K3" s="0" t="n">
        <v>1567</v>
      </c>
      <c r="L3" s="0" t="n">
        <v>4905285</v>
      </c>
      <c r="O3" s="0" t="n">
        <v>20386160</v>
      </c>
      <c r="P3" s="0" t="n">
        <v>310682727</v>
      </c>
      <c r="Q3" s="0" t="n">
        <v>290136774</v>
      </c>
      <c r="R3" s="0" t="n">
        <v>42334964</v>
      </c>
      <c r="S3" s="0" t="n">
        <v>7591324</v>
      </c>
      <c r="AA3" s="0" t="s">
        <v>18</v>
      </c>
      <c r="AB3" s="0" t="s">
        <v>14</v>
      </c>
      <c r="AC3" s="0" t="n">
        <v>221020411</v>
      </c>
      <c r="AE3" s="0" t="n">
        <v>20545953</v>
      </c>
    </row>
    <row r="4" customFormat="false" ht="15" hidden="false" customHeight="false" outlineLevel="0" collapsed="false">
      <c r="A4" s="0" t="s">
        <v>69</v>
      </c>
      <c r="F4" s="0" t="n">
        <v>2156742</v>
      </c>
      <c r="I4" s="0" t="n">
        <v>1512148</v>
      </c>
      <c r="K4" s="0" t="n">
        <v>1999</v>
      </c>
      <c r="L4" s="0" t="n">
        <v>-1979005</v>
      </c>
      <c r="O4" s="0" t="n">
        <v>20365892</v>
      </c>
      <c r="P4" s="0" t="n">
        <v>316295461</v>
      </c>
      <c r="Q4" s="0" t="n">
        <v>295730561</v>
      </c>
      <c r="R4" s="0" t="n">
        <v>42654357</v>
      </c>
      <c r="S4" s="0" t="n">
        <v>6908286</v>
      </c>
      <c r="AA4" s="0" t="s">
        <v>18</v>
      </c>
      <c r="AB4" s="0" t="s">
        <v>14</v>
      </c>
      <c r="AC4" s="0" t="n">
        <v>234695084</v>
      </c>
      <c r="AE4" s="0" t="n">
        <v>20564900</v>
      </c>
    </row>
    <row r="5" customFormat="false" ht="15" hidden="false" customHeight="false" outlineLevel="0" collapsed="false">
      <c r="A5" s="0" t="s">
        <v>70</v>
      </c>
      <c r="F5" s="0" t="n">
        <v>2759301</v>
      </c>
      <c r="I5" s="0" t="n">
        <v>2033182</v>
      </c>
      <c r="K5" s="0" t="n">
        <v>2796</v>
      </c>
      <c r="L5" s="0" t="n">
        <v>9160073</v>
      </c>
      <c r="O5" s="0" t="n">
        <v>21739931</v>
      </c>
      <c r="P5" s="0" t="n">
        <v>340447183</v>
      </c>
      <c r="Q5" s="0" t="n">
        <v>318494139</v>
      </c>
      <c r="R5" s="0" t="n">
        <v>44938848</v>
      </c>
      <c r="S5" s="0" t="n">
        <v>6747894</v>
      </c>
      <c r="U5" s="0" t="n">
        <v>0</v>
      </c>
      <c r="AA5" s="0" t="s">
        <v>18</v>
      </c>
      <c r="AB5" s="0" t="s">
        <v>14</v>
      </c>
      <c r="AC5" s="0" t="n">
        <v>248690939</v>
      </c>
      <c r="AE5" s="0" t="n">
        <v>21953044</v>
      </c>
    </row>
    <row r="6" customFormat="false" ht="15" hidden="false" customHeight="false" outlineLevel="0" collapsed="false">
      <c r="A6" s="0" t="s">
        <v>71</v>
      </c>
      <c r="F6" s="0" t="n">
        <v>2799976</v>
      </c>
      <c r="I6" s="0" t="n">
        <v>1872207</v>
      </c>
      <c r="K6" s="0" t="n">
        <v>2727</v>
      </c>
      <c r="L6" s="0" t="n">
        <v>1870349</v>
      </c>
      <c r="O6" s="0" t="n">
        <v>21510370</v>
      </c>
      <c r="P6" s="0" t="n">
        <v>361980724</v>
      </c>
      <c r="Q6" s="0" t="n">
        <v>336488392</v>
      </c>
      <c r="R6" s="0" t="n">
        <v>49856975</v>
      </c>
      <c r="S6" s="0" t="n">
        <v>6392566</v>
      </c>
      <c r="T6" s="0" t="n">
        <v>722.267683</v>
      </c>
      <c r="U6" s="0" t="n">
        <v>6328</v>
      </c>
      <c r="AA6" s="0" t="s">
        <v>18</v>
      </c>
      <c r="AB6" s="0" t="s">
        <v>14</v>
      </c>
      <c r="AC6" s="0" t="n">
        <v>264685578</v>
      </c>
      <c r="AE6" s="0" t="n">
        <v>25492332</v>
      </c>
    </row>
    <row r="7" customFormat="false" ht="15" hidden="false" customHeight="false" outlineLevel="0" collapsed="false">
      <c r="A7" s="0" t="s">
        <v>72</v>
      </c>
      <c r="F7" s="0" t="n">
        <v>2080394</v>
      </c>
      <c r="I7" s="0" t="n">
        <v>1307266</v>
      </c>
      <c r="K7" s="0" t="n">
        <v>1742</v>
      </c>
      <c r="L7" s="0" t="n">
        <v>3605975</v>
      </c>
      <c r="O7" s="0" t="n">
        <v>23053608</v>
      </c>
      <c r="P7" s="0" t="n">
        <v>399081017</v>
      </c>
      <c r="Q7" s="0" t="n">
        <v>372355172</v>
      </c>
      <c r="R7" s="0" t="n">
        <v>58224824</v>
      </c>
      <c r="S7" s="0" t="n">
        <v>9990983</v>
      </c>
      <c r="T7" s="0" t="n">
        <v>722.267683</v>
      </c>
      <c r="U7" s="0" t="n">
        <v>7495</v>
      </c>
      <c r="AA7" s="0" t="s">
        <v>18</v>
      </c>
      <c r="AB7" s="0" t="s">
        <v>14</v>
      </c>
      <c r="AC7" s="0" t="n">
        <v>291477279</v>
      </c>
      <c r="AE7" s="0" t="n">
        <v>26725845</v>
      </c>
    </row>
    <row r="8" customFormat="false" ht="15" hidden="false" customHeight="false" outlineLevel="0" collapsed="false">
      <c r="A8" s="0" t="s">
        <v>73</v>
      </c>
      <c r="F8" s="0" t="n">
        <v>3659749</v>
      </c>
      <c r="I8" s="0" t="n">
        <v>2542844</v>
      </c>
      <c r="K8" s="0" t="n">
        <v>3419</v>
      </c>
      <c r="L8" s="0" t="n">
        <v>-1800967</v>
      </c>
      <c r="O8" s="0" t="n">
        <v>25796927</v>
      </c>
      <c r="P8" s="0" t="n">
        <v>447183871</v>
      </c>
      <c r="Q8" s="0" t="n">
        <v>418378768</v>
      </c>
      <c r="R8" s="0" t="n">
        <v>69409323</v>
      </c>
      <c r="S8" s="0" t="n">
        <v>7565818</v>
      </c>
      <c r="T8" s="0" t="n">
        <v>728.060549</v>
      </c>
      <c r="U8" s="0" t="n">
        <v>17774</v>
      </c>
      <c r="AA8" s="0" t="s">
        <v>18</v>
      </c>
      <c r="AB8" s="0" t="s">
        <v>14</v>
      </c>
      <c r="AC8" s="0" t="n">
        <v>317899871</v>
      </c>
      <c r="AD8" s="0" t="n">
        <v>6985721</v>
      </c>
      <c r="AE8" s="0" t="n">
        <v>28805103</v>
      </c>
    </row>
    <row r="9" customFormat="false" ht="15" hidden="false" customHeight="false" outlineLevel="0" collapsed="false">
      <c r="A9" s="0" t="s">
        <v>74</v>
      </c>
      <c r="F9" s="0" t="n">
        <v>4430524</v>
      </c>
      <c r="I9" s="0" t="n">
        <v>3186772</v>
      </c>
      <c r="K9" s="0" t="n">
        <v>4251</v>
      </c>
      <c r="L9" s="0" t="n">
        <v>18624119</v>
      </c>
      <c r="O9" s="0" t="n">
        <v>28761897</v>
      </c>
      <c r="P9" s="0" t="n">
        <v>480474396</v>
      </c>
      <c r="Q9" s="0" t="n">
        <v>448847054</v>
      </c>
      <c r="R9" s="0" t="n">
        <v>72628089</v>
      </c>
      <c r="S9" s="0" t="n">
        <v>34219148</v>
      </c>
      <c r="T9" s="0" t="n">
        <v>728.060549</v>
      </c>
      <c r="U9" s="0" t="n">
        <v>9632</v>
      </c>
      <c r="AA9" s="0" t="s">
        <v>18</v>
      </c>
      <c r="AB9" s="0" t="s">
        <v>14</v>
      </c>
      <c r="AC9" s="0" t="n">
        <v>342105209</v>
      </c>
      <c r="AD9" s="0" t="n">
        <v>8696579</v>
      </c>
      <c r="AE9" s="0" t="n">
        <v>31627342</v>
      </c>
    </row>
    <row r="10" customFormat="false" ht="15" hidden="false" customHeight="false" outlineLevel="0" collapsed="false">
      <c r="A10" s="0" t="s">
        <v>75</v>
      </c>
      <c r="F10" s="0" t="n">
        <v>3499029</v>
      </c>
      <c r="I10" s="0" t="n">
        <v>2506296</v>
      </c>
      <c r="K10" s="0" t="n">
        <v>3230</v>
      </c>
      <c r="L10" s="0" t="n">
        <v>1621942</v>
      </c>
      <c r="O10" s="0" t="n">
        <v>31666881</v>
      </c>
      <c r="P10" s="0" t="n">
        <v>498004936</v>
      </c>
      <c r="Q10" s="0" t="n">
        <v>464607446</v>
      </c>
      <c r="R10" s="0" t="n">
        <v>72225991</v>
      </c>
      <c r="S10" s="0" t="n">
        <v>30556618</v>
      </c>
      <c r="T10" s="0" t="n">
        <v>751.949461</v>
      </c>
      <c r="U10" s="0" t="n">
        <v>12946</v>
      </c>
      <c r="AA10" s="0" t="s">
        <v>18</v>
      </c>
      <c r="AB10" s="0" t="s">
        <v>14</v>
      </c>
      <c r="AC10" s="0" t="n">
        <v>357784297</v>
      </c>
      <c r="AD10" s="0" t="n">
        <v>8742540</v>
      </c>
      <c r="AE10" s="0" t="n">
        <v>33397490</v>
      </c>
    </row>
    <row r="11" customFormat="false" ht="15" hidden="false" customHeight="false" outlineLevel="0" collapsed="false">
      <c r="A11" s="0" t="s">
        <v>76</v>
      </c>
      <c r="F11" s="0" t="n">
        <v>4255190</v>
      </c>
      <c r="I11" s="0" t="n">
        <v>3085995</v>
      </c>
      <c r="K11" s="0" t="n">
        <v>3950</v>
      </c>
      <c r="L11" s="0" t="n">
        <v>-6129300</v>
      </c>
      <c r="O11" s="0" t="n">
        <v>34096836</v>
      </c>
      <c r="P11" s="0" t="n">
        <v>525753320</v>
      </c>
      <c r="Q11" s="0" t="n">
        <v>489858051</v>
      </c>
      <c r="R11" s="0" t="n">
        <v>78324134</v>
      </c>
      <c r="S11" s="0" t="n">
        <v>27281123</v>
      </c>
      <c r="T11" s="0" t="n">
        <v>742.591501</v>
      </c>
      <c r="U11" s="0" t="n">
        <v>27629</v>
      </c>
      <c r="AA11" s="0" t="s">
        <v>18</v>
      </c>
      <c r="AB11" s="0" t="s">
        <v>14</v>
      </c>
      <c r="AC11" s="0" t="n">
        <v>366821156</v>
      </c>
      <c r="AD11" s="0" t="n">
        <v>8886336</v>
      </c>
      <c r="AE11" s="0" t="n">
        <v>35895269</v>
      </c>
    </row>
    <row r="12" customFormat="false" ht="15" hidden="false" customHeight="false" outlineLevel="0" collapsed="false">
      <c r="A12" s="0" t="s">
        <v>77</v>
      </c>
      <c r="F12" s="0" t="n">
        <v>3674808</v>
      </c>
      <c r="I12" s="0" t="n">
        <v>3124346</v>
      </c>
      <c r="K12" s="0" t="n">
        <v>4052</v>
      </c>
      <c r="L12" s="0" t="n">
        <v>13642391</v>
      </c>
      <c r="O12" s="0" t="n">
        <v>36017339</v>
      </c>
      <c r="P12" s="0" t="n">
        <v>601457286</v>
      </c>
      <c r="Q12" s="0" t="n">
        <v>563598038</v>
      </c>
      <c r="R12" s="0" t="n">
        <v>89766659</v>
      </c>
      <c r="S12" s="0" t="n">
        <v>38499679</v>
      </c>
      <c r="T12" s="0" t="n">
        <v>734.07632</v>
      </c>
      <c r="U12" s="0" t="n">
        <v>61568</v>
      </c>
      <c r="AA12" s="0" t="s">
        <v>18</v>
      </c>
      <c r="AB12" s="0" t="s">
        <v>14</v>
      </c>
      <c r="AC12" s="0" t="n">
        <v>376580845</v>
      </c>
      <c r="AD12" s="0" t="n">
        <v>9030769</v>
      </c>
      <c r="AE12" s="0" t="n">
        <v>37859248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75.21</v>
      </c>
    </row>
    <row r="3" customFormat="false" ht="15" hidden="false" customHeight="false" outlineLevel="0" collapsed="false">
      <c r="A3" s="0" t="s">
        <v>81</v>
      </c>
      <c r="B3" s="3" t="n">
        <v>242.7</v>
      </c>
    </row>
    <row r="4" customFormat="false" ht="15" hidden="false" customHeight="false" outlineLevel="0" collapsed="false">
      <c r="A4" s="0" t="s">
        <v>82</v>
      </c>
      <c r="B4" s="3" t="n">
        <v>0</v>
      </c>
    </row>
    <row r="5" customFormat="false" ht="15" hidden="false" customHeight="false" outlineLevel="0" collapsed="false">
      <c r="A5" s="0" t="s">
        <v>83</v>
      </c>
      <c r="B5" s="3" t="n">
        <v>0</v>
      </c>
    </row>
    <row r="6" customFormat="false" ht="15" hidden="false" customHeight="false" outlineLevel="0" collapsed="false">
      <c r="A6" s="0" t="s">
        <v>84</v>
      </c>
      <c r="B6" s="3" t="n">
        <v>15</v>
      </c>
    </row>
    <row r="7" customFormat="false" ht="15" hidden="false" customHeight="false" outlineLevel="0" collapsed="false">
      <c r="A7" s="0" t="s">
        <v>85</v>
      </c>
      <c r="B7" s="3" t="n">
        <v>12700000</v>
      </c>
    </row>
    <row r="8" customFormat="false" ht="15" hidden="false" customHeight="false" outlineLevel="0" collapsed="false">
      <c r="A8" s="0" t="s">
        <v>86</v>
      </c>
      <c r="B8" s="3" t="s">
        <v>87</v>
      </c>
    </row>
    <row r="9" customFormat="false" ht="15" hidden="false" customHeight="false" outlineLevel="0" collapsed="false">
      <c r="A9" s="0" t="s">
        <v>88</v>
      </c>
      <c r="B9" s="3" t="s">
        <v>89</v>
      </c>
    </row>
    <row r="10" customFormat="false" ht="15" hidden="false" customHeight="false" outlineLevel="0" collapsed="false">
      <c r="A10" s="0" t="s">
        <v>90</v>
      </c>
      <c r="B10" s="3" t="n">
        <v>0.00074487</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2</v>
      </c>
      <c r="D13" s="3" t="n">
        <v>1.5</v>
      </c>
      <c r="E13" s="3" t="n">
        <v>1.5</v>
      </c>
      <c r="F13" s="3" t="n">
        <v>2</v>
      </c>
      <c r="G13" s="3" t="n">
        <v>2</v>
      </c>
      <c r="H13" s="3" t="n">
        <v>2</v>
      </c>
      <c r="I13" s="3" t="n">
        <v>2</v>
      </c>
      <c r="J13" s="3" t="n">
        <v>2</v>
      </c>
      <c r="K13" s="3" t="n">
        <v>2</v>
      </c>
      <c r="L13" s="3" t="n">
        <v>2</v>
      </c>
    </row>
    <row r="14" customFormat="false" ht="15" hidden="false" customHeight="false" outlineLevel="0" collapsed="false">
      <c r="A14" s="0" t="s">
        <v>103</v>
      </c>
      <c r="C14" s="3" t="n">
        <v>28</v>
      </c>
      <c r="D14" s="3" t="n">
        <v>26.5</v>
      </c>
      <c r="E14" s="3" t="n">
        <v>26.5</v>
      </c>
      <c r="F14" s="3" t="n">
        <v>27</v>
      </c>
      <c r="G14" s="3" t="n">
        <v>27.5</v>
      </c>
      <c r="H14" s="3" t="n">
        <v>28</v>
      </c>
      <c r="I14" s="3" t="n">
        <v>28</v>
      </c>
      <c r="J14" s="3" t="n">
        <v>28</v>
      </c>
      <c r="K14" s="3" t="n">
        <v>28</v>
      </c>
      <c r="L14" s="3" t="n">
        <v>28</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106</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107</v>
      </c>
      <c r="C18" s="3" t="n">
        <v>15.3</v>
      </c>
      <c r="D18" s="3" t="n">
        <v>15.7</v>
      </c>
      <c r="E18" s="3" t="n">
        <v>8.55</v>
      </c>
      <c r="F18" s="3" t="n">
        <v>8.64</v>
      </c>
      <c r="G18" s="3" t="n">
        <v>8.72</v>
      </c>
      <c r="H18" s="3" t="n">
        <v>5.87</v>
      </c>
      <c r="I18" s="3" t="n">
        <v>5.87</v>
      </c>
      <c r="J18" s="3" t="n">
        <v>5.87</v>
      </c>
      <c r="K18" s="3" t="n">
        <v>5.87</v>
      </c>
      <c r="L18" s="3" t="n">
        <v>5.87</v>
      </c>
    </row>
    <row r="19" customFormat="false" ht="15" hidden="false" customHeight="false" outlineLevel="0" collapsed="false">
      <c r="A19" s="0" t="s">
        <v>108</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109</v>
      </c>
      <c r="B20" s="3" t="n">
        <v>10</v>
      </c>
    </row>
    <row r="21" customFormat="false" ht="15" hidden="false" customHeight="false" outlineLevel="0" collapsed="false">
      <c r="A21" s="0" t="s">
        <v>110</v>
      </c>
      <c r="B21" s="3" t="n">
        <v>2</v>
      </c>
    </row>
    <row r="22" customFormat="false" ht="15" hidden="false" customHeight="false" outlineLevel="0" collapsed="false">
      <c r="A22" s="0" t="s">
        <v>111</v>
      </c>
      <c r="B22" s="3" t="n">
        <v>16</v>
      </c>
    </row>
    <row r="23" customFormat="false" ht="15" hidden="false" customHeight="false" outlineLevel="0" collapsed="false">
      <c r="A23" s="0" t="s">
        <v>112</v>
      </c>
      <c r="B23" s="3" t="n">
        <v>0</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5</v>
      </c>
      <c r="D27" s="3" t="n">
        <v>4</v>
      </c>
      <c r="E27" s="3" t="n">
        <v>4</v>
      </c>
      <c r="F27" s="3" t="n">
        <v>3.5</v>
      </c>
      <c r="G27" s="3" t="n">
        <v>3.5</v>
      </c>
      <c r="H27" s="3" t="n">
        <v>3</v>
      </c>
      <c r="I27" s="3" t="n">
        <v>3</v>
      </c>
      <c r="J27" s="3" t="n">
        <v>2.5</v>
      </c>
      <c r="K27" s="3" t="n">
        <v>2.5</v>
      </c>
      <c r="L27" s="3" t="n">
        <v>2.5</v>
      </c>
    </row>
    <row r="28" customFormat="false" ht="15" hidden="false" customHeight="false" outlineLevel="0" collapsed="false">
      <c r="A28" s="0" t="s">
        <v>103</v>
      </c>
      <c r="C28" s="3" t="n">
        <v>32</v>
      </c>
      <c r="D28" s="3" t="n">
        <v>32.5</v>
      </c>
      <c r="E28" s="3" t="n">
        <v>32.5</v>
      </c>
      <c r="F28" s="3" t="n">
        <v>32.5</v>
      </c>
      <c r="G28" s="3" t="n">
        <v>32</v>
      </c>
      <c r="H28" s="3" t="n">
        <v>32</v>
      </c>
      <c r="I28" s="3" t="n">
        <v>31.5</v>
      </c>
      <c r="J28" s="3" t="n">
        <v>31.5</v>
      </c>
      <c r="K28" s="3" t="n">
        <v>31.5</v>
      </c>
      <c r="L28" s="3" t="n">
        <v>31.5</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106</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107</v>
      </c>
      <c r="C32" s="3" t="n">
        <v>8.92</v>
      </c>
      <c r="D32" s="3" t="n">
        <v>8.88</v>
      </c>
      <c r="E32" s="3" t="n">
        <v>7.58</v>
      </c>
      <c r="F32" s="3" t="n">
        <v>7.54</v>
      </c>
      <c r="G32" s="3" t="n">
        <v>7.5</v>
      </c>
      <c r="H32" s="3" t="n">
        <v>6.25</v>
      </c>
      <c r="I32" s="3" t="n">
        <v>6.22</v>
      </c>
      <c r="J32" s="3" t="n">
        <v>6.22</v>
      </c>
      <c r="K32" s="3" t="n">
        <v>6.22</v>
      </c>
      <c r="L32" s="3" t="n">
        <v>6.22</v>
      </c>
    </row>
    <row r="33" customFormat="false" ht="15" hidden="false" customHeight="false" outlineLevel="0" collapsed="false">
      <c r="A33" s="0" t="s">
        <v>108</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109</v>
      </c>
      <c r="B34" s="3" t="n">
        <v>10</v>
      </c>
    </row>
    <row r="35" customFormat="false" ht="15" hidden="false" customHeight="false" outlineLevel="0" collapsed="false">
      <c r="A35" s="0" t="s">
        <v>110</v>
      </c>
      <c r="B35" s="3" t="n">
        <v>2.5</v>
      </c>
    </row>
    <row r="36" customFormat="false" ht="15" hidden="false" customHeight="false" outlineLevel="0" collapsed="false">
      <c r="A36" s="0" t="s">
        <v>111</v>
      </c>
      <c r="B36" s="3" t="n">
        <v>16</v>
      </c>
    </row>
    <row r="37" customFormat="false" ht="15" hidden="false" customHeight="false" outlineLevel="0" collapsed="false">
      <c r="A37" s="0" t="s">
        <v>112</v>
      </c>
      <c r="B37" s="3" t="n">
        <v>0</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6.5</v>
      </c>
      <c r="D41" s="3" t="n">
        <v>5.5</v>
      </c>
      <c r="E41" s="3" t="n">
        <v>5</v>
      </c>
      <c r="F41" s="3" t="n">
        <v>4.5</v>
      </c>
      <c r="G41" s="3" t="n">
        <v>4</v>
      </c>
      <c r="H41" s="3" t="n">
        <v>3.5</v>
      </c>
      <c r="I41" s="3" t="n">
        <v>3</v>
      </c>
      <c r="J41" s="3" t="n">
        <v>3</v>
      </c>
      <c r="K41" s="3" t="n">
        <v>3</v>
      </c>
      <c r="L41" s="3" t="n">
        <v>3</v>
      </c>
    </row>
    <row r="42" customFormat="false" ht="15" hidden="false" customHeight="false" outlineLevel="0" collapsed="false">
      <c r="A42" s="0" t="s">
        <v>103</v>
      </c>
      <c r="C42" s="3" t="n">
        <v>33</v>
      </c>
      <c r="D42" s="3" t="n">
        <v>34</v>
      </c>
      <c r="E42" s="3" t="n">
        <v>35</v>
      </c>
      <c r="F42" s="3" t="n">
        <v>35</v>
      </c>
      <c r="G42" s="3" t="n">
        <v>35</v>
      </c>
      <c r="H42" s="3" t="n">
        <v>34.5</v>
      </c>
      <c r="I42" s="3" t="n">
        <v>34.5</v>
      </c>
      <c r="J42" s="3" t="n">
        <v>34</v>
      </c>
      <c r="K42" s="3" t="n">
        <v>34</v>
      </c>
      <c r="L42" s="3" t="n">
        <v>34</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106</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107</v>
      </c>
      <c r="C46" s="3" t="n">
        <v>10.05</v>
      </c>
      <c r="D46" s="3" t="n">
        <v>9.91</v>
      </c>
      <c r="E46" s="3" t="n">
        <v>8.59</v>
      </c>
      <c r="F46" s="3" t="n">
        <v>8.51</v>
      </c>
      <c r="G46" s="3" t="n">
        <v>8.47</v>
      </c>
      <c r="H46" s="3" t="n">
        <v>7.26</v>
      </c>
      <c r="I46" s="3" t="n">
        <v>7.26</v>
      </c>
      <c r="J46" s="3" t="n">
        <v>7.26</v>
      </c>
      <c r="K46" s="3" t="n">
        <v>7.26</v>
      </c>
      <c r="L46" s="3" t="n">
        <v>7.26</v>
      </c>
    </row>
    <row r="47" customFormat="false" ht="15" hidden="false" customHeight="false" outlineLevel="0" collapsed="false">
      <c r="A47" s="0" t="s">
        <v>108</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109</v>
      </c>
      <c r="B48" s="3" t="n">
        <v>10</v>
      </c>
    </row>
    <row r="49" customFormat="false" ht="15" hidden="false" customHeight="false" outlineLevel="0" collapsed="false">
      <c r="A49" s="0" t="s">
        <v>110</v>
      </c>
      <c r="B49" s="3" t="n">
        <v>3</v>
      </c>
    </row>
    <row r="50" customFormat="false" ht="15" hidden="false" customHeight="false" outlineLevel="0" collapsed="false">
      <c r="A50" s="0" t="s">
        <v>111</v>
      </c>
      <c r="B50" s="3" t="n">
        <v>16</v>
      </c>
    </row>
    <row r="51" customFormat="false" ht="15" hidden="false" customHeight="false" outlineLevel="0" collapsed="false">
      <c r="A51" s="0" t="s">
        <v>112</v>
      </c>
      <c r="B51" s="3" t="n">
        <v>0</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2</v>
      </c>
      <c r="D5" s="4" t="n">
        <f aca="false">Assumptions!D13</f>
        <v>1.5</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12700000</v>
      </c>
      <c r="C6" s="0" t="n">
        <f aca="false">B6*(1+C5/100)</f>
        <v>12954000</v>
      </c>
      <c r="D6" s="0" t="n">
        <f aca="false">C6*(1+D5/100)</f>
        <v>13148310</v>
      </c>
      <c r="E6" s="0" t="n">
        <f aca="false">D6*(1+E5/100)</f>
        <v>13345534.65</v>
      </c>
      <c r="F6" s="0" t="n">
        <f aca="false">E6*(1+F5/100)</f>
        <v>13612445.343</v>
      </c>
      <c r="G6" s="0" t="n">
        <f aca="false">F6*(1+G5/100)</f>
        <v>13884694.24986</v>
      </c>
      <c r="H6" s="0" t="n">
        <f aca="false">G6*(1+H5/100)</f>
        <v>14162388.1348572</v>
      </c>
      <c r="I6" s="0" t="n">
        <f aca="false">H6*(1+I5/100)</f>
        <v>14445635.8975543</v>
      </c>
      <c r="J6" s="0" t="n">
        <f aca="false">I6*(1+J5/100)</f>
        <v>14734548.6155054</v>
      </c>
      <c r="K6" s="0" t="n">
        <f aca="false">J6*(1+K5/100)</f>
        <v>15029239.5878155</v>
      </c>
      <c r="L6" s="0" t="n">
        <f aca="false">K6*(1+L5/100)</f>
        <v>15329824.3795718</v>
      </c>
    </row>
    <row r="7" customFormat="false" ht="15" hidden="false" customHeight="false" outlineLevel="0" collapsed="false">
      <c r="A7" s="0" t="s">
        <v>103</v>
      </c>
      <c r="C7" s="4" t="n">
        <f aca="false">Assumptions!C14</f>
        <v>28</v>
      </c>
      <c r="D7" s="4" t="n">
        <f aca="false">Assumptions!D14</f>
        <v>26.5</v>
      </c>
      <c r="E7" s="4" t="n">
        <f aca="false">Assumptions!E14</f>
        <v>26.5</v>
      </c>
      <c r="F7" s="4" t="n">
        <f aca="false">Assumptions!F14</f>
        <v>27</v>
      </c>
      <c r="G7" s="4" t="n">
        <f aca="false">Assumptions!G14</f>
        <v>27.5</v>
      </c>
      <c r="H7" s="4" t="n">
        <f aca="false">Assumptions!H14</f>
        <v>28</v>
      </c>
      <c r="I7" s="4" t="n">
        <f aca="false">Assumptions!I14</f>
        <v>28</v>
      </c>
      <c r="J7" s="4" t="n">
        <f aca="false">Assumptions!J14</f>
        <v>28</v>
      </c>
      <c r="K7" s="4" t="n">
        <f aca="false">Assumptions!K14</f>
        <v>28</v>
      </c>
      <c r="L7" s="4" t="n">
        <f aca="false">Assumptions!L14</f>
        <v>28</v>
      </c>
    </row>
    <row r="8" customFormat="false" ht="15" hidden="false" customHeight="false" outlineLevel="0" collapsed="false">
      <c r="A8" s="0" t="s">
        <v>44</v>
      </c>
      <c r="C8" s="0" t="n">
        <f aca="false">C6*C7/100</f>
        <v>3627120</v>
      </c>
      <c r="D8" s="0" t="n">
        <f aca="false">D6*D7/100</f>
        <v>3484302.15</v>
      </c>
      <c r="E8" s="0" t="n">
        <f aca="false">E6*E7/100</f>
        <v>3536566.68225</v>
      </c>
      <c r="F8" s="0" t="n">
        <f aca="false">F6*F7/100</f>
        <v>3675360.24261</v>
      </c>
      <c r="G8" s="0" t="n">
        <f aca="false">G6*G7/100</f>
        <v>3818290.9187115</v>
      </c>
      <c r="H8" s="0" t="n">
        <f aca="false">H6*H7/100</f>
        <v>3965468.67776002</v>
      </c>
      <c r="I8" s="0" t="n">
        <f aca="false">I6*I7/100</f>
        <v>4044778.05131522</v>
      </c>
      <c r="J8" s="0" t="n">
        <f aca="false">J6*J7/100</f>
        <v>4125673.61234152</v>
      </c>
      <c r="K8" s="0" t="n">
        <f aca="false">K6*K7/100</f>
        <v>4208187.08458835</v>
      </c>
      <c r="L8" s="0" t="n">
        <f aca="false">L6*L7/100</f>
        <v>4292350.82628012</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3627120</v>
      </c>
      <c r="D11" s="0" t="n">
        <f aca="false">D8+D10+D24</f>
        <v>3484302.15</v>
      </c>
      <c r="E11" s="0" t="n">
        <f aca="false">E8+E10+E24</f>
        <v>3536566.68225</v>
      </c>
      <c r="F11" s="0" t="n">
        <f aca="false">F8+F10+F24</f>
        <v>3675360.24261</v>
      </c>
      <c r="G11" s="0" t="n">
        <f aca="false">G8+G10+G24</f>
        <v>3818290.9187115</v>
      </c>
      <c r="H11" s="0" t="n">
        <f aca="false">H8+H10+H24</f>
        <v>3965468.67776002</v>
      </c>
      <c r="I11" s="0" t="n">
        <f aca="false">I8+I10+I24</f>
        <v>4044778.05131522</v>
      </c>
      <c r="J11" s="0" t="n">
        <f aca="false">J8+J10+J24</f>
        <v>4125673.61234152</v>
      </c>
      <c r="K11" s="0" t="n">
        <f aca="false">K8+K10+K24</f>
        <v>4208187.08458835</v>
      </c>
      <c r="L11" s="0" t="n">
        <f aca="false">L8+L10+L24</f>
        <v>4292350.82628012</v>
      </c>
    </row>
    <row r="12" customFormat="false" ht="15" hidden="false" customHeight="false" outlineLevel="0" collapsed="false">
      <c r="A12" s="0" t="s">
        <v>121</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122</v>
      </c>
      <c r="C13" s="0" t="n">
        <f aca="false">C11+C12</f>
        <v>3627120</v>
      </c>
      <c r="D13" s="0" t="n">
        <f aca="false">D11+D12</f>
        <v>3484302.15</v>
      </c>
      <c r="E13" s="0" t="n">
        <f aca="false">E11+E12</f>
        <v>3536566.68225</v>
      </c>
      <c r="F13" s="0" t="n">
        <f aca="false">F11+F12</f>
        <v>3675360.24261</v>
      </c>
      <c r="G13" s="0" t="n">
        <f aca="false">G11+G12</f>
        <v>3818290.9187115</v>
      </c>
      <c r="H13" s="0" t="n">
        <f aca="false">H11+H12</f>
        <v>3965468.67776002</v>
      </c>
      <c r="I13" s="0" t="n">
        <f aca="false">I11+I12</f>
        <v>4044778.05131522</v>
      </c>
      <c r="J13" s="0" t="n">
        <f aca="false">J11+J12</f>
        <v>4125673.61234152</v>
      </c>
      <c r="K13" s="0" t="n">
        <f aca="false">K11+K12</f>
        <v>4208187.08458835</v>
      </c>
      <c r="L13" s="0" t="n">
        <f aca="false">L11+L12</f>
        <v>4292350.82628012</v>
      </c>
    </row>
    <row r="14" customFormat="false" ht="15" hidden="false" customHeight="false" outlineLevel="0" collapsed="false">
      <c r="A14" s="0" t="s">
        <v>108</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123</v>
      </c>
      <c r="C15" s="0" t="n">
        <f aca="false">C13-MAX(0,C13)*C14/100</f>
        <v>2720340</v>
      </c>
      <c r="D15" s="0" t="n">
        <f aca="false">D13-MAX(0,D13)*D14/100</f>
        <v>2613226.6125</v>
      </c>
      <c r="E15" s="0" t="n">
        <f aca="false">E13-MAX(0,E13)*E14/100</f>
        <v>2652425.0116875</v>
      </c>
      <c r="F15" s="0" t="n">
        <f aca="false">F13-MAX(0,F13)*F14/100</f>
        <v>2756520.1819575</v>
      </c>
      <c r="G15" s="0" t="n">
        <f aca="false">G13-MAX(0,G13)*G14/100</f>
        <v>2863718.18903362</v>
      </c>
      <c r="H15" s="0" t="n">
        <f aca="false">H13-MAX(0,H13)*H14/100</f>
        <v>2974101.50832001</v>
      </c>
      <c r="I15" s="0" t="n">
        <f aca="false">I13-MAX(0,I13)*I14/100</f>
        <v>3033583.53848641</v>
      </c>
      <c r="J15" s="0" t="n">
        <f aca="false">J13-MAX(0,J13)*J14/100</f>
        <v>3094255.20925614</v>
      </c>
      <c r="K15" s="0" t="n">
        <f aca="false">K13-MAX(0,K13)*K14/100</f>
        <v>3156140.31344126</v>
      </c>
      <c r="L15" s="0" t="n">
        <f aca="false">L13-MAX(0,L13)*L14/100</f>
        <v>3219263.11971009</v>
      </c>
    </row>
    <row r="16" customFormat="false" ht="15" hidden="false" customHeight="false" outlineLevel="0" collapsed="false">
      <c r="A16" s="0" t="s">
        <v>124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125</v>
      </c>
      <c r="C17" s="4" t="n">
        <f aca="false">-C6*Assumptions!C18/100</f>
        <v>-1981962</v>
      </c>
      <c r="D17" s="4" t="n">
        <f aca="false">-D6*Assumptions!D18/100</f>
        <v>-2064284.67</v>
      </c>
      <c r="E17" s="4" t="n">
        <f aca="false">-E6*Assumptions!E18/100</f>
        <v>-1141043.212575</v>
      </c>
      <c r="F17" s="4" t="n">
        <f aca="false">-F6*Assumptions!F18/100</f>
        <v>-1176115.2776352</v>
      </c>
      <c r="G17" s="4" t="n">
        <f aca="false">-G6*Assumptions!G18/100</f>
        <v>-1210745.33858779</v>
      </c>
      <c r="H17" s="4" t="n">
        <f aca="false">-H6*Assumptions!H18/100</f>
        <v>-831332.183516118</v>
      </c>
      <c r="I17" s="4" t="n">
        <f aca="false">-I6*Assumptions!I18/100</f>
        <v>-847958.82718644</v>
      </c>
      <c r="J17" s="4" t="n">
        <f aca="false">-J6*Assumptions!J18/100</f>
        <v>-864918.003730169</v>
      </c>
      <c r="K17" s="4" t="n">
        <f aca="false">-K6*Assumptions!K18/100</f>
        <v>-882216.363804772</v>
      </c>
      <c r="L17" s="4" t="n">
        <f aca="false">-L6*Assumptions!L18/100</f>
        <v>-899860.691080868</v>
      </c>
    </row>
    <row r="18" customFormat="false" ht="15" hidden="false" customHeight="false" outlineLevel="0" collapsed="false">
      <c r="A18" s="0" t="s">
        <v>126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127</v>
      </c>
      <c r="C19" s="0" t="n">
        <f aca="false">C15+C16+C17+C18</f>
        <v>738378</v>
      </c>
      <c r="D19" s="0" t="n">
        <f aca="false">D15+D16+D17+D18</f>
        <v>548941.9425</v>
      </c>
      <c r="E19" s="0" t="n">
        <f aca="false">E15+E16+E17+E18</f>
        <v>1511381.7991125</v>
      </c>
      <c r="F19" s="0" t="n">
        <f aca="false">F15+F16+F17+F18</f>
        <v>1580404.9043223</v>
      </c>
      <c r="G19" s="0" t="n">
        <f aca="false">G15+G16+G17+G18</f>
        <v>1652972.85044583</v>
      </c>
      <c r="H19" s="0" t="n">
        <f aca="false">H15+H16+H17+H18</f>
        <v>2142769.32480389</v>
      </c>
      <c r="I19" s="0" t="n">
        <f aca="false">I15+I16+I17+I18</f>
        <v>2185624.71129997</v>
      </c>
      <c r="J19" s="0" t="n">
        <f aca="false">J15+J16+J17+J18</f>
        <v>2229337.20552597</v>
      </c>
      <c r="K19" s="0" t="n">
        <f aca="false">K15+K16+K17+K18</f>
        <v>2273923.94963649</v>
      </c>
      <c r="L19" s="0" t="n">
        <f aca="false">L15+L16+L17+L18</f>
        <v>2319402.42862922</v>
      </c>
    </row>
    <row r="20" customFormat="false" ht="15" hidden="false" customHeight="false" outlineLevel="0" collapsed="false">
      <c r="A20" s="0" t="s">
        <v>128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129</v>
      </c>
      <c r="C21" s="0" t="n">
        <f aca="false">C19*C20</f>
        <v>671252.727272727</v>
      </c>
      <c r="D21" s="0" t="n">
        <f aca="false">D19*D20</f>
        <v>453671.026859504</v>
      </c>
      <c r="E21" s="0" t="n">
        <f aca="false">E19*E20</f>
        <v>1135523.51548648</v>
      </c>
      <c r="F21" s="0" t="n">
        <f aca="false">F19*F20</f>
        <v>1079437.81457708</v>
      </c>
      <c r="G21" s="0" t="n">
        <f aca="false">G19*G20</f>
        <v>1026366.08927969</v>
      </c>
      <c r="H21" s="0" t="n">
        <f aca="false">H19*H20</f>
        <v>1209537.42197073</v>
      </c>
      <c r="I21" s="0" t="n">
        <f aca="false">I19*I20</f>
        <v>1121571.06400922</v>
      </c>
      <c r="J21" s="0" t="n">
        <f aca="false">J19*J20</f>
        <v>1040002.25935401</v>
      </c>
      <c r="K21" s="0" t="n">
        <f aca="false">K19*K20</f>
        <v>964365.731400989</v>
      </c>
      <c r="L21" s="0" t="n">
        <f aca="false">L19*L20</f>
        <v>894230.041844554</v>
      </c>
    </row>
    <row r="23" customFormat="false" ht="15" hidden="false" customHeight="false" outlineLevel="0" collapsed="false">
      <c r="A23" s="0" t="s">
        <v>105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Assumptions!$B$20</f>
        <v>10</v>
      </c>
    </row>
    <row r="28" customFormat="false" ht="15" hidden="false" customHeight="false" outlineLevel="0" collapsed="false">
      <c r="A28" s="0" t="s">
        <v>110</v>
      </c>
      <c r="B28" s="4" t="n">
        <f aca="false">Assumptions!$B$21</f>
        <v>2</v>
      </c>
    </row>
    <row r="29" customFormat="false" ht="15" hidden="false" customHeight="false" outlineLevel="0" collapsed="false">
      <c r="A29" s="0" t="s">
        <v>111</v>
      </c>
      <c r="B29" s="4" t="n">
        <f aca="false">Assumptions!$B$22</f>
        <v>16</v>
      </c>
    </row>
    <row r="30" customFormat="false" ht="15" hidden="false" customHeight="false" outlineLevel="0" collapsed="false">
      <c r="A30" s="0" t="s">
        <v>132</v>
      </c>
      <c r="B30" s="0" t="n">
        <f aca="false">SUM(C21:L21)</f>
        <v>9595957.69205498</v>
      </c>
    </row>
    <row r="31" customFormat="false" ht="15" hidden="false" customHeight="false" outlineLevel="0" collapsed="false">
      <c r="A31" s="0" t="s">
        <v>133</v>
      </c>
      <c r="B31" s="0" t="n">
        <f aca="false">L19</f>
        <v>2319402.42862922</v>
      </c>
    </row>
    <row r="32" customFormat="false" ht="15" hidden="false" customHeight="false" outlineLevel="0" collapsed="false">
      <c r="A32" s="0" t="s">
        <v>134</v>
      </c>
      <c r="B32" s="0" t="n">
        <f aca="false">IF(B27&gt;B28,B31*(1+B28/100)/((B27-B28)/100),B31*B29)</f>
        <v>29572380.9650226</v>
      </c>
    </row>
    <row r="33" customFormat="false" ht="15" hidden="false" customHeight="false" outlineLevel="0" collapsed="false">
      <c r="A33" s="0" t="s">
        <v>135</v>
      </c>
      <c r="B33" s="0" t="n">
        <f aca="false">B31*B29</f>
        <v>37110438.8580675</v>
      </c>
    </row>
    <row r="34" customFormat="false" ht="15" hidden="false" customHeight="false" outlineLevel="0" collapsed="false">
      <c r="A34" s="0" t="s">
        <v>136</v>
      </c>
      <c r="B34" s="0" t="n">
        <f aca="false">MAX(0,MIN(B32,B33))</f>
        <v>29572380.9650226</v>
      </c>
    </row>
    <row r="35" customFormat="false" ht="15" hidden="false" customHeight="false" outlineLevel="0" collapsed="false">
      <c r="A35" s="0" t="s">
        <v>137</v>
      </c>
      <c r="B35" s="0" t="n">
        <f aca="false">B34/(1+B27/100)^L4</f>
        <v>11401433.0335181</v>
      </c>
    </row>
    <row r="36" customFormat="false" ht="15" hidden="false" customHeight="false" outlineLevel="0" collapsed="false">
      <c r="A36" s="0" t="s">
        <v>138</v>
      </c>
      <c r="B36" s="0" t="n">
        <f aca="false">B30+B35</f>
        <v>20997390.725573</v>
      </c>
    </row>
    <row r="37" customFormat="false" ht="15" hidden="false" customHeight="false" outlineLevel="0" collapsed="false">
      <c r="A37" s="0" t="s">
        <v>139</v>
      </c>
      <c r="B37" s="0" t="n">
        <f aca="false">B36+Assumptions!$B$5-Assumptions!$B$4</f>
        <v>20997390.725573</v>
      </c>
    </row>
    <row r="38" customFormat="false" ht="15" hidden="false" customHeight="false" outlineLevel="0" collapsed="false">
      <c r="A38" s="0" t="s">
        <v>140</v>
      </c>
      <c r="B38" s="0" t="n">
        <f aca="false">B37/Assumptions!$B$3*Assumptions!$B$10</f>
        <v>64.443042561836</v>
      </c>
    </row>
    <row r="39" customFormat="false" ht="15" hidden="false" customHeight="false" outlineLevel="0" collapsed="false">
      <c r="A39" s="0" t="s">
        <v>141</v>
      </c>
      <c r="B39" s="4" t="n">
        <f aca="false">B38/Assumptions!$B$2-1</f>
        <v>-0.143158588461162</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64.443042561836</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18198388.2861677</v>
      </c>
    </row>
    <row r="47" customFormat="false" ht="15" hidden="false" customHeight="false" outlineLevel="0" collapsed="false">
      <c r="A47" s="0" t="s">
        <v>146</v>
      </c>
      <c r="B47" s="0" t="n">
        <f aca="false">(SUMPRODUCT(C19:L19/(1+B45/100)^C4:L4)+B46/(1+B45/100)^L4+Assumptions!$B$5-Assumptions!$B$4)/Assumptions!$B$3*Assumptions!$B$10</f>
        <v>36.7408161835262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5</v>
      </c>
      <c r="D5" s="4" t="n">
        <f aca="false">Assumptions!D27</f>
        <v>4</v>
      </c>
      <c r="E5" s="4" t="n">
        <f aca="false">Assumptions!E27</f>
        <v>4</v>
      </c>
      <c r="F5" s="4" t="n">
        <f aca="false">Assumptions!F27</f>
        <v>3.5</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12700000</v>
      </c>
      <c r="C6" s="0" t="n">
        <f aca="false">B6*(1+C5/100)</f>
        <v>13335000</v>
      </c>
      <c r="D6" s="0" t="n">
        <f aca="false">C6*(1+D5/100)</f>
        <v>13868400</v>
      </c>
      <c r="E6" s="0" t="n">
        <f aca="false">D6*(1+E5/100)</f>
        <v>14423136</v>
      </c>
      <c r="F6" s="0" t="n">
        <f aca="false">E6*(1+F5/100)</f>
        <v>14927945.76</v>
      </c>
      <c r="G6" s="0" t="n">
        <f aca="false">F6*(1+G5/100)</f>
        <v>15450423.8616</v>
      </c>
      <c r="H6" s="0" t="n">
        <f aca="false">G6*(1+H5/100)</f>
        <v>15913936.577448</v>
      </c>
      <c r="I6" s="0" t="n">
        <f aca="false">H6*(1+I5/100)</f>
        <v>16391354.6747714</v>
      </c>
      <c r="J6" s="0" t="n">
        <f aca="false">I6*(1+J5/100)</f>
        <v>16801138.5416407</v>
      </c>
      <c r="K6" s="0" t="n">
        <f aca="false">J6*(1+K5/100)</f>
        <v>17221167.0051817</v>
      </c>
      <c r="L6" s="0" t="n">
        <f aca="false">K6*(1+L5/100)</f>
        <v>17651696.1803113</v>
      </c>
    </row>
    <row r="7" customFormat="false" ht="15" hidden="false" customHeight="false" outlineLevel="0" collapsed="false">
      <c r="A7" s="0" t="s">
        <v>103</v>
      </c>
      <c r="C7" s="4" t="n">
        <f aca="false">Assumptions!C28</f>
        <v>32</v>
      </c>
      <c r="D7" s="4" t="n">
        <f aca="false">Assumptions!D28</f>
        <v>32.5</v>
      </c>
      <c r="E7" s="4" t="n">
        <f aca="false">Assumptions!E28</f>
        <v>32.5</v>
      </c>
      <c r="F7" s="4" t="n">
        <f aca="false">Assumptions!F28</f>
        <v>32.5</v>
      </c>
      <c r="G7" s="4" t="n">
        <f aca="false">Assumptions!G28</f>
        <v>32</v>
      </c>
      <c r="H7" s="4" t="n">
        <f aca="false">Assumptions!H28</f>
        <v>32</v>
      </c>
      <c r="I7" s="4" t="n">
        <f aca="false">Assumptions!I28</f>
        <v>31.5</v>
      </c>
      <c r="J7" s="4" t="n">
        <f aca="false">Assumptions!J28</f>
        <v>31.5</v>
      </c>
      <c r="K7" s="4" t="n">
        <f aca="false">Assumptions!K28</f>
        <v>31.5</v>
      </c>
      <c r="L7" s="4" t="n">
        <f aca="false">Assumptions!L28</f>
        <v>31.5</v>
      </c>
    </row>
    <row r="8" customFormat="false" ht="15" hidden="false" customHeight="false" outlineLevel="0" collapsed="false">
      <c r="A8" s="0" t="s">
        <v>44</v>
      </c>
      <c r="C8" s="0" t="n">
        <f aca="false">C6*C7/100</f>
        <v>4267200</v>
      </c>
      <c r="D8" s="0" t="n">
        <f aca="false">D6*D7/100</f>
        <v>4507230</v>
      </c>
      <c r="E8" s="0" t="n">
        <f aca="false">E6*E7/100</f>
        <v>4687519.2</v>
      </c>
      <c r="F8" s="0" t="n">
        <f aca="false">F6*F7/100</f>
        <v>4851582.372</v>
      </c>
      <c r="G8" s="0" t="n">
        <f aca="false">G6*G7/100</f>
        <v>4944135.635712</v>
      </c>
      <c r="H8" s="0" t="n">
        <f aca="false">H6*H7/100</f>
        <v>5092459.70478336</v>
      </c>
      <c r="I8" s="0" t="n">
        <f aca="false">I6*I7/100</f>
        <v>5163276.722553</v>
      </c>
      <c r="J8" s="0" t="n">
        <f aca="false">J6*J7/100</f>
        <v>5292358.64061683</v>
      </c>
      <c r="K8" s="0" t="n">
        <f aca="false">K6*K7/100</f>
        <v>5424667.60663225</v>
      </c>
      <c r="L8" s="0" t="n">
        <f aca="false">L6*L7/100</f>
        <v>5560284.29679805</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4267200</v>
      </c>
      <c r="D11" s="0" t="n">
        <f aca="false">D8+D10+D24</f>
        <v>4507230</v>
      </c>
      <c r="E11" s="0" t="n">
        <f aca="false">E8+E10+E24</f>
        <v>4687519.2</v>
      </c>
      <c r="F11" s="0" t="n">
        <f aca="false">F8+F10+F24</f>
        <v>4851582.372</v>
      </c>
      <c r="G11" s="0" t="n">
        <f aca="false">G8+G10+G24</f>
        <v>4944135.635712</v>
      </c>
      <c r="H11" s="0" t="n">
        <f aca="false">H8+H10+H24</f>
        <v>5092459.70478336</v>
      </c>
      <c r="I11" s="0" t="n">
        <f aca="false">I8+I10+I24</f>
        <v>5163276.722553</v>
      </c>
      <c r="J11" s="0" t="n">
        <f aca="false">J8+J10+J24</f>
        <v>5292358.64061683</v>
      </c>
      <c r="K11" s="0" t="n">
        <f aca="false">K8+K10+K24</f>
        <v>5424667.60663225</v>
      </c>
      <c r="L11" s="0" t="n">
        <f aca="false">L8+L10+L24</f>
        <v>5560284.29679805</v>
      </c>
    </row>
    <row r="12" customFormat="false" ht="15" hidden="false" customHeight="false" outlineLevel="0" collapsed="false">
      <c r="A12" s="0" t="s">
        <v>121</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122</v>
      </c>
      <c r="C13" s="0" t="n">
        <f aca="false">C11+C12</f>
        <v>4267200</v>
      </c>
      <c r="D13" s="0" t="n">
        <f aca="false">D11+D12</f>
        <v>4507230</v>
      </c>
      <c r="E13" s="0" t="n">
        <f aca="false">E11+E12</f>
        <v>4687519.2</v>
      </c>
      <c r="F13" s="0" t="n">
        <f aca="false">F11+F12</f>
        <v>4851582.372</v>
      </c>
      <c r="G13" s="0" t="n">
        <f aca="false">G11+G12</f>
        <v>4944135.635712</v>
      </c>
      <c r="H13" s="0" t="n">
        <f aca="false">H11+H12</f>
        <v>5092459.70478336</v>
      </c>
      <c r="I13" s="0" t="n">
        <f aca="false">I11+I12</f>
        <v>5163276.722553</v>
      </c>
      <c r="J13" s="0" t="n">
        <f aca="false">J11+J12</f>
        <v>5292358.64061683</v>
      </c>
      <c r="K13" s="0" t="n">
        <f aca="false">K11+K12</f>
        <v>5424667.60663225</v>
      </c>
      <c r="L13" s="0" t="n">
        <f aca="false">L11+L12</f>
        <v>5560284.29679805</v>
      </c>
    </row>
    <row r="14" customFormat="false" ht="15" hidden="false" customHeight="false" outlineLevel="0" collapsed="false">
      <c r="A14" s="0" t="s">
        <v>108</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123</v>
      </c>
      <c r="C15" s="0" t="n">
        <f aca="false">C13-MAX(0,C13)*C14/100</f>
        <v>3200400</v>
      </c>
      <c r="D15" s="0" t="n">
        <f aca="false">D13-MAX(0,D13)*D14/100</f>
        <v>3380422.5</v>
      </c>
      <c r="E15" s="0" t="n">
        <f aca="false">E13-MAX(0,E13)*E14/100</f>
        <v>3515639.4</v>
      </c>
      <c r="F15" s="0" t="n">
        <f aca="false">F13-MAX(0,F13)*F14/100</f>
        <v>3638686.779</v>
      </c>
      <c r="G15" s="0" t="n">
        <f aca="false">G13-MAX(0,G13)*G14/100</f>
        <v>3708101.726784</v>
      </c>
      <c r="H15" s="0" t="n">
        <f aca="false">H13-MAX(0,H13)*H14/100</f>
        <v>3819344.77858752</v>
      </c>
      <c r="I15" s="0" t="n">
        <f aca="false">I13-MAX(0,I13)*I14/100</f>
        <v>3872457.54191475</v>
      </c>
      <c r="J15" s="0" t="n">
        <f aca="false">J13-MAX(0,J13)*J14/100</f>
        <v>3969268.98046262</v>
      </c>
      <c r="K15" s="0" t="n">
        <f aca="false">K13-MAX(0,K13)*K14/100</f>
        <v>4068500.70497419</v>
      </c>
      <c r="L15" s="0" t="n">
        <f aca="false">L13-MAX(0,L13)*L14/100</f>
        <v>4170213.22259854</v>
      </c>
    </row>
    <row r="16" customFormat="false" ht="15" hidden="false" customHeight="false" outlineLevel="0" collapsed="false">
      <c r="A16" s="0" t="s">
        <v>124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125</v>
      </c>
      <c r="C17" s="4" t="n">
        <f aca="false">-C6*Assumptions!C32/100</f>
        <v>-1189482</v>
      </c>
      <c r="D17" s="4" t="n">
        <f aca="false">-D6*Assumptions!D32/100</f>
        <v>-1231513.92</v>
      </c>
      <c r="E17" s="4" t="n">
        <f aca="false">-E6*Assumptions!E32/100</f>
        <v>-1093273.7088</v>
      </c>
      <c r="F17" s="4" t="n">
        <f aca="false">-F6*Assumptions!F32/100</f>
        <v>-1125567.110304</v>
      </c>
      <c r="G17" s="4" t="n">
        <f aca="false">-G6*Assumptions!G32/100</f>
        <v>-1158781.78962</v>
      </c>
      <c r="H17" s="4" t="n">
        <f aca="false">-H6*Assumptions!H32/100</f>
        <v>-994621.0360905</v>
      </c>
      <c r="I17" s="4" t="n">
        <f aca="false">-I6*Assumptions!I32/100</f>
        <v>-1019542.26077078</v>
      </c>
      <c r="J17" s="4" t="n">
        <f aca="false">-J6*Assumptions!J32/100</f>
        <v>-1045030.81729005</v>
      </c>
      <c r="K17" s="4" t="n">
        <f aca="false">-K6*Assumptions!K32/100</f>
        <v>-1071156.5877223</v>
      </c>
      <c r="L17" s="4" t="n">
        <f aca="false">-L6*Assumptions!L32/100</f>
        <v>-1097935.50241536</v>
      </c>
    </row>
    <row r="18" customFormat="false" ht="15" hidden="false" customHeight="false" outlineLevel="0" collapsed="false">
      <c r="A18" s="0" t="s">
        <v>126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127</v>
      </c>
      <c r="C19" s="0" t="n">
        <f aca="false">C15+C16+C17+C18</f>
        <v>2010918</v>
      </c>
      <c r="D19" s="0" t="n">
        <f aca="false">D15+D16+D17+D18</f>
        <v>2148908.58</v>
      </c>
      <c r="E19" s="0" t="n">
        <f aca="false">E15+E16+E17+E18</f>
        <v>2422365.6912</v>
      </c>
      <c r="F19" s="0" t="n">
        <f aca="false">F15+F16+F17+F18</f>
        <v>2513119.668696</v>
      </c>
      <c r="G19" s="0" t="n">
        <f aca="false">G15+G16+G17+G18</f>
        <v>2549319.937164</v>
      </c>
      <c r="H19" s="0" t="n">
        <f aca="false">H15+H16+H17+H18</f>
        <v>2824723.74249702</v>
      </c>
      <c r="I19" s="0" t="n">
        <f aca="false">I15+I16+I17+I18</f>
        <v>2852915.28114397</v>
      </c>
      <c r="J19" s="0" t="n">
        <f aca="false">J15+J16+J17+J18</f>
        <v>2924238.16317257</v>
      </c>
      <c r="K19" s="0" t="n">
        <f aca="false">K15+K16+K17+K18</f>
        <v>2997344.11725188</v>
      </c>
      <c r="L19" s="0" t="n">
        <f aca="false">L15+L16+L17+L18</f>
        <v>3072277.72018318</v>
      </c>
    </row>
    <row r="20" customFormat="false" ht="15" hidden="false" customHeight="false" outlineLevel="0" collapsed="false">
      <c r="A20" s="0" t="s">
        <v>128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129</v>
      </c>
      <c r="C21" s="0" t="n">
        <f aca="false">C19*C20</f>
        <v>1828107.27272727</v>
      </c>
      <c r="D21" s="0" t="n">
        <f aca="false">D19*D20</f>
        <v>1775957.50413223</v>
      </c>
      <c r="E21" s="0" t="n">
        <f aca="false">E19*E20</f>
        <v>1819959.19699474</v>
      </c>
      <c r="F21" s="0" t="n">
        <f aca="false">F19*F20</f>
        <v>1716494.54866198</v>
      </c>
      <c r="G21" s="0" t="n">
        <f aca="false">G19*G20</f>
        <v>1582927.10828495</v>
      </c>
      <c r="H21" s="0" t="n">
        <f aca="false">H19*H20</f>
        <v>1594482.91224351</v>
      </c>
      <c r="I21" s="0" t="n">
        <f aca="false">I19*I20</f>
        <v>1463996.63714347</v>
      </c>
      <c r="J21" s="0" t="n">
        <f aca="false">J19*J20</f>
        <v>1364178.68461096</v>
      </c>
      <c r="K21" s="0" t="n">
        <f aca="false">K19*K20</f>
        <v>1271166.5015693</v>
      </c>
      <c r="L21" s="0" t="n">
        <f aca="false">L19*L20</f>
        <v>1184496.05828048</v>
      </c>
    </row>
    <row r="23" customFormat="false" ht="15" hidden="false" customHeight="false" outlineLevel="0" collapsed="false">
      <c r="A23" s="0" t="s">
        <v>105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Assumptions!$B$34</f>
        <v>10</v>
      </c>
    </row>
    <row r="28" customFormat="false" ht="15" hidden="false" customHeight="false" outlineLevel="0" collapsed="false">
      <c r="A28" s="0" t="s">
        <v>110</v>
      </c>
      <c r="B28" s="4" t="n">
        <f aca="false">Assumptions!$B$35</f>
        <v>2.5</v>
      </c>
    </row>
    <row r="29" customFormat="false" ht="15" hidden="false" customHeight="false" outlineLevel="0" collapsed="false">
      <c r="A29" s="0" t="s">
        <v>111</v>
      </c>
      <c r="B29" s="4" t="n">
        <f aca="false">Assumptions!$B$36</f>
        <v>16</v>
      </c>
    </row>
    <row r="30" customFormat="false" ht="15" hidden="false" customHeight="false" outlineLevel="0" collapsed="false">
      <c r="A30" s="0" t="s">
        <v>132</v>
      </c>
      <c r="B30" s="0" t="n">
        <f aca="false">SUM(C21:L21)</f>
        <v>15601766.4246489</v>
      </c>
    </row>
    <row r="31" customFormat="false" ht="15" hidden="false" customHeight="false" outlineLevel="0" collapsed="false">
      <c r="A31" s="0" t="s">
        <v>133</v>
      </c>
      <c r="B31" s="0" t="n">
        <f aca="false">L19</f>
        <v>3072277.72018318</v>
      </c>
    </row>
    <row r="32" customFormat="false" ht="15" hidden="false" customHeight="false" outlineLevel="0" collapsed="false">
      <c r="A32" s="0" t="s">
        <v>134</v>
      </c>
      <c r="B32" s="0" t="n">
        <f aca="false">IF(B27&gt;B28,B31*(1+B28/100)/((B27-B28)/100),B31*B29)</f>
        <v>41987795.5091701</v>
      </c>
    </row>
    <row r="33" customFormat="false" ht="15" hidden="false" customHeight="false" outlineLevel="0" collapsed="false">
      <c r="A33" s="0" t="s">
        <v>135</v>
      </c>
      <c r="B33" s="0" t="n">
        <f aca="false">B31*B29</f>
        <v>49156443.5229309</v>
      </c>
    </row>
    <row r="34" customFormat="false" ht="15" hidden="false" customHeight="false" outlineLevel="0" collapsed="false">
      <c r="A34" s="0" t="s">
        <v>136</v>
      </c>
      <c r="B34" s="0" t="n">
        <f aca="false">MAX(0,MIN(B32,B33))</f>
        <v>41987795.5091701</v>
      </c>
    </row>
    <row r="35" customFormat="false" ht="15" hidden="false" customHeight="false" outlineLevel="0" collapsed="false">
      <c r="A35" s="0" t="s">
        <v>137</v>
      </c>
      <c r="B35" s="0" t="n">
        <f aca="false">B34/(1+B27/100)^L4</f>
        <v>16188112.7964999</v>
      </c>
    </row>
    <row r="36" customFormat="false" ht="15" hidden="false" customHeight="false" outlineLevel="0" collapsed="false">
      <c r="A36" s="0" t="s">
        <v>138</v>
      </c>
      <c r="B36" s="0" t="n">
        <f aca="false">B30+B35</f>
        <v>31789879.2211488</v>
      </c>
    </row>
    <row r="37" customFormat="false" ht="15" hidden="false" customHeight="false" outlineLevel="0" collapsed="false">
      <c r="A37" s="0" t="s">
        <v>139</v>
      </c>
      <c r="B37" s="0" t="n">
        <f aca="false">B36+Assumptions!$B$5-Assumptions!$B$4</f>
        <v>31789879.2211488</v>
      </c>
    </row>
    <row r="38" customFormat="false" ht="15" hidden="false" customHeight="false" outlineLevel="0" collapsed="false">
      <c r="A38" s="0" t="s">
        <v>140</v>
      </c>
      <c r="B38" s="0" t="n">
        <f aca="false">B37/Assumptions!$B$3*Assumptions!$B$10</f>
        <v>97.5662436566013</v>
      </c>
    </row>
    <row r="39" customFormat="false" ht="15" hidden="false" customHeight="false" outlineLevel="0" collapsed="false">
      <c r="A39" s="0" t="s">
        <v>141</v>
      </c>
      <c r="B39" s="4" t="n">
        <f aca="false">B38/Assumptions!$B$2-1</f>
        <v>0.297250946105589</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97.5662436566013</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25192677.3055021</v>
      </c>
    </row>
    <row r="47" customFormat="false" ht="15" hidden="false" customHeight="false" outlineLevel="0" collapsed="false">
      <c r="A47" s="0" t="s">
        <v>146</v>
      </c>
      <c r="B47" s="0" t="n">
        <f aca="false">(SUMPRODUCT(C19:L19/(1+B45/100)^C4:L4)+B46/(1+B45/100)^L4+Assumptions!$B$5-Assumptions!$B$4)/Assumptions!$B$3*Assumptions!$B$10</f>
        <v>57.5730729562634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6.5</v>
      </c>
      <c r="D5" s="4" t="n">
        <f aca="false">Assumptions!D41</f>
        <v>5.5</v>
      </c>
      <c r="E5" s="4" t="n">
        <f aca="false">Assumptions!E41</f>
        <v>5</v>
      </c>
      <c r="F5" s="4" t="n">
        <f aca="false">Assumptions!F41</f>
        <v>4.5</v>
      </c>
      <c r="G5" s="4" t="n">
        <f aca="false">Assumptions!G41</f>
        <v>4</v>
      </c>
      <c r="H5" s="4" t="n">
        <f aca="false">Assumptions!H41</f>
        <v>3.5</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12700000</v>
      </c>
      <c r="C6" s="0" t="n">
        <f aca="false">B6*(1+C5/100)</f>
        <v>13525500</v>
      </c>
      <c r="D6" s="0" t="n">
        <f aca="false">C6*(1+D5/100)</f>
        <v>14269402.5</v>
      </c>
      <c r="E6" s="0" t="n">
        <f aca="false">D6*(1+E5/100)</f>
        <v>14982872.625</v>
      </c>
      <c r="F6" s="0" t="n">
        <f aca="false">E6*(1+F5/100)</f>
        <v>15657101.893125</v>
      </c>
      <c r="G6" s="0" t="n">
        <f aca="false">F6*(1+G5/100)</f>
        <v>16283385.96885</v>
      </c>
      <c r="H6" s="0" t="n">
        <f aca="false">G6*(1+H5/100)</f>
        <v>16853304.4777598</v>
      </c>
      <c r="I6" s="0" t="n">
        <f aca="false">H6*(1+I5/100)</f>
        <v>17358903.6120925</v>
      </c>
      <c r="J6" s="0" t="n">
        <f aca="false">I6*(1+J5/100)</f>
        <v>17879670.7204553</v>
      </c>
      <c r="K6" s="0" t="n">
        <f aca="false">J6*(1+K5/100)</f>
        <v>18416060.842069</v>
      </c>
      <c r="L6" s="0" t="n">
        <f aca="false">K6*(1+L5/100)</f>
        <v>18968542.667331</v>
      </c>
    </row>
    <row r="7" customFormat="false" ht="15" hidden="false" customHeight="false" outlineLevel="0" collapsed="false">
      <c r="A7" s="0" t="s">
        <v>103</v>
      </c>
      <c r="C7" s="4" t="n">
        <f aca="false">Assumptions!C42</f>
        <v>33</v>
      </c>
      <c r="D7" s="4" t="n">
        <f aca="false">Assumptions!D42</f>
        <v>34</v>
      </c>
      <c r="E7" s="4" t="n">
        <f aca="false">Assumptions!E42</f>
        <v>35</v>
      </c>
      <c r="F7" s="4" t="n">
        <f aca="false">Assumptions!F42</f>
        <v>35</v>
      </c>
      <c r="G7" s="4" t="n">
        <f aca="false">Assumptions!G42</f>
        <v>35</v>
      </c>
      <c r="H7" s="4" t="n">
        <f aca="false">Assumptions!H42</f>
        <v>34.5</v>
      </c>
      <c r="I7" s="4" t="n">
        <f aca="false">Assumptions!I42</f>
        <v>34.5</v>
      </c>
      <c r="J7" s="4" t="n">
        <f aca="false">Assumptions!J42</f>
        <v>34</v>
      </c>
      <c r="K7" s="4" t="n">
        <f aca="false">Assumptions!K42</f>
        <v>34</v>
      </c>
      <c r="L7" s="4" t="n">
        <f aca="false">Assumptions!L42</f>
        <v>34</v>
      </c>
    </row>
    <row r="8" customFormat="false" ht="15" hidden="false" customHeight="false" outlineLevel="0" collapsed="false">
      <c r="A8" s="0" t="s">
        <v>44</v>
      </c>
      <c r="C8" s="0" t="n">
        <f aca="false">C6*C7/100</f>
        <v>4463415</v>
      </c>
      <c r="D8" s="0" t="n">
        <f aca="false">D6*D7/100</f>
        <v>4851596.85</v>
      </c>
      <c r="E8" s="0" t="n">
        <f aca="false">E6*E7/100</f>
        <v>5244005.41875</v>
      </c>
      <c r="F8" s="0" t="n">
        <f aca="false">F6*F7/100</f>
        <v>5479985.66259375</v>
      </c>
      <c r="G8" s="0" t="n">
        <f aca="false">G6*G7/100</f>
        <v>5699185.0890975</v>
      </c>
      <c r="H8" s="0" t="n">
        <f aca="false">H6*H7/100</f>
        <v>5814390.04482711</v>
      </c>
      <c r="I8" s="0" t="n">
        <f aca="false">I6*I7/100</f>
        <v>5988821.74617193</v>
      </c>
      <c r="J8" s="0" t="n">
        <f aca="false">J6*J7/100</f>
        <v>6079088.04495481</v>
      </c>
      <c r="K8" s="0" t="n">
        <f aca="false">K6*K7/100</f>
        <v>6261460.68630345</v>
      </c>
      <c r="L8" s="0" t="n">
        <f aca="false">L6*L7/100</f>
        <v>6449304.50689256</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4463415</v>
      </c>
      <c r="D11" s="0" t="n">
        <f aca="false">D8+D10+D24</f>
        <v>4851596.85</v>
      </c>
      <c r="E11" s="0" t="n">
        <f aca="false">E8+E10+E24</f>
        <v>5244005.41875</v>
      </c>
      <c r="F11" s="0" t="n">
        <f aca="false">F8+F10+F24</f>
        <v>5479985.66259375</v>
      </c>
      <c r="G11" s="0" t="n">
        <f aca="false">G8+G10+G24</f>
        <v>5699185.0890975</v>
      </c>
      <c r="H11" s="0" t="n">
        <f aca="false">H8+H10+H24</f>
        <v>5814390.04482711</v>
      </c>
      <c r="I11" s="0" t="n">
        <f aca="false">I8+I10+I24</f>
        <v>5988821.74617193</v>
      </c>
      <c r="J11" s="0" t="n">
        <f aca="false">J8+J10+J24</f>
        <v>6079088.04495481</v>
      </c>
      <c r="K11" s="0" t="n">
        <f aca="false">K8+K10+K24</f>
        <v>6261460.68630345</v>
      </c>
      <c r="L11" s="0" t="n">
        <f aca="false">L8+L10+L24</f>
        <v>6449304.50689256</v>
      </c>
    </row>
    <row r="12" customFormat="false" ht="15" hidden="false" customHeight="false" outlineLevel="0" collapsed="false">
      <c r="A12" s="0" t="s">
        <v>121</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122</v>
      </c>
      <c r="C13" s="0" t="n">
        <f aca="false">C11+C12</f>
        <v>4463415</v>
      </c>
      <c r="D13" s="0" t="n">
        <f aca="false">D11+D12</f>
        <v>4851596.85</v>
      </c>
      <c r="E13" s="0" t="n">
        <f aca="false">E11+E12</f>
        <v>5244005.41875</v>
      </c>
      <c r="F13" s="0" t="n">
        <f aca="false">F11+F12</f>
        <v>5479985.66259375</v>
      </c>
      <c r="G13" s="0" t="n">
        <f aca="false">G11+G12</f>
        <v>5699185.0890975</v>
      </c>
      <c r="H13" s="0" t="n">
        <f aca="false">H11+H12</f>
        <v>5814390.04482711</v>
      </c>
      <c r="I13" s="0" t="n">
        <f aca="false">I11+I12</f>
        <v>5988821.74617193</v>
      </c>
      <c r="J13" s="0" t="n">
        <f aca="false">J11+J12</f>
        <v>6079088.04495481</v>
      </c>
      <c r="K13" s="0" t="n">
        <f aca="false">K11+K12</f>
        <v>6261460.68630345</v>
      </c>
      <c r="L13" s="0" t="n">
        <f aca="false">L11+L12</f>
        <v>6449304.50689256</v>
      </c>
    </row>
    <row r="14" customFormat="false" ht="15" hidden="false" customHeight="false" outlineLevel="0" collapsed="false">
      <c r="A14" s="0" t="s">
        <v>108</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123</v>
      </c>
      <c r="C15" s="0" t="n">
        <f aca="false">C13-MAX(0,C13)*C14/100</f>
        <v>3347561.25</v>
      </c>
      <c r="D15" s="0" t="n">
        <f aca="false">D13-MAX(0,D13)*D14/100</f>
        <v>3638697.6375</v>
      </c>
      <c r="E15" s="0" t="n">
        <f aca="false">E13-MAX(0,E13)*E14/100</f>
        <v>3933004.0640625</v>
      </c>
      <c r="F15" s="0" t="n">
        <f aca="false">F13-MAX(0,F13)*F14/100</f>
        <v>4109989.24694531</v>
      </c>
      <c r="G15" s="0" t="n">
        <f aca="false">G13-MAX(0,G13)*G14/100</f>
        <v>4274388.81682313</v>
      </c>
      <c r="H15" s="0" t="n">
        <f aca="false">H13-MAX(0,H13)*H14/100</f>
        <v>4360792.53362034</v>
      </c>
      <c r="I15" s="0" t="n">
        <f aca="false">I13-MAX(0,I13)*I14/100</f>
        <v>4491616.30962895</v>
      </c>
      <c r="J15" s="0" t="n">
        <f aca="false">J13-MAX(0,J13)*J14/100</f>
        <v>4559316.03371611</v>
      </c>
      <c r="K15" s="0" t="n">
        <f aca="false">K13-MAX(0,K13)*K14/100</f>
        <v>4696095.51472759</v>
      </c>
      <c r="L15" s="0" t="n">
        <f aca="false">L13-MAX(0,L13)*L14/100</f>
        <v>4836978.38016942</v>
      </c>
    </row>
    <row r="16" customFormat="false" ht="15" hidden="false" customHeight="false" outlineLevel="0" collapsed="false">
      <c r="A16" s="0" t="s">
        <v>124</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125</v>
      </c>
      <c r="C17" s="4" t="n">
        <f aca="false">-C6*Assumptions!C46/100</f>
        <v>-1359312.75</v>
      </c>
      <c r="D17" s="4" t="n">
        <f aca="false">-D6*Assumptions!D46/100</f>
        <v>-1414097.78775</v>
      </c>
      <c r="E17" s="4" t="n">
        <f aca="false">-E6*Assumptions!E46/100</f>
        <v>-1287028.7584875</v>
      </c>
      <c r="F17" s="4" t="n">
        <f aca="false">-F6*Assumptions!F46/100</f>
        <v>-1332419.37110494</v>
      </c>
      <c r="G17" s="4" t="n">
        <f aca="false">-G6*Assumptions!G46/100</f>
        <v>-1379202.7915616</v>
      </c>
      <c r="H17" s="4" t="n">
        <f aca="false">-H6*Assumptions!H46/100</f>
        <v>-1223549.90508536</v>
      </c>
      <c r="I17" s="4" t="n">
        <f aca="false">-I6*Assumptions!I46/100</f>
        <v>-1260256.40223792</v>
      </c>
      <c r="J17" s="4" t="n">
        <f aca="false">-J6*Assumptions!J46/100</f>
        <v>-1298064.09430506</v>
      </c>
      <c r="K17" s="4" t="n">
        <f aca="false">-K6*Assumptions!K46/100</f>
        <v>-1337006.01713421</v>
      </c>
      <c r="L17" s="4" t="n">
        <f aca="false">-L6*Assumptions!L46/100</f>
        <v>-1377116.19764823</v>
      </c>
    </row>
    <row r="18" customFormat="false" ht="15" hidden="false" customHeight="false" outlineLevel="0" collapsed="false">
      <c r="A18" s="0" t="s">
        <v>126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127</v>
      </c>
      <c r="C19" s="0" t="n">
        <f aca="false">C15+C16+C17+C18</f>
        <v>1988248.5</v>
      </c>
      <c r="D19" s="0" t="n">
        <f aca="false">D15+D16+D17+D18</f>
        <v>2224599.84975</v>
      </c>
      <c r="E19" s="0" t="n">
        <f aca="false">E15+E16+E17+E18</f>
        <v>2645975.305575</v>
      </c>
      <c r="F19" s="0" t="n">
        <f aca="false">F15+F16+F17+F18</f>
        <v>2777569.87584037</v>
      </c>
      <c r="G19" s="0" t="n">
        <f aca="false">G15+G16+G17+G18</f>
        <v>2895186.02526153</v>
      </c>
      <c r="H19" s="0" t="n">
        <f aca="false">H15+H16+H17+H18</f>
        <v>3137242.62853498</v>
      </c>
      <c r="I19" s="0" t="n">
        <f aca="false">I15+I16+I17+I18</f>
        <v>3231359.90739103</v>
      </c>
      <c r="J19" s="0" t="n">
        <f aca="false">J15+J16+J17+J18</f>
        <v>3261251.93941105</v>
      </c>
      <c r="K19" s="0" t="n">
        <f aca="false">K15+K16+K17+K18</f>
        <v>3359089.49759338</v>
      </c>
      <c r="L19" s="0" t="n">
        <f aca="false">L15+L16+L17+L18</f>
        <v>3459862.18252118</v>
      </c>
    </row>
    <row r="20" customFormat="false" ht="15" hidden="false" customHeight="false" outlineLevel="0" collapsed="false">
      <c r="A20" s="0" t="s">
        <v>128</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129</v>
      </c>
      <c r="C21" s="0" t="n">
        <f aca="false">C19*C20</f>
        <v>1807498.63636364</v>
      </c>
      <c r="D21" s="0" t="n">
        <f aca="false">D19*D20</f>
        <v>1838512.27252066</v>
      </c>
      <c r="E21" s="0" t="n">
        <f aca="false">E19*E20</f>
        <v>1987960.40989857</v>
      </c>
      <c r="F21" s="0" t="n">
        <f aca="false">F19*F20</f>
        <v>1897117.59841566</v>
      </c>
      <c r="G21" s="0" t="n">
        <f aca="false">G19*G20</f>
        <v>1797682.73730777</v>
      </c>
      <c r="H21" s="0" t="n">
        <f aca="false">H19*H20</f>
        <v>1770891.67606138</v>
      </c>
      <c r="I21" s="0" t="n">
        <f aca="false">I19*I20</f>
        <v>1658198.56940293</v>
      </c>
      <c r="J21" s="0" t="n">
        <f aca="false">J19*J20</f>
        <v>1521398.09845856</v>
      </c>
      <c r="K21" s="0" t="n">
        <f aca="false">K19*K20</f>
        <v>1424581.85582938</v>
      </c>
      <c r="L21" s="0" t="n">
        <f aca="false">L19*L20</f>
        <v>1333926.64682206</v>
      </c>
    </row>
    <row r="23" customFormat="false" ht="15" hidden="false" customHeight="false" outlineLevel="0" collapsed="false">
      <c r="A23" s="0" t="s">
        <v>105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Assumptions!$B$48</f>
        <v>10</v>
      </c>
    </row>
    <row r="28" customFormat="false" ht="15" hidden="false" customHeight="false" outlineLevel="0" collapsed="false">
      <c r="A28" s="0" t="s">
        <v>110</v>
      </c>
      <c r="B28" s="4" t="n">
        <f aca="false">Assumptions!$B$49</f>
        <v>3</v>
      </c>
    </row>
    <row r="29" customFormat="false" ht="15" hidden="false" customHeight="false" outlineLevel="0" collapsed="false">
      <c r="A29" s="0" t="s">
        <v>111</v>
      </c>
      <c r="B29" s="4" t="n">
        <f aca="false">Assumptions!$B$50</f>
        <v>16</v>
      </c>
    </row>
    <row r="30" customFormat="false" ht="15" hidden="false" customHeight="false" outlineLevel="0" collapsed="false">
      <c r="A30" s="0" t="s">
        <v>132</v>
      </c>
      <c r="B30" s="0" t="n">
        <f aca="false">SUM(C21:L21)</f>
        <v>17037768.5010806</v>
      </c>
    </row>
    <row r="31" customFormat="false" ht="15" hidden="false" customHeight="false" outlineLevel="0" collapsed="false">
      <c r="A31" s="0" t="s">
        <v>133</v>
      </c>
      <c r="B31" s="0" t="n">
        <f aca="false">L19</f>
        <v>3459862.18252118</v>
      </c>
    </row>
    <row r="32" customFormat="false" ht="15" hidden="false" customHeight="false" outlineLevel="0" collapsed="false">
      <c r="A32" s="0" t="s">
        <v>134</v>
      </c>
      <c r="B32" s="0" t="n">
        <f aca="false">IF(B27&gt;B28,B31*(1+B28/100)/((B27-B28)/100),B31*B29)</f>
        <v>50909400.6856689</v>
      </c>
    </row>
    <row r="33" customFormat="false" ht="15" hidden="false" customHeight="false" outlineLevel="0" collapsed="false">
      <c r="A33" s="0" t="s">
        <v>135</v>
      </c>
      <c r="B33" s="0" t="n">
        <f aca="false">B31*B29</f>
        <v>55357794.9203389</v>
      </c>
    </row>
    <row r="34" customFormat="false" ht="15" hidden="false" customHeight="false" outlineLevel="0" collapsed="false">
      <c r="A34" s="0" t="s">
        <v>136</v>
      </c>
      <c r="B34" s="0" t="n">
        <f aca="false">MAX(0,MIN(B32,B33))</f>
        <v>50909400.6856689</v>
      </c>
    </row>
    <row r="35" customFormat="false" ht="15" hidden="false" customHeight="false" outlineLevel="0" collapsed="false">
      <c r="A35" s="0" t="s">
        <v>137</v>
      </c>
      <c r="B35" s="0" t="n">
        <f aca="false">B34/(1+B27/100)^L4</f>
        <v>19627777.8032388</v>
      </c>
    </row>
    <row r="36" customFormat="false" ht="15" hidden="false" customHeight="false" outlineLevel="0" collapsed="false">
      <c r="A36" s="0" t="s">
        <v>138</v>
      </c>
      <c r="B36" s="0" t="n">
        <f aca="false">B30+B35</f>
        <v>36665546.3043194</v>
      </c>
    </row>
    <row r="37" customFormat="false" ht="15" hidden="false" customHeight="false" outlineLevel="0" collapsed="false">
      <c r="A37" s="0" t="s">
        <v>139</v>
      </c>
      <c r="B37" s="0" t="n">
        <f aca="false">B36+Assumptions!$B$5-Assumptions!$B$4</f>
        <v>36665546.3043194</v>
      </c>
    </row>
    <row r="38" customFormat="false" ht="15" hidden="false" customHeight="false" outlineLevel="0" collapsed="false">
      <c r="A38" s="0" t="s">
        <v>140</v>
      </c>
      <c r="B38" s="0" t="n">
        <f aca="false">B37/Assumptions!$B$3*Assumptions!$B$10</f>
        <v>112.530142050673</v>
      </c>
    </row>
    <row r="39" customFormat="false" ht="15" hidden="false" customHeight="false" outlineLevel="0" collapsed="false">
      <c r="A39" s="0" t="s">
        <v>141</v>
      </c>
      <c r="B39" s="4" t="n">
        <f aca="false">B38/Assumptions!$B$2-1</f>
        <v>0.496212499011744</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112.530142050673</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29697150.3999735</v>
      </c>
    </row>
    <row r="47" customFormat="false" ht="15" hidden="false" customHeight="false" outlineLevel="0" collapsed="false">
      <c r="A47" s="0" t="s">
        <v>146</v>
      </c>
      <c r="B47" s="0" t="n">
        <f aca="false">(SUMPRODUCT(C19:L19/(1+B45/100)^C4:L4)+B46/(1+B45/100)^L4+Assumptions!$B$5-Assumptions!$B$4)/Assumptions!$B$3*Assumptions!$B$10</f>
        <v>64.3475823413876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64.443042561836</v>
      </c>
      <c r="C4" s="0" t="n">
        <f aca="false">B4/Assumptions!$B$2-1</f>
        <v>-0.143158588461162</v>
      </c>
      <c r="D4" s="4" t="n">
        <f aca="false">Assumptions!$B$24</f>
        <v>0.25</v>
      </c>
      <c r="E4" s="4" t="n">
        <f aca="false">DCF_Bear!$B$43</f>
        <v>64.443042561836</v>
      </c>
      <c r="F4" s="4" t="n">
        <f aca="false">DCF_Bear!$B$47</f>
        <v>36.7408161835262</v>
      </c>
    </row>
    <row r="5" customFormat="false" ht="15" hidden="false" customHeight="false" outlineLevel="0" collapsed="false">
      <c r="A5" s="0" t="s">
        <v>155</v>
      </c>
      <c r="B5" s="4" t="n">
        <f aca="false">DCF_Base!$B$38</f>
        <v>97.5662436566013</v>
      </c>
      <c r="C5" s="0" t="n">
        <f aca="false">B5/Assumptions!$B$2-1</f>
        <v>0.297250946105589</v>
      </c>
      <c r="D5" s="4" t="n">
        <f aca="false">Assumptions!$B$38</f>
        <v>0.5</v>
      </c>
      <c r="E5" s="4" t="n">
        <f aca="false">DCF_Base!$B$43</f>
        <v>97.5662436566013</v>
      </c>
      <c r="F5" s="4" t="n">
        <f aca="false">DCF_Base!$B$47</f>
        <v>57.5730729562634</v>
      </c>
    </row>
    <row r="6" customFormat="false" ht="15" hidden="false" customHeight="false" outlineLevel="0" collapsed="false">
      <c r="A6" s="0" t="s">
        <v>156</v>
      </c>
      <c r="B6" s="4" t="n">
        <f aca="false">DCF_Bull!$B$38</f>
        <v>112.530142050673</v>
      </c>
      <c r="C6" s="0" t="n">
        <f aca="false">B6/Assumptions!$B$2-1</f>
        <v>0.496212499011744</v>
      </c>
      <c r="D6" s="4" t="n">
        <f aca="false">Assumptions!$B$52</f>
        <v>0.25</v>
      </c>
      <c r="E6" s="4" t="n">
        <f aca="false">DCF_Bull!$B$43</f>
        <v>112.530142050673</v>
      </c>
      <c r="F6" s="4" t="n">
        <f aca="false">DCF_Bull!$B$47</f>
        <v>64.3475823413876</v>
      </c>
    </row>
    <row r="8" customFormat="false" ht="15" hidden="false" customHeight="false" outlineLevel="0" collapsed="false">
      <c r="A8" s="0" t="s">
        <v>157</v>
      </c>
      <c r="B8" s="0" t="n">
        <f aca="false">SUMPRODUCT(B4:B6,D4:D6)</f>
        <v>93.026417981428</v>
      </c>
    </row>
    <row r="9" customFormat="false" ht="15" hidden="false" customHeight="false" outlineLevel="0" collapsed="false">
      <c r="A9" s="0" t="s">
        <v>158</v>
      </c>
      <c r="B9" s="0" t="n">
        <f aca="false">SUMPRODUCT(E4:E6,D4:D6)</f>
        <v>93.026417981428</v>
      </c>
    </row>
    <row r="10" customFormat="false" ht="15" hidden="false" customHeight="false" outlineLevel="0" collapsed="false">
      <c r="A10" s="0" t="s">
        <v>159</v>
      </c>
      <c r="B10" s="0" t="n">
        <f aca="false">1-Assumptions!$B$2/B8</f>
        <v>0.191519982904049</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54.0586361093601</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112.993082880919</v>
      </c>
      <c r="C15" s="3" t="n">
        <v>9</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97.5662436566013</v>
      </c>
      <c r="C16" s="3" t="n">
        <v>10</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85.7814709945533</v>
      </c>
      <c r="C17" s="3" t="n">
        <v>11</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76.4880840829846</v>
      </c>
      <c r="C18" s="3" t="n">
        <v>12</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57.5730729562634</v>
      </c>
      <c r="C19" s="3" t="n">
        <v>15</v>
      </c>
    </row>
    <row r="21" customFormat="false" ht="15" hidden="false" customHeight="false" outlineLevel="0" collapsed="false">
      <c r="A21" s="2" t="s">
        <v>169</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120.855443757437</v>
      </c>
      <c r="C23" s="0" t="n">
        <f aca="false">(SUMPRODUCT(DCF_Base!$C$19:$L$19/(1+$A$23/100)^DCF_Base!$C$4:$L$4)+MAX(0,MIN(IF($A$23&gt;$C$22,DCF_Base!$L$19*(1+$C$22/100)/(($A$23-$C$22)/100),DCF_Base!$L$19*DCF_Base!$B$29),DCF_Base!$L$19*DCF_Base!$B$29))/(1+$A$23/100)^DCF_Base!$L$4+Assumptions!$B$5-Assumptions!$B$4)/Assumptions!$B$3*Assumptions!$B$10</f>
        <v>122.535254195046</v>
      </c>
      <c r="D23" s="0" t="n">
        <f aca="false">(SUMPRODUCT(DCF_Base!$C$19:$L$19/(1+$A$23/100)^DCF_Base!$C$4:$L$4)+MAX(0,MIN(IF($A$23&gt;$D$22,DCF_Base!$L$19*(1+$D$22/100)/(($A$23-$D$22)/100),DCF_Base!$L$19*DCF_Base!$B$29),DCF_Base!$L$19*DCF_Base!$B$29))/(1+$A$23/100)^DCF_Base!$L$4+Assumptions!$B$5-Assumptions!$B$4)/Assumptions!$B$3*Assumptions!$B$10</f>
        <v>122.535254195046</v>
      </c>
      <c r="E23" s="0" t="n">
        <f aca="false">(SUMPRODUCT(DCF_Base!$C$19:$L$19/(1+$A$23/100)^DCF_Base!$C$4:$L$4)+MAX(0,MIN(IF($A$23&gt;$E$22,DCF_Base!$L$19*(1+$E$22/100)/(($A$23-$E$22)/100),DCF_Base!$L$19*DCF_Base!$B$29),DCF_Base!$L$19*DCF_Base!$B$29))/(1+$A$23/100)^DCF_Base!$L$4+Assumptions!$B$5-Assumptions!$B$4)/Assumptions!$B$3*Assumptions!$B$10</f>
        <v>122.535254195046</v>
      </c>
      <c r="F23" s="0" t="n">
        <f aca="false">(SUMPRODUCT(DCF_Base!$C$19:$L$19/(1+$A$23/100)^DCF_Base!$C$4:$L$4)+MAX(0,MIN(IF($A$23&gt;$F$22,DCF_Base!$L$19*(1+$F$22/100)/(($A$23-$F$22)/100),DCF_Base!$L$19*DCF_Base!$B$29),DCF_Base!$L$19*DCF_Base!$B$29))/(1+$A$23/100)^DCF_Base!$L$4+Assumptions!$B$5-Assumptions!$B$4)/Assumptions!$B$3*Assumptions!$B$10</f>
        <v>122.535254195046</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104.087587621679</v>
      </c>
      <c r="C24" s="0" t="n">
        <f aca="false">(SUMPRODUCT(DCF_Base!$C$19:$L$19/(1+$A$24/100)^DCF_Base!$C$4:$L$4)+MAX(0,MIN(IF($A$24&gt;$C$22,DCF_Base!$L$19*(1+$C$22/100)/(($A$24-$C$22)/100),DCF_Base!$L$19*DCF_Base!$B$29),DCF_Base!$L$19*DCF_Base!$B$29))/(1+$A$24/100)^DCF_Base!$L$4+Assumptions!$B$5-Assumptions!$B$4)/Assumptions!$B$3*Assumptions!$B$10</f>
        <v>108.222281849183</v>
      </c>
      <c r="D24" s="0" t="n">
        <f aca="false">(SUMPRODUCT(DCF_Base!$C$19:$L$19/(1+$A$24/100)^DCF_Base!$C$4:$L$4)+MAX(0,MIN(IF($A$24&gt;$D$22,DCF_Base!$L$19*(1+$D$22/100)/(($A$24-$D$22)/100),DCF_Base!$L$19*DCF_Base!$B$29),DCF_Base!$L$19*DCF_Base!$B$29))/(1+$A$24/100)^DCF_Base!$L$4+Assumptions!$B$5-Assumptions!$B$4)/Assumptions!$B$3*Assumptions!$B$10</f>
        <v>112.993082880919</v>
      </c>
      <c r="E24" s="0" t="n">
        <f aca="false">(SUMPRODUCT(DCF_Base!$C$19:$L$19/(1+$A$24/100)^DCF_Base!$C$4:$L$4)+MAX(0,MIN(IF($A$24&gt;$E$22,DCF_Base!$L$19*(1+$E$22/100)/(($A$24-$E$22)/100),DCF_Base!$L$19*DCF_Base!$B$29),DCF_Base!$L$19*DCF_Base!$B$29))/(1+$A$24/100)^DCF_Base!$L$4+Assumptions!$B$5-Assumptions!$B$4)/Assumptions!$B$3*Assumptions!$B$10</f>
        <v>113.912228033822</v>
      </c>
      <c r="F24" s="0" t="n">
        <f aca="false">(SUMPRODUCT(DCF_Base!$C$19:$L$19/(1+$A$24/100)^DCF_Base!$C$4:$L$4)+MAX(0,MIN(IF($A$24&gt;$F$22,DCF_Base!$L$19*(1+$F$22/100)/(($A$24-$F$22)/100),DCF_Base!$L$19*DCF_Base!$B$29),DCF_Base!$L$19*DCF_Base!$B$29))/(1+$A$24/100)^DCF_Base!$L$4+Assumptions!$B$5-Assumptions!$B$4)/Assumptions!$B$3*Assumptions!$B$10</f>
        <v>113.912228033822</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91.2935103583341</v>
      </c>
      <c r="C25" s="0" t="n">
        <f aca="false">(SUMPRODUCT(DCF_Base!$C$19:$L$19/(1+$A$25/100)^DCF_Base!$C$4:$L$4)+MAX(0,MIN(IF($A$25&gt;$C$22,DCF_Base!$L$19*(1+$C$22/100)/(($A$25-$C$22)/100),DCF_Base!$L$19*DCF_Base!$B$29),DCF_Base!$L$19*DCF_Base!$B$29))/(1+$A$25/100)^DCF_Base!$L$4+Assumptions!$B$5-Assumptions!$B$4)/Assumptions!$B$3*Assumptions!$B$10</f>
        <v>94.2338540918968</v>
      </c>
      <c r="D25" s="0" t="n">
        <f aca="false">(SUMPRODUCT(DCF_Base!$C$19:$L$19/(1+$A$25/100)^DCF_Base!$C$4:$L$4)+MAX(0,MIN(IF($A$25&gt;$D$22,DCF_Base!$L$19*(1+$D$22/100)/(($A$25-$D$22)/100),DCF_Base!$L$19*DCF_Base!$B$29),DCF_Base!$L$19*DCF_Base!$B$29))/(1+$A$25/100)^DCF_Base!$L$4+Assumptions!$B$5-Assumptions!$B$4)/Assumptions!$B$3*Assumptions!$B$10</f>
        <v>97.5662436566013</v>
      </c>
      <c r="E25" s="0" t="n">
        <f aca="false">(SUMPRODUCT(DCF_Base!$C$19:$L$19/(1+$A$25/100)^DCF_Base!$C$4:$L$4)+MAX(0,MIN(IF($A$25&gt;$E$22,DCF_Base!$L$19*(1+$E$22/100)/(($A$25-$E$22)/100),DCF_Base!$L$19*DCF_Base!$B$29),DCF_Base!$L$19*DCF_Base!$B$29))/(1+$A$25/100)^DCF_Base!$L$4+Assumptions!$B$5-Assumptions!$B$4)/Assumptions!$B$3*Assumptions!$B$10</f>
        <v>101.374688873406</v>
      </c>
      <c r="F25" s="0" t="n">
        <f aca="false">(SUMPRODUCT(DCF_Base!$C$19:$L$19/(1+$A$25/100)^DCF_Base!$C$4:$L$4)+MAX(0,MIN(IF($A$25&gt;$F$22,DCF_Base!$L$19*(1+$F$22/100)/(($A$25-$F$22)/100),DCF_Base!$L$19*DCF_Base!$B$29),DCF_Base!$L$19*DCF_Base!$B$29))/(1+$A$25/100)^DCF_Base!$L$4+Assumptions!$B$5-Assumptions!$B$4)/Assumptions!$B$3*Assumptions!$B$10</f>
        <v>105.769048738951</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81.2166701127655</v>
      </c>
      <c r="C26" s="0" t="n">
        <f aca="false">(SUMPRODUCT(DCF_Base!$C$19:$L$19/(1+$A$26/100)^DCF_Base!$C$4:$L$4)+MAX(0,MIN(IF($A$26&gt;$C$22,DCF_Base!$L$19*(1+$C$22/100)/(($A$26-$C$22)/100),DCF_Base!$L$19*DCF_Base!$B$29),DCF_Base!$L$19*DCF_Base!$B$29))/(1+$A$26/100)^DCF_Base!$L$4+Assumptions!$B$5-Assumptions!$B$4)/Assumptions!$B$3*Assumptions!$B$10</f>
        <v>83.3722705291653</v>
      </c>
      <c r="D26" s="0" t="n">
        <f aca="false">(SUMPRODUCT(DCF_Base!$C$19:$L$19/(1+$A$26/100)^DCF_Base!$C$4:$L$4)+MAX(0,MIN(IF($A$26&gt;$D$22,DCF_Base!$L$19*(1+$D$22/100)/(($A$26-$D$22)/100),DCF_Base!$L$19*DCF_Base!$B$29),DCF_Base!$L$19*DCF_Base!$B$29))/(1+$A$26/100)^DCF_Base!$L$4+Assumptions!$B$5-Assumptions!$B$4)/Assumptions!$B$3*Assumptions!$B$10</f>
        <v>85.7814709945533</v>
      </c>
      <c r="E26" s="0" t="n">
        <f aca="false">(SUMPRODUCT(DCF_Base!$C$19:$L$19/(1+$A$26/100)^DCF_Base!$C$4:$L$4)+MAX(0,MIN(IF($A$26&gt;$E$22,DCF_Base!$L$19*(1+$E$22/100)/(($A$26-$E$22)/100),DCF_Base!$L$19*DCF_Base!$B$29),DCF_Base!$L$19*DCF_Base!$B$29))/(1+$A$26/100)^DCF_Base!$L$4+Assumptions!$B$5-Assumptions!$B$4)/Assumptions!$B$3*Assumptions!$B$10</f>
        <v>88.4918215181148</v>
      </c>
      <c r="F26" s="0" t="n">
        <f aca="false">(SUMPRODUCT(DCF_Base!$C$19:$L$19/(1+$A$26/100)^DCF_Base!$C$4:$L$4)+MAX(0,MIN(IF($A$26&gt;$F$22,DCF_Base!$L$19*(1+$F$22/100)/(($A$26-$F$22)/100),DCF_Base!$L$19*DCF_Base!$B$29),DCF_Base!$L$19*DCF_Base!$B$29))/(1+$A$26/100)^DCF_Base!$L$4+Assumptions!$B$5-Assumptions!$B$4)/Assumptions!$B$3*Assumptions!$B$10</f>
        <v>91.5635521114844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73.0793268702033</v>
      </c>
      <c r="C27" s="0" t="n">
        <f aca="false">(SUMPRODUCT(DCF_Base!$C$19:$L$19/(1+$A$27/100)^DCF_Base!$C$4:$L$4)+MAX(0,MIN(IF($A$27&gt;$C$22,DCF_Base!$L$19*(1+$C$22/100)/(($A$27-$C$22)/100),DCF_Base!$L$19*DCF_Base!$B$29),DCF_Base!$L$19*DCF_Base!$B$29))/(1+$A$27/100)^DCF_Base!$L$4+Assumptions!$B$5-Assumptions!$B$4)/Assumptions!$B$3*Assumptions!$B$10</f>
        <v>74.6984865462744</v>
      </c>
      <c r="D27" s="0" t="n">
        <f aca="false">(SUMPRODUCT(DCF_Base!$C$19:$L$19/(1+$A$27/100)^DCF_Base!$C$4:$L$4)+MAX(0,MIN(IF($A$27&gt;$D$22,DCF_Base!$L$19*(1+$D$22/100)/(($A$27-$D$22)/100),DCF_Base!$L$19*DCF_Base!$B$29),DCF_Base!$L$19*DCF_Base!$B$29))/(1+$A$27/100)^DCF_Base!$L$4+Assumptions!$B$5-Assumptions!$B$4)/Assumptions!$B$3*Assumptions!$B$10</f>
        <v>76.4880840829846</v>
      </c>
      <c r="E27" s="0" t="n">
        <f aca="false">(SUMPRODUCT(DCF_Base!$C$19:$L$19/(1+$A$27/100)^DCF_Base!$C$4:$L$4)+MAX(0,MIN(IF($A$27&gt;$E$22,DCF_Base!$L$19*(1+$E$22/100)/(($A$27-$E$22)/100),DCF_Base!$L$19*DCF_Base!$B$29),DCF_Base!$L$19*DCF_Base!$B$29))/(1+$A$27/100)^DCF_Base!$L$4+Assumptions!$B$5-Assumptions!$B$4)/Assumptions!$B$3*Assumptions!$B$10</f>
        <v>78.4765257904404</v>
      </c>
      <c r="F27" s="0" t="n">
        <f aca="false">(SUMPRODUCT(DCF_Base!$C$19:$L$19/(1+$A$27/100)^DCF_Base!$C$4:$L$4)+MAX(0,MIN(IF($A$27&gt;$F$22,DCF_Base!$L$19*(1+$F$22/100)/(($A$27-$F$22)/100),DCF_Base!$L$19*DCF_Base!$B$29),DCF_Base!$L$19*DCF_Base!$B$29))/(1+$A$27/100)^DCF_Base!$L$4+Assumptions!$B$5-Assumptions!$B$4)/Assumptions!$B$3*Assumptions!$B$10</f>
        <v>80.6989018164204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2026-10-04T09:44:53Z</dcterms:created>
  <dc:creator>openpyxl</dc:creator>
  <dc:description/>
  <dc:language>en-NZ</dc:language>
  <cp:lastModifiedBy/>
  <dcterms:modified xsi:type="dcterms:W3CDTF">2026-10-04T09:44:53Z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