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_Info" sheetId="1" state="visible" r:id="rId3"/>
    <sheet name="Assumptions" sheetId="2" state="visible" r:id="rId4"/>
    <sheet name="DCF_Bear" sheetId="3" state="visible" r:id="rId5"/>
    <sheet name="DCF_Base" sheetId="4" state="visible" r:id="rId6"/>
    <sheet name="DCF_Bull" sheetId="5" state="visible" r:id="rId7"/>
    <sheet name="Valu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<sst xmlns="http://schemas.openxmlformats.org/spreadsheetml/2006/main" count="226" uniqueCount="117">
  <si>
    <t xml:space="preserve">TOKAI RIKA (6995.T) - DCF MODEL</t>
  </si>
  <si>
    <t xml:space="preserve">Lineage</t>
  </si>
  <si>
    <t xml:space="preserve">v1.0 (Japan-adapted), built 14-Aug-2026 by Claude (Fable 5) with Stephen via claude.ai (openpyxl; recalculated in LibreOffice; key outputs hand-checked). First model for this name - no prior file.</t>
  </si>
  <si>
    <t xml:space="preserve">DATA VINTAGE</t>
  </si>
  <si>
    <t xml:space="preserve">FY0 anchors</t>
  </si>
  <si>
    <t xml:space="preserve">FY Mar-2026 results from user-supplied metrics CSV (14-Aug-26): revenue 644,701; OP 35,623 (5.5%); EBITDA 58,956 (9.1%); capex 35,232; equity 347,776; DPS Y115.</t>
  </si>
  <si>
    <t xml:space="preserve">FY1 guidance</t>
  </si>
  <si>
    <t xml:space="preserve">Company guided FY Mar-27 net profit ~-32% (Nikkei, mid-May-26: Middle East situation, raw-material costs). Absolute guided figures not captured - refresh from the May tanshin. Q1 FY27 not yet reviewed.</t>
  </si>
  <si>
    <t xml:space="preserve">Balance sheet / shares / price</t>
  </si>
  <si>
    <t xml:space="preserve">Net cash Y83.8bn and 85.10m shares at 31-Mar-26 (user CSV). Price Y3,025, Yahoo Japan ~10/11-Aug-26 close.</t>
  </si>
  <si>
    <t xml:space="preserve">METHODOLOGY</t>
  </si>
  <si>
    <t xml:space="preserve">Owner-FCF basis</t>
  </si>
  <si>
    <t xml:space="preserve">SBC (incl. equity-award taxes) fully expensed, projected explicitly per scenario-year as % of revenue; INTEREST INCOME EXCLUDED from flows (cash pile added separately - including both double-counts); cash tax held flat at a normalized Japanese effective rate (Boshoku's rate also absorbs minority-interest leakage - see Model_Info driver notes); D&amp;A and capex as % of revenue; working capital = 0% of the YoY revenue increase (set for this business model); diluted shares held FLAT (SBC expensing substitutes for grant dilution; never do both). TV = Gordon capped at 20x terminal owner FCF. End-of-year discounting. WACC 9.0%. Street-convention values (SBC as non-cash) shown as memos - the house/street pair is the accounting-regime price band.</t>
  </si>
  <si>
    <t xml:space="preserve">Scenario drivers</t>
  </si>
  <si>
    <t xml:space="preserve">Scenario paths are Claude's judgment, set 14-Aug-2026 in-session with Stephen; not yet user-ratified. JAPAN ADAPTATIONS (differ from tech house defaults, all discussed in-chat): SBC = 0% (cash-comp market; explicit row kept per house rule). Tax = 31% flat Japanese effective rate - conservative vs actual attributable-NI conversion of 74-86% of OP in FY24-26 (non-operating income excluded per the house interest-income rule; minorities negligible). WACC 9.0% (JPY parameters) vs 10.5% USD tech default. WC capture 0. Capex 4.8% held ABOVE D&amp;A 3.6%, near the elevated FY26 actual (5.5%) - deliberately conservative and the single biggest value lever here. Takeover/buy-in premium deliberately EXCLUDED: this values the operating business + net cash only.</t>
  </si>
  <si>
    <t xml:space="preserve">UPDATE INSTRUCTIONS</t>
  </si>
  <si>
    <t xml:space="preserve">Each quarter</t>
  </si>
  <si>
    <t xml:space="preserve">Refresh price, net cash (+date), diluted shares, buyback pace, and the guidance-year driver columns; reassess blue rows 5/7/9/14 per scenario only where new evidence exists; add/extend the Reconciliation tab; increment the version above.</t>
  </si>
  <si>
    <t xml:space="preserve">Conventions</t>
  </si>
  <si>
    <t xml:space="preserve">Blue = hardcoded input. Yellow = key levers. Black = formula. Green = cross-sheet link. Prefilled values are working examples of the expected format.</t>
  </si>
  <si>
    <t xml:space="preserve">6995.T - Global Assumptions &amp; Scenario Parameters</t>
  </si>
  <si>
    <t xml:space="preserve">Blue = hardcoded input. Yellow = key levers. All ¥ in millions unless stated.</t>
  </si>
  <si>
    <t xml:space="preserve">Global inputs</t>
  </si>
  <si>
    <t xml:space="preserve">WACC / discount rate</t>
  </si>
  <si>
    <t xml:space="preserve">D&amp;A (% of revenue)</t>
  </si>
  <si>
    <t xml:space="preserve">Capex + capitalized software (% of revenue)</t>
  </si>
  <si>
    <t xml:space="preserve">Working-capital capture (% of YoY revenue incr.)</t>
  </si>
  <si>
    <t xml:space="preserve">Sign/size per business model</t>
  </si>
  <si>
    <t xml:space="preserve">Net cash (¥mm)</t>
  </si>
  <si>
    <t xml:space="preserve">cash 93,757 - debt 10,000, 31-Mar-26 (user CSV)</t>
  </si>
  <si>
    <t xml:space="preserve">Fully diluted shares (mm)</t>
  </si>
  <si>
    <t xml:space="preserve">shares outstanding, Mar-26 (user CSV); ~7% retired FY24-25; held flat per house rule</t>
  </si>
  <si>
    <t xml:space="preserve">Current share price</t>
  </si>
  <si>
    <t xml:space="preserve">Yahoo Japan close ~10/11-Aug-26; refresh at next TSE close</t>
  </si>
  <si>
    <t xml:space="preserve">Terminal value cap (x terminal-year owner FCF)</t>
  </si>
  <si>
    <t xml:space="preserve">Scenario parameters</t>
  </si>
  <si>
    <t xml:space="preserve">Bear</t>
  </si>
  <si>
    <t xml:space="preserve">Base</t>
  </si>
  <si>
    <t xml:space="preserve">Bull</t>
  </si>
  <si>
    <t xml:space="preserve">Terminal growth rate</t>
  </si>
  <si>
    <t xml:space="preserve">Probability weight</t>
  </si>
  <si>
    <t xml:space="preserve">must sum to 100%</t>
  </si>
  <si>
    <t xml:space="preserve">Scenario narratives</t>
  </si>
  <si>
    <t xml:space="preserve">Keiretsu order leakage (bZ-shock) hits HMI/switch share; touchscreen consolidation decontents mechanical switches faster than digital-key/e-latch content replaces them. Margins round-trip toward the FY22-23 trough. FY27 guided decline proves the new normal, not a blip.</t>
  </si>
  <si>
    <t xml:space="preserve">FY27 absorbs the guided ~32% net-profit decline (Middle East logistics, raw materials), then margins recover to the FY25-26 zone and hold. Low-single-digit growth as digital key, e-shifter and security content offsets switch decontenting. Buyback/dividend cadence of FY24-26 persists.</t>
  </si>
  <si>
    <t xml:space="preserve">Content-per-vehicle growth (digital key, e-latch, steering HMI, security) outruns decontenting; operating margin pushes past 7% (EBITDA ~11%) as the FY22-&gt;FY26 recovery extends. TSE-era capital policy keeps shrinking the share count against a third-of-market-cap cash pile.</t>
  </si>
  <si>
    <t xml:space="preserve">6995.T DCF - Bear - content loss to Chinese suppliers; switch/lever decontenting</t>
  </si>
  <si>
    <t xml:space="preserve">Owner-FCF basis: SBC fully expensed, interest income excluded, share count flat. Blue rows = per-year drivers (edit).</t>
  </si>
  <si>
    <t xml:space="preserve">2026A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</si>
  <si>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</si>
  <si>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</si>
  <si>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</si>
  <si>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</si>
  <si>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</si>
  <si>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</si>
  <si>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</si>
  <si>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</si>
  <si>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</si>
  <si>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2036E</t>
  </si>
  <si>
    <t xml:space="preserve">Year index (for discounting)</t>
  </si>
  <si>
    <t xml:space="preserve">Revenue growth YoY</t>
  </si>
  <si>
    <t xml:space="preserve">Revenue</t>
  </si>
  <si>
    <t xml:space="preserve">Adj EBITDA margin</t>
  </si>
  <si>
    <t xml:space="preserve">Adjusted EBITDA</t>
  </si>
  <si>
    <t xml:space="preserve">SBC (% of revenue)</t>
  </si>
  <si>
    <t xml:space="preserve">SBC (incl. equity-award taxes)</t>
  </si>
  <si>
    <t xml:space="preserve">EBITDA less SBC ('owner EBITDA')</t>
  </si>
  <si>
    <t xml:space="preserve">D&amp;A</t>
  </si>
  <si>
    <t xml:space="preserve">EBIT (SBC expensed)</t>
  </si>
  <si>
    <t xml:space="preserve">Cash tax rate (neg = benefit)</t>
  </si>
  <si>
    <t xml:space="preserve">NOPAT</t>
  </si>
  <si>
    <t xml:space="preserve">add: D&amp;A</t>
  </si>
  <si>
    <t xml:space="preserve">less: capex + capitalized software</t>
  </si>
  <si>
    <t xml:space="preserve">add: working capital</t>
  </si>
  <si>
    <t xml:space="preserve">Unlevered owner FCF</t>
  </si>
  <si>
    <t xml:space="preserve">Discount factor</t>
  </si>
  <si>
    <t xml:space="preserve">PV of FCF</t>
  </si>
  <si>
    <t xml:space="preserve">Memo: FCF before SBC (company-style)</t>
  </si>
  <si>
    <t xml:space="preserve">Memo: implied owner FCF margin</t>
  </si>
  <si>
    <t xml:space="preserve">Valuation</t>
  </si>
  <si>
    <t xml:space="preserve">PV of FCF, explicit years</t>
  </si>
  <si>
    <t xml:space="preserve">Terminal-year owner FCF x (1+g)</t>
  </si>
  <si>
    <t xml:space="preserve">Terminal value - Gordon</t>
  </si>
  <si>
    <t xml:space="preserve">Terminal value - cap</t>
  </si>
  <si>
    <t xml:space="preserve">Terminal value used (lower of the two)</t>
  </si>
  <si>
    <t xml:space="preserve">Implied exit multiple</t>
  </si>
  <si>
    <t xml:space="preserve">PV of terminal value</t>
  </si>
  <si>
    <t xml:space="preserve">Enterprise value</t>
  </si>
  <si>
    <t xml:space="preserve">add: net cash</t>
  </si>
  <si>
    <t xml:space="preserve">Equity value</t>
  </si>
  <si>
    <t xml:space="preserve">Value per share</t>
  </si>
  <si>
    <t xml:space="preserve">Upside / (downside) vs current price</t>
  </si>
  <si>
    <t xml:space="preserve">Memo: value if SBC treated as non-cash</t>
  </si>
  <si>
    <t xml:space="preserve">  plus PV of terminal SBC</t>
  </si>
  <si>
    <t xml:space="preserve">  Value per share, SBC as non-cash</t>
  </si>
  <si>
    <t xml:space="preserve">6995.T DCF - Base - FY27 dip then margin normalisation; capital returns continue</t>
  </si>
  <si>
    <t xml:space="preserve">6995.T DCF - Bull - HMI/digital-key content story compounds; ROE push sustained</t>
  </si>
  <si>
    <t xml:space="preserve">6995.T - Valuation Summary &amp; Sensitivity</t>
  </si>
  <si>
    <t xml:space="preserve">Owner-FCF basis (SBC expensed) unless marked street. Green = links.</t>
  </si>
  <si>
    <t xml:space="preserve">Upside / (downside) vs price</t>
  </si>
  <si>
    <t xml:space="preserve">Probability</t>
  </si>
  <si>
    <t xml:space="preserve">Value per share, SBC as non-cash (street)</t>
  </si>
  <si>
    <t xml:space="preserve">Probability-weighted value per share</t>
  </si>
  <si>
    <t xml:space="preserve">Current price</t>
  </si>
  <si>
    <t xml:space="preserve">Margin of safety vs weighted value</t>
  </si>
  <si>
    <t xml:space="preserve">Weighted value, SBC as non-cash (street)</t>
  </si>
  <si>
    <t xml:space="preserve">Band position (0%=house, 100%=street)</t>
  </si>
  <si>
    <t xml:space="preserve">n/a</t>
  </si>
  <si>
    <t xml:space="preserve">SBC = 0 so house = street; the accounting-regime band collapses to a single value</t>
  </si>
  <si>
    <t xml:space="preserve">Base case - value per share at different required returns</t>
  </si>
  <si>
    <t xml:space="preserve">Required return</t>
  </si>
  <si>
    <t xml:space="preserve">Value / share</t>
  </si>
  <si>
    <t xml:space="preserve">15%-hurdle entry per scenario + weighted</t>
  </si>
  <si>
    <t xml:space="preserve">model buy-below price at a 15% hurdle</t>
  </si>
  <si>
    <t xml:space="preserve">  same, street basis</t>
  </si>
  <si>
    <t xml:space="preserve">Base case - value per share: WACC x terminal growth</t>
  </si>
  <si>
    <t xml:space="preserve">WACC \ 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</si>
</sst>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\¥#,##0.0;&quot;(¥&quot;#,##0.0\);\-"/>
    <numFmt numFmtId="167" formatCode="#,##0.0"/>
    <numFmt numFmtId="168" formatCode="\¥#,##0.00;&quot;(¥&quot;#,##0.00\);\-"/>
    <numFmt numFmtId="169" formatCode="0\x"/>
    <numFmt numFmtId="170" formatCode="\¥#,##0;&quot;(¥&quot;#,##0\);\-"/>
    <numFmt numFmtId="171" formatCode="0.000"/>
    <numFmt numFmtId="172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2"/>
  </cols>
  <sheetData>
    <row r="1" customFormat="false" ht="15.75" hidden="false" customHeight="true" outlineLevel="0" collapsed="false">
      <c r="A1" s="2" t="s">
        <v>0</v>
      </c>
    </row>
    <row r="3" customFormat="false" ht="21.75" hidden="false" customHeight="true" outlineLevel="0" collapsed="false">
      <c r="A3" s="3" t="s">
        <v>1</v>
      </c>
      <c r="B3" s="4" t="s">
        <v>2</v>
      </c>
    </row>
    <row r="5" customFormat="false" ht="15" hidden="false" customHeight="true" outlineLevel="0" collapsed="false">
      <c r="A5" s="5" t="s">
        <v>3</v>
      </c>
    </row>
    <row r="6" customFormat="false" ht="21.75" hidden="false" customHeight="true" outlineLevel="0" collapsed="false">
      <c r="A6" s="3" t="s">
        <v>4</v>
      </c>
      <c r="B6" s="4" t="s">
        <v>5</v>
      </c>
    </row>
    <row r="7" customFormat="false" ht="21.75" hidden="false" customHeight="true" outlineLevel="0" collapsed="false">
      <c r="A7" s="3" t="s">
        <v>6</v>
      </c>
      <c r="B7" s="4" t="s">
        <v>7</v>
      </c>
    </row>
    <row r="8" customFormat="false" ht="15" hidden="false" customHeight="true" outlineLevel="0" collapsed="false">
      <c r="A8" s="3" t="s">
        <v>8</v>
      </c>
      <c r="B8" s="4" t="s">
        <v>9</v>
      </c>
    </row>
    <row r="10" customFormat="false" ht="15" hidden="false" customHeight="true" outlineLevel="0" collapsed="false">
      <c r="A10" s="5" t="s">
        <v>10</v>
      </c>
    </row>
    <row r="11" customFormat="false" ht="63.75" hidden="false" customHeight="true" outlineLevel="0" collapsed="false">
      <c r="A11" s="3" t="s">
        <v>11</v>
      </c>
      <c r="B11" s="4" t="s">
        <v>12</v>
      </c>
    </row>
    <row r="12" customFormat="false" ht="63.75" hidden="false" customHeight="true" outlineLevel="0" collapsed="false">
      <c r="A12" s="3" t="s">
        <v>13</v>
      </c>
      <c r="B12" s="4" t="s">
        <v>14</v>
      </c>
    </row>
    <row r="14" customFormat="false" ht="15" hidden="false" customHeight="true" outlineLevel="0" collapsed="false">
      <c r="A14" s="5" t="s">
        <v>15</v>
      </c>
    </row>
    <row r="15" customFormat="false" ht="21.75" hidden="false" customHeight="true" outlineLevel="0" collapsed="false">
      <c r="A15" s="3" t="s">
        <v>16</v>
      </c>
      <c r="B15" s="4" t="s">
        <v>17</v>
      </c>
    </row>
    <row r="16" customFormat="false" ht="15" hidden="false" customHeight="true" outlineLevel="0" collapsed="false">
      <c r="A16" s="3" t="s">
        <v>18</v>
      </c>
      <c r="B16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3"/>
    <col collapsed="false" customWidth="true" hidden="false" outlineLevel="0" max="8" min="8" style="1" width="62"/>
  </cols>
  <sheetData>
    <row r="1" customFormat="false" ht="15.75" hidden="false" customHeight="true" outlineLevel="0" collapsed="false">
      <c r="A1" s="2" t="s">
        <v>20</v>
      </c>
    </row>
    <row r="2" customFormat="false" ht="15" hidden="false" customHeight="true" outlineLevel="0" collapsed="false">
      <c r="A2" s="6" t="s">
        <v>21</v>
      </c>
    </row>
    <row r="4" customFormat="false" ht="15" hidden="false" customHeight="true" outlineLevel="0" collapsed="false">
      <c r="A4" s="5" t="s">
        <v>22</v>
      </c>
    </row>
    <row r="5" customFormat="false" ht="15" hidden="false" customHeight="true" outlineLevel="0" collapsed="false">
      <c r="A5" s="3" t="s">
        <v>23</v>
      </c>
      <c r="B5" s="7" t="n">
        <v>0.09</v>
      </c>
      <c r="H5" s="6"/>
    </row>
    <row r="6" customFormat="false" ht="15" hidden="false" customHeight="true" outlineLevel="0" collapsed="false">
      <c r="A6" s="3" t="s">
        <v>24</v>
      </c>
      <c r="B6" s="7" t="n">
        <v>0.036</v>
      </c>
      <c r="H6" s="6"/>
    </row>
    <row r="7" customFormat="false" ht="15" hidden="false" customHeight="true" outlineLevel="0" collapsed="false">
      <c r="A7" s="3" t="s">
        <v>25</v>
      </c>
      <c r="B7" s="7" t="n">
        <v>0.048</v>
      </c>
      <c r="H7" s="6"/>
    </row>
    <row r="8" customFormat="false" ht="15" hidden="false" customHeight="true" outlineLevel="0" collapsed="false">
      <c r="A8" s="3" t="s">
        <v>26</v>
      </c>
      <c r="B8" s="7" t="n">
        <v>0</v>
      </c>
      <c r="H8" s="6" t="s">
        <v>27</v>
      </c>
    </row>
    <row r="9" customFormat="false" ht="15" hidden="false" customHeight="true" outlineLevel="0" collapsed="false">
      <c r="A9" s="3" t="s">
        <v>28</v>
      </c>
      <c r="B9" s="8" t="n">
        <v>83757</v>
      </c>
      <c r="H9" s="6" t="s">
        <v>29</v>
      </c>
    </row>
    <row r="10" customFormat="false" ht="15" hidden="false" customHeight="true" outlineLevel="0" collapsed="false">
      <c r="A10" s="3" t="s">
        <v>30</v>
      </c>
      <c r="B10" s="9" t="n">
        <v>85.1</v>
      </c>
      <c r="H10" s="6" t="s">
        <v>31</v>
      </c>
    </row>
    <row r="11" customFormat="false" ht="15" hidden="false" customHeight="true" outlineLevel="0" collapsed="false">
      <c r="A11" s="3" t="s">
        <v>32</v>
      </c>
      <c r="B11" s="10" t="n">
        <v>3025</v>
      </c>
      <c r="H11" s="6" t="s">
        <v>33</v>
      </c>
    </row>
    <row r="12" customFormat="false" ht="15" hidden="false" customHeight="true" outlineLevel="0" collapsed="false">
      <c r="A12" s="3" t="s">
        <v>34</v>
      </c>
      <c r="B12" s="11" t="n">
        <v>20</v>
      </c>
      <c r="H12" s="6"/>
    </row>
    <row r="14" customFormat="false" ht="15" hidden="false" customHeight="true" outlineLevel="0" collapsed="false">
      <c r="A14" s="5" t="s">
        <v>35</v>
      </c>
      <c r="C14" s="12" t="s">
        <v>36</v>
      </c>
      <c r="D14" s="12" t="s">
        <v>37</v>
      </c>
      <c r="E14" s="12" t="s">
        <v>38</v>
      </c>
    </row>
    <row r="15" customFormat="false" ht="15" hidden="false" customHeight="true" outlineLevel="0" collapsed="false">
      <c r="A15" s="3" t="s">
        <v>39</v>
      </c>
      <c r="C15" s="7" t="n">
        <v>0</v>
      </c>
      <c r="D15" s="7" t="n">
        <v>0.005</v>
      </c>
      <c r="E15" s="7" t="n">
        <v>0.01</v>
      </c>
    </row>
    <row r="16" customFormat="false" ht="15" hidden="false" customHeight="true" outlineLevel="0" collapsed="false">
      <c r="A16" s="3" t="s">
        <v>40</v>
      </c>
      <c r="C16" s="7" t="n">
        <v>0.15</v>
      </c>
      <c r="D16" s="7" t="n">
        <v>0.5</v>
      </c>
      <c r="E16" s="7" t="n">
        <v>0.35</v>
      </c>
      <c r="F16" s="13" t="n">
        <f aca="false">SUM(C16:E16)</f>
        <v>1</v>
      </c>
      <c r="G16" s="6" t="s">
        <v>41</v>
      </c>
    </row>
    <row r="18" customFormat="false" ht="15" hidden="false" customHeight="true" outlineLevel="0" collapsed="false">
      <c r="A18" s="5" t="s">
        <v>42</v>
      </c>
    </row>
    <row r="19" customFormat="false" ht="25.5" hidden="false" customHeight="true" outlineLevel="0" collapsed="false">
      <c r="A19" s="3" t="s">
        <v>36</v>
      </c>
      <c r="B19" s="14" t="s">
        <v>43</v>
      </c>
      <c r="C19" s="14"/>
      <c r="D19" s="14"/>
      <c r="E19" s="14"/>
      <c r="F19" s="14"/>
      <c r="G19" s="14"/>
      <c r="H19" s="14"/>
    </row>
    <row r="20" customFormat="false" ht="25.5" hidden="false" customHeight="true" outlineLevel="0" collapsed="false">
      <c r="A20" s="3" t="s">
        <v>37</v>
      </c>
      <c r="B20" s="14" t="s">
        <v>44</v>
      </c>
      <c r="C20" s="14"/>
      <c r="D20" s="14"/>
      <c r="E20" s="14"/>
      <c r="F20" s="14"/>
      <c r="G20" s="14"/>
      <c r="H20" s="14"/>
    </row>
    <row r="21" customFormat="false" ht="25.5" hidden="false" customHeight="true" outlineLevel="0" collapsed="false">
      <c r="A21" s="3" t="s">
        <v>38</v>
      </c>
      <c r="B21" s="14" t="s">
        <v>45</v>
      </c>
      <c r="C21" s="14"/>
      <c r="D21" s="14"/>
      <c r="E21" s="14"/>
      <c r="F21" s="14"/>
      <c r="G21" s="14"/>
      <c r="H21" s="14"/>
    </row>
  </sheetData>
  <mergeCells count="3">
    <mergeCell ref="B19:H19"/>
    <mergeCell ref="B20:H20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2" min="2" style="1" width="10.51"/>
  </cols>
  <sheetData>
    <row r="1" customFormat="false" ht="15.75" hidden="false" customHeight="true" outlineLevel="0" collapsed="false">
      <c r="A1" s="2" t="s">
        <v>46</v>
      </c>
    </row>
    <row r="2" customFormat="false" ht="15" hidden="false" customHeight="true" outlineLevel="0" collapsed="false">
      <c r="A2" s="6" t="s">
        <v>47</v>
      </c>
    </row>
    <row r="3" customFormat="false" ht="15" hidden="false" customHeight="true" outlineLevel="0" collapsed="false">
      <c r="B3" s="12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</row>
    <row r="4" customFormat="false" ht="15" hidden="false" customHeight="true" outlineLevel="0" collapsed="false">
      <c r="A4" s="15" t="s">
        <v>59</v>
      </c>
      <c r="B4" s="15" t="n">
        <v>0</v>
      </c>
      <c r="C4" s="15" t="n">
        <v>1</v>
      </c>
      <c r="D4" s="15" t="n">
        <v>2</v>
      </c>
      <c r="E4" s="15" t="n">
        <v>3</v>
      </c>
      <c r="F4" s="15" t="n">
        <v>4</v>
      </c>
      <c r="G4" s="15" t="n">
        <v>5</v>
      </c>
      <c r="H4" s="15" t="n">
        <v>6</v>
      </c>
      <c r="I4" s="15" t="n">
        <v>7</v>
      </c>
      <c r="J4" s="15" t="n">
        <v>8</v>
      </c>
      <c r="K4" s="15" t="n">
        <v>9</v>
      </c>
      <c r="L4" s="15" t="n">
        <v>10</v>
      </c>
    </row>
    <row r="5" customFormat="false" ht="15" hidden="false" customHeight="true" outlineLevel="0" collapsed="false">
      <c r="A5" s="3" t="s">
        <v>60</v>
      </c>
      <c r="C5" s="7" t="n">
        <v>0</v>
      </c>
      <c r="D5" s="7" t="n">
        <v>-0.02</v>
      </c>
      <c r="E5" s="7" t="n">
        <v>-0.02</v>
      </c>
      <c r="F5" s="7" t="n">
        <v>-0.02</v>
      </c>
      <c r="G5" s="7" t="n">
        <v>-0.015</v>
      </c>
      <c r="H5" s="7" t="n">
        <v>-0.015</v>
      </c>
      <c r="I5" s="7" t="n">
        <v>-0.01</v>
      </c>
      <c r="J5" s="7" t="n">
        <v>-0.01</v>
      </c>
      <c r="K5" s="7" t="n">
        <v>-0.01</v>
      </c>
      <c r="L5" s="7" t="n">
        <v>-0.01</v>
      </c>
    </row>
    <row r="6" customFormat="false" ht="15" hidden="false" customHeight="true" outlineLevel="0" collapsed="false">
      <c r="A6" s="3" t="s">
        <v>61</v>
      </c>
      <c r="B6" s="16" t="n">
        <v>644701</v>
      </c>
      <c r="C6" s="17" t="n">
        <f aca="false">B6*(1+C5)</f>
        <v>644701</v>
      </c>
      <c r="D6" s="17" t="n">
        <f aca="false">C6*(1+D5)</f>
        <v>631806.98</v>
      </c>
      <c r="E6" s="17" t="n">
        <f aca="false">D6*(1+E5)</f>
        <v>619170.8404</v>
      </c>
      <c r="F6" s="17" t="n">
        <f aca="false">E6*(1+F5)</f>
        <v>606787.423592</v>
      </c>
      <c r="G6" s="17" t="n">
        <f aca="false">F6*(1+G5)</f>
        <v>597685.61223812</v>
      </c>
      <c r="H6" s="17" t="n">
        <f aca="false">G6*(1+H5)</f>
        <v>588720.328054548</v>
      </c>
      <c r="I6" s="17" t="n">
        <f aca="false">H6*(1+I5)</f>
        <v>582833.124774003</v>
      </c>
      <c r="J6" s="17" t="n">
        <f aca="false">I6*(1+J5)</f>
        <v>577004.793526263</v>
      </c>
      <c r="K6" s="17" t="n">
        <f aca="false">J6*(1+K5)</f>
        <v>571234.745591</v>
      </c>
      <c r="L6" s="17" t="n">
        <f aca="false">K6*(1+L5)</f>
        <v>565522.39813509</v>
      </c>
    </row>
    <row r="7" customFormat="false" ht="15" hidden="false" customHeight="true" outlineLevel="0" collapsed="false">
      <c r="A7" s="3" t="s">
        <v>62</v>
      </c>
      <c r="B7" s="18" t="n">
        <v>0.0914</v>
      </c>
      <c r="C7" s="7" t="n">
        <v>0.078</v>
      </c>
      <c r="D7" s="7" t="n">
        <v>0.072</v>
      </c>
      <c r="E7" s="7" t="n">
        <v>0.068</v>
      </c>
      <c r="F7" s="7" t="n">
        <v>0.065</v>
      </c>
      <c r="G7" s="7" t="n">
        <v>0.063</v>
      </c>
      <c r="H7" s="7" t="n">
        <v>0.062</v>
      </c>
      <c r="I7" s="7" t="n">
        <v>0.06</v>
      </c>
      <c r="J7" s="7" t="n">
        <v>0.06</v>
      </c>
      <c r="K7" s="7" t="n">
        <v>0.06</v>
      </c>
      <c r="L7" s="7" t="n">
        <v>0.06</v>
      </c>
    </row>
    <row r="8" customFormat="false" ht="15" hidden="false" customHeight="true" outlineLevel="0" collapsed="false">
      <c r="A8" s="3" t="s">
        <v>63</v>
      </c>
      <c r="C8" s="17" t="n">
        <f aca="false">C6*C7</f>
        <v>50286.678</v>
      </c>
      <c r="D8" s="17" t="n">
        <f aca="false">D6*D7</f>
        <v>45490.10256</v>
      </c>
      <c r="E8" s="17" t="n">
        <f aca="false">E6*E7</f>
        <v>42103.6171472</v>
      </c>
      <c r="F8" s="17" t="n">
        <f aca="false">F6*F7</f>
        <v>39441.18253348</v>
      </c>
      <c r="G8" s="17" t="n">
        <f aca="false">G6*G7</f>
        <v>37654.1935710016</v>
      </c>
      <c r="H8" s="17" t="n">
        <f aca="false">H6*H7</f>
        <v>36500.660339382</v>
      </c>
      <c r="I8" s="17" t="n">
        <f aca="false">I6*I7</f>
        <v>34969.9874864402</v>
      </c>
      <c r="J8" s="17" t="n">
        <f aca="false">J6*J7</f>
        <v>34620.2876115757</v>
      </c>
      <c r="K8" s="17" t="n">
        <f aca="false">K6*K7</f>
        <v>34274.08473546</v>
      </c>
      <c r="L8" s="17" t="n">
        <f aca="false">L6*L7</f>
        <v>33931.3438881054</v>
      </c>
    </row>
    <row r="9" customFormat="false" ht="15" hidden="false" customHeight="true" outlineLevel="0" collapsed="false">
      <c r="A9" s="3" t="s">
        <v>64</v>
      </c>
      <c r="B9" s="18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 customFormat="false" ht="15" hidden="false" customHeight="true" outlineLevel="0" collapsed="false">
      <c r="A10" s="3" t="s">
        <v>65</v>
      </c>
      <c r="C10" s="17" t="n">
        <f aca="false">-C6*C9</f>
        <v>-0</v>
      </c>
      <c r="D10" s="17" t="n">
        <f aca="false">-D6*D9</f>
        <v>-0</v>
      </c>
      <c r="E10" s="17" t="n">
        <f aca="false">-E6*E9</f>
        <v>-0</v>
      </c>
      <c r="F10" s="17" t="n">
        <f aca="false">-F6*F9</f>
        <v>-0</v>
      </c>
      <c r="G10" s="17" t="n">
        <f aca="false">-G6*G9</f>
        <v>-0</v>
      </c>
      <c r="H10" s="17" t="n">
        <f aca="false">-H6*H9</f>
        <v>-0</v>
      </c>
      <c r="I10" s="17" t="n">
        <f aca="false">-I6*I9</f>
        <v>-0</v>
      </c>
      <c r="J10" s="17" t="n">
        <f aca="false">-J6*J9</f>
        <v>-0</v>
      </c>
      <c r="K10" s="17" t="n">
        <f aca="false">-K6*K9</f>
        <v>-0</v>
      </c>
      <c r="L10" s="17" t="n">
        <f aca="false">-L6*L9</f>
        <v>-0</v>
      </c>
    </row>
    <row r="11" customFormat="false" ht="15" hidden="false" customHeight="true" outlineLevel="0" collapsed="false">
      <c r="A11" s="3" t="s">
        <v>66</v>
      </c>
      <c r="C11" s="17" t="n">
        <f aca="false">C8+C10</f>
        <v>50286.678</v>
      </c>
      <c r="D11" s="17" t="n">
        <f aca="false">D8+D10</f>
        <v>45490.10256</v>
      </c>
      <c r="E11" s="17" t="n">
        <f aca="false">E8+E10</f>
        <v>42103.6171472</v>
      </c>
      <c r="F11" s="17" t="n">
        <f aca="false">F8+F10</f>
        <v>39441.18253348</v>
      </c>
      <c r="G11" s="17" t="n">
        <f aca="false">G8+G10</f>
        <v>37654.1935710016</v>
      </c>
      <c r="H11" s="17" t="n">
        <f aca="false">H8+H10</f>
        <v>36500.660339382</v>
      </c>
      <c r="I11" s="17" t="n">
        <f aca="false">I8+I10</f>
        <v>34969.9874864402</v>
      </c>
      <c r="J11" s="17" t="n">
        <f aca="false">J8+J10</f>
        <v>34620.2876115757</v>
      </c>
      <c r="K11" s="17" t="n">
        <f aca="false">K8+K10</f>
        <v>34274.08473546</v>
      </c>
      <c r="L11" s="17" t="n">
        <f aca="false">L8+L10</f>
        <v>33931.3438881054</v>
      </c>
    </row>
    <row r="12" customFormat="false" ht="15" hidden="false" customHeight="true" outlineLevel="0" collapsed="false">
      <c r="A12" s="3" t="s">
        <v>67</v>
      </c>
      <c r="C12" s="19" t="n">
        <f aca="false">-C6*Assumptions!$B$6</f>
        <v>-23209.236</v>
      </c>
      <c r="D12" s="19" t="n">
        <f aca="false">-D6*Assumptions!$B$6</f>
        <v>-22745.05128</v>
      </c>
      <c r="E12" s="19" t="n">
        <f aca="false">-E6*Assumptions!$B$6</f>
        <v>-22290.1502544</v>
      </c>
      <c r="F12" s="19" t="n">
        <f aca="false">-F6*Assumptions!$B$6</f>
        <v>-21844.347249312</v>
      </c>
      <c r="G12" s="19" t="n">
        <f aca="false">-G6*Assumptions!$B$6</f>
        <v>-21516.6820405723</v>
      </c>
      <c r="H12" s="19" t="n">
        <f aca="false">-H6*Assumptions!$B$6</f>
        <v>-21193.9318099637</v>
      </c>
      <c r="I12" s="19" t="n">
        <f aca="false">-I6*Assumptions!$B$6</f>
        <v>-20981.9924918641</v>
      </c>
      <c r="J12" s="19" t="n">
        <f aca="false">-J6*Assumptions!$B$6</f>
        <v>-20772.1725669455</v>
      </c>
      <c r="K12" s="19" t="n">
        <f aca="false">-K6*Assumptions!$B$6</f>
        <v>-20564.450841276</v>
      </c>
      <c r="L12" s="19" t="n">
        <f aca="false">-L6*Assumptions!$B$6</f>
        <v>-20358.8063328632</v>
      </c>
    </row>
    <row r="13" customFormat="false" ht="15" hidden="false" customHeight="true" outlineLevel="0" collapsed="false">
      <c r="A13" s="3" t="s">
        <v>68</v>
      </c>
      <c r="C13" s="17" t="n">
        <f aca="false">C11+C12</f>
        <v>27077.442</v>
      </c>
      <c r="D13" s="17" t="n">
        <f aca="false">D11+D12</f>
        <v>22745.05128</v>
      </c>
      <c r="E13" s="17" t="n">
        <f aca="false">E11+E12</f>
        <v>19813.4668928</v>
      </c>
      <c r="F13" s="17" t="n">
        <f aca="false">F11+F12</f>
        <v>17596.835284168</v>
      </c>
      <c r="G13" s="17" t="n">
        <f aca="false">G11+G12</f>
        <v>16137.5115304292</v>
      </c>
      <c r="H13" s="17" t="n">
        <f aca="false">H11+H12</f>
        <v>15306.7285294183</v>
      </c>
      <c r="I13" s="17" t="n">
        <f aca="false">I11+I12</f>
        <v>13987.9949945761</v>
      </c>
      <c r="J13" s="17" t="n">
        <f aca="false">J11+J12</f>
        <v>13848.1150446303</v>
      </c>
      <c r="K13" s="17" t="n">
        <f aca="false">K11+K12</f>
        <v>13709.633894184</v>
      </c>
      <c r="L13" s="17" t="n">
        <f aca="false">L11+L12</f>
        <v>13572.5375552422</v>
      </c>
    </row>
    <row r="14" customFormat="false" ht="15" hidden="false" customHeight="true" outlineLevel="0" collapsed="false">
      <c r="A14" s="3" t="s">
        <v>69</v>
      </c>
      <c r="C14" s="7" t="n">
        <v>0.31</v>
      </c>
      <c r="D14" s="7" t="n">
        <v>0.31</v>
      </c>
      <c r="E14" s="7" t="n">
        <v>0.31</v>
      </c>
      <c r="F14" s="7" t="n">
        <v>0.31</v>
      </c>
      <c r="G14" s="7" t="n">
        <v>0.31</v>
      </c>
      <c r="H14" s="7" t="n">
        <v>0.31</v>
      </c>
      <c r="I14" s="7" t="n">
        <v>0.31</v>
      </c>
      <c r="J14" s="7" t="n">
        <v>0.31</v>
      </c>
      <c r="K14" s="7" t="n">
        <v>0.31</v>
      </c>
      <c r="L14" s="7" t="n">
        <v>0.31</v>
      </c>
    </row>
    <row r="15" customFormat="false" ht="15" hidden="false" customHeight="true" outlineLevel="0" collapsed="false">
      <c r="A15" s="3" t="s">
        <v>70</v>
      </c>
      <c r="C15" s="17" t="n">
        <f aca="false">C13*(1-C14)</f>
        <v>18683.43498</v>
      </c>
      <c r="D15" s="17" t="n">
        <f aca="false">D13*(1-D14)</f>
        <v>15694.0853832</v>
      </c>
      <c r="E15" s="17" t="n">
        <f aca="false">E13*(1-E14)</f>
        <v>13671.292156032</v>
      </c>
      <c r="F15" s="17" t="n">
        <f aca="false">F13*(1-F14)</f>
        <v>12141.8163460759</v>
      </c>
      <c r="G15" s="17" t="n">
        <f aca="false">G13*(1-G14)</f>
        <v>11134.8829559962</v>
      </c>
      <c r="H15" s="17" t="n">
        <f aca="false">H13*(1-H14)</f>
        <v>10561.6426852986</v>
      </c>
      <c r="I15" s="17" t="n">
        <f aca="false">I13*(1-I14)</f>
        <v>9651.71654625749</v>
      </c>
      <c r="J15" s="17" t="n">
        <f aca="false">J13*(1-J14)</f>
        <v>9555.1993807949</v>
      </c>
      <c r="K15" s="17" t="n">
        <f aca="false">K13*(1-K14)</f>
        <v>9459.64738698696</v>
      </c>
      <c r="L15" s="17" t="n">
        <f aca="false">L13*(1-L14)</f>
        <v>9365.05091311709</v>
      </c>
    </row>
    <row r="16" customFormat="false" ht="15" hidden="false" customHeight="true" outlineLevel="0" collapsed="false">
      <c r="A16" s="3" t="s">
        <v>71</v>
      </c>
      <c r="C16" s="17" t="n">
        <f aca="false">-C12</f>
        <v>23209.236</v>
      </c>
      <c r="D16" s="17" t="n">
        <f aca="false">-D12</f>
        <v>22745.05128</v>
      </c>
      <c r="E16" s="17" t="n">
        <f aca="false">-E12</f>
        <v>22290.1502544</v>
      </c>
      <c r="F16" s="17" t="n">
        <f aca="false">-F12</f>
        <v>21844.347249312</v>
      </c>
      <c r="G16" s="17" t="n">
        <f aca="false">-G12</f>
        <v>21516.6820405723</v>
      </c>
      <c r="H16" s="17" t="n">
        <f aca="false">-H12</f>
        <v>21193.9318099637</v>
      </c>
      <c r="I16" s="17" t="n">
        <f aca="false">-I12</f>
        <v>20981.9924918641</v>
      </c>
      <c r="J16" s="17" t="n">
        <f aca="false">-J12</f>
        <v>20772.1725669455</v>
      </c>
      <c r="K16" s="17" t="n">
        <f aca="false">-K12</f>
        <v>20564.450841276</v>
      </c>
      <c r="L16" s="17" t="n">
        <f aca="false">-L12</f>
        <v>20358.8063328632</v>
      </c>
    </row>
    <row r="17" customFormat="false" ht="15" hidden="false" customHeight="true" outlineLevel="0" collapsed="false">
      <c r="A17" s="3" t="s">
        <v>72</v>
      </c>
      <c r="C17" s="19" t="n">
        <f aca="false">-C6*Assumptions!$B$7</f>
        <v>-30945.648</v>
      </c>
      <c r="D17" s="19" t="n">
        <f aca="false">-D6*Assumptions!$B$7</f>
        <v>-30326.73504</v>
      </c>
      <c r="E17" s="19" t="n">
        <f aca="false">-E6*Assumptions!$B$7</f>
        <v>-29720.2003392</v>
      </c>
      <c r="F17" s="19" t="n">
        <f aca="false">-F6*Assumptions!$B$7</f>
        <v>-29125.796332416</v>
      </c>
      <c r="G17" s="19" t="n">
        <f aca="false">-G6*Assumptions!$B$7</f>
        <v>-28688.9093874298</v>
      </c>
      <c r="H17" s="19" t="n">
        <f aca="false">-H6*Assumptions!$B$7</f>
        <v>-28258.5757466183</v>
      </c>
      <c r="I17" s="19" t="n">
        <f aca="false">-I6*Assumptions!$B$7</f>
        <v>-27975.9899891521</v>
      </c>
      <c r="J17" s="19" t="n">
        <f aca="false">-J6*Assumptions!$B$7</f>
        <v>-27696.2300892606</v>
      </c>
      <c r="K17" s="19" t="n">
        <f aca="false">-K6*Assumptions!$B$7</f>
        <v>-27419.267788368</v>
      </c>
      <c r="L17" s="19" t="n">
        <f aca="false">-L6*Assumptions!$B$7</f>
        <v>-27145.0751104843</v>
      </c>
    </row>
    <row r="18" customFormat="false" ht="15" hidden="false" customHeight="true" outlineLevel="0" collapsed="false">
      <c r="A18" s="3" t="s">
        <v>73</v>
      </c>
      <c r="C18" s="19" t="n">
        <f aca="false">Assumptions!$B$8*(C6-B6)</f>
        <v>0</v>
      </c>
      <c r="D18" s="19" t="n">
        <f aca="false">Assumptions!$B$8*(D6-C6)</f>
        <v>-0</v>
      </c>
      <c r="E18" s="19" t="n">
        <f aca="false">Assumptions!$B$8*(E6-D6)</f>
        <v>-0</v>
      </c>
      <c r="F18" s="19" t="n">
        <f aca="false">Assumptions!$B$8*(F6-E6)</f>
        <v>-0</v>
      </c>
      <c r="G18" s="19" t="n">
        <f aca="false">Assumptions!$B$8*(G6-F6)</f>
        <v>-0</v>
      </c>
      <c r="H18" s="19" t="n">
        <f aca="false">Assumptions!$B$8*(H6-G6)</f>
        <v>-0</v>
      </c>
      <c r="I18" s="19" t="n">
        <f aca="false">Assumptions!$B$8*(I6-H6)</f>
        <v>-0</v>
      </c>
      <c r="J18" s="19" t="n">
        <f aca="false">Assumptions!$B$8*(J6-I6)</f>
        <v>-0</v>
      </c>
      <c r="K18" s="19" t="n">
        <f aca="false">Assumptions!$B$8*(K6-J6)</f>
        <v>-0</v>
      </c>
      <c r="L18" s="19" t="n">
        <f aca="false">Assumptions!$B$8*(L6-K6)</f>
        <v>-0</v>
      </c>
    </row>
    <row r="19" customFormat="false" ht="15" hidden="false" customHeight="true" outlineLevel="0" collapsed="false">
      <c r="A19" s="3" t="s">
        <v>74</v>
      </c>
      <c r="C19" s="20" t="n">
        <f aca="false">C15+C16+C17+C18</f>
        <v>10947.02298</v>
      </c>
      <c r="D19" s="20" t="n">
        <f aca="false">D15+D16+D17+D18</f>
        <v>8112.40162319999</v>
      </c>
      <c r="E19" s="20" t="n">
        <f aca="false">E15+E16+E17+E18</f>
        <v>6241.242071232</v>
      </c>
      <c r="F19" s="20" t="n">
        <f aca="false">F15+F16+F17+F18</f>
        <v>4860.36726297192</v>
      </c>
      <c r="G19" s="20" t="n">
        <f aca="false">G15+G16+G17+G18</f>
        <v>3962.65560913873</v>
      </c>
      <c r="H19" s="20" t="n">
        <f aca="false">H15+H16+H17+H18</f>
        <v>3496.99874864402</v>
      </c>
      <c r="I19" s="20" t="n">
        <f aca="false">I15+I16+I17+I18</f>
        <v>2657.71904896945</v>
      </c>
      <c r="J19" s="20" t="n">
        <f aca="false">J15+J16+J17+J18</f>
        <v>2631.14185847975</v>
      </c>
      <c r="K19" s="20" t="n">
        <f aca="false">K15+K16+K17+K18</f>
        <v>2604.83043989496</v>
      </c>
      <c r="L19" s="20" t="n">
        <f aca="false">L15+L16+L17+L18</f>
        <v>2578.78213549601</v>
      </c>
    </row>
    <row r="20" customFormat="false" ht="15" hidden="false" customHeight="true" outlineLevel="0" collapsed="false">
      <c r="A20" s="3" t="s">
        <v>75</v>
      </c>
      <c r="C20" s="21" t="n">
        <f aca="false">1/(1+Assumptions!$B$5)^C4</f>
        <v>0.91743119266055</v>
      </c>
      <c r="D20" s="21" t="n">
        <f aca="false">1/(1+Assumptions!$B$5)^D4</f>
        <v>0.84167999326656</v>
      </c>
      <c r="E20" s="21" t="n">
        <f aca="false">1/(1+Assumptions!$B$5)^E4</f>
        <v>0.772183480061064</v>
      </c>
      <c r="F20" s="21" t="n">
        <f aca="false">1/(1+Assumptions!$B$5)^F4</f>
        <v>0.708425211065196</v>
      </c>
      <c r="G20" s="21" t="n">
        <f aca="false">1/(1+Assumptions!$B$5)^G4</f>
        <v>0.649931386298345</v>
      </c>
      <c r="H20" s="21" t="n">
        <f aca="false">1/(1+Assumptions!$B$5)^H4</f>
        <v>0.596267326879216</v>
      </c>
      <c r="I20" s="21" t="n">
        <f aca="false">1/(1+Assumptions!$B$5)^I4</f>
        <v>0.547034244843317</v>
      </c>
      <c r="J20" s="21" t="n">
        <f aca="false">1/(1+Assumptions!$B$5)^J4</f>
        <v>0.501866279672768</v>
      </c>
      <c r="K20" s="21" t="n">
        <f aca="false">1/(1+Assumptions!$B$5)^K4</f>
        <v>0.460427779516301</v>
      </c>
      <c r="L20" s="21" t="n">
        <f aca="false">1/(1+Assumptions!$B$5)^L4</f>
        <v>0.422410806895689</v>
      </c>
    </row>
    <row r="21" customFormat="false" ht="15" hidden="false" customHeight="true" outlineLevel="0" collapsed="false">
      <c r="A21" s="3" t="s">
        <v>76</v>
      </c>
      <c r="C21" s="17" t="n">
        <f aca="false">C19*C20</f>
        <v>10043.1403486238</v>
      </c>
      <c r="D21" s="17" t="n">
        <f aca="false">D19*D20</f>
        <v>6828.0461435906</v>
      </c>
      <c r="E21" s="17" t="n">
        <f aca="false">E19*E20</f>
        <v>4819.38402246745</v>
      </c>
      <c r="F21" s="17" t="n">
        <f aca="false">F19*F20</f>
        <v>3443.20670412525</v>
      </c>
      <c r="G21" s="17" t="n">
        <f aca="false">G19*G20</f>
        <v>2575.45425347045</v>
      </c>
      <c r="H21" s="17" t="n">
        <f aca="false">H19*H20</f>
        <v>2085.14609595393</v>
      </c>
      <c r="I21" s="17" t="n">
        <f aca="false">I19*I20</f>
        <v>1453.8633329587</v>
      </c>
      <c r="J21" s="17" t="n">
        <f aca="false">J19*J20</f>
        <v>1320.48137580653</v>
      </c>
      <c r="K21" s="17" t="n">
        <f aca="false">K19*K20</f>
        <v>1199.3362954573</v>
      </c>
      <c r="L21" s="17" t="n">
        <f aca="false">L19*L20</f>
        <v>1089.30544266306</v>
      </c>
    </row>
    <row r="23" customFormat="false" ht="15" hidden="false" customHeight="true" outlineLevel="0" collapsed="false">
      <c r="A23" s="3" t="s">
        <v>77</v>
      </c>
      <c r="C23" s="17" t="n">
        <f aca="false">C19-C10</f>
        <v>10947.02298</v>
      </c>
      <c r="D23" s="17" t="n">
        <f aca="false">D19-D10</f>
        <v>8112.40162319999</v>
      </c>
      <c r="E23" s="17" t="n">
        <f aca="false">E19-E10</f>
        <v>6241.242071232</v>
      </c>
      <c r="F23" s="17" t="n">
        <f aca="false">F19-F10</f>
        <v>4860.36726297192</v>
      </c>
      <c r="G23" s="17" t="n">
        <f aca="false">G19-G10</f>
        <v>3962.65560913873</v>
      </c>
      <c r="H23" s="17" t="n">
        <f aca="false">H19-H10</f>
        <v>3496.99874864402</v>
      </c>
      <c r="I23" s="17" t="n">
        <f aca="false">I19-I10</f>
        <v>2657.71904896945</v>
      </c>
      <c r="J23" s="17" t="n">
        <f aca="false">J19-J10</f>
        <v>2631.14185847975</v>
      </c>
      <c r="K23" s="17" t="n">
        <f aca="false">K19-K10</f>
        <v>2604.83043989496</v>
      </c>
      <c r="L23" s="17" t="n">
        <f aca="false">L19-L10</f>
        <v>2578.78213549601</v>
      </c>
    </row>
    <row r="24" customFormat="false" ht="15" hidden="false" customHeight="true" outlineLevel="0" collapsed="false">
      <c r="A24" s="3" t="s">
        <v>78</v>
      </c>
      <c r="C24" s="13" t="n">
        <f aca="false">C19/C6</f>
        <v>0.01698</v>
      </c>
      <c r="D24" s="13" t="n">
        <f aca="false">D19/D6</f>
        <v>0.01284</v>
      </c>
      <c r="E24" s="13" t="n">
        <f aca="false">E19/E6</f>
        <v>0.01008</v>
      </c>
      <c r="F24" s="13" t="n">
        <f aca="false">F19/F6</f>
        <v>0.00801</v>
      </c>
      <c r="G24" s="13" t="n">
        <f aca="false">G19/G6</f>
        <v>0.00662999999999999</v>
      </c>
      <c r="H24" s="13" t="n">
        <f aca="false">H19/H6</f>
        <v>0.00594</v>
      </c>
      <c r="I24" s="13" t="n">
        <f aca="false">I19/I6</f>
        <v>0.00456</v>
      </c>
      <c r="J24" s="13" t="n">
        <f aca="false">J19/J6</f>
        <v>0.00456</v>
      </c>
      <c r="K24" s="13" t="n">
        <f aca="false">K19/K6</f>
        <v>0.00455999999999999</v>
      </c>
      <c r="L24" s="13" t="n">
        <f aca="false">L19/L6</f>
        <v>0.00456</v>
      </c>
    </row>
    <row r="25" customFormat="false" ht="15" hidden="false" customHeight="true" outlineLevel="0" collapsed="false">
      <c r="A25" s="5" t="s">
        <v>79</v>
      </c>
    </row>
    <row r="26" customFormat="false" ht="15" hidden="false" customHeight="true" outlineLevel="0" collapsed="false">
      <c r="A26" s="3" t="s">
        <v>80</v>
      </c>
      <c r="B26" s="17" t="n">
        <f aca="false">SUM(C21:L21)</f>
        <v>34857.3640151171</v>
      </c>
    </row>
    <row r="27" customFormat="false" ht="15" hidden="false" customHeight="true" outlineLevel="0" collapsed="false">
      <c r="A27" s="3" t="s">
        <v>39</v>
      </c>
      <c r="B27" s="22" t="n">
        <f aca="false">Assumptions!$C$15</f>
        <v>0</v>
      </c>
    </row>
    <row r="28" customFormat="false" ht="15" hidden="false" customHeight="true" outlineLevel="0" collapsed="false">
      <c r="A28" s="3" t="s">
        <v>81</v>
      </c>
      <c r="B28" s="17" t="n">
        <f aca="false">L19*(1+B27)</f>
        <v>2578.78213549601</v>
      </c>
    </row>
    <row r="29" customFormat="false" ht="15" hidden="false" customHeight="true" outlineLevel="0" collapsed="false">
      <c r="A29" s="3" t="s">
        <v>82</v>
      </c>
      <c r="B29" s="17" t="n">
        <f aca="false">B28/(Assumptions!$B$5-B27)</f>
        <v>28653.1348388445</v>
      </c>
    </row>
    <row r="30" customFormat="false" ht="15" hidden="false" customHeight="true" outlineLevel="0" collapsed="false">
      <c r="A30" s="3" t="s">
        <v>83</v>
      </c>
      <c r="B30" s="19" t="n">
        <f aca="false">Assumptions!$B$12*L19</f>
        <v>51575.6427099201</v>
      </c>
    </row>
    <row r="31" customFormat="false" ht="15" hidden="false" customHeight="true" outlineLevel="0" collapsed="false">
      <c r="A31" s="3" t="s">
        <v>84</v>
      </c>
      <c r="B31" s="17" t="n">
        <f aca="false">MIN(B29,B30)</f>
        <v>28653.1348388445</v>
      </c>
    </row>
    <row r="32" customFormat="false" ht="15" hidden="false" customHeight="true" outlineLevel="0" collapsed="false">
      <c r="A32" s="3" t="s">
        <v>85</v>
      </c>
      <c r="B32" s="23" t="n">
        <f aca="false">B31/L19</f>
        <v>11.1111111111111</v>
      </c>
    </row>
    <row r="33" customFormat="false" ht="15" hidden="false" customHeight="true" outlineLevel="0" collapsed="false">
      <c r="A33" s="3" t="s">
        <v>86</v>
      </c>
      <c r="B33" s="17" t="n">
        <f aca="false">B31*L20</f>
        <v>12103.3938073673</v>
      </c>
    </row>
    <row r="34" customFormat="false" ht="15" hidden="false" customHeight="true" outlineLevel="0" collapsed="false">
      <c r="A34" s="3" t="s">
        <v>87</v>
      </c>
      <c r="B34" s="17" t="n">
        <f aca="false">B26+B33</f>
        <v>46960.7578224844</v>
      </c>
    </row>
    <row r="35" customFormat="false" ht="15" hidden="false" customHeight="true" outlineLevel="0" collapsed="false">
      <c r="A35" s="3" t="s">
        <v>88</v>
      </c>
      <c r="B35" s="19" t="n">
        <f aca="false">Assumptions!$B$9</f>
        <v>83757</v>
      </c>
    </row>
    <row r="36" customFormat="false" ht="15" hidden="false" customHeight="true" outlineLevel="0" collapsed="false">
      <c r="A36" s="3" t="s">
        <v>89</v>
      </c>
      <c r="B36" s="17" t="n">
        <f aca="false">B34+B35</f>
        <v>130717.757822484</v>
      </c>
    </row>
    <row r="37" customFormat="false" ht="15" hidden="false" customHeight="true" outlineLevel="0" collapsed="false">
      <c r="A37" s="3" t="s">
        <v>30</v>
      </c>
      <c r="B37" s="24" t="n">
        <f aca="false">Assumptions!$B$10</f>
        <v>85.1</v>
      </c>
    </row>
    <row r="38" customFormat="false" ht="15" hidden="false" customHeight="true" outlineLevel="0" collapsed="false">
      <c r="A38" s="3" t="s">
        <v>90</v>
      </c>
      <c r="B38" s="25" t="n">
        <f aca="false">B36/B37</f>
        <v>1536.04885807855</v>
      </c>
    </row>
    <row r="39" customFormat="false" ht="15" hidden="false" customHeight="true" outlineLevel="0" collapsed="false">
      <c r="A39" s="3" t="s">
        <v>91</v>
      </c>
      <c r="B39" s="13" t="n">
        <f aca="false">B38/Assumptions!$B$11-1</f>
        <v>-0.492215253527753</v>
      </c>
    </row>
    <row r="41" customFormat="false" ht="15" hidden="false" customHeight="true" outlineLevel="0" collapsed="false">
      <c r="A41" s="3" t="s">
        <v>92</v>
      </c>
      <c r="B41" s="17" t="n">
        <f aca="false">SUMPRODUCT(-C10:L10/(1+Assumptions!$B$5)^C4:L4)</f>
        <v>0</v>
      </c>
    </row>
    <row r="42" customFormat="false" ht="15" hidden="false" customHeight="true" outlineLevel="0" collapsed="false">
      <c r="A42" s="3" t="s">
        <v>93</v>
      </c>
      <c r="B42" s="17" t="n">
        <f aca="false">(-L10*(1+B27)/(Assumptions!$B$5-B27))*L20</f>
        <v>0</v>
      </c>
    </row>
    <row r="43" customFormat="false" ht="15" hidden="false" customHeight="true" outlineLevel="0" collapsed="false">
      <c r="A43" s="3" t="s">
        <v>94</v>
      </c>
      <c r="B43" s="26" t="n">
        <f aca="false">(B36+B41+B42)/B37</f>
        <v>1536.04885807855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2" min="2" style="1" width="10.51"/>
  </cols>
  <sheetData>
    <row r="1" customFormat="false" ht="15.75" hidden="false" customHeight="true" outlineLevel="0" collapsed="false">
      <c r="A1" s="2" t="s">
        <v>95</v>
      </c>
    </row>
    <row r="2" customFormat="false" ht="15" hidden="false" customHeight="true" outlineLevel="0" collapsed="false">
      <c r="A2" s="6" t="s">
        <v>47</v>
      </c>
    </row>
    <row r="3" customFormat="false" ht="15" hidden="false" customHeight="true" outlineLevel="0" collapsed="false">
      <c r="B3" s="12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</row>
    <row r="4" customFormat="false" ht="15" hidden="false" customHeight="true" outlineLevel="0" collapsed="false">
      <c r="A4" s="15" t="s">
        <v>59</v>
      </c>
      <c r="B4" s="15" t="n">
        <v>0</v>
      </c>
      <c r="C4" s="15" t="n">
        <v>1</v>
      </c>
      <c r="D4" s="15" t="n">
        <v>2</v>
      </c>
      <c r="E4" s="15" t="n">
        <v>3</v>
      </c>
      <c r="F4" s="15" t="n">
        <v>4</v>
      </c>
      <c r="G4" s="15" t="n">
        <v>5</v>
      </c>
      <c r="H4" s="15" t="n">
        <v>6</v>
      </c>
      <c r="I4" s="15" t="n">
        <v>7</v>
      </c>
      <c r="J4" s="15" t="n">
        <v>8</v>
      </c>
      <c r="K4" s="15" t="n">
        <v>9</v>
      </c>
      <c r="L4" s="15" t="n">
        <v>10</v>
      </c>
    </row>
    <row r="5" customFormat="false" ht="15" hidden="false" customHeight="true" outlineLevel="0" collapsed="false">
      <c r="A5" s="3" t="s">
        <v>60</v>
      </c>
      <c r="C5" s="7" t="n">
        <v>0.02</v>
      </c>
      <c r="D5" s="7" t="n">
        <v>0.02</v>
      </c>
      <c r="E5" s="7" t="n">
        <v>0.02</v>
      </c>
      <c r="F5" s="7" t="n">
        <v>0.02</v>
      </c>
      <c r="G5" s="7" t="n">
        <v>0.015</v>
      </c>
      <c r="H5" s="7" t="n">
        <v>0.015</v>
      </c>
      <c r="I5" s="7" t="n">
        <v>0.015</v>
      </c>
      <c r="J5" s="7" t="n">
        <v>0.01</v>
      </c>
      <c r="K5" s="7" t="n">
        <v>0.01</v>
      </c>
      <c r="L5" s="7" t="n">
        <v>0.01</v>
      </c>
    </row>
    <row r="6" customFormat="false" ht="15" hidden="false" customHeight="true" outlineLevel="0" collapsed="false">
      <c r="A6" s="3" t="s">
        <v>61</v>
      </c>
      <c r="B6" s="16" t="n">
        <v>644701</v>
      </c>
      <c r="C6" s="17" t="n">
        <f aca="false">B6*(1+C5)</f>
        <v>657595.02</v>
      </c>
      <c r="D6" s="17" t="n">
        <f aca="false">C6*(1+D5)</f>
        <v>670746.9204</v>
      </c>
      <c r="E6" s="17" t="n">
        <f aca="false">D6*(1+E5)</f>
        <v>684161.858808</v>
      </c>
      <c r="F6" s="17" t="n">
        <f aca="false">E6*(1+F5)</f>
        <v>697845.09598416</v>
      </c>
      <c r="G6" s="17" t="n">
        <f aca="false">F6*(1+G5)</f>
        <v>708312.772423922</v>
      </c>
      <c r="H6" s="17" t="n">
        <f aca="false">G6*(1+H5)</f>
        <v>718937.464010281</v>
      </c>
      <c r="I6" s="17" t="n">
        <f aca="false">H6*(1+I5)</f>
        <v>729721.525970435</v>
      </c>
      <c r="J6" s="17" t="n">
        <f aca="false">I6*(1+J5)</f>
        <v>737018.74123014</v>
      </c>
      <c r="K6" s="17" t="n">
        <f aca="false">J6*(1+K5)</f>
        <v>744388.928642441</v>
      </c>
      <c r="L6" s="17" t="n">
        <f aca="false">K6*(1+L5)</f>
        <v>751832.817928866</v>
      </c>
    </row>
    <row r="7" customFormat="false" ht="15" hidden="false" customHeight="true" outlineLevel="0" collapsed="false">
      <c r="A7" s="3" t="s">
        <v>62</v>
      </c>
      <c r="B7" s="18" t="n">
        <v>0.0914</v>
      </c>
      <c r="C7" s="7" t="n">
        <v>0.082</v>
      </c>
      <c r="D7" s="7" t="n">
        <v>0.086</v>
      </c>
      <c r="E7" s="7" t="n">
        <v>0.09</v>
      </c>
      <c r="F7" s="7" t="n">
        <v>0.093</v>
      </c>
      <c r="G7" s="7" t="n">
        <v>0.095</v>
      </c>
      <c r="H7" s="7" t="n">
        <v>0.096</v>
      </c>
      <c r="I7" s="7" t="n">
        <v>0.096</v>
      </c>
      <c r="J7" s="7" t="n">
        <v>0.096</v>
      </c>
      <c r="K7" s="7" t="n">
        <v>0.096</v>
      </c>
      <c r="L7" s="7" t="n">
        <v>0.096</v>
      </c>
    </row>
    <row r="8" customFormat="false" ht="15" hidden="false" customHeight="true" outlineLevel="0" collapsed="false">
      <c r="A8" s="3" t="s">
        <v>63</v>
      </c>
      <c r="C8" s="17" t="n">
        <f aca="false">C6*C7</f>
        <v>53922.79164</v>
      </c>
      <c r="D8" s="17" t="n">
        <f aca="false">D6*D7</f>
        <v>57684.2351544</v>
      </c>
      <c r="E8" s="17" t="n">
        <f aca="false">E6*E7</f>
        <v>61574.56729272</v>
      </c>
      <c r="F8" s="17" t="n">
        <f aca="false">F6*F7</f>
        <v>64899.5939265269</v>
      </c>
      <c r="G8" s="17" t="n">
        <f aca="false">G6*G7</f>
        <v>67289.7133802726</v>
      </c>
      <c r="H8" s="17" t="n">
        <f aca="false">H6*H7</f>
        <v>69017.996544987</v>
      </c>
      <c r="I8" s="17" t="n">
        <f aca="false">I6*I7</f>
        <v>70053.2664931618</v>
      </c>
      <c r="J8" s="17" t="n">
        <f aca="false">J6*J7</f>
        <v>70753.7991580934</v>
      </c>
      <c r="K8" s="17" t="n">
        <f aca="false">K6*K7</f>
        <v>71461.3371496744</v>
      </c>
      <c r="L8" s="17" t="n">
        <f aca="false">L6*L7</f>
        <v>72175.9505211711</v>
      </c>
    </row>
    <row r="9" customFormat="false" ht="15" hidden="false" customHeight="true" outlineLevel="0" collapsed="false">
      <c r="A9" s="3" t="s">
        <v>64</v>
      </c>
      <c r="B9" s="18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 customFormat="false" ht="15" hidden="false" customHeight="true" outlineLevel="0" collapsed="false">
      <c r="A10" s="3" t="s">
        <v>65</v>
      </c>
      <c r="C10" s="17" t="n">
        <f aca="false">-C6*C9</f>
        <v>-0</v>
      </c>
      <c r="D10" s="17" t="n">
        <f aca="false">-D6*D9</f>
        <v>-0</v>
      </c>
      <c r="E10" s="17" t="n">
        <f aca="false">-E6*E9</f>
        <v>-0</v>
      </c>
      <c r="F10" s="17" t="n">
        <f aca="false">-F6*F9</f>
        <v>-0</v>
      </c>
      <c r="G10" s="17" t="n">
        <f aca="false">-G6*G9</f>
        <v>-0</v>
      </c>
      <c r="H10" s="17" t="n">
        <f aca="false">-H6*H9</f>
        <v>-0</v>
      </c>
      <c r="I10" s="17" t="n">
        <f aca="false">-I6*I9</f>
        <v>-0</v>
      </c>
      <c r="J10" s="17" t="n">
        <f aca="false">-J6*J9</f>
        <v>-0</v>
      </c>
      <c r="K10" s="17" t="n">
        <f aca="false">-K6*K9</f>
        <v>-0</v>
      </c>
      <c r="L10" s="17" t="n">
        <f aca="false">-L6*L9</f>
        <v>-0</v>
      </c>
    </row>
    <row r="11" customFormat="false" ht="15" hidden="false" customHeight="true" outlineLevel="0" collapsed="false">
      <c r="A11" s="3" t="s">
        <v>66</v>
      </c>
      <c r="C11" s="17" t="n">
        <f aca="false">C8+C10</f>
        <v>53922.79164</v>
      </c>
      <c r="D11" s="17" t="n">
        <f aca="false">D8+D10</f>
        <v>57684.2351544</v>
      </c>
      <c r="E11" s="17" t="n">
        <f aca="false">E8+E10</f>
        <v>61574.56729272</v>
      </c>
      <c r="F11" s="17" t="n">
        <f aca="false">F8+F10</f>
        <v>64899.5939265269</v>
      </c>
      <c r="G11" s="17" t="n">
        <f aca="false">G8+G10</f>
        <v>67289.7133802726</v>
      </c>
      <c r="H11" s="17" t="n">
        <f aca="false">H8+H10</f>
        <v>69017.996544987</v>
      </c>
      <c r="I11" s="17" t="n">
        <f aca="false">I8+I10</f>
        <v>70053.2664931618</v>
      </c>
      <c r="J11" s="17" t="n">
        <f aca="false">J8+J10</f>
        <v>70753.7991580934</v>
      </c>
      <c r="K11" s="17" t="n">
        <f aca="false">K8+K10</f>
        <v>71461.3371496744</v>
      </c>
      <c r="L11" s="17" t="n">
        <f aca="false">L8+L10</f>
        <v>72175.9505211711</v>
      </c>
    </row>
    <row r="12" customFormat="false" ht="15" hidden="false" customHeight="true" outlineLevel="0" collapsed="false">
      <c r="A12" s="3" t="s">
        <v>67</v>
      </c>
      <c r="C12" s="19" t="n">
        <f aca="false">-C6*Assumptions!$B$6</f>
        <v>-23673.42072</v>
      </c>
      <c r="D12" s="19" t="n">
        <f aca="false">-D6*Assumptions!$B$6</f>
        <v>-24146.8891344</v>
      </c>
      <c r="E12" s="19" t="n">
        <f aca="false">-E6*Assumptions!$B$6</f>
        <v>-24629.826917088</v>
      </c>
      <c r="F12" s="19" t="n">
        <f aca="false">-F6*Assumptions!$B$6</f>
        <v>-25122.4234554298</v>
      </c>
      <c r="G12" s="19" t="n">
        <f aca="false">-G6*Assumptions!$B$6</f>
        <v>-25499.2598072612</v>
      </c>
      <c r="H12" s="19" t="n">
        <f aca="false">-H6*Assumptions!$B$6</f>
        <v>-25881.7487043701</v>
      </c>
      <c r="I12" s="19" t="n">
        <f aca="false">-I6*Assumptions!$B$6</f>
        <v>-26269.9749349357</v>
      </c>
      <c r="J12" s="19" t="n">
        <f aca="false">-J6*Assumptions!$B$6</f>
        <v>-26532.674684285</v>
      </c>
      <c r="K12" s="19" t="n">
        <f aca="false">-K6*Assumptions!$B$6</f>
        <v>-26798.0014311279</v>
      </c>
      <c r="L12" s="19" t="n">
        <f aca="false">-L6*Assumptions!$B$6</f>
        <v>-27065.9814454392</v>
      </c>
    </row>
    <row r="13" customFormat="false" ht="15" hidden="false" customHeight="true" outlineLevel="0" collapsed="false">
      <c r="A13" s="3" t="s">
        <v>68</v>
      </c>
      <c r="C13" s="17" t="n">
        <f aca="false">C11+C12</f>
        <v>30249.37092</v>
      </c>
      <c r="D13" s="17" t="n">
        <f aca="false">D11+D12</f>
        <v>33537.34602</v>
      </c>
      <c r="E13" s="17" t="n">
        <f aca="false">E11+E12</f>
        <v>36944.740375632</v>
      </c>
      <c r="F13" s="17" t="n">
        <f aca="false">F11+F12</f>
        <v>39777.1704710971</v>
      </c>
      <c r="G13" s="17" t="n">
        <f aca="false">G11+G12</f>
        <v>41790.4535730114</v>
      </c>
      <c r="H13" s="17" t="n">
        <f aca="false">H11+H12</f>
        <v>43136.2478406169</v>
      </c>
      <c r="I13" s="17" t="n">
        <f aca="false">I11+I12</f>
        <v>43783.2915582261</v>
      </c>
      <c r="J13" s="17" t="n">
        <f aca="false">J11+J12</f>
        <v>44221.1244738084</v>
      </c>
      <c r="K13" s="17" t="n">
        <f aca="false">K11+K12</f>
        <v>44663.3357185465</v>
      </c>
      <c r="L13" s="17" t="n">
        <f aca="false">L11+L12</f>
        <v>45109.9690757319</v>
      </c>
    </row>
    <row r="14" customFormat="false" ht="15" hidden="false" customHeight="true" outlineLevel="0" collapsed="false">
      <c r="A14" s="3" t="s">
        <v>69</v>
      </c>
      <c r="C14" s="7" t="n">
        <v>0.31</v>
      </c>
      <c r="D14" s="7" t="n">
        <v>0.31</v>
      </c>
      <c r="E14" s="7" t="n">
        <v>0.31</v>
      </c>
      <c r="F14" s="7" t="n">
        <v>0.31</v>
      </c>
      <c r="G14" s="7" t="n">
        <v>0.31</v>
      </c>
      <c r="H14" s="7" t="n">
        <v>0.31</v>
      </c>
      <c r="I14" s="7" t="n">
        <v>0.31</v>
      </c>
      <c r="J14" s="7" t="n">
        <v>0.31</v>
      </c>
      <c r="K14" s="7" t="n">
        <v>0.31</v>
      </c>
      <c r="L14" s="7" t="n">
        <v>0.31</v>
      </c>
    </row>
    <row r="15" customFormat="false" ht="15" hidden="false" customHeight="true" outlineLevel="0" collapsed="false">
      <c r="A15" s="3" t="s">
        <v>70</v>
      </c>
      <c r="C15" s="17" t="n">
        <f aca="false">C13*(1-C14)</f>
        <v>20872.0659348</v>
      </c>
      <c r="D15" s="17" t="n">
        <f aca="false">D13*(1-D14)</f>
        <v>23140.7687538</v>
      </c>
      <c r="E15" s="17" t="n">
        <f aca="false">E13*(1-E14)</f>
        <v>25491.8708591861</v>
      </c>
      <c r="F15" s="17" t="n">
        <f aca="false">F13*(1-F14)</f>
        <v>27446.247625057</v>
      </c>
      <c r="G15" s="17" t="n">
        <f aca="false">G13*(1-G14)</f>
        <v>28835.4129653779</v>
      </c>
      <c r="H15" s="17" t="n">
        <f aca="false">H13*(1-H14)</f>
        <v>29764.0110100256</v>
      </c>
      <c r="I15" s="17" t="n">
        <f aca="false">I13*(1-I14)</f>
        <v>30210.471175176</v>
      </c>
      <c r="J15" s="17" t="n">
        <f aca="false">J13*(1-J14)</f>
        <v>30512.5758869278</v>
      </c>
      <c r="K15" s="17" t="n">
        <f aca="false">K13*(1-K14)</f>
        <v>30817.7016457971</v>
      </c>
      <c r="L15" s="17" t="n">
        <f aca="false">L13*(1-L14)</f>
        <v>31125.878662255</v>
      </c>
    </row>
    <row r="16" customFormat="false" ht="15" hidden="false" customHeight="true" outlineLevel="0" collapsed="false">
      <c r="A16" s="3" t="s">
        <v>71</v>
      </c>
      <c r="C16" s="17" t="n">
        <f aca="false">-C12</f>
        <v>23673.42072</v>
      </c>
      <c r="D16" s="17" t="n">
        <f aca="false">-D12</f>
        <v>24146.8891344</v>
      </c>
      <c r="E16" s="17" t="n">
        <f aca="false">-E12</f>
        <v>24629.826917088</v>
      </c>
      <c r="F16" s="17" t="n">
        <f aca="false">-F12</f>
        <v>25122.4234554298</v>
      </c>
      <c r="G16" s="17" t="n">
        <f aca="false">-G12</f>
        <v>25499.2598072612</v>
      </c>
      <c r="H16" s="17" t="n">
        <f aca="false">-H12</f>
        <v>25881.7487043701</v>
      </c>
      <c r="I16" s="17" t="n">
        <f aca="false">-I12</f>
        <v>26269.9749349357</v>
      </c>
      <c r="J16" s="17" t="n">
        <f aca="false">-J12</f>
        <v>26532.674684285</v>
      </c>
      <c r="K16" s="17" t="n">
        <f aca="false">-K12</f>
        <v>26798.0014311279</v>
      </c>
      <c r="L16" s="17" t="n">
        <f aca="false">-L12</f>
        <v>27065.9814454392</v>
      </c>
    </row>
    <row r="17" customFormat="false" ht="15" hidden="false" customHeight="true" outlineLevel="0" collapsed="false">
      <c r="A17" s="3" t="s">
        <v>72</v>
      </c>
      <c r="C17" s="19" t="n">
        <f aca="false">-C6*Assumptions!$B$7</f>
        <v>-31564.56096</v>
      </c>
      <c r="D17" s="19" t="n">
        <f aca="false">-D6*Assumptions!$B$7</f>
        <v>-32195.8521792</v>
      </c>
      <c r="E17" s="19" t="n">
        <f aca="false">-E6*Assumptions!$B$7</f>
        <v>-32839.769222784</v>
      </c>
      <c r="F17" s="19" t="n">
        <f aca="false">-F6*Assumptions!$B$7</f>
        <v>-33496.5646072397</v>
      </c>
      <c r="G17" s="19" t="n">
        <f aca="false">-G6*Assumptions!$B$7</f>
        <v>-33999.0130763483</v>
      </c>
      <c r="H17" s="19" t="n">
        <f aca="false">-H6*Assumptions!$B$7</f>
        <v>-34508.9982724935</v>
      </c>
      <c r="I17" s="19" t="n">
        <f aca="false">-I6*Assumptions!$B$7</f>
        <v>-35026.6332465809</v>
      </c>
      <c r="J17" s="19" t="n">
        <f aca="false">-J6*Assumptions!$B$7</f>
        <v>-35376.8995790467</v>
      </c>
      <c r="K17" s="19" t="n">
        <f aca="false">-K6*Assumptions!$B$7</f>
        <v>-35730.6685748372</v>
      </c>
      <c r="L17" s="19" t="n">
        <f aca="false">-L6*Assumptions!$B$7</f>
        <v>-36087.9752605856</v>
      </c>
    </row>
    <row r="18" customFormat="false" ht="15" hidden="false" customHeight="true" outlineLevel="0" collapsed="false">
      <c r="A18" s="3" t="s">
        <v>73</v>
      </c>
      <c r="C18" s="19" t="n">
        <f aca="false">Assumptions!$B$8*(C6-B6)</f>
        <v>0</v>
      </c>
      <c r="D18" s="19" t="n">
        <f aca="false">Assumptions!$B$8*(D6-C6)</f>
        <v>0</v>
      </c>
      <c r="E18" s="19" t="n">
        <f aca="false">Assumptions!$B$8*(E6-D6)</f>
        <v>0</v>
      </c>
      <c r="F18" s="19" t="n">
        <f aca="false">Assumptions!$B$8*(F6-E6)</f>
        <v>0</v>
      </c>
      <c r="G18" s="19" t="n">
        <f aca="false">Assumptions!$B$8*(G6-F6)</f>
        <v>0</v>
      </c>
      <c r="H18" s="19" t="n">
        <f aca="false">Assumptions!$B$8*(H6-G6)</f>
        <v>0</v>
      </c>
      <c r="I18" s="19" t="n">
        <f aca="false">Assumptions!$B$8*(I6-H6)</f>
        <v>0</v>
      </c>
      <c r="J18" s="19" t="n">
        <f aca="false">Assumptions!$B$8*(J6-I6)</f>
        <v>0</v>
      </c>
      <c r="K18" s="19" t="n">
        <f aca="false">Assumptions!$B$8*(K6-J6)</f>
        <v>0</v>
      </c>
      <c r="L18" s="19" t="n">
        <f aca="false">Assumptions!$B$8*(L6-K6)</f>
        <v>0</v>
      </c>
    </row>
    <row r="19" customFormat="false" ht="15" hidden="false" customHeight="true" outlineLevel="0" collapsed="false">
      <c r="A19" s="3" t="s">
        <v>74</v>
      </c>
      <c r="C19" s="20" t="n">
        <f aca="false">C15+C16+C17+C18</f>
        <v>12980.9256948</v>
      </c>
      <c r="D19" s="20" t="n">
        <f aca="false">D15+D16+D17+D18</f>
        <v>15091.805709</v>
      </c>
      <c r="E19" s="20" t="n">
        <f aca="false">E15+E16+E17+E18</f>
        <v>17281.9285534901</v>
      </c>
      <c r="F19" s="20" t="n">
        <f aca="false">F15+F16+F17+F18</f>
        <v>19072.1064732471</v>
      </c>
      <c r="G19" s="20" t="n">
        <f aca="false">G15+G16+G17+G18</f>
        <v>20335.6596962908</v>
      </c>
      <c r="H19" s="20" t="n">
        <f aca="false">H15+H16+H17+H18</f>
        <v>21136.7614419023</v>
      </c>
      <c r="I19" s="20" t="n">
        <f aca="false">I15+I16+I17+I18</f>
        <v>21453.8128635308</v>
      </c>
      <c r="J19" s="20" t="n">
        <f aca="false">J15+J16+J17+J18</f>
        <v>21668.3509921661</v>
      </c>
      <c r="K19" s="20" t="n">
        <f aca="false">K15+K16+K17+K18</f>
        <v>21885.0345020878</v>
      </c>
      <c r="L19" s="20" t="n">
        <f aca="false">L15+L16+L17+L18</f>
        <v>22103.8848471086</v>
      </c>
    </row>
    <row r="20" customFormat="false" ht="15" hidden="false" customHeight="true" outlineLevel="0" collapsed="false">
      <c r="A20" s="3" t="s">
        <v>75</v>
      </c>
      <c r="C20" s="21" t="n">
        <f aca="false">1/(1+Assumptions!$B$5)^C4</f>
        <v>0.91743119266055</v>
      </c>
      <c r="D20" s="21" t="n">
        <f aca="false">1/(1+Assumptions!$B$5)^D4</f>
        <v>0.84167999326656</v>
      </c>
      <c r="E20" s="21" t="n">
        <f aca="false">1/(1+Assumptions!$B$5)^E4</f>
        <v>0.772183480061064</v>
      </c>
      <c r="F20" s="21" t="n">
        <f aca="false">1/(1+Assumptions!$B$5)^F4</f>
        <v>0.708425211065196</v>
      </c>
      <c r="G20" s="21" t="n">
        <f aca="false">1/(1+Assumptions!$B$5)^G4</f>
        <v>0.649931386298345</v>
      </c>
      <c r="H20" s="21" t="n">
        <f aca="false">1/(1+Assumptions!$B$5)^H4</f>
        <v>0.596267326879216</v>
      </c>
      <c r="I20" s="21" t="n">
        <f aca="false">1/(1+Assumptions!$B$5)^I4</f>
        <v>0.547034244843317</v>
      </c>
      <c r="J20" s="21" t="n">
        <f aca="false">1/(1+Assumptions!$B$5)^J4</f>
        <v>0.501866279672768</v>
      </c>
      <c r="K20" s="21" t="n">
        <f aca="false">1/(1+Assumptions!$B$5)^K4</f>
        <v>0.460427779516301</v>
      </c>
      <c r="L20" s="21" t="n">
        <f aca="false">1/(1+Assumptions!$B$5)^L4</f>
        <v>0.422410806895689</v>
      </c>
    </row>
    <row r="21" customFormat="false" ht="15" hidden="false" customHeight="true" outlineLevel="0" collapsed="false">
      <c r="A21" s="3" t="s">
        <v>76</v>
      </c>
      <c r="C21" s="17" t="n">
        <f aca="false">C19*C20</f>
        <v>11909.1061420183</v>
      </c>
      <c r="D21" s="17" t="n">
        <f aca="false">D19*D20</f>
        <v>12702.4709275313</v>
      </c>
      <c r="E21" s="17" t="n">
        <f aca="false">E19*E20</f>
        <v>13344.8197326006</v>
      </c>
      <c r="F21" s="17" t="n">
        <f aca="false">F19*F20</f>
        <v>13511.161053768</v>
      </c>
      <c r="G21" s="17" t="n">
        <f aca="false">G19*G20</f>
        <v>13216.7834977017</v>
      </c>
      <c r="H21" s="17" t="n">
        <f aca="false">H19*H20</f>
        <v>12603.1602438467</v>
      </c>
      <c r="I21" s="17" t="n">
        <f aca="false">I19*I20</f>
        <v>11735.9703188114</v>
      </c>
      <c r="J21" s="17" t="n">
        <f aca="false">J19*J20</f>
        <v>10874.6146990821</v>
      </c>
      <c r="K21" s="17" t="n">
        <f aca="false">K19*K20</f>
        <v>10076.4778404339</v>
      </c>
      <c r="L21" s="17" t="n">
        <f aca="false">L19*L20</f>
        <v>9336.91983379655</v>
      </c>
    </row>
    <row r="23" customFormat="false" ht="15" hidden="false" customHeight="true" outlineLevel="0" collapsed="false">
      <c r="A23" s="3" t="s">
        <v>77</v>
      </c>
      <c r="C23" s="17" t="n">
        <f aca="false">C19-C10</f>
        <v>12980.9256948</v>
      </c>
      <c r="D23" s="17" t="n">
        <f aca="false">D19-D10</f>
        <v>15091.805709</v>
      </c>
      <c r="E23" s="17" t="n">
        <f aca="false">E19-E10</f>
        <v>17281.9285534901</v>
      </c>
      <c r="F23" s="17" t="n">
        <f aca="false">F19-F10</f>
        <v>19072.1064732471</v>
      </c>
      <c r="G23" s="17" t="n">
        <f aca="false">G19-G10</f>
        <v>20335.6596962908</v>
      </c>
      <c r="H23" s="17" t="n">
        <f aca="false">H19-H10</f>
        <v>21136.7614419023</v>
      </c>
      <c r="I23" s="17" t="n">
        <f aca="false">I19-I10</f>
        <v>21453.8128635308</v>
      </c>
      <c r="J23" s="17" t="n">
        <f aca="false">J19-J10</f>
        <v>21668.3509921661</v>
      </c>
      <c r="K23" s="17" t="n">
        <f aca="false">K19-K10</f>
        <v>21885.0345020878</v>
      </c>
      <c r="L23" s="17" t="n">
        <f aca="false">L19-L10</f>
        <v>22103.8848471086</v>
      </c>
    </row>
    <row r="24" customFormat="false" ht="15" hidden="false" customHeight="true" outlineLevel="0" collapsed="false">
      <c r="A24" s="3" t="s">
        <v>78</v>
      </c>
      <c r="C24" s="13" t="n">
        <f aca="false">C19/C6</f>
        <v>0.01974</v>
      </c>
      <c r="D24" s="13" t="n">
        <f aca="false">D19/D6</f>
        <v>0.0225</v>
      </c>
      <c r="E24" s="13" t="n">
        <f aca="false">E19/E6</f>
        <v>0.02526</v>
      </c>
      <c r="F24" s="13" t="n">
        <f aca="false">F19/F6</f>
        <v>0.02733</v>
      </c>
      <c r="G24" s="13" t="n">
        <f aca="false">G19/G6</f>
        <v>0.02871</v>
      </c>
      <c r="H24" s="13" t="n">
        <f aca="false">H19/H6</f>
        <v>0.0294</v>
      </c>
      <c r="I24" s="13" t="n">
        <f aca="false">I19/I6</f>
        <v>0.0294</v>
      </c>
      <c r="J24" s="13" t="n">
        <f aca="false">J19/J6</f>
        <v>0.0294</v>
      </c>
      <c r="K24" s="13" t="n">
        <f aca="false">K19/K6</f>
        <v>0.0294</v>
      </c>
      <c r="L24" s="13" t="n">
        <f aca="false">L19/L6</f>
        <v>0.0294</v>
      </c>
    </row>
    <row r="25" customFormat="false" ht="15" hidden="false" customHeight="true" outlineLevel="0" collapsed="false">
      <c r="A25" s="5" t="s">
        <v>79</v>
      </c>
    </row>
    <row r="26" customFormat="false" ht="15" hidden="false" customHeight="true" outlineLevel="0" collapsed="false">
      <c r="A26" s="3" t="s">
        <v>80</v>
      </c>
      <c r="B26" s="17" t="n">
        <f aca="false">SUM(C21:L21)</f>
        <v>119311.484289591</v>
      </c>
    </row>
    <row r="27" customFormat="false" ht="15" hidden="false" customHeight="true" outlineLevel="0" collapsed="false">
      <c r="A27" s="3" t="s">
        <v>39</v>
      </c>
      <c r="B27" s="22" t="n">
        <f aca="false">Assumptions!$D$15</f>
        <v>0.005</v>
      </c>
    </row>
    <row r="28" customFormat="false" ht="15" hidden="false" customHeight="true" outlineLevel="0" collapsed="false">
      <c r="A28" s="3" t="s">
        <v>81</v>
      </c>
      <c r="B28" s="17" t="n">
        <f aca="false">L19*(1+B27)</f>
        <v>22214.4042713442</v>
      </c>
    </row>
    <row r="29" customFormat="false" ht="15" hidden="false" customHeight="true" outlineLevel="0" collapsed="false">
      <c r="A29" s="3" t="s">
        <v>82</v>
      </c>
      <c r="B29" s="17" t="n">
        <f aca="false">B28/(Assumptions!$B$5-B27)</f>
        <v>261345.932604049</v>
      </c>
    </row>
    <row r="30" customFormat="false" ht="15" hidden="false" customHeight="true" outlineLevel="0" collapsed="false">
      <c r="A30" s="3" t="s">
        <v>83</v>
      </c>
      <c r="B30" s="19" t="n">
        <f aca="false">Assumptions!$B$12*L19</f>
        <v>442077.696942173</v>
      </c>
    </row>
    <row r="31" customFormat="false" ht="15" hidden="false" customHeight="true" outlineLevel="0" collapsed="false">
      <c r="A31" s="3" t="s">
        <v>84</v>
      </c>
      <c r="B31" s="17" t="n">
        <f aca="false">MIN(B29,B30)</f>
        <v>261345.932604049</v>
      </c>
    </row>
    <row r="32" customFormat="false" ht="15" hidden="false" customHeight="true" outlineLevel="0" collapsed="false">
      <c r="A32" s="3" t="s">
        <v>85</v>
      </c>
      <c r="B32" s="23" t="n">
        <f aca="false">B31/L19</f>
        <v>11.8235294117647</v>
      </c>
    </row>
    <row r="33" customFormat="false" ht="15" hidden="false" customHeight="true" outlineLevel="0" collapsed="false">
      <c r="A33" s="3" t="s">
        <v>86</v>
      </c>
      <c r="B33" s="17" t="n">
        <f aca="false">B31*L20</f>
        <v>110395.346270183</v>
      </c>
    </row>
    <row r="34" customFormat="false" ht="15" hidden="false" customHeight="true" outlineLevel="0" collapsed="false">
      <c r="A34" s="3" t="s">
        <v>87</v>
      </c>
      <c r="B34" s="17" t="n">
        <f aca="false">B26+B33</f>
        <v>229706.830559773</v>
      </c>
    </row>
    <row r="35" customFormat="false" ht="15" hidden="false" customHeight="true" outlineLevel="0" collapsed="false">
      <c r="A35" s="3" t="s">
        <v>88</v>
      </c>
      <c r="B35" s="19" t="n">
        <f aca="false">Assumptions!$B$9</f>
        <v>83757</v>
      </c>
    </row>
    <row r="36" customFormat="false" ht="15" hidden="false" customHeight="true" outlineLevel="0" collapsed="false">
      <c r="A36" s="3" t="s">
        <v>89</v>
      </c>
      <c r="B36" s="17" t="n">
        <f aca="false">B34+B35</f>
        <v>313463.830559773</v>
      </c>
    </row>
    <row r="37" customFormat="false" ht="15" hidden="false" customHeight="true" outlineLevel="0" collapsed="false">
      <c r="A37" s="3" t="s">
        <v>30</v>
      </c>
      <c r="B37" s="24" t="n">
        <f aca="false">Assumptions!$B$10</f>
        <v>85.1</v>
      </c>
    </row>
    <row r="38" customFormat="false" ht="15" hidden="false" customHeight="true" outlineLevel="0" collapsed="false">
      <c r="A38" s="3" t="s">
        <v>90</v>
      </c>
      <c r="B38" s="25" t="n">
        <f aca="false">B36/B37</f>
        <v>3683.47626979757</v>
      </c>
    </row>
    <row r="39" customFormat="false" ht="15" hidden="false" customHeight="true" outlineLevel="0" collapsed="false">
      <c r="A39" s="3" t="s">
        <v>91</v>
      </c>
      <c r="B39" s="13" t="n">
        <f aca="false">B38/Assumptions!$B$11-1</f>
        <v>0.217678105718206</v>
      </c>
    </row>
    <row r="41" customFormat="false" ht="15" hidden="false" customHeight="true" outlineLevel="0" collapsed="false">
      <c r="A41" s="3" t="s">
        <v>92</v>
      </c>
      <c r="B41" s="17" t="n">
        <f aca="false">SUMPRODUCT(-C10:L10/(1+Assumptions!$B$5)^C4:L4)</f>
        <v>0</v>
      </c>
    </row>
    <row r="42" customFormat="false" ht="15" hidden="false" customHeight="true" outlineLevel="0" collapsed="false">
      <c r="A42" s="3" t="s">
        <v>93</v>
      </c>
      <c r="B42" s="17" t="n">
        <f aca="false">(-L10*(1+B27)/(Assumptions!$B$5-B27))*L20</f>
        <v>0</v>
      </c>
    </row>
    <row r="43" customFormat="false" ht="15" hidden="false" customHeight="true" outlineLevel="0" collapsed="false">
      <c r="A43" s="3" t="s">
        <v>94</v>
      </c>
      <c r="B43" s="26" t="n">
        <f aca="false">(B36+B41+B42)/B37</f>
        <v>3683.47626979757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2" min="2" style="1" width="10.51"/>
  </cols>
  <sheetData>
    <row r="1" customFormat="false" ht="15.75" hidden="false" customHeight="true" outlineLevel="0" collapsed="false">
      <c r="A1" s="2" t="s">
        <v>96</v>
      </c>
    </row>
    <row r="2" customFormat="false" ht="15" hidden="false" customHeight="true" outlineLevel="0" collapsed="false">
      <c r="A2" s="6" t="s">
        <v>47</v>
      </c>
    </row>
    <row r="3" customFormat="false" ht="15" hidden="false" customHeight="true" outlineLevel="0" collapsed="false">
      <c r="B3" s="12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</row>
    <row r="4" customFormat="false" ht="15" hidden="false" customHeight="true" outlineLevel="0" collapsed="false">
      <c r="A4" s="15" t="s">
        <v>59</v>
      </c>
      <c r="B4" s="15" t="n">
        <v>0</v>
      </c>
      <c r="C4" s="15" t="n">
        <v>1</v>
      </c>
      <c r="D4" s="15" t="n">
        <v>2</v>
      </c>
      <c r="E4" s="15" t="n">
        <v>3</v>
      </c>
      <c r="F4" s="15" t="n">
        <v>4</v>
      </c>
      <c r="G4" s="15" t="n">
        <v>5</v>
      </c>
      <c r="H4" s="15" t="n">
        <v>6</v>
      </c>
      <c r="I4" s="15" t="n">
        <v>7</v>
      </c>
      <c r="J4" s="15" t="n">
        <v>8</v>
      </c>
      <c r="K4" s="15" t="n">
        <v>9</v>
      </c>
      <c r="L4" s="15" t="n">
        <v>10</v>
      </c>
    </row>
    <row r="5" customFormat="false" ht="15" hidden="false" customHeight="true" outlineLevel="0" collapsed="false">
      <c r="A5" s="3" t="s">
        <v>60</v>
      </c>
      <c r="C5" s="7" t="n">
        <v>0.03</v>
      </c>
      <c r="D5" s="7" t="n">
        <v>0.04</v>
      </c>
      <c r="E5" s="7" t="n">
        <v>0.035</v>
      </c>
      <c r="F5" s="7" t="n">
        <v>0.03</v>
      </c>
      <c r="G5" s="7" t="n">
        <v>0.03</v>
      </c>
      <c r="H5" s="7" t="n">
        <v>0.025</v>
      </c>
      <c r="I5" s="7" t="n">
        <v>0.02</v>
      </c>
      <c r="J5" s="7" t="n">
        <v>0.02</v>
      </c>
      <c r="K5" s="7" t="n">
        <v>0.015</v>
      </c>
      <c r="L5" s="7" t="n">
        <v>0.015</v>
      </c>
    </row>
    <row r="6" customFormat="false" ht="15" hidden="false" customHeight="true" outlineLevel="0" collapsed="false">
      <c r="A6" s="3" t="s">
        <v>61</v>
      </c>
      <c r="B6" s="16" t="n">
        <v>644701</v>
      </c>
      <c r="C6" s="17" t="n">
        <f aca="false">B6*(1+C5)</f>
        <v>664042.03</v>
      </c>
      <c r="D6" s="17" t="n">
        <f aca="false">C6*(1+D5)</f>
        <v>690603.7112</v>
      </c>
      <c r="E6" s="17" t="n">
        <f aca="false">D6*(1+E5)</f>
        <v>714774.841092</v>
      </c>
      <c r="F6" s="17" t="n">
        <f aca="false">E6*(1+F5)</f>
        <v>736218.08632476</v>
      </c>
      <c r="G6" s="17" t="n">
        <f aca="false">F6*(1+G5)</f>
        <v>758304.628914503</v>
      </c>
      <c r="H6" s="17" t="n">
        <f aca="false">G6*(1+H5)</f>
        <v>777262.244637365</v>
      </c>
      <c r="I6" s="17" t="n">
        <f aca="false">H6*(1+I5)</f>
        <v>792807.489530113</v>
      </c>
      <c r="J6" s="17" t="n">
        <f aca="false">I6*(1+J5)</f>
        <v>808663.639320715</v>
      </c>
      <c r="K6" s="17" t="n">
        <f aca="false">J6*(1+K5)</f>
        <v>820793.593910526</v>
      </c>
      <c r="L6" s="17" t="n">
        <f aca="false">K6*(1+L5)</f>
        <v>833105.497819184</v>
      </c>
    </row>
    <row r="7" customFormat="false" ht="15" hidden="false" customHeight="true" outlineLevel="0" collapsed="false">
      <c r="A7" s="3" t="s">
        <v>62</v>
      </c>
      <c r="B7" s="18" t="n">
        <v>0.0914</v>
      </c>
      <c r="C7" s="7" t="n">
        <v>0.085</v>
      </c>
      <c r="D7" s="7" t="n">
        <v>0.093</v>
      </c>
      <c r="E7" s="7" t="n">
        <v>0.1</v>
      </c>
      <c r="F7" s="7" t="n">
        <v>0.105</v>
      </c>
      <c r="G7" s="7" t="n">
        <v>0.108</v>
      </c>
      <c r="H7" s="7" t="n">
        <v>0.11</v>
      </c>
      <c r="I7" s="7" t="n">
        <v>0.111</v>
      </c>
      <c r="J7" s="7" t="n">
        <v>0.112</v>
      </c>
      <c r="K7" s="7" t="n">
        <v>0.112</v>
      </c>
      <c r="L7" s="7" t="n">
        <v>0.112</v>
      </c>
    </row>
    <row r="8" customFormat="false" ht="15" hidden="false" customHeight="true" outlineLevel="0" collapsed="false">
      <c r="A8" s="3" t="s">
        <v>63</v>
      </c>
      <c r="C8" s="17" t="n">
        <f aca="false">C6*C7</f>
        <v>56443.57255</v>
      </c>
      <c r="D8" s="17" t="n">
        <f aca="false">D6*D7</f>
        <v>64226.1451416</v>
      </c>
      <c r="E8" s="17" t="n">
        <f aca="false">E6*E7</f>
        <v>71477.4841092</v>
      </c>
      <c r="F8" s="17" t="n">
        <f aca="false">F6*F7</f>
        <v>77302.8990640998</v>
      </c>
      <c r="G8" s="17" t="n">
        <f aca="false">G6*G7</f>
        <v>81896.8999227663</v>
      </c>
      <c r="H8" s="17" t="n">
        <f aca="false">H6*H7</f>
        <v>85498.8469101102</v>
      </c>
      <c r="I8" s="17" t="n">
        <f aca="false">I6*I7</f>
        <v>88001.6313378425</v>
      </c>
      <c r="J8" s="17" t="n">
        <f aca="false">J6*J7</f>
        <v>90570.3276039201</v>
      </c>
      <c r="K8" s="17" t="n">
        <f aca="false">K6*K7</f>
        <v>91928.8825179789</v>
      </c>
      <c r="L8" s="17" t="n">
        <f aca="false">L6*L7</f>
        <v>93307.8157557486</v>
      </c>
    </row>
    <row r="9" customFormat="false" ht="15" hidden="false" customHeight="true" outlineLevel="0" collapsed="false">
      <c r="A9" s="3" t="s">
        <v>64</v>
      </c>
      <c r="B9" s="18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 customFormat="false" ht="15" hidden="false" customHeight="true" outlineLevel="0" collapsed="false">
      <c r="A10" s="3" t="s">
        <v>65</v>
      </c>
      <c r="C10" s="17" t="n">
        <f aca="false">-C6*C9</f>
        <v>-0</v>
      </c>
      <c r="D10" s="17" t="n">
        <f aca="false">-D6*D9</f>
        <v>-0</v>
      </c>
      <c r="E10" s="17" t="n">
        <f aca="false">-E6*E9</f>
        <v>-0</v>
      </c>
      <c r="F10" s="17" t="n">
        <f aca="false">-F6*F9</f>
        <v>-0</v>
      </c>
      <c r="G10" s="17" t="n">
        <f aca="false">-G6*G9</f>
        <v>-0</v>
      </c>
      <c r="H10" s="17" t="n">
        <f aca="false">-H6*H9</f>
        <v>-0</v>
      </c>
      <c r="I10" s="17" t="n">
        <f aca="false">-I6*I9</f>
        <v>-0</v>
      </c>
      <c r="J10" s="17" t="n">
        <f aca="false">-J6*J9</f>
        <v>-0</v>
      </c>
      <c r="K10" s="17" t="n">
        <f aca="false">-K6*K9</f>
        <v>-0</v>
      </c>
      <c r="L10" s="17" t="n">
        <f aca="false">-L6*L9</f>
        <v>-0</v>
      </c>
    </row>
    <row r="11" customFormat="false" ht="15" hidden="false" customHeight="true" outlineLevel="0" collapsed="false">
      <c r="A11" s="3" t="s">
        <v>66</v>
      </c>
      <c r="C11" s="17" t="n">
        <f aca="false">C8+C10</f>
        <v>56443.57255</v>
      </c>
      <c r="D11" s="17" t="n">
        <f aca="false">D8+D10</f>
        <v>64226.1451416</v>
      </c>
      <c r="E11" s="17" t="n">
        <f aca="false">E8+E10</f>
        <v>71477.4841092</v>
      </c>
      <c r="F11" s="17" t="n">
        <f aca="false">F8+F10</f>
        <v>77302.8990640998</v>
      </c>
      <c r="G11" s="17" t="n">
        <f aca="false">G8+G10</f>
        <v>81896.8999227663</v>
      </c>
      <c r="H11" s="17" t="n">
        <f aca="false">H8+H10</f>
        <v>85498.8469101102</v>
      </c>
      <c r="I11" s="17" t="n">
        <f aca="false">I8+I10</f>
        <v>88001.6313378425</v>
      </c>
      <c r="J11" s="17" t="n">
        <f aca="false">J8+J10</f>
        <v>90570.3276039201</v>
      </c>
      <c r="K11" s="17" t="n">
        <f aca="false">K8+K10</f>
        <v>91928.8825179789</v>
      </c>
      <c r="L11" s="17" t="n">
        <f aca="false">L8+L10</f>
        <v>93307.8157557486</v>
      </c>
    </row>
    <row r="12" customFormat="false" ht="15" hidden="false" customHeight="true" outlineLevel="0" collapsed="false">
      <c r="A12" s="3" t="s">
        <v>67</v>
      </c>
      <c r="C12" s="19" t="n">
        <f aca="false">-C6*Assumptions!$B$6</f>
        <v>-23905.51308</v>
      </c>
      <c r="D12" s="19" t="n">
        <f aca="false">-D6*Assumptions!$B$6</f>
        <v>-24861.7336032</v>
      </c>
      <c r="E12" s="19" t="n">
        <f aca="false">-E6*Assumptions!$B$6</f>
        <v>-25731.894279312</v>
      </c>
      <c r="F12" s="19" t="n">
        <f aca="false">-F6*Assumptions!$B$6</f>
        <v>-26503.8511076914</v>
      </c>
      <c r="G12" s="19" t="n">
        <f aca="false">-G6*Assumptions!$B$6</f>
        <v>-27298.9666409221</v>
      </c>
      <c r="H12" s="19" t="n">
        <f aca="false">-H6*Assumptions!$B$6</f>
        <v>-27981.4408069452</v>
      </c>
      <c r="I12" s="19" t="n">
        <f aca="false">-I6*Assumptions!$B$6</f>
        <v>-28541.0696230841</v>
      </c>
      <c r="J12" s="19" t="n">
        <f aca="false">-J6*Assumptions!$B$6</f>
        <v>-29111.8910155457</v>
      </c>
      <c r="K12" s="19" t="n">
        <f aca="false">-K6*Assumptions!$B$6</f>
        <v>-29548.5693807789</v>
      </c>
      <c r="L12" s="19" t="n">
        <f aca="false">-L6*Assumptions!$B$6</f>
        <v>-29991.7979214906</v>
      </c>
    </row>
    <row r="13" customFormat="false" ht="15" hidden="false" customHeight="true" outlineLevel="0" collapsed="false">
      <c r="A13" s="3" t="s">
        <v>68</v>
      </c>
      <c r="C13" s="17" t="n">
        <f aca="false">C11+C12</f>
        <v>32538.05947</v>
      </c>
      <c r="D13" s="17" t="n">
        <f aca="false">D11+D12</f>
        <v>39364.4115384</v>
      </c>
      <c r="E13" s="17" t="n">
        <f aca="false">E11+E12</f>
        <v>45745.589829888</v>
      </c>
      <c r="F13" s="17" t="n">
        <f aca="false">F11+F12</f>
        <v>50799.0479564084</v>
      </c>
      <c r="G13" s="17" t="n">
        <f aca="false">G11+G12</f>
        <v>54597.9332818442</v>
      </c>
      <c r="H13" s="17" t="n">
        <f aca="false">H11+H12</f>
        <v>57517.4061031651</v>
      </c>
      <c r="I13" s="17" t="n">
        <f aca="false">I11+I12</f>
        <v>59460.5617147585</v>
      </c>
      <c r="J13" s="17" t="n">
        <f aca="false">J11+J12</f>
        <v>61458.4365883743</v>
      </c>
      <c r="K13" s="17" t="n">
        <f aca="false">K11+K12</f>
        <v>62380.3131372</v>
      </c>
      <c r="L13" s="17" t="n">
        <f aca="false">L11+L12</f>
        <v>63316.0178342579</v>
      </c>
    </row>
    <row r="14" customFormat="false" ht="15" hidden="false" customHeight="true" outlineLevel="0" collapsed="false">
      <c r="A14" s="3" t="s">
        <v>69</v>
      </c>
      <c r="C14" s="7" t="n">
        <v>0.31</v>
      </c>
      <c r="D14" s="7" t="n">
        <v>0.31</v>
      </c>
      <c r="E14" s="7" t="n">
        <v>0.31</v>
      </c>
      <c r="F14" s="7" t="n">
        <v>0.31</v>
      </c>
      <c r="G14" s="7" t="n">
        <v>0.31</v>
      </c>
      <c r="H14" s="7" t="n">
        <v>0.31</v>
      </c>
      <c r="I14" s="7" t="n">
        <v>0.31</v>
      </c>
      <c r="J14" s="7" t="n">
        <v>0.31</v>
      </c>
      <c r="K14" s="7" t="n">
        <v>0.31</v>
      </c>
      <c r="L14" s="7" t="n">
        <v>0.31</v>
      </c>
    </row>
    <row r="15" customFormat="false" ht="15" hidden="false" customHeight="true" outlineLevel="0" collapsed="false">
      <c r="A15" s="3" t="s">
        <v>70</v>
      </c>
      <c r="C15" s="17" t="n">
        <f aca="false">C13*(1-C14)</f>
        <v>22451.2610343</v>
      </c>
      <c r="D15" s="17" t="n">
        <f aca="false">D13*(1-D14)</f>
        <v>27161.443961496</v>
      </c>
      <c r="E15" s="17" t="n">
        <f aca="false">E13*(1-E14)</f>
        <v>31564.4569826227</v>
      </c>
      <c r="F15" s="17" t="n">
        <f aca="false">F13*(1-F14)</f>
        <v>35051.3430899218</v>
      </c>
      <c r="G15" s="17" t="n">
        <f aca="false">G13*(1-G14)</f>
        <v>37672.5739644725</v>
      </c>
      <c r="H15" s="17" t="n">
        <f aca="false">H13*(1-H14)</f>
        <v>39687.0102111839</v>
      </c>
      <c r="I15" s="17" t="n">
        <f aca="false">I13*(1-I14)</f>
        <v>41027.7875831833</v>
      </c>
      <c r="J15" s="17" t="n">
        <f aca="false">J13*(1-J14)</f>
        <v>42406.3212459783</v>
      </c>
      <c r="K15" s="17" t="n">
        <f aca="false">K13*(1-K14)</f>
        <v>43042.416064668</v>
      </c>
      <c r="L15" s="17" t="n">
        <f aca="false">L13*(1-L14)</f>
        <v>43688.052305638</v>
      </c>
    </row>
    <row r="16" customFormat="false" ht="15" hidden="false" customHeight="true" outlineLevel="0" collapsed="false">
      <c r="A16" s="3" t="s">
        <v>71</v>
      </c>
      <c r="C16" s="17" t="n">
        <f aca="false">-C12</f>
        <v>23905.51308</v>
      </c>
      <c r="D16" s="17" t="n">
        <f aca="false">-D12</f>
        <v>24861.7336032</v>
      </c>
      <c r="E16" s="17" t="n">
        <f aca="false">-E12</f>
        <v>25731.894279312</v>
      </c>
      <c r="F16" s="17" t="n">
        <f aca="false">-F12</f>
        <v>26503.8511076914</v>
      </c>
      <c r="G16" s="17" t="n">
        <f aca="false">-G12</f>
        <v>27298.9666409221</v>
      </c>
      <c r="H16" s="17" t="n">
        <f aca="false">-H12</f>
        <v>27981.4408069452</v>
      </c>
      <c r="I16" s="17" t="n">
        <f aca="false">-I12</f>
        <v>28541.0696230841</v>
      </c>
      <c r="J16" s="17" t="n">
        <f aca="false">-J12</f>
        <v>29111.8910155457</v>
      </c>
      <c r="K16" s="17" t="n">
        <f aca="false">-K12</f>
        <v>29548.5693807789</v>
      </c>
      <c r="L16" s="17" t="n">
        <f aca="false">-L12</f>
        <v>29991.7979214906</v>
      </c>
    </row>
    <row r="17" customFormat="false" ht="15" hidden="false" customHeight="true" outlineLevel="0" collapsed="false">
      <c r="A17" s="3" t="s">
        <v>72</v>
      </c>
      <c r="C17" s="19" t="n">
        <f aca="false">-C6*Assumptions!$B$7</f>
        <v>-31874.01744</v>
      </c>
      <c r="D17" s="19" t="n">
        <f aca="false">-D6*Assumptions!$B$7</f>
        <v>-33148.9781376</v>
      </c>
      <c r="E17" s="19" t="n">
        <f aca="false">-E6*Assumptions!$B$7</f>
        <v>-34309.192372416</v>
      </c>
      <c r="F17" s="19" t="n">
        <f aca="false">-F6*Assumptions!$B$7</f>
        <v>-35338.4681435885</v>
      </c>
      <c r="G17" s="19" t="n">
        <f aca="false">-G6*Assumptions!$B$7</f>
        <v>-36398.6221878961</v>
      </c>
      <c r="H17" s="19" t="n">
        <f aca="false">-H6*Assumptions!$B$7</f>
        <v>-37308.5877425935</v>
      </c>
      <c r="I17" s="19" t="n">
        <f aca="false">-I6*Assumptions!$B$7</f>
        <v>-38054.7594974454</v>
      </c>
      <c r="J17" s="19" t="n">
        <f aca="false">-J6*Assumptions!$B$7</f>
        <v>-38815.8546873943</v>
      </c>
      <c r="K17" s="19" t="n">
        <f aca="false">-K6*Assumptions!$B$7</f>
        <v>-39398.0925077052</v>
      </c>
      <c r="L17" s="19" t="n">
        <f aca="false">-L6*Assumptions!$B$7</f>
        <v>-39989.0638953208</v>
      </c>
    </row>
    <row r="18" customFormat="false" ht="15" hidden="false" customHeight="true" outlineLevel="0" collapsed="false">
      <c r="A18" s="3" t="s">
        <v>73</v>
      </c>
      <c r="C18" s="19" t="n">
        <f aca="false">Assumptions!$B$8*(C6-B6)</f>
        <v>0</v>
      </c>
      <c r="D18" s="19" t="n">
        <f aca="false">Assumptions!$B$8*(D6-C6)</f>
        <v>0</v>
      </c>
      <c r="E18" s="19" t="n">
        <f aca="false">Assumptions!$B$8*(E6-D6)</f>
        <v>0</v>
      </c>
      <c r="F18" s="19" t="n">
        <f aca="false">Assumptions!$B$8*(F6-E6)</f>
        <v>0</v>
      </c>
      <c r="G18" s="19" t="n">
        <f aca="false">Assumptions!$B$8*(G6-F6)</f>
        <v>0</v>
      </c>
      <c r="H18" s="19" t="n">
        <f aca="false">Assumptions!$B$8*(H6-G6)</f>
        <v>0</v>
      </c>
      <c r="I18" s="19" t="n">
        <f aca="false">Assumptions!$B$8*(I6-H6)</f>
        <v>0</v>
      </c>
      <c r="J18" s="19" t="n">
        <f aca="false">Assumptions!$B$8*(J6-I6)</f>
        <v>0</v>
      </c>
      <c r="K18" s="19" t="n">
        <f aca="false">Assumptions!$B$8*(K6-J6)</f>
        <v>0</v>
      </c>
      <c r="L18" s="19" t="n">
        <f aca="false">Assumptions!$B$8*(L6-K6)</f>
        <v>0</v>
      </c>
    </row>
    <row r="19" customFormat="false" ht="15" hidden="false" customHeight="true" outlineLevel="0" collapsed="false">
      <c r="A19" s="3" t="s">
        <v>74</v>
      </c>
      <c r="C19" s="20" t="n">
        <f aca="false">C15+C16+C17+C18</f>
        <v>14482.7566743</v>
      </c>
      <c r="D19" s="20" t="n">
        <f aca="false">D15+D16+D17+D18</f>
        <v>18874.199427096</v>
      </c>
      <c r="E19" s="20" t="n">
        <f aca="false">E15+E16+E17+E18</f>
        <v>22987.1588895187</v>
      </c>
      <c r="F19" s="20" t="n">
        <f aca="false">F15+F16+F17+F18</f>
        <v>26216.7260540247</v>
      </c>
      <c r="G19" s="20" t="n">
        <f aca="false">G15+G16+G17+G18</f>
        <v>28572.9184174985</v>
      </c>
      <c r="H19" s="20" t="n">
        <f aca="false">H15+H16+H17+H18</f>
        <v>30359.8632755355</v>
      </c>
      <c r="I19" s="20" t="n">
        <f aca="false">I15+I16+I17+I18</f>
        <v>31514.097708822</v>
      </c>
      <c r="J19" s="20" t="n">
        <f aca="false">J15+J16+J17+J18</f>
        <v>32702.3575741297</v>
      </c>
      <c r="K19" s="20" t="n">
        <f aca="false">K15+K16+K17+K18</f>
        <v>33192.8929377417</v>
      </c>
      <c r="L19" s="20" t="n">
        <f aca="false">L15+L16+L17+L18</f>
        <v>33690.7863318078</v>
      </c>
    </row>
    <row r="20" customFormat="false" ht="15" hidden="false" customHeight="true" outlineLevel="0" collapsed="false">
      <c r="A20" s="3" t="s">
        <v>75</v>
      </c>
      <c r="C20" s="21" t="n">
        <f aca="false">1/(1+Assumptions!$B$5)^C4</f>
        <v>0.91743119266055</v>
      </c>
      <c r="D20" s="21" t="n">
        <f aca="false">1/(1+Assumptions!$B$5)^D4</f>
        <v>0.84167999326656</v>
      </c>
      <c r="E20" s="21" t="n">
        <f aca="false">1/(1+Assumptions!$B$5)^E4</f>
        <v>0.772183480061064</v>
      </c>
      <c r="F20" s="21" t="n">
        <f aca="false">1/(1+Assumptions!$B$5)^F4</f>
        <v>0.708425211065196</v>
      </c>
      <c r="G20" s="21" t="n">
        <f aca="false">1/(1+Assumptions!$B$5)^G4</f>
        <v>0.649931386298345</v>
      </c>
      <c r="H20" s="21" t="n">
        <f aca="false">1/(1+Assumptions!$B$5)^H4</f>
        <v>0.596267326879216</v>
      </c>
      <c r="I20" s="21" t="n">
        <f aca="false">1/(1+Assumptions!$B$5)^I4</f>
        <v>0.547034244843317</v>
      </c>
      <c r="J20" s="21" t="n">
        <f aca="false">1/(1+Assumptions!$B$5)^J4</f>
        <v>0.501866279672768</v>
      </c>
      <c r="K20" s="21" t="n">
        <f aca="false">1/(1+Assumptions!$B$5)^K4</f>
        <v>0.460427779516301</v>
      </c>
      <c r="L20" s="21" t="n">
        <f aca="false">1/(1+Assumptions!$B$5)^L4</f>
        <v>0.422410806895689</v>
      </c>
    </row>
    <row r="21" customFormat="false" ht="15" hidden="false" customHeight="true" outlineLevel="0" collapsed="false">
      <c r="A21" s="3" t="s">
        <v>76</v>
      </c>
      <c r="C21" s="17" t="n">
        <f aca="false">C19*C20</f>
        <v>13286.9327287156</v>
      </c>
      <c r="D21" s="17" t="n">
        <f aca="false">D19*D20</f>
        <v>15886.0360467099</v>
      </c>
      <c r="E21" s="17" t="n">
        <f aca="false">E19*E20</f>
        <v>17750.3043480252</v>
      </c>
      <c r="F21" s="17" t="n">
        <f aca="false">F19*F20</f>
        <v>18572.5896882609</v>
      </c>
      <c r="G21" s="17" t="n">
        <f aca="false">G19*G20</f>
        <v>18570.4364776743</v>
      </c>
      <c r="H21" s="17" t="n">
        <f aca="false">H19*H20</f>
        <v>18102.594519722</v>
      </c>
      <c r="I21" s="17" t="n">
        <f aca="false">I19*I20</f>
        <v>17239.2906420639</v>
      </c>
      <c r="J21" s="17" t="n">
        <f aca="false">J19*J20</f>
        <v>16412.210532257</v>
      </c>
      <c r="K21" s="17" t="n">
        <f aca="false">K19*K20</f>
        <v>15282.9299910467</v>
      </c>
      <c r="L21" s="17" t="n">
        <f aca="false">L19*L20</f>
        <v>14231.3522393692</v>
      </c>
    </row>
    <row r="23" customFormat="false" ht="15" hidden="false" customHeight="true" outlineLevel="0" collapsed="false">
      <c r="A23" s="3" t="s">
        <v>77</v>
      </c>
      <c r="C23" s="17" t="n">
        <f aca="false">C19-C10</f>
        <v>14482.7566743</v>
      </c>
      <c r="D23" s="17" t="n">
        <f aca="false">D19-D10</f>
        <v>18874.199427096</v>
      </c>
      <c r="E23" s="17" t="n">
        <f aca="false">E19-E10</f>
        <v>22987.1588895187</v>
      </c>
      <c r="F23" s="17" t="n">
        <f aca="false">F19-F10</f>
        <v>26216.7260540247</v>
      </c>
      <c r="G23" s="17" t="n">
        <f aca="false">G19-G10</f>
        <v>28572.9184174985</v>
      </c>
      <c r="H23" s="17" t="n">
        <f aca="false">H19-H10</f>
        <v>30359.8632755355</v>
      </c>
      <c r="I23" s="17" t="n">
        <f aca="false">I19-I10</f>
        <v>31514.097708822</v>
      </c>
      <c r="J23" s="17" t="n">
        <f aca="false">J19-J10</f>
        <v>32702.3575741297</v>
      </c>
      <c r="K23" s="17" t="n">
        <f aca="false">K19-K10</f>
        <v>33192.8929377417</v>
      </c>
      <c r="L23" s="17" t="n">
        <f aca="false">L19-L10</f>
        <v>33690.7863318078</v>
      </c>
    </row>
    <row r="24" customFormat="false" ht="15" hidden="false" customHeight="true" outlineLevel="0" collapsed="false">
      <c r="A24" s="3" t="s">
        <v>78</v>
      </c>
      <c r="C24" s="13" t="n">
        <f aca="false">C19/C6</f>
        <v>0.02181</v>
      </c>
      <c r="D24" s="13" t="n">
        <f aca="false">D19/D6</f>
        <v>0.02733</v>
      </c>
      <c r="E24" s="13" t="n">
        <f aca="false">E19/E6</f>
        <v>0.03216</v>
      </c>
      <c r="F24" s="13" t="n">
        <f aca="false">F19/F6</f>
        <v>0.03561</v>
      </c>
      <c r="G24" s="13" t="n">
        <f aca="false">G19/G6</f>
        <v>0.03768</v>
      </c>
      <c r="H24" s="13" t="n">
        <f aca="false">H19/H6</f>
        <v>0.03906</v>
      </c>
      <c r="I24" s="13" t="n">
        <f aca="false">I19/I6</f>
        <v>0.03975</v>
      </c>
      <c r="J24" s="13" t="n">
        <f aca="false">J19/J6</f>
        <v>0.04044</v>
      </c>
      <c r="K24" s="13" t="n">
        <f aca="false">K19/K6</f>
        <v>0.04044</v>
      </c>
      <c r="L24" s="13" t="n">
        <f aca="false">L19/L6</f>
        <v>0.04044</v>
      </c>
    </row>
    <row r="25" customFormat="false" ht="15" hidden="false" customHeight="true" outlineLevel="0" collapsed="false">
      <c r="A25" s="5" t="s">
        <v>79</v>
      </c>
    </row>
    <row r="26" customFormat="false" ht="15" hidden="false" customHeight="true" outlineLevel="0" collapsed="false">
      <c r="A26" s="3" t="s">
        <v>80</v>
      </c>
      <c r="B26" s="17" t="n">
        <f aca="false">SUM(C21:L21)</f>
        <v>165334.677213845</v>
      </c>
    </row>
    <row r="27" customFormat="false" ht="15" hidden="false" customHeight="true" outlineLevel="0" collapsed="false">
      <c r="A27" s="3" t="s">
        <v>39</v>
      </c>
      <c r="B27" s="22" t="n">
        <f aca="false">Assumptions!$E$15</f>
        <v>0.01</v>
      </c>
    </row>
    <row r="28" customFormat="false" ht="15" hidden="false" customHeight="true" outlineLevel="0" collapsed="false">
      <c r="A28" s="3" t="s">
        <v>81</v>
      </c>
      <c r="B28" s="17" t="n">
        <f aca="false">L19*(1+B27)</f>
        <v>34027.6941951259</v>
      </c>
    </row>
    <row r="29" customFormat="false" ht="15" hidden="false" customHeight="true" outlineLevel="0" collapsed="false">
      <c r="A29" s="3" t="s">
        <v>82</v>
      </c>
      <c r="B29" s="17" t="n">
        <f aca="false">B28/(Assumptions!$B$5-B27)</f>
        <v>425346.177439073</v>
      </c>
    </row>
    <row r="30" customFormat="false" ht="15" hidden="false" customHeight="true" outlineLevel="0" collapsed="false">
      <c r="A30" s="3" t="s">
        <v>83</v>
      </c>
      <c r="B30" s="19" t="n">
        <f aca="false">Assumptions!$B$12*L19</f>
        <v>673815.726636156</v>
      </c>
    </row>
    <row r="31" customFormat="false" ht="15" hidden="false" customHeight="true" outlineLevel="0" collapsed="false">
      <c r="A31" s="3" t="s">
        <v>84</v>
      </c>
      <c r="B31" s="17" t="n">
        <f aca="false">MIN(B29,B30)</f>
        <v>425346.177439073</v>
      </c>
    </row>
    <row r="32" customFormat="false" ht="15" hidden="false" customHeight="true" outlineLevel="0" collapsed="false">
      <c r="A32" s="3" t="s">
        <v>85</v>
      </c>
      <c r="B32" s="23" t="n">
        <f aca="false">B31/L19</f>
        <v>12.625</v>
      </c>
    </row>
    <row r="33" customFormat="false" ht="15" hidden="false" customHeight="true" outlineLevel="0" collapsed="false">
      <c r="A33" s="3" t="s">
        <v>86</v>
      </c>
      <c r="B33" s="17" t="n">
        <f aca="false">B31*L20</f>
        <v>179670.822022036</v>
      </c>
    </row>
    <row r="34" customFormat="false" ht="15" hidden="false" customHeight="true" outlineLevel="0" collapsed="false">
      <c r="A34" s="3" t="s">
        <v>87</v>
      </c>
      <c r="B34" s="17" t="n">
        <f aca="false">B26+B33</f>
        <v>345005.49923588</v>
      </c>
    </row>
    <row r="35" customFormat="false" ht="15" hidden="false" customHeight="true" outlineLevel="0" collapsed="false">
      <c r="A35" s="3" t="s">
        <v>88</v>
      </c>
      <c r="B35" s="19" t="n">
        <f aca="false">Assumptions!$B$9</f>
        <v>83757</v>
      </c>
    </row>
    <row r="36" customFormat="false" ht="15" hidden="false" customHeight="true" outlineLevel="0" collapsed="false">
      <c r="A36" s="3" t="s">
        <v>89</v>
      </c>
      <c r="B36" s="17" t="n">
        <f aca="false">B34+B35</f>
        <v>428762.49923588</v>
      </c>
    </row>
    <row r="37" customFormat="false" ht="15" hidden="false" customHeight="true" outlineLevel="0" collapsed="false">
      <c r="A37" s="3" t="s">
        <v>30</v>
      </c>
      <c r="B37" s="24" t="n">
        <f aca="false">Assumptions!$B$10</f>
        <v>85.1</v>
      </c>
    </row>
    <row r="38" customFormat="false" ht="15" hidden="false" customHeight="true" outlineLevel="0" collapsed="false">
      <c r="A38" s="3" t="s">
        <v>90</v>
      </c>
      <c r="B38" s="25" t="n">
        <f aca="false">B36/B37</f>
        <v>5038.33724131469</v>
      </c>
    </row>
    <row r="39" customFormat="false" ht="15" hidden="false" customHeight="true" outlineLevel="0" collapsed="false">
      <c r="A39" s="3" t="s">
        <v>91</v>
      </c>
      <c r="B39" s="13" t="n">
        <f aca="false">B38/Assumptions!$B$11-1</f>
        <v>0.665566030186676</v>
      </c>
    </row>
    <row r="41" customFormat="false" ht="15" hidden="false" customHeight="true" outlineLevel="0" collapsed="false">
      <c r="A41" s="3" t="s">
        <v>92</v>
      </c>
      <c r="B41" s="17" t="n">
        <f aca="false">SUMPRODUCT(-C10:L10/(1+Assumptions!$B$5)^C4:L4)</f>
        <v>0</v>
      </c>
    </row>
    <row r="42" customFormat="false" ht="15" hidden="false" customHeight="true" outlineLevel="0" collapsed="false">
      <c r="A42" s="3" t="s">
        <v>93</v>
      </c>
      <c r="B42" s="17" t="n">
        <f aca="false">(-L10*(1+B27)/(Assumptions!$B$5-B27))*L20</f>
        <v>0</v>
      </c>
    </row>
    <row r="43" customFormat="false" ht="15" hidden="false" customHeight="true" outlineLevel="0" collapsed="false">
      <c r="A43" s="3" t="s">
        <v>94</v>
      </c>
      <c r="B43" s="26" t="n">
        <f aca="false">(B36+B41+B42)/B37</f>
        <v>5038.33724131469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3"/>
    <col collapsed="false" customWidth="true" hidden="false" outlineLevel="0" max="7" min="7" style="1" width="40"/>
  </cols>
  <sheetData>
    <row r="1" customFormat="false" ht="15.75" hidden="false" customHeight="true" outlineLevel="0" collapsed="false">
      <c r="A1" s="2" t="s">
        <v>97</v>
      </c>
    </row>
    <row r="2" customFormat="false" ht="15" hidden="false" customHeight="true" outlineLevel="0" collapsed="false">
      <c r="A2" s="6" t="s">
        <v>98</v>
      </c>
    </row>
    <row r="4" customFormat="false" ht="15" hidden="false" customHeight="true" outlineLevel="0" collapsed="false">
      <c r="B4" s="12" t="s">
        <v>36</v>
      </c>
      <c r="C4" s="12" t="s">
        <v>37</v>
      </c>
      <c r="D4" s="12" t="s">
        <v>38</v>
      </c>
    </row>
    <row r="5" customFormat="false" ht="15" hidden="false" customHeight="true" outlineLevel="0" collapsed="false">
      <c r="A5" s="3" t="s">
        <v>90</v>
      </c>
      <c r="B5" s="27" t="n">
        <f aca="false">DCF_Bear!$B$38</f>
        <v>1536.04885807855</v>
      </c>
      <c r="C5" s="27" t="n">
        <f aca="false">DCF_Base!$B$38</f>
        <v>3683.47626979757</v>
      </c>
      <c r="D5" s="27" t="n">
        <f aca="false">DCF_Bull!$B$38</f>
        <v>5038.33724131469</v>
      </c>
    </row>
    <row r="6" customFormat="false" ht="15" hidden="false" customHeight="true" outlineLevel="0" collapsed="false">
      <c r="A6" s="3" t="s">
        <v>99</v>
      </c>
      <c r="B6" s="13" t="n">
        <f aca="false">B5/Assumptions!$B$11-1</f>
        <v>-0.492215253527753</v>
      </c>
      <c r="C6" s="13" t="n">
        <f aca="false">C5/Assumptions!$B$11-1</f>
        <v>0.217678105718206</v>
      </c>
      <c r="D6" s="13" t="n">
        <f aca="false">D5/Assumptions!$B$11-1</f>
        <v>0.665566030186676</v>
      </c>
    </row>
    <row r="7" customFormat="false" ht="15" hidden="false" customHeight="true" outlineLevel="0" collapsed="false">
      <c r="A7" s="3" t="s">
        <v>100</v>
      </c>
      <c r="B7" s="22" t="n">
        <f aca="false">Assumptions!$C$16</f>
        <v>0.15</v>
      </c>
      <c r="C7" s="22" t="n">
        <f aca="false">Assumptions!$D$16</f>
        <v>0.5</v>
      </c>
      <c r="D7" s="22" t="n">
        <f aca="false">Assumptions!$E$16</f>
        <v>0.35</v>
      </c>
    </row>
    <row r="8" customFormat="false" ht="15" hidden="false" customHeight="true" outlineLevel="0" collapsed="false">
      <c r="A8" s="3" t="s">
        <v>101</v>
      </c>
      <c r="B8" s="27" t="n">
        <f aca="false">DCF_Bear!$B$43</f>
        <v>1536.04885807855</v>
      </c>
      <c r="C8" s="27" t="n">
        <f aca="false">DCF_Base!$B$43</f>
        <v>3683.47626979757</v>
      </c>
      <c r="D8" s="27" t="n">
        <f aca="false">DCF_Bull!$B$43</f>
        <v>5038.33724131469</v>
      </c>
    </row>
    <row r="10" customFormat="false" ht="15" hidden="false" customHeight="true" outlineLevel="0" collapsed="false">
      <c r="A10" s="3" t="s">
        <v>102</v>
      </c>
      <c r="B10" s="25" t="n">
        <f aca="false">SUMPRODUCT(B5:D5,B7:D7)</f>
        <v>3835.56349807071</v>
      </c>
    </row>
    <row r="11" customFormat="false" ht="15" hidden="false" customHeight="true" outlineLevel="0" collapsed="false">
      <c r="A11" s="3" t="s">
        <v>103</v>
      </c>
      <c r="B11" s="27" t="n">
        <f aca="false">Assumptions!$B$11</f>
        <v>3025</v>
      </c>
    </row>
    <row r="12" customFormat="false" ht="15" hidden="false" customHeight="true" outlineLevel="0" collapsed="false">
      <c r="A12" s="3" t="s">
        <v>104</v>
      </c>
      <c r="B12" s="13" t="n">
        <f aca="false">1-B11/B10</f>
        <v>0.211328400241171</v>
      </c>
    </row>
    <row r="13" customFormat="false" ht="15" hidden="false" customHeight="true" outlineLevel="0" collapsed="false">
      <c r="A13" s="3" t="s">
        <v>105</v>
      </c>
      <c r="B13" s="26" t="n">
        <f aca="false">SUMPRODUCT(B8:D8,B7:D7)</f>
        <v>3835.56349807071</v>
      </c>
    </row>
    <row r="14" customFormat="false" ht="15" hidden="false" customHeight="true" outlineLevel="0" collapsed="false">
      <c r="A14" s="3" t="s">
        <v>106</v>
      </c>
      <c r="B14" s="13" t="s">
        <v>107</v>
      </c>
      <c r="C14" s="6" t="s">
        <v>108</v>
      </c>
    </row>
    <row r="17" customFormat="false" ht="15" hidden="false" customHeight="true" outlineLevel="0" collapsed="false">
      <c r="A17" s="5" t="s">
        <v>109</v>
      </c>
    </row>
    <row r="18" customFormat="false" ht="15" hidden="false" customHeight="true" outlineLevel="0" collapsed="false">
      <c r="A18" s="12" t="s">
        <v>110</v>
      </c>
      <c r="B18" s="12" t="s">
        <v>111</v>
      </c>
    </row>
    <row r="19" customFormat="false" ht="15" hidden="false" customHeight="true" outlineLevel="0" collapsed="false">
      <c r="A19" s="18" t="n">
        <v>0.09</v>
      </c>
      <c r="B19" s="26" t="n">
        <f aca="false">(SUMPRODUCT(DCF_Base!$C$19:$L$19/(1+$A19)^DCF_Base!$C$4:$L$4)+MIN(DCF_Base!$L$19*(1+Assumptions!$D$15)/($A19-Assumptions!$D$15),Assumptions!$B$12*DCF_Base!$L$19)/(1+$A19)^10+Assumptions!$B$9)/Assumptions!$B$10</f>
        <v>3683.47626979757</v>
      </c>
    </row>
    <row r="20" customFormat="false" ht="15" hidden="false" customHeight="true" outlineLevel="0" collapsed="false">
      <c r="A20" s="18" t="n">
        <v>0.1</v>
      </c>
      <c r="B20" s="26" t="n">
        <f aca="false">(SUMPRODUCT(DCF_Base!$C$19:$L$19/(1+$A20)^DCF_Base!$C$4:$L$4)+MIN(DCF_Base!$L$19*(1+Assumptions!$D$15)/($A20-Assumptions!$D$15),Assumptions!$B$12*DCF_Base!$L$19)/(1+$A20)^10+Assumptions!$B$9)/Assumptions!$B$10</f>
        <v>3380.42249107634</v>
      </c>
    </row>
    <row r="21" customFormat="false" ht="15" hidden="false" customHeight="true" outlineLevel="0" collapsed="false">
      <c r="A21" s="18" t="n">
        <v>0.105</v>
      </c>
      <c r="B21" s="26" t="n">
        <f aca="false">(SUMPRODUCT(DCF_Base!$C$19:$L$19/(1+$A21)^DCF_Base!$C$4:$L$4)+MIN(DCF_Base!$L$19*(1+Assumptions!$D$15)/($A21-Assumptions!$D$15),Assumptions!$B$12*DCF_Base!$L$19)/(1+$A21)^10+Assumptions!$B$9)/Assumptions!$B$10</f>
        <v>3251.89846028984</v>
      </c>
    </row>
    <row r="22" customFormat="false" ht="15" hidden="false" customHeight="true" outlineLevel="0" collapsed="false">
      <c r="A22" s="18" t="n">
        <v>0.11</v>
      </c>
      <c r="B22" s="26" t="n">
        <f aca="false">(SUMPRODUCT(DCF_Base!$C$19:$L$19/(1+$A22)^DCF_Base!$C$4:$L$4)+MIN(DCF_Base!$L$19*(1+Assumptions!$D$15)/($A22-Assumptions!$D$15),Assumptions!$B$12*DCF_Base!$L$19)/(1+$A22)^10+Assumptions!$B$9)/Assumptions!$B$10</f>
        <v>3135.78218244227</v>
      </c>
    </row>
    <row r="23" customFormat="false" ht="15" hidden="false" customHeight="true" outlineLevel="0" collapsed="false">
      <c r="A23" s="18" t="n">
        <v>0.12</v>
      </c>
      <c r="B23" s="26" t="n">
        <f aca="false">(SUMPRODUCT(DCF_Base!$C$19:$L$19/(1+$A23)^DCF_Base!$C$4:$L$4)+MIN(DCF_Base!$L$19*(1+Assumptions!$D$15)/($A23-Assumptions!$D$15),Assumptions!$B$12*DCF_Base!$L$19)/(1+$A23)^10+Assumptions!$B$9)/Assumptions!$B$10</f>
        <v>2934.28243268618</v>
      </c>
    </row>
    <row r="24" customFormat="false" ht="15" hidden="false" customHeight="true" outlineLevel="0" collapsed="false">
      <c r="A24" s="18" t="n">
        <v>0.15</v>
      </c>
      <c r="B24" s="26" t="n">
        <f aca="false">(SUMPRODUCT(DCF_Base!$C$19:$L$19/(1+$A24)^DCF_Base!$C$4:$L$4)+MIN(DCF_Base!$L$19*(1+Assumptions!$D$15)/($A24-Assumptions!$D$15),Assumptions!$B$12*DCF_Base!$L$19)/(1+$A24)^10+Assumptions!$B$9)/Assumptions!$B$10</f>
        <v>2499.12303967343</v>
      </c>
    </row>
    <row r="25" customFormat="false" ht="15" hidden="false" customHeight="true" outlineLevel="0" collapsed="false">
      <c r="A25" s="3" t="s">
        <v>112</v>
      </c>
      <c r="B25" s="26" t="n">
        <f aca="false">(SUMPRODUCT(DCF_Bear!$C$19:$L$19/(1+0.15)^DCF_Bear!$C$4:$L$4)+MIN(DCF_Bear!$L$19*(1+Assumptions!$C$15)/(0.15-Assumptions!$C$15),Assumptions!$B$12*DCF_Bear!$L$19)/(1+0.15)^10+Assumptions!$B$9)/Assumptions!$B$10</f>
        <v>1377.92773668318</v>
      </c>
      <c r="C25" s="26" t="n">
        <f aca="false">(SUMPRODUCT(DCF_Base!$C$19:$L$19/(1+0.15)^DCF_Base!$C$4:$L$4)+MIN(DCF_Base!$L$19*(1+Assumptions!$D$15)/(0.15-Assumptions!$D$15),Assumptions!$B$12*DCF_Base!$L$19)/(1+0.15)^10+Assumptions!$B$9)/Assumptions!$B$10</f>
        <v>2499.12303967343</v>
      </c>
      <c r="D25" s="26" t="n">
        <f aca="false">(SUMPRODUCT(DCF_Bull!$C$19:$L$19/(1+0.15)^DCF_Bull!$C$4:$L$4)+MIN(DCF_Bull!$L$19*(1+Assumptions!$E$15)/(0.15-Assumptions!$E$15),Assumptions!$B$12*DCF_Bull!$L$19)/(1+0.15)^10+Assumptions!$B$9)/Assumptions!$B$10</f>
        <v>3154.38326530824</v>
      </c>
      <c r="E25" s="25" t="n">
        <f aca="false">SUMPRODUCT(B25:D25,$B$7:$D$7)</f>
        <v>2560.28482319707</v>
      </c>
      <c r="G25" s="6" t="s">
        <v>113</v>
      </c>
    </row>
    <row r="26" customFormat="false" ht="15" hidden="false" customHeight="true" outlineLevel="0" collapsed="false">
      <c r="A26" s="3" t="s">
        <v>114</v>
      </c>
      <c r="B26" s="26" t="n">
        <f aca="false">B25+(SUMPRODUCT(-DCF_Bear!$C$10:$L$10/(1+0.15)^DCF_Bear!$C$4:$L$4)+(-DCF_Bear!$L$10*(1+Assumptions!$C$15)/(0.15-Assumptions!$C$15))/(1+0.15)^10)/Assumptions!$B$10</f>
        <v>1377.92773668318</v>
      </c>
      <c r="C26" s="26" t="n">
        <f aca="false">C25+(SUMPRODUCT(-DCF_Base!$C$10:$L$10/(1+0.15)^DCF_Base!$C$4:$L$4)+(-DCF_Base!$L$10*(1+Assumptions!$D$15)/(0.15-Assumptions!$D$15))/(1+0.15)^10)/Assumptions!$B$10</f>
        <v>2499.12303967343</v>
      </c>
      <c r="D26" s="26" t="n">
        <f aca="false">D25+(SUMPRODUCT(-DCF_Bull!$C$10:$L$10/(1+0.15)^DCF_Bull!$C$4:$L$4)+(-DCF_Bull!$L$10*(1+Assumptions!$E$15)/(0.15-Assumptions!$E$15))/(1+0.15)^10)/Assumptions!$B$10</f>
        <v>3154.38326530824</v>
      </c>
      <c r="E26" s="26" t="n">
        <f aca="false">SUMPRODUCT(B26:D26,$B$7:$D$7)</f>
        <v>2560.28482319707</v>
      </c>
    </row>
    <row r="28" customFormat="false" ht="15" hidden="false" customHeight="true" outlineLevel="0" collapsed="false">
      <c r="A28" s="5" t="s">
        <v>115</v>
      </c>
    </row>
    <row r="29" customFormat="false" ht="15" hidden="false" customHeight="true" outlineLevel="0" collapsed="false">
      <c r="A29" s="12" t="s">
        <v>116</v>
      </c>
      <c r="B29" s="28" t="n">
        <v>0</v>
      </c>
      <c r="C29" s="28" t="n">
        <v>0.005</v>
      </c>
      <c r="D29" s="28" t="n">
        <v>0.01</v>
      </c>
      <c r="E29" s="28" t="n">
        <v>0.015</v>
      </c>
      <c r="F29" s="28" t="n">
        <v>0.02</v>
      </c>
    </row>
    <row r="30" customFormat="false" ht="15" hidden="false" customHeight="true" outlineLevel="0" collapsed="false">
      <c r="A30" s="28" t="n">
        <v>0.095</v>
      </c>
      <c r="B30" s="26" t="n">
        <f aca="false">IF($A30&gt;B$29,(SUMPRODUCT(DCF_Base!$C$19:$L$19/(1+$A30)^DCF_Base!$C$4:$L$4)+MIN(DCF_Base!$L$19*(1+B$29)/($A30-B$29),Assumptions!$B$12*DCF_Base!$L$19)/(1+$A30)^10+Assumptions!$B$9)/Assumptions!$B$10,"n/a")</f>
        <v>3456.3134352977</v>
      </c>
      <c r="C30" s="26" t="n">
        <f aca="false">IF($A30&gt;C$29,(SUMPRODUCT(DCF_Base!$C$19:$L$19/(1+$A30)^DCF_Base!$C$4:$L$4)+MIN(DCF_Base!$L$19*(1+C$29)/($A30-C$29),Assumptions!$B$12*DCF_Base!$L$19)/(1+$A30)^10+Assumptions!$B$9)/Assumptions!$B$10,"n/a")</f>
        <v>3523.42785915446</v>
      </c>
      <c r="D30" s="26" t="n">
        <f aca="false">IF($A30&gt;D$29,(SUMPRODUCT(DCF_Base!$C$19:$L$19/(1+$A30)^DCF_Base!$C$4:$L$4)+MIN(DCF_Base!$L$19*(1+D$29)/($A30-D$29),Assumptions!$B$12*DCF_Base!$L$19)/(1+$A30)^10+Assumptions!$B$9)/Assumptions!$B$10,"n/a")</f>
        <v>3598.43809758261</v>
      </c>
      <c r="E30" s="26" t="n">
        <f aca="false">IF($A30&gt;E$29,(SUMPRODUCT(DCF_Base!$C$19:$L$19/(1+$A30)^DCF_Base!$C$4:$L$4)+MIN(DCF_Base!$L$19*(1+E$29)/($A30-E$29),Assumptions!$B$12*DCF_Base!$L$19)/(1+$A30)^10+Assumptions!$B$9)/Assumptions!$B$10,"n/a")</f>
        <v>3682.82461581428</v>
      </c>
      <c r="F30" s="26" t="n">
        <f aca="false">IF($A30&gt;F$29,(SUMPRODUCT(DCF_Base!$C$19:$L$19/(1+$A30)^DCF_Base!$C$4:$L$4)+MIN(DCF_Base!$L$19*(1+F$29)/($A30-F$29),Assumptions!$B$12*DCF_Base!$L$19)/(1+$A30)^10+Assumptions!$B$9)/Assumptions!$B$10,"n/a")</f>
        <v>3778.46266981017</v>
      </c>
    </row>
    <row r="31" customFormat="false" ht="15" hidden="false" customHeight="true" outlineLevel="0" collapsed="false">
      <c r="A31" s="28" t="n">
        <v>0.1</v>
      </c>
      <c r="B31" s="26" t="n">
        <f aca="false">IF($A31&gt;B$29,(SUMPRODUCT(DCF_Base!$C$19:$L$19/(1+$A31)^DCF_Base!$C$4:$L$4)+MIN(DCF_Base!$L$19*(1+B$29)/($A31-B$29),Assumptions!$B$12*DCF_Base!$L$19)/(1+$A31)^10+Assumptions!$B$9)/Assumptions!$B$10,"n/a")</f>
        <v>3322.44608610115</v>
      </c>
      <c r="C31" s="26" t="n">
        <f aca="false">IF($A31&gt;C$29,(SUMPRODUCT(DCF_Base!$C$19:$L$19/(1+$A31)^DCF_Base!$C$4:$L$4)+MIN(DCF_Base!$L$19*(1+C$29)/($A31-C$29),Assumptions!$B$12*DCF_Base!$L$19)/(1+$A31)^10+Assumptions!$B$9)/Assumptions!$B$10,"n/a")</f>
        <v>3380.42249107634</v>
      </c>
      <c r="D31" s="26" t="n">
        <f aca="false">IF($A31&gt;D$29,(SUMPRODUCT(DCF_Base!$C$19:$L$19/(1+$A31)^DCF_Base!$C$4:$L$4)+MIN(DCF_Base!$L$19*(1+D$29)/($A31-D$29),Assumptions!$B$12*DCF_Base!$L$19)/(1+$A31)^10+Assumptions!$B$9)/Assumptions!$B$10,"n/a")</f>
        <v>3444.84071882655</v>
      </c>
      <c r="E31" s="26" t="n">
        <f aca="false">IF($A31&gt;E$29,(SUMPRODUCT(DCF_Base!$C$19:$L$19/(1+$A31)^DCF_Base!$C$4:$L$4)+MIN(DCF_Base!$L$19*(1+E$29)/($A31-E$29),Assumptions!$B$12*DCF_Base!$L$19)/(1+$A31)^10+Assumptions!$B$9)/Assumptions!$B$10,"n/a")</f>
        <v>3516.8375616062</v>
      </c>
      <c r="F31" s="26" t="n">
        <f aca="false">IF($A31&gt;F$29,(SUMPRODUCT(DCF_Base!$C$19:$L$19/(1+$A31)^DCF_Base!$C$4:$L$4)+MIN(DCF_Base!$L$19*(1+F$29)/($A31-F$29),Assumptions!$B$12*DCF_Base!$L$19)/(1+$A31)^10+Assumptions!$B$9)/Assumptions!$B$10,"n/a")</f>
        <v>3597.8340097333</v>
      </c>
    </row>
    <row r="32" customFormat="false" ht="15" hidden="false" customHeight="true" outlineLevel="0" collapsed="false">
      <c r="A32" s="28" t="n">
        <v>0.105</v>
      </c>
      <c r="B32" s="26" t="n">
        <f aca="false">IF($A32&gt;B$29,(SUMPRODUCT(DCF_Base!$C$19:$L$19/(1+$A32)^DCF_Base!$C$4:$L$4)+MIN(DCF_Base!$L$19*(1+B$29)/($A32-B$29),Assumptions!$B$12*DCF_Base!$L$19)/(1+$A32)^10+Assumptions!$B$9)/Assumptions!$B$10,"n/a")</f>
        <v>3201.54152949819</v>
      </c>
      <c r="C32" s="26" t="n">
        <f aca="false">IF($A32&gt;C$29,(SUMPRODUCT(DCF_Base!$C$19:$L$19/(1+$A32)^DCF_Base!$C$4:$L$4)+MIN(DCF_Base!$L$19*(1+C$29)/($A32-C$29),Assumptions!$B$12*DCF_Base!$L$19)/(1+$A32)^10+Assumptions!$B$9)/Assumptions!$B$10,"n/a")</f>
        <v>3251.89846028984</v>
      </c>
      <c r="D32" s="26" t="n">
        <f aca="false">IF($A32&gt;D$29,(SUMPRODUCT(DCF_Base!$C$19:$L$19/(1+$A32)^DCF_Base!$C$4:$L$4)+MIN(DCF_Base!$L$19*(1+D$29)/($A32-D$29),Assumptions!$B$12*DCF_Base!$L$19)/(1+$A32)^10+Assumptions!$B$9)/Assumptions!$B$10,"n/a")</f>
        <v>3307.5561206385</v>
      </c>
      <c r="E32" s="26" t="n">
        <f aca="false">IF($A32&gt;E$29,(SUMPRODUCT(DCF_Base!$C$19:$L$19/(1+$A32)^DCF_Base!$C$4:$L$4)+MIN(DCF_Base!$L$19*(1+E$29)/($A32-E$29),Assumptions!$B$12*DCF_Base!$L$19)/(1+$A32)^10+Assumptions!$B$9)/Assumptions!$B$10,"n/a")</f>
        <v>3369.39796547034</v>
      </c>
      <c r="F32" s="26" t="n">
        <f aca="false">IF($A32&gt;F$29,(SUMPRODUCT(DCF_Base!$C$19:$L$19/(1+$A32)^DCF_Base!$C$4:$L$4)+MIN(DCF_Base!$L$19*(1+F$29)/($A32-F$29),Assumptions!$B$12*DCF_Base!$L$19)/(1+$A32)^10+Assumptions!$B$9)/Assumptions!$B$10,"n/a")</f>
        <v>3438.51532145887</v>
      </c>
    </row>
    <row r="33" customFormat="false" ht="15" hidden="false" customHeight="true" outlineLevel="0" collapsed="false">
      <c r="A33" s="28" t="n">
        <v>0.11</v>
      </c>
      <c r="B33" s="26" t="n">
        <f aca="false">IF($A33&gt;B$29,(SUMPRODUCT(DCF_Base!$C$19:$L$19/(1+$A33)^DCF_Base!$C$4:$L$4)+MIN(DCF_Base!$L$19*(1+B$29)/($A33-B$29),Assumptions!$B$12*DCF_Base!$L$19)/(1+$A33)^10+Assumptions!$B$9)/Assumptions!$B$10,"n/a")</f>
        <v>3091.82597033741</v>
      </c>
      <c r="C33" s="26" t="n">
        <f aca="false">IF($A33&gt;C$29,(SUMPRODUCT(DCF_Base!$C$19:$L$19/(1+$A33)^DCF_Base!$C$4:$L$4)+MIN(DCF_Base!$L$19*(1+C$29)/($A33-C$29),Assumptions!$B$12*DCF_Base!$L$19)/(1+$A33)^10+Assumptions!$B$9)/Assumptions!$B$10,"n/a")</f>
        <v>3135.78218244227</v>
      </c>
      <c r="D33" s="26" t="n">
        <f aca="false">IF($A33&gt;D$29,(SUMPRODUCT(DCF_Base!$C$19:$L$19/(1+$A33)^DCF_Base!$C$4:$L$4)+MIN(DCF_Base!$L$19*(1+D$29)/($A33-D$29),Assumptions!$B$12*DCF_Base!$L$19)/(1+$A33)^10+Assumptions!$B$9)/Assumptions!$B$10,"n/a")</f>
        <v>3184.13401575761</v>
      </c>
      <c r="E33" s="26" t="n">
        <f aca="false">IF($A33&gt;E$29,(SUMPRODUCT(DCF_Base!$C$19:$L$19/(1+$A33)^DCF_Base!$C$4:$L$4)+MIN(DCF_Base!$L$19*(1+E$29)/($A33-E$29),Assumptions!$B$12*DCF_Base!$L$19)/(1+$A33)^10+Assumptions!$B$9)/Assumptions!$B$10,"n/a")</f>
        <v>3237.57551573772</v>
      </c>
      <c r="F33" s="26" t="n">
        <f aca="false">IF($A33&gt;F$29,(SUMPRODUCT(DCF_Base!$C$19:$L$19/(1+$A33)^DCF_Base!$C$4:$L$4)+MIN(DCF_Base!$L$19*(1+F$29)/($A33-F$29),Assumptions!$B$12*DCF_Base!$L$19)/(1+$A33)^10+Assumptions!$B$9)/Assumptions!$B$10,"n/a")</f>
        <v>3296.95496016007</v>
      </c>
    </row>
    <row r="34" customFormat="false" ht="15" hidden="false" customHeight="true" outlineLevel="0" collapsed="false">
      <c r="A34" s="28" t="n">
        <v>0.115</v>
      </c>
      <c r="B34" s="26" t="n">
        <f aca="false">IF($A34&gt;B$29,(SUMPRODUCT(DCF_Base!$C$19:$L$19/(1+$A34)^DCF_Base!$C$4:$L$4)+MIN(DCF_Base!$L$19*(1+B$29)/($A34-B$29),Assumptions!$B$12*DCF_Base!$L$19)/(1+$A34)^10+Assumptions!$B$9)/Assumptions!$B$10,"n/a")</f>
        <v>2991.83432080141</v>
      </c>
      <c r="C34" s="26" t="n">
        <f aca="false">IF($A34&gt;C$29,(SUMPRODUCT(DCF_Base!$C$19:$L$19/(1+$A34)^DCF_Base!$C$4:$L$4)+MIN(DCF_Base!$L$19*(1+C$29)/($A34-C$29),Assumptions!$B$12*DCF_Base!$L$19)/(1+$A34)^10+Assumptions!$B$9)/Assumptions!$B$10,"n/a")</f>
        <v>3030.37725039522</v>
      </c>
      <c r="D34" s="26" t="n">
        <f aca="false">IF($A34&gt;D$29,(SUMPRODUCT(DCF_Base!$C$19:$L$19/(1+$A34)^DCF_Base!$C$4:$L$4)+MIN(DCF_Base!$L$19*(1+D$29)/($A34-D$29),Assumptions!$B$12*DCF_Base!$L$19)/(1+$A34)^10+Assumptions!$B$9)/Assumptions!$B$10,"n/a")</f>
        <v>3072.59093518845</v>
      </c>
      <c r="E34" s="26" t="n">
        <f aca="false">IF($A34&gt;E$29,(SUMPRODUCT(DCF_Base!$C$19:$L$19/(1+$A34)^DCF_Base!$C$4:$L$4)+MIN(DCF_Base!$L$19*(1+E$29)/($A34-E$29),Assumptions!$B$12*DCF_Base!$L$19)/(1+$A34)^10+Assumptions!$B$9)/Assumptions!$B$10,"n/a")</f>
        <v>3119.02598846099</v>
      </c>
      <c r="F34" s="26" t="n">
        <f aca="false">IF($A34&gt;F$29,(SUMPRODUCT(DCF_Base!$C$19:$L$19/(1+$A34)^DCF_Base!$C$4:$L$4)+MIN(DCF_Base!$L$19*(1+F$29)/($A34-F$29),Assumptions!$B$12*DCF_Base!$L$19)/(1+$A34)^10+Assumptions!$B$9)/Assumptions!$B$10,"n/a")</f>
        <v>3170.34894207801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2026-08-14T04:43:10Z</dcterms:created>
  <dc:creator>openpyxl</dc:creator>
  <dc:description/>
  <dc:language>en-US</dc:language>
  <cp:lastModifiedBy/>
  <dcterms:modified xsi:type="dcterms:W3CDTF">2026-08-14T04:44:36Z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