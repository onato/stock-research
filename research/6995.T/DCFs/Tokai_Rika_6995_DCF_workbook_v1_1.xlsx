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Reconciliation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<sst xmlns="http://schemas.openxmlformats.org/spreadsheetml/2006/main" count="253" uniqueCount="140">
  <si>
    <t xml:space="preserve">TOKAI RIKA (6995.T) - DCF MODEL</t>
  </si>
  <si>
    <t xml:space="preserve">Lineage</t>
  </si>
  <si>
    <t xml:space="preserve">v1.1, built 14-Aug-2026 by Claude (Fable 5) with Stephen via claude.ai. SUPERSEDES v1.0 (same date). Full stress-test rebuild against the FY2026 tanshin plus the FY2017-FY2026 filing archive (both uploaded this session). UNLIKE Boshoku v1.3, this audit moved the valuation UP: both prior models materially understated the asset side of the bridge.</t>
  </si>
  <si>
    <t xml:space="preserve">DATA VINTAGE</t>
  </si>
  <si>
    <t xml:space="preserve">FY0 anchors + data integrity</t>
  </si>
  <si>
    <t xml:space="preserve">Tanshin 15-May-26 (J-GAAP, English). Restatement quantified against original filings: FY23/FY24 OP identical, FY25 OP -0.5% (35,439-&gt;35,270), net trimmed -0.2% to -6.3% (FY25 27,808-&gt;26,047). User CSV verified as post-restatement. NCI profit share 6.9% FY26 / 6.4% FY25.</t>
  </si>
  <si>
    <t xml:space="preserve">FY1 guidance</t>
  </si>
  <si>
    <t xml:space="preserve">FY Mar-27 guide: sales 650,000 (+0.8%), OP 30,000 (-15.8%), net 20,000 (-32%); dividend Y120 under an explicit DOE 3% policy. Q1 (30-Jul): OP margin 4.6%, guidance MAINTAINED, progress 26.9% vs 5-yr avg 29.8%.</t>
  </si>
  <si>
    <t xml:space="preserve">Balance sheet / shares / price</t>
  </si>
  <si>
    <t xml:space="preserve">All bridge items from the tanshin BS. ONE judgment estimate remains (pension-surplus 50% realizability haircut, yellow). Confirm marketable-securities composition in the yuho filed 9-Jun-26.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</si>
  <si>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</si>
  <si>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</si>
  <si>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combined leakage held flat at 35.8% (= 31% Japan cash tax x 6.9% NCI share; flows attributable-only, NCI stock NOT deducted again); D&amp;A and capex as % of revenue; working capital = 0% of the YoY revenue increase (set for this business model); diluted shares held FLAT (SBC expensing substitutes for grant dilution; never do both). TV = Gordon capped at 20x terminal owner FCF. End-of-year discounting. WACC 9.0%. Street-convention values (SBC as non-cash) shown as memos - the house/street pair is the accounting-regime price band.</t>
  </si>
  <si>
    <t xml:space="preserve">Scenario drivers</t>
  </si>
  <si>
    <t xml:space="preserve">Margin and growth paths carried from v1.0 (year 1 independently validated by guidance and Q1 actuals). Three evidence-driven changes: (1) leakage 31% -&gt; 35.8% (= 31% cash tax x 6.9% NCI; v1.0 wrongly assumed NCI nil); (2) capex 4.8% -&gt; 4.3% (10-yr filing history: range 2.8-5.5%, mean ~4.2%; FY26's 5.5% is a cyclical peak - adopts the third-party model's taper evidence as a flat equivalent); (3) weights 20/50/30 vs default 15/50/35 for the governance overhang - PROPOSED, restore via yellow cells. Takeover premium EXCLUDED. A no-re-rate memo value (TV capped at the 10-yr avg EV/EBITDA of 2.66x, the third-party model's discipline) sits below the sensitivity grid.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</si>
  <si>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</si>
  <si>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</si>
  <si>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</si>
  <si>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</si>
  <si>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</si>
  <si>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RECONCILIATION - prior versions vs this file</t>
  </si>
  <si>
    <t xml:space="preserve">Model</t>
  </si>
  <si>
    <t xml:space="preserve">Bear</t>
  </si>
  <si>
    <t xml:space="preserve">Base</t>
  </si>
  <si>
    <t xml:space="preserve">Bull</t>
  </si>
  <si>
    <t xml:space="preserve">Weighted</t>
  </si>
  <si>
    <t xml:space="preserve">Notes</t>
  </si>
  <si>
    <t xml:space="preserve">v1.0 house engine (14-Aug, at Y3,025)</t>
  </si>
  <si>
    <t xml:space="preserve">bridge understated (missed 36.9bn marketable sec, 18.1bn investment sec, pension surplus); NCI wrongly nil; capex over-punitive</t>
  </si>
  <si>
    <t xml:space="preserve">User 6995_T_DCF_Model.xlsx (14-Aug, at Y3,040)</t>
  </si>
  <si>
    <t xml:space="preserve">single scenario shown in all columns; own pitfall-15 (stripped div income, bridged cash only); year-10 share division +5%; corrected ~3,323</t>
  </si>
  <si>
    <t xml:space="preserve">This file (live)</t>
  </si>
  <si>
    <t xml:space="preserve">Bridge (approximate ¥/share; live cells are authoritative)</t>
  </si>
  <si>
    <t xml:space="preserve">v1.0 weighted per share</t>
  </si>
  <si>
    <t xml:space="preserve">prior version same day</t>
  </si>
  <si>
    <t xml:space="preserve">Bridge rebuilt from tanshin BS (+marketable sec, +investment sec, +pension credit)</t>
  </si>
  <si>
    <t xml:space="preserve">+56,020/85.1m; pension credit is the yellow judgment</t>
  </si>
  <si>
    <t xml:space="preserve">Leakage 31% -&gt; 35.8% (explicit NCI)</t>
  </si>
  <si>
    <t xml:space="preserve">approximate</t>
  </si>
  <si>
    <t xml:space="preserve">Capex 4.8% -&gt; 4.3% (10-yr evidence)</t>
  </si>
  <si>
    <t xml:space="preserve">Weights 15/50/35 -&gt; 20/50/30 (governance)</t>
  </si>
  <si>
    <t xml:space="preserve">proposed; restore via yellow cells</t>
  </si>
  <si>
    <t xml:space="preserve">Interaction effects (capex x growth x leakage)</t>
  </si>
  <si>
    <t xml:space="preserve">residual to tie; live cells authoritative</t>
  </si>
  <si>
    <t xml:space="preserve">v1.1 weighted per share</t>
  </si>
  <si>
    <t xml:space="preserve">approximate - live Valuation tab authoritative; tied after build</t>
  </si>
  <si>
    <t xml:space="preserve">6995.T - Global Assumptions &amp; Scenario Parameters</t>
  </si>
  <si>
    <t xml:space="preserve">Blue = hardcoded input. Yellow = key levers. All ¥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</si>
  <si>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</si>
  <si>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</si>
  <si>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</si>
  <si>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</si>
  <si>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</si>
  <si>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</si>
  <si>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(¥mm)</t>
  </si>
  <si>
    <t xml:space="preserve">ITEMIZED (tanshin BS 31-Mar-26): cash+deposits 80,905 + current marketable securities 36,881 (cash-like) + investment securities 18,051 (14.5bn cross-holdings SOLD in FY26) + pension surplus credit est 16,000 (net DB asset 46,574 gross, ~32,100 after tax, 50% realizability haircut - YELLOW judgment, range 0-32,100) - bonds 10,000 - lease liabilities 2,060. J-GAAP: no IFRS-16 adjustment</t>
  </si>
  <si>
    <t xml:space="preserve">Fully diluted shares (mm)</t>
  </si>
  <si>
    <t xml:space="preserve">89,234,171 issued - 4,126,002 treasury = 85.11m at 31-Mar-26 (tanshin); held flat</t>
  </si>
  <si>
    <t xml:space="preserve">Current share price</t>
  </si>
  <si>
    <t xml:space="preserve">14-Aug-26 (user's third-party model, live Yahoo quote); refresh at next TSE close</t>
  </si>
  <si>
    <t xml:space="preserve">Terminal value cap (x terminal-year owner FCF)</t>
  </si>
  <si>
    <t xml:space="preserve">Scenario parameters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</si>
  <si>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</si>
  <si>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</si>
  <si>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</si>
  <si>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</si>
  <si>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bZ-shock switch/HMI share loss compounds and decontenting outruns digital-key gains; margins round-trip toward the FY22-23 trough. Weight RAISED 15-&gt;20 for the ICFR material weakness / restatement overhang (house default 15 - restore via yellow cell if you disagree). Note the restatement itself did NOT touch operating profit - the raise prices control risk, not fake earnings.</t>
  </si>
  <si>
    <t xml:space="preserve">Year 1 = guided dip (OP 30bn / 4.6%; Q1 ran exactly 4.6% with guidance maintained 30-Jul), then recovery to FY25-26 margins and hold. Growth 2%/yr vs guided +0.8% (Q1 revenue +8.8%). DOE 3% dividend policy (Y120 FY27, 51% payout) and continuing cross-holding sales support the floor.</t>
  </si>
  <si>
    <t xml:space="preserve">Content growth (digital key, e-latch, steering HMI, security) outruns decontenting; OP pushes past 7% toward the TRV2030 ambition; buybacks + DOE 3% + cross-holding sales keep shrinking the discount. Weight 30 (from default 35, offsetting the bear raise).</t>
  </si>
  <si>
    <t xml:space="preserve">6995.T DCF - Bear - content loss; governance overhang persists</t>
  </si>
  <si>
    <t xml:space="preserve">Owner-FCF basis: SBC fully expensed, interest income excluded, share count flat. Blue rows = per-year drivers (edit).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</si>
  <si>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</si>
  <si>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</si>
  <si>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</si>
  <si>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</si>
  <si>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</si>
  <si>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</si>
  <si>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</si>
  <si>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</si>
  <si>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</si>
  <si>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</si>
  <si>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</si>
  <si>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</si>
  <si>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</si>
  <si>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</si>
  <si>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</si>
  <si>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</si>
  <si>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</si>
  <si>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</si>
  <si>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</si>
  <si>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</si>
  <si>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</si>
  <si>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</si>
  <si>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</si>
  <si>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</si>
  <si>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</si>
  <si>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</si>
  <si>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</si>
  <si>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</si>
  <si>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</si>
  <si>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</si>
  <si>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</si>
  <si>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</si>
  <si>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</si>
  <si>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</si>
  <si>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</si>
  <si>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</si>
  <si>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two, floored at 0)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</si>
  <si>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</si>
  <si>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</si>
  <si>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</si>
  <si>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</si>
  <si>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</si>
  <si>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</si>
  <si>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</si>
  <si>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</si>
  <si>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</si>
  <si>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</si>
  <si>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6995.T DCF - Base - guided FY27 dip then normalisation; DOE 3% floor</t>
  </si>
  <si>
    <t xml:space="preserve">6995.T DCF - Bull - digital-key/HMI content compounds toward TRV2030</t>
  </si>
  <si>
    <t xml:space="preserve">6995.T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</si>
  <si>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</si>
  <si>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</si>
  <si>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</si>
  <si>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</si>
  <si>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</si>
  <si>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</si>
  <si>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</si>
  <si>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</si>
  <si>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</si>
  <si>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</si>
  <si>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</si>
  <si>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</si>
  <si>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</si>
  <si>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</si>
  <si>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</si>
  <si>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</si>
  <si>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</si>
  <si>
    <t xml:space="preserve">Memo: base value with TV capped at 10-yr avg EV/EBITDA 2.66x (no-re-rate reference)</t>
  </si>
  <si>
    <t xml:space="preserve">Third-party model's discipline: the stock has never traded above ~3.1x EV/EBITDA in a decade; the gap to the house value is the price of the re-rating thesis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</si>
</sst>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¥#,##0.00;&quot;(¥&quot;#,##0.00\);\-"/>
    <numFmt numFmtId="166" formatCode="0.0%"/>
    <numFmt numFmtId="167" formatCode="\¥#,##0.0;&quot;(¥&quot;#,##0.0\);\-"/>
    <numFmt numFmtId="168" formatCode="#,##0.0"/>
    <numFmt numFmtId="169" formatCode="0\x"/>
    <numFmt numFmtId="170" formatCode="\¥#,##0;&quot;(¥&quot;#,##0\);\-"/>
    <numFmt numFmtId="171" formatCode="0.000"/>
    <numFmt numFmtId="172" formatCode="0.0\x"/>
    <numFmt numFmtId="173" formatCode="\¥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2"/>
  </cols>
  <sheetData>
    <row r="1" customFormat="false" ht="15.75" hidden="false" customHeight="true" outlineLevel="0" collapsed="false">
      <c r="A1" s="2" t="s">
        <v>0</v>
      </c>
    </row>
    <row r="3" customFormat="false" ht="32.2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5" t="s">
        <v>3</v>
      </c>
    </row>
    <row r="6" customFormat="false" ht="21.75" hidden="false" customHeight="true" outlineLevel="0" collapsed="false">
      <c r="A6" s="3" t="s">
        <v>4</v>
      </c>
      <c r="B6" s="4" t="s">
        <v>5</v>
      </c>
    </row>
    <row r="7" customFormat="false" ht="21.75" hidden="false" customHeight="true" outlineLevel="0" collapsed="false">
      <c r="A7" s="3" t="s">
        <v>6</v>
      </c>
      <c r="B7" s="4" t="s">
        <v>7</v>
      </c>
    </row>
    <row r="8" customFormat="false" ht="21.75" hidden="false" customHeight="true" outlineLevel="0" collapsed="false">
      <c r="A8" s="3" t="s">
        <v>8</v>
      </c>
      <c r="B8" s="4" t="s">
        <v>9</v>
      </c>
    </row>
    <row r="10" customFormat="false" ht="15" hidden="false" customHeight="true" outlineLevel="0" collapsed="false">
      <c r="A10" s="5" t="s">
        <v>10</v>
      </c>
    </row>
    <row r="11" customFormat="false" ht="63.75" hidden="false" customHeight="true" outlineLevel="0" collapsed="false">
      <c r="A11" s="3" t="s">
        <v>11</v>
      </c>
      <c r="B11" s="4" t="s">
        <v>12</v>
      </c>
    </row>
    <row r="12" customFormat="false" ht="53.25" hidden="false" customHeight="true" outlineLevel="0" collapsed="false">
      <c r="A12" s="3" t="s">
        <v>13</v>
      </c>
      <c r="B12" s="4" t="s">
        <v>14</v>
      </c>
    </row>
    <row r="14" customFormat="false" ht="15" hidden="false" customHeight="true" outlineLevel="0" collapsed="false">
      <c r="A14" s="5" t="s">
        <v>15</v>
      </c>
    </row>
    <row r="15" customFormat="false" ht="21.75" hidden="false" customHeight="true" outlineLevel="0" collapsed="false">
      <c r="A15" s="3" t="s">
        <v>16</v>
      </c>
      <c r="B15" s="4" t="s">
        <v>17</v>
      </c>
    </row>
    <row r="16" customFormat="false" ht="15" hidden="false" customHeight="true" outlineLevel="0" collapsed="false">
      <c r="A16" s="3" t="s">
        <v>18</v>
      </c>
      <c r="B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3"/>
    <col collapsed="false" customWidth="true" hidden="false" outlineLevel="0" max="6" min="6" style="1" width="74"/>
  </cols>
  <sheetData>
    <row r="1" customFormat="false" ht="15.75" hidden="false" customHeight="true" outlineLevel="0" collapsed="false">
      <c r="A1" s="2" t="s">
        <v>20</v>
      </c>
    </row>
    <row r="3" customFormat="false" ht="15" hidden="false" customHeight="tru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customFormat="false" ht="21.75" hidden="false" customHeight="true" outlineLevel="0" collapsed="false">
      <c r="A4" s="3" t="s">
        <v>27</v>
      </c>
      <c r="B4" s="7" t="n">
        <v>1536</v>
      </c>
      <c r="C4" s="7" t="n">
        <v>3683</v>
      </c>
      <c r="D4" s="7" t="n">
        <v>5038</v>
      </c>
      <c r="E4" s="7" t="n">
        <v>3836</v>
      </c>
      <c r="F4" s="4" t="s">
        <v>28</v>
      </c>
    </row>
    <row r="5" customFormat="false" ht="21.75" hidden="false" customHeight="true" outlineLevel="0" collapsed="false">
      <c r="A5" s="3" t="s">
        <v>29</v>
      </c>
      <c r="B5" s="7" t="n">
        <v>3493</v>
      </c>
      <c r="C5" s="7" t="n">
        <v>3493</v>
      </c>
      <c r="D5" s="7" t="n">
        <v>3493</v>
      </c>
      <c r="E5" s="7" t="n">
        <v>3493</v>
      </c>
      <c r="F5" s="4" t="s">
        <v>30</v>
      </c>
    </row>
    <row r="6" customFormat="false" ht="15" hidden="false" customHeight="true" outlineLevel="0" collapsed="false">
      <c r="A6" s="3" t="s">
        <v>31</v>
      </c>
      <c r="B6" s="8" t="n">
        <f aca="false">DCF_Bear!$B$38</f>
        <v>2475.81373747097</v>
      </c>
      <c r="C6" s="8" t="n">
        <f aca="false">DCF_Base!$B$38</f>
        <v>4558.4619136553</v>
      </c>
      <c r="D6" s="8" t="n">
        <f aca="false">DCF_Bull!$B$38</f>
        <v>5866.48223575389</v>
      </c>
      <c r="E6" s="9" t="n">
        <f aca="false">Valuation!$B$10</f>
        <v>4534.33837504801</v>
      </c>
    </row>
    <row r="8" customFormat="false" ht="15" hidden="false" customHeight="true" outlineLevel="0" collapsed="false">
      <c r="A8" s="5" t="s">
        <v>32</v>
      </c>
    </row>
    <row r="9" customFormat="false" ht="15" hidden="false" customHeight="true" outlineLevel="0" collapsed="false">
      <c r="A9" s="10" t="s">
        <v>33</v>
      </c>
      <c r="B9" s="7" t="n">
        <v>3836</v>
      </c>
      <c r="F9" s="11" t="s">
        <v>34</v>
      </c>
    </row>
    <row r="10" customFormat="false" ht="15" hidden="false" customHeight="true" outlineLevel="0" collapsed="false">
      <c r="A10" s="10" t="s">
        <v>35</v>
      </c>
      <c r="B10" s="7" t="n">
        <v>658</v>
      </c>
      <c r="F10" s="11" t="s">
        <v>36</v>
      </c>
    </row>
    <row r="11" customFormat="false" ht="15" hidden="false" customHeight="true" outlineLevel="0" collapsed="false">
      <c r="A11" s="10" t="s">
        <v>37</v>
      </c>
      <c r="B11" s="7" t="n">
        <v>-310</v>
      </c>
      <c r="F11" s="11" t="s">
        <v>38</v>
      </c>
    </row>
    <row r="12" customFormat="false" ht="15" hidden="false" customHeight="true" outlineLevel="0" collapsed="false">
      <c r="A12" s="10" t="s">
        <v>39</v>
      </c>
      <c r="B12" s="7" t="n">
        <v>410</v>
      </c>
      <c r="F12" s="11" t="s">
        <v>38</v>
      </c>
    </row>
    <row r="13" customFormat="false" ht="15" hidden="false" customHeight="true" outlineLevel="0" collapsed="false">
      <c r="A13" s="10" t="s">
        <v>40</v>
      </c>
      <c r="B13" s="7" t="n">
        <v>-170</v>
      </c>
      <c r="F13" s="11" t="s">
        <v>41</v>
      </c>
    </row>
    <row r="14" customFormat="false" ht="15" hidden="false" customHeight="true" outlineLevel="0" collapsed="false">
      <c r="A14" s="12" t="s">
        <v>42</v>
      </c>
      <c r="B14" s="13" t="n">
        <v>110</v>
      </c>
      <c r="C14" s="14" t="s">
        <v>43</v>
      </c>
    </row>
    <row r="15" customFormat="false" ht="15" hidden="false" customHeight="false" outlineLevel="0" collapsed="false">
      <c r="A15" s="10" t="s">
        <v>44</v>
      </c>
      <c r="B15" s="7" t="n">
        <v>4534</v>
      </c>
      <c r="F15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3"/>
    <col collapsed="false" customWidth="true" hidden="false" outlineLevel="0" max="8" min="8" style="1" width="62"/>
  </cols>
  <sheetData>
    <row r="1" customFormat="false" ht="15.75" hidden="false" customHeight="true" outlineLevel="0" collapsed="false">
      <c r="A1" s="2" t="s">
        <v>46</v>
      </c>
    </row>
    <row r="2" customFormat="false" ht="15" hidden="false" customHeight="true" outlineLevel="0" collapsed="false">
      <c r="A2" s="11" t="s">
        <v>47</v>
      </c>
    </row>
    <row r="4" customFormat="false" ht="15" hidden="false" customHeight="true" outlineLevel="0" collapsed="false">
      <c r="A4" s="5" t="s">
        <v>48</v>
      </c>
    </row>
    <row r="5" customFormat="false" ht="15" hidden="false" customHeight="true" outlineLevel="0" collapsed="false">
      <c r="A5" s="3" t="s">
        <v>49</v>
      </c>
      <c r="B5" s="15" t="n">
        <v>0.09</v>
      </c>
      <c r="H5" s="11"/>
    </row>
    <row r="6" customFormat="false" ht="15" hidden="false" customHeight="true" outlineLevel="0" collapsed="false">
      <c r="A6" s="3" t="s">
        <v>50</v>
      </c>
      <c r="B6" s="15" t="n">
        <v>0.036</v>
      </c>
      <c r="H6" s="11"/>
    </row>
    <row r="7" customFormat="false" ht="15" hidden="false" customHeight="true" outlineLevel="0" collapsed="false">
      <c r="A7" s="3" t="s">
        <v>51</v>
      </c>
      <c r="B7" s="15" t="n">
        <v>0.043</v>
      </c>
      <c r="H7" s="11"/>
    </row>
    <row r="8" customFormat="false" ht="15" hidden="false" customHeight="true" outlineLevel="0" collapsed="false">
      <c r="A8" s="3" t="s">
        <v>52</v>
      </c>
      <c r="B8" s="15" t="n">
        <v>0</v>
      </c>
      <c r="H8" s="11" t="s">
        <v>53</v>
      </c>
    </row>
    <row r="9" customFormat="false" ht="15" hidden="false" customHeight="true" outlineLevel="0" collapsed="false">
      <c r="A9" s="3" t="s">
        <v>54</v>
      </c>
      <c r="B9" s="16" t="n">
        <v>139777</v>
      </c>
      <c r="H9" s="11" t="s">
        <v>55</v>
      </c>
    </row>
    <row r="10" customFormat="false" ht="15" hidden="false" customHeight="true" outlineLevel="0" collapsed="false">
      <c r="A10" s="3" t="s">
        <v>56</v>
      </c>
      <c r="B10" s="17" t="n">
        <v>85.1</v>
      </c>
      <c r="H10" s="11" t="s">
        <v>57</v>
      </c>
    </row>
    <row r="11" customFormat="false" ht="15" hidden="false" customHeight="true" outlineLevel="0" collapsed="false">
      <c r="A11" s="3" t="s">
        <v>58</v>
      </c>
      <c r="B11" s="18" t="n">
        <v>3040</v>
      </c>
      <c r="H11" s="11" t="s">
        <v>59</v>
      </c>
    </row>
    <row r="12" customFormat="false" ht="15" hidden="false" customHeight="true" outlineLevel="0" collapsed="false">
      <c r="A12" s="3" t="s">
        <v>60</v>
      </c>
      <c r="B12" s="19" t="n">
        <v>20</v>
      </c>
      <c r="H12" s="11"/>
    </row>
    <row r="14" customFormat="false" ht="15" hidden="false" customHeight="true" outlineLevel="0" collapsed="false">
      <c r="A14" s="5" t="s">
        <v>61</v>
      </c>
      <c r="C14" s="6" t="s">
        <v>22</v>
      </c>
      <c r="D14" s="6" t="s">
        <v>23</v>
      </c>
      <c r="E14" s="6" t="s">
        <v>24</v>
      </c>
    </row>
    <row r="15" customFormat="false" ht="15" hidden="false" customHeight="true" outlineLevel="0" collapsed="false">
      <c r="A15" s="3" t="s">
        <v>62</v>
      </c>
      <c r="C15" s="15" t="n">
        <v>0</v>
      </c>
      <c r="D15" s="15" t="n">
        <v>0.005</v>
      </c>
      <c r="E15" s="15" t="n">
        <v>0.01</v>
      </c>
    </row>
    <row r="16" customFormat="false" ht="15" hidden="false" customHeight="true" outlineLevel="0" collapsed="false">
      <c r="A16" s="3" t="s">
        <v>63</v>
      </c>
      <c r="C16" s="15" t="n">
        <v>0.2</v>
      </c>
      <c r="D16" s="15" t="n">
        <v>0.5</v>
      </c>
      <c r="E16" s="15" t="n">
        <v>0.3</v>
      </c>
      <c r="F16" s="20" t="n">
        <f aca="false">SUM(C16:E16)</f>
        <v>1</v>
      </c>
      <c r="G16" s="11" t="s">
        <v>64</v>
      </c>
    </row>
    <row r="18" customFormat="false" ht="15" hidden="false" customHeight="true" outlineLevel="0" collapsed="false">
      <c r="A18" s="5" t="s">
        <v>65</v>
      </c>
    </row>
    <row r="19" customFormat="false" ht="25.5" hidden="false" customHeight="true" outlineLevel="0" collapsed="false">
      <c r="A19" s="3" t="s">
        <v>22</v>
      </c>
      <c r="B19" s="21" t="s">
        <v>66</v>
      </c>
      <c r="C19" s="21"/>
      <c r="D19" s="21"/>
      <c r="E19" s="21"/>
      <c r="F19" s="21"/>
      <c r="G19" s="21"/>
      <c r="H19" s="21"/>
    </row>
    <row r="20" customFormat="false" ht="25.5" hidden="false" customHeight="true" outlineLevel="0" collapsed="false">
      <c r="A20" s="3" t="s">
        <v>23</v>
      </c>
      <c r="B20" s="21" t="s">
        <v>67</v>
      </c>
      <c r="C20" s="21"/>
      <c r="D20" s="21"/>
      <c r="E20" s="21"/>
      <c r="F20" s="21"/>
      <c r="G20" s="21"/>
      <c r="H20" s="21"/>
    </row>
    <row r="21" customFormat="false" ht="25.5" hidden="false" customHeight="true" outlineLevel="0" collapsed="false">
      <c r="A21" s="3" t="s">
        <v>24</v>
      </c>
      <c r="B21" s="21" t="s">
        <v>68</v>
      </c>
      <c r="C21" s="21"/>
      <c r="D21" s="21"/>
      <c r="E21" s="21"/>
      <c r="F21" s="21"/>
      <c r="G21" s="21"/>
      <c r="H21" s="21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69</v>
      </c>
    </row>
    <row r="2" customFormat="false" ht="15" hidden="false" customHeight="true" outlineLevel="0" collapsed="false">
      <c r="A2" s="11" t="s">
        <v>70</v>
      </c>
    </row>
    <row r="3" customFormat="false" ht="15" hidden="false" customHeight="true" outlineLevel="0" collapsed="false"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  <c r="G3" s="6" t="s">
        <v>76</v>
      </c>
      <c r="H3" s="6" t="s">
        <v>77</v>
      </c>
      <c r="I3" s="6" t="s">
        <v>78</v>
      </c>
      <c r="J3" s="6" t="s">
        <v>79</v>
      </c>
      <c r="K3" s="6" t="s">
        <v>80</v>
      </c>
      <c r="L3" s="6" t="s">
        <v>81</v>
      </c>
    </row>
    <row r="4" customFormat="false" ht="15" hidden="false" customHeight="true" outlineLevel="0" collapsed="false">
      <c r="A4" s="22" t="s">
        <v>82</v>
      </c>
      <c r="B4" s="22" t="n">
        <v>0</v>
      </c>
      <c r="C4" s="22" t="n">
        <v>1</v>
      </c>
      <c r="D4" s="22" t="n">
        <v>2</v>
      </c>
      <c r="E4" s="22" t="n">
        <v>3</v>
      </c>
      <c r="F4" s="22" t="n">
        <v>4</v>
      </c>
      <c r="G4" s="22" t="n">
        <v>5</v>
      </c>
      <c r="H4" s="22" t="n">
        <v>6</v>
      </c>
      <c r="I4" s="22" t="n">
        <v>7</v>
      </c>
      <c r="J4" s="22" t="n">
        <v>8</v>
      </c>
      <c r="K4" s="22" t="n">
        <v>9</v>
      </c>
      <c r="L4" s="22" t="n">
        <v>10</v>
      </c>
    </row>
    <row r="5" customFormat="false" ht="15" hidden="false" customHeight="true" outlineLevel="0" collapsed="false">
      <c r="A5" s="3" t="s">
        <v>83</v>
      </c>
      <c r="C5" s="15" t="n">
        <v>0</v>
      </c>
      <c r="D5" s="15" t="n">
        <v>-0.02</v>
      </c>
      <c r="E5" s="15" t="n">
        <v>-0.02</v>
      </c>
      <c r="F5" s="15" t="n">
        <v>-0.02</v>
      </c>
      <c r="G5" s="15" t="n">
        <v>-0.015</v>
      </c>
      <c r="H5" s="15" t="n">
        <v>-0.015</v>
      </c>
      <c r="I5" s="15" t="n">
        <v>-0.01</v>
      </c>
      <c r="J5" s="15" t="n">
        <v>-0.01</v>
      </c>
      <c r="K5" s="15" t="n">
        <v>-0.01</v>
      </c>
      <c r="L5" s="15" t="n">
        <v>-0.01</v>
      </c>
    </row>
    <row r="6" customFormat="false" ht="15" hidden="false" customHeight="true" outlineLevel="0" collapsed="false">
      <c r="A6" s="3" t="s">
        <v>84</v>
      </c>
      <c r="B6" s="23" t="n">
        <v>644701</v>
      </c>
      <c r="C6" s="24" t="n">
        <f aca="false">B6*(1+C5)</f>
        <v>644701</v>
      </c>
      <c r="D6" s="24" t="n">
        <f aca="false">C6*(1+D5)</f>
        <v>631806.98</v>
      </c>
      <c r="E6" s="24" t="n">
        <f aca="false">D6*(1+E5)</f>
        <v>619170.8404</v>
      </c>
      <c r="F6" s="24" t="n">
        <f aca="false">E6*(1+F5)</f>
        <v>606787.423592</v>
      </c>
      <c r="G6" s="24" t="n">
        <f aca="false">F6*(1+G5)</f>
        <v>597685.61223812</v>
      </c>
      <c r="H6" s="24" t="n">
        <f aca="false">G6*(1+H5)</f>
        <v>588720.328054548</v>
      </c>
      <c r="I6" s="24" t="n">
        <f aca="false">H6*(1+I5)</f>
        <v>582833.124774003</v>
      </c>
      <c r="J6" s="24" t="n">
        <f aca="false">I6*(1+J5)</f>
        <v>577004.793526263</v>
      </c>
      <c r="K6" s="24" t="n">
        <f aca="false">J6*(1+K5)</f>
        <v>571234.745591</v>
      </c>
      <c r="L6" s="24" t="n">
        <f aca="false">K6*(1+L5)</f>
        <v>565522.39813509</v>
      </c>
    </row>
    <row r="7" customFormat="false" ht="15" hidden="false" customHeight="true" outlineLevel="0" collapsed="false">
      <c r="A7" s="3" t="s">
        <v>85</v>
      </c>
      <c r="B7" s="25" t="n">
        <v>0.0914</v>
      </c>
      <c r="C7" s="15" t="n">
        <v>0.078</v>
      </c>
      <c r="D7" s="15" t="n">
        <v>0.072</v>
      </c>
      <c r="E7" s="15" t="n">
        <v>0.068</v>
      </c>
      <c r="F7" s="15" t="n">
        <v>0.065</v>
      </c>
      <c r="G7" s="15" t="n">
        <v>0.063</v>
      </c>
      <c r="H7" s="15" t="n">
        <v>0.062</v>
      </c>
      <c r="I7" s="15" t="n">
        <v>0.06</v>
      </c>
      <c r="J7" s="15" t="n">
        <v>0.06</v>
      </c>
      <c r="K7" s="15" t="n">
        <v>0.06</v>
      </c>
      <c r="L7" s="15" t="n">
        <v>0.06</v>
      </c>
    </row>
    <row r="8" customFormat="false" ht="15" hidden="false" customHeight="true" outlineLevel="0" collapsed="false">
      <c r="A8" s="3" t="s">
        <v>86</v>
      </c>
      <c r="C8" s="24" t="n">
        <f aca="false">C6*C7</f>
        <v>50286.678</v>
      </c>
      <c r="D8" s="24" t="n">
        <f aca="false">D6*D7</f>
        <v>45490.10256</v>
      </c>
      <c r="E8" s="24" t="n">
        <f aca="false">E6*E7</f>
        <v>42103.6171472</v>
      </c>
      <c r="F8" s="24" t="n">
        <f aca="false">F6*F7</f>
        <v>39441.18253348</v>
      </c>
      <c r="G8" s="24" t="n">
        <f aca="false">G6*G7</f>
        <v>37654.1935710016</v>
      </c>
      <c r="H8" s="24" t="n">
        <f aca="false">H6*H7</f>
        <v>36500.660339382</v>
      </c>
      <c r="I8" s="24" t="n">
        <f aca="false">I6*I7</f>
        <v>34969.9874864402</v>
      </c>
      <c r="J8" s="24" t="n">
        <f aca="false">J6*J7</f>
        <v>34620.2876115757</v>
      </c>
      <c r="K8" s="24" t="n">
        <f aca="false">K6*K7</f>
        <v>34274.08473546</v>
      </c>
      <c r="L8" s="24" t="n">
        <f aca="false">L6*L7</f>
        <v>33931.3438881054</v>
      </c>
    </row>
    <row r="9" customFormat="false" ht="15" hidden="false" customHeight="true" outlineLevel="0" collapsed="false">
      <c r="A9" s="3" t="s">
        <v>87</v>
      </c>
      <c r="B9" s="2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</row>
    <row r="10" customFormat="false" ht="15" hidden="false" customHeight="true" outlineLevel="0" collapsed="false">
      <c r="A10" s="3" t="s">
        <v>88</v>
      </c>
      <c r="C10" s="24" t="n">
        <f aca="false">-C6*C9</f>
        <v>-0</v>
      </c>
      <c r="D10" s="24" t="n">
        <f aca="false">-D6*D9</f>
        <v>-0</v>
      </c>
      <c r="E10" s="24" t="n">
        <f aca="false">-E6*E9</f>
        <v>-0</v>
      </c>
      <c r="F10" s="24" t="n">
        <f aca="false">-F6*F9</f>
        <v>-0</v>
      </c>
      <c r="G10" s="24" t="n">
        <f aca="false">-G6*G9</f>
        <v>-0</v>
      </c>
      <c r="H10" s="24" t="n">
        <f aca="false">-H6*H9</f>
        <v>-0</v>
      </c>
      <c r="I10" s="24" t="n">
        <f aca="false">-I6*I9</f>
        <v>-0</v>
      </c>
      <c r="J10" s="24" t="n">
        <f aca="false">-J6*J9</f>
        <v>-0</v>
      </c>
      <c r="K10" s="24" t="n">
        <f aca="false">-K6*K9</f>
        <v>-0</v>
      </c>
      <c r="L10" s="24" t="n">
        <f aca="false">-L6*L9</f>
        <v>-0</v>
      </c>
    </row>
    <row r="11" customFormat="false" ht="15" hidden="false" customHeight="true" outlineLevel="0" collapsed="false">
      <c r="A11" s="3" t="s">
        <v>89</v>
      </c>
      <c r="C11" s="24" t="n">
        <f aca="false">C8+C10</f>
        <v>50286.678</v>
      </c>
      <c r="D11" s="24" t="n">
        <f aca="false">D8+D10</f>
        <v>45490.10256</v>
      </c>
      <c r="E11" s="24" t="n">
        <f aca="false">E8+E10</f>
        <v>42103.6171472</v>
      </c>
      <c r="F11" s="24" t="n">
        <f aca="false">F8+F10</f>
        <v>39441.18253348</v>
      </c>
      <c r="G11" s="24" t="n">
        <f aca="false">G8+G10</f>
        <v>37654.1935710016</v>
      </c>
      <c r="H11" s="24" t="n">
        <f aca="false">H8+H10</f>
        <v>36500.660339382</v>
      </c>
      <c r="I11" s="24" t="n">
        <f aca="false">I8+I10</f>
        <v>34969.9874864402</v>
      </c>
      <c r="J11" s="24" t="n">
        <f aca="false">J8+J10</f>
        <v>34620.2876115757</v>
      </c>
      <c r="K11" s="24" t="n">
        <f aca="false">K8+K10</f>
        <v>34274.08473546</v>
      </c>
      <c r="L11" s="24" t="n">
        <f aca="false">L8+L10</f>
        <v>33931.3438881054</v>
      </c>
    </row>
    <row r="12" customFormat="false" ht="15" hidden="false" customHeight="true" outlineLevel="0" collapsed="false">
      <c r="A12" s="3" t="s">
        <v>90</v>
      </c>
      <c r="C12" s="26" t="n">
        <f aca="false">-C6*Assumptions!$B$6</f>
        <v>-23209.236</v>
      </c>
      <c r="D12" s="26" t="n">
        <f aca="false">-D6*Assumptions!$B$6</f>
        <v>-22745.05128</v>
      </c>
      <c r="E12" s="26" t="n">
        <f aca="false">-E6*Assumptions!$B$6</f>
        <v>-22290.1502544</v>
      </c>
      <c r="F12" s="26" t="n">
        <f aca="false">-F6*Assumptions!$B$6</f>
        <v>-21844.347249312</v>
      </c>
      <c r="G12" s="26" t="n">
        <f aca="false">-G6*Assumptions!$B$6</f>
        <v>-21516.6820405723</v>
      </c>
      <c r="H12" s="26" t="n">
        <f aca="false">-H6*Assumptions!$B$6</f>
        <v>-21193.9318099637</v>
      </c>
      <c r="I12" s="26" t="n">
        <f aca="false">-I6*Assumptions!$B$6</f>
        <v>-20981.9924918641</v>
      </c>
      <c r="J12" s="26" t="n">
        <f aca="false">-J6*Assumptions!$B$6</f>
        <v>-20772.1725669455</v>
      </c>
      <c r="K12" s="26" t="n">
        <f aca="false">-K6*Assumptions!$B$6</f>
        <v>-20564.450841276</v>
      </c>
      <c r="L12" s="26" t="n">
        <f aca="false">-L6*Assumptions!$B$6</f>
        <v>-20358.8063328632</v>
      </c>
    </row>
    <row r="13" customFormat="false" ht="15" hidden="false" customHeight="true" outlineLevel="0" collapsed="false">
      <c r="A13" s="3" t="s">
        <v>91</v>
      </c>
      <c r="C13" s="24" t="n">
        <f aca="false">C11+C12</f>
        <v>27077.442</v>
      </c>
      <c r="D13" s="24" t="n">
        <f aca="false">D11+D12</f>
        <v>22745.05128</v>
      </c>
      <c r="E13" s="24" t="n">
        <f aca="false">E11+E12</f>
        <v>19813.4668928</v>
      </c>
      <c r="F13" s="24" t="n">
        <f aca="false">F11+F12</f>
        <v>17596.835284168</v>
      </c>
      <c r="G13" s="24" t="n">
        <f aca="false">G11+G12</f>
        <v>16137.5115304292</v>
      </c>
      <c r="H13" s="24" t="n">
        <f aca="false">H11+H12</f>
        <v>15306.7285294183</v>
      </c>
      <c r="I13" s="24" t="n">
        <f aca="false">I11+I12</f>
        <v>13987.9949945761</v>
      </c>
      <c r="J13" s="24" t="n">
        <f aca="false">J11+J12</f>
        <v>13848.1150446303</v>
      </c>
      <c r="K13" s="24" t="n">
        <f aca="false">K11+K12</f>
        <v>13709.633894184</v>
      </c>
      <c r="L13" s="24" t="n">
        <f aca="false">L11+L12</f>
        <v>13572.5375552422</v>
      </c>
    </row>
    <row r="14" customFormat="false" ht="15" hidden="false" customHeight="true" outlineLevel="0" collapsed="false">
      <c r="A14" s="3" t="s">
        <v>92</v>
      </c>
      <c r="C14" s="15" t="n">
        <v>0.358</v>
      </c>
      <c r="D14" s="15" t="n">
        <v>0.358</v>
      </c>
      <c r="E14" s="15" t="n">
        <v>0.358</v>
      </c>
      <c r="F14" s="15" t="n">
        <v>0.358</v>
      </c>
      <c r="G14" s="15" t="n">
        <v>0.358</v>
      </c>
      <c r="H14" s="15" t="n">
        <v>0.358</v>
      </c>
      <c r="I14" s="15" t="n">
        <v>0.358</v>
      </c>
      <c r="J14" s="15" t="n">
        <v>0.358</v>
      </c>
      <c r="K14" s="15" t="n">
        <v>0.358</v>
      </c>
      <c r="L14" s="15" t="n">
        <v>0.358</v>
      </c>
    </row>
    <row r="15" customFormat="false" ht="15" hidden="false" customHeight="true" outlineLevel="0" collapsed="false">
      <c r="A15" s="3" t="s">
        <v>93</v>
      </c>
      <c r="C15" s="24" t="n">
        <f aca="false">C13*(1-C14)</f>
        <v>17383.717764</v>
      </c>
      <c r="D15" s="24" t="n">
        <f aca="false">D13*(1-D14)</f>
        <v>14602.32292176</v>
      </c>
      <c r="E15" s="24" t="n">
        <f aca="false">E13*(1-E14)</f>
        <v>12720.2457451776</v>
      </c>
      <c r="F15" s="24" t="n">
        <f aca="false">F13*(1-F14)</f>
        <v>11297.1682524359</v>
      </c>
      <c r="G15" s="24" t="n">
        <f aca="false">G13*(1-G14)</f>
        <v>10360.2824025356</v>
      </c>
      <c r="H15" s="24" t="n">
        <f aca="false">H13*(1-H14)</f>
        <v>9826.91971588652</v>
      </c>
      <c r="I15" s="24" t="n">
        <f aca="false">I13*(1-I14)</f>
        <v>8980.29278651784</v>
      </c>
      <c r="J15" s="24" t="n">
        <f aca="false">J13*(1-J14)</f>
        <v>8890.48985865265</v>
      </c>
      <c r="K15" s="24" t="n">
        <f aca="false">K13*(1-K14)</f>
        <v>8801.58496006613</v>
      </c>
      <c r="L15" s="24" t="n">
        <f aca="false">L13*(1-L14)</f>
        <v>8713.56911046547</v>
      </c>
    </row>
    <row r="16" customFormat="false" ht="15" hidden="false" customHeight="true" outlineLevel="0" collapsed="false">
      <c r="A16" s="3" t="s">
        <v>94</v>
      </c>
      <c r="C16" s="24" t="n">
        <f aca="false">-C12</f>
        <v>23209.236</v>
      </c>
      <c r="D16" s="24" t="n">
        <f aca="false">-D12</f>
        <v>22745.05128</v>
      </c>
      <c r="E16" s="24" t="n">
        <f aca="false">-E12</f>
        <v>22290.1502544</v>
      </c>
      <c r="F16" s="24" t="n">
        <f aca="false">-F12</f>
        <v>21844.347249312</v>
      </c>
      <c r="G16" s="24" t="n">
        <f aca="false">-G12</f>
        <v>21516.6820405723</v>
      </c>
      <c r="H16" s="24" t="n">
        <f aca="false">-H12</f>
        <v>21193.9318099637</v>
      </c>
      <c r="I16" s="24" t="n">
        <f aca="false">-I12</f>
        <v>20981.9924918641</v>
      </c>
      <c r="J16" s="24" t="n">
        <f aca="false">-J12</f>
        <v>20772.1725669455</v>
      </c>
      <c r="K16" s="24" t="n">
        <f aca="false">-K12</f>
        <v>20564.450841276</v>
      </c>
      <c r="L16" s="24" t="n">
        <f aca="false">-L12</f>
        <v>20358.8063328632</v>
      </c>
    </row>
    <row r="17" customFormat="false" ht="15" hidden="false" customHeight="true" outlineLevel="0" collapsed="false">
      <c r="A17" s="3" t="s">
        <v>95</v>
      </c>
      <c r="C17" s="26" t="n">
        <f aca="false">-C6*Assumptions!$B$7</f>
        <v>-27722.143</v>
      </c>
      <c r="D17" s="26" t="n">
        <f aca="false">-D6*Assumptions!$B$7</f>
        <v>-27167.70014</v>
      </c>
      <c r="E17" s="26" t="n">
        <f aca="false">-E6*Assumptions!$B$7</f>
        <v>-26624.3461372</v>
      </c>
      <c r="F17" s="26" t="n">
        <f aca="false">-F6*Assumptions!$B$7</f>
        <v>-26091.859214456</v>
      </c>
      <c r="G17" s="26" t="n">
        <f aca="false">-G6*Assumptions!$B$7</f>
        <v>-25700.4813262392</v>
      </c>
      <c r="H17" s="26" t="n">
        <f aca="false">-H6*Assumptions!$B$7</f>
        <v>-25314.9741063456</v>
      </c>
      <c r="I17" s="26" t="n">
        <f aca="false">-I6*Assumptions!$B$7</f>
        <v>-25061.8243652821</v>
      </c>
      <c r="J17" s="26" t="n">
        <f aca="false">-J6*Assumptions!$B$7</f>
        <v>-24811.2061216293</v>
      </c>
      <c r="K17" s="26" t="n">
        <f aca="false">-K6*Assumptions!$B$7</f>
        <v>-24563.094060413</v>
      </c>
      <c r="L17" s="26" t="n">
        <f aca="false">-L6*Assumptions!$B$7</f>
        <v>-24317.4631198089</v>
      </c>
    </row>
    <row r="18" customFormat="false" ht="15" hidden="false" customHeight="true" outlineLevel="0" collapsed="false">
      <c r="A18" s="3" t="s">
        <v>96</v>
      </c>
      <c r="C18" s="26" t="n">
        <f aca="false">Assumptions!$B$8*(C6-B6)</f>
        <v>0</v>
      </c>
      <c r="D18" s="26" t="n">
        <f aca="false">Assumptions!$B$8*(D6-C6)</f>
        <v>-0</v>
      </c>
      <c r="E18" s="26" t="n">
        <f aca="false">Assumptions!$B$8*(E6-D6)</f>
        <v>-0</v>
      </c>
      <c r="F18" s="26" t="n">
        <f aca="false">Assumptions!$B$8*(F6-E6)</f>
        <v>-0</v>
      </c>
      <c r="G18" s="26" t="n">
        <f aca="false">Assumptions!$B$8*(G6-F6)</f>
        <v>-0</v>
      </c>
      <c r="H18" s="26" t="n">
        <f aca="false">Assumptions!$B$8*(H6-G6)</f>
        <v>-0</v>
      </c>
      <c r="I18" s="26" t="n">
        <f aca="false">Assumptions!$B$8*(I6-H6)</f>
        <v>-0</v>
      </c>
      <c r="J18" s="26" t="n">
        <f aca="false">Assumptions!$B$8*(J6-I6)</f>
        <v>-0</v>
      </c>
      <c r="K18" s="26" t="n">
        <f aca="false">Assumptions!$B$8*(K6-J6)</f>
        <v>-0</v>
      </c>
      <c r="L18" s="26" t="n">
        <f aca="false">Assumptions!$B$8*(L6-K6)</f>
        <v>-0</v>
      </c>
    </row>
    <row r="19" customFormat="false" ht="15" hidden="false" customHeight="true" outlineLevel="0" collapsed="false">
      <c r="A19" s="3" t="s">
        <v>97</v>
      </c>
      <c r="C19" s="27" t="n">
        <f aca="false">C15+C16+C17+C18</f>
        <v>12870.810764</v>
      </c>
      <c r="D19" s="27" t="n">
        <f aca="false">D15+D16+D17+D18</f>
        <v>10179.67406176</v>
      </c>
      <c r="E19" s="27" t="n">
        <f aca="false">E15+E16+E17+E18</f>
        <v>8386.0498623776</v>
      </c>
      <c r="F19" s="27" t="n">
        <f aca="false">F15+F16+F17+F18</f>
        <v>7049.65628729186</v>
      </c>
      <c r="G19" s="27" t="n">
        <f aca="false">G15+G16+G17+G18</f>
        <v>6176.48311686873</v>
      </c>
      <c r="H19" s="27" t="n">
        <f aca="false">H15+H16+H17+H18</f>
        <v>5705.87741950468</v>
      </c>
      <c r="I19" s="27" t="n">
        <f aca="false">I15+I16+I17+I18</f>
        <v>4900.46091309982</v>
      </c>
      <c r="J19" s="27" t="n">
        <f aca="false">J15+J16+J17+J18</f>
        <v>4851.45630396882</v>
      </c>
      <c r="K19" s="27" t="n">
        <f aca="false">K15+K16+K17+K18</f>
        <v>4802.94174092913</v>
      </c>
      <c r="L19" s="27" t="n">
        <f aca="false">L15+L16+L17+L18</f>
        <v>4754.91232351984</v>
      </c>
    </row>
    <row r="20" customFormat="false" ht="15" hidden="false" customHeight="true" outlineLevel="0" collapsed="false">
      <c r="A20" s="3" t="s">
        <v>98</v>
      </c>
      <c r="C20" s="28" t="n">
        <f aca="false">1/(1+Assumptions!$B$5)^C4</f>
        <v>0.91743119266055</v>
      </c>
      <c r="D20" s="28" t="n">
        <f aca="false">1/(1+Assumptions!$B$5)^D4</f>
        <v>0.84167999326656</v>
      </c>
      <c r="E20" s="28" t="n">
        <f aca="false">1/(1+Assumptions!$B$5)^E4</f>
        <v>0.772183480061064</v>
      </c>
      <c r="F20" s="28" t="n">
        <f aca="false">1/(1+Assumptions!$B$5)^F4</f>
        <v>0.708425211065196</v>
      </c>
      <c r="G20" s="28" t="n">
        <f aca="false">1/(1+Assumptions!$B$5)^G4</f>
        <v>0.649931386298345</v>
      </c>
      <c r="H20" s="28" t="n">
        <f aca="false">1/(1+Assumptions!$B$5)^H4</f>
        <v>0.596267326879216</v>
      </c>
      <c r="I20" s="28" t="n">
        <f aca="false">1/(1+Assumptions!$B$5)^I4</f>
        <v>0.547034244843317</v>
      </c>
      <c r="J20" s="28" t="n">
        <f aca="false">1/(1+Assumptions!$B$5)^J4</f>
        <v>0.501866279672768</v>
      </c>
      <c r="K20" s="28" t="n">
        <f aca="false">1/(1+Assumptions!$B$5)^K4</f>
        <v>0.460427779516301</v>
      </c>
      <c r="L20" s="28" t="n">
        <f aca="false">1/(1+Assumptions!$B$5)^L4</f>
        <v>0.422410806895689</v>
      </c>
    </row>
    <row r="21" customFormat="false" ht="15" hidden="false" customHeight="true" outlineLevel="0" collapsed="false">
      <c r="A21" s="3" t="s">
        <v>99</v>
      </c>
      <c r="C21" s="24" t="n">
        <f aca="false">C19*C20</f>
        <v>11808.0832697248</v>
      </c>
      <c r="D21" s="24" t="n">
        <f aca="false">D19*D20</f>
        <v>8568.02799575793</v>
      </c>
      <c r="E21" s="24" t="n">
        <f aca="false">E19*E20</f>
        <v>6475.56916669634</v>
      </c>
      <c r="F21" s="24" t="n">
        <f aca="false">F19*F20</f>
        <v>4994.15424326182</v>
      </c>
      <c r="G21" s="24" t="n">
        <f aca="false">G19*G20</f>
        <v>4014.29023459482</v>
      </c>
      <c r="H21" s="24" t="n">
        <f aca="false">H19*H20</f>
        <v>3402.22827642854</v>
      </c>
      <c r="I21" s="24" t="n">
        <f aca="false">I19*I20</f>
        <v>2680.71993498175</v>
      </c>
      <c r="J21" s="24" t="n">
        <f aca="false">J19*J20</f>
        <v>2434.78232626783</v>
      </c>
      <c r="K21" s="24" t="n">
        <f aca="false">K19*K20</f>
        <v>2211.40780092216</v>
      </c>
      <c r="L21" s="24" t="n">
        <f aca="false">L19*L20</f>
        <v>2008.52635129627</v>
      </c>
    </row>
    <row r="23" customFormat="false" ht="15" hidden="false" customHeight="true" outlineLevel="0" collapsed="false">
      <c r="A23" s="3" t="s">
        <v>100</v>
      </c>
      <c r="C23" s="24" t="n">
        <f aca="false">C19-C10</f>
        <v>12870.810764</v>
      </c>
      <c r="D23" s="24" t="n">
        <f aca="false">D19-D10</f>
        <v>10179.67406176</v>
      </c>
      <c r="E23" s="24" t="n">
        <f aca="false">E19-E10</f>
        <v>8386.0498623776</v>
      </c>
      <c r="F23" s="24" t="n">
        <f aca="false">F19-F10</f>
        <v>7049.65628729186</v>
      </c>
      <c r="G23" s="24" t="n">
        <f aca="false">G19-G10</f>
        <v>6176.48311686873</v>
      </c>
      <c r="H23" s="24" t="n">
        <f aca="false">H19-H10</f>
        <v>5705.87741950468</v>
      </c>
      <c r="I23" s="24" t="n">
        <f aca="false">I19-I10</f>
        <v>4900.46091309982</v>
      </c>
      <c r="J23" s="24" t="n">
        <f aca="false">J19-J10</f>
        <v>4851.45630396882</v>
      </c>
      <c r="K23" s="24" t="n">
        <f aca="false">K19-K10</f>
        <v>4802.94174092913</v>
      </c>
      <c r="L23" s="24" t="n">
        <f aca="false">L19-L10</f>
        <v>4754.91232351984</v>
      </c>
    </row>
    <row r="24" customFormat="false" ht="15" hidden="false" customHeight="true" outlineLevel="0" collapsed="false">
      <c r="A24" s="3" t="s">
        <v>101</v>
      </c>
      <c r="C24" s="20" t="n">
        <f aca="false">C19/C6</f>
        <v>0.019964</v>
      </c>
      <c r="D24" s="20" t="n">
        <f aca="false">D19/D6</f>
        <v>0.016112</v>
      </c>
      <c r="E24" s="20" t="n">
        <f aca="false">E19/E6</f>
        <v>0.013544</v>
      </c>
      <c r="F24" s="20" t="n">
        <f aca="false">F19/F6</f>
        <v>0.011618</v>
      </c>
      <c r="G24" s="20" t="n">
        <f aca="false">G19/G6</f>
        <v>0.010334</v>
      </c>
      <c r="H24" s="20" t="n">
        <f aca="false">H19/H6</f>
        <v>0.009692</v>
      </c>
      <c r="I24" s="20" t="n">
        <f aca="false">I19/I6</f>
        <v>0.00840800000000001</v>
      </c>
      <c r="J24" s="20" t="n">
        <f aca="false">J19/J6</f>
        <v>0.008408</v>
      </c>
      <c r="K24" s="20" t="n">
        <f aca="false">K19/K6</f>
        <v>0.00840800000000001</v>
      </c>
      <c r="L24" s="20" t="n">
        <f aca="false">L19/L6</f>
        <v>0.00840800000000001</v>
      </c>
    </row>
    <row r="25" customFormat="false" ht="15" hidden="false" customHeight="true" outlineLevel="0" collapsed="false">
      <c r="A25" s="5" t="s">
        <v>102</v>
      </c>
    </row>
    <row r="26" customFormat="false" ht="15" hidden="false" customHeight="true" outlineLevel="0" collapsed="false">
      <c r="A26" s="3" t="s">
        <v>103</v>
      </c>
      <c r="B26" s="24" t="n">
        <f aca="false">SUM(C21:L21)</f>
        <v>48597.7895999322</v>
      </c>
    </row>
    <row r="27" customFormat="false" ht="15" hidden="false" customHeight="true" outlineLevel="0" collapsed="false">
      <c r="A27" s="3" t="s">
        <v>62</v>
      </c>
      <c r="B27" s="29" t="n">
        <f aca="false">Assumptions!$C$15</f>
        <v>0</v>
      </c>
    </row>
    <row r="28" customFormat="false" ht="15" hidden="false" customHeight="true" outlineLevel="0" collapsed="false">
      <c r="A28" s="3" t="s">
        <v>104</v>
      </c>
      <c r="B28" s="24" t="n">
        <f aca="false">L19*(1+B27)</f>
        <v>4754.91232351984</v>
      </c>
    </row>
    <row r="29" customFormat="false" ht="15" hidden="false" customHeight="true" outlineLevel="0" collapsed="false">
      <c r="A29" s="3" t="s">
        <v>105</v>
      </c>
      <c r="B29" s="24" t="n">
        <f aca="false">B28/(Assumptions!$B$5-B27)</f>
        <v>52832.3591502204</v>
      </c>
    </row>
    <row r="30" customFormat="false" ht="15" hidden="false" customHeight="true" outlineLevel="0" collapsed="false">
      <c r="A30" s="3" t="s">
        <v>106</v>
      </c>
      <c r="B30" s="26" t="n">
        <f aca="false">Assumptions!$B$12*L19</f>
        <v>95098.2464703968</v>
      </c>
    </row>
    <row r="31" customFormat="false" ht="15" hidden="false" customHeight="true" outlineLevel="0" collapsed="false">
      <c r="A31" s="3" t="s">
        <v>107</v>
      </c>
      <c r="B31" s="24" t="n">
        <f aca="false">MAX(0,MIN(B29,B30))</f>
        <v>52832.3591502204</v>
      </c>
    </row>
    <row r="32" customFormat="false" ht="15" hidden="false" customHeight="true" outlineLevel="0" collapsed="false">
      <c r="A32" s="3" t="s">
        <v>108</v>
      </c>
      <c r="B32" s="30" t="n">
        <f aca="false">B31/L19</f>
        <v>11.1111111111111</v>
      </c>
    </row>
    <row r="33" customFormat="false" ht="15" hidden="false" customHeight="true" outlineLevel="0" collapsed="false">
      <c r="A33" s="3" t="s">
        <v>109</v>
      </c>
      <c r="B33" s="24" t="n">
        <f aca="false">B31*L20</f>
        <v>22316.9594588474</v>
      </c>
    </row>
    <row r="34" customFormat="false" ht="15" hidden="false" customHeight="true" outlineLevel="0" collapsed="false">
      <c r="A34" s="3" t="s">
        <v>110</v>
      </c>
      <c r="B34" s="24" t="n">
        <f aca="false">B26+B33</f>
        <v>70914.7490587797</v>
      </c>
    </row>
    <row r="35" customFormat="false" ht="15" hidden="false" customHeight="true" outlineLevel="0" collapsed="false">
      <c r="A35" s="3" t="s">
        <v>111</v>
      </c>
      <c r="B35" s="26" t="n">
        <f aca="false">Assumptions!$B$9</f>
        <v>139777</v>
      </c>
    </row>
    <row r="36" customFormat="false" ht="15" hidden="false" customHeight="true" outlineLevel="0" collapsed="false">
      <c r="A36" s="3" t="s">
        <v>112</v>
      </c>
      <c r="B36" s="24" t="n">
        <f aca="false">B34+B35</f>
        <v>210691.74905878</v>
      </c>
    </row>
    <row r="37" customFormat="false" ht="15" hidden="false" customHeight="true" outlineLevel="0" collapsed="false">
      <c r="A37" s="3" t="s">
        <v>56</v>
      </c>
      <c r="B37" s="31" t="n">
        <f aca="false">Assumptions!$B$10</f>
        <v>85.1</v>
      </c>
    </row>
    <row r="38" customFormat="false" ht="15" hidden="false" customHeight="true" outlineLevel="0" collapsed="false">
      <c r="A38" s="3" t="s">
        <v>113</v>
      </c>
      <c r="B38" s="32" t="n">
        <f aca="false">B36/B37</f>
        <v>2475.81373747097</v>
      </c>
    </row>
    <row r="39" customFormat="false" ht="15" hidden="false" customHeight="true" outlineLevel="0" collapsed="false">
      <c r="A39" s="3" t="s">
        <v>114</v>
      </c>
      <c r="B39" s="20" t="n">
        <f aca="false">B38/Assumptions!$B$11-1</f>
        <v>-0.185587586358233</v>
      </c>
    </row>
    <row r="41" customFormat="false" ht="15" hidden="false" customHeight="true" outlineLevel="0" collapsed="false">
      <c r="A41" s="3" t="s">
        <v>115</v>
      </c>
      <c r="B41" s="24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116</v>
      </c>
      <c r="B42" s="24" t="n">
        <f aca="false">(-L10*(1+B27)/(Assumptions!$B$5-B27))*L20</f>
        <v>0</v>
      </c>
    </row>
    <row r="43" customFormat="false" ht="15" hidden="false" customHeight="true" outlineLevel="0" collapsed="false">
      <c r="A43" s="3" t="s">
        <v>117</v>
      </c>
      <c r="B43" s="33" t="n">
        <f aca="false">(B36+B41+B42)/B37</f>
        <v>2475.81373747097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118</v>
      </c>
    </row>
    <row r="2" customFormat="false" ht="15" hidden="false" customHeight="true" outlineLevel="0" collapsed="false">
      <c r="A2" s="11" t="s">
        <v>70</v>
      </c>
    </row>
    <row r="3" customFormat="false" ht="15" hidden="false" customHeight="true" outlineLevel="0" collapsed="false"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  <c r="G3" s="6" t="s">
        <v>76</v>
      </c>
      <c r="H3" s="6" t="s">
        <v>77</v>
      </c>
      <c r="I3" s="6" t="s">
        <v>78</v>
      </c>
      <c r="J3" s="6" t="s">
        <v>79</v>
      </c>
      <c r="K3" s="6" t="s">
        <v>80</v>
      </c>
      <c r="L3" s="6" t="s">
        <v>81</v>
      </c>
    </row>
    <row r="4" customFormat="false" ht="15" hidden="false" customHeight="true" outlineLevel="0" collapsed="false">
      <c r="A4" s="22" t="s">
        <v>82</v>
      </c>
      <c r="B4" s="22" t="n">
        <v>0</v>
      </c>
      <c r="C4" s="22" t="n">
        <v>1</v>
      </c>
      <c r="D4" s="22" t="n">
        <v>2</v>
      </c>
      <c r="E4" s="22" t="n">
        <v>3</v>
      </c>
      <c r="F4" s="22" t="n">
        <v>4</v>
      </c>
      <c r="G4" s="22" t="n">
        <v>5</v>
      </c>
      <c r="H4" s="22" t="n">
        <v>6</v>
      </c>
      <c r="I4" s="22" t="n">
        <v>7</v>
      </c>
      <c r="J4" s="22" t="n">
        <v>8</v>
      </c>
      <c r="K4" s="22" t="n">
        <v>9</v>
      </c>
      <c r="L4" s="22" t="n">
        <v>10</v>
      </c>
    </row>
    <row r="5" customFormat="false" ht="15" hidden="false" customHeight="true" outlineLevel="0" collapsed="false">
      <c r="A5" s="3" t="s">
        <v>83</v>
      </c>
      <c r="C5" s="15" t="n">
        <v>0.02</v>
      </c>
      <c r="D5" s="15" t="n">
        <v>0.02</v>
      </c>
      <c r="E5" s="15" t="n">
        <v>0.02</v>
      </c>
      <c r="F5" s="15" t="n">
        <v>0.02</v>
      </c>
      <c r="G5" s="15" t="n">
        <v>0.015</v>
      </c>
      <c r="H5" s="15" t="n">
        <v>0.015</v>
      </c>
      <c r="I5" s="15" t="n">
        <v>0.015</v>
      </c>
      <c r="J5" s="15" t="n">
        <v>0.01</v>
      </c>
      <c r="K5" s="15" t="n">
        <v>0.01</v>
      </c>
      <c r="L5" s="15" t="n">
        <v>0.01</v>
      </c>
    </row>
    <row r="6" customFormat="false" ht="15" hidden="false" customHeight="true" outlineLevel="0" collapsed="false">
      <c r="A6" s="3" t="s">
        <v>84</v>
      </c>
      <c r="B6" s="23" t="n">
        <v>644701</v>
      </c>
      <c r="C6" s="24" t="n">
        <f aca="false">B6*(1+C5)</f>
        <v>657595.02</v>
      </c>
      <c r="D6" s="24" t="n">
        <f aca="false">C6*(1+D5)</f>
        <v>670746.9204</v>
      </c>
      <c r="E6" s="24" t="n">
        <f aca="false">D6*(1+E5)</f>
        <v>684161.858808</v>
      </c>
      <c r="F6" s="24" t="n">
        <f aca="false">E6*(1+F5)</f>
        <v>697845.09598416</v>
      </c>
      <c r="G6" s="24" t="n">
        <f aca="false">F6*(1+G5)</f>
        <v>708312.772423922</v>
      </c>
      <c r="H6" s="24" t="n">
        <f aca="false">G6*(1+H5)</f>
        <v>718937.464010281</v>
      </c>
      <c r="I6" s="24" t="n">
        <f aca="false">H6*(1+I5)</f>
        <v>729721.525970435</v>
      </c>
      <c r="J6" s="24" t="n">
        <f aca="false">I6*(1+J5)</f>
        <v>737018.74123014</v>
      </c>
      <c r="K6" s="24" t="n">
        <f aca="false">J6*(1+K5)</f>
        <v>744388.928642441</v>
      </c>
      <c r="L6" s="24" t="n">
        <f aca="false">K6*(1+L5)</f>
        <v>751832.817928866</v>
      </c>
    </row>
    <row r="7" customFormat="false" ht="15" hidden="false" customHeight="true" outlineLevel="0" collapsed="false">
      <c r="A7" s="3" t="s">
        <v>85</v>
      </c>
      <c r="B7" s="25" t="n">
        <v>0.0914</v>
      </c>
      <c r="C7" s="15" t="n">
        <v>0.082</v>
      </c>
      <c r="D7" s="15" t="n">
        <v>0.086</v>
      </c>
      <c r="E7" s="15" t="n">
        <v>0.09</v>
      </c>
      <c r="F7" s="15" t="n">
        <v>0.093</v>
      </c>
      <c r="G7" s="15" t="n">
        <v>0.095</v>
      </c>
      <c r="H7" s="15" t="n">
        <v>0.096</v>
      </c>
      <c r="I7" s="15" t="n">
        <v>0.096</v>
      </c>
      <c r="J7" s="15" t="n">
        <v>0.096</v>
      </c>
      <c r="K7" s="15" t="n">
        <v>0.096</v>
      </c>
      <c r="L7" s="15" t="n">
        <v>0.096</v>
      </c>
    </row>
    <row r="8" customFormat="false" ht="15" hidden="false" customHeight="true" outlineLevel="0" collapsed="false">
      <c r="A8" s="3" t="s">
        <v>86</v>
      </c>
      <c r="C8" s="24" t="n">
        <f aca="false">C6*C7</f>
        <v>53922.79164</v>
      </c>
      <c r="D8" s="24" t="n">
        <f aca="false">D6*D7</f>
        <v>57684.2351544</v>
      </c>
      <c r="E8" s="24" t="n">
        <f aca="false">E6*E7</f>
        <v>61574.56729272</v>
      </c>
      <c r="F8" s="24" t="n">
        <f aca="false">F6*F7</f>
        <v>64899.5939265269</v>
      </c>
      <c r="G8" s="24" t="n">
        <f aca="false">G6*G7</f>
        <v>67289.7133802726</v>
      </c>
      <c r="H8" s="24" t="n">
        <f aca="false">H6*H7</f>
        <v>69017.996544987</v>
      </c>
      <c r="I8" s="24" t="n">
        <f aca="false">I6*I7</f>
        <v>70053.2664931618</v>
      </c>
      <c r="J8" s="24" t="n">
        <f aca="false">J6*J7</f>
        <v>70753.7991580934</v>
      </c>
      <c r="K8" s="24" t="n">
        <f aca="false">K6*K7</f>
        <v>71461.3371496744</v>
      </c>
      <c r="L8" s="24" t="n">
        <f aca="false">L6*L7</f>
        <v>72175.9505211711</v>
      </c>
    </row>
    <row r="9" customFormat="false" ht="15" hidden="false" customHeight="true" outlineLevel="0" collapsed="false">
      <c r="A9" s="3" t="s">
        <v>87</v>
      </c>
      <c r="B9" s="2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</row>
    <row r="10" customFormat="false" ht="15" hidden="false" customHeight="true" outlineLevel="0" collapsed="false">
      <c r="A10" s="3" t="s">
        <v>88</v>
      </c>
      <c r="C10" s="24" t="n">
        <f aca="false">-C6*C9</f>
        <v>-0</v>
      </c>
      <c r="D10" s="24" t="n">
        <f aca="false">-D6*D9</f>
        <v>-0</v>
      </c>
      <c r="E10" s="24" t="n">
        <f aca="false">-E6*E9</f>
        <v>-0</v>
      </c>
      <c r="F10" s="24" t="n">
        <f aca="false">-F6*F9</f>
        <v>-0</v>
      </c>
      <c r="G10" s="24" t="n">
        <f aca="false">-G6*G9</f>
        <v>-0</v>
      </c>
      <c r="H10" s="24" t="n">
        <f aca="false">-H6*H9</f>
        <v>-0</v>
      </c>
      <c r="I10" s="24" t="n">
        <f aca="false">-I6*I9</f>
        <v>-0</v>
      </c>
      <c r="J10" s="24" t="n">
        <f aca="false">-J6*J9</f>
        <v>-0</v>
      </c>
      <c r="K10" s="24" t="n">
        <f aca="false">-K6*K9</f>
        <v>-0</v>
      </c>
      <c r="L10" s="24" t="n">
        <f aca="false">-L6*L9</f>
        <v>-0</v>
      </c>
    </row>
    <row r="11" customFormat="false" ht="15" hidden="false" customHeight="true" outlineLevel="0" collapsed="false">
      <c r="A11" s="3" t="s">
        <v>89</v>
      </c>
      <c r="C11" s="24" t="n">
        <f aca="false">C8+C10</f>
        <v>53922.79164</v>
      </c>
      <c r="D11" s="24" t="n">
        <f aca="false">D8+D10</f>
        <v>57684.2351544</v>
      </c>
      <c r="E11" s="24" t="n">
        <f aca="false">E8+E10</f>
        <v>61574.56729272</v>
      </c>
      <c r="F11" s="24" t="n">
        <f aca="false">F8+F10</f>
        <v>64899.5939265269</v>
      </c>
      <c r="G11" s="24" t="n">
        <f aca="false">G8+G10</f>
        <v>67289.7133802726</v>
      </c>
      <c r="H11" s="24" t="n">
        <f aca="false">H8+H10</f>
        <v>69017.996544987</v>
      </c>
      <c r="I11" s="24" t="n">
        <f aca="false">I8+I10</f>
        <v>70053.2664931618</v>
      </c>
      <c r="J11" s="24" t="n">
        <f aca="false">J8+J10</f>
        <v>70753.7991580934</v>
      </c>
      <c r="K11" s="24" t="n">
        <f aca="false">K8+K10</f>
        <v>71461.3371496744</v>
      </c>
      <c r="L11" s="24" t="n">
        <f aca="false">L8+L10</f>
        <v>72175.9505211711</v>
      </c>
    </row>
    <row r="12" customFormat="false" ht="15" hidden="false" customHeight="true" outlineLevel="0" collapsed="false">
      <c r="A12" s="3" t="s">
        <v>90</v>
      </c>
      <c r="C12" s="26" t="n">
        <f aca="false">-C6*Assumptions!$B$6</f>
        <v>-23673.42072</v>
      </c>
      <c r="D12" s="26" t="n">
        <f aca="false">-D6*Assumptions!$B$6</f>
        <v>-24146.8891344</v>
      </c>
      <c r="E12" s="26" t="n">
        <f aca="false">-E6*Assumptions!$B$6</f>
        <v>-24629.826917088</v>
      </c>
      <c r="F12" s="26" t="n">
        <f aca="false">-F6*Assumptions!$B$6</f>
        <v>-25122.4234554298</v>
      </c>
      <c r="G12" s="26" t="n">
        <f aca="false">-G6*Assumptions!$B$6</f>
        <v>-25499.2598072612</v>
      </c>
      <c r="H12" s="26" t="n">
        <f aca="false">-H6*Assumptions!$B$6</f>
        <v>-25881.7487043701</v>
      </c>
      <c r="I12" s="26" t="n">
        <f aca="false">-I6*Assumptions!$B$6</f>
        <v>-26269.9749349357</v>
      </c>
      <c r="J12" s="26" t="n">
        <f aca="false">-J6*Assumptions!$B$6</f>
        <v>-26532.674684285</v>
      </c>
      <c r="K12" s="26" t="n">
        <f aca="false">-K6*Assumptions!$B$6</f>
        <v>-26798.0014311279</v>
      </c>
      <c r="L12" s="26" t="n">
        <f aca="false">-L6*Assumptions!$B$6</f>
        <v>-27065.9814454392</v>
      </c>
    </row>
    <row r="13" customFormat="false" ht="15" hidden="false" customHeight="true" outlineLevel="0" collapsed="false">
      <c r="A13" s="3" t="s">
        <v>91</v>
      </c>
      <c r="C13" s="24" t="n">
        <f aca="false">C11+C12</f>
        <v>30249.37092</v>
      </c>
      <c r="D13" s="24" t="n">
        <f aca="false">D11+D12</f>
        <v>33537.34602</v>
      </c>
      <c r="E13" s="24" t="n">
        <f aca="false">E11+E12</f>
        <v>36944.740375632</v>
      </c>
      <c r="F13" s="24" t="n">
        <f aca="false">F11+F12</f>
        <v>39777.1704710971</v>
      </c>
      <c r="G13" s="24" t="n">
        <f aca="false">G11+G12</f>
        <v>41790.4535730114</v>
      </c>
      <c r="H13" s="24" t="n">
        <f aca="false">H11+H12</f>
        <v>43136.2478406169</v>
      </c>
      <c r="I13" s="24" t="n">
        <f aca="false">I11+I12</f>
        <v>43783.2915582261</v>
      </c>
      <c r="J13" s="24" t="n">
        <f aca="false">J11+J12</f>
        <v>44221.1244738084</v>
      </c>
      <c r="K13" s="24" t="n">
        <f aca="false">K11+K12</f>
        <v>44663.3357185465</v>
      </c>
      <c r="L13" s="24" t="n">
        <f aca="false">L11+L12</f>
        <v>45109.9690757319</v>
      </c>
    </row>
    <row r="14" customFormat="false" ht="15" hidden="false" customHeight="true" outlineLevel="0" collapsed="false">
      <c r="A14" s="3" t="s">
        <v>92</v>
      </c>
      <c r="C14" s="15" t="n">
        <v>0.358</v>
      </c>
      <c r="D14" s="15" t="n">
        <v>0.358</v>
      </c>
      <c r="E14" s="15" t="n">
        <v>0.358</v>
      </c>
      <c r="F14" s="15" t="n">
        <v>0.358</v>
      </c>
      <c r="G14" s="15" t="n">
        <v>0.358</v>
      </c>
      <c r="H14" s="15" t="n">
        <v>0.358</v>
      </c>
      <c r="I14" s="15" t="n">
        <v>0.358</v>
      </c>
      <c r="J14" s="15" t="n">
        <v>0.358</v>
      </c>
      <c r="K14" s="15" t="n">
        <v>0.358</v>
      </c>
      <c r="L14" s="15" t="n">
        <v>0.358</v>
      </c>
    </row>
    <row r="15" customFormat="false" ht="15" hidden="false" customHeight="true" outlineLevel="0" collapsed="false">
      <c r="A15" s="3" t="s">
        <v>93</v>
      </c>
      <c r="C15" s="24" t="n">
        <f aca="false">C13*(1-C14)</f>
        <v>19420.09613064</v>
      </c>
      <c r="D15" s="24" t="n">
        <f aca="false">D13*(1-D14)</f>
        <v>21530.97614484</v>
      </c>
      <c r="E15" s="24" t="n">
        <f aca="false">E13*(1-E14)</f>
        <v>23718.5233211558</v>
      </c>
      <c r="F15" s="24" t="n">
        <f aca="false">F13*(1-F14)</f>
        <v>25536.9434424444</v>
      </c>
      <c r="G15" s="24" t="n">
        <f aca="false">G13*(1-G14)</f>
        <v>26829.4711938733</v>
      </c>
      <c r="H15" s="24" t="n">
        <f aca="false">H13*(1-H14)</f>
        <v>27693.471113676</v>
      </c>
      <c r="I15" s="24" t="n">
        <f aca="false">I13*(1-I14)</f>
        <v>28108.8731803812</v>
      </c>
      <c r="J15" s="24" t="n">
        <f aca="false">J13*(1-J14)</f>
        <v>28389.961912185</v>
      </c>
      <c r="K15" s="24" t="n">
        <f aca="false">K13*(1-K14)</f>
        <v>28673.8615313068</v>
      </c>
      <c r="L15" s="24" t="n">
        <f aca="false">L13*(1-L14)</f>
        <v>28960.6001466199</v>
      </c>
    </row>
    <row r="16" customFormat="false" ht="15" hidden="false" customHeight="true" outlineLevel="0" collapsed="false">
      <c r="A16" s="3" t="s">
        <v>94</v>
      </c>
      <c r="C16" s="24" t="n">
        <f aca="false">-C12</f>
        <v>23673.42072</v>
      </c>
      <c r="D16" s="24" t="n">
        <f aca="false">-D12</f>
        <v>24146.8891344</v>
      </c>
      <c r="E16" s="24" t="n">
        <f aca="false">-E12</f>
        <v>24629.826917088</v>
      </c>
      <c r="F16" s="24" t="n">
        <f aca="false">-F12</f>
        <v>25122.4234554298</v>
      </c>
      <c r="G16" s="24" t="n">
        <f aca="false">-G12</f>
        <v>25499.2598072612</v>
      </c>
      <c r="H16" s="24" t="n">
        <f aca="false">-H12</f>
        <v>25881.7487043701</v>
      </c>
      <c r="I16" s="24" t="n">
        <f aca="false">-I12</f>
        <v>26269.9749349357</v>
      </c>
      <c r="J16" s="24" t="n">
        <f aca="false">-J12</f>
        <v>26532.674684285</v>
      </c>
      <c r="K16" s="24" t="n">
        <f aca="false">-K12</f>
        <v>26798.0014311279</v>
      </c>
      <c r="L16" s="24" t="n">
        <f aca="false">-L12</f>
        <v>27065.9814454392</v>
      </c>
    </row>
    <row r="17" customFormat="false" ht="15" hidden="false" customHeight="true" outlineLevel="0" collapsed="false">
      <c r="A17" s="3" t="s">
        <v>95</v>
      </c>
      <c r="C17" s="26" t="n">
        <f aca="false">-C6*Assumptions!$B$7</f>
        <v>-28276.58586</v>
      </c>
      <c r="D17" s="26" t="n">
        <f aca="false">-D6*Assumptions!$B$7</f>
        <v>-28842.1175772</v>
      </c>
      <c r="E17" s="26" t="n">
        <f aca="false">-E6*Assumptions!$B$7</f>
        <v>-29418.959928744</v>
      </c>
      <c r="F17" s="26" t="n">
        <f aca="false">-F6*Assumptions!$B$7</f>
        <v>-30007.3391273189</v>
      </c>
      <c r="G17" s="26" t="n">
        <f aca="false">-G6*Assumptions!$B$7</f>
        <v>-30457.4492142287</v>
      </c>
      <c r="H17" s="26" t="n">
        <f aca="false">-H6*Assumptions!$B$7</f>
        <v>-30914.3109524421</v>
      </c>
      <c r="I17" s="26" t="n">
        <f aca="false">-I6*Assumptions!$B$7</f>
        <v>-31378.0256167287</v>
      </c>
      <c r="J17" s="26" t="n">
        <f aca="false">-J6*Assumptions!$B$7</f>
        <v>-31691.805872896</v>
      </c>
      <c r="K17" s="26" t="n">
        <f aca="false">-K6*Assumptions!$B$7</f>
        <v>-32008.723931625</v>
      </c>
      <c r="L17" s="26" t="n">
        <f aca="false">-L6*Assumptions!$B$7</f>
        <v>-32328.8111709412</v>
      </c>
    </row>
    <row r="18" customFormat="false" ht="15" hidden="false" customHeight="true" outlineLevel="0" collapsed="false">
      <c r="A18" s="3" t="s">
        <v>96</v>
      </c>
      <c r="C18" s="26" t="n">
        <f aca="false">Assumptions!$B$8*(C6-B6)</f>
        <v>0</v>
      </c>
      <c r="D18" s="26" t="n">
        <f aca="false">Assumptions!$B$8*(D6-C6)</f>
        <v>0</v>
      </c>
      <c r="E18" s="26" t="n">
        <f aca="false">Assumptions!$B$8*(E6-D6)</f>
        <v>0</v>
      </c>
      <c r="F18" s="26" t="n">
        <f aca="false">Assumptions!$B$8*(F6-E6)</f>
        <v>0</v>
      </c>
      <c r="G18" s="26" t="n">
        <f aca="false">Assumptions!$B$8*(G6-F6)</f>
        <v>0</v>
      </c>
      <c r="H18" s="26" t="n">
        <f aca="false">Assumptions!$B$8*(H6-G6)</f>
        <v>0</v>
      </c>
      <c r="I18" s="26" t="n">
        <f aca="false">Assumptions!$B$8*(I6-H6)</f>
        <v>0</v>
      </c>
      <c r="J18" s="26" t="n">
        <f aca="false">Assumptions!$B$8*(J6-I6)</f>
        <v>0</v>
      </c>
      <c r="K18" s="26" t="n">
        <f aca="false">Assumptions!$B$8*(K6-J6)</f>
        <v>0</v>
      </c>
      <c r="L18" s="26" t="n">
        <f aca="false">Assumptions!$B$8*(L6-K6)</f>
        <v>0</v>
      </c>
    </row>
    <row r="19" customFormat="false" ht="15" hidden="false" customHeight="true" outlineLevel="0" collapsed="false">
      <c r="A19" s="3" t="s">
        <v>97</v>
      </c>
      <c r="C19" s="27" t="n">
        <f aca="false">C15+C16+C17+C18</f>
        <v>14816.93099064</v>
      </c>
      <c r="D19" s="27" t="n">
        <f aca="false">D15+D16+D17+D18</f>
        <v>16835.74770204</v>
      </c>
      <c r="E19" s="27" t="n">
        <f aca="false">E15+E16+E17+E18</f>
        <v>18929.3903094997</v>
      </c>
      <c r="F19" s="27" t="n">
        <f aca="false">F15+F16+F17+F18</f>
        <v>20652.0277705552</v>
      </c>
      <c r="G19" s="27" t="n">
        <f aca="false">G15+G16+G17+G18</f>
        <v>21871.2817869059</v>
      </c>
      <c r="H19" s="27" t="n">
        <f aca="false">H15+H16+H17+H18</f>
        <v>22660.9088656041</v>
      </c>
      <c r="I19" s="27" t="n">
        <f aca="false">I15+I16+I17+I18</f>
        <v>23000.8224985881</v>
      </c>
      <c r="J19" s="27" t="n">
        <f aca="false">J15+J16+J17+J18</f>
        <v>23230.830723574</v>
      </c>
      <c r="K19" s="27" t="n">
        <f aca="false">K15+K16+K17+K18</f>
        <v>23463.1390308097</v>
      </c>
      <c r="L19" s="27" t="n">
        <f aca="false">L15+L16+L17+L18</f>
        <v>23697.7704211178</v>
      </c>
    </row>
    <row r="20" customFormat="false" ht="15" hidden="false" customHeight="true" outlineLevel="0" collapsed="false">
      <c r="A20" s="3" t="s">
        <v>98</v>
      </c>
      <c r="C20" s="28" t="n">
        <f aca="false">1/(1+Assumptions!$B$5)^C4</f>
        <v>0.91743119266055</v>
      </c>
      <c r="D20" s="28" t="n">
        <f aca="false">1/(1+Assumptions!$B$5)^D4</f>
        <v>0.84167999326656</v>
      </c>
      <c r="E20" s="28" t="n">
        <f aca="false">1/(1+Assumptions!$B$5)^E4</f>
        <v>0.772183480061064</v>
      </c>
      <c r="F20" s="28" t="n">
        <f aca="false">1/(1+Assumptions!$B$5)^F4</f>
        <v>0.708425211065196</v>
      </c>
      <c r="G20" s="28" t="n">
        <f aca="false">1/(1+Assumptions!$B$5)^G4</f>
        <v>0.649931386298345</v>
      </c>
      <c r="H20" s="28" t="n">
        <f aca="false">1/(1+Assumptions!$B$5)^H4</f>
        <v>0.596267326879216</v>
      </c>
      <c r="I20" s="28" t="n">
        <f aca="false">1/(1+Assumptions!$B$5)^I4</f>
        <v>0.547034244843317</v>
      </c>
      <c r="J20" s="28" t="n">
        <f aca="false">1/(1+Assumptions!$B$5)^J4</f>
        <v>0.501866279672768</v>
      </c>
      <c r="K20" s="28" t="n">
        <f aca="false">1/(1+Assumptions!$B$5)^K4</f>
        <v>0.460427779516301</v>
      </c>
      <c r="L20" s="28" t="n">
        <f aca="false">1/(1+Assumptions!$B$5)^L4</f>
        <v>0.422410806895689</v>
      </c>
    </row>
    <row r="21" customFormat="false" ht="15" hidden="false" customHeight="true" outlineLevel="0" collapsed="false">
      <c r="A21" s="3" t="s">
        <v>99</v>
      </c>
      <c r="C21" s="24" t="n">
        <f aca="false">C19*C20</f>
        <v>13593.5146703119</v>
      </c>
      <c r="D21" s="24" t="n">
        <f aca="false">D19*D20</f>
        <v>14170.3120124905</v>
      </c>
      <c r="E21" s="24" t="n">
        <f aca="false">E19*E20</f>
        <v>14616.9624846237</v>
      </c>
      <c r="F21" s="24" t="n">
        <f aca="false">F19*F20</f>
        <v>14630.4171322799</v>
      </c>
      <c r="G21" s="24" t="n">
        <f aca="false">G19*G20</f>
        <v>14214.8324918855</v>
      </c>
      <c r="H21" s="24" t="n">
        <f aca="false">H19*H20</f>
        <v>13511.9595539473</v>
      </c>
      <c r="I21" s="24" t="n">
        <f aca="false">I19*I20</f>
        <v>12582.2375662903</v>
      </c>
      <c r="J21" s="24" t="n">
        <f aca="false">J19*J20</f>
        <v>11658.7705889479</v>
      </c>
      <c r="K21" s="24" t="n">
        <f aca="false">K19*K20</f>
        <v>10803.081004438</v>
      </c>
      <c r="L21" s="24" t="n">
        <f aca="false">L19*L20</f>
        <v>10010.1943252132</v>
      </c>
    </row>
    <row r="23" customFormat="false" ht="15" hidden="false" customHeight="true" outlineLevel="0" collapsed="false">
      <c r="A23" s="3" t="s">
        <v>100</v>
      </c>
      <c r="C23" s="24" t="n">
        <f aca="false">C19-C10</f>
        <v>14816.93099064</v>
      </c>
      <c r="D23" s="24" t="n">
        <f aca="false">D19-D10</f>
        <v>16835.74770204</v>
      </c>
      <c r="E23" s="24" t="n">
        <f aca="false">E19-E10</f>
        <v>18929.3903094997</v>
      </c>
      <c r="F23" s="24" t="n">
        <f aca="false">F19-F10</f>
        <v>20652.0277705552</v>
      </c>
      <c r="G23" s="24" t="n">
        <f aca="false">G19-G10</f>
        <v>21871.2817869059</v>
      </c>
      <c r="H23" s="24" t="n">
        <f aca="false">H19-H10</f>
        <v>22660.9088656041</v>
      </c>
      <c r="I23" s="24" t="n">
        <f aca="false">I19-I10</f>
        <v>23000.8224985881</v>
      </c>
      <c r="J23" s="24" t="n">
        <f aca="false">J19-J10</f>
        <v>23230.830723574</v>
      </c>
      <c r="K23" s="24" t="n">
        <f aca="false">K19-K10</f>
        <v>23463.1390308097</v>
      </c>
      <c r="L23" s="24" t="n">
        <f aca="false">L19-L10</f>
        <v>23697.7704211178</v>
      </c>
    </row>
    <row r="24" customFormat="false" ht="15" hidden="false" customHeight="true" outlineLevel="0" collapsed="false">
      <c r="A24" s="3" t="s">
        <v>101</v>
      </c>
      <c r="C24" s="20" t="n">
        <f aca="false">C19/C6</f>
        <v>0.022532</v>
      </c>
      <c r="D24" s="20" t="n">
        <f aca="false">D19/D6</f>
        <v>0.0251</v>
      </c>
      <c r="E24" s="20" t="n">
        <f aca="false">E19/E6</f>
        <v>0.027668</v>
      </c>
      <c r="F24" s="20" t="n">
        <f aca="false">F19/F6</f>
        <v>0.029594</v>
      </c>
      <c r="G24" s="20" t="n">
        <f aca="false">G19/G6</f>
        <v>0.030878</v>
      </c>
      <c r="H24" s="20" t="n">
        <f aca="false">H19/H6</f>
        <v>0.03152</v>
      </c>
      <c r="I24" s="20" t="n">
        <f aca="false">I19/I6</f>
        <v>0.03152</v>
      </c>
      <c r="J24" s="20" t="n">
        <f aca="false">J19/J6</f>
        <v>0.03152</v>
      </c>
      <c r="K24" s="20" t="n">
        <f aca="false">K19/K6</f>
        <v>0.03152</v>
      </c>
      <c r="L24" s="20" t="n">
        <f aca="false">L19/L6</f>
        <v>0.03152</v>
      </c>
    </row>
    <row r="25" customFormat="false" ht="15" hidden="false" customHeight="true" outlineLevel="0" collapsed="false">
      <c r="A25" s="5" t="s">
        <v>102</v>
      </c>
    </row>
    <row r="26" customFormat="false" ht="15" hidden="false" customHeight="true" outlineLevel="0" collapsed="false">
      <c r="A26" s="3" t="s">
        <v>103</v>
      </c>
      <c r="B26" s="24" t="n">
        <f aca="false">SUM(C21:L21)</f>
        <v>129792.281830428</v>
      </c>
    </row>
    <row r="27" customFormat="false" ht="15" hidden="false" customHeight="true" outlineLevel="0" collapsed="false">
      <c r="A27" s="3" t="s">
        <v>62</v>
      </c>
      <c r="B27" s="29" t="n">
        <f aca="false">Assumptions!$D$15</f>
        <v>0.005</v>
      </c>
    </row>
    <row r="28" customFormat="false" ht="15" hidden="false" customHeight="true" outlineLevel="0" collapsed="false">
      <c r="A28" s="3" t="s">
        <v>104</v>
      </c>
      <c r="B28" s="24" t="n">
        <f aca="false">L19*(1+B27)</f>
        <v>23816.2592732234</v>
      </c>
    </row>
    <row r="29" customFormat="false" ht="15" hidden="false" customHeight="true" outlineLevel="0" collapsed="false">
      <c r="A29" s="3" t="s">
        <v>105</v>
      </c>
      <c r="B29" s="24" t="n">
        <f aca="false">B28/(Assumptions!$B$5-B27)</f>
        <v>280191.285567334</v>
      </c>
    </row>
    <row r="30" customFormat="false" ht="15" hidden="false" customHeight="true" outlineLevel="0" collapsed="false">
      <c r="A30" s="3" t="s">
        <v>106</v>
      </c>
      <c r="B30" s="26" t="n">
        <f aca="false">Assumptions!$B$12*L19</f>
        <v>473955.408422357</v>
      </c>
    </row>
    <row r="31" customFormat="false" ht="15" hidden="false" customHeight="true" outlineLevel="0" collapsed="false">
      <c r="A31" s="3" t="s">
        <v>107</v>
      </c>
      <c r="B31" s="24" t="n">
        <f aca="false">MAX(0,MIN(B29,B30))</f>
        <v>280191.285567334</v>
      </c>
    </row>
    <row r="32" customFormat="false" ht="15" hidden="false" customHeight="true" outlineLevel="0" collapsed="false">
      <c r="A32" s="3" t="s">
        <v>108</v>
      </c>
      <c r="B32" s="30" t="n">
        <f aca="false">B31/L19</f>
        <v>11.8235294117647</v>
      </c>
    </row>
    <row r="33" customFormat="false" ht="15" hidden="false" customHeight="true" outlineLevel="0" collapsed="false">
      <c r="A33" s="3" t="s">
        <v>109</v>
      </c>
      <c r="B33" s="24" t="n">
        <f aca="false">B31*L20</f>
        <v>118355.827021638</v>
      </c>
    </row>
    <row r="34" customFormat="false" ht="15" hidden="false" customHeight="true" outlineLevel="0" collapsed="false">
      <c r="A34" s="3" t="s">
        <v>110</v>
      </c>
      <c r="B34" s="24" t="n">
        <f aca="false">B26+B33</f>
        <v>248148.108852066</v>
      </c>
    </row>
    <row r="35" customFormat="false" ht="15" hidden="false" customHeight="true" outlineLevel="0" collapsed="false">
      <c r="A35" s="3" t="s">
        <v>111</v>
      </c>
      <c r="B35" s="26" t="n">
        <f aca="false">Assumptions!$B$9</f>
        <v>139777</v>
      </c>
    </row>
    <row r="36" customFormat="false" ht="15" hidden="false" customHeight="true" outlineLevel="0" collapsed="false">
      <c r="A36" s="3" t="s">
        <v>112</v>
      </c>
      <c r="B36" s="24" t="n">
        <f aca="false">B34+B35</f>
        <v>387925.108852066</v>
      </c>
    </row>
    <row r="37" customFormat="false" ht="15" hidden="false" customHeight="true" outlineLevel="0" collapsed="false">
      <c r="A37" s="3" t="s">
        <v>56</v>
      </c>
      <c r="B37" s="31" t="n">
        <f aca="false">Assumptions!$B$10</f>
        <v>85.1</v>
      </c>
    </row>
    <row r="38" customFormat="false" ht="15" hidden="false" customHeight="true" outlineLevel="0" collapsed="false">
      <c r="A38" s="3" t="s">
        <v>113</v>
      </c>
      <c r="B38" s="32" t="n">
        <f aca="false">B36/B37</f>
        <v>4558.4619136553</v>
      </c>
    </row>
    <row r="39" customFormat="false" ht="15" hidden="false" customHeight="true" outlineLevel="0" collapsed="false">
      <c r="A39" s="3" t="s">
        <v>114</v>
      </c>
      <c r="B39" s="20" t="n">
        <f aca="false">B38/Assumptions!$B$11-1</f>
        <v>0.499494050544508</v>
      </c>
    </row>
    <row r="41" customFormat="false" ht="15" hidden="false" customHeight="true" outlineLevel="0" collapsed="false">
      <c r="A41" s="3" t="s">
        <v>115</v>
      </c>
      <c r="B41" s="24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116</v>
      </c>
      <c r="B42" s="24" t="n">
        <f aca="false">(-L10*(1+B27)/(Assumptions!$B$5-B27))*L20</f>
        <v>0</v>
      </c>
    </row>
    <row r="43" customFormat="false" ht="15" hidden="false" customHeight="true" outlineLevel="0" collapsed="false">
      <c r="A43" s="3" t="s">
        <v>117</v>
      </c>
      <c r="B43" s="33" t="n">
        <f aca="false">(B36+B41+B42)/B37</f>
        <v>4558.4619136553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119</v>
      </c>
    </row>
    <row r="2" customFormat="false" ht="15" hidden="false" customHeight="true" outlineLevel="0" collapsed="false">
      <c r="A2" s="11" t="s">
        <v>70</v>
      </c>
    </row>
    <row r="3" customFormat="false" ht="15" hidden="false" customHeight="true" outlineLevel="0" collapsed="false"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  <c r="G3" s="6" t="s">
        <v>76</v>
      </c>
      <c r="H3" s="6" t="s">
        <v>77</v>
      </c>
      <c r="I3" s="6" t="s">
        <v>78</v>
      </c>
      <c r="J3" s="6" t="s">
        <v>79</v>
      </c>
      <c r="K3" s="6" t="s">
        <v>80</v>
      </c>
      <c r="L3" s="6" t="s">
        <v>81</v>
      </c>
    </row>
    <row r="4" customFormat="false" ht="15" hidden="false" customHeight="true" outlineLevel="0" collapsed="false">
      <c r="A4" s="22" t="s">
        <v>82</v>
      </c>
      <c r="B4" s="22" t="n">
        <v>0</v>
      </c>
      <c r="C4" s="22" t="n">
        <v>1</v>
      </c>
      <c r="D4" s="22" t="n">
        <v>2</v>
      </c>
      <c r="E4" s="22" t="n">
        <v>3</v>
      </c>
      <c r="F4" s="22" t="n">
        <v>4</v>
      </c>
      <c r="G4" s="22" t="n">
        <v>5</v>
      </c>
      <c r="H4" s="22" t="n">
        <v>6</v>
      </c>
      <c r="I4" s="22" t="n">
        <v>7</v>
      </c>
      <c r="J4" s="22" t="n">
        <v>8</v>
      </c>
      <c r="K4" s="22" t="n">
        <v>9</v>
      </c>
      <c r="L4" s="22" t="n">
        <v>10</v>
      </c>
    </row>
    <row r="5" customFormat="false" ht="15" hidden="false" customHeight="true" outlineLevel="0" collapsed="false">
      <c r="A5" s="3" t="s">
        <v>83</v>
      </c>
      <c r="C5" s="15" t="n">
        <v>0.03</v>
      </c>
      <c r="D5" s="15" t="n">
        <v>0.04</v>
      </c>
      <c r="E5" s="15" t="n">
        <v>0.035</v>
      </c>
      <c r="F5" s="15" t="n">
        <v>0.03</v>
      </c>
      <c r="G5" s="15" t="n">
        <v>0.03</v>
      </c>
      <c r="H5" s="15" t="n">
        <v>0.025</v>
      </c>
      <c r="I5" s="15" t="n">
        <v>0.02</v>
      </c>
      <c r="J5" s="15" t="n">
        <v>0.02</v>
      </c>
      <c r="K5" s="15" t="n">
        <v>0.015</v>
      </c>
      <c r="L5" s="15" t="n">
        <v>0.015</v>
      </c>
    </row>
    <row r="6" customFormat="false" ht="15" hidden="false" customHeight="true" outlineLevel="0" collapsed="false">
      <c r="A6" s="3" t="s">
        <v>84</v>
      </c>
      <c r="B6" s="23" t="n">
        <v>644701</v>
      </c>
      <c r="C6" s="24" t="n">
        <f aca="false">B6*(1+C5)</f>
        <v>664042.03</v>
      </c>
      <c r="D6" s="24" t="n">
        <f aca="false">C6*(1+D5)</f>
        <v>690603.7112</v>
      </c>
      <c r="E6" s="24" t="n">
        <f aca="false">D6*(1+E5)</f>
        <v>714774.841092</v>
      </c>
      <c r="F6" s="24" t="n">
        <f aca="false">E6*(1+F5)</f>
        <v>736218.08632476</v>
      </c>
      <c r="G6" s="24" t="n">
        <f aca="false">F6*(1+G5)</f>
        <v>758304.628914503</v>
      </c>
      <c r="H6" s="24" t="n">
        <f aca="false">G6*(1+H5)</f>
        <v>777262.244637365</v>
      </c>
      <c r="I6" s="24" t="n">
        <f aca="false">H6*(1+I5)</f>
        <v>792807.489530113</v>
      </c>
      <c r="J6" s="24" t="n">
        <f aca="false">I6*(1+J5)</f>
        <v>808663.639320715</v>
      </c>
      <c r="K6" s="24" t="n">
        <f aca="false">J6*(1+K5)</f>
        <v>820793.593910526</v>
      </c>
      <c r="L6" s="24" t="n">
        <f aca="false">K6*(1+L5)</f>
        <v>833105.497819184</v>
      </c>
    </row>
    <row r="7" customFormat="false" ht="15" hidden="false" customHeight="true" outlineLevel="0" collapsed="false">
      <c r="A7" s="3" t="s">
        <v>85</v>
      </c>
      <c r="B7" s="25" t="n">
        <v>0.0914</v>
      </c>
      <c r="C7" s="15" t="n">
        <v>0.085</v>
      </c>
      <c r="D7" s="15" t="n">
        <v>0.093</v>
      </c>
      <c r="E7" s="15" t="n">
        <v>0.1</v>
      </c>
      <c r="F7" s="15" t="n">
        <v>0.105</v>
      </c>
      <c r="G7" s="15" t="n">
        <v>0.108</v>
      </c>
      <c r="H7" s="15" t="n">
        <v>0.11</v>
      </c>
      <c r="I7" s="15" t="n">
        <v>0.111</v>
      </c>
      <c r="J7" s="15" t="n">
        <v>0.112</v>
      </c>
      <c r="K7" s="15" t="n">
        <v>0.112</v>
      </c>
      <c r="L7" s="15" t="n">
        <v>0.112</v>
      </c>
    </row>
    <row r="8" customFormat="false" ht="15" hidden="false" customHeight="true" outlineLevel="0" collapsed="false">
      <c r="A8" s="3" t="s">
        <v>86</v>
      </c>
      <c r="C8" s="24" t="n">
        <f aca="false">C6*C7</f>
        <v>56443.57255</v>
      </c>
      <c r="D8" s="24" t="n">
        <f aca="false">D6*D7</f>
        <v>64226.1451416</v>
      </c>
      <c r="E8" s="24" t="n">
        <f aca="false">E6*E7</f>
        <v>71477.4841092</v>
      </c>
      <c r="F8" s="24" t="n">
        <f aca="false">F6*F7</f>
        <v>77302.8990640998</v>
      </c>
      <c r="G8" s="24" t="n">
        <f aca="false">G6*G7</f>
        <v>81896.8999227663</v>
      </c>
      <c r="H8" s="24" t="n">
        <f aca="false">H6*H7</f>
        <v>85498.8469101102</v>
      </c>
      <c r="I8" s="24" t="n">
        <f aca="false">I6*I7</f>
        <v>88001.6313378425</v>
      </c>
      <c r="J8" s="24" t="n">
        <f aca="false">J6*J7</f>
        <v>90570.3276039201</v>
      </c>
      <c r="K8" s="24" t="n">
        <f aca="false">K6*K7</f>
        <v>91928.8825179789</v>
      </c>
      <c r="L8" s="24" t="n">
        <f aca="false">L6*L7</f>
        <v>93307.8157557486</v>
      </c>
    </row>
    <row r="9" customFormat="false" ht="15" hidden="false" customHeight="true" outlineLevel="0" collapsed="false">
      <c r="A9" s="3" t="s">
        <v>87</v>
      </c>
      <c r="B9" s="2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</row>
    <row r="10" customFormat="false" ht="15" hidden="false" customHeight="true" outlineLevel="0" collapsed="false">
      <c r="A10" s="3" t="s">
        <v>88</v>
      </c>
      <c r="C10" s="24" t="n">
        <f aca="false">-C6*C9</f>
        <v>-0</v>
      </c>
      <c r="D10" s="24" t="n">
        <f aca="false">-D6*D9</f>
        <v>-0</v>
      </c>
      <c r="E10" s="24" t="n">
        <f aca="false">-E6*E9</f>
        <v>-0</v>
      </c>
      <c r="F10" s="24" t="n">
        <f aca="false">-F6*F9</f>
        <v>-0</v>
      </c>
      <c r="G10" s="24" t="n">
        <f aca="false">-G6*G9</f>
        <v>-0</v>
      </c>
      <c r="H10" s="24" t="n">
        <f aca="false">-H6*H9</f>
        <v>-0</v>
      </c>
      <c r="I10" s="24" t="n">
        <f aca="false">-I6*I9</f>
        <v>-0</v>
      </c>
      <c r="J10" s="24" t="n">
        <f aca="false">-J6*J9</f>
        <v>-0</v>
      </c>
      <c r="K10" s="24" t="n">
        <f aca="false">-K6*K9</f>
        <v>-0</v>
      </c>
      <c r="L10" s="24" t="n">
        <f aca="false">-L6*L9</f>
        <v>-0</v>
      </c>
    </row>
    <row r="11" customFormat="false" ht="15" hidden="false" customHeight="true" outlineLevel="0" collapsed="false">
      <c r="A11" s="3" t="s">
        <v>89</v>
      </c>
      <c r="C11" s="24" t="n">
        <f aca="false">C8+C10</f>
        <v>56443.57255</v>
      </c>
      <c r="D11" s="24" t="n">
        <f aca="false">D8+D10</f>
        <v>64226.1451416</v>
      </c>
      <c r="E11" s="24" t="n">
        <f aca="false">E8+E10</f>
        <v>71477.4841092</v>
      </c>
      <c r="F11" s="24" t="n">
        <f aca="false">F8+F10</f>
        <v>77302.8990640998</v>
      </c>
      <c r="G11" s="24" t="n">
        <f aca="false">G8+G10</f>
        <v>81896.8999227663</v>
      </c>
      <c r="H11" s="24" t="n">
        <f aca="false">H8+H10</f>
        <v>85498.8469101102</v>
      </c>
      <c r="I11" s="24" t="n">
        <f aca="false">I8+I10</f>
        <v>88001.6313378425</v>
      </c>
      <c r="J11" s="24" t="n">
        <f aca="false">J8+J10</f>
        <v>90570.3276039201</v>
      </c>
      <c r="K11" s="24" t="n">
        <f aca="false">K8+K10</f>
        <v>91928.8825179789</v>
      </c>
      <c r="L11" s="24" t="n">
        <f aca="false">L8+L10</f>
        <v>93307.8157557486</v>
      </c>
    </row>
    <row r="12" customFormat="false" ht="15" hidden="false" customHeight="true" outlineLevel="0" collapsed="false">
      <c r="A12" s="3" t="s">
        <v>90</v>
      </c>
      <c r="C12" s="26" t="n">
        <f aca="false">-C6*Assumptions!$B$6</f>
        <v>-23905.51308</v>
      </c>
      <c r="D12" s="26" t="n">
        <f aca="false">-D6*Assumptions!$B$6</f>
        <v>-24861.7336032</v>
      </c>
      <c r="E12" s="26" t="n">
        <f aca="false">-E6*Assumptions!$B$6</f>
        <v>-25731.894279312</v>
      </c>
      <c r="F12" s="26" t="n">
        <f aca="false">-F6*Assumptions!$B$6</f>
        <v>-26503.8511076914</v>
      </c>
      <c r="G12" s="26" t="n">
        <f aca="false">-G6*Assumptions!$B$6</f>
        <v>-27298.9666409221</v>
      </c>
      <c r="H12" s="26" t="n">
        <f aca="false">-H6*Assumptions!$B$6</f>
        <v>-27981.4408069452</v>
      </c>
      <c r="I12" s="26" t="n">
        <f aca="false">-I6*Assumptions!$B$6</f>
        <v>-28541.0696230841</v>
      </c>
      <c r="J12" s="26" t="n">
        <f aca="false">-J6*Assumptions!$B$6</f>
        <v>-29111.8910155457</v>
      </c>
      <c r="K12" s="26" t="n">
        <f aca="false">-K6*Assumptions!$B$6</f>
        <v>-29548.5693807789</v>
      </c>
      <c r="L12" s="26" t="n">
        <f aca="false">-L6*Assumptions!$B$6</f>
        <v>-29991.7979214906</v>
      </c>
    </row>
    <row r="13" customFormat="false" ht="15" hidden="false" customHeight="true" outlineLevel="0" collapsed="false">
      <c r="A13" s="3" t="s">
        <v>91</v>
      </c>
      <c r="C13" s="24" t="n">
        <f aca="false">C11+C12</f>
        <v>32538.05947</v>
      </c>
      <c r="D13" s="24" t="n">
        <f aca="false">D11+D12</f>
        <v>39364.4115384</v>
      </c>
      <c r="E13" s="24" t="n">
        <f aca="false">E11+E12</f>
        <v>45745.589829888</v>
      </c>
      <c r="F13" s="24" t="n">
        <f aca="false">F11+F12</f>
        <v>50799.0479564084</v>
      </c>
      <c r="G13" s="24" t="n">
        <f aca="false">G11+G12</f>
        <v>54597.9332818442</v>
      </c>
      <c r="H13" s="24" t="n">
        <f aca="false">H11+H12</f>
        <v>57517.4061031651</v>
      </c>
      <c r="I13" s="24" t="n">
        <f aca="false">I11+I12</f>
        <v>59460.5617147585</v>
      </c>
      <c r="J13" s="24" t="n">
        <f aca="false">J11+J12</f>
        <v>61458.4365883743</v>
      </c>
      <c r="K13" s="24" t="n">
        <f aca="false">K11+K12</f>
        <v>62380.3131372</v>
      </c>
      <c r="L13" s="24" t="n">
        <f aca="false">L11+L12</f>
        <v>63316.0178342579</v>
      </c>
    </row>
    <row r="14" customFormat="false" ht="15" hidden="false" customHeight="true" outlineLevel="0" collapsed="false">
      <c r="A14" s="3" t="s">
        <v>92</v>
      </c>
      <c r="C14" s="15" t="n">
        <v>0.358</v>
      </c>
      <c r="D14" s="15" t="n">
        <v>0.358</v>
      </c>
      <c r="E14" s="15" t="n">
        <v>0.358</v>
      </c>
      <c r="F14" s="15" t="n">
        <v>0.358</v>
      </c>
      <c r="G14" s="15" t="n">
        <v>0.358</v>
      </c>
      <c r="H14" s="15" t="n">
        <v>0.358</v>
      </c>
      <c r="I14" s="15" t="n">
        <v>0.358</v>
      </c>
      <c r="J14" s="15" t="n">
        <v>0.358</v>
      </c>
      <c r="K14" s="15" t="n">
        <v>0.358</v>
      </c>
      <c r="L14" s="15" t="n">
        <v>0.358</v>
      </c>
    </row>
    <row r="15" customFormat="false" ht="15" hidden="false" customHeight="true" outlineLevel="0" collapsed="false">
      <c r="A15" s="3" t="s">
        <v>93</v>
      </c>
      <c r="C15" s="24" t="n">
        <f aca="false">C13*(1-C14)</f>
        <v>20889.43417974</v>
      </c>
      <c r="D15" s="24" t="n">
        <f aca="false">D13*(1-D14)</f>
        <v>25271.9522076528</v>
      </c>
      <c r="E15" s="24" t="n">
        <f aca="false">E13*(1-E14)</f>
        <v>29368.6686707881</v>
      </c>
      <c r="F15" s="24" t="n">
        <f aca="false">F13*(1-F14)</f>
        <v>32612.9887880142</v>
      </c>
      <c r="G15" s="24" t="n">
        <f aca="false">G13*(1-G14)</f>
        <v>35051.873166944</v>
      </c>
      <c r="H15" s="24" t="n">
        <f aca="false">H13*(1-H14)</f>
        <v>36926.174718232</v>
      </c>
      <c r="I15" s="24" t="n">
        <f aca="false">I13*(1-I14)</f>
        <v>38173.6806208749</v>
      </c>
      <c r="J15" s="24" t="n">
        <f aca="false">J13*(1-J14)</f>
        <v>39456.3162897363</v>
      </c>
      <c r="K15" s="24" t="n">
        <f aca="false">K13*(1-K14)</f>
        <v>40048.1610340824</v>
      </c>
      <c r="L15" s="24" t="n">
        <f aca="false">L13*(1-L14)</f>
        <v>40648.8834495936</v>
      </c>
    </row>
    <row r="16" customFormat="false" ht="15" hidden="false" customHeight="true" outlineLevel="0" collapsed="false">
      <c r="A16" s="3" t="s">
        <v>94</v>
      </c>
      <c r="C16" s="24" t="n">
        <f aca="false">-C12</f>
        <v>23905.51308</v>
      </c>
      <c r="D16" s="24" t="n">
        <f aca="false">-D12</f>
        <v>24861.7336032</v>
      </c>
      <c r="E16" s="24" t="n">
        <f aca="false">-E12</f>
        <v>25731.894279312</v>
      </c>
      <c r="F16" s="24" t="n">
        <f aca="false">-F12</f>
        <v>26503.8511076914</v>
      </c>
      <c r="G16" s="24" t="n">
        <f aca="false">-G12</f>
        <v>27298.9666409221</v>
      </c>
      <c r="H16" s="24" t="n">
        <f aca="false">-H12</f>
        <v>27981.4408069452</v>
      </c>
      <c r="I16" s="24" t="n">
        <f aca="false">-I12</f>
        <v>28541.0696230841</v>
      </c>
      <c r="J16" s="24" t="n">
        <f aca="false">-J12</f>
        <v>29111.8910155457</v>
      </c>
      <c r="K16" s="24" t="n">
        <f aca="false">-K12</f>
        <v>29548.5693807789</v>
      </c>
      <c r="L16" s="24" t="n">
        <f aca="false">-L12</f>
        <v>29991.7979214906</v>
      </c>
    </row>
    <row r="17" customFormat="false" ht="15" hidden="false" customHeight="true" outlineLevel="0" collapsed="false">
      <c r="A17" s="3" t="s">
        <v>95</v>
      </c>
      <c r="C17" s="26" t="n">
        <f aca="false">-C6*Assumptions!$B$7</f>
        <v>-28553.80729</v>
      </c>
      <c r="D17" s="26" t="n">
        <f aca="false">-D6*Assumptions!$B$7</f>
        <v>-29695.9595816</v>
      </c>
      <c r="E17" s="26" t="n">
        <f aca="false">-E6*Assumptions!$B$7</f>
        <v>-30735.318166956</v>
      </c>
      <c r="F17" s="26" t="n">
        <f aca="false">-F6*Assumptions!$B$7</f>
        <v>-31657.3777119647</v>
      </c>
      <c r="G17" s="26" t="n">
        <f aca="false">-G6*Assumptions!$B$7</f>
        <v>-32607.0990433236</v>
      </c>
      <c r="H17" s="26" t="n">
        <f aca="false">-H6*Assumptions!$B$7</f>
        <v>-33422.2765194067</v>
      </c>
      <c r="I17" s="26" t="n">
        <f aca="false">-I6*Assumptions!$B$7</f>
        <v>-34090.7220497948</v>
      </c>
      <c r="J17" s="26" t="n">
        <f aca="false">-J6*Assumptions!$B$7</f>
        <v>-34772.5364907907</v>
      </c>
      <c r="K17" s="26" t="n">
        <f aca="false">-K6*Assumptions!$B$7</f>
        <v>-35294.1245381526</v>
      </c>
      <c r="L17" s="26" t="n">
        <f aca="false">-L6*Assumptions!$B$7</f>
        <v>-35823.5364062249</v>
      </c>
    </row>
    <row r="18" customFormat="false" ht="15" hidden="false" customHeight="true" outlineLevel="0" collapsed="false">
      <c r="A18" s="3" t="s">
        <v>96</v>
      </c>
      <c r="C18" s="26" t="n">
        <f aca="false">Assumptions!$B$8*(C6-B6)</f>
        <v>0</v>
      </c>
      <c r="D18" s="26" t="n">
        <f aca="false">Assumptions!$B$8*(D6-C6)</f>
        <v>0</v>
      </c>
      <c r="E18" s="26" t="n">
        <f aca="false">Assumptions!$B$8*(E6-D6)</f>
        <v>0</v>
      </c>
      <c r="F18" s="26" t="n">
        <f aca="false">Assumptions!$B$8*(F6-E6)</f>
        <v>0</v>
      </c>
      <c r="G18" s="26" t="n">
        <f aca="false">Assumptions!$B$8*(G6-F6)</f>
        <v>0</v>
      </c>
      <c r="H18" s="26" t="n">
        <f aca="false">Assumptions!$B$8*(H6-G6)</f>
        <v>0</v>
      </c>
      <c r="I18" s="26" t="n">
        <f aca="false">Assumptions!$B$8*(I6-H6)</f>
        <v>0</v>
      </c>
      <c r="J18" s="26" t="n">
        <f aca="false">Assumptions!$B$8*(J6-I6)</f>
        <v>0</v>
      </c>
      <c r="K18" s="26" t="n">
        <f aca="false">Assumptions!$B$8*(K6-J6)</f>
        <v>0</v>
      </c>
      <c r="L18" s="26" t="n">
        <f aca="false">Assumptions!$B$8*(L6-K6)</f>
        <v>0</v>
      </c>
    </row>
    <row r="19" customFormat="false" ht="15" hidden="false" customHeight="true" outlineLevel="0" collapsed="false">
      <c r="A19" s="3" t="s">
        <v>97</v>
      </c>
      <c r="C19" s="27" t="n">
        <f aca="false">C15+C16+C17+C18</f>
        <v>16241.13996974</v>
      </c>
      <c r="D19" s="27" t="n">
        <f aca="false">D15+D16+D17+D18</f>
        <v>20437.7262292528</v>
      </c>
      <c r="E19" s="27" t="n">
        <f aca="false">E15+E16+E17+E18</f>
        <v>24365.2447831441</v>
      </c>
      <c r="F19" s="27" t="n">
        <f aca="false">F15+F16+F17+F18</f>
        <v>27459.4621837409</v>
      </c>
      <c r="G19" s="27" t="n">
        <f aca="false">G15+G16+G17+G18</f>
        <v>29743.7407645425</v>
      </c>
      <c r="H19" s="27" t="n">
        <f aca="false">H15+H16+H17+H18</f>
        <v>31485.3390057704</v>
      </c>
      <c r="I19" s="27" t="n">
        <f aca="false">I15+I16+I17+I18</f>
        <v>32624.0281941641</v>
      </c>
      <c r="J19" s="27" t="n">
        <f aca="false">J15+J16+J17+J18</f>
        <v>33795.6708144913</v>
      </c>
      <c r="K19" s="27" t="n">
        <f aca="false">K15+K16+K17+K18</f>
        <v>34302.6058767087</v>
      </c>
      <c r="L19" s="27" t="n">
        <f aca="false">L15+L16+L17+L18</f>
        <v>34817.1449648593</v>
      </c>
    </row>
    <row r="20" customFormat="false" ht="15" hidden="false" customHeight="true" outlineLevel="0" collapsed="false">
      <c r="A20" s="3" t="s">
        <v>98</v>
      </c>
      <c r="C20" s="28" t="n">
        <f aca="false">1/(1+Assumptions!$B$5)^C4</f>
        <v>0.91743119266055</v>
      </c>
      <c r="D20" s="28" t="n">
        <f aca="false">1/(1+Assumptions!$B$5)^D4</f>
        <v>0.84167999326656</v>
      </c>
      <c r="E20" s="28" t="n">
        <f aca="false">1/(1+Assumptions!$B$5)^E4</f>
        <v>0.772183480061064</v>
      </c>
      <c r="F20" s="28" t="n">
        <f aca="false">1/(1+Assumptions!$B$5)^F4</f>
        <v>0.708425211065196</v>
      </c>
      <c r="G20" s="28" t="n">
        <f aca="false">1/(1+Assumptions!$B$5)^G4</f>
        <v>0.649931386298345</v>
      </c>
      <c r="H20" s="28" t="n">
        <f aca="false">1/(1+Assumptions!$B$5)^H4</f>
        <v>0.596267326879216</v>
      </c>
      <c r="I20" s="28" t="n">
        <f aca="false">1/(1+Assumptions!$B$5)^I4</f>
        <v>0.547034244843317</v>
      </c>
      <c r="J20" s="28" t="n">
        <f aca="false">1/(1+Assumptions!$B$5)^J4</f>
        <v>0.501866279672768</v>
      </c>
      <c r="K20" s="28" t="n">
        <f aca="false">1/(1+Assumptions!$B$5)^K4</f>
        <v>0.460427779516301</v>
      </c>
      <c r="L20" s="28" t="n">
        <f aca="false">1/(1+Assumptions!$B$5)^L4</f>
        <v>0.422410806895689</v>
      </c>
    </row>
    <row r="21" customFormat="false" ht="15" hidden="false" customHeight="true" outlineLevel="0" collapsed="false">
      <c r="A21" s="3" t="s">
        <v>99</v>
      </c>
      <c r="C21" s="24" t="n">
        <f aca="false">C19*C20</f>
        <v>14900.1284126055</v>
      </c>
      <c r="D21" s="24" t="n">
        <f aca="false">D19*D20</f>
        <v>17202.0252750213</v>
      </c>
      <c r="E21" s="24" t="n">
        <f aca="false">E19*E20</f>
        <v>18814.4395091879</v>
      </c>
      <c r="F21" s="24" t="n">
        <f aca="false">F19*F20</f>
        <v>19452.9752932534</v>
      </c>
      <c r="G21" s="24" t="n">
        <f aca="false">G19*G20</f>
        <v>19331.3906687977</v>
      </c>
      <c r="H21" s="24" t="n">
        <f aca="false">H19*H20</f>
        <v>18773.6789248566</v>
      </c>
      <c r="I21" s="24" t="n">
        <f aca="false">I19*I20</f>
        <v>17846.4606269417</v>
      </c>
      <c r="J21" s="24" t="n">
        <f aca="false">J19*J20</f>
        <v>16960.9075807143</v>
      </c>
      <c r="K21" s="24" t="n">
        <f aca="false">K19*K20</f>
        <v>15793.8726554358</v>
      </c>
      <c r="L21" s="24" t="n">
        <f aca="false">L19*L20</f>
        <v>14707.1382984104</v>
      </c>
    </row>
    <row r="23" customFormat="false" ht="15" hidden="false" customHeight="true" outlineLevel="0" collapsed="false">
      <c r="A23" s="3" t="s">
        <v>100</v>
      </c>
      <c r="C23" s="24" t="n">
        <f aca="false">C19-C10</f>
        <v>16241.13996974</v>
      </c>
      <c r="D23" s="24" t="n">
        <f aca="false">D19-D10</f>
        <v>20437.7262292528</v>
      </c>
      <c r="E23" s="24" t="n">
        <f aca="false">E19-E10</f>
        <v>24365.2447831441</v>
      </c>
      <c r="F23" s="24" t="n">
        <f aca="false">F19-F10</f>
        <v>27459.4621837409</v>
      </c>
      <c r="G23" s="24" t="n">
        <f aca="false">G19-G10</f>
        <v>29743.7407645425</v>
      </c>
      <c r="H23" s="24" t="n">
        <f aca="false">H19-H10</f>
        <v>31485.3390057704</v>
      </c>
      <c r="I23" s="24" t="n">
        <f aca="false">I19-I10</f>
        <v>32624.0281941641</v>
      </c>
      <c r="J23" s="24" t="n">
        <f aca="false">J19-J10</f>
        <v>33795.6708144913</v>
      </c>
      <c r="K23" s="24" t="n">
        <f aca="false">K19-K10</f>
        <v>34302.6058767087</v>
      </c>
      <c r="L23" s="24" t="n">
        <f aca="false">L19-L10</f>
        <v>34817.1449648593</v>
      </c>
    </row>
    <row r="24" customFormat="false" ht="15" hidden="false" customHeight="true" outlineLevel="0" collapsed="false">
      <c r="A24" s="3" t="s">
        <v>101</v>
      </c>
      <c r="C24" s="20" t="n">
        <f aca="false">C19/C6</f>
        <v>0.024458</v>
      </c>
      <c r="D24" s="20" t="n">
        <f aca="false">D19/D6</f>
        <v>0.029594</v>
      </c>
      <c r="E24" s="20" t="n">
        <f aca="false">E19/E6</f>
        <v>0.034088</v>
      </c>
      <c r="F24" s="20" t="n">
        <f aca="false">F19/F6</f>
        <v>0.037298</v>
      </c>
      <c r="G24" s="20" t="n">
        <f aca="false">G19/G6</f>
        <v>0.039224</v>
      </c>
      <c r="H24" s="20" t="n">
        <f aca="false">H19/H6</f>
        <v>0.040508</v>
      </c>
      <c r="I24" s="20" t="n">
        <f aca="false">I19/I6</f>
        <v>0.04115</v>
      </c>
      <c r="J24" s="20" t="n">
        <f aca="false">J19/J6</f>
        <v>0.041792</v>
      </c>
      <c r="K24" s="20" t="n">
        <f aca="false">K19/K6</f>
        <v>0.041792</v>
      </c>
      <c r="L24" s="20" t="n">
        <f aca="false">L19/L6</f>
        <v>0.041792</v>
      </c>
    </row>
    <row r="25" customFormat="false" ht="15" hidden="false" customHeight="true" outlineLevel="0" collapsed="false">
      <c r="A25" s="5" t="s">
        <v>102</v>
      </c>
    </row>
    <row r="26" customFormat="false" ht="15" hidden="false" customHeight="true" outlineLevel="0" collapsed="false">
      <c r="A26" s="3" t="s">
        <v>103</v>
      </c>
      <c r="B26" s="24" t="n">
        <f aca="false">SUM(C21:L21)</f>
        <v>173783.017245225</v>
      </c>
    </row>
    <row r="27" customFormat="false" ht="15" hidden="false" customHeight="true" outlineLevel="0" collapsed="false">
      <c r="A27" s="3" t="s">
        <v>62</v>
      </c>
      <c r="B27" s="29" t="n">
        <f aca="false">Assumptions!$E$15</f>
        <v>0.01</v>
      </c>
    </row>
    <row r="28" customFormat="false" ht="15" hidden="false" customHeight="true" outlineLevel="0" collapsed="false">
      <c r="A28" s="3" t="s">
        <v>104</v>
      </c>
      <c r="B28" s="24" t="n">
        <f aca="false">L19*(1+B27)</f>
        <v>35165.3164145079</v>
      </c>
    </row>
    <row r="29" customFormat="false" ht="15" hidden="false" customHeight="true" outlineLevel="0" collapsed="false">
      <c r="A29" s="3" t="s">
        <v>105</v>
      </c>
      <c r="B29" s="24" t="n">
        <f aca="false">B28/(Assumptions!$B$5-B27)</f>
        <v>439566.455181349</v>
      </c>
    </row>
    <row r="30" customFormat="false" ht="15" hidden="false" customHeight="true" outlineLevel="0" collapsed="false">
      <c r="A30" s="3" t="s">
        <v>106</v>
      </c>
      <c r="B30" s="26" t="n">
        <f aca="false">Assumptions!$B$12*L19</f>
        <v>696342.899297187</v>
      </c>
    </row>
    <row r="31" customFormat="false" ht="15" hidden="false" customHeight="true" outlineLevel="0" collapsed="false">
      <c r="A31" s="3" t="s">
        <v>107</v>
      </c>
      <c r="B31" s="24" t="n">
        <f aca="false">MAX(0,MIN(B29,B30))</f>
        <v>439566.455181349</v>
      </c>
    </row>
    <row r="32" customFormat="false" ht="15" hidden="false" customHeight="true" outlineLevel="0" collapsed="false">
      <c r="A32" s="3" t="s">
        <v>108</v>
      </c>
      <c r="B32" s="30" t="n">
        <f aca="false">B31/L19</f>
        <v>12.625</v>
      </c>
    </row>
    <row r="33" customFormat="false" ht="15" hidden="false" customHeight="true" outlineLevel="0" collapsed="false">
      <c r="A33" s="3" t="s">
        <v>109</v>
      </c>
      <c r="B33" s="24" t="n">
        <f aca="false">B31*L20</f>
        <v>185677.621017431</v>
      </c>
    </row>
    <row r="34" customFormat="false" ht="15" hidden="false" customHeight="true" outlineLevel="0" collapsed="false">
      <c r="A34" s="3" t="s">
        <v>110</v>
      </c>
      <c r="B34" s="24" t="n">
        <f aca="false">B26+B33</f>
        <v>359460.638262656</v>
      </c>
    </row>
    <row r="35" customFormat="false" ht="15" hidden="false" customHeight="true" outlineLevel="0" collapsed="false">
      <c r="A35" s="3" t="s">
        <v>111</v>
      </c>
      <c r="B35" s="26" t="n">
        <f aca="false">Assumptions!$B$9</f>
        <v>139777</v>
      </c>
    </row>
    <row r="36" customFormat="false" ht="15" hidden="false" customHeight="true" outlineLevel="0" collapsed="false">
      <c r="A36" s="3" t="s">
        <v>112</v>
      </c>
      <c r="B36" s="24" t="n">
        <f aca="false">B34+B35</f>
        <v>499237.638262656</v>
      </c>
    </row>
    <row r="37" customFormat="false" ht="15" hidden="false" customHeight="true" outlineLevel="0" collapsed="false">
      <c r="A37" s="3" t="s">
        <v>56</v>
      </c>
      <c r="B37" s="31" t="n">
        <f aca="false">Assumptions!$B$10</f>
        <v>85.1</v>
      </c>
    </row>
    <row r="38" customFormat="false" ht="15" hidden="false" customHeight="true" outlineLevel="0" collapsed="false">
      <c r="A38" s="3" t="s">
        <v>113</v>
      </c>
      <c r="B38" s="32" t="n">
        <f aca="false">B36/B37</f>
        <v>5866.48223575389</v>
      </c>
    </row>
    <row r="39" customFormat="false" ht="15" hidden="false" customHeight="true" outlineLevel="0" collapsed="false">
      <c r="A39" s="3" t="s">
        <v>114</v>
      </c>
      <c r="B39" s="20" t="n">
        <f aca="false">B38/Assumptions!$B$11-1</f>
        <v>0.929763893340095</v>
      </c>
    </row>
    <row r="41" customFormat="false" ht="15" hidden="false" customHeight="true" outlineLevel="0" collapsed="false">
      <c r="A41" s="3" t="s">
        <v>115</v>
      </c>
      <c r="B41" s="24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116</v>
      </c>
      <c r="B42" s="24" t="n">
        <f aca="false">(-L10*(1+B27)/(Assumptions!$B$5-B27))*L20</f>
        <v>0</v>
      </c>
    </row>
    <row r="43" customFormat="false" ht="15" hidden="false" customHeight="true" outlineLevel="0" collapsed="false">
      <c r="A43" s="3" t="s">
        <v>117</v>
      </c>
      <c r="B43" s="33" t="n">
        <f aca="false">(B36+B41+B42)/B37</f>
        <v>5866.48223575389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120</v>
      </c>
    </row>
    <row r="2" customFormat="false" ht="15" hidden="false" customHeight="true" outlineLevel="0" collapsed="false">
      <c r="A2" s="11" t="s">
        <v>121</v>
      </c>
    </row>
    <row r="4" customFormat="false" ht="15" hidden="false" customHeight="true" outlineLevel="0" collapsed="false">
      <c r="B4" s="6" t="s">
        <v>22</v>
      </c>
      <c r="C4" s="6" t="s">
        <v>23</v>
      </c>
      <c r="D4" s="6" t="s">
        <v>24</v>
      </c>
    </row>
    <row r="5" customFormat="false" ht="15" hidden="false" customHeight="true" outlineLevel="0" collapsed="false">
      <c r="A5" s="3" t="s">
        <v>113</v>
      </c>
      <c r="B5" s="8" t="n">
        <f aca="false">DCF_Bear!$B$38</f>
        <v>2475.81373747097</v>
      </c>
      <c r="C5" s="8" t="n">
        <f aca="false">DCF_Base!$B$38</f>
        <v>4558.4619136553</v>
      </c>
      <c r="D5" s="8" t="n">
        <f aca="false">DCF_Bull!$B$38</f>
        <v>5866.48223575389</v>
      </c>
    </row>
    <row r="6" customFormat="false" ht="15" hidden="false" customHeight="true" outlineLevel="0" collapsed="false">
      <c r="A6" s="3" t="s">
        <v>122</v>
      </c>
      <c r="B6" s="20" t="n">
        <f aca="false">B5/Assumptions!$B$11-1</f>
        <v>-0.185587586358233</v>
      </c>
      <c r="C6" s="20" t="n">
        <f aca="false">C5/Assumptions!$B$11-1</f>
        <v>0.499494050544508</v>
      </c>
      <c r="D6" s="20" t="n">
        <f aca="false">D5/Assumptions!$B$11-1</f>
        <v>0.929763893340095</v>
      </c>
    </row>
    <row r="7" customFormat="false" ht="15" hidden="false" customHeight="true" outlineLevel="0" collapsed="false">
      <c r="A7" s="3" t="s">
        <v>123</v>
      </c>
      <c r="B7" s="29" t="n">
        <f aca="false">Assumptions!$C$16</f>
        <v>0.2</v>
      </c>
      <c r="C7" s="29" t="n">
        <f aca="false">Assumptions!$D$16</f>
        <v>0.5</v>
      </c>
      <c r="D7" s="29" t="n">
        <f aca="false">Assumptions!$E$16</f>
        <v>0.3</v>
      </c>
    </row>
    <row r="8" customFormat="false" ht="15" hidden="false" customHeight="true" outlineLevel="0" collapsed="false">
      <c r="A8" s="3" t="s">
        <v>124</v>
      </c>
      <c r="B8" s="8" t="n">
        <f aca="false">DCF_Bear!$B$43</f>
        <v>2475.81373747097</v>
      </c>
      <c r="C8" s="8" t="n">
        <f aca="false">DCF_Base!$B$43</f>
        <v>4558.4619136553</v>
      </c>
      <c r="D8" s="8" t="n">
        <f aca="false">DCF_Bull!$B$43</f>
        <v>5866.48223575389</v>
      </c>
    </row>
    <row r="10" customFormat="false" ht="15" hidden="false" customHeight="true" outlineLevel="0" collapsed="false">
      <c r="A10" s="3" t="s">
        <v>125</v>
      </c>
      <c r="B10" s="32" t="n">
        <f aca="false">SUMPRODUCT(B5:D5,B7:D7)</f>
        <v>4534.33837504801</v>
      </c>
    </row>
    <row r="11" customFormat="false" ht="15" hidden="false" customHeight="true" outlineLevel="0" collapsed="false">
      <c r="A11" s="3" t="s">
        <v>126</v>
      </c>
      <c r="B11" s="8" t="n">
        <f aca="false">Assumptions!$B$11</f>
        <v>3040</v>
      </c>
    </row>
    <row r="12" customFormat="false" ht="15" hidden="false" customHeight="true" outlineLevel="0" collapsed="false">
      <c r="A12" s="3" t="s">
        <v>127</v>
      </c>
      <c r="B12" s="20" t="n">
        <f aca="false">1-B11/B10</f>
        <v>0.329560401418474</v>
      </c>
    </row>
    <row r="13" customFormat="false" ht="15" hidden="false" customHeight="true" outlineLevel="0" collapsed="false">
      <c r="A13" s="3" t="s">
        <v>128</v>
      </c>
      <c r="B13" s="33" t="n">
        <f aca="false">SUMPRODUCT(B8:D8,B7:D7)</f>
        <v>4534.33837504801</v>
      </c>
    </row>
    <row r="14" customFormat="false" ht="15" hidden="false" customHeight="true" outlineLevel="0" collapsed="false">
      <c r="A14" s="3" t="s">
        <v>129</v>
      </c>
      <c r="B14" s="20" t="str">
        <f aca="false">IF(ABS(B13-B10)&lt;0.005,"n/a - SBC=0 so house=street",(Assumptions!$B$11-B10)/(B13-B10))</f>
        <v>n/a - SBC=0 so house=street</v>
      </c>
    </row>
    <row r="17" customFormat="false" ht="15" hidden="false" customHeight="true" outlineLevel="0" collapsed="false">
      <c r="A17" s="5" t="s">
        <v>130</v>
      </c>
    </row>
    <row r="18" customFormat="false" ht="15" hidden="false" customHeight="true" outlineLevel="0" collapsed="false">
      <c r="A18" s="6" t="s">
        <v>131</v>
      </c>
      <c r="B18" s="6" t="s">
        <v>132</v>
      </c>
    </row>
    <row r="19" customFormat="false" ht="15" hidden="false" customHeight="true" outlineLevel="0" collapsed="false">
      <c r="A19" s="25" t="n">
        <v>0.09</v>
      </c>
      <c r="B19" s="33" t="n">
        <f aca="false">(SUMPRODUCT(DCF_Base!$C$19:$L$19/(1+$A19)^DCF_Base!$C$4:$L$4)+MAX(0,MIN(DCF_Base!$L$19*(1+Assumptions!$D$15)/($A19-Assumptions!$D$15),Assumptions!$B$12*DCF_Base!$L$19))/(1+$A19)^10+Assumptions!$B$9)/Assumptions!$B$10</f>
        <v>4558.4619136553</v>
      </c>
    </row>
    <row r="20" customFormat="false" ht="15" hidden="false" customHeight="true" outlineLevel="0" collapsed="false">
      <c r="A20" s="25" t="n">
        <v>0.1</v>
      </c>
      <c r="B20" s="33" t="n">
        <f aca="false">(SUMPRODUCT(DCF_Base!$C$19:$L$19/(1+$A20)^DCF_Base!$C$4:$L$4)+MAX(0,MIN(DCF_Base!$L$19*(1+Assumptions!$D$15)/($A20-Assumptions!$D$15),Assumptions!$B$12*DCF_Base!$L$19))/(1+$A20)^10+Assumptions!$B$9)/Assumptions!$B$10</f>
        <v>4233.1665808586</v>
      </c>
    </row>
    <row r="21" customFormat="false" ht="15" hidden="false" customHeight="true" outlineLevel="0" collapsed="false">
      <c r="A21" s="25" t="n">
        <v>0.105</v>
      </c>
      <c r="B21" s="33" t="n">
        <f aca="false">(SUMPRODUCT(DCF_Base!$C$19:$L$19/(1+$A21)^DCF_Base!$C$4:$L$4)+MAX(0,MIN(DCF_Base!$L$19*(1+Assumptions!$D$15)/($A21-Assumptions!$D$15),Assumptions!$B$12*DCF_Base!$L$19))/(1+$A21)^10+Assumptions!$B$9)/Assumptions!$B$10</f>
        <v>4095.18510277</v>
      </c>
    </row>
    <row r="22" customFormat="false" ht="15" hidden="false" customHeight="true" outlineLevel="0" collapsed="false">
      <c r="A22" s="25" t="n">
        <v>0.11</v>
      </c>
      <c r="B22" s="33" t="n">
        <f aca="false">(SUMPRODUCT(DCF_Base!$C$19:$L$19/(1+$A22)^DCF_Base!$C$4:$L$4)+MAX(0,MIN(DCF_Base!$L$19*(1+Assumptions!$D$15)/($A22-Assumptions!$D$15),Assumptions!$B$12*DCF_Base!$L$19))/(1+$A22)^10+Assumptions!$B$9)/Assumptions!$B$10</f>
        <v>3970.50907614807</v>
      </c>
    </row>
    <row r="23" customFormat="false" ht="15" hidden="false" customHeight="true" outlineLevel="0" collapsed="false">
      <c r="A23" s="25" t="n">
        <v>0.12</v>
      </c>
      <c r="B23" s="33" t="n">
        <f aca="false">(SUMPRODUCT(DCF_Base!$C$19:$L$19/(1+$A23)^DCF_Base!$C$4:$L$4)+MAX(0,MIN(DCF_Base!$L$19*(1+Assumptions!$D$15)/($A23-Assumptions!$D$15),Assumptions!$B$12*DCF_Base!$L$19))/(1+$A23)^10+Assumptions!$B$9)/Assumptions!$B$10</f>
        <v>3754.11464554769</v>
      </c>
    </row>
    <row r="24" customFormat="false" ht="15" hidden="false" customHeight="true" outlineLevel="0" collapsed="false">
      <c r="A24" s="25" t="n">
        <v>0.15</v>
      </c>
      <c r="B24" s="33" t="n">
        <f aca="false">(SUMPRODUCT(DCF_Base!$C$19:$L$19/(1+$A24)^DCF_Base!$C$4:$L$4)+MAX(0,MIN(DCF_Base!$L$19*(1+Assumptions!$D$15)/($A24-Assumptions!$D$15),Assumptions!$B$12*DCF_Base!$L$19))/(1+$A24)^10+Assumptions!$B$9)/Assumptions!$B$10</f>
        <v>3286.54742017036</v>
      </c>
    </row>
    <row r="25" customFormat="false" ht="15" hidden="false" customHeight="true" outlineLevel="0" collapsed="false">
      <c r="A25" s="3" t="s">
        <v>133</v>
      </c>
      <c r="B25" s="33" t="n">
        <f aca="false">(SUMPRODUCT(DCF_Bear!$C$19:$L$19/(1+0.15)^DCF_Bear!$C$4:$L$4)+MAX(0,MIN(DCF_Bear!$L$19*(1+Assumptions!$C$15)/(0.15-Assumptions!$C$15),Assumptions!$B$12*DCF_Bear!$L$19))/(1+0.15)^10+Assumptions!$B$9)/Assumptions!$B$10</f>
        <v>2203.91313445492</v>
      </c>
      <c r="C25" s="33" t="n">
        <f aca="false">(SUMPRODUCT(DCF_Base!$C$19:$L$19/(1+0.15)^DCF_Base!$C$4:$L$4)+MAX(0,MIN(DCF_Base!$L$19*(1+Assumptions!$D$15)/(0.15-Assumptions!$D$15),Assumptions!$B$12*DCF_Base!$L$19))/(1+0.15)^10+Assumptions!$B$9)/Assumptions!$B$10</f>
        <v>3286.54742017036</v>
      </c>
      <c r="D25" s="33" t="n">
        <f aca="false">(SUMPRODUCT(DCF_Bull!$C$19:$L$19/(1+0.15)^DCF_Bull!$C$4:$L$4)+MAX(0,MIN(DCF_Bull!$L$19*(1+Assumptions!$E$15)/(0.15-Assumptions!$E$15),Assumptions!$B$12*DCF_Bull!$L$19))/(1+0.15)^10+Assumptions!$B$9)/Assumptions!$B$10</f>
        <v>3915.7668352663</v>
      </c>
      <c r="E25" s="32" t="n">
        <f aca="false">SUMPRODUCT(B25:D25,$B$7:$D$7)</f>
        <v>3258.78638755605</v>
      </c>
      <c r="G25" s="11" t="s">
        <v>134</v>
      </c>
    </row>
    <row r="26" customFormat="false" ht="15" hidden="false" customHeight="true" outlineLevel="0" collapsed="false">
      <c r="A26" s="3" t="s">
        <v>135</v>
      </c>
      <c r="B26" s="33" t="n">
        <f aca="false">B25+(SUMPRODUCT(-DCF_Bear!$C$10:$L$10/(1+0.15)^DCF_Bear!$C$4:$L$4)+(-DCF_Bear!$L$10*(1+Assumptions!$C$15)/(0.15-Assumptions!$C$15))/(1+0.15)^10)/Assumptions!$B$10</f>
        <v>2203.91313445492</v>
      </c>
      <c r="C26" s="33" t="n">
        <f aca="false">C25+(SUMPRODUCT(-DCF_Base!$C$10:$L$10/(1+0.15)^DCF_Base!$C$4:$L$4)+(-DCF_Base!$L$10*(1+Assumptions!$D$15)/(0.15-Assumptions!$D$15))/(1+0.15)^10)/Assumptions!$B$10</f>
        <v>3286.54742017036</v>
      </c>
      <c r="D26" s="33" t="n">
        <f aca="false">D25+(SUMPRODUCT(-DCF_Bull!$C$10:$L$10/(1+0.15)^DCF_Bull!$C$4:$L$4)+(-DCF_Bull!$L$10*(1+Assumptions!$E$15)/(0.15-Assumptions!$E$15))/(1+0.15)^10)/Assumptions!$B$10</f>
        <v>3915.7668352663</v>
      </c>
      <c r="E26" s="33" t="n">
        <f aca="false">SUMPRODUCT(B26:D26,$B$7:$D$7)</f>
        <v>3258.78638755605</v>
      </c>
    </row>
    <row r="28" customFormat="false" ht="15" hidden="false" customHeight="true" outlineLevel="0" collapsed="false">
      <c r="A28" s="5" t="s">
        <v>136</v>
      </c>
    </row>
    <row r="29" customFormat="false" ht="15" hidden="false" customHeight="true" outlineLevel="0" collapsed="false">
      <c r="A29" s="6" t="s">
        <v>137</v>
      </c>
      <c r="B29" s="34" t="n">
        <v>0</v>
      </c>
      <c r="C29" s="34" t="n">
        <v>0.005</v>
      </c>
      <c r="D29" s="34" t="n">
        <v>0.01</v>
      </c>
      <c r="E29" s="34" t="n">
        <v>0.015</v>
      </c>
      <c r="F29" s="34" t="n">
        <v>0.02</v>
      </c>
    </row>
    <row r="30" customFormat="false" ht="15" hidden="false" customHeight="true" outlineLevel="0" collapsed="false">
      <c r="A30" s="34" t="n">
        <v>0.095</v>
      </c>
      <c r="B30" s="33" t="n">
        <f aca="false">IF($A30&gt;B$29,(SUMPRODUCT(DCF_Base!$C$19:$L$19/(1+$A30)^DCF_Base!$C$4:$L$4)+MAX(0,MIN(DCF_Base!$L$19*(1+B$29)/($A30-B$29),Assumptions!$B$12*DCF_Base!$L$19))/(1+$A30)^10+Assumptions!$B$9)/Assumptions!$B$10,"n/a")</f>
        <v>4314.72271845382</v>
      </c>
      <c r="C30" s="33" t="n">
        <f aca="false">IF($A30&gt;C$29,(SUMPRODUCT(DCF_Base!$C$19:$L$19/(1+$A30)^DCF_Base!$C$4:$L$4)+MAX(0,MIN(DCF_Base!$L$19*(1+C$29)/($A30-C$29),Assumptions!$B$12*DCF_Base!$L$19))/(1+$A30)^10+Assumptions!$B$9)/Assumptions!$B$10,"n/a")</f>
        <v>4386.67668579957</v>
      </c>
      <c r="D30" s="33" t="n">
        <f aca="false">IF($A30&gt;D$29,(SUMPRODUCT(DCF_Base!$C$19:$L$19/(1+$A30)^DCF_Base!$C$4:$L$4)+MAX(0,MIN(DCF_Base!$L$19*(1+D$29)/($A30-D$29),Assumptions!$B$12*DCF_Base!$L$19))/(1+$A30)^10+Assumptions!$B$9)/Assumptions!$B$10,"n/a")</f>
        <v>4467.09582577424</v>
      </c>
      <c r="E30" s="33" t="n">
        <f aca="false">IF($A30&gt;E$29,(SUMPRODUCT(DCF_Base!$C$19:$L$19/(1+$A30)^DCF_Base!$C$4:$L$4)+MAX(0,MIN(DCF_Base!$L$19*(1+E$29)/($A30-E$29),Assumptions!$B$12*DCF_Base!$L$19))/(1+$A30)^10+Assumptions!$B$9)/Assumptions!$B$10,"n/a")</f>
        <v>4557.56735824574</v>
      </c>
      <c r="F30" s="33" t="n">
        <f aca="false">IF($A30&gt;F$29,(SUMPRODUCT(DCF_Base!$C$19:$L$19/(1+$A30)^DCF_Base!$C$4:$L$4)+MAX(0,MIN(DCF_Base!$L$19*(1+F$29)/($A30-F$29),Assumptions!$B$12*DCF_Base!$L$19))/(1+$A30)^10+Assumptions!$B$9)/Assumptions!$B$10,"n/a")</f>
        <v>4660.10176171345</v>
      </c>
    </row>
    <row r="31" customFormat="false" ht="15" hidden="false" customHeight="true" outlineLevel="0" collapsed="false">
      <c r="A31" s="34" t="n">
        <v>0.1</v>
      </c>
      <c r="B31" s="33" t="n">
        <f aca="false">IF($A31&gt;B$29,(SUMPRODUCT(DCF_Base!$C$19:$L$19/(1+$A31)^DCF_Base!$C$4:$L$4)+MAX(0,MIN(DCF_Base!$L$19*(1+B$29)/($A31-B$29),Assumptions!$B$12*DCF_Base!$L$19))/(1+$A31)^10+Assumptions!$B$9)/Assumptions!$B$10,"n/a")</f>
        <v>4171.00956436819</v>
      </c>
      <c r="C31" s="33" t="n">
        <f aca="false">IF($A31&gt;C$29,(SUMPRODUCT(DCF_Base!$C$19:$L$19/(1+$A31)^DCF_Base!$C$4:$L$4)+MAX(0,MIN(DCF_Base!$L$19*(1+C$29)/($A31-C$29),Assumptions!$B$12*DCF_Base!$L$19))/(1+$A31)^10+Assumptions!$B$9)/Assumptions!$B$10,"n/a")</f>
        <v>4233.1665808586</v>
      </c>
      <c r="D31" s="33" t="n">
        <f aca="false">IF($A31&gt;D$29,(SUMPRODUCT(DCF_Base!$C$19:$L$19/(1+$A31)^DCF_Base!$C$4:$L$4)+MAX(0,MIN(DCF_Base!$L$19*(1+D$29)/($A31-D$29),Assumptions!$B$12*DCF_Base!$L$19))/(1+$A31)^10+Assumptions!$B$9)/Assumptions!$B$10,"n/a")</f>
        <v>4302.22993251461</v>
      </c>
      <c r="E31" s="33" t="n">
        <f aca="false">IF($A31&gt;E$29,(SUMPRODUCT(DCF_Base!$C$19:$L$19/(1+$A31)^DCF_Base!$C$4:$L$4)+MAX(0,MIN(DCF_Base!$L$19*(1+E$29)/($A31-E$29),Assumptions!$B$12*DCF_Base!$L$19))/(1+$A31)^10+Assumptions!$B$9)/Assumptions!$B$10,"n/a")</f>
        <v>4379.41838436544</v>
      </c>
      <c r="F31" s="33" t="n">
        <f aca="false">IF($A31&gt;F$29,(SUMPRODUCT(DCF_Base!$C$19:$L$19/(1+$A31)^DCF_Base!$C$4:$L$4)+MAX(0,MIN(DCF_Base!$L$19*(1+F$29)/($A31-F$29),Assumptions!$B$12*DCF_Base!$L$19))/(1+$A31)^10+Assumptions!$B$9)/Assumptions!$B$10,"n/a")</f>
        <v>4466.25539269763</v>
      </c>
    </row>
    <row r="32" customFormat="false" ht="15" hidden="false" customHeight="true" outlineLevel="0" collapsed="false">
      <c r="A32" s="34" t="n">
        <v>0.105</v>
      </c>
      <c r="B32" s="33" t="n">
        <f aca="false">IF($A32&gt;B$29,(SUMPRODUCT(DCF_Base!$C$19:$L$19/(1+$A32)^DCF_Base!$C$4:$L$4)+MAX(0,MIN(DCF_Base!$L$19*(1+B$29)/($A32-B$29),Assumptions!$B$12*DCF_Base!$L$19))/(1+$A32)^10+Assumptions!$B$9)/Assumptions!$B$10,"n/a")</f>
        <v>4041.19699193488</v>
      </c>
      <c r="C32" s="33" t="n">
        <f aca="false">IF($A32&gt;C$29,(SUMPRODUCT(DCF_Base!$C$19:$L$19/(1+$A32)^DCF_Base!$C$4:$L$4)+MAX(0,MIN(DCF_Base!$L$19*(1+C$29)/($A32-C$29),Assumptions!$B$12*DCF_Base!$L$19))/(1+$A32)^10+Assumptions!$B$9)/Assumptions!$B$10,"n/a")</f>
        <v>4095.18510277</v>
      </c>
      <c r="D32" s="33" t="n">
        <f aca="false">IF($A32&gt;D$29,(SUMPRODUCT(DCF_Base!$C$19:$L$19/(1+$A32)^DCF_Base!$C$4:$L$4)+MAX(0,MIN(DCF_Base!$L$19*(1+D$29)/($A32-D$29),Assumptions!$B$12*DCF_Base!$L$19))/(1+$A32)^10+Assumptions!$B$9)/Assumptions!$B$10,"n/a")</f>
        <v>4154.8561726404</v>
      </c>
      <c r="E32" s="33" t="n">
        <f aca="false">IF($A32&gt;E$29,(SUMPRODUCT(DCF_Base!$C$19:$L$19/(1+$A32)^DCF_Base!$C$4:$L$4)+MAX(0,MIN(DCF_Base!$L$19*(1+E$29)/($A32-E$29),Assumptions!$B$12*DCF_Base!$L$19))/(1+$A32)^10+Assumptions!$B$9)/Assumptions!$B$10,"n/a")</f>
        <v>4221.15736138529</v>
      </c>
      <c r="F32" s="33" t="n">
        <f aca="false">IF($A32&gt;F$29,(SUMPRODUCT(DCF_Base!$C$19:$L$19/(1+$A32)^DCF_Base!$C$4:$L$4)+MAX(0,MIN(DCF_Base!$L$19*(1+F$29)/($A32-F$29),Assumptions!$B$12*DCF_Base!$L$19))/(1+$A32)^10+Assumptions!$B$9)/Assumptions!$B$10,"n/a")</f>
        <v>4295.25868998252</v>
      </c>
    </row>
    <row r="33" customFormat="false" ht="15" hidden="false" customHeight="true" outlineLevel="0" collapsed="false">
      <c r="A33" s="34" t="n">
        <v>0.11</v>
      </c>
      <c r="B33" s="33" t="n">
        <f aca="false">IF($A33&gt;B$29,(SUMPRODUCT(DCF_Base!$C$19:$L$19/(1+$A33)^DCF_Base!$C$4:$L$4)+MAX(0,MIN(DCF_Base!$L$19*(1+B$29)/($A33-B$29),Assumptions!$B$12*DCF_Base!$L$19))/(1+$A33)^10+Assumptions!$B$9)/Assumptions!$B$10,"n/a")</f>
        <v>3923.38323242205</v>
      </c>
      <c r="C33" s="33" t="n">
        <f aca="false">IF($A33&gt;C$29,(SUMPRODUCT(DCF_Base!$C$19:$L$19/(1+$A33)^DCF_Base!$C$4:$L$4)+MAX(0,MIN(DCF_Base!$L$19*(1+C$29)/($A33-C$29),Assumptions!$B$12*DCF_Base!$L$19))/(1+$A33)^10+Assumptions!$B$9)/Assumptions!$B$10,"n/a")</f>
        <v>3970.50907614807</v>
      </c>
      <c r="D33" s="33" t="n">
        <f aca="false">IF($A33&gt;D$29,(SUMPRODUCT(DCF_Base!$C$19:$L$19/(1+$A33)^DCF_Base!$C$4:$L$4)+MAX(0,MIN(DCF_Base!$L$19*(1+D$29)/($A33-D$29),Assumptions!$B$12*DCF_Base!$L$19))/(1+$A33)^10+Assumptions!$B$9)/Assumptions!$B$10,"n/a")</f>
        <v>4022.34750424669</v>
      </c>
      <c r="E33" s="33" t="n">
        <f aca="false">IF($A33&gt;E$29,(SUMPRODUCT(DCF_Base!$C$19:$L$19/(1+$A33)^DCF_Base!$C$4:$L$4)+MAX(0,MIN(DCF_Base!$L$19*(1+E$29)/($A33-E$29),Assumptions!$B$12*DCF_Base!$L$19))/(1+$A33)^10+Assumptions!$B$9)/Assumptions!$B$10,"n/a")</f>
        <v>4079.64260898727</v>
      </c>
      <c r="F33" s="33" t="n">
        <f aca="false">IF($A33&gt;F$29,(SUMPRODUCT(DCF_Base!$C$19:$L$19/(1+$A33)^DCF_Base!$C$4:$L$4)+MAX(0,MIN(DCF_Base!$L$19*(1+F$29)/($A33-F$29),Assumptions!$B$12*DCF_Base!$L$19))/(1+$A33)^10+Assumptions!$B$9)/Assumptions!$B$10,"n/a")</f>
        <v>4143.30383647681</v>
      </c>
    </row>
    <row r="34" customFormat="false" ht="15" hidden="false" customHeight="true" outlineLevel="0" collapsed="false">
      <c r="A34" s="34" t="n">
        <v>0.115</v>
      </c>
      <c r="B34" s="33" t="n">
        <f aca="false">IF($A34&gt;B$29,(SUMPRODUCT(DCF_Base!$C$19:$L$19/(1+$A34)^DCF_Base!$C$4:$L$4)+MAX(0,MIN(DCF_Base!$L$19*(1+B$29)/($A34-B$29),Assumptions!$B$12*DCF_Base!$L$19))/(1+$A34)^10+Assumptions!$B$9)/Assumptions!$B$10,"n/a")</f>
        <v>3815.9974868181</v>
      </c>
      <c r="C34" s="33" t="n">
        <f aca="false">IF($A34&gt;C$29,(SUMPRODUCT(DCF_Base!$C$19:$L$19/(1+$A34)^DCF_Base!$C$4:$L$4)+MAX(0,MIN(DCF_Base!$L$19*(1+C$29)/($A34-C$29),Assumptions!$B$12*DCF_Base!$L$19))/(1+$A34)^10+Assumptions!$B$9)/Assumptions!$B$10,"n/a")</f>
        <v>3857.31970249146</v>
      </c>
      <c r="D34" s="33" t="n">
        <f aca="false">IF($A34&gt;D$29,(SUMPRODUCT(DCF_Base!$C$19:$L$19/(1+$A34)^DCF_Base!$C$4:$L$4)+MAX(0,MIN(DCF_Base!$L$19*(1+D$29)/($A34-D$29),Assumptions!$B$12*DCF_Base!$L$19))/(1+$A34)^10+Assumptions!$B$9)/Assumptions!$B$10,"n/a")</f>
        <v>3902.57736727657</v>
      </c>
      <c r="E34" s="33" t="n">
        <f aca="false">IF($A34&gt;E$29,(SUMPRODUCT(DCF_Base!$C$19:$L$19/(1+$A34)^DCF_Base!$C$4:$L$4)+MAX(0,MIN(DCF_Base!$L$19*(1+E$29)/($A34-E$29),Assumptions!$B$12*DCF_Base!$L$19))/(1+$A34)^10+Assumptions!$B$9)/Assumptions!$B$10,"n/a")</f>
        <v>3952.3607985402</v>
      </c>
      <c r="F34" s="33" t="n">
        <f aca="false">IF($A34&gt;F$29,(SUMPRODUCT(DCF_Base!$C$19:$L$19/(1+$A34)^DCF_Base!$C$4:$L$4)+MAX(0,MIN(DCF_Base!$L$19*(1+F$29)/($A34-F$29),Assumptions!$B$12*DCF_Base!$L$19))/(1+$A34)^10+Assumptions!$B$9)/Assumptions!$B$10,"n/a")</f>
        <v>4007.38459098947</v>
      </c>
    </row>
    <row r="36" customFormat="false" ht="15" hidden="false" customHeight="true" outlineLevel="0" collapsed="false">
      <c r="A36" s="3" t="s">
        <v>138</v>
      </c>
      <c r="B36" s="35" t="n">
        <f aca="false">(DCF_Base!B26+2.66*DCF_Base!L8*DCF_Base!L20+Assumptions!$B$9)/Assumptions!$B$10</f>
        <v>4120.64747139135</v>
      </c>
      <c r="C36" s="11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2026-08-14T06:52:45Z</dcterms:created>
  <dc:creator>openpyxl</dc:creator>
  <dc:description/>
  <dc:language>en-US</dc:language>
  <cp:lastModifiedBy/>
  <dcterms:modified xsi:type="dcterms:W3CDTF">2026-08-14T06:53:28Z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