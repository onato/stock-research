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FCF Quality" sheetId="3" r:id="rId3"/>
    <sheet name="Historical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<sst xmlns="http://schemas.openxmlformats.org/spreadsheetml/2006/main" count="162" uniqueCount="148">
  <si>
    <t>6995.T (TOKAI RIKA) DCF Valuation Model - 10yr Component Build</t>
  </si>
  <si>
    <t>Gray cells are INPUTS - adjust to see valuation change. JPY millions except per-share/shares.</t>
  </si>
  <si>
    <t>KEY INPUTS</t>
  </si>
  <si>
    <t>Current Stock Price (JPY)</t>
  </si>
  <si>
    <t>Shares Outstanding (M) - current</t>
  </si>
  <si>
    <t>Cash &amp; Equivalents (JPYm)</t>
  </si>
  <si>
    <t>Total Debt (JPYm)</t>
  </si>
  <si>
    <t>Net Debt (JPYm) [negative = net cash]</t>
  </si>
  <si>
    <t>Reported FCF, FY2026 (JPYm)</t>
  </si>
  <si>
    <t>Less: SBC (JPYm) - verified NIL</t>
  </si>
  <si>
    <t>Less: Interest &amp; Dividend Income (JPYm)</t>
  </si>
  <si>
    <t>Stripped: net cash &gt;1x FCF base (avoids double count vs net-cash addback)</t>
  </si>
  <si>
    <t>Owner FCF base, FY2026 actual (JPYm)</t>
  </si>
  <si>
    <t>Revenue, FY2026 actual (JPYm)</t>
  </si>
  <si>
    <t>WACC (Base)</t>
  </si>
  <si>
    <t>Terminal Growth Rate</t>
  </si>
  <si>
    <t>Terminal EV/EBITDA Cap (10yr avg)</t>
  </si>
  <si>
    <t>Historical range 1.67x-3.12x; caps Gordon growth in every scenario</t>
  </si>
  <si>
    <t>Annual Share Count Growth (buyback)</t>
  </si>
  <si>
    <t>PROJECTIONS (10yr component build)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</si>
  <si>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</si>
  <si>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</si>
  <si>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</si>
  <si>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</si>
  <si>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</si>
  <si>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</si>
  <si>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</si>
  <si>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</si>
  <si>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</si>
  <si>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FY2036</t>
  </si>
  <si>
    <t>Revenue Growth %</t>
  </si>
  <si>
    <t>Revenue</t>
  </si>
  <si>
    <t>Operating Margin %</t>
  </si>
  <si>
    <t>D&amp;A % of Revenue</t>
  </si>
  <si>
    <t>EBITDA Margin % (=OpMgn+D&amp;A%)</t>
  </si>
  <si>
    <t>EBITDA</t>
  </si>
  <si>
    <t>Less: SBC (verified nil)</t>
  </si>
  <si>
    <t>Less: D&amp;A</t>
  </si>
  <si>
    <t>EBIT (Owner EBITDA - SBC - D&amp;A)</t>
  </si>
  <si>
    <t>Cash Tax Rate %</t>
  </si>
  <si>
    <t>NOPAT (EBIT x (1-tax))</t>
  </si>
  <si>
    <t>Capex % of Revenue</t>
  </si>
  <si>
    <t>Less: Capex</t>
  </si>
  <si>
    <t>WC Capture % of Revenue Change</t>
  </si>
  <si>
    <t>(applied to all years vs prior-year revenue)</t>
  </si>
  <si>
    <t>Less: Working Capital (WC% x DeltaRev)</t>
  </si>
  <si>
    <t>OWNER FCF (NOPAT+D&amp;A-Capex-WC)</t>
  </si>
  <si>
    <t>Owner FCF Margin %</t>
  </si>
  <si>
    <t>Discount Factor</t>
  </si>
  <si>
    <t>PV of Owner FCF</t>
  </si>
  <si>
    <t>Projected Shares Outstanding (M)</t>
  </si>
  <si>
    <t>VALUATION</t>
  </si>
  <si>
    <t>Sum of PV of FCF (Y1-Y10)</t>
  </si>
  <si>
    <t>Terminal FCF (Year 10)</t>
  </si>
  <si>
    <t>Terminal EBITDA (Year 10)</t>
  </si>
  <si>
    <t>TV - Gordon Growth</t>
  </si>
  <si>
    <t>TV - EV/EBITDA Cap</t>
  </si>
  <si>
    <t>Terminal Value (MIN of Gordon, Cap)</t>
  </si>
  <si>
    <t>PV of Terminal Value</t>
  </si>
  <si>
    <t>Enterprise Value</t>
  </si>
  <si>
    <t>Less: Net Debt</t>
  </si>
  <si>
    <t>Equity Value</t>
  </si>
  <si>
    <t>INTRINSIC VALUE/SHARE (JPY)</t>
  </si>
  <si>
    <t>ENTRY PRICE (15% IRR Target)</t>
  </si>
  <si>
    <t>PV of Yrs 1-10 FCF @15%</t>
  </si>
  <si>
    <t>PV of Terminal Value @15%</t>
  </si>
  <si>
    <t>Entry Price (15% IRR)</t>
  </si>
  <si>
    <t>Upside to Intrinsic Value</t>
  </si>
  <si>
    <t>Discount of Entry Price to Current</t>
  </si>
  <si>
    <t>Sensitivity Analysis</t>
  </si>
  <si>
    <t>Intrinsic Value by WACC &amp; Exit EV/EBITDA Multiple (the multiple, not terminal growth, is the binding driver here)</t>
  </si>
  <si>
    <t>WACC \ Exit Mult</t>
  </si>
  <si>
    <t>Standard WACC x Terminal Growth matrix (mostly flat - cap binds at all these growth rates)</t>
  </si>
  <si>
    <t>WACC \ Term G</t>
  </si>
  <si>
    <t>FCF Quality - Reported vs Owner FCF Reconciliation</t>
  </si>
  <si>
    <t>SBC verified NIL throughout FY2017-FY2026; only adjustment is stripping interest/dividend income (net cash &gt;1x FCF base)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</si>
  <si>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</si>
  <si>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</si>
  <si>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</si>
  <si>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</si>
  <si>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</si>
  <si>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</si>
  <si>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</si>
  <si>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</si>
  <si>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</si>
  <si>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</si>
  <si>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Reported FCF (company definition)</t>
  </si>
  <si>
    <t>Less: Interest &amp; Dividend Income</t>
  </si>
  <si>
    <t>Reported FCF Margin %</t>
  </si>
  <si>
    <t>Memo: Capex (JPYm)</t>
  </si>
  <si>
    <t>Memo: Capex % of Revenue</t>
  </si>
  <si>
    <t>Memo: Cash Tax Rate % (FY2026 only disclosed)</t>
  </si>
  <si>
    <t>Note: FCF is structurally volatile across the capex cycle (10yr range JPY0.3bn-JPY26.4bn, mean JPY11.7bn, median JPY9.9bn).</t>
  </si>
  <si>
    <t>FY2026 owner FCF (JPY6.6bn) is BELOW the median despite record operating profit (JPY35.6bn) - the gap is a heavy capex cycle (5.46% of revenue).</t>
  </si>
  <si>
    <t>DCF projections are built bottom-up from EBITDA/D&amp;A/tax/capex/WC components, not extrapolated from any single historical FCF year.</t>
  </si>
  <si>
    <t>Historical Growth Rates &amp; Multiples</t>
  </si>
  <si>
    <t>Metric</t>
  </si>
  <si>
    <t>3-Year CAGR</t>
  </si>
  <si>
    <t>5-Year CAGR</t>
  </si>
  <si>
    <t>EPS</t>
  </si>
  <si>
    <t>Equity (Book Value)</t>
  </si>
  <si>
    <t>Reported FCF</t>
  </si>
  <si>
    <t>Owner FCF</t>
  </si>
  <si>
    <t>Selected Growth Rate:</t>
  </si>
  <si>
    <t>Source:</t>
  </si>
  <si>
    <t>equity_5yr_cagr</t>
  </si>
  <si>
    <t>Divergence Warning:</t>
  </si>
  <si>
    <t>EPS 5yr CAGR (22.41%) diverges 75.1% from equity 5yr CAGR (5.58%), and EPS 3yr CAGR (45.35%) is even more extreme -- both are artifacts of the FY2022 trough base (EPS JPY31.77, an operating-profit trough year at 1.8% margin) rather than a genuine step-change in earnings power. Reported and owner FCF CAGRs are both NEGATIVE (-0.6%/-17.6% and -5.8%/-21.0% respectively) purely because FY2021 (a low-capex COVID-recovery year, FCF JPY22.5bn) and FY2024 (a working-capital-favorable year, FCF JPY26.4bn) are unusually high starting/ending points against a capex-heavy FY2026 (FCF JPY8.5bn) -- FCF CAGR is NOT used as the growth driver for this reason; equity CAGR (the most stable, least distorted series) is used instead, consistent with the Growth Rate Selection Logic primary rule.</t>
  </si>
  <si>
    <t>Historical Multiples (FY-end, March close)</t>
  </si>
  <si>
    <t>Price (JPY)</t>
  </si>
  <si>
    <t>P/E</t>
  </si>
  <si>
    <t>P/B</t>
  </si>
  <si>
    <t>EV/EBITDA</t>
  </si>
  <si>
    <t>Current EV/EBITDA:</t>
  </si>
  <si>
    <t>10yr avg EV/EBITDA:</t>
  </si>
  <si>
    <t>Current P/B:</t>
  </si>
  <si>
    <t>10yr avg P/B:</t>
  </si>
  <si>
    <t>Model Provenance &amp; Methodology</t>
  </si>
  <si>
    <t>Ticker</t>
  </si>
  <si>
    <t>6995.T (TOKAI RIKA CO., LTD.)</t>
  </si>
  <si>
    <t>Built by</t>
  </si>
  <si>
    <t>Claude dcf-analyst agent, per .claude/agents/dcf-analyst.md workflow</t>
  </si>
  <si>
    <t>Valuation date</t>
  </si>
  <si>
    <t>2026-08-14</t>
  </si>
  <si>
    <t>Share price vintage</t>
  </si>
  <si>
    <t>JPY3040 - live Yahoo Finance quote fetched 2026-08-14</t>
  </si>
  <si>
    <t>Filing vintage</t>
  </si>
  <si>
    <t>FY2026 (year ended 31-Mar-2026) Kessan Tanshin, released 15-May-2026 (delayed from normal schedule due to FY2021-2025 restatement); FY2027 guidance issued same date</t>
  </si>
  <si>
    <t>Horizon</t>
  </si>
  <si>
    <t>10-year explicit component build (not 5) because FY2027 guided op margin (4.62%) is still well below the assumed mature level (6.0% base case Y10) -- a 5yr horizon would capitalize an immature margin</t>
  </si>
  <si>
    <t>SBC treatment</t>
  </si>
  <si>
    <t>Verified NIL across all 10 historical fiscal years -- no adjustment needed, no dilution modeled</t>
  </si>
  <si>
    <t>Interest income treatment</t>
  </si>
  <si>
    <t>Interest+dividend income (~JPY1.9bn/yr) stripped from FCF base because net cash (JPY83.8bn) is ~10x FY2026 reported FCF -- avoids double-counting the cash pile (once in FCF, once in the net-debt addback)</t>
  </si>
  <si>
    <t>Terminal value method</t>
  </si>
  <si>
    <t>MIN(Gordon growth, EV/EBITDA cap) in every scenario -- the cap BINDS in all three scenarios. Caps are set to the stocks own 10-year historical EV/EBITDA range (bear=1.67x min, base=2.66x avg, bull=3.12x max), not the workflow default 20x, because this is a low-multiple, cyclical, keiretsu-embedded Tier-1 supplier the market has never priced above ~3.1x EV/EBITDA in a decade</t>
  </si>
  <si>
    <t>WACC construction</t>
  </si>
  <si>
    <t>CAPM (JGB 1.7% + beta 0.85 x ERP 5.0%) + explicit premiums: +2.0pp Toyota concentration (~74% of sales), +1.0pp extreme cyclicality (3.9x peak-to-trough op profit), +0.5pp governance (Apr-2026 multi-year ICFR material weakness/restatement) = 9.5% base WACC. No small-cap premium (market cap ~USD1.7bn, TSE Prime).</t>
  </si>
  <si>
    <t>Growth rate selection</t>
  </si>
  <si>
    <t>Equity 5yr CAGR (5.58%) selected as primary driver per Growth Rate Selection Logic -- EPS CAGR (22-45%) is a trough-base artifact of FY2022 and excluded as unrepresentative</t>
  </si>
  <si>
    <t>Key judgment calls</t>
  </si>
  <si>
    <t>Base case assumes PARTIAL (not full) progress toward TRV2030 (op margin recovers to 6.0% by Y10 vs the 7% FY2031 stretch target) given the companys own disclosed persistent net price-down drag. Working capital modeled on the CHANGE in revenue (8% capture rate), not a fixed % of revenue, per methodology.</t>
  </si>
  <si>
    <t>What to refresh after next earnings</t>
  </si>
  <si>
    <t>FY2027 actual results (expected ~May 2027) vs FY2027 guidance used as Y1 base case -- if actuals diverge materially from the guided JPY650.0bn sales / JPY30.0bn op profit, re-anchor Y1. Also re-check for any further restatement disclosures following the FY2021-2025 material weakness remediation, and re-verify interest income and net cash figures.</t>
  </si>
  <si>
    <t>Cell colour convention</t>
  </si>
  <si>
    <t>Gray-shaded cells = INPUTS (editable). White/bordered cells = FORMULAS (do not hand-edit; they recalculate from inputs). Green cells = key output results (Intrinsic Value, Entry Price).</t>
  </si>
  <si>
    <t>Staleness warning</t>
  </si>
  <si>
    <t>All figures are current as of the valuation date above. Share price, guidance, and multiples WILL go stale -- re-verify before relying on this model for a live investment decision.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</si>
</sst>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0.00%"/>
    <numFmt numFmtId="166" formatCode="0.00&quot;x&quot;"/>
    <numFmt numFmtId="167" formatCode="&quot;¥&quot;#,##0.00"/>
    <numFmt numFmtId="168" formatCode="0.0%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166" fontId="0" fillId="2" borderId="2" xfId="0" applyNumberFormat="1" applyFill="1" applyBorder="1"/>
    <xf numFmtId="0" fontId="4" fillId="3" borderId="2" xfId="0" applyFont="1" applyFill="1" applyBorder="1"/>
    <xf numFmtId="165" fontId="0" fillId="0" borderId="2" xfId="0" applyNumberFormat="1" applyBorder="1"/>
    <xf numFmtId="0" fontId="5" fillId="0" borderId="0" xfId="0" applyFont="1"/>
    <xf numFmtId="167" fontId="4" fillId="4" borderId="2" xfId="0" applyNumberFormat="1" applyFont="1" applyFill="1" applyBorder="1"/>
    <xf numFmtId="166" fontId="4" fillId="3" borderId="0" xfId="0" applyNumberFormat="1" applyFont="1" applyFill="1"/>
    <xf numFmtId="168" fontId="4" fillId="3" borderId="0" xfId="0" applyNumberFormat="1" applyFont="1" applyFill="1"/>
    <xf numFmtId="167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tabSelected="1" workbookViewId="0"/>
  </sheetViews>
  <sheetFormatPr defaultRowHeight="15"/>
  <cols>
    <col min="1" max="1" width="32.7109375" customWidth="1"/>
    <col min="2" max="12" width="13.7109375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</row>
    <row r="5" spans="1:3">
      <c r="A5" t="s">
        <v>3</v>
      </c>
      <c r="B5" s="4">
        <v>3040</v>
      </c>
    </row>
    <row r="6" spans="1:3">
      <c r="A6" t="s">
        <v>4</v>
      </c>
      <c r="B6" s="4">
        <v>85.0997</v>
      </c>
    </row>
    <row r="7" spans="1:3">
      <c r="A7" t="s">
        <v>5</v>
      </c>
      <c r="B7" s="4">
        <v>93757</v>
      </c>
    </row>
    <row r="8" spans="1:3">
      <c r="A8" t="s">
        <v>6</v>
      </c>
      <c r="B8" s="4">
        <v>10000</v>
      </c>
    </row>
    <row r="9" spans="1:3">
      <c r="A9" t="s">
        <v>7</v>
      </c>
      <c r="B9" s="5">
        <f>B8-B7</f>
        <v>0</v>
      </c>
    </row>
    <row r="10" spans="1:3">
      <c r="A10" t="s">
        <v>8</v>
      </c>
      <c r="B10" s="4">
        <v>8522</v>
      </c>
    </row>
    <row r="11" spans="1:3">
      <c r="A11" t="s">
        <v>9</v>
      </c>
      <c r="B11" s="4">
        <v>0</v>
      </c>
    </row>
    <row r="12" spans="1:3">
      <c r="A12" t="s">
        <v>10</v>
      </c>
      <c r="B12" s="4">
        <v>1889</v>
      </c>
      <c r="C12" s="2" t="s">
        <v>11</v>
      </c>
    </row>
    <row r="13" spans="1:3">
      <c r="A13" t="s">
        <v>12</v>
      </c>
      <c r="B13" s="5">
        <f>B10-B11-B12</f>
        <v>0</v>
      </c>
    </row>
    <row r="15" spans="1:3">
      <c r="A15" t="s">
        <v>13</v>
      </c>
      <c r="B15" s="4">
        <v>644701</v>
      </c>
    </row>
    <row r="17" spans="1:11">
      <c r="A17" t="s">
        <v>14</v>
      </c>
      <c r="B17" s="6">
        <v>0.095</v>
      </c>
    </row>
    <row r="18" spans="1:11">
      <c r="A18" t="s">
        <v>15</v>
      </c>
      <c r="B18" s="6">
        <v>0.015</v>
      </c>
    </row>
    <row r="19" spans="1:11">
      <c r="A19" t="s">
        <v>16</v>
      </c>
      <c r="B19" s="7">
        <v>2.66</v>
      </c>
      <c r="C19" s="2" t="s">
        <v>17</v>
      </c>
    </row>
    <row r="20" spans="1:11">
      <c r="A20" t="s">
        <v>18</v>
      </c>
      <c r="B20" s="6">
        <v>-0.005</v>
      </c>
    </row>
    <row r="22" spans="1:11">
      <c r="A22" s="3" t="s">
        <v>19</v>
      </c>
    </row>
    <row r="24" spans="1:11">
      <c r="A24" s="8"/>
      <c r="B24" s="8" t="s">
        <v>20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28</v>
      </c>
      <c r="K24" s="8" t="s">
        <v>29</v>
      </c>
    </row>
    <row r="25" spans="1:11">
      <c r="A25" t="s">
        <v>30</v>
      </c>
      <c r="B25" s="6">
        <v>0.008</v>
      </c>
      <c r="C25" s="6">
        <v>0.018</v>
      </c>
      <c r="D25" s="6">
        <v>0.022</v>
      </c>
      <c r="E25" s="6">
        <v>0.023</v>
      </c>
      <c r="F25" s="6">
        <v>0.022</v>
      </c>
      <c r="G25" s="6">
        <v>0.02</v>
      </c>
      <c r="H25" s="6">
        <v>0.018</v>
      </c>
      <c r="I25" s="6">
        <v>0.017</v>
      </c>
      <c r="J25" s="6">
        <v>0.016</v>
      </c>
      <c r="K25" s="6">
        <v>0.015</v>
      </c>
    </row>
    <row r="26" spans="1:11">
      <c r="A26" t="s">
        <v>31</v>
      </c>
      <c r="B26" s="5">
        <f>B15*(1+B25)</f>
        <v>0</v>
      </c>
      <c r="C26" s="5">
        <f>B26*(1+C25)</f>
        <v>0</v>
      </c>
      <c r="D26" s="5">
        <f>C26*(1+D25)</f>
        <v>0</v>
      </c>
      <c r="E26" s="5">
        <f>D26*(1+E25)</f>
        <v>0</v>
      </c>
      <c r="F26" s="5">
        <f>E26*(1+F25)</f>
        <v>0</v>
      </c>
      <c r="G26" s="5">
        <f>F26*(1+G25)</f>
        <v>0</v>
      </c>
      <c r="H26" s="5">
        <f>G26*(1+H25)</f>
        <v>0</v>
      </c>
      <c r="I26" s="5">
        <f>H26*(1+I25)</f>
        <v>0</v>
      </c>
      <c r="J26" s="5">
        <f>I26*(1+J25)</f>
        <v>0</v>
      </c>
      <c r="K26" s="5">
        <f>J26*(1+K25)</f>
        <v>0</v>
      </c>
    </row>
    <row r="27" spans="1:11">
      <c r="A27" t="s">
        <v>32</v>
      </c>
      <c r="B27" s="6">
        <v>0.04615</v>
      </c>
      <c r="C27" s="6">
        <v>0.048</v>
      </c>
      <c r="D27" s="6">
        <v>0.05</v>
      </c>
      <c r="E27" s="6">
        <v>0.052</v>
      </c>
      <c r="F27" s="6">
        <v>0.05400000000000001</v>
      </c>
      <c r="G27" s="6">
        <v>0.055</v>
      </c>
      <c r="H27" s="6">
        <v>0.05599999999999999</v>
      </c>
      <c r="I27" s="6">
        <v>0.057</v>
      </c>
      <c r="J27" s="6">
        <v>0.058</v>
      </c>
      <c r="K27" s="6">
        <v>0.06</v>
      </c>
    </row>
    <row r="28" spans="1:11">
      <c r="A28" t="s">
        <v>33</v>
      </c>
      <c r="B28" s="6">
        <v>0.039</v>
      </c>
      <c r="C28" s="6">
        <v>0.0385</v>
      </c>
      <c r="D28" s="6">
        <v>0.038</v>
      </c>
      <c r="E28" s="6">
        <v>0.0375</v>
      </c>
      <c r="F28" s="6">
        <v>0.03700000000000001</v>
      </c>
      <c r="G28" s="6">
        <v>0.0365</v>
      </c>
      <c r="H28" s="6">
        <v>0.036</v>
      </c>
      <c r="I28" s="6">
        <v>0.0355</v>
      </c>
      <c r="J28" s="6">
        <v>0.035</v>
      </c>
      <c r="K28" s="6">
        <v>0.035</v>
      </c>
    </row>
    <row r="29" spans="1:11">
      <c r="A29" t="s">
        <v>34</v>
      </c>
      <c r="B29" s="9">
        <f>B27+B28</f>
        <v>0</v>
      </c>
      <c r="C29" s="9">
        <f>C27+C28</f>
        <v>0</v>
      </c>
      <c r="D29" s="9">
        <f>D27+D28</f>
        <v>0</v>
      </c>
      <c r="E29" s="9">
        <f>E27+E28</f>
        <v>0</v>
      </c>
      <c r="F29" s="9">
        <f>F27+F28</f>
        <v>0</v>
      </c>
      <c r="G29" s="9">
        <f>G27+G28</f>
        <v>0</v>
      </c>
      <c r="H29" s="9">
        <f>H27+H28</f>
        <v>0</v>
      </c>
      <c r="I29" s="9">
        <f>I27+I28</f>
        <v>0</v>
      </c>
      <c r="J29" s="9">
        <f>J27+J28</f>
        <v>0</v>
      </c>
      <c r="K29" s="9">
        <f>K27+K28</f>
        <v>0</v>
      </c>
    </row>
    <row r="30" spans="1:11">
      <c r="A30" t="s">
        <v>35</v>
      </c>
      <c r="B30" s="5">
        <f>B26*B29</f>
        <v>0</v>
      </c>
      <c r="C30" s="5">
        <f>C26*C29</f>
        <v>0</v>
      </c>
      <c r="D30" s="5">
        <f>D26*D29</f>
        <v>0</v>
      </c>
      <c r="E30" s="5">
        <f>E26*E29</f>
        <v>0</v>
      </c>
      <c r="F30" s="5">
        <f>F26*F29</f>
        <v>0</v>
      </c>
      <c r="G30" s="5">
        <f>G26*G29</f>
        <v>0</v>
      </c>
      <c r="H30" s="5">
        <f>H26*H29</f>
        <v>0</v>
      </c>
      <c r="I30" s="5">
        <f>I26*I29</f>
        <v>0</v>
      </c>
      <c r="J30" s="5">
        <f>J26*J29</f>
        <v>0</v>
      </c>
      <c r="K30" s="5">
        <f>K26*K29</f>
        <v>0</v>
      </c>
    </row>
    <row r="31" spans="1:11">
      <c r="A31" t="s">
        <v>36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</row>
    <row r="32" spans="1:11">
      <c r="A32" t="s">
        <v>37</v>
      </c>
      <c r="B32" s="5">
        <f>B26*B28</f>
        <v>0</v>
      </c>
      <c r="C32" s="5">
        <f>C26*C28</f>
        <v>0</v>
      </c>
      <c r="D32" s="5">
        <f>D26*D28</f>
        <v>0</v>
      </c>
      <c r="E32" s="5">
        <f>E26*E28</f>
        <v>0</v>
      </c>
      <c r="F32" s="5">
        <f>F26*F28</f>
        <v>0</v>
      </c>
      <c r="G32" s="5">
        <f>G26*G28</f>
        <v>0</v>
      </c>
      <c r="H32" s="5">
        <f>H26*H28</f>
        <v>0</v>
      </c>
      <c r="I32" s="5">
        <f>I26*I28</f>
        <v>0</v>
      </c>
      <c r="J32" s="5">
        <f>J26*J28</f>
        <v>0</v>
      </c>
      <c r="K32" s="5">
        <f>K26*K28</f>
        <v>0</v>
      </c>
    </row>
    <row r="33" spans="1:11">
      <c r="A33" t="s">
        <v>38</v>
      </c>
      <c r="B33" s="5">
        <f>B30-B31-B32</f>
        <v>0</v>
      </c>
      <c r="C33" s="5">
        <f>C30-C31-C32</f>
        <v>0</v>
      </c>
      <c r="D33" s="5">
        <f>D30-D31-D32</f>
        <v>0</v>
      </c>
      <c r="E33" s="5">
        <f>E30-E31-E32</f>
        <v>0</v>
      </c>
      <c r="F33" s="5">
        <f>F30-F31-F32</f>
        <v>0</v>
      </c>
      <c r="G33" s="5">
        <f>G30-G31-G32</f>
        <v>0</v>
      </c>
      <c r="H33" s="5">
        <f>H30-H31-H32</f>
        <v>0</v>
      </c>
      <c r="I33" s="5">
        <f>I30-I31-I32</f>
        <v>0</v>
      </c>
      <c r="J33" s="5">
        <f>J30-J31-J32</f>
        <v>0</v>
      </c>
      <c r="K33" s="5">
        <f>K30-K31-K32</f>
        <v>0</v>
      </c>
    </row>
    <row r="34" spans="1:11">
      <c r="A34" t="s">
        <v>39</v>
      </c>
      <c r="B34" s="6">
        <v>0.305</v>
      </c>
      <c r="C34" s="6">
        <v>0.305</v>
      </c>
      <c r="D34" s="6">
        <v>0.305</v>
      </c>
      <c r="E34" s="6">
        <v>0.305</v>
      </c>
      <c r="F34" s="6">
        <v>0.305</v>
      </c>
      <c r="G34" s="6">
        <v>0.305</v>
      </c>
      <c r="H34" s="6">
        <v>0.305</v>
      </c>
      <c r="I34" s="6">
        <v>0.305</v>
      </c>
      <c r="J34" s="6">
        <v>0.305</v>
      </c>
      <c r="K34" s="6">
        <v>0.305</v>
      </c>
    </row>
    <row r="35" spans="1:11">
      <c r="A35" t="s">
        <v>40</v>
      </c>
      <c r="B35" s="5">
        <f>B33*(1-B34)</f>
        <v>0</v>
      </c>
      <c r="C35" s="5">
        <f>C33*(1-C34)</f>
        <v>0</v>
      </c>
      <c r="D35" s="5">
        <f>D33*(1-D34)</f>
        <v>0</v>
      </c>
      <c r="E35" s="5">
        <f>E33*(1-E34)</f>
        <v>0</v>
      </c>
      <c r="F35" s="5">
        <f>F33*(1-F34)</f>
        <v>0</v>
      </c>
      <c r="G35" s="5">
        <f>G33*(1-G34)</f>
        <v>0</v>
      </c>
      <c r="H35" s="5">
        <f>H33*(1-H34)</f>
        <v>0</v>
      </c>
      <c r="I35" s="5">
        <f>I33*(1-I34)</f>
        <v>0</v>
      </c>
      <c r="J35" s="5">
        <f>J33*(1-J34)</f>
        <v>0</v>
      </c>
      <c r="K35" s="5">
        <f>K33*(1-K34)</f>
        <v>0</v>
      </c>
    </row>
    <row r="36" spans="1:11">
      <c r="A36" t="s">
        <v>41</v>
      </c>
      <c r="B36" s="6">
        <v>0.05077</v>
      </c>
      <c r="C36" s="6">
        <v>0.05</v>
      </c>
      <c r="D36" s="6">
        <v>0.048</v>
      </c>
      <c r="E36" s="6">
        <v>0.046</v>
      </c>
      <c r="F36" s="6">
        <v>0.044</v>
      </c>
      <c r="G36" s="6">
        <v>0.042</v>
      </c>
      <c r="H36" s="6">
        <v>0.04099999999999999</v>
      </c>
      <c r="I36" s="6">
        <v>0.04</v>
      </c>
      <c r="J36" s="6">
        <v>0.04</v>
      </c>
      <c r="K36" s="6">
        <v>0.04</v>
      </c>
    </row>
    <row r="37" spans="1:11">
      <c r="A37" t="s">
        <v>42</v>
      </c>
      <c r="B37" s="5">
        <f>B26*B36</f>
        <v>0</v>
      </c>
      <c r="C37" s="5">
        <f>C26*C36</f>
        <v>0</v>
      </c>
      <c r="D37" s="5">
        <f>D26*D36</f>
        <v>0</v>
      </c>
      <c r="E37" s="5">
        <f>E26*E36</f>
        <v>0</v>
      </c>
      <c r="F37" s="5">
        <f>F26*F36</f>
        <v>0</v>
      </c>
      <c r="G37" s="5">
        <f>G26*G36</f>
        <v>0</v>
      </c>
      <c r="H37" s="5">
        <f>H26*H36</f>
        <v>0</v>
      </c>
      <c r="I37" s="5">
        <f>I26*I36</f>
        <v>0</v>
      </c>
      <c r="J37" s="5">
        <f>J26*J36</f>
        <v>0</v>
      </c>
      <c r="K37" s="5">
        <f>K26*K36</f>
        <v>0</v>
      </c>
    </row>
    <row r="38" spans="1:11">
      <c r="A38" t="s">
        <v>43</v>
      </c>
      <c r="B38" s="6">
        <v>0.08</v>
      </c>
      <c r="C38" s="2" t="s">
        <v>44</v>
      </c>
    </row>
    <row r="39" spans="1:11">
      <c r="A39" t="s">
        <v>45</v>
      </c>
      <c r="B39" s="5">
        <f>$B$38*(B26-B15)</f>
        <v>0</v>
      </c>
      <c r="C39" s="5">
        <f>$B$38*(C26-B26)</f>
        <v>0</v>
      </c>
      <c r="D39" s="5">
        <f>$B$38*(D26-C26)</f>
        <v>0</v>
      </c>
      <c r="E39" s="5">
        <f>$B$38*(E26-D26)</f>
        <v>0</v>
      </c>
      <c r="F39" s="5">
        <f>$B$38*(F26-E26)</f>
        <v>0</v>
      </c>
      <c r="G39" s="5">
        <f>$B$38*(G26-F26)</f>
        <v>0</v>
      </c>
      <c r="H39" s="5">
        <f>$B$38*(H26-G26)</f>
        <v>0</v>
      </c>
      <c r="I39" s="5">
        <f>$B$38*(I26-H26)</f>
        <v>0</v>
      </c>
      <c r="J39" s="5">
        <f>$B$38*(J26-I26)</f>
        <v>0</v>
      </c>
      <c r="K39" s="5">
        <f>$B$38*(K26-J26)</f>
        <v>0</v>
      </c>
    </row>
    <row r="40" spans="1:11">
      <c r="A40" t="s">
        <v>46</v>
      </c>
      <c r="B40" s="5">
        <f>B35+B32-B37-B39</f>
        <v>0</v>
      </c>
      <c r="C40" s="5">
        <f>C35+C32-C37-C39</f>
        <v>0</v>
      </c>
      <c r="D40" s="5">
        <f>D35+D32-D37-D39</f>
        <v>0</v>
      </c>
      <c r="E40" s="5">
        <f>E35+E32-E37-E39</f>
        <v>0</v>
      </c>
      <c r="F40" s="5">
        <f>F35+F32-F37-F39</f>
        <v>0</v>
      </c>
      <c r="G40" s="5">
        <f>G35+G32-G37-G39</f>
        <v>0</v>
      </c>
      <c r="H40" s="5">
        <f>H35+H32-H37-H39</f>
        <v>0</v>
      </c>
      <c r="I40" s="5">
        <f>I35+I32-I37-I39</f>
        <v>0</v>
      </c>
      <c r="J40" s="5">
        <f>J35+J32-J37-J39</f>
        <v>0</v>
      </c>
      <c r="K40" s="5">
        <f>K35+K32-K37-K39</f>
        <v>0</v>
      </c>
    </row>
    <row r="41" spans="1:11">
      <c r="A41" t="s">
        <v>47</v>
      </c>
      <c r="B41" s="9">
        <f>B40/B26</f>
        <v>0</v>
      </c>
      <c r="C41" s="9">
        <f>C40/C26</f>
        <v>0</v>
      </c>
      <c r="D41" s="9">
        <f>D40/D26</f>
        <v>0</v>
      </c>
      <c r="E41" s="9">
        <f>E40/E26</f>
        <v>0</v>
      </c>
      <c r="F41" s="9">
        <f>F40/F26</f>
        <v>0</v>
      </c>
      <c r="G41" s="9">
        <f>G40/G26</f>
        <v>0</v>
      </c>
      <c r="H41" s="9">
        <f>H40/H26</f>
        <v>0</v>
      </c>
      <c r="I41" s="9">
        <f>I40/I26</f>
        <v>0</v>
      </c>
      <c r="J41" s="9">
        <f>J40/J26</f>
        <v>0</v>
      </c>
      <c r="K41" s="9">
        <f>K40/K26</f>
        <v>0</v>
      </c>
    </row>
    <row r="42" spans="1:11">
      <c r="A42" t="s">
        <v>48</v>
      </c>
      <c r="B42" s="5">
        <f>1/(1+$B$17)^1</f>
        <v>0</v>
      </c>
      <c r="C42" s="5">
        <f>1/(1+$B$17)^2</f>
        <v>0</v>
      </c>
      <c r="D42" s="5">
        <f>1/(1+$B$17)^3</f>
        <v>0</v>
      </c>
      <c r="E42" s="5">
        <f>1/(1+$B$17)^4</f>
        <v>0</v>
      </c>
      <c r="F42" s="5">
        <f>1/(1+$B$17)^5</f>
        <v>0</v>
      </c>
      <c r="G42" s="5">
        <f>1/(1+$B$17)^6</f>
        <v>0</v>
      </c>
      <c r="H42" s="5">
        <f>1/(1+$B$17)^7</f>
        <v>0</v>
      </c>
      <c r="I42" s="5">
        <f>1/(1+$B$17)^8</f>
        <v>0</v>
      </c>
      <c r="J42" s="5">
        <f>1/(1+$B$17)^9</f>
        <v>0</v>
      </c>
      <c r="K42" s="5">
        <f>1/(1+$B$17)^10</f>
        <v>0</v>
      </c>
    </row>
    <row r="43" spans="1:11">
      <c r="A43" t="s">
        <v>49</v>
      </c>
      <c r="B43" s="5">
        <f>B40*B42</f>
        <v>0</v>
      </c>
      <c r="C43" s="5">
        <f>C40*C42</f>
        <v>0</v>
      </c>
      <c r="D43" s="5">
        <f>D40*D42</f>
        <v>0</v>
      </c>
      <c r="E43" s="5">
        <f>E40*E42</f>
        <v>0</v>
      </c>
      <c r="F43" s="5">
        <f>F40*F42</f>
        <v>0</v>
      </c>
      <c r="G43" s="5">
        <f>G40*G42</f>
        <v>0</v>
      </c>
      <c r="H43" s="5">
        <f>H40*H42</f>
        <v>0</v>
      </c>
      <c r="I43" s="5">
        <f>I40*I42</f>
        <v>0</v>
      </c>
      <c r="J43" s="5">
        <f>J40*J42</f>
        <v>0</v>
      </c>
      <c r="K43" s="5">
        <f>K40*K42</f>
        <v>0</v>
      </c>
    </row>
    <row r="44" spans="1:11">
      <c r="A44" t="s">
        <v>50</v>
      </c>
      <c r="B44" s="5">
        <f>$B$6*(1+$B$20)</f>
        <v>0</v>
      </c>
      <c r="C44" s="5">
        <f>B44*(1+$B$20)</f>
        <v>0</v>
      </c>
      <c r="D44" s="5">
        <f>C44*(1+$B$20)</f>
        <v>0</v>
      </c>
      <c r="E44" s="5">
        <f>D44*(1+$B$20)</f>
        <v>0</v>
      </c>
      <c r="F44" s="5">
        <f>E44*(1+$B$20)</f>
        <v>0</v>
      </c>
      <c r="G44" s="5">
        <f>F44*(1+$B$20)</f>
        <v>0</v>
      </c>
      <c r="H44" s="5">
        <f>G44*(1+$B$20)</f>
        <v>0</v>
      </c>
      <c r="I44" s="5">
        <f>H44*(1+$B$20)</f>
        <v>0</v>
      </c>
      <c r="J44" s="5">
        <f>I44*(1+$B$20)</f>
        <v>0</v>
      </c>
      <c r="K44" s="5">
        <f>J44*(1+$B$20)</f>
        <v>0</v>
      </c>
    </row>
    <row r="46" spans="1:11">
      <c r="A46" s="3" t="s">
        <v>51</v>
      </c>
    </row>
    <row r="47" spans="1:11">
      <c r="A47" t="s">
        <v>52</v>
      </c>
      <c r="B47" s="5">
        <f>SUM(B43:K43)</f>
        <v>0</v>
      </c>
    </row>
    <row r="48" spans="1:11">
      <c r="A48" t="s">
        <v>53</v>
      </c>
      <c r="B48" s="5">
        <f>K40</f>
        <v>0</v>
      </c>
    </row>
    <row r="49" spans="1:2">
      <c r="A49" t="s">
        <v>54</v>
      </c>
      <c r="B49" s="5">
        <f>K30</f>
        <v>0</v>
      </c>
    </row>
    <row r="50" spans="1:2">
      <c r="A50" t="s">
        <v>55</v>
      </c>
      <c r="B50" s="5">
        <f>B48*(1+$B$18)/($B$17-$B$18)</f>
        <v>0</v>
      </c>
    </row>
    <row r="51" spans="1:2">
      <c r="A51" t="s">
        <v>56</v>
      </c>
      <c r="B51" s="5">
        <f>$B$19*B49</f>
        <v>0</v>
      </c>
    </row>
    <row r="52" spans="1:2">
      <c r="A52" t="s">
        <v>57</v>
      </c>
      <c r="B52" s="5">
        <f>MIN(B50,B51)</f>
        <v>0</v>
      </c>
    </row>
    <row r="53" spans="1:2">
      <c r="A53" t="s">
        <v>58</v>
      </c>
      <c r="B53" s="5">
        <f>B52*K42</f>
        <v>0</v>
      </c>
    </row>
    <row r="54" spans="1:2">
      <c r="A54" t="s">
        <v>59</v>
      </c>
      <c r="B54" s="5">
        <f>B47+B53</f>
        <v>0</v>
      </c>
    </row>
    <row r="55" spans="1:2">
      <c r="A55" t="s">
        <v>60</v>
      </c>
      <c r="B55" s="5">
        <f>B9</f>
        <v>0</v>
      </c>
    </row>
    <row r="56" spans="1:2">
      <c r="A56" t="s">
        <v>61</v>
      </c>
      <c r="B56" s="5">
        <f>B54-B55</f>
        <v>0</v>
      </c>
    </row>
    <row r="57" spans="1:2">
      <c r="A57" s="10" t="s">
        <v>62</v>
      </c>
      <c r="B57" s="11">
        <f>B56/K44</f>
        <v>0</v>
      </c>
    </row>
    <row r="59" spans="1:2">
      <c r="A59" s="3" t="s">
        <v>63</v>
      </c>
    </row>
    <row r="60" spans="1:2">
      <c r="A60" t="s">
        <v>64</v>
      </c>
      <c r="B60" s="5">
        <f>NPV(0.15,B40:K40)</f>
        <v>0</v>
      </c>
    </row>
    <row r="61" spans="1:2">
      <c r="A61" t="s">
        <v>65</v>
      </c>
      <c r="B61" s="5">
        <f>B52/(1.15^10)</f>
        <v>0</v>
      </c>
    </row>
    <row r="62" spans="1:2">
      <c r="A62" t="s">
        <v>60</v>
      </c>
      <c r="B62" s="5">
        <f>B9</f>
        <v>0</v>
      </c>
    </row>
    <row r="63" spans="1:2">
      <c r="A63" t="s">
        <v>66</v>
      </c>
      <c r="B63" s="11">
        <f>(B60+B61-B62)/K44</f>
        <v>0</v>
      </c>
    </row>
    <row r="65" spans="1:2">
      <c r="A65" t="s">
        <v>67</v>
      </c>
      <c r="B65" s="9">
        <f>(B57-B5)/B5</f>
        <v>0</v>
      </c>
    </row>
    <row r="66" spans="1:2">
      <c r="A66" t="s">
        <v>68</v>
      </c>
      <c r="B66" s="9">
        <f>(B5-B63)/B5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20.7109375" customWidth="1"/>
    <col min="2" max="7" width="13.7109375" customWidth="1"/>
  </cols>
  <sheetData>
    <row r="1" spans="1:6">
      <c r="A1" s="1" t="s">
        <v>69</v>
      </c>
    </row>
    <row r="2" spans="1:6">
      <c r="A2" t="s">
        <v>70</v>
      </c>
    </row>
    <row r="4" spans="1:6">
      <c r="A4" s="8" t="s">
        <v>71</v>
      </c>
      <c r="B4" s="12">
        <v>1.67</v>
      </c>
      <c r="C4" s="12">
        <v>2.16</v>
      </c>
      <c r="D4" s="12">
        <v>2.66</v>
      </c>
      <c r="E4" s="12">
        <v>3.12</v>
      </c>
      <c r="F4" s="12">
        <v>3.6</v>
      </c>
    </row>
    <row r="5" spans="1:6">
      <c r="A5" s="13">
        <v>0.075</v>
      </c>
      <c r="B5" s="14">
        <f>(SUMPRODUCT('DCF Model'!$B$40:'DCF Model'!$K$40,(1+0.075)^-{1,2,3,4,5,6,7,8,9,10})+(1.67*'DCF Model'!$B$49)*(1+0.075)^-10-'DCF Model'!$B$55)/'DCF Model'!$K$44</f>
        <v>0</v>
      </c>
      <c r="C5" s="14">
        <f>(SUMPRODUCT('DCF Model'!$B$40:'DCF Model'!$K$40,(1+0.075)^-{1,2,3,4,5,6,7,8,9,10})+(2.16*'DCF Model'!$B$49)*(1+0.075)^-10-'DCF Model'!$B$55)/'DCF Model'!$K$44</f>
        <v>0</v>
      </c>
      <c r="D5" s="14">
        <f>(SUMPRODUCT('DCF Model'!$B$40:'DCF Model'!$K$40,(1+0.075)^-{1,2,3,4,5,6,7,8,9,10})+(2.66*'DCF Model'!$B$49)*(1+0.075)^-10-'DCF Model'!$B$55)/'DCF Model'!$K$44</f>
        <v>0</v>
      </c>
      <c r="E5" s="14">
        <f>(SUMPRODUCT('DCF Model'!$B$40:'DCF Model'!$K$40,(1+0.075)^-{1,2,3,4,5,6,7,8,9,10})+(3.12*'DCF Model'!$B$49)*(1+0.075)^-10-'DCF Model'!$B$55)/'DCF Model'!$K$44</f>
        <v>0</v>
      </c>
      <c r="F5" s="14">
        <f>(SUMPRODUCT('DCF Model'!$B$40:'DCF Model'!$K$40,(1+0.075)^-{1,2,3,4,5,6,7,8,9,10})+(3.6*'DCF Model'!$B$49)*(1+0.075)^-10-'DCF Model'!$B$55)/'DCF Model'!$K$44</f>
        <v>0</v>
      </c>
    </row>
    <row r="6" spans="1:6">
      <c r="A6" s="13">
        <v>0.08500000000000001</v>
      </c>
      <c r="B6" s="14">
        <f>(SUMPRODUCT('DCF Model'!$B$40:'DCF Model'!$K$40,(1+0.085)^-{1,2,3,4,5,6,7,8,9,10})+(1.67*'DCF Model'!$B$49)*(1+0.085)^-10-'DCF Model'!$B$55)/'DCF Model'!$K$44</f>
        <v>0</v>
      </c>
      <c r="C6" s="14">
        <f>(SUMPRODUCT('DCF Model'!$B$40:'DCF Model'!$K$40,(1+0.085)^-{1,2,3,4,5,6,7,8,9,10})+(2.16*'DCF Model'!$B$49)*(1+0.085)^-10-'DCF Model'!$B$55)/'DCF Model'!$K$44</f>
        <v>0</v>
      </c>
      <c r="D6" s="14">
        <f>(SUMPRODUCT('DCF Model'!$B$40:'DCF Model'!$K$40,(1+0.085)^-{1,2,3,4,5,6,7,8,9,10})+(2.66*'DCF Model'!$B$49)*(1+0.085)^-10-'DCF Model'!$B$55)/'DCF Model'!$K$44</f>
        <v>0</v>
      </c>
      <c r="E6" s="14">
        <f>(SUMPRODUCT('DCF Model'!$B$40:'DCF Model'!$K$40,(1+0.085)^-{1,2,3,4,5,6,7,8,9,10})+(3.12*'DCF Model'!$B$49)*(1+0.085)^-10-'DCF Model'!$B$55)/'DCF Model'!$K$44</f>
        <v>0</v>
      </c>
      <c r="F6" s="14">
        <f>(SUMPRODUCT('DCF Model'!$B$40:'DCF Model'!$K$40,(1+0.085)^-{1,2,3,4,5,6,7,8,9,10})+(3.6*'DCF Model'!$B$49)*(1+0.085)^-10-'DCF Model'!$B$55)/'DCF Model'!$K$44</f>
        <v>0</v>
      </c>
    </row>
    <row r="7" spans="1:6">
      <c r="A7" s="13">
        <v>0.095</v>
      </c>
      <c r="B7" s="14">
        <f>(SUMPRODUCT('DCF Model'!$B$40:'DCF Model'!$K$40,(1+0.095)^-{1,2,3,4,5,6,7,8,9,10})+(1.67*'DCF Model'!$B$49)*(1+0.095)^-10-'DCF Model'!$B$55)/'DCF Model'!$K$44</f>
        <v>0</v>
      </c>
      <c r="C7" s="14">
        <f>(SUMPRODUCT('DCF Model'!$B$40:'DCF Model'!$K$40,(1+0.095)^-{1,2,3,4,5,6,7,8,9,10})+(2.16*'DCF Model'!$B$49)*(1+0.095)^-10-'DCF Model'!$B$55)/'DCF Model'!$K$44</f>
        <v>0</v>
      </c>
      <c r="D7" s="14">
        <f>(SUMPRODUCT('DCF Model'!$B$40:'DCF Model'!$K$40,(1+0.095)^-{1,2,3,4,5,6,7,8,9,10})+(2.66*'DCF Model'!$B$49)*(1+0.095)^-10-'DCF Model'!$B$55)/'DCF Model'!$K$44</f>
        <v>0</v>
      </c>
      <c r="E7" s="14">
        <f>(SUMPRODUCT('DCF Model'!$B$40:'DCF Model'!$K$40,(1+0.095)^-{1,2,3,4,5,6,7,8,9,10})+(3.12*'DCF Model'!$B$49)*(1+0.095)^-10-'DCF Model'!$B$55)/'DCF Model'!$K$44</f>
        <v>0</v>
      </c>
      <c r="F7" s="14">
        <f>(SUMPRODUCT('DCF Model'!$B$40:'DCF Model'!$K$40,(1+0.095)^-{1,2,3,4,5,6,7,8,9,10})+(3.6*'DCF Model'!$B$49)*(1+0.095)^-10-'DCF Model'!$B$55)/'DCF Model'!$K$44</f>
        <v>0</v>
      </c>
    </row>
    <row r="8" spans="1:6">
      <c r="A8" s="13">
        <v>0.105</v>
      </c>
      <c r="B8" s="14">
        <f>(SUMPRODUCT('DCF Model'!$B$40:'DCF Model'!$K$40,(1+0.105)^-{1,2,3,4,5,6,7,8,9,10})+(1.67*'DCF Model'!$B$49)*(1+0.105)^-10-'DCF Model'!$B$55)/'DCF Model'!$K$44</f>
        <v>0</v>
      </c>
      <c r="C8" s="14">
        <f>(SUMPRODUCT('DCF Model'!$B$40:'DCF Model'!$K$40,(1+0.105)^-{1,2,3,4,5,6,7,8,9,10})+(2.16*'DCF Model'!$B$49)*(1+0.105)^-10-'DCF Model'!$B$55)/'DCF Model'!$K$44</f>
        <v>0</v>
      </c>
      <c r="D8" s="14">
        <f>(SUMPRODUCT('DCF Model'!$B$40:'DCF Model'!$K$40,(1+0.105)^-{1,2,3,4,5,6,7,8,9,10})+(2.66*'DCF Model'!$B$49)*(1+0.105)^-10-'DCF Model'!$B$55)/'DCF Model'!$K$44</f>
        <v>0</v>
      </c>
      <c r="E8" s="14">
        <f>(SUMPRODUCT('DCF Model'!$B$40:'DCF Model'!$K$40,(1+0.105)^-{1,2,3,4,5,6,7,8,9,10})+(3.12*'DCF Model'!$B$49)*(1+0.105)^-10-'DCF Model'!$B$55)/'DCF Model'!$K$44</f>
        <v>0</v>
      </c>
      <c r="F8" s="14">
        <f>(SUMPRODUCT('DCF Model'!$B$40:'DCF Model'!$K$40,(1+0.105)^-{1,2,3,4,5,6,7,8,9,10})+(3.6*'DCF Model'!$B$49)*(1+0.105)^-10-'DCF Model'!$B$55)/'DCF Model'!$K$44</f>
        <v>0</v>
      </c>
    </row>
    <row r="9" spans="1:6">
      <c r="A9" s="13">
        <v>0.115</v>
      </c>
      <c r="B9" s="14">
        <f>(SUMPRODUCT('DCF Model'!$B$40:'DCF Model'!$K$40,(1+0.115)^-{1,2,3,4,5,6,7,8,9,10})+(1.67*'DCF Model'!$B$49)*(1+0.115)^-10-'DCF Model'!$B$55)/'DCF Model'!$K$44</f>
        <v>0</v>
      </c>
      <c r="C9" s="14">
        <f>(SUMPRODUCT('DCF Model'!$B$40:'DCF Model'!$K$40,(1+0.115)^-{1,2,3,4,5,6,7,8,9,10})+(2.16*'DCF Model'!$B$49)*(1+0.115)^-10-'DCF Model'!$B$55)/'DCF Model'!$K$44</f>
        <v>0</v>
      </c>
      <c r="D9" s="14">
        <f>(SUMPRODUCT('DCF Model'!$B$40:'DCF Model'!$K$40,(1+0.115)^-{1,2,3,4,5,6,7,8,9,10})+(2.66*'DCF Model'!$B$49)*(1+0.115)^-10-'DCF Model'!$B$55)/'DCF Model'!$K$44</f>
        <v>0</v>
      </c>
      <c r="E9" s="14">
        <f>(SUMPRODUCT('DCF Model'!$B$40:'DCF Model'!$K$40,(1+0.115)^-{1,2,3,4,5,6,7,8,9,10})+(3.12*'DCF Model'!$B$49)*(1+0.115)^-10-'DCF Model'!$B$55)/'DCF Model'!$K$44</f>
        <v>0</v>
      </c>
      <c r="F9" s="14">
        <f>(SUMPRODUCT('DCF Model'!$B$40:'DCF Model'!$K$40,(1+0.115)^-{1,2,3,4,5,6,7,8,9,10})+(3.6*'DCF Model'!$B$49)*(1+0.115)^-10-'DCF Model'!$B$55)/'DCF Model'!$K$44</f>
        <v>0</v>
      </c>
    </row>
    <row r="11" spans="1:6">
      <c r="A11" s="2" t="s">
        <v>72</v>
      </c>
    </row>
    <row r="13" spans="1:6">
      <c r="A13" s="8" t="s">
        <v>73</v>
      </c>
      <c r="B13" s="13">
        <v>0.005</v>
      </c>
      <c r="C13" s="13">
        <v>0.01</v>
      </c>
      <c r="D13" s="13">
        <v>0.015</v>
      </c>
      <c r="E13" s="13">
        <v>0.02</v>
      </c>
      <c r="F13" s="13">
        <v>0.025</v>
      </c>
    </row>
    <row r="14" spans="1:6">
      <c r="A14" s="13">
        <v>0.075</v>
      </c>
      <c r="B14" s="14">
        <v>3850.36</v>
      </c>
      <c r="C14" s="14">
        <v>3850.36</v>
      </c>
      <c r="D14" s="14">
        <v>3850.36</v>
      </c>
      <c r="E14" s="14">
        <v>3850.36</v>
      </c>
      <c r="F14" s="14">
        <v>3850.36</v>
      </c>
    </row>
    <row r="15" spans="1:6">
      <c r="A15" s="13">
        <v>0.08500000000000001</v>
      </c>
      <c r="B15" s="14">
        <v>3663.91</v>
      </c>
      <c r="C15" s="14">
        <v>3663.91</v>
      </c>
      <c r="D15" s="14">
        <v>3663.91</v>
      </c>
      <c r="E15" s="14">
        <v>3663.91</v>
      </c>
      <c r="F15" s="14">
        <v>3663.91</v>
      </c>
    </row>
    <row r="16" spans="1:6">
      <c r="A16" s="13">
        <v>0.095</v>
      </c>
      <c r="B16" s="14">
        <v>3493.31</v>
      </c>
      <c r="C16" s="14">
        <v>3493.31</v>
      </c>
      <c r="D16" s="14">
        <v>3493.31</v>
      </c>
      <c r="E16" s="14">
        <v>3493.31</v>
      </c>
      <c r="F16" s="14">
        <v>3493.31</v>
      </c>
    </row>
    <row r="17" spans="1:6">
      <c r="A17" s="13">
        <v>0.105</v>
      </c>
      <c r="B17" s="14">
        <v>3337.02</v>
      </c>
      <c r="C17" s="14">
        <v>3337.02</v>
      </c>
      <c r="D17" s="14">
        <v>3337.02</v>
      </c>
      <c r="E17" s="14">
        <v>3337.02</v>
      </c>
      <c r="F17" s="14">
        <v>3337.02</v>
      </c>
    </row>
    <row r="18" spans="1:6">
      <c r="A18" s="13">
        <v>0.115</v>
      </c>
      <c r="B18" s="14">
        <v>3193.67</v>
      </c>
      <c r="C18" s="14">
        <v>3193.67</v>
      </c>
      <c r="D18" s="14">
        <v>3193.67</v>
      </c>
      <c r="E18" s="14">
        <v>3193.67</v>
      </c>
      <c r="F18" s="14">
        <v>3193.67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cols>
    <col min="1" max="1" width="32.7109375" customWidth="1"/>
    <col min="2" max="11" width="11.7109375" customWidth="1"/>
  </cols>
  <sheetData>
    <row r="1" spans="1:11">
      <c r="A1" s="1" t="s">
        <v>74</v>
      </c>
    </row>
    <row r="2" spans="1:11">
      <c r="A2" s="2" t="s">
        <v>75</v>
      </c>
    </row>
    <row r="4" spans="1:11">
      <c r="A4" s="8"/>
      <c r="B4" s="8" t="s">
        <v>76</v>
      </c>
      <c r="C4" s="8" t="s">
        <v>77</v>
      </c>
      <c r="D4" s="8" t="s">
        <v>78</v>
      </c>
      <c r="E4" s="8" t="s">
        <v>79</v>
      </c>
      <c r="F4" s="8" t="s">
        <v>80</v>
      </c>
      <c r="G4" s="8" t="s">
        <v>81</v>
      </c>
      <c r="H4" s="8" t="s">
        <v>82</v>
      </c>
      <c r="I4" s="8" t="s">
        <v>83</v>
      </c>
      <c r="J4" s="8" t="s">
        <v>84</v>
      </c>
      <c r="K4" s="8" t="s">
        <v>85</v>
      </c>
    </row>
    <row r="5" spans="1:11">
      <c r="A5" t="s">
        <v>86</v>
      </c>
      <c r="B5" s="5">
        <v>11198</v>
      </c>
      <c r="C5" s="5">
        <v>687</v>
      </c>
      <c r="D5" s="5">
        <v>12612</v>
      </c>
      <c r="E5" s="5">
        <v>17281</v>
      </c>
      <c r="F5" s="5">
        <v>22472</v>
      </c>
      <c r="G5" s="5">
        <v>276</v>
      </c>
      <c r="H5" s="5">
        <v>8677</v>
      </c>
      <c r="I5" s="5">
        <v>26397</v>
      </c>
      <c r="J5" s="5">
        <v>8575</v>
      </c>
      <c r="K5" s="5">
        <v>8522</v>
      </c>
    </row>
    <row r="6" spans="1:11">
      <c r="A6" t="s">
        <v>36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</row>
    <row r="7" spans="1:11">
      <c r="A7" t="s">
        <v>87</v>
      </c>
      <c r="B7" s="5">
        <v>790</v>
      </c>
      <c r="C7" s="5">
        <v>839</v>
      </c>
      <c r="D7" s="5">
        <v>918</v>
      </c>
      <c r="E7" s="5">
        <v>969</v>
      </c>
      <c r="F7" s="5">
        <v>936</v>
      </c>
      <c r="G7" s="5">
        <v>666</v>
      </c>
      <c r="H7" s="5">
        <v>754</v>
      </c>
      <c r="I7" s="5">
        <v>1125</v>
      </c>
      <c r="J7" s="5">
        <v>1843</v>
      </c>
      <c r="K7" s="5">
        <v>1889</v>
      </c>
    </row>
    <row r="8" spans="1:11">
      <c r="A8" t="inlineStr">
        <is>
          <t>= Owner FCF</t>
        </is>
      </c>
      <c r="B8" s="5">
        <v>10408</v>
      </c>
      <c r="C8" s="5">
        <v>-152</v>
      </c>
      <c r="D8" s="5">
        <v>11694</v>
      </c>
      <c r="E8" s="5">
        <v>16312</v>
      </c>
      <c r="F8" s="5">
        <v>21536</v>
      </c>
      <c r="G8" s="5">
        <v>-390</v>
      </c>
      <c r="H8" s="5">
        <v>7923</v>
      </c>
      <c r="I8" s="5">
        <v>25272</v>
      </c>
      <c r="J8" s="5">
        <v>6732</v>
      </c>
      <c r="K8" s="5">
        <v>6633</v>
      </c>
    </row>
    <row r="10" spans="1:11">
      <c r="A10" t="s">
        <v>88</v>
      </c>
      <c r="B10" s="9">
        <v>0.02439279412725728</v>
      </c>
      <c r="C10" s="9">
        <v>0.001425473861125232</v>
      </c>
      <c r="D10" s="9">
        <v>0.02484413320332122</v>
      </c>
      <c r="E10" s="9">
        <v>0.03456186175255299</v>
      </c>
      <c r="F10" s="9">
        <v>0.05106564771702105</v>
      </c>
      <c r="G10" s="9">
        <v>0.0005663827228644191</v>
      </c>
      <c r="H10" s="9">
        <v>0.0156872599995661</v>
      </c>
      <c r="I10" s="9">
        <v>0.04233287039858361</v>
      </c>
      <c r="J10" s="9">
        <v>0.01388304245053913</v>
      </c>
      <c r="K10" s="9">
        <v>0.01321853076077127</v>
      </c>
    </row>
    <row r="11" spans="1:11">
      <c r="A11" t="s">
        <v>47</v>
      </c>
      <c r="B11" s="9">
        <v>0.02267192367177119</v>
      </c>
      <c r="C11" s="9">
        <v>-0.0003153886854309102</v>
      </c>
      <c r="D11" s="9">
        <v>0.02303578287976834</v>
      </c>
      <c r="E11" s="9">
        <v>0.03262386950452198</v>
      </c>
      <c r="F11" s="9">
        <v>0.04893866986622309</v>
      </c>
      <c r="G11" s="9">
        <v>-0.0008003234127432009</v>
      </c>
      <c r="H11" s="9">
        <v>0.01432409369327673</v>
      </c>
      <c r="I11" s="9">
        <v>0.04052870783471626</v>
      </c>
      <c r="J11" s="9">
        <v>0.01089920020723375</v>
      </c>
      <c r="K11" s="9">
        <v>0.01028849032342125</v>
      </c>
    </row>
    <row r="13" spans="1:11">
      <c r="A13" t="s">
        <v>89</v>
      </c>
      <c r="B13" s="5">
        <v>22299</v>
      </c>
      <c r="C13" s="5">
        <v>20139</v>
      </c>
      <c r="D13" s="5">
        <v>25307</v>
      </c>
      <c r="E13" s="5">
        <v>23065</v>
      </c>
      <c r="F13" s="5">
        <v>12210</v>
      </c>
      <c r="G13" s="5">
        <v>14401</v>
      </c>
      <c r="H13" s="5">
        <v>18078</v>
      </c>
      <c r="I13" s="5">
        <v>26869</v>
      </c>
      <c r="J13" s="5">
        <v>30621</v>
      </c>
      <c r="K13" s="5">
        <v>35232</v>
      </c>
    </row>
    <row r="14" spans="1:11">
      <c r="A14" t="s">
        <v>90</v>
      </c>
      <c r="B14" s="9">
        <v>0.04857429150238526</v>
      </c>
      <c r="C14" s="9">
        <v>0.04178692589403355</v>
      </c>
      <c r="D14" s="9">
        <v>0.04985176649036236</v>
      </c>
      <c r="E14" s="9">
        <v>0.04612981548073808</v>
      </c>
      <c r="F14" s="9">
        <v>0.02774615337419131</v>
      </c>
      <c r="G14" s="9">
        <v>0.02955245504337137</v>
      </c>
      <c r="H14" s="9">
        <v>0.03268344891922968</v>
      </c>
      <c r="I14" s="9">
        <v>0.04308981682537952</v>
      </c>
      <c r="J14" s="9">
        <v>0.04957581841142376</v>
      </c>
      <c r="K14" s="9">
        <v>0.05464858903584763</v>
      </c>
    </row>
    <row r="16" spans="1:11">
      <c r="A16" t="s">
        <v>91</v>
      </c>
      <c r="K16" s="9">
        <v>0.31</v>
      </c>
    </row>
    <row r="18" spans="1:1">
      <c r="A18" s="2" t="s">
        <v>92</v>
      </c>
    </row>
    <row r="19" spans="1:1">
      <c r="A19" s="2" t="s">
        <v>93</v>
      </c>
    </row>
    <row r="20" spans="1:1">
      <c r="A20" s="2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cols>
    <col min="1" max="1" width="22.7109375" customWidth="1"/>
    <col min="2" max="3" width="15.7109375" customWidth="1"/>
  </cols>
  <sheetData>
    <row r="1" spans="1:3">
      <c r="A1" s="1" t="s">
        <v>95</v>
      </c>
    </row>
    <row r="3" spans="1:3">
      <c r="A3" s="8" t="s">
        <v>96</v>
      </c>
      <c r="B3" s="8" t="s">
        <v>97</v>
      </c>
      <c r="C3" s="8" t="s">
        <v>98</v>
      </c>
    </row>
    <row r="4" spans="1:3">
      <c r="A4" t="s">
        <v>31</v>
      </c>
      <c r="B4" s="9">
        <v>0.0524</v>
      </c>
      <c r="C4" s="9">
        <v>0.0794</v>
      </c>
    </row>
    <row r="5" spans="1:3">
      <c r="A5" t="s">
        <v>99</v>
      </c>
      <c r="B5" s="9">
        <v>0.4535</v>
      </c>
      <c r="C5" s="9">
        <v>0.2241</v>
      </c>
    </row>
    <row r="6" spans="1:3">
      <c r="A6" t="s">
        <v>100</v>
      </c>
      <c r="B6" s="9">
        <v>0.0623</v>
      </c>
      <c r="C6" s="9">
        <v>0.0558</v>
      </c>
    </row>
    <row r="7" spans="1:3">
      <c r="A7" t="s">
        <v>101</v>
      </c>
      <c r="B7" s="9">
        <v>-0.006</v>
      </c>
      <c r="C7" s="9">
        <v>-0.1763</v>
      </c>
    </row>
    <row r="8" spans="1:3">
      <c r="A8" t="s">
        <v>102</v>
      </c>
      <c r="B8" s="9">
        <v>-0.0575</v>
      </c>
      <c r="C8" s="9">
        <v>-0.2099</v>
      </c>
    </row>
    <row r="10" spans="1:3">
      <c r="A10" s="10" t="s">
        <v>103</v>
      </c>
      <c r="B10" s="9">
        <v>0.0558</v>
      </c>
    </row>
    <row r="11" spans="1:3">
      <c r="A11" t="s">
        <v>104</v>
      </c>
      <c r="B11" t="s">
        <v>105</v>
      </c>
    </row>
    <row r="12" spans="1:3">
      <c r="A12" s="10" t="s">
        <v>106</v>
      </c>
    </row>
    <row r="13" spans="1:3">
      <c r="A13" s="2" t="s">
        <v>107</v>
      </c>
    </row>
    <row r="16" spans="1:3">
      <c r="A16" s="3" t="s">
        <v>108</v>
      </c>
    </row>
    <row r="18" spans="1:11">
      <c r="A18" s="8"/>
      <c r="B18" s="8" t="s">
        <v>76</v>
      </c>
      <c r="C18" s="8" t="s">
        <v>77</v>
      </c>
      <c r="D18" s="8" t="s">
        <v>78</v>
      </c>
      <c r="E18" s="8" t="s">
        <v>79</v>
      </c>
      <c r="F18" s="8" t="s">
        <v>80</v>
      </c>
      <c r="G18" s="8" t="s">
        <v>81</v>
      </c>
      <c r="H18" s="8" t="s">
        <v>82</v>
      </c>
      <c r="I18" s="8" t="s">
        <v>83</v>
      </c>
      <c r="J18" s="8" t="s">
        <v>84</v>
      </c>
      <c r="K18" s="8" t="s">
        <v>85</v>
      </c>
    </row>
    <row r="19" spans="1:11">
      <c r="A19" t="s">
        <v>109</v>
      </c>
      <c r="B19" s="5">
        <v>2071</v>
      </c>
      <c r="C19" s="5">
        <v>2190</v>
      </c>
      <c r="D19" s="5">
        <v>1929</v>
      </c>
      <c r="E19" s="5">
        <v>1385</v>
      </c>
      <c r="F19" s="5">
        <v>1766</v>
      </c>
      <c r="G19" s="5">
        <v>1370</v>
      </c>
      <c r="H19" s="5">
        <v>1868</v>
      </c>
      <c r="I19" s="5">
        <v>2150</v>
      </c>
      <c r="J19" s="5">
        <v>2129</v>
      </c>
      <c r="K19" s="5">
        <v>2891</v>
      </c>
    </row>
    <row r="20" spans="1:11">
      <c r="A20" t="s">
        <v>110</v>
      </c>
      <c r="C20" s="5">
        <v>9.1</v>
      </c>
      <c r="D20" s="5">
        <v>9.699999999999999</v>
      </c>
      <c r="E20" s="5">
        <v>8.4</v>
      </c>
      <c r="F20" s="5">
        <v>14</v>
      </c>
      <c r="G20" s="5">
        <v>43.1</v>
      </c>
      <c r="H20" s="5">
        <v>16.6</v>
      </c>
      <c r="I20" s="5">
        <v>7.8</v>
      </c>
      <c r="J20" s="5">
        <v>6.9</v>
      </c>
      <c r="K20" s="5">
        <v>8.300000000000001</v>
      </c>
    </row>
    <row r="21" spans="1:11">
      <c r="A21" t="s">
        <v>111</v>
      </c>
      <c r="B21" s="5">
        <v>0.89</v>
      </c>
      <c r="C21" s="5">
        <v>0.86</v>
      </c>
      <c r="D21" s="5">
        <v>0.73</v>
      </c>
      <c r="E21" s="5">
        <v>0.52</v>
      </c>
      <c r="F21" s="5">
        <v>0.61</v>
      </c>
      <c r="G21" s="5">
        <v>0.45</v>
      </c>
      <c r="H21" s="5">
        <v>0.59</v>
      </c>
      <c r="I21" s="5">
        <v>0.58</v>
      </c>
      <c r="J21" s="5">
        <v>0.59</v>
      </c>
      <c r="K21" s="5">
        <v>0.71</v>
      </c>
    </row>
    <row r="22" spans="1:11">
      <c r="A22" t="s">
        <v>112</v>
      </c>
      <c r="B22" s="5">
        <v>2.67</v>
      </c>
      <c r="C22" s="5">
        <v>2.93</v>
      </c>
      <c r="D22" s="5">
        <v>2.55</v>
      </c>
      <c r="E22" s="5">
        <v>1.67</v>
      </c>
      <c r="F22" s="5">
        <v>3.11</v>
      </c>
      <c r="G22" s="5">
        <v>2.99</v>
      </c>
      <c r="H22" s="5">
        <v>3.12</v>
      </c>
      <c r="I22" s="5">
        <v>2.74</v>
      </c>
      <c r="J22" s="5">
        <v>2.07</v>
      </c>
      <c r="K22" s="5">
        <v>2.75</v>
      </c>
    </row>
    <row r="24" spans="1:11">
      <c r="A24" t="s">
        <v>113</v>
      </c>
      <c r="B24" s="5">
        <v>2.97</v>
      </c>
    </row>
    <row r="25" spans="1:11">
      <c r="A25" t="s">
        <v>114</v>
      </c>
      <c r="B25" s="5">
        <v>2.66</v>
      </c>
    </row>
    <row r="26" spans="1:11">
      <c r="A26" t="s">
        <v>115</v>
      </c>
      <c r="B26" s="5">
        <v>0.74</v>
      </c>
    </row>
    <row r="27" spans="1:11">
      <c r="A27" t="s">
        <v>116</v>
      </c>
      <c r="B27" s="5">
        <v>0.65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30.7109375" customWidth="1"/>
    <col min="2" max="2" width="90.7109375" customWidth="1"/>
  </cols>
  <sheetData>
    <row r="1" spans="1:2">
      <c r="A1" s="1" t="s">
        <v>117</v>
      </c>
    </row>
    <row r="3" spans="1:2">
      <c r="A3" s="10" t="s">
        <v>118</v>
      </c>
      <c r="B3" t="s">
        <v>119</v>
      </c>
    </row>
    <row r="4" spans="1:2">
      <c r="A4" s="10" t="s">
        <v>120</v>
      </c>
      <c r="B4" t="s">
        <v>121</v>
      </c>
    </row>
    <row r="5" spans="1:2">
      <c r="A5" s="10" t="s">
        <v>122</v>
      </c>
      <c r="B5" t="s">
        <v>123</v>
      </c>
    </row>
    <row r="6" spans="1:2">
      <c r="A6" s="10" t="s">
        <v>124</v>
      </c>
      <c r="B6" t="s">
        <v>125</v>
      </c>
    </row>
    <row r="7" spans="1:2">
      <c r="A7" s="10" t="s">
        <v>126</v>
      </c>
      <c r="B7" t="s">
        <v>127</v>
      </c>
    </row>
    <row r="8" spans="1:2">
      <c r="A8" s="10" t="s">
        <v>128</v>
      </c>
      <c r="B8" t="s">
        <v>129</v>
      </c>
    </row>
    <row r="9" spans="1:2">
      <c r="A9" s="10" t="s">
        <v>130</v>
      </c>
      <c r="B9" t="s">
        <v>131</v>
      </c>
    </row>
    <row r="10" spans="1:2">
      <c r="A10" s="10" t="s">
        <v>132</v>
      </c>
      <c r="B10" t="s">
        <v>133</v>
      </c>
    </row>
    <row r="11" spans="1:2">
      <c r="A11" s="10" t="s">
        <v>134</v>
      </c>
      <c r="B11" t="s">
        <v>135</v>
      </c>
    </row>
    <row r="12" spans="1:2">
      <c r="A12" s="10" t="s">
        <v>136</v>
      </c>
      <c r="B12" t="s">
        <v>137</v>
      </c>
    </row>
    <row r="13" spans="1:2">
      <c r="A13" s="10" t="s">
        <v>138</v>
      </c>
      <c r="B13" t="s">
        <v>139</v>
      </c>
    </row>
    <row r="14" spans="1:2">
      <c r="A14" s="10" t="s">
        <v>140</v>
      </c>
      <c r="B14" t="s">
        <v>141</v>
      </c>
    </row>
    <row r="15" spans="1:2">
      <c r="A15" s="10" t="s">
        <v>142</v>
      </c>
      <c r="B15" t="s">
        <v>143</v>
      </c>
    </row>
    <row r="16" spans="1:2">
      <c r="A16" s="10" t="s">
        <v>144</v>
      </c>
      <c r="B16" t="s">
        <v>145</v>
      </c>
    </row>
    <row r="17" spans="1:2">
      <c r="A17" s="10" t="s">
        <v>146</v>
      </c>
      <c r="B1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Sensitivity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2026-08-14T04:22:39Z</dcterms:created>
  <dcterms:modified xsi:type="dcterms:W3CDTF">2026-08-14T04:22:39Z</dcterms:modified>
</cp:coreProperties>
</file>