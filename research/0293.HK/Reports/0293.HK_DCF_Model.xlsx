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<sst xmlns="http://schemas.openxmlformats.org/spreadsheetml/2006/main" count="362" uniqueCount="169">
  <si>
    <t xml:space="preserve">Ticker</t>
  </si>
  <si>
    <t xml:space="preserve">0293.HK</t>
  </si>
  <si>
    <t xml:space="preserve">Company</t>
  </si>
  <si>
    <t xml:space="preserve">Cathay Pacific Airways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</si>
  <si>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</si>
  <si>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</si>
  <si>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</si>
  <si>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</si>
  <si>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(HKEX regular close, Friday; Yahoo chart API)</t>
  </si>
  <si>
    <t xml:space="preserve">Balance sheet date</t>
  </si>
  <si>
    <t xml:space="preserve">2025-12-31 (pro forma for Feb-2026 buyback and FY2025 final dividend; cross-checked to 2026-06-30 interim)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</si>
  <si>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</si>
  <si>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</si>
  <si>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</si>
  <si>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</si>
  <si>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</si>
  <si>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</si>
  <si>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</si>
  <si>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</si>
  <si>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</si>
  <si>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</si>
  <si>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2026-10-10T21:58:37Z</t>
  </si>
  <si>
    <t xml:space="preserve">Drivers file</t>
  </si>
  <si>
    <t xml:space="preserve">0293.HK_Drivers.json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</si>
  <si>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</si>
  <si>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</si>
  <si>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</si>
  <si>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Cathay is valued as a cyclical operating airline on mid-cycle owner FCF, not on the FY2023-25 recovery peak. Leases are treated as debt (all HK$26.7bn of lease liabilities in net debt, lease-funded aircraft additions inside capex), the committed HK$150bn fleet programme is charged as a multi-year capex hump, and the Air China / Air China Cargo stakes are added at the lower of market and book rather than projected through volatile, three-months-in-arrears associate income. Risk is charged once: cyclicality and fuel sit in a 30%-weighted bear case and a 10x terminal cap, with a single 8.5% HKD WACC across scenarios.
key_risks_to_valuation: Fuel: jet fuel is ~30% of opex; H1 2026 net fuel cost rose 59%. Each 1pp of mid-cycle EBITDA margin is worth roughly HK$1/share.; Mid-cycle margin judgment: 19% base sits between FY2019's 17.3% and FY2024-25's 23-25%; if the post-COVID level is structural, base is too low, if FY2019 is the norm it is too high.; Capex programme: HK$150bn committed over roughly a decade; overruns or faster delivery timing push FCF down in the hump years.; Associate stakes: Air China Cargo is carried at book (~HK$6.5bn) against a Dec-2025 quoted value of ~HK$16.9bn; marking it to market would add ~HK$1.7/share.; Liquidity: ~20.5% free float under an HKEX waiver; index eligibility and trading liquidity could weigh on the multiple irrespective of fundamentals.</t>
  </si>
  <si>
    <t xml:space="preserve">Data sources</t>
  </si>
  <si>
    <t xml:space="preserve">price: Yahoo Finance chart API at inputs.price_as_of; 52-week range 10.35-15.22.
financials: 0293.HK_Metrics.csv (core_metrics + kpis from FY2017-FY2025 annual reports and H1 FY2023-FY2026 interims); FY2025 Annual Report cash flow statement, notes 3, 4, 9, 11; H1 FY2026 Interim Report notes 8, 11, 12, 17 and Chair's outlook.
qualitative: 0293.HK_Analysis.json (2026-10-11).</t>
  </si>
  <si>
    <t xml:space="preserve">Scenario narrative: bear</t>
  </si>
  <si>
    <t xml:space="preserve">The Middle East fuel shock persists through FY2027 while demand softens: surcharges stop sticking, FY2027 revenue is flat and EBITDA margin falls to ~16.5% before settling at 17% (near the FY2019 pre-COVID 17.3%). Greater Bay Area airports, Gulf and mainland carriers and regional LCCs add capacity into Hong Kong, compressing premium yields; HK Express losses persist; cargo yields normalise from the AI-freight peak. The fleet programme is already committed so capex cannot be cut quickly, and FCF is squeezed hardest in FY2027-29. Single-hub concentration and Hong Kong's status as an aviation gateway are the tail risks behind this case.</t>
  </si>
  <si>
    <t xml:space="preserve">Scenario narrative: base</t>
  </si>
  <si>
    <t xml:space="preserve">Cathay delivers its guided ~10% FY2026 capacity growth; the Middle East fuel spike compresses FY2026 EBITDA margin to ~20.5% (H1 actual 20.3%) with surcharges recovering part of it, then margins settle at a 19% mid-cycle level as HKIA's third runway invites more competing capacity and the post-COVID yield premium fades. Cargo holds up on AI/data-centre and e-commerce freight but does not repeat the H1 2026 +18% yield. HK Express stays a small drag (no turnaround credited). The HK$150bn fleet programme lifts capex to 12-12.5% of revenue in FY2027-29, above D&amp;A, so owner FCF dips before recovering. Air China and Air China Cargo stakes are valued in the bridge, not projected.</t>
  </si>
  <si>
    <t xml:space="preserve">Scenario narrative: bull</t>
  </si>
  <si>
    <t xml:space="preserve">Fuel normalises by early 2027 and surcharges hold long enough to protect yields; HKIA's three-runway capacity lets Cathay capture a disproportionate share of hub growth (Seattle, Munich, Brussels, Almaty and further new routes fill well); HK Express turns sustainably profitable after the Pratt &amp; Whitney groundings resolve and it expands to Japan/Vietnam; cargo yields stay elevated on high-value tech freight; Asia Miles/Lifestyle grows as a higher-margin stream. EBITDA margin holds ~22%, close to the FY2024-25 run, and growth runs a point or two above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</si>
  <si>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</si>
  <si>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</si>
  <si>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</si>
  <si>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</si>
  <si>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</si>
  <si>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</si>
  <si>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</si>
  <si>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</si>
  <si>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</si>
  <si>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</si>
  <si>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</si>
  <si>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</si>
  <si>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</si>
  <si>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</si>
  <si>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</si>
  <si>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</si>
  <si>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</si>
  <si>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</si>
  <si>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</si>
  <si>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</si>
  <si>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</si>
  <si>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</si>
  <si>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</si>
  <si>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</si>
  <si>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</si>
  <si>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</si>
  <si>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</si>
  <si>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</si>
  <si>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NonControllingInterestProfit</t>
  </si>
  <si>
    <t xml:space="preserve">OtherRevenue</t>
  </si>
  <si>
    <t xml:space="preserve">ProfitAfterTaxTotal</t>
  </si>
  <si>
    <t xml:space="preserve">ShareOfAssociatesProfit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</si>
  <si>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</si>
  <si>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</si>
  <si>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</si>
  <si>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</si>
  <si>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</si>
  <si>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</si>
  <si>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</si>
  <si>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</si>
  <si>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</si>
  <si>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</si>
  <si>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</si>
  <si>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</si>
  <si>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</si>
  <si>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</si>
  <si>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</si>
  <si>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</si>
  <si>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</si>
  <si>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</si>
  <si>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</si>
  <si>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</si>
  <si>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</si>
  <si>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</si>
  <si>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</si>
  <si>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</si>
  <si>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</si>
  <si>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</si>
  <si>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</si>
  <si>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</si>
  <si>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</si>
  <si>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</si>
  <si>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</si>
  <si>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</si>
  <si>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</si>
  <si>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</si>
  <si>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</si>
  <si>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</si>
  <si>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</si>
  <si>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</si>
  <si>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</si>
  <si>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</si>
  <si>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</si>
  <si>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</si>
  <si>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</si>
  <si>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</si>
  <si>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</si>
  <si>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</si>
  <si>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0293.HK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</si>
  <si>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</si>
  <si>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</si>
  <si>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</si>
  <si>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</si>
  <si>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</si>
  <si>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</si>
  <si>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</si>
  <si>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</si>
  <si>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</si>
  <si>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</si>
  <si>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</si>
  <si>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</si>
  <si>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</si>
  <si>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</si>
  <si>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</si>
  <si>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</si>
  <si>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</si>
  <si>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</si>
  <si>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</si>
  <si>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</si>
  <si>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</si>
  <si>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</si>
  <si>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</si>
  <si>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</si>
  <si>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</si>
  <si>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</si>
  <si>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</si>
  <si>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</si>
  <si>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</si>
  <si>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</si>
  <si>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0293.HK owner-FCF component DCF: base case (millions, HKD)</t>
  </si>
  <si>
    <t xml:space="preserve">0293.HK owner-FCF component DCF: bull case (millions, HKD)</t>
  </si>
  <si>
    <t xml:space="preserve">0293.HK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</si>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</sst>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97284</v>
      </c>
      <c r="F2" s="0" t="n">
        <v>-1449</v>
      </c>
      <c r="G2" s="0" t="n">
        <v>-1.5</v>
      </c>
      <c r="I2" s="0" t="n">
        <v>-1259</v>
      </c>
      <c r="J2" s="0" t="n">
        <v>-1.3</v>
      </c>
      <c r="K2" s="0" t="n">
        <v>-0.291</v>
      </c>
      <c r="L2" s="0" t="n">
        <v>4323</v>
      </c>
      <c r="O2" s="0" t="n">
        <v>61101</v>
      </c>
      <c r="R2" s="0" t="n">
        <v>78394</v>
      </c>
      <c r="S2" s="0" t="n">
        <v>19094</v>
      </c>
      <c r="T2" s="0" t="n">
        <v>4324.95</v>
      </c>
      <c r="AA2" s="0" t="s">
        <v>17</v>
      </c>
      <c r="AB2" s="0" t="s">
        <v>14</v>
      </c>
      <c r="AC2" s="0" t="n">
        <v>-0.291</v>
      </c>
      <c r="AD2" s="0" t="n">
        <v>371</v>
      </c>
      <c r="AE2" s="0" t="n">
        <v>6973</v>
      </c>
      <c r="AF2" s="0" t="n">
        <v>-888</v>
      </c>
      <c r="AG2" s="0" t="n">
        <v>2630</v>
      </c>
    </row>
    <row r="3" customFormat="false" ht="15" hidden="false" customHeight="false" outlineLevel="0" collapsed="false">
      <c r="A3" s="0" t="s">
        <v>69</v>
      </c>
      <c r="B3" s="0" t="n">
        <v>111060</v>
      </c>
      <c r="F3" s="0" t="n">
        <v>3595</v>
      </c>
      <c r="G3" s="0" t="n">
        <v>3.2</v>
      </c>
      <c r="I3" s="0" t="n">
        <v>2345</v>
      </c>
      <c r="J3" s="0" t="n">
        <v>2.1</v>
      </c>
      <c r="K3" s="0" t="n">
        <v>0.542</v>
      </c>
      <c r="L3" s="0" t="n">
        <v>14525</v>
      </c>
      <c r="M3" s="0" t="n">
        <v>15991</v>
      </c>
      <c r="N3" s="0" t="n">
        <v>-1466</v>
      </c>
      <c r="O3" s="0" t="n">
        <v>63936</v>
      </c>
      <c r="R3" s="0" t="n">
        <v>73896</v>
      </c>
      <c r="S3" s="0" t="n">
        <v>15315</v>
      </c>
      <c r="T3" s="0" t="n">
        <v>4324.95</v>
      </c>
      <c r="AA3" s="0" t="s">
        <v>17</v>
      </c>
      <c r="AB3" s="0" t="s">
        <v>14</v>
      </c>
      <c r="AC3" s="0" t="n">
        <v>0.542</v>
      </c>
      <c r="AD3" s="0" t="n">
        <v>432</v>
      </c>
      <c r="AE3" s="0" t="n">
        <v>9625</v>
      </c>
      <c r="AF3" s="0" t="n">
        <v>2777</v>
      </c>
      <c r="AG3" s="0" t="n">
        <v>1762</v>
      </c>
    </row>
    <row r="4" customFormat="false" ht="15" hidden="false" customHeight="false" outlineLevel="0" collapsed="false">
      <c r="A4" s="0" t="s">
        <v>70</v>
      </c>
      <c r="B4" s="0" t="n">
        <v>106973</v>
      </c>
      <c r="F4" s="0" t="n">
        <v>3441</v>
      </c>
      <c r="G4" s="0" t="n">
        <v>3.2</v>
      </c>
      <c r="H4" s="0" t="n">
        <v>18454</v>
      </c>
      <c r="I4" s="0" t="n">
        <v>1691</v>
      </c>
      <c r="J4" s="0" t="n">
        <v>1.6</v>
      </c>
      <c r="K4" s="0" t="n">
        <v>0.391</v>
      </c>
      <c r="L4" s="0" t="n">
        <v>15342</v>
      </c>
      <c r="M4" s="0" t="n">
        <v>12171</v>
      </c>
      <c r="N4" s="0" t="n">
        <v>3171</v>
      </c>
      <c r="O4" s="0" t="n">
        <v>62773</v>
      </c>
      <c r="R4" s="0" t="n">
        <v>97260</v>
      </c>
      <c r="S4" s="0" t="n">
        <v>14864</v>
      </c>
      <c r="T4" s="0" t="n">
        <v>4324.95</v>
      </c>
      <c r="W4" s="0" t="n">
        <v>18340</v>
      </c>
      <c r="AA4" s="0" t="s">
        <v>17</v>
      </c>
      <c r="AB4" s="0" t="s">
        <v>14</v>
      </c>
      <c r="AC4" s="0" t="n">
        <v>0.391</v>
      </c>
      <c r="AD4" s="0" t="n">
        <v>0</v>
      </c>
      <c r="AE4" s="0" t="n">
        <v>9178</v>
      </c>
      <c r="AF4" s="0" t="n">
        <v>1691</v>
      </c>
      <c r="AG4" s="0" t="n">
        <v>1643</v>
      </c>
    </row>
    <row r="5" customFormat="false" ht="15" hidden="false" customHeight="false" outlineLevel="0" collapsed="false">
      <c r="A5" s="0" t="s">
        <v>71</v>
      </c>
      <c r="B5" s="0" t="n">
        <v>46934</v>
      </c>
      <c r="F5" s="0" t="n">
        <v>-18144</v>
      </c>
      <c r="G5" s="0" t="n">
        <v>-38.7</v>
      </c>
      <c r="H5" s="0" t="n">
        <v>-3545</v>
      </c>
      <c r="I5" s="0" t="n">
        <v>-21876</v>
      </c>
      <c r="J5" s="0" t="n">
        <v>-46.6</v>
      </c>
      <c r="K5" s="0" t="n">
        <v>-4.243</v>
      </c>
      <c r="L5" s="0" t="n">
        <v>-14291</v>
      </c>
      <c r="M5" s="0" t="n">
        <v>5418</v>
      </c>
      <c r="N5" s="0" t="n">
        <v>-19709</v>
      </c>
      <c r="O5" s="0" t="n">
        <v>73257</v>
      </c>
      <c r="R5" s="0" t="n">
        <v>93129</v>
      </c>
      <c r="S5" s="0" t="n">
        <v>19341</v>
      </c>
      <c r="T5" s="0" t="n">
        <v>5156</v>
      </c>
      <c r="W5" s="0" t="n">
        <v>2894</v>
      </c>
      <c r="AA5" s="0" t="s">
        <v>17</v>
      </c>
      <c r="AB5" s="0" t="s">
        <v>14</v>
      </c>
      <c r="AC5" s="0" t="n">
        <v>-4.243</v>
      </c>
      <c r="AD5" s="0" t="n">
        <v>1</v>
      </c>
      <c r="AE5" s="0" t="n">
        <v>7094</v>
      </c>
      <c r="AF5" s="0" t="n">
        <v>-21647</v>
      </c>
      <c r="AG5" s="0" t="n">
        <v>-1282</v>
      </c>
    </row>
    <row r="6" customFormat="false" ht="15" hidden="false" customHeight="false" outlineLevel="0" collapsed="false">
      <c r="A6" s="0" t="s">
        <v>72</v>
      </c>
      <c r="B6" s="0" t="n">
        <v>45587</v>
      </c>
      <c r="F6" s="0" t="n">
        <v>-1443</v>
      </c>
      <c r="G6" s="0" t="n">
        <v>-3.2</v>
      </c>
      <c r="H6" s="0" t="n">
        <v>11382</v>
      </c>
      <c r="I6" s="0" t="n">
        <v>-6123</v>
      </c>
      <c r="J6" s="0" t="n">
        <v>-13.4</v>
      </c>
      <c r="K6" s="0" t="n">
        <v>-0.951</v>
      </c>
      <c r="L6" s="0" t="n">
        <v>8835</v>
      </c>
      <c r="M6" s="0" t="n">
        <v>2276</v>
      </c>
      <c r="N6" s="0" t="n">
        <v>6559</v>
      </c>
      <c r="O6" s="0" t="n">
        <v>72244</v>
      </c>
      <c r="R6" s="0" t="n">
        <v>89854</v>
      </c>
      <c r="S6" s="0" t="n">
        <v>19284</v>
      </c>
      <c r="T6" s="0" t="n">
        <v>6437.2</v>
      </c>
      <c r="W6" s="0" t="n">
        <v>12375</v>
      </c>
      <c r="AA6" s="0" t="s">
        <v>17</v>
      </c>
      <c r="AB6" s="0" t="s">
        <v>14</v>
      </c>
      <c r="AC6" s="0" t="n">
        <v>-0.951</v>
      </c>
      <c r="AD6" s="0" t="n">
        <v>1</v>
      </c>
      <c r="AE6" s="0" t="n">
        <v>5416</v>
      </c>
      <c r="AF6" s="0" t="n">
        <v>-5526</v>
      </c>
      <c r="AG6" s="0" t="n">
        <v>-1985</v>
      </c>
    </row>
    <row r="7" customFormat="false" ht="15" hidden="false" customHeight="false" outlineLevel="0" collapsed="false">
      <c r="A7" s="0" t="s">
        <v>73</v>
      </c>
      <c r="B7" s="0" t="n">
        <v>51036</v>
      </c>
      <c r="F7" s="0" t="n">
        <v>3471</v>
      </c>
      <c r="G7" s="0" t="n">
        <v>6.8</v>
      </c>
      <c r="H7" s="0" t="n">
        <v>15899</v>
      </c>
      <c r="I7" s="0" t="n">
        <v>-7237</v>
      </c>
      <c r="J7" s="0" t="n">
        <v>-14.2</v>
      </c>
      <c r="K7" s="0" t="n">
        <v>-1.124</v>
      </c>
      <c r="L7" s="0" t="n">
        <v>17836</v>
      </c>
      <c r="M7" s="0" t="n">
        <v>3729</v>
      </c>
      <c r="N7" s="0" t="n">
        <v>14107</v>
      </c>
      <c r="O7" s="0" t="n">
        <v>63803</v>
      </c>
      <c r="R7" s="0" t="n">
        <v>77106</v>
      </c>
      <c r="S7" s="0" t="n">
        <v>18277</v>
      </c>
      <c r="T7" s="0" t="n">
        <v>6437.2</v>
      </c>
      <c r="W7" s="0" t="n">
        <v>15899</v>
      </c>
      <c r="AA7" s="0" t="s">
        <v>17</v>
      </c>
      <c r="AB7" s="0" t="s">
        <v>14</v>
      </c>
      <c r="AC7" s="0" t="n">
        <v>-1.124</v>
      </c>
      <c r="AD7" s="0" t="n">
        <v>1</v>
      </c>
      <c r="AE7" s="0" t="n">
        <v>6149</v>
      </c>
      <c r="AF7" s="0" t="n">
        <v>-6622</v>
      </c>
      <c r="AG7" s="0" t="n">
        <v>-6677</v>
      </c>
    </row>
    <row r="8" customFormat="false" ht="15" hidden="false" customHeight="false" outlineLevel="0" collapsed="false">
      <c r="A8" s="0" t="s">
        <v>74</v>
      </c>
      <c r="B8" s="0" t="n">
        <v>94485</v>
      </c>
      <c r="F8" s="0" t="n">
        <v>15125</v>
      </c>
      <c r="G8" s="0" t="n">
        <v>16</v>
      </c>
      <c r="H8" s="0" t="n">
        <v>27563</v>
      </c>
      <c r="I8" s="0" t="n">
        <v>9067</v>
      </c>
      <c r="J8" s="0" t="n">
        <v>9.6</v>
      </c>
      <c r="K8" s="0" t="n">
        <v>1.258</v>
      </c>
      <c r="L8" s="0" t="n">
        <v>26408</v>
      </c>
      <c r="M8" s="0" t="n">
        <v>6801</v>
      </c>
      <c r="N8" s="0" t="n">
        <v>19607</v>
      </c>
      <c r="O8" s="0" t="n">
        <v>60026</v>
      </c>
      <c r="R8" s="0" t="n">
        <v>68294</v>
      </c>
      <c r="S8" s="0" t="n">
        <v>15530</v>
      </c>
      <c r="T8" s="0" t="n">
        <v>7395.2</v>
      </c>
      <c r="W8" s="0" t="n">
        <v>25437</v>
      </c>
      <c r="AA8" s="0" t="s">
        <v>17</v>
      </c>
      <c r="AB8" s="0" t="s">
        <v>14</v>
      </c>
      <c r="AC8" s="0" t="n">
        <v>1.408</v>
      </c>
      <c r="AD8" s="0" t="n">
        <v>1</v>
      </c>
      <c r="AE8" s="0" t="n">
        <v>7442</v>
      </c>
      <c r="AF8" s="0" t="n">
        <v>9790</v>
      </c>
      <c r="AG8" s="0" t="n">
        <v>-1534</v>
      </c>
    </row>
    <row r="9" customFormat="false" ht="15" hidden="false" customHeight="false" outlineLevel="0" collapsed="false">
      <c r="A9" s="0" t="s">
        <v>75</v>
      </c>
      <c r="B9" s="0" t="n">
        <v>104371</v>
      </c>
      <c r="F9" s="0" t="n">
        <v>13928</v>
      </c>
      <c r="G9" s="0" t="n">
        <v>13.3</v>
      </c>
      <c r="H9" s="0" t="n">
        <v>26438</v>
      </c>
      <c r="I9" s="0" t="n">
        <v>9607</v>
      </c>
      <c r="J9" s="0" t="n">
        <v>9.2</v>
      </c>
      <c r="K9" s="0" t="n">
        <v>1.332</v>
      </c>
      <c r="L9" s="0" t="n">
        <v>23541</v>
      </c>
      <c r="M9" s="0" t="n">
        <v>9207</v>
      </c>
      <c r="N9" s="0" t="n">
        <v>14334</v>
      </c>
      <c r="O9" s="0" t="n">
        <v>52500</v>
      </c>
      <c r="R9" s="0" t="n">
        <v>68475</v>
      </c>
      <c r="S9" s="0" t="n">
        <v>10534</v>
      </c>
      <c r="T9" s="0" t="n">
        <v>7384.3</v>
      </c>
      <c r="W9" s="0" t="n">
        <v>25687</v>
      </c>
      <c r="AA9" s="0" t="s">
        <v>17</v>
      </c>
      <c r="AB9" s="0" t="s">
        <v>14</v>
      </c>
      <c r="AC9" s="0" t="n">
        <v>1.492</v>
      </c>
      <c r="AD9" s="0" t="n">
        <v>0</v>
      </c>
      <c r="AE9" s="0" t="n">
        <v>8365</v>
      </c>
      <c r="AF9" s="0" t="n">
        <v>9888</v>
      </c>
      <c r="AG9" s="0" t="n">
        <v>331</v>
      </c>
    </row>
    <row r="10" customFormat="false" ht="15" hidden="false" customHeight="false" outlineLevel="0" collapsed="false">
      <c r="A10" s="0" t="s">
        <v>76</v>
      </c>
      <c r="B10" s="0" t="n">
        <v>116766</v>
      </c>
      <c r="F10" s="0" t="n">
        <v>14458</v>
      </c>
      <c r="G10" s="0" t="n">
        <v>12.4</v>
      </c>
      <c r="H10" s="0" t="n">
        <v>26562</v>
      </c>
      <c r="I10" s="0" t="n">
        <v>10828</v>
      </c>
      <c r="J10" s="0" t="n">
        <v>9.3</v>
      </c>
      <c r="K10" s="0" t="n">
        <v>1.618</v>
      </c>
      <c r="L10" s="0" t="n">
        <v>25381</v>
      </c>
      <c r="M10" s="0" t="n">
        <v>9830</v>
      </c>
      <c r="N10" s="0" t="n">
        <v>15551</v>
      </c>
      <c r="O10" s="0" t="n">
        <v>60110</v>
      </c>
      <c r="R10" s="0" t="n">
        <v>59101</v>
      </c>
      <c r="S10" s="0" t="n">
        <v>12289</v>
      </c>
      <c r="T10" s="0" t="n">
        <v>6724.3</v>
      </c>
      <c r="W10" s="0" t="n">
        <v>26177</v>
      </c>
      <c r="AA10" s="0" t="s">
        <v>17</v>
      </c>
      <c r="AB10" s="0" t="s">
        <v>14</v>
      </c>
      <c r="AC10" s="0" t="n">
        <v>1.655</v>
      </c>
      <c r="AD10" s="0" t="n">
        <v>0</v>
      </c>
      <c r="AE10" s="0" t="n">
        <v>10346</v>
      </c>
      <c r="AF10" s="0" t="n">
        <v>10828</v>
      </c>
      <c r="AG10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14.12</v>
      </c>
    </row>
    <row r="3" customFormat="false" ht="15" hidden="false" customHeight="false" outlineLevel="0" collapsed="false">
      <c r="A3" s="0" t="s">
        <v>80</v>
      </c>
      <c r="B3" s="3" t="n">
        <v>6081.1</v>
      </c>
    </row>
    <row r="4" customFormat="false" ht="15" hidden="false" customHeight="false" outlineLevel="0" collapsed="false">
      <c r="A4" s="0" t="s">
        <v>81</v>
      </c>
      <c r="B4" s="3" t="n">
        <v>57691</v>
      </c>
    </row>
    <row r="5" customFormat="false" ht="15" hidden="false" customHeight="false" outlineLevel="0" collapsed="false">
      <c r="A5" s="0" t="s">
        <v>82</v>
      </c>
      <c r="B5" s="3" t="n">
        <v>17993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116766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14</v>
      </c>
      <c r="D13" s="3" t="n">
        <v>0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18.5</v>
      </c>
      <c r="D14" s="3" t="n">
        <v>16.5</v>
      </c>
      <c r="E14" s="3" t="n">
        <v>17</v>
      </c>
      <c r="F14" s="3" t="n">
        <v>17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9.5</v>
      </c>
      <c r="D17" s="3" t="n">
        <v>9.8</v>
      </c>
      <c r="E17" s="3" t="n">
        <v>10</v>
      </c>
      <c r="F17" s="3" t="n">
        <v>10.2</v>
      </c>
      <c r="G17" s="3" t="n">
        <v>10.3</v>
      </c>
      <c r="H17" s="3" t="n">
        <v>10.3</v>
      </c>
      <c r="I17" s="3" t="n">
        <v>10.2</v>
      </c>
      <c r="J17" s="3" t="n">
        <v>10.1</v>
      </c>
      <c r="K17" s="3" t="n">
        <v>10</v>
      </c>
      <c r="L17" s="3" t="n">
        <v>9.9</v>
      </c>
    </row>
    <row r="18" customFormat="false" ht="15" hidden="false" customHeight="false" outlineLevel="0" collapsed="false">
      <c r="A18" s="0" t="s">
        <v>105</v>
      </c>
      <c r="C18" s="3" t="n">
        <v>11</v>
      </c>
      <c r="D18" s="3" t="n">
        <v>12.5</v>
      </c>
      <c r="E18" s="3" t="n">
        <v>12.5</v>
      </c>
      <c r="F18" s="3" t="n">
        <v>12</v>
      </c>
      <c r="G18" s="3" t="n">
        <v>11.5</v>
      </c>
      <c r="H18" s="3" t="n">
        <v>11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106</v>
      </c>
      <c r="C19" s="3" t="n">
        <v>15</v>
      </c>
      <c r="D19" s="3" t="n">
        <v>15.5</v>
      </c>
      <c r="E19" s="3" t="n">
        <v>16</v>
      </c>
      <c r="F19" s="3" t="n">
        <v>16.5</v>
      </c>
      <c r="G19" s="3" t="n">
        <v>16.5</v>
      </c>
      <c r="H19" s="3" t="n">
        <v>16.5</v>
      </c>
      <c r="I19" s="3" t="n">
        <v>16.5</v>
      </c>
      <c r="J19" s="3" t="n">
        <v>16.5</v>
      </c>
      <c r="K19" s="3" t="n">
        <v>16.5</v>
      </c>
      <c r="L19" s="3" t="n">
        <v>16.5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8</v>
      </c>
    </row>
    <row r="23" customFormat="false" ht="15" hidden="false" customHeight="false" outlineLevel="0" collapsed="false">
      <c r="A23" s="0" t="s">
        <v>110</v>
      </c>
      <c r="B23" s="3" t="n">
        <v>10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18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20.5</v>
      </c>
      <c r="D28" s="3" t="n">
        <v>20.5</v>
      </c>
      <c r="E28" s="3" t="n">
        <v>20</v>
      </c>
      <c r="F28" s="3" t="n">
        <v>19.5</v>
      </c>
      <c r="G28" s="3" t="n">
        <v>19</v>
      </c>
      <c r="H28" s="3" t="n">
        <v>19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9.5</v>
      </c>
      <c r="D31" s="3" t="n">
        <v>9.6</v>
      </c>
      <c r="E31" s="3" t="n">
        <v>9.8</v>
      </c>
      <c r="F31" s="3" t="n">
        <v>10</v>
      </c>
      <c r="G31" s="3" t="n">
        <v>10.1</v>
      </c>
      <c r="H31" s="3" t="n">
        <v>10.1</v>
      </c>
      <c r="I31" s="3" t="n">
        <v>10</v>
      </c>
      <c r="J31" s="3" t="n">
        <v>10</v>
      </c>
      <c r="K31" s="3" t="n">
        <v>9.9</v>
      </c>
      <c r="L31" s="3" t="n">
        <v>9.8</v>
      </c>
    </row>
    <row r="32" customFormat="false" ht="15" hidden="false" customHeight="false" outlineLevel="0" collapsed="false">
      <c r="A32" s="0" t="s">
        <v>105</v>
      </c>
      <c r="C32" s="3" t="n">
        <v>11</v>
      </c>
      <c r="D32" s="3" t="n">
        <v>12</v>
      </c>
      <c r="E32" s="3" t="n">
        <v>12.5</v>
      </c>
      <c r="F32" s="3" t="n">
        <v>12.5</v>
      </c>
      <c r="G32" s="3" t="n">
        <v>12</v>
      </c>
      <c r="H32" s="3" t="n">
        <v>11.5</v>
      </c>
      <c r="I32" s="3" t="n">
        <v>11</v>
      </c>
      <c r="J32" s="3" t="n">
        <v>10.5</v>
      </c>
      <c r="K32" s="3" t="n">
        <v>10.5</v>
      </c>
      <c r="L32" s="3" t="n">
        <v>10.5</v>
      </c>
    </row>
    <row r="33" customFormat="false" ht="15" hidden="false" customHeight="false" outlineLevel="0" collapsed="false">
      <c r="A33" s="0" t="s">
        <v>106</v>
      </c>
      <c r="C33" s="3" t="n">
        <v>15</v>
      </c>
      <c r="D33" s="3" t="n">
        <v>15.5</v>
      </c>
      <c r="E33" s="3" t="n">
        <v>16</v>
      </c>
      <c r="F33" s="3" t="n">
        <v>16.5</v>
      </c>
      <c r="G33" s="3" t="n">
        <v>16.5</v>
      </c>
      <c r="H33" s="3" t="n">
        <v>16.5</v>
      </c>
      <c r="I33" s="3" t="n">
        <v>16.5</v>
      </c>
      <c r="J33" s="3" t="n">
        <v>16.5</v>
      </c>
      <c r="K33" s="3" t="n">
        <v>16.5</v>
      </c>
      <c r="L33" s="3" t="n">
        <v>16.5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10</v>
      </c>
    </row>
    <row r="37" customFormat="false" ht="15" hidden="false" customHeight="false" outlineLevel="0" collapsed="false">
      <c r="A37" s="0" t="s">
        <v>110</v>
      </c>
      <c r="B37" s="3" t="n">
        <v>10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21</v>
      </c>
      <c r="D41" s="3" t="n">
        <v>8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21.5</v>
      </c>
      <c r="D42" s="3" t="n">
        <v>22</v>
      </c>
      <c r="E42" s="3" t="n">
        <v>22</v>
      </c>
      <c r="F42" s="3" t="n">
        <v>22</v>
      </c>
      <c r="G42" s="3" t="n">
        <v>21.5</v>
      </c>
      <c r="H42" s="3" t="n">
        <v>21.5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9.5</v>
      </c>
      <c r="D45" s="3" t="n">
        <v>9.6</v>
      </c>
      <c r="E45" s="3" t="n">
        <v>9.8</v>
      </c>
      <c r="F45" s="3" t="n">
        <v>10</v>
      </c>
      <c r="G45" s="3" t="n">
        <v>10.1</v>
      </c>
      <c r="H45" s="3" t="n">
        <v>10.1</v>
      </c>
      <c r="I45" s="3" t="n">
        <v>10</v>
      </c>
      <c r="J45" s="3" t="n">
        <v>10</v>
      </c>
      <c r="K45" s="3" t="n">
        <v>9.9</v>
      </c>
      <c r="L45" s="3" t="n">
        <v>9.8</v>
      </c>
    </row>
    <row r="46" customFormat="false" ht="15" hidden="false" customHeight="false" outlineLevel="0" collapsed="false">
      <c r="A46" s="0" t="s">
        <v>105</v>
      </c>
      <c r="C46" s="3" t="n">
        <v>11</v>
      </c>
      <c r="D46" s="3" t="n">
        <v>12</v>
      </c>
      <c r="E46" s="3" t="n">
        <v>12.5</v>
      </c>
      <c r="F46" s="3" t="n">
        <v>12.5</v>
      </c>
      <c r="G46" s="3" t="n">
        <v>12</v>
      </c>
      <c r="H46" s="3" t="n">
        <v>11.5</v>
      </c>
      <c r="I46" s="3" t="n">
        <v>11</v>
      </c>
      <c r="J46" s="3" t="n">
        <v>10.5</v>
      </c>
      <c r="K46" s="3" t="n">
        <v>10.5</v>
      </c>
      <c r="L46" s="3" t="n">
        <v>10.5</v>
      </c>
    </row>
    <row r="47" customFormat="false" ht="15" hidden="false" customHeight="false" outlineLevel="0" collapsed="false">
      <c r="A47" s="0" t="s">
        <v>106</v>
      </c>
      <c r="C47" s="3" t="n">
        <v>15</v>
      </c>
      <c r="D47" s="3" t="n">
        <v>15.5</v>
      </c>
      <c r="E47" s="3" t="n">
        <v>16</v>
      </c>
      <c r="F47" s="3" t="n">
        <v>16.5</v>
      </c>
      <c r="G47" s="3" t="n">
        <v>16.5</v>
      </c>
      <c r="H47" s="3" t="n">
        <v>16.5</v>
      </c>
      <c r="I47" s="3" t="n">
        <v>16.5</v>
      </c>
      <c r="J47" s="3" t="n">
        <v>16.5</v>
      </c>
      <c r="K47" s="3" t="n">
        <v>16.5</v>
      </c>
      <c r="L47" s="3" t="n">
        <v>16.5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11</v>
      </c>
    </row>
    <row r="51" customFormat="false" ht="15" hidden="false" customHeight="false" outlineLevel="0" collapsed="false">
      <c r="A51" s="0" t="s">
        <v>110</v>
      </c>
      <c r="B51" s="3" t="n">
        <v>10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14</v>
      </c>
      <c r="D5" s="4" t="n">
        <f aca="false">Assumptions!D13</f>
        <v>0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116766</v>
      </c>
      <c r="C6" s="0" t="n">
        <f aca="false">B6*(1+C5/100)</f>
        <v>133113.24</v>
      </c>
      <c r="D6" s="0" t="n">
        <f aca="false">C6*(1+D5/100)</f>
        <v>133113.24</v>
      </c>
      <c r="E6" s="0" t="n">
        <f aca="false">D6*(1+E5/100)</f>
        <v>137106.6372</v>
      </c>
      <c r="F6" s="0" t="n">
        <f aca="false">E6*(1+F5/100)</f>
        <v>141219.836316</v>
      </c>
      <c r="G6" s="0" t="n">
        <f aca="false">F6*(1+G5/100)</f>
        <v>145456.43140548</v>
      </c>
      <c r="H6" s="0" t="n">
        <f aca="false">G6*(1+H5/100)</f>
        <v>149820.124347644</v>
      </c>
      <c r="I6" s="0" t="n">
        <f aca="false">H6*(1+I5/100)</f>
        <v>153565.627456336</v>
      </c>
      <c r="J6" s="0" t="n">
        <f aca="false">I6*(1+J5/100)</f>
        <v>157404.768142744</v>
      </c>
      <c r="K6" s="0" t="n">
        <f aca="false">J6*(1+K5/100)</f>
        <v>160552.863505599</v>
      </c>
      <c r="L6" s="0" t="n">
        <f aca="false">K6*(1+L5/100)</f>
        <v>163763.920775711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18.5</v>
      </c>
      <c r="D7" s="4" t="n">
        <f aca="false">Assumptions!D14</f>
        <v>16.5</v>
      </c>
      <c r="E7" s="4" t="n">
        <f aca="false">Assumptions!E14</f>
        <v>17</v>
      </c>
      <c r="F7" s="4" t="n">
        <f aca="false">Assumptions!F14</f>
        <v>17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24625.9494</v>
      </c>
      <c r="D8" s="0" t="n">
        <f aca="false">D6*D7/100</f>
        <v>21963.6846</v>
      </c>
      <c r="E8" s="0" t="n">
        <f aca="false">E6*E7/100</f>
        <v>23308.128324</v>
      </c>
      <c r="F8" s="0" t="n">
        <f aca="false">F6*F7/100</f>
        <v>24007.37217372</v>
      </c>
      <c r="G8" s="0" t="n">
        <f aca="false">G6*G7/100</f>
        <v>24727.5933389316</v>
      </c>
      <c r="H8" s="0" t="n">
        <f aca="false">H6*H7/100</f>
        <v>25469.4211390996</v>
      </c>
      <c r="I8" s="0" t="n">
        <f aca="false">I6*I7/100</f>
        <v>26106.156667577</v>
      </c>
      <c r="J8" s="0" t="n">
        <f aca="false">J6*J7/100</f>
        <v>26758.8105842665</v>
      </c>
      <c r="K8" s="0" t="n">
        <f aca="false">K6*K7/100</f>
        <v>27293.9867959518</v>
      </c>
      <c r="L8" s="0" t="n">
        <f aca="false">L6*L7/100</f>
        <v>27839.8665318708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24625.9494</v>
      </c>
      <c r="D11" s="0" t="n">
        <f aca="false">D8+D10+D24</f>
        <v>21963.6846</v>
      </c>
      <c r="E11" s="0" t="n">
        <f aca="false">E8+E10+E24</f>
        <v>23308.128324</v>
      </c>
      <c r="F11" s="0" t="n">
        <f aca="false">F8+F10+F24</f>
        <v>24007.37217372</v>
      </c>
      <c r="G11" s="0" t="n">
        <f aca="false">G8+G10+G24</f>
        <v>24727.5933389316</v>
      </c>
      <c r="H11" s="0" t="n">
        <f aca="false">H8+H10+H24</f>
        <v>25469.4211390996</v>
      </c>
      <c r="I11" s="0" t="n">
        <f aca="false">I8+I10+I24</f>
        <v>26106.156667577</v>
      </c>
      <c r="J11" s="0" t="n">
        <f aca="false">J8+J10+J24</f>
        <v>26758.8105842665</v>
      </c>
      <c r="K11" s="0" t="n">
        <f aca="false">K8+K10+K24</f>
        <v>27293.9867959518</v>
      </c>
      <c r="L11" s="0" t="n">
        <f aca="false">L8+L10+L24</f>
        <v>27839.8665318708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-12645.7578</v>
      </c>
      <c r="D12" s="4" t="n">
        <f aca="false">-D6*Assumptions!D17/100</f>
        <v>-13045.09752</v>
      </c>
      <c r="E12" s="4" t="n">
        <f aca="false">-E6*Assumptions!E17/100</f>
        <v>-13710.66372</v>
      </c>
      <c r="F12" s="4" t="n">
        <f aca="false">-F6*Assumptions!F17/100</f>
        <v>-14404.423304232</v>
      </c>
      <c r="G12" s="4" t="n">
        <f aca="false">-G6*Assumptions!G17/100</f>
        <v>-14982.0124347644</v>
      </c>
      <c r="H12" s="4" t="n">
        <f aca="false">-H6*Assumptions!H17/100</f>
        <v>-15431.4728078074</v>
      </c>
      <c r="I12" s="4" t="n">
        <f aca="false">-I6*Assumptions!I17/100</f>
        <v>-15663.6940005462</v>
      </c>
      <c r="J12" s="4" t="n">
        <f aca="false">-J6*Assumptions!J17/100</f>
        <v>-15897.8815824171</v>
      </c>
      <c r="K12" s="4" t="n">
        <f aca="false">-K6*Assumptions!K17/100</f>
        <v>-16055.2863505599</v>
      </c>
      <c r="L12" s="4" t="n">
        <f aca="false">-L6*Assumptions!L17/100</f>
        <v>-16212.6281567954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11980.1916</v>
      </c>
      <c r="D13" s="0" t="n">
        <f aca="false">D11+D12</f>
        <v>8918.58708</v>
      </c>
      <c r="E13" s="0" t="n">
        <f aca="false">E11+E12</f>
        <v>9597.464604</v>
      </c>
      <c r="F13" s="0" t="n">
        <f aca="false">F11+F12</f>
        <v>9602.948869488</v>
      </c>
      <c r="G13" s="0" t="n">
        <f aca="false">G11+G12</f>
        <v>9745.58090416716</v>
      </c>
      <c r="H13" s="0" t="n">
        <f aca="false">H11+H12</f>
        <v>10037.9483312922</v>
      </c>
      <c r="I13" s="0" t="n">
        <f aca="false">I11+I12</f>
        <v>10442.4626670308</v>
      </c>
      <c r="J13" s="0" t="n">
        <f aca="false">J11+J12</f>
        <v>10860.9290018493</v>
      </c>
      <c r="K13" s="0" t="n">
        <f aca="false">K11+K12</f>
        <v>11238.7004453919</v>
      </c>
      <c r="L13" s="0" t="n">
        <f aca="false">L11+L12</f>
        <v>11627.2383750755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15</v>
      </c>
      <c r="D14" s="4" t="n">
        <f aca="false">Assumptions!D19</f>
        <v>15.5</v>
      </c>
      <c r="E14" s="4" t="n">
        <f aca="false">Assumptions!E19</f>
        <v>16</v>
      </c>
      <c r="F14" s="4" t="n">
        <f aca="false">Assumptions!F19</f>
        <v>16.5</v>
      </c>
      <c r="G14" s="4" t="n">
        <f aca="false">Assumptions!G19</f>
        <v>16.5</v>
      </c>
      <c r="H14" s="4" t="n">
        <f aca="false">Assumptions!H19</f>
        <v>16.5</v>
      </c>
      <c r="I14" s="4" t="n">
        <f aca="false">Assumptions!I19</f>
        <v>16.5</v>
      </c>
      <c r="J14" s="4" t="n">
        <f aca="false">Assumptions!J19</f>
        <v>16.5</v>
      </c>
      <c r="K14" s="4" t="n">
        <f aca="false">Assumptions!K19</f>
        <v>16.5</v>
      </c>
      <c r="L14" s="4" t="n">
        <f aca="false">Assumptions!L19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10183.16286</v>
      </c>
      <c r="D15" s="0" t="n">
        <f aca="false">D13-MAX(0,D13)*D14/100</f>
        <v>7536.2060826</v>
      </c>
      <c r="E15" s="0" t="n">
        <f aca="false">E13-MAX(0,E13)*E14/100</f>
        <v>8061.87026736</v>
      </c>
      <c r="F15" s="0" t="n">
        <f aca="false">F13-MAX(0,F13)*F14/100</f>
        <v>8018.46230602248</v>
      </c>
      <c r="G15" s="0" t="n">
        <f aca="false">G13-MAX(0,G13)*G14/100</f>
        <v>8137.56005497958</v>
      </c>
      <c r="H15" s="0" t="n">
        <f aca="false">H13-MAX(0,H13)*H14/100</f>
        <v>8381.68685662897</v>
      </c>
      <c r="I15" s="0" t="n">
        <f aca="false">I13-MAX(0,I13)*I14/100</f>
        <v>8719.45632697073</v>
      </c>
      <c r="J15" s="0" t="n">
        <f aca="false">J13-MAX(0,J13)*J14/100</f>
        <v>9068.87571654419</v>
      </c>
      <c r="K15" s="0" t="n">
        <f aca="false">K13-MAX(0,K13)*K14/100</f>
        <v>9384.31487190225</v>
      </c>
      <c r="L15" s="0" t="n">
        <f aca="false">L13-MAX(0,L13)*L14/100</f>
        <v>9708.74404318801</v>
      </c>
    </row>
    <row r="16" customFormat="false" ht="15" hidden="false" customHeight="false" outlineLevel="0" collapsed="false">
      <c r="A16" s="0" t="s">
        <v>122</v>
      </c>
      <c r="C16" s="0" t="n">
        <f aca="false">-C12</f>
        <v>12645.7578</v>
      </c>
      <c r="D16" s="0" t="n">
        <f aca="false">-D12</f>
        <v>13045.09752</v>
      </c>
      <c r="E16" s="0" t="n">
        <f aca="false">-E12</f>
        <v>13710.66372</v>
      </c>
      <c r="F16" s="0" t="n">
        <f aca="false">-F12</f>
        <v>14404.423304232</v>
      </c>
      <c r="G16" s="0" t="n">
        <f aca="false">-G12</f>
        <v>14982.0124347644</v>
      </c>
      <c r="H16" s="0" t="n">
        <f aca="false">-H12</f>
        <v>15431.4728078074</v>
      </c>
      <c r="I16" s="0" t="n">
        <f aca="false">-I12</f>
        <v>15663.6940005462</v>
      </c>
      <c r="J16" s="0" t="n">
        <f aca="false">-J12</f>
        <v>15897.8815824171</v>
      </c>
      <c r="K16" s="0" t="n">
        <f aca="false">-K12</f>
        <v>16055.2863505599</v>
      </c>
      <c r="L16" s="0" t="n">
        <f aca="false">-L12</f>
        <v>16212.6281567954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-14642.4564</v>
      </c>
      <c r="D17" s="4" t="n">
        <f aca="false">-D6*Assumptions!D18/100</f>
        <v>-16639.155</v>
      </c>
      <c r="E17" s="4" t="n">
        <f aca="false">-E6*Assumptions!E18/100</f>
        <v>-17138.32965</v>
      </c>
      <c r="F17" s="4" t="n">
        <f aca="false">-F6*Assumptions!F18/100</f>
        <v>-16946.38035792</v>
      </c>
      <c r="G17" s="4" t="n">
        <f aca="false">-G6*Assumptions!G18/100</f>
        <v>-16727.4896116302</v>
      </c>
      <c r="H17" s="4" t="n">
        <f aca="false">-H6*Assumptions!H18/100</f>
        <v>-16480.2136782409</v>
      </c>
      <c r="I17" s="4" t="n">
        <f aca="false">-I6*Assumptions!I18/100</f>
        <v>-16124.3908829152</v>
      </c>
      <c r="J17" s="4" t="n">
        <f aca="false">-J6*Assumptions!J18/100</f>
        <v>-16527.5006549881</v>
      </c>
      <c r="K17" s="4" t="n">
        <f aca="false">-K6*Assumptions!K18/100</f>
        <v>-16858.0506680879</v>
      </c>
      <c r="L17" s="4" t="n">
        <f aca="false">-L6*Assumptions!L18/100</f>
        <v>-17195.2116814496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1634.724</v>
      </c>
      <c r="D18" s="4" t="n">
        <f aca="false">(D6-C6)*Assumptions!$B$23/100</f>
        <v>0</v>
      </c>
      <c r="E18" s="4" t="n">
        <f aca="false">(E6-D6)*Assumptions!$B$23/100</f>
        <v>399.339720000001</v>
      </c>
      <c r="F18" s="4" t="n">
        <f aca="false">(F6-E6)*Assumptions!$B$23/100</f>
        <v>411.3199116</v>
      </c>
      <c r="G18" s="4" t="n">
        <f aca="false">(G6-F6)*Assumptions!$B$23/100</f>
        <v>423.659508948002</v>
      </c>
      <c r="H18" s="4" t="n">
        <f aca="false">(H6-G6)*Assumptions!$B$23/100</f>
        <v>436.36929421644</v>
      </c>
      <c r="I18" s="4" t="n">
        <f aca="false">(I6-H6)*Assumptions!$B$23/100</f>
        <v>374.55031086911</v>
      </c>
      <c r="J18" s="4" t="n">
        <f aca="false">(J6-I6)*Assumptions!$B$23/100</f>
        <v>383.914068640838</v>
      </c>
      <c r="K18" s="4" t="n">
        <f aca="false">(K6-J6)*Assumptions!$B$23/100</f>
        <v>314.809536285489</v>
      </c>
      <c r="L18" s="4" t="n">
        <f aca="false">(L6-K6)*Assumptions!$B$23/100</f>
        <v>321.105727011198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9821.18826</v>
      </c>
      <c r="D19" s="0" t="n">
        <f aca="false">D15+D16+D17+D18</f>
        <v>3942.1486026</v>
      </c>
      <c r="E19" s="0" t="n">
        <f aca="false">E15+E16+E17+E18</f>
        <v>5033.54405736</v>
      </c>
      <c r="F19" s="0" t="n">
        <f aca="false">F15+F16+F17+F18</f>
        <v>5887.82516393448</v>
      </c>
      <c r="G19" s="0" t="n">
        <f aca="false">G15+G16+G17+G18</f>
        <v>6815.74238706182</v>
      </c>
      <c r="H19" s="0" t="n">
        <f aca="false">H15+H16+H17+H18</f>
        <v>7769.3152804119</v>
      </c>
      <c r="I19" s="0" t="n">
        <f aca="false">I15+I16+I17+I18</f>
        <v>8633.30975547083</v>
      </c>
      <c r="J19" s="0" t="n">
        <f aca="false">J15+J16+J17+J18</f>
        <v>8823.17071261405</v>
      </c>
      <c r="K19" s="0" t="n">
        <f aca="false">K15+K16+K17+K18</f>
        <v>8896.36009065974</v>
      </c>
      <c r="L19" s="0" t="n">
        <f aca="false">L15+L16+L17+L18</f>
        <v>9047.26624554495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9051.78641474655</v>
      </c>
      <c r="D21" s="0" t="n">
        <f aca="false">D19*D20</f>
        <v>3348.67897181932</v>
      </c>
      <c r="E21" s="0" t="n">
        <f aca="false">E19*E20</f>
        <v>3940.80240631502</v>
      </c>
      <c r="F21" s="0" t="n">
        <f aca="false">F19*F20</f>
        <v>4248.50322856087</v>
      </c>
      <c r="G21" s="0" t="n">
        <f aca="false">G19*G20</f>
        <v>4532.77828082847</v>
      </c>
      <c r="H21" s="0" t="n">
        <f aca="false">H19*H20</f>
        <v>4762.16365836207</v>
      </c>
      <c r="I21" s="0" t="n">
        <f aca="false">I19*I20</f>
        <v>4877.18417524881</v>
      </c>
      <c r="J21" s="0" t="n">
        <f aca="false">J19*J20</f>
        <v>4593.95542204788</v>
      </c>
      <c r="K21" s="0" t="n">
        <f aca="false">K19*K20</f>
        <v>4269.1823917914</v>
      </c>
      <c r="L21" s="0" t="n">
        <f aca="false">L19*L20</f>
        <v>4001.47390636014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47626.5088560805</v>
      </c>
    </row>
    <row r="31" customFormat="false" ht="15" hidden="false" customHeight="false" outlineLevel="0" collapsed="false">
      <c r="A31" s="0" t="s">
        <v>131</v>
      </c>
      <c r="B31" s="0" t="n">
        <f aca="false">L19</f>
        <v>9047.26624554495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141972.485699321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72378.1299643596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72378.1299643596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32011.7912508811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79638.3001069617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39940.3001069617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6.5679400284425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-0.534848439912004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6.5679400284425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70986.2428496604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2.2509716494121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18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116766</v>
      </c>
      <c r="C6" s="0" t="n">
        <f aca="false">B6*(1+C5/100)</f>
        <v>137783.88</v>
      </c>
      <c r="D6" s="0" t="n">
        <f aca="false">C6*(1+D5/100)</f>
        <v>146050.9128</v>
      </c>
      <c r="E6" s="0" t="n">
        <f aca="false">D6*(1+E5/100)</f>
        <v>154813.967568</v>
      </c>
      <c r="F6" s="0" t="n">
        <f aca="false">E6*(1+F5/100)</f>
        <v>163328.73578424</v>
      </c>
      <c r="G6" s="0" t="n">
        <f aca="false">F6*(1+G5/100)</f>
        <v>171495.172573452</v>
      </c>
      <c r="H6" s="0" t="n">
        <f aca="false">G6*(1+H5/100)</f>
        <v>179212.455339257</v>
      </c>
      <c r="I6" s="0" t="n">
        <f aca="false">H6*(1+I5/100)</f>
        <v>186380.953552828</v>
      </c>
      <c r="J6" s="0" t="n">
        <f aca="false">I6*(1+J5/100)</f>
        <v>192904.286927177</v>
      </c>
      <c r="K6" s="0" t="n">
        <f aca="false">J6*(1+K5/100)</f>
        <v>198691.415534992</v>
      </c>
      <c r="L6" s="0" t="n">
        <f aca="false">K6*(1+L5/100)</f>
        <v>204652.158001042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20.5</v>
      </c>
      <c r="D7" s="4" t="n">
        <f aca="false">Assumptions!D28</f>
        <v>20.5</v>
      </c>
      <c r="E7" s="4" t="n">
        <f aca="false">Assumptions!E28</f>
        <v>20</v>
      </c>
      <c r="F7" s="4" t="n">
        <f aca="false">Assumptions!F28</f>
        <v>19.5</v>
      </c>
      <c r="G7" s="4" t="n">
        <f aca="false">Assumptions!G28</f>
        <v>19</v>
      </c>
      <c r="H7" s="4" t="n">
        <f aca="false">Assumptions!H28</f>
        <v>19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28245.6954</v>
      </c>
      <c r="D8" s="0" t="n">
        <f aca="false">D6*D7/100</f>
        <v>29940.437124</v>
      </c>
      <c r="E8" s="0" t="n">
        <f aca="false">E6*E7/100</f>
        <v>30962.7935136</v>
      </c>
      <c r="F8" s="0" t="n">
        <f aca="false">F6*F7/100</f>
        <v>31849.1034779268</v>
      </c>
      <c r="G8" s="0" t="n">
        <f aca="false">G6*G7/100</f>
        <v>32584.0827889559</v>
      </c>
      <c r="H8" s="0" t="n">
        <f aca="false">H6*H7/100</f>
        <v>34050.3665144589</v>
      </c>
      <c r="I8" s="0" t="n">
        <f aca="false">I6*I7/100</f>
        <v>35412.3811750373</v>
      </c>
      <c r="J8" s="0" t="n">
        <f aca="false">J6*J7/100</f>
        <v>36651.8145161636</v>
      </c>
      <c r="K8" s="0" t="n">
        <f aca="false">K6*K7/100</f>
        <v>37751.3689516485</v>
      </c>
      <c r="L8" s="0" t="n">
        <f aca="false">L6*L7/100</f>
        <v>38883.9100201979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28245.6954</v>
      </c>
      <c r="D11" s="0" t="n">
        <f aca="false">D8+D10+D24</f>
        <v>29940.437124</v>
      </c>
      <c r="E11" s="0" t="n">
        <f aca="false">E8+E10+E24</f>
        <v>30962.7935136</v>
      </c>
      <c r="F11" s="0" t="n">
        <f aca="false">F8+F10+F24</f>
        <v>31849.1034779268</v>
      </c>
      <c r="G11" s="0" t="n">
        <f aca="false">G8+G10+G24</f>
        <v>32584.0827889559</v>
      </c>
      <c r="H11" s="0" t="n">
        <f aca="false">H8+H10+H24</f>
        <v>34050.3665144589</v>
      </c>
      <c r="I11" s="0" t="n">
        <f aca="false">I8+I10+I24</f>
        <v>35412.3811750373</v>
      </c>
      <c r="J11" s="0" t="n">
        <f aca="false">J8+J10+J24</f>
        <v>36651.8145161636</v>
      </c>
      <c r="K11" s="0" t="n">
        <f aca="false">K8+K10+K24</f>
        <v>37751.3689516485</v>
      </c>
      <c r="L11" s="0" t="n">
        <f aca="false">L8+L10+L24</f>
        <v>38883.9100201979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-13089.4686</v>
      </c>
      <c r="D12" s="4" t="n">
        <f aca="false">-D6*Assumptions!D31/100</f>
        <v>-14020.8876288</v>
      </c>
      <c r="E12" s="4" t="n">
        <f aca="false">-E6*Assumptions!E31/100</f>
        <v>-15171.768821664</v>
      </c>
      <c r="F12" s="4" t="n">
        <f aca="false">-F6*Assumptions!F31/100</f>
        <v>-16332.873578424</v>
      </c>
      <c r="G12" s="4" t="n">
        <f aca="false">-G6*Assumptions!G31/100</f>
        <v>-17321.0124299187</v>
      </c>
      <c r="H12" s="4" t="n">
        <f aca="false">-H6*Assumptions!H31/100</f>
        <v>-18100.457989265</v>
      </c>
      <c r="I12" s="4" t="n">
        <f aca="false">-I6*Assumptions!I31/100</f>
        <v>-18638.0953552828</v>
      </c>
      <c r="J12" s="4" t="n">
        <f aca="false">-J6*Assumptions!J31/100</f>
        <v>-19290.4286927177</v>
      </c>
      <c r="K12" s="4" t="n">
        <f aca="false">-K6*Assumptions!K31/100</f>
        <v>-19670.4501379642</v>
      </c>
      <c r="L12" s="4" t="n">
        <f aca="false">-L6*Assumptions!L31/100</f>
        <v>-20055.9114841021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15156.2268</v>
      </c>
      <c r="D13" s="0" t="n">
        <f aca="false">D11+D12</f>
        <v>15919.5494952</v>
      </c>
      <c r="E13" s="0" t="n">
        <f aca="false">E11+E12</f>
        <v>15791.024691936</v>
      </c>
      <c r="F13" s="0" t="n">
        <f aca="false">F11+F12</f>
        <v>15516.2298995028</v>
      </c>
      <c r="G13" s="0" t="n">
        <f aca="false">G11+G12</f>
        <v>15263.0703590372</v>
      </c>
      <c r="H13" s="0" t="n">
        <f aca="false">H11+H12</f>
        <v>15949.9085251939</v>
      </c>
      <c r="I13" s="0" t="n">
        <f aca="false">I11+I12</f>
        <v>16774.2858197545</v>
      </c>
      <c r="J13" s="0" t="n">
        <f aca="false">J11+J12</f>
        <v>17361.3858234459</v>
      </c>
      <c r="K13" s="0" t="n">
        <f aca="false">K11+K12</f>
        <v>18080.9188136843</v>
      </c>
      <c r="L13" s="0" t="n">
        <f aca="false">L11+L12</f>
        <v>18827.9985360958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15</v>
      </c>
      <c r="D14" s="4" t="n">
        <f aca="false">Assumptions!D33</f>
        <v>15.5</v>
      </c>
      <c r="E14" s="4" t="n">
        <f aca="false">Assumptions!E33</f>
        <v>16</v>
      </c>
      <c r="F14" s="4" t="n">
        <f aca="false">Assumptions!F33</f>
        <v>16.5</v>
      </c>
      <c r="G14" s="4" t="n">
        <f aca="false">Assumptions!G33</f>
        <v>16.5</v>
      </c>
      <c r="H14" s="4" t="n">
        <f aca="false">Assumptions!H33</f>
        <v>16.5</v>
      </c>
      <c r="I14" s="4" t="n">
        <f aca="false">Assumptions!I33</f>
        <v>16.5</v>
      </c>
      <c r="J14" s="4" t="n">
        <f aca="false">Assumptions!J33</f>
        <v>16.5</v>
      </c>
      <c r="K14" s="4" t="n">
        <f aca="false">Assumptions!K33</f>
        <v>16.5</v>
      </c>
      <c r="L14" s="4" t="n">
        <f aca="false">Assumptions!L33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12882.79278</v>
      </c>
      <c r="D15" s="0" t="n">
        <f aca="false">D13-MAX(0,D13)*D14/100</f>
        <v>13452.019323444</v>
      </c>
      <c r="E15" s="0" t="n">
        <f aca="false">E13-MAX(0,E13)*E14/100</f>
        <v>13264.4607412262</v>
      </c>
      <c r="F15" s="0" t="n">
        <f aca="false">F13-MAX(0,F13)*F14/100</f>
        <v>12956.0519660848</v>
      </c>
      <c r="G15" s="0" t="n">
        <f aca="false">G13-MAX(0,G13)*G14/100</f>
        <v>12744.6637497961</v>
      </c>
      <c r="H15" s="0" t="n">
        <f aca="false">H13-MAX(0,H13)*H14/100</f>
        <v>13318.1736185369</v>
      </c>
      <c r="I15" s="0" t="n">
        <f aca="false">I13-MAX(0,I13)*I14/100</f>
        <v>14006.528659495</v>
      </c>
      <c r="J15" s="0" t="n">
        <f aca="false">J13-MAX(0,J13)*J14/100</f>
        <v>14496.7571625773</v>
      </c>
      <c r="K15" s="0" t="n">
        <f aca="false">K13-MAX(0,K13)*K14/100</f>
        <v>15097.5672094264</v>
      </c>
      <c r="L15" s="0" t="n">
        <f aca="false">L13-MAX(0,L13)*L14/100</f>
        <v>15721.37877764</v>
      </c>
    </row>
    <row r="16" customFormat="false" ht="15" hidden="false" customHeight="false" outlineLevel="0" collapsed="false">
      <c r="A16" s="0" t="s">
        <v>122</v>
      </c>
      <c r="C16" s="0" t="n">
        <f aca="false">-C12</f>
        <v>13089.4686</v>
      </c>
      <c r="D16" s="0" t="n">
        <f aca="false">-D12</f>
        <v>14020.8876288</v>
      </c>
      <c r="E16" s="0" t="n">
        <f aca="false">-E12</f>
        <v>15171.768821664</v>
      </c>
      <c r="F16" s="0" t="n">
        <f aca="false">-F12</f>
        <v>16332.873578424</v>
      </c>
      <c r="G16" s="0" t="n">
        <f aca="false">-G12</f>
        <v>17321.0124299187</v>
      </c>
      <c r="H16" s="0" t="n">
        <f aca="false">-H12</f>
        <v>18100.457989265</v>
      </c>
      <c r="I16" s="0" t="n">
        <f aca="false">-I12</f>
        <v>18638.0953552828</v>
      </c>
      <c r="J16" s="0" t="n">
        <f aca="false">-J12</f>
        <v>19290.4286927177</v>
      </c>
      <c r="K16" s="0" t="n">
        <f aca="false">-K12</f>
        <v>19670.4501379642</v>
      </c>
      <c r="L16" s="0" t="n">
        <f aca="false">-L12</f>
        <v>20055.9114841021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-15156.2268</v>
      </c>
      <c r="D17" s="4" t="n">
        <f aca="false">-D6*Assumptions!D32/100</f>
        <v>-17526.109536</v>
      </c>
      <c r="E17" s="4" t="n">
        <f aca="false">-E6*Assumptions!E32/100</f>
        <v>-19351.745946</v>
      </c>
      <c r="F17" s="4" t="n">
        <f aca="false">-F6*Assumptions!F32/100</f>
        <v>-20416.09197303</v>
      </c>
      <c r="G17" s="4" t="n">
        <f aca="false">-G6*Assumptions!G32/100</f>
        <v>-20579.4207088142</v>
      </c>
      <c r="H17" s="4" t="n">
        <f aca="false">-H6*Assumptions!H32/100</f>
        <v>-20609.4323640146</v>
      </c>
      <c r="I17" s="4" t="n">
        <f aca="false">-I6*Assumptions!I32/100</f>
        <v>-20501.904890811</v>
      </c>
      <c r="J17" s="4" t="n">
        <f aca="false">-J6*Assumptions!J32/100</f>
        <v>-20254.9501273535</v>
      </c>
      <c r="K17" s="4" t="n">
        <f aca="false">-K6*Assumptions!K32/100</f>
        <v>-20862.5986311742</v>
      </c>
      <c r="L17" s="4" t="n">
        <f aca="false">-L6*Assumptions!L32/100</f>
        <v>-21488.4765901094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2101.788</v>
      </c>
      <c r="D18" s="4" t="n">
        <f aca="false">(D6-C6)*Assumptions!$B$37/100</f>
        <v>826.703280000002</v>
      </c>
      <c r="E18" s="4" t="n">
        <f aca="false">(E6-D6)*Assumptions!$B$37/100</f>
        <v>876.3054768</v>
      </c>
      <c r="F18" s="4" t="n">
        <f aca="false">(F6-E6)*Assumptions!$B$37/100</f>
        <v>851.476821623999</v>
      </c>
      <c r="G18" s="4" t="n">
        <f aca="false">(G6-F6)*Assumptions!$B$37/100</f>
        <v>816.643678921202</v>
      </c>
      <c r="H18" s="4" t="n">
        <f aca="false">(H6-G6)*Assumptions!$B$37/100</f>
        <v>771.728276580534</v>
      </c>
      <c r="I18" s="4" t="n">
        <f aca="false">(I6-H6)*Assumptions!$B$37/100</f>
        <v>716.84982135703</v>
      </c>
      <c r="J18" s="4" t="n">
        <f aca="false">(J6-I6)*Assumptions!$B$37/100</f>
        <v>652.333337434896</v>
      </c>
      <c r="K18" s="4" t="n">
        <f aca="false">(K6-J6)*Assumptions!$B$37/100</f>
        <v>578.712860781531</v>
      </c>
      <c r="L18" s="4" t="n">
        <f aca="false">(L6-K6)*Assumptions!$B$37/100</f>
        <v>596.074246604976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12917.82258</v>
      </c>
      <c r="D19" s="0" t="n">
        <f aca="false">D15+D16+D17+D18</f>
        <v>10773.500696244</v>
      </c>
      <c r="E19" s="0" t="n">
        <f aca="false">E15+E16+E17+E18</f>
        <v>9960.78909369024</v>
      </c>
      <c r="F19" s="0" t="n">
        <f aca="false">F15+F16+F17+F18</f>
        <v>9724.31039310284</v>
      </c>
      <c r="G19" s="0" t="n">
        <f aca="false">G15+G16+G17+G18</f>
        <v>10302.8991498217</v>
      </c>
      <c r="H19" s="0" t="n">
        <f aca="false">H15+H16+H17+H18</f>
        <v>11580.9275203678</v>
      </c>
      <c r="I19" s="0" t="n">
        <f aca="false">I15+I16+I17+I18</f>
        <v>12859.5689453238</v>
      </c>
      <c r="J19" s="0" t="n">
        <f aca="false">J15+J16+J17+J18</f>
        <v>14184.5690653763</v>
      </c>
      <c r="K19" s="0" t="n">
        <f aca="false">K15+K16+K17+K18</f>
        <v>14484.1315769979</v>
      </c>
      <c r="L19" s="0" t="n">
        <f aca="false">L15+L16+L17+L18</f>
        <v>14884.8879182377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11905.8272626728</v>
      </c>
      <c r="D21" s="0" t="n">
        <f aca="false">D19*D20</f>
        <v>9151.60712373931</v>
      </c>
      <c r="E21" s="0" t="n">
        <f aca="false">E19*E20</f>
        <v>7798.38244821058</v>
      </c>
      <c r="F21" s="0" t="n">
        <f aca="false">F19*F20</f>
        <v>7016.8123119026</v>
      </c>
      <c r="G21" s="0" t="n">
        <f aca="false">G19*G20</f>
        <v>6851.89592619124</v>
      </c>
      <c r="H21" s="0" t="n">
        <f aca="false">H19*H20</f>
        <v>7098.4726680698</v>
      </c>
      <c r="I21" s="0" t="n">
        <f aca="false">I19*I20</f>
        <v>7264.70935679218</v>
      </c>
      <c r="J21" s="0" t="n">
        <f aca="false">J19*J20</f>
        <v>7385.47174137043</v>
      </c>
      <c r="K21" s="0" t="n">
        <f aca="false">K19*K20</f>
        <v>6950.64035838996</v>
      </c>
      <c r="L21" s="0" t="n">
        <f aca="false">L19*L20</f>
        <v>6583.36883069544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78007.1880280343</v>
      </c>
    </row>
    <row r="31" customFormat="false" ht="15" hidden="false" customHeight="false" outlineLevel="0" collapsed="false">
      <c r="A31" s="0" t="s">
        <v>131</v>
      </c>
      <c r="B31" s="0" t="n">
        <f aca="false">L19</f>
        <v>14884.8879182377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254283.501936561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148848.879182377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148848.879182377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65833.6883069544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143840.876334989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104142.876334989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17.1256641619096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0.212865733846292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17.1256641619096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122056.080929549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8.11661751655513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21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116766</v>
      </c>
      <c r="C6" s="0" t="n">
        <f aca="false">B6*(1+C5/100)</f>
        <v>141286.86</v>
      </c>
      <c r="D6" s="0" t="n">
        <f aca="false">C6*(1+D5/100)</f>
        <v>152589.8088</v>
      </c>
      <c r="E6" s="0" t="n">
        <f aca="false">D6*(1+E5/100)</f>
        <v>163271.095416</v>
      </c>
      <c r="F6" s="0" t="n">
        <f aca="false">E6*(1+F5/100)</f>
        <v>173883.71661804</v>
      </c>
      <c r="G6" s="0" t="n">
        <f aca="false">F6*(1+G5/100)</f>
        <v>184316.739615122</v>
      </c>
      <c r="H6" s="0" t="n">
        <f aca="false">G6*(1+H5/100)</f>
        <v>193532.576595879</v>
      </c>
      <c r="I6" s="0" t="n">
        <f aca="false">H6*(1+I5/100)</f>
        <v>202241.542542693</v>
      </c>
      <c r="J6" s="0" t="n">
        <f aca="false">I6*(1+J5/100)</f>
        <v>210331.204244401</v>
      </c>
      <c r="K6" s="0" t="n">
        <f aca="false">J6*(1+K5/100)</f>
        <v>217692.796392955</v>
      </c>
      <c r="L6" s="0" t="n">
        <f aca="false">K6*(1+L5/100)</f>
        <v>224223.580284743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21.5</v>
      </c>
      <c r="D7" s="4" t="n">
        <f aca="false">Assumptions!D42</f>
        <v>22</v>
      </c>
      <c r="E7" s="4" t="n">
        <f aca="false">Assumptions!E42</f>
        <v>22</v>
      </c>
      <c r="F7" s="4" t="n">
        <f aca="false">Assumptions!F42</f>
        <v>22</v>
      </c>
      <c r="G7" s="4" t="n">
        <f aca="false">Assumptions!G42</f>
        <v>21.5</v>
      </c>
      <c r="H7" s="4" t="n">
        <f aca="false">Assumptions!H42</f>
        <v>21.5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30376.6749</v>
      </c>
      <c r="D8" s="0" t="n">
        <f aca="false">D6*D7/100</f>
        <v>33569.757936</v>
      </c>
      <c r="E8" s="0" t="n">
        <f aca="false">E6*E7/100</f>
        <v>35919.64099152</v>
      </c>
      <c r="F8" s="0" t="n">
        <f aca="false">F6*F7/100</f>
        <v>38254.4176559688</v>
      </c>
      <c r="G8" s="0" t="n">
        <f aca="false">G6*G7/100</f>
        <v>39628.0990172513</v>
      </c>
      <c r="H8" s="0" t="n">
        <f aca="false">H6*H7/100</f>
        <v>41609.5039681139</v>
      </c>
      <c r="I8" s="0" t="n">
        <f aca="false">I6*I7/100</f>
        <v>43481.931646679</v>
      </c>
      <c r="J8" s="0" t="n">
        <f aca="false">J6*J7/100</f>
        <v>45221.2089125462</v>
      </c>
      <c r="K8" s="0" t="n">
        <f aca="false">K6*K7/100</f>
        <v>46803.9512244853</v>
      </c>
      <c r="L8" s="0" t="n">
        <f aca="false">L6*L7/100</f>
        <v>48208.0697612198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30376.6749</v>
      </c>
      <c r="D11" s="0" t="n">
        <f aca="false">D8+D10+D24</f>
        <v>33569.757936</v>
      </c>
      <c r="E11" s="0" t="n">
        <f aca="false">E8+E10+E24</f>
        <v>35919.64099152</v>
      </c>
      <c r="F11" s="0" t="n">
        <f aca="false">F8+F10+F24</f>
        <v>38254.4176559688</v>
      </c>
      <c r="G11" s="0" t="n">
        <f aca="false">G8+G10+G24</f>
        <v>39628.0990172513</v>
      </c>
      <c r="H11" s="0" t="n">
        <f aca="false">H8+H10+H24</f>
        <v>41609.5039681139</v>
      </c>
      <c r="I11" s="0" t="n">
        <f aca="false">I8+I10+I24</f>
        <v>43481.931646679</v>
      </c>
      <c r="J11" s="0" t="n">
        <f aca="false">J8+J10+J24</f>
        <v>45221.2089125462</v>
      </c>
      <c r="K11" s="0" t="n">
        <f aca="false">K8+K10+K24</f>
        <v>46803.9512244853</v>
      </c>
      <c r="L11" s="0" t="n">
        <f aca="false">L8+L10+L24</f>
        <v>48208.0697612198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-13422.2517</v>
      </c>
      <c r="D12" s="4" t="n">
        <f aca="false">-D6*Assumptions!D45/100</f>
        <v>-14648.6216448</v>
      </c>
      <c r="E12" s="4" t="n">
        <f aca="false">-E6*Assumptions!E45/100</f>
        <v>-16000.567350768</v>
      </c>
      <c r="F12" s="4" t="n">
        <f aca="false">-F6*Assumptions!F45/100</f>
        <v>-17388.371661804</v>
      </c>
      <c r="G12" s="4" t="n">
        <f aca="false">-G6*Assumptions!G45/100</f>
        <v>-18615.9907011274</v>
      </c>
      <c r="H12" s="4" t="n">
        <f aca="false">-H6*Assumptions!H45/100</f>
        <v>-19546.7902361837</v>
      </c>
      <c r="I12" s="4" t="n">
        <f aca="false">-I6*Assumptions!I45/100</f>
        <v>-20224.1542542693</v>
      </c>
      <c r="J12" s="4" t="n">
        <f aca="false">-J6*Assumptions!J45/100</f>
        <v>-21033.1204244401</v>
      </c>
      <c r="K12" s="4" t="n">
        <f aca="false">-K6*Assumptions!K45/100</f>
        <v>-21551.5868429025</v>
      </c>
      <c r="L12" s="4" t="n">
        <f aca="false">-L6*Assumptions!L45/100</f>
        <v>-21973.9108679049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16954.4232</v>
      </c>
      <c r="D13" s="0" t="n">
        <f aca="false">D11+D12</f>
        <v>18921.1362912</v>
      </c>
      <c r="E13" s="0" t="n">
        <f aca="false">E11+E12</f>
        <v>19919.073640752</v>
      </c>
      <c r="F13" s="0" t="n">
        <f aca="false">F11+F12</f>
        <v>20866.0459941648</v>
      </c>
      <c r="G13" s="0" t="n">
        <f aca="false">G11+G12</f>
        <v>21012.108316124</v>
      </c>
      <c r="H13" s="0" t="n">
        <f aca="false">H11+H12</f>
        <v>22062.7137319302</v>
      </c>
      <c r="I13" s="0" t="n">
        <f aca="false">I11+I12</f>
        <v>23257.7773924097</v>
      </c>
      <c r="J13" s="0" t="n">
        <f aca="false">J11+J12</f>
        <v>24188.0884881061</v>
      </c>
      <c r="K13" s="0" t="n">
        <f aca="false">K11+K12</f>
        <v>25252.3643815828</v>
      </c>
      <c r="L13" s="0" t="n">
        <f aca="false">L11+L12</f>
        <v>26234.158893315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15</v>
      </c>
      <c r="D14" s="4" t="n">
        <f aca="false">Assumptions!D47</f>
        <v>15.5</v>
      </c>
      <c r="E14" s="4" t="n">
        <f aca="false">Assumptions!E47</f>
        <v>16</v>
      </c>
      <c r="F14" s="4" t="n">
        <f aca="false">Assumptions!F47</f>
        <v>16.5</v>
      </c>
      <c r="G14" s="4" t="n">
        <f aca="false">Assumptions!G47</f>
        <v>16.5</v>
      </c>
      <c r="H14" s="4" t="n">
        <f aca="false">Assumptions!H47</f>
        <v>16.5</v>
      </c>
      <c r="I14" s="4" t="n">
        <f aca="false">Assumptions!I47</f>
        <v>16.5</v>
      </c>
      <c r="J14" s="4" t="n">
        <f aca="false">Assumptions!J47</f>
        <v>16.5</v>
      </c>
      <c r="K14" s="4" t="n">
        <f aca="false">Assumptions!K47</f>
        <v>16.5</v>
      </c>
      <c r="L14" s="4" t="n">
        <f aca="false">Assumptions!L47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14411.25972</v>
      </c>
      <c r="D15" s="0" t="n">
        <f aca="false">D13-MAX(0,D13)*D14/100</f>
        <v>15988.360166064</v>
      </c>
      <c r="E15" s="0" t="n">
        <f aca="false">E13-MAX(0,E13)*E14/100</f>
        <v>16732.0218582317</v>
      </c>
      <c r="F15" s="0" t="n">
        <f aca="false">F13-MAX(0,F13)*F14/100</f>
        <v>17423.1484051276</v>
      </c>
      <c r="G15" s="0" t="n">
        <f aca="false">G13-MAX(0,G13)*G14/100</f>
        <v>17545.1104439635</v>
      </c>
      <c r="H15" s="0" t="n">
        <f aca="false">H13-MAX(0,H13)*H14/100</f>
        <v>18422.3659661617</v>
      </c>
      <c r="I15" s="0" t="n">
        <f aca="false">I13-MAX(0,I13)*I14/100</f>
        <v>19420.2441226621</v>
      </c>
      <c r="J15" s="0" t="n">
        <f aca="false">J13-MAX(0,J13)*J14/100</f>
        <v>20197.0538875686</v>
      </c>
      <c r="K15" s="0" t="n">
        <f aca="false">K13-MAX(0,K13)*K14/100</f>
        <v>21085.7242586216</v>
      </c>
      <c r="L15" s="0" t="n">
        <f aca="false">L13-MAX(0,L13)*L14/100</f>
        <v>21905.522675918</v>
      </c>
    </row>
    <row r="16" customFormat="false" ht="15" hidden="false" customHeight="false" outlineLevel="0" collapsed="false">
      <c r="A16" s="0" t="s">
        <v>122</v>
      </c>
      <c r="C16" s="0" t="n">
        <f aca="false">-C12</f>
        <v>13422.2517</v>
      </c>
      <c r="D16" s="0" t="n">
        <f aca="false">-D12</f>
        <v>14648.6216448</v>
      </c>
      <c r="E16" s="0" t="n">
        <f aca="false">-E12</f>
        <v>16000.567350768</v>
      </c>
      <c r="F16" s="0" t="n">
        <f aca="false">-F12</f>
        <v>17388.371661804</v>
      </c>
      <c r="G16" s="0" t="n">
        <f aca="false">-G12</f>
        <v>18615.9907011274</v>
      </c>
      <c r="H16" s="0" t="n">
        <f aca="false">-H12</f>
        <v>19546.7902361837</v>
      </c>
      <c r="I16" s="0" t="n">
        <f aca="false">-I12</f>
        <v>20224.1542542693</v>
      </c>
      <c r="J16" s="0" t="n">
        <f aca="false">-J12</f>
        <v>21033.1204244401</v>
      </c>
      <c r="K16" s="0" t="n">
        <f aca="false">-K12</f>
        <v>21551.5868429025</v>
      </c>
      <c r="L16" s="0" t="n">
        <f aca="false">-L12</f>
        <v>21973.9108679049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-15541.5546</v>
      </c>
      <c r="D17" s="4" t="n">
        <f aca="false">-D6*Assumptions!D46/100</f>
        <v>-18310.777056</v>
      </c>
      <c r="E17" s="4" t="n">
        <f aca="false">-E6*Assumptions!E46/100</f>
        <v>-20408.886927</v>
      </c>
      <c r="F17" s="4" t="n">
        <f aca="false">-F6*Assumptions!F46/100</f>
        <v>-21735.464577255</v>
      </c>
      <c r="G17" s="4" t="n">
        <f aca="false">-G6*Assumptions!G46/100</f>
        <v>-22118.0087538147</v>
      </c>
      <c r="H17" s="4" t="n">
        <f aca="false">-H6*Assumptions!H46/100</f>
        <v>-22256.246308526</v>
      </c>
      <c r="I17" s="4" t="n">
        <f aca="false">-I6*Assumptions!I46/100</f>
        <v>-22246.5696796962</v>
      </c>
      <c r="J17" s="4" t="n">
        <f aca="false">-J6*Assumptions!J46/100</f>
        <v>-22084.7764456621</v>
      </c>
      <c r="K17" s="4" t="n">
        <f aca="false">-K6*Assumptions!K46/100</f>
        <v>-22857.7436212603</v>
      </c>
      <c r="L17" s="4" t="n">
        <f aca="false">-L6*Assumptions!L46/100</f>
        <v>-23543.4759298981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2452.086</v>
      </c>
      <c r="D18" s="4" t="n">
        <f aca="false">(D6-C6)*Assumptions!$B$51/100</f>
        <v>1130.29488</v>
      </c>
      <c r="E18" s="4" t="n">
        <f aca="false">(E6-D6)*Assumptions!$B$51/100</f>
        <v>1068.1286616</v>
      </c>
      <c r="F18" s="4" t="n">
        <f aca="false">(F6-E6)*Assumptions!$B$51/100</f>
        <v>1061.262120204</v>
      </c>
      <c r="G18" s="4" t="n">
        <f aca="false">(G6-F6)*Assumptions!$B$51/100</f>
        <v>1043.30229970824</v>
      </c>
      <c r="H18" s="4" t="n">
        <f aca="false">(H6-G6)*Assumptions!$B$51/100</f>
        <v>921.583698075614</v>
      </c>
      <c r="I18" s="4" t="n">
        <f aca="false">(I6-H6)*Assumptions!$B$51/100</f>
        <v>870.896594681451</v>
      </c>
      <c r="J18" s="4" t="n">
        <f aca="false">(J6-I6)*Assumptions!$B$51/100</f>
        <v>808.966170170772</v>
      </c>
      <c r="K18" s="4" t="n">
        <f aca="false">(K6-J6)*Assumptions!$B$51/100</f>
        <v>736.159214855402</v>
      </c>
      <c r="L18" s="4" t="n">
        <f aca="false">(L6-K6)*Assumptions!$B$51/100</f>
        <v>653.078389178866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14744.04282</v>
      </c>
      <c r="D19" s="0" t="n">
        <f aca="false">D15+D16+D17+D18</f>
        <v>13456.499634864</v>
      </c>
      <c r="E19" s="0" t="n">
        <f aca="false">E15+E16+E17+E18</f>
        <v>13391.8309435997</v>
      </c>
      <c r="F19" s="0" t="n">
        <f aca="false">F15+F16+F17+F18</f>
        <v>14137.3176098806</v>
      </c>
      <c r="G19" s="0" t="n">
        <f aca="false">G15+G16+G17+G18</f>
        <v>15086.3946909844</v>
      </c>
      <c r="H19" s="0" t="n">
        <f aca="false">H15+H16+H17+H18</f>
        <v>16634.493591895</v>
      </c>
      <c r="I19" s="0" t="n">
        <f aca="false">I15+I16+I17+I18</f>
        <v>18268.7252919166</v>
      </c>
      <c r="J19" s="0" t="n">
        <f aca="false">J15+J16+J17+J18</f>
        <v>19954.3640365174</v>
      </c>
      <c r="K19" s="0" t="n">
        <f aca="false">K15+K16+K17+K18</f>
        <v>20515.7266951193</v>
      </c>
      <c r="L19" s="0" t="n">
        <f aca="false">L15+L16+L17+L18</f>
        <v>20989.0360031037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13588.9795576037</v>
      </c>
      <c r="D21" s="0" t="n">
        <f aca="false">D19*D20</f>
        <v>11430.6947566217</v>
      </c>
      <c r="E21" s="0" t="n">
        <f aca="false">E19*E20</f>
        <v>10484.5728985594</v>
      </c>
      <c r="F21" s="0" t="n">
        <f aca="false">F19*F20</f>
        <v>10201.1248358183</v>
      </c>
      <c r="G21" s="0" t="n">
        <f aca="false">G19*G20</f>
        <v>10033.1377431622</v>
      </c>
      <c r="H21" s="0" t="n">
        <f aca="false">H19*H20</f>
        <v>10196.0311815766</v>
      </c>
      <c r="I21" s="0" t="n">
        <f aca="false">I19*I20</f>
        <v>10320.4843124321</v>
      </c>
      <c r="J21" s="0" t="n">
        <f aca="false">J19*J20</f>
        <v>10389.6277024336</v>
      </c>
      <c r="K21" s="0" t="n">
        <f aca="false">K19*K20</f>
        <v>9845.08026530576</v>
      </c>
      <c r="L21" s="0" t="n">
        <f aca="false">L19*L20</f>
        <v>9283.14449985705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105772.87775337</v>
      </c>
    </row>
    <row r="31" customFormat="false" ht="15" hidden="false" customHeight="false" outlineLevel="0" collapsed="false">
      <c r="A31" s="0" t="s">
        <v>131</v>
      </c>
      <c r="B31" s="0" t="n">
        <f aca="false">L19</f>
        <v>20989.0360031037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358562.698386355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230879.396034141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230879.396034141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102114.589498428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207887.467251798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168189.467251798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27.6577374573347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0.958763276015205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27.6577374573347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172110.09522545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13.4568617175411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6.5679400284425</v>
      </c>
      <c r="C4" s="0" t="n">
        <f aca="false">B4/Assumptions!$B$2-1</f>
        <v>-0.534848439912004</v>
      </c>
      <c r="D4" s="4" t="n">
        <f aca="false">Assumptions!$B$24</f>
        <v>0.3</v>
      </c>
      <c r="E4" s="4" t="n">
        <f aca="false">DCF_Bear!$B$43</f>
        <v>6.5679400284425</v>
      </c>
      <c r="F4" s="4" t="n">
        <f aca="false">DCF_Bear!$B$47</f>
        <v>2.2509716494121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17.1256641619096</v>
      </c>
      <c r="C5" s="0" t="n">
        <f aca="false">B5/Assumptions!$B$2-1</f>
        <v>0.212865733846292</v>
      </c>
      <c r="D5" s="4" t="n">
        <f aca="false">Assumptions!$B$38</f>
        <v>0.5</v>
      </c>
      <c r="E5" s="4" t="n">
        <f aca="false">DCF_Base!$B$43</f>
        <v>17.1256641619096</v>
      </c>
      <c r="F5" s="4" t="n">
        <f aca="false">DCF_Base!$B$47</f>
        <v>8.11661751655513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27.6577374573347</v>
      </c>
      <c r="C6" s="0" t="n">
        <f aca="false">B6/Assumptions!$B$2-1</f>
        <v>0.958763276015205</v>
      </c>
      <c r="D6" s="4" t="n">
        <f aca="false">Assumptions!$B$52</f>
        <v>0.2</v>
      </c>
      <c r="E6" s="4" t="n">
        <f aca="false">DCF_Bull!$B$43</f>
        <v>27.6577374573347</v>
      </c>
      <c r="F6" s="4" t="n">
        <f aca="false">DCF_Bull!$B$47</f>
        <v>13.4568617175411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16.0647615809545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16.0647615809545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0.121057606186954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7.42497259660942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17.1256641619096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16.3437953218006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14.881267934472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13.5426524064497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12.3159537500119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8.11661751655513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20.6344992473979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20.6344992473979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20.6344992473979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20.6344992473979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20.6344992473979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18.7997601861151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18.7997601861151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18.7997601861151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18.7997601861151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18.7997601861151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17.1256641619096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17.1256641619096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17.1256641619096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17.1256641619096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17.1256641619096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15.5962386748556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15.5962386748556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15.5962386748556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15.5962386748556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15.5962386748556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14.197252644236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14.197252644236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14.197252644236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14.197252644236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14.197252644236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2026-10-10T21:58:37Z</dcterms:created>
  <dc:creator>openpyxl</dc:creator>
  <dc:description/>
  <dc:language>en-NZ</dc:language>
  <cp:lastModifiedBy/>
  <dcterms:modified xsi:type="dcterms:W3CDTF">2026-10-10T21:58:37Z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