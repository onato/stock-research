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<sst xmlns="http://schemas.openxmlformats.org/spreadsheetml/2006/main" count="390" uniqueCount="175">
  <si>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</si>
  <si>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PPG</t>
  </si>
  <si>
    <t xml:space="preserve">Company</t>
  </si>
  <si>
    <t xml:space="preserve">PPG Industries,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</si>
  <si>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</si>
  <si>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</si>
  <si>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</si>
  <si>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</si>
  <si>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2026-10-01T20:03:49Z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</si>
  <si>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</si>
  <si>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</si>
  <si>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</si>
  <si>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</si>
  <si>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</si>
  <si>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</si>
  <si>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</si>
  <si>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</si>
  <si>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</si>
  <si>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</si>
  <si>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</si>
  <si>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</si>
  <si>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2026-10-02T07:36:13Z</t>
  </si>
  <si>
    <t xml:space="preserve">Drivers file</t>
  </si>
  <si>
    <t xml:space="preserve">PPG_Drivers.json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</si>
  <si>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</si>
  <si>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</si>
  <si>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</si>
  <si>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PPG is valued as a mature, moderately cyclical specialty-coatings franchise on a strict owner-FCF basis, unlevered, at an 8.5% USD WACC with a 12-17x terminal cap. Value hinges on two levers: whether the cost program lifts margins (~120bp in base) and whether capex normalizes from the FY2024-25 step-up. Divestiture losses and the Russia impairment are non-cash/discontinued and do not enter the flows. SBC is small (~0.4% of revenue incl. withholding), so house and street bases sit close together.
key_risks_to_valuation: Auto OEM and European industrial cyclicality hitting Industrial Coatings volumes and index-linked pricing; Cost-program savings competed away rather than retained in margin; Capex staying near 4.5% of revenue instead of tapering to ~3.2%; FX: a large share of revenue is outside the US, and FX helped FY2025/H1 2026; Terminal cap multiple: the base binds at 15x; each 1x is roughly $5/share</t>
  </si>
  <si>
    <t xml:space="preserve">Data sources</t>
  </si>
  <si>
    <t xml:space="preserve">price: Yahoo Finance chart API at inputs.price_as_of; 52-week range 93.39-133.43
financials: SEC XBRL companyfacts (FY2006-Q1 2026 via PPG_Metrics.csv) and the Q2 2026 10-Q iXBRL (ppg-20260630.htm, filed 2026-07-29) for the 2026-06-30 balance sheet, diluted share count and H1 2026 flows
qualitative: PPG_Analysis.json (2026-10-02): segment mix, divestitures, cost program, FY2026 guidance</t>
  </si>
  <si>
    <t xml:space="preserve">Scenario narrative: bear</t>
  </si>
  <si>
    <t xml:space="preserve">Industrial Coatings takes the hit the analysis flags: an auto-OEM and European industrial downturn in FY2027 flattens sales, and falling raw-material indices reset contract prices downward, so margin drops ~110bp and the cost program only offsets price erosion. PPG, now without the US/Canada architectural repaint base that cushioned past cycles, recovers only to ~16% margin and 2% growth. Not a solvency case: interest cover ~8x and net debt ~2x EBITDA. Exit at 12x.</t>
  </si>
  <si>
    <t xml:space="preserve">Scenario narrative: base</t>
  </si>
  <si>
    <t xml:space="preserve">FY2026 lands inside the reaffirmed $7.70-8.10 adjusted-EPS range on ~5.5% reported sales growth (H1 +6.9%, FX-assisted). From FY2027 PPG grows at its end markets plus a little: aerospace coatings (backlog ~$315M, double-digit organic) and packaging (BPA-NI reformulation) offset flat European auto OEM and architectural, giving ~3-3.5% nominal growth. The ~$175M cost program and the elimination of stranded costs from the US/Canada architectural and silicas exits lift pre-SBC EBITDA margin from ~17.3% to 18.5% by FY2029, roughly half the gross savings retained after price give-backs on index-based industrial contracts. Capex tapers from the FY2024-25 capacity step-up (4.5-4.9% of sales) back toward ~3.2%, which is where most of the cash-flow improvement comes from.</t>
  </si>
  <si>
    <t xml:space="preserve">Scenario narrative: bull</t>
  </si>
  <si>
    <t xml:space="preserve">The portfolio simplification works as management pitches it: the remaining business is a specialty-coatings mix (aerospace, refinish, packaging, protective) that grows mid-single-digit, Europe recovers from its 2023-26 trough, LatAm architectural keeps growing, and the full cost savings drop through, taking margin to 20% (still below Sherwin-Williams). Buybacks continue at the FY2025 pace. Exit at 17x owner FCF, in line with where coatings peers trade in normal markets.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</si>
  <si>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</si>
  <si>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</si>
  <si>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</si>
  <si>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</si>
  <si>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</si>
  <si>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</si>
  <si>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</si>
  <si>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</si>
  <si>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</si>
  <si>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</si>
  <si>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</si>
  <si>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</si>
  <si>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</si>
  <si>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</si>
  <si>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</si>
  <si>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</si>
  <si>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</si>
  <si>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</si>
  <si>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</si>
  <si>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</si>
  <si>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</si>
  <si>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</si>
  <si>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</si>
  <si>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</si>
  <si>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</si>
  <si>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</si>
  <si>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</si>
  <si>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</si>
  <si>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</si>
  <si>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</si>
  <si>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</si>
  <si>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</si>
  <si>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</si>
  <si>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</si>
  <si>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</si>
  <si>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</si>
  <si>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</si>
  <si>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</si>
  <si>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</si>
  <si>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</si>
  <si>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</si>
  <si>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</si>
  <si>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</si>
  <si>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</si>
  <si>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</si>
  <si>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</si>
  <si>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</si>
  <si>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</si>
  <si>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</si>
  <si>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</si>
  <si>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</si>
  <si>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</si>
  <si>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</si>
  <si>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</si>
  <si>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</si>
  <si>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</si>
  <si>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</si>
  <si>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</si>
  <si>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</si>
  <si>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</si>
  <si>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</si>
  <si>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</si>
  <si>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</si>
  <si>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</si>
  <si>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</si>
  <si>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</si>
  <si>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</si>
  <si>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</si>
  <si>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</si>
  <si>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</si>
  <si>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</si>
  <si>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</si>
  <si>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</si>
  <si>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</si>
  <si>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</si>
  <si>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</si>
  <si>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</si>
  <si>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</si>
  <si>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</si>
  <si>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</si>
  <si>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</si>
  <si>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</si>
  <si>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</si>
  <si>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</si>
  <si>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PPG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</si>
  <si>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</si>
  <si>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</si>
  <si>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</si>
  <si>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</si>
  <si>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</si>
  <si>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</si>
  <si>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</si>
  <si>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</si>
  <si>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</si>
  <si>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</si>
  <si>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</si>
  <si>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</si>
  <si>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</si>
  <si>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</si>
  <si>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</si>
  <si>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</si>
  <si>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</si>
  <si>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</si>
  <si>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</si>
  <si>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</si>
  <si>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</si>
  <si>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</si>
  <si>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</si>
  <si>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</si>
  <si>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</si>
  <si>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</si>
  <si>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</si>
  <si>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</si>
  <si>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</si>
  <si>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</si>
  <si>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PPG owner-FCF component DCF: base case (millions, USD)</t>
  </si>
  <si>
    <t xml:space="preserve">PPG owner-FCF component DCF: bull case (millions, USD)</t>
  </si>
  <si>
    <t xml:space="preserve">PPG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</si>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</sst>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104.67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3428</v>
      </c>
      <c r="S2" s="0" t="n">
        <v>443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12220</v>
      </c>
      <c r="I3" s="0" t="n">
        <v>910</v>
      </c>
      <c r="J3" s="0" t="n">
        <v>7.4468085106383</v>
      </c>
      <c r="K3" s="0" t="n">
        <v>5.07</v>
      </c>
      <c r="L3" s="0" t="n">
        <v>1063</v>
      </c>
      <c r="M3" s="0" t="n">
        <v>364</v>
      </c>
      <c r="N3" s="0" t="n">
        <v>699</v>
      </c>
      <c r="O3" s="0" t="n">
        <v>4312</v>
      </c>
      <c r="S3" s="0" t="n">
        <v>526</v>
      </c>
      <c r="T3" s="0" t="n">
        <v>163.800668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15849</v>
      </c>
      <c r="I4" s="0" t="n">
        <v>624</v>
      </c>
      <c r="J4" s="0" t="n">
        <v>3.93715691841757</v>
      </c>
      <c r="K4" s="0" t="n">
        <v>3.27</v>
      </c>
      <c r="L4" s="0" t="n">
        <v>1437</v>
      </c>
      <c r="M4" s="0" t="n">
        <v>383</v>
      </c>
      <c r="N4" s="0" t="n">
        <v>1054</v>
      </c>
      <c r="O4" s="0" t="n">
        <v>3489</v>
      </c>
      <c r="P4" s="0" t="n">
        <v>14698</v>
      </c>
      <c r="Q4" s="0" t="n">
        <v>11209</v>
      </c>
      <c r="R4" s="0" t="n">
        <v>3912</v>
      </c>
      <c r="S4" s="0" t="n">
        <v>1021</v>
      </c>
      <c r="T4" s="0" t="n">
        <v>164.198633</v>
      </c>
      <c r="U4" s="0" t="n">
        <v>33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12239</v>
      </c>
      <c r="F5" s="0" t="n">
        <v>1186</v>
      </c>
      <c r="G5" s="0" t="n">
        <v>9.69033417762889</v>
      </c>
      <c r="H5" s="0" t="n">
        <v>1666</v>
      </c>
      <c r="I5" s="0" t="n">
        <v>426</v>
      </c>
      <c r="J5" s="0" t="n">
        <v>3.48067652585996</v>
      </c>
      <c r="K5" s="0" t="n">
        <v>2.04</v>
      </c>
      <c r="L5" s="0" t="n">
        <v>1345</v>
      </c>
      <c r="M5" s="0" t="n">
        <v>239</v>
      </c>
      <c r="N5" s="0" t="n">
        <v>1106</v>
      </c>
      <c r="O5" s="0" t="n">
        <v>3922</v>
      </c>
      <c r="P5" s="0" t="n">
        <v>14240</v>
      </c>
      <c r="Q5" s="0" t="n">
        <v>10318</v>
      </c>
      <c r="R5" s="0" t="n">
        <v>3346</v>
      </c>
      <c r="S5" s="0" t="n">
        <v>1057</v>
      </c>
      <c r="T5" s="0" t="n">
        <v>165.667659</v>
      </c>
      <c r="U5" s="0" t="n">
        <v>34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13423</v>
      </c>
      <c r="F6" s="0" t="n">
        <v>1722</v>
      </c>
      <c r="G6" s="0" t="n">
        <v>12.828726812188</v>
      </c>
      <c r="H6" s="0" t="n">
        <v>2192</v>
      </c>
      <c r="I6" s="0" t="n">
        <v>880</v>
      </c>
      <c r="J6" s="0" t="n">
        <v>6.55591149519482</v>
      </c>
      <c r="K6" s="0" t="n">
        <v>4.67</v>
      </c>
      <c r="L6" s="0" t="n">
        <v>1310</v>
      </c>
      <c r="M6" s="0" t="n">
        <v>307</v>
      </c>
      <c r="N6" s="0" t="n">
        <v>1003</v>
      </c>
      <c r="O6" s="0" t="n">
        <v>3833</v>
      </c>
      <c r="P6" s="0" t="n">
        <v>14975</v>
      </c>
      <c r="Q6" s="0" t="n">
        <v>11142</v>
      </c>
      <c r="R6" s="0" t="n">
        <v>4075</v>
      </c>
      <c r="S6" s="0" t="n">
        <v>1341</v>
      </c>
      <c r="T6" s="0" t="n">
        <v>160.381815</v>
      </c>
      <c r="U6" s="0" t="n">
        <v>52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13153</v>
      </c>
      <c r="F7" s="0" t="n">
        <v>1657</v>
      </c>
      <c r="G7" s="0" t="n">
        <v>12.5978864137459</v>
      </c>
      <c r="H7" s="0" t="n">
        <v>2082</v>
      </c>
      <c r="I7" s="0" t="n">
        <v>1212</v>
      </c>
      <c r="J7" s="0" t="n">
        <v>9.21462784155706</v>
      </c>
      <c r="K7" s="0" t="n">
        <v>6.96</v>
      </c>
      <c r="L7" s="0" t="n">
        <v>1436</v>
      </c>
      <c r="M7" s="0" t="n">
        <v>326</v>
      </c>
      <c r="N7" s="0" t="n">
        <v>1110</v>
      </c>
      <c r="O7" s="0" t="n">
        <v>3446</v>
      </c>
      <c r="P7" s="0" t="n">
        <v>14382</v>
      </c>
      <c r="Q7" s="0" t="n">
        <v>10936</v>
      </c>
      <c r="R7" s="0" t="n">
        <v>3757</v>
      </c>
      <c r="S7" s="0" t="n">
        <v>1306</v>
      </c>
      <c r="T7" s="0" t="n">
        <v>151.88878</v>
      </c>
      <c r="U7" s="0" t="n">
        <v>34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12686</v>
      </c>
      <c r="F8" s="0" t="n">
        <v>1629</v>
      </c>
      <c r="G8" s="0" t="n">
        <v>12.8409270061485</v>
      </c>
      <c r="H8" s="0" t="n">
        <v>2028</v>
      </c>
      <c r="I8" s="0" t="n">
        <v>1064</v>
      </c>
      <c r="J8" s="0" t="n">
        <v>8.38719848652057</v>
      </c>
      <c r="K8" s="0" t="n">
        <v>6.13</v>
      </c>
      <c r="L8" s="0" t="n">
        <v>1787</v>
      </c>
      <c r="M8" s="0" t="n">
        <v>330</v>
      </c>
      <c r="N8" s="0" t="n">
        <v>1457</v>
      </c>
      <c r="O8" s="0" t="n">
        <v>4322</v>
      </c>
      <c r="P8" s="0" t="n">
        <v>15878</v>
      </c>
      <c r="Q8" s="0" t="n">
        <v>11556</v>
      </c>
      <c r="R8" s="0" t="n">
        <v>4613</v>
      </c>
      <c r="S8" s="0" t="n">
        <v>1306</v>
      </c>
      <c r="T8" s="0" t="n">
        <v>307.132594</v>
      </c>
      <c r="U8" s="0" t="n">
        <v>71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14265</v>
      </c>
      <c r="F9" s="0" t="n">
        <v>1923</v>
      </c>
      <c r="G9" s="0" t="n">
        <v>13.4805467928496</v>
      </c>
      <c r="H9" s="0" t="n">
        <v>2375</v>
      </c>
      <c r="I9" s="0" t="n">
        <v>3353</v>
      </c>
      <c r="J9" s="0" t="n">
        <v>23.5050823694357</v>
      </c>
      <c r="K9" s="0" t="n">
        <v>11.27</v>
      </c>
      <c r="L9" s="0" t="n">
        <v>1791</v>
      </c>
      <c r="M9" s="0" t="n">
        <v>494</v>
      </c>
      <c r="N9" s="0" t="n">
        <v>1297</v>
      </c>
      <c r="O9" s="0" t="n">
        <v>5198</v>
      </c>
      <c r="P9" s="0" t="n">
        <v>15804</v>
      </c>
      <c r="Q9" s="0" t="n">
        <v>10665</v>
      </c>
      <c r="R9" s="0" t="n">
        <v>3410</v>
      </c>
      <c r="S9" s="0" t="n">
        <v>1116</v>
      </c>
      <c r="T9" s="0" t="n">
        <v>277.292764</v>
      </c>
      <c r="U9" s="0" t="n">
        <v>81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14791</v>
      </c>
      <c r="F10" s="0" t="n">
        <v>2191</v>
      </c>
      <c r="G10" s="0" t="n">
        <v>14.8130619971604</v>
      </c>
      <c r="H10" s="0" t="n">
        <v>2641</v>
      </c>
      <c r="I10" s="0" t="n">
        <v>2159</v>
      </c>
      <c r="J10" s="0" t="n">
        <v>14.5967142181056</v>
      </c>
      <c r="K10" s="0" t="n">
        <v>7.6</v>
      </c>
      <c r="L10" s="0" t="n">
        <v>1528</v>
      </c>
      <c r="M10" s="0" t="n">
        <v>564</v>
      </c>
      <c r="N10" s="0" t="n">
        <v>964</v>
      </c>
      <c r="O10" s="0" t="n">
        <v>5265</v>
      </c>
      <c r="P10" s="0" t="n">
        <v>17535</v>
      </c>
      <c r="Q10" s="0" t="n">
        <v>12270</v>
      </c>
      <c r="R10" s="0" t="n">
        <v>4380</v>
      </c>
      <c r="S10" s="0" t="n">
        <v>686</v>
      </c>
      <c r="T10" s="0" t="n">
        <v>271.964566</v>
      </c>
      <c r="U10" s="0" t="n">
        <v>71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14241</v>
      </c>
      <c r="F11" s="0" t="n">
        <v>2287</v>
      </c>
      <c r="G11" s="0" t="n">
        <v>16.0592655010182</v>
      </c>
      <c r="H11" s="0" t="n">
        <v>2733</v>
      </c>
      <c r="I11" s="0" t="n">
        <v>1427</v>
      </c>
      <c r="J11" s="0" t="n">
        <v>10.0203637385015</v>
      </c>
      <c r="K11" s="0" t="n">
        <v>5.18</v>
      </c>
      <c r="L11" s="0" t="n">
        <v>1895</v>
      </c>
      <c r="M11" s="0" t="n">
        <v>430</v>
      </c>
      <c r="N11" s="0" t="n">
        <v>1465</v>
      </c>
      <c r="O11" s="0" t="n">
        <v>5069</v>
      </c>
      <c r="P11" s="0" t="n">
        <v>17076</v>
      </c>
      <c r="Q11" s="0" t="n">
        <v>12007</v>
      </c>
      <c r="R11" s="0" t="n">
        <v>4561</v>
      </c>
      <c r="S11" s="0" t="n">
        <v>1311</v>
      </c>
      <c r="T11" s="0" t="n">
        <v>266.876009</v>
      </c>
      <c r="U11" s="0" t="n">
        <v>54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14270</v>
      </c>
      <c r="F12" s="0" t="n">
        <v>2382</v>
      </c>
      <c r="G12" s="0" t="n">
        <v>16.6923615977575</v>
      </c>
      <c r="H12" s="0" t="n">
        <v>2822</v>
      </c>
      <c r="I12" s="0" t="n">
        <v>895</v>
      </c>
      <c r="J12" s="0" t="n">
        <v>6.2718990889979</v>
      </c>
      <c r="K12" s="0" t="n">
        <v>3.29</v>
      </c>
      <c r="L12" s="0" t="n">
        <v>1351</v>
      </c>
      <c r="M12" s="0" t="n">
        <v>380</v>
      </c>
      <c r="N12" s="0" t="n">
        <v>971</v>
      </c>
      <c r="O12" s="0" t="n">
        <v>4915</v>
      </c>
      <c r="P12" s="0" t="n">
        <v>15769</v>
      </c>
      <c r="Q12" s="0" t="n">
        <v>10856</v>
      </c>
      <c r="R12" s="0" t="n">
        <v>4946</v>
      </c>
      <c r="S12" s="0" t="n">
        <v>1820</v>
      </c>
      <c r="T12" s="0" t="n">
        <v>257.33016</v>
      </c>
      <c r="U12" s="0" t="n">
        <v>45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14748</v>
      </c>
      <c r="C13" s="0" t="n">
        <v>8209</v>
      </c>
      <c r="F13" s="0" t="n">
        <v>2292</v>
      </c>
      <c r="G13" s="0" t="n">
        <v>15.5410903173312</v>
      </c>
      <c r="H13" s="0" t="n">
        <v>2752</v>
      </c>
      <c r="I13" s="0" t="n">
        <v>1615</v>
      </c>
      <c r="J13" s="0" t="n">
        <v>10.9506373745593</v>
      </c>
      <c r="K13" s="0" t="n">
        <v>6.22</v>
      </c>
      <c r="L13" s="0" t="n">
        <v>1568</v>
      </c>
      <c r="M13" s="0" t="n">
        <v>360</v>
      </c>
      <c r="N13" s="0" t="n">
        <v>1208</v>
      </c>
      <c r="O13" s="0" t="n">
        <v>5672</v>
      </c>
      <c r="P13" s="0" t="n">
        <v>16538</v>
      </c>
      <c r="Q13" s="0" t="n">
        <v>10866</v>
      </c>
      <c r="R13" s="0" t="n">
        <v>4150</v>
      </c>
      <c r="S13" s="0" t="n">
        <v>1436</v>
      </c>
      <c r="T13" s="0" t="n">
        <v>251.174399</v>
      </c>
      <c r="U13" s="0" t="n">
        <v>35</v>
      </c>
      <c r="V13" s="0" t="n">
        <v>0.4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15374</v>
      </c>
      <c r="C14" s="0" t="n">
        <v>9001</v>
      </c>
      <c r="F14" s="0" t="n">
        <v>2118</v>
      </c>
      <c r="G14" s="0" t="n">
        <v>13.7765057889944</v>
      </c>
      <c r="H14" s="0" t="n">
        <v>2615</v>
      </c>
      <c r="I14" s="0" t="n">
        <v>1358</v>
      </c>
      <c r="J14" s="0" t="n">
        <v>8.83309483543645</v>
      </c>
      <c r="K14" s="0" t="n">
        <v>5.5</v>
      </c>
      <c r="L14" s="0" t="n">
        <v>1467</v>
      </c>
      <c r="M14" s="0" t="n">
        <v>411</v>
      </c>
      <c r="N14" s="0" t="n">
        <v>1056</v>
      </c>
      <c r="O14" s="0" t="n">
        <v>4732</v>
      </c>
      <c r="P14" s="0" t="n">
        <v>16015</v>
      </c>
      <c r="Q14" s="0" t="n">
        <v>11283</v>
      </c>
      <c r="R14" s="0" t="n">
        <v>5663</v>
      </c>
      <c r="S14" s="0" t="n">
        <v>902</v>
      </c>
      <c r="T14" s="0" t="n">
        <v>235.861434</v>
      </c>
      <c r="U14" s="0" t="n">
        <v>37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15146</v>
      </c>
      <c r="C15" s="0" t="n">
        <v>8653</v>
      </c>
      <c r="F15" s="0" t="n">
        <v>2271</v>
      </c>
      <c r="G15" s="0" t="n">
        <v>14.9940578370527</v>
      </c>
      <c r="H15" s="0" t="n">
        <v>2782</v>
      </c>
      <c r="I15" s="0" t="n">
        <v>1269</v>
      </c>
      <c r="J15" s="0" t="n">
        <v>8.37844975571108</v>
      </c>
      <c r="K15" s="0" t="n">
        <v>5.25</v>
      </c>
      <c r="L15" s="0" t="n">
        <v>2080</v>
      </c>
      <c r="M15" s="0" t="n">
        <v>413</v>
      </c>
      <c r="N15" s="0" t="n">
        <v>1667</v>
      </c>
      <c r="O15" s="0" t="n">
        <v>5403</v>
      </c>
      <c r="P15" s="0" t="n">
        <v>17708</v>
      </c>
      <c r="Q15" s="0" t="n">
        <v>12305</v>
      </c>
      <c r="R15" s="0" t="n">
        <v>5555</v>
      </c>
      <c r="S15" s="0" t="n">
        <v>1216</v>
      </c>
      <c r="T15" s="0" t="n">
        <v>235.68047</v>
      </c>
      <c r="U15" s="0" t="n">
        <v>39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13834</v>
      </c>
      <c r="C16" s="0" t="n">
        <v>7777</v>
      </c>
      <c r="F16" s="0" t="n">
        <v>2109</v>
      </c>
      <c r="G16" s="0" t="n">
        <v>15.2450484314009</v>
      </c>
      <c r="H16" s="0" t="n">
        <v>2618</v>
      </c>
      <c r="I16" s="0" t="n">
        <v>1074</v>
      </c>
      <c r="J16" s="0" t="n">
        <v>7.7634812780107</v>
      </c>
      <c r="K16" s="0" t="n">
        <v>4.47</v>
      </c>
      <c r="L16" s="0" t="n">
        <v>2130</v>
      </c>
      <c r="M16" s="0" t="n">
        <v>304</v>
      </c>
      <c r="N16" s="0" t="n">
        <v>1826</v>
      </c>
      <c r="O16" s="0" t="n">
        <v>5815</v>
      </c>
      <c r="P16" s="0" t="n">
        <v>19556</v>
      </c>
      <c r="Q16" s="0" t="n">
        <v>13741</v>
      </c>
      <c r="R16" s="0" t="n">
        <v>5924</v>
      </c>
      <c r="S16" s="0" t="n">
        <v>1826</v>
      </c>
      <c r="T16" s="0" t="n">
        <v>236.686265</v>
      </c>
      <c r="U16" s="0" t="n">
        <v>44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16802</v>
      </c>
      <c r="C17" s="0" t="n">
        <v>10286</v>
      </c>
      <c r="F17" s="0" t="n">
        <v>2171</v>
      </c>
      <c r="G17" s="0" t="n">
        <v>12.9210808237115</v>
      </c>
      <c r="H17" s="0" t="n">
        <v>2732</v>
      </c>
      <c r="I17" s="0" t="n">
        <v>1460</v>
      </c>
      <c r="J17" s="0" t="n">
        <v>8.68944173312701</v>
      </c>
      <c r="K17" s="0" t="n">
        <v>6.06</v>
      </c>
      <c r="L17" s="0" t="n">
        <v>1562</v>
      </c>
      <c r="M17" s="0" t="n">
        <v>371</v>
      </c>
      <c r="N17" s="0" t="n">
        <v>1191</v>
      </c>
      <c r="O17" s="0" t="n">
        <v>6411</v>
      </c>
      <c r="P17" s="0" t="n">
        <v>21351</v>
      </c>
      <c r="Q17" s="0" t="n">
        <v>14940</v>
      </c>
      <c r="R17" s="0" t="n">
        <v>6584</v>
      </c>
      <c r="S17" s="0" t="n">
        <v>1005</v>
      </c>
      <c r="T17" s="0" t="n">
        <v>235.907026</v>
      </c>
      <c r="U17" s="0" t="n">
        <v>57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15614</v>
      </c>
      <c r="C18" s="0" t="n">
        <v>9975</v>
      </c>
      <c r="F18" s="0" t="n">
        <v>2042</v>
      </c>
      <c r="G18" s="0" t="n">
        <v>13.0780069168695</v>
      </c>
      <c r="H18" s="0" t="n">
        <v>2544</v>
      </c>
      <c r="I18" s="0" t="n">
        <v>1054</v>
      </c>
      <c r="J18" s="0" t="n">
        <v>6.75035224798258</v>
      </c>
      <c r="K18" s="0" t="n">
        <v>4.34</v>
      </c>
      <c r="L18" s="0" t="n">
        <v>963</v>
      </c>
      <c r="M18" s="0" t="n">
        <v>486</v>
      </c>
      <c r="N18" s="0" t="n">
        <v>477</v>
      </c>
      <c r="O18" s="0" t="n">
        <v>6709</v>
      </c>
      <c r="P18" s="0" t="n">
        <v>20744</v>
      </c>
      <c r="Q18" s="0" t="n">
        <v>14035</v>
      </c>
      <c r="R18" s="0" t="n">
        <v>7119</v>
      </c>
      <c r="S18" s="0" t="n">
        <v>1099</v>
      </c>
      <c r="T18" s="0" t="n">
        <v>235.073926</v>
      </c>
      <c r="U18" s="0" t="n">
        <v>34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16242</v>
      </c>
      <c r="C19" s="0" t="n">
        <v>9678</v>
      </c>
      <c r="F19" s="0" t="n">
        <v>2675</v>
      </c>
      <c r="G19" s="0" t="n">
        <v>16.4696465952469</v>
      </c>
      <c r="H19" s="0" t="n">
        <v>3189</v>
      </c>
      <c r="I19" s="0" t="n">
        <v>1309</v>
      </c>
      <c r="J19" s="0" t="n">
        <v>8.05935229651521</v>
      </c>
      <c r="K19" s="0" t="n">
        <v>5.38</v>
      </c>
      <c r="L19" s="0" t="n">
        <v>2411</v>
      </c>
      <c r="M19" s="0" t="n">
        <v>516</v>
      </c>
      <c r="N19" s="0" t="n">
        <v>1895</v>
      </c>
      <c r="O19" s="0" t="n">
        <v>8023</v>
      </c>
      <c r="P19" s="0" t="n">
        <v>21647</v>
      </c>
      <c r="Q19" s="0" t="n">
        <v>13624</v>
      </c>
      <c r="R19" s="0" t="n">
        <v>6356</v>
      </c>
      <c r="S19" s="0" t="n">
        <v>1493</v>
      </c>
      <c r="T19" s="0" t="n">
        <v>237.2</v>
      </c>
      <c r="U19" s="0" t="n">
        <v>56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15845</v>
      </c>
      <c r="C20" s="0" t="n">
        <v>9252</v>
      </c>
      <c r="I20" s="0" t="n">
        <v>1149</v>
      </c>
      <c r="J20" s="0" t="n">
        <v>7.25149889555065</v>
      </c>
      <c r="K20" s="0" t="n">
        <v>4.77</v>
      </c>
      <c r="L20" s="0" t="n">
        <v>1420</v>
      </c>
      <c r="M20" s="0" t="n">
        <v>721</v>
      </c>
      <c r="N20" s="0" t="n">
        <v>699</v>
      </c>
      <c r="O20" s="0" t="n">
        <v>6962</v>
      </c>
      <c r="P20" s="0" t="n">
        <v>19433</v>
      </c>
      <c r="Q20" s="0" t="n">
        <v>12471</v>
      </c>
      <c r="R20" s="0" t="n">
        <v>6747</v>
      </c>
      <c r="S20" s="0" t="n">
        <v>1270</v>
      </c>
      <c r="T20" s="0" t="n">
        <v>234.9</v>
      </c>
      <c r="U20" s="0" t="n">
        <v>42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15875</v>
      </c>
      <c r="C21" s="0" t="n">
        <v>9316</v>
      </c>
      <c r="I21" s="0" t="n">
        <v>1592</v>
      </c>
      <c r="J21" s="0" t="n">
        <v>10.0283464566929</v>
      </c>
      <c r="K21" s="0" t="n">
        <v>6.96</v>
      </c>
      <c r="L21" s="0" t="n">
        <v>1941</v>
      </c>
      <c r="M21" s="0" t="n">
        <v>778</v>
      </c>
      <c r="N21" s="0" t="n">
        <v>1163</v>
      </c>
      <c r="O21" s="0" t="n">
        <v>8097</v>
      </c>
      <c r="P21" s="0" t="n">
        <v>22098</v>
      </c>
      <c r="Q21" s="0" t="n">
        <v>14001</v>
      </c>
      <c r="R21" s="0" t="n">
        <v>8010</v>
      </c>
      <c r="S21" s="0" t="n">
        <v>2163</v>
      </c>
      <c r="T21" s="0" t="n">
        <v>227.1</v>
      </c>
      <c r="U21" s="0" t="n">
        <v>46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104.67</v>
      </c>
    </row>
    <row r="3" customFormat="false" ht="15" hidden="false" customHeight="false" outlineLevel="0" collapsed="false">
      <c r="A3" s="0" t="s">
        <v>86</v>
      </c>
      <c r="B3" s="3" t="n">
        <v>223.9</v>
      </c>
    </row>
    <row r="4" customFormat="false" ht="15" hidden="false" customHeight="false" outlineLevel="0" collapsed="false">
      <c r="A4" s="0" t="s">
        <v>87</v>
      </c>
      <c r="B4" s="3" t="n">
        <v>5292</v>
      </c>
    </row>
    <row r="5" customFormat="false" ht="15" hidden="false" customHeight="false" outlineLevel="0" collapsed="false">
      <c r="A5" s="0" t="s">
        <v>88</v>
      </c>
      <c r="B5" s="3" t="n">
        <v>-247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15875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16.9</v>
      </c>
      <c r="D14" s="3" t="n">
        <v>15.8</v>
      </c>
      <c r="E14" s="3" t="n">
        <v>15.8</v>
      </c>
      <c r="F14" s="3" t="n">
        <v>16</v>
      </c>
      <c r="G14" s="3" t="n">
        <v>16.2</v>
      </c>
      <c r="H14" s="3" t="n">
        <v>16.2</v>
      </c>
      <c r="I14" s="3" t="n">
        <v>16.2</v>
      </c>
      <c r="J14" s="3" t="n">
        <v>16.2</v>
      </c>
      <c r="K14" s="3" t="n">
        <v>16.2</v>
      </c>
      <c r="L14" s="3" t="n">
        <v>16.2</v>
      </c>
    </row>
    <row r="15" customFormat="false" ht="15" hidden="false" customHeight="false" outlineLevel="0" collapsed="false">
      <c r="A15" s="0" t="s">
        <v>108</v>
      </c>
      <c r="C15" s="3" t="n">
        <v>0.38</v>
      </c>
      <c r="D15" s="3" t="n">
        <v>0.38</v>
      </c>
      <c r="E15" s="3" t="n">
        <v>0.38</v>
      </c>
      <c r="F15" s="3" t="n">
        <v>0.38</v>
      </c>
      <c r="G15" s="3" t="n">
        <v>0.38</v>
      </c>
      <c r="H15" s="3" t="n">
        <v>0.38</v>
      </c>
      <c r="I15" s="3" t="n">
        <v>0.38</v>
      </c>
      <c r="J15" s="3" t="n">
        <v>0.38</v>
      </c>
      <c r="K15" s="3" t="n">
        <v>0.38</v>
      </c>
      <c r="L15" s="3" t="n">
        <v>0.38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3.2</v>
      </c>
      <c r="D17" s="3" t="n">
        <v>3.2</v>
      </c>
      <c r="E17" s="3" t="n">
        <v>3.2</v>
      </c>
      <c r="F17" s="3" t="n">
        <v>3.1</v>
      </c>
      <c r="G17" s="3" t="n">
        <v>3.1</v>
      </c>
      <c r="H17" s="3" t="n">
        <v>3</v>
      </c>
      <c r="I17" s="3" t="n">
        <v>3</v>
      </c>
      <c r="J17" s="3" t="n">
        <v>3</v>
      </c>
      <c r="K17" s="3" t="n">
        <v>3</v>
      </c>
      <c r="L17" s="3" t="n">
        <v>3</v>
      </c>
    </row>
    <row r="18" customFormat="false" ht="15" hidden="false" customHeight="false" outlineLevel="0" collapsed="false">
      <c r="A18" s="0" t="s">
        <v>111</v>
      </c>
      <c r="C18" s="3" t="n">
        <v>4.3</v>
      </c>
      <c r="D18" s="3" t="n">
        <v>3.8</v>
      </c>
      <c r="E18" s="3" t="n">
        <v>3.4</v>
      </c>
      <c r="F18" s="3" t="n">
        <v>3.2</v>
      </c>
      <c r="G18" s="3" t="n">
        <v>3.1</v>
      </c>
      <c r="H18" s="3" t="n">
        <v>3</v>
      </c>
      <c r="I18" s="3" t="n">
        <v>3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-12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5.5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17.3</v>
      </c>
      <c r="D28" s="3" t="n">
        <v>17.8</v>
      </c>
      <c r="E28" s="3" t="n">
        <v>18.2</v>
      </c>
      <c r="F28" s="3" t="n">
        <v>18.5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108</v>
      </c>
      <c r="C29" s="3" t="n">
        <v>0.38</v>
      </c>
      <c r="D29" s="3" t="n">
        <v>0.38</v>
      </c>
      <c r="E29" s="3" t="n">
        <v>0.38</v>
      </c>
      <c r="F29" s="3" t="n">
        <v>0.38</v>
      </c>
      <c r="G29" s="3" t="n">
        <v>0.38</v>
      </c>
      <c r="H29" s="3" t="n">
        <v>0.38</v>
      </c>
      <c r="I29" s="3" t="n">
        <v>0.38</v>
      </c>
      <c r="J29" s="3" t="n">
        <v>0.38</v>
      </c>
      <c r="K29" s="3" t="n">
        <v>0.38</v>
      </c>
      <c r="L29" s="3" t="n">
        <v>0.38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3.2</v>
      </c>
      <c r="D31" s="3" t="n">
        <v>3.2</v>
      </c>
      <c r="E31" s="3" t="n">
        <v>3.1</v>
      </c>
      <c r="F31" s="3" t="n">
        <v>3.1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111</v>
      </c>
      <c r="C32" s="3" t="n">
        <v>4.3</v>
      </c>
      <c r="D32" s="3" t="n">
        <v>4</v>
      </c>
      <c r="E32" s="3" t="n">
        <v>3.6</v>
      </c>
      <c r="F32" s="3" t="n">
        <v>3.4</v>
      </c>
      <c r="G32" s="3" t="n">
        <v>3.3</v>
      </c>
      <c r="H32" s="3" t="n">
        <v>3.2</v>
      </c>
      <c r="I32" s="3" t="n">
        <v>3.2</v>
      </c>
      <c r="J32" s="3" t="n">
        <v>3.2</v>
      </c>
      <c r="K32" s="3" t="n">
        <v>3.2</v>
      </c>
      <c r="L32" s="3" t="n">
        <v>3.2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-12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6.5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17.6</v>
      </c>
      <c r="D42" s="3" t="n">
        <v>18.4</v>
      </c>
      <c r="E42" s="3" t="n">
        <v>19.2</v>
      </c>
      <c r="F42" s="3" t="n">
        <v>19.8</v>
      </c>
      <c r="G42" s="3" t="n">
        <v>20</v>
      </c>
      <c r="H42" s="3" t="n">
        <v>20</v>
      </c>
      <c r="I42" s="3" t="n">
        <v>20</v>
      </c>
      <c r="J42" s="3" t="n">
        <v>20</v>
      </c>
      <c r="K42" s="3" t="n">
        <v>20</v>
      </c>
      <c r="L42" s="3" t="n">
        <v>20</v>
      </c>
    </row>
    <row r="43" customFormat="false" ht="15" hidden="false" customHeight="false" outlineLevel="0" collapsed="false">
      <c r="A43" s="0" t="s">
        <v>108</v>
      </c>
      <c r="C43" s="3" t="n">
        <v>0.38</v>
      </c>
      <c r="D43" s="3" t="n">
        <v>0.38</v>
      </c>
      <c r="E43" s="3" t="n">
        <v>0.38</v>
      </c>
      <c r="F43" s="3" t="n">
        <v>0.38</v>
      </c>
      <c r="G43" s="3" t="n">
        <v>0.38</v>
      </c>
      <c r="H43" s="3" t="n">
        <v>0.38</v>
      </c>
      <c r="I43" s="3" t="n">
        <v>0.38</v>
      </c>
      <c r="J43" s="3" t="n">
        <v>0.38</v>
      </c>
      <c r="K43" s="3" t="n">
        <v>0.38</v>
      </c>
      <c r="L43" s="3" t="n">
        <v>0.38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3.2</v>
      </c>
      <c r="D45" s="3" t="n">
        <v>3.2</v>
      </c>
      <c r="E45" s="3" t="n">
        <v>3.1</v>
      </c>
      <c r="F45" s="3" t="n">
        <v>3.1</v>
      </c>
      <c r="G45" s="3" t="n">
        <v>3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111</v>
      </c>
      <c r="C46" s="3" t="n">
        <v>4.3</v>
      </c>
      <c r="D46" s="3" t="n">
        <v>4</v>
      </c>
      <c r="E46" s="3" t="n">
        <v>3.7</v>
      </c>
      <c r="F46" s="3" t="n">
        <v>3.5</v>
      </c>
      <c r="G46" s="3" t="n">
        <v>3.4</v>
      </c>
      <c r="H46" s="3" t="n">
        <v>3.3</v>
      </c>
      <c r="I46" s="3" t="n">
        <v>3.3</v>
      </c>
      <c r="J46" s="3" t="n">
        <v>3.3</v>
      </c>
      <c r="K46" s="3" t="n">
        <v>3.3</v>
      </c>
      <c r="L46" s="3" t="n">
        <v>3.3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2.75</v>
      </c>
    </row>
    <row r="50" customFormat="false" ht="15" hidden="false" customHeight="false" outlineLevel="0" collapsed="false">
      <c r="A50" s="0" t="s">
        <v>115</v>
      </c>
      <c r="B50" s="3" t="n">
        <v>17</v>
      </c>
    </row>
    <row r="51" customFormat="false" ht="15" hidden="false" customHeight="false" outlineLevel="0" collapsed="false">
      <c r="A51" s="0" t="s">
        <v>116</v>
      </c>
      <c r="B51" s="3" t="n">
        <v>-12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15875</v>
      </c>
      <c r="C6" s="0" t="n">
        <f aca="false">B6*(1+C5/100)</f>
        <v>16510</v>
      </c>
      <c r="D6" s="0" t="n">
        <f aca="false">C6*(1+D5/100)</f>
        <v>16510</v>
      </c>
      <c r="E6" s="0" t="n">
        <f aca="false">D6*(1+E5/100)</f>
        <v>16757.65</v>
      </c>
      <c r="F6" s="0" t="n">
        <f aca="false">E6*(1+F5/100)</f>
        <v>17092.803</v>
      </c>
      <c r="G6" s="0" t="n">
        <f aca="false">F6*(1+G5/100)</f>
        <v>17434.65906</v>
      </c>
      <c r="H6" s="0" t="n">
        <f aca="false">G6*(1+H5/100)</f>
        <v>17783.3522412</v>
      </c>
      <c r="I6" s="0" t="n">
        <f aca="false">H6*(1+I5/100)</f>
        <v>18139.019286024</v>
      </c>
      <c r="J6" s="0" t="n">
        <f aca="false">I6*(1+J5/100)</f>
        <v>18501.7996717445</v>
      </c>
      <c r="K6" s="0" t="n">
        <f aca="false">J6*(1+K5/100)</f>
        <v>18871.8356651794</v>
      </c>
      <c r="L6" s="0" t="n">
        <f aca="false">K6*(1+L5/100)</f>
        <v>19249.272378483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16.9</v>
      </c>
      <c r="D7" s="4" t="n">
        <f aca="false">Assumptions!D14</f>
        <v>15.8</v>
      </c>
      <c r="E7" s="4" t="n">
        <f aca="false">Assumptions!E14</f>
        <v>15.8</v>
      </c>
      <c r="F7" s="4" t="n">
        <f aca="false">Assumptions!F14</f>
        <v>16</v>
      </c>
      <c r="G7" s="4" t="n">
        <f aca="false">Assumptions!G14</f>
        <v>16.2</v>
      </c>
      <c r="H7" s="4" t="n">
        <f aca="false">Assumptions!H14</f>
        <v>16.2</v>
      </c>
      <c r="I7" s="4" t="n">
        <f aca="false">Assumptions!I14</f>
        <v>16.2</v>
      </c>
      <c r="J7" s="4" t="n">
        <f aca="false">Assumptions!J14</f>
        <v>16.2</v>
      </c>
      <c r="K7" s="4" t="n">
        <f aca="false">Assumptions!K14</f>
        <v>16.2</v>
      </c>
      <c r="L7" s="4" t="n">
        <f aca="false">Assumptions!L14</f>
        <v>16.2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2790.19</v>
      </c>
      <c r="D8" s="0" t="n">
        <f aca="false">D6*D7/100</f>
        <v>2608.58</v>
      </c>
      <c r="E8" s="0" t="n">
        <f aca="false">E6*E7/100</f>
        <v>2647.7087</v>
      </c>
      <c r="F8" s="0" t="n">
        <f aca="false">F6*F7/100</f>
        <v>2734.84848</v>
      </c>
      <c r="G8" s="0" t="n">
        <f aca="false">G6*G7/100</f>
        <v>2824.41476772</v>
      </c>
      <c r="H8" s="0" t="n">
        <f aca="false">H6*H7/100</f>
        <v>2880.9030630744</v>
      </c>
      <c r="I8" s="0" t="n">
        <f aca="false">I6*I7/100</f>
        <v>2938.52112433589</v>
      </c>
      <c r="J8" s="0" t="n">
        <f aca="false">J6*J7/100</f>
        <v>2997.29154682261</v>
      </c>
      <c r="K8" s="0" t="n">
        <f aca="false">K6*K7/100</f>
        <v>3057.23737775906</v>
      </c>
      <c r="L8" s="0" t="n">
        <f aca="false">L6*L7/100</f>
        <v>3118.38212531424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0.38</v>
      </c>
      <c r="D9" s="4" t="n">
        <f aca="false">Assumptions!D15</f>
        <v>0.38</v>
      </c>
      <c r="E9" s="4" t="n">
        <f aca="false">Assumptions!E15</f>
        <v>0.38</v>
      </c>
      <c r="F9" s="4" t="n">
        <f aca="false">Assumptions!F15</f>
        <v>0.38</v>
      </c>
      <c r="G9" s="4" t="n">
        <f aca="false">Assumptions!G15</f>
        <v>0.38</v>
      </c>
      <c r="H9" s="4" t="n">
        <f aca="false">Assumptions!H15</f>
        <v>0.38</v>
      </c>
      <c r="I9" s="4" t="n">
        <f aca="false">Assumptions!I15</f>
        <v>0.38</v>
      </c>
      <c r="J9" s="4" t="n">
        <f aca="false">Assumptions!J15</f>
        <v>0.38</v>
      </c>
      <c r="K9" s="4" t="n">
        <f aca="false">Assumptions!K15</f>
        <v>0.38</v>
      </c>
      <c r="L9" s="4" t="n">
        <f aca="false">Assumptions!L15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-62.738</v>
      </c>
      <c r="D10" s="0" t="n">
        <f aca="false">-D6*D9/100</f>
        <v>-62.738</v>
      </c>
      <c r="E10" s="0" t="n">
        <f aca="false">-E6*E9/100</f>
        <v>-63.67907</v>
      </c>
      <c r="F10" s="0" t="n">
        <f aca="false">-F6*F9/100</f>
        <v>-64.9526514</v>
      </c>
      <c r="G10" s="0" t="n">
        <f aca="false">-G6*G9/100</f>
        <v>-66.251704428</v>
      </c>
      <c r="H10" s="0" t="n">
        <f aca="false">-H6*H9/100</f>
        <v>-67.57673851656</v>
      </c>
      <c r="I10" s="0" t="n">
        <f aca="false">-I6*I9/100</f>
        <v>-68.9282732868912</v>
      </c>
      <c r="J10" s="0" t="n">
        <f aca="false">-J6*J9/100</f>
        <v>-70.306838752629</v>
      </c>
      <c r="K10" s="0" t="n">
        <f aca="false">-K6*K9/100</f>
        <v>-71.7129755276816</v>
      </c>
      <c r="L10" s="0" t="n">
        <f aca="false">-L6*L9/100</f>
        <v>-73.1472350382353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2727.452</v>
      </c>
      <c r="D11" s="0" t="n">
        <f aca="false">D8+D10+D24</f>
        <v>2545.842</v>
      </c>
      <c r="E11" s="0" t="n">
        <f aca="false">E8+E10+E24</f>
        <v>2584.02963</v>
      </c>
      <c r="F11" s="0" t="n">
        <f aca="false">F8+F10+F24</f>
        <v>2669.8958286</v>
      </c>
      <c r="G11" s="0" t="n">
        <f aca="false">G8+G10+G24</f>
        <v>2758.163063292</v>
      </c>
      <c r="H11" s="0" t="n">
        <f aca="false">H8+H10+H24</f>
        <v>2813.32632455784</v>
      </c>
      <c r="I11" s="0" t="n">
        <f aca="false">I8+I10+I24</f>
        <v>2869.592851049</v>
      </c>
      <c r="J11" s="0" t="n">
        <f aca="false">J8+J10+J24</f>
        <v>2926.98470806998</v>
      </c>
      <c r="K11" s="0" t="n">
        <f aca="false">K8+K10+K24</f>
        <v>2985.52440223138</v>
      </c>
      <c r="L11" s="0" t="n">
        <f aca="false">L8+L10+L24</f>
        <v>3045.234890276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-528.32</v>
      </c>
      <c r="D12" s="4" t="n">
        <f aca="false">-D6*Assumptions!D17/100</f>
        <v>-528.32</v>
      </c>
      <c r="E12" s="4" t="n">
        <f aca="false">-E6*Assumptions!E17/100</f>
        <v>-536.2448</v>
      </c>
      <c r="F12" s="4" t="n">
        <f aca="false">-F6*Assumptions!F17/100</f>
        <v>-529.876893</v>
      </c>
      <c r="G12" s="4" t="n">
        <f aca="false">-G6*Assumptions!G17/100</f>
        <v>-540.47443086</v>
      </c>
      <c r="H12" s="4" t="n">
        <f aca="false">-H6*Assumptions!H17/100</f>
        <v>-533.500567236</v>
      </c>
      <c r="I12" s="4" t="n">
        <f aca="false">-I6*Assumptions!I17/100</f>
        <v>-544.17057858072</v>
      </c>
      <c r="J12" s="4" t="n">
        <f aca="false">-J6*Assumptions!J17/100</f>
        <v>-555.053990152335</v>
      </c>
      <c r="K12" s="4" t="n">
        <f aca="false">-K6*Assumptions!K17/100</f>
        <v>-566.155069955381</v>
      </c>
      <c r="L12" s="4" t="n">
        <f aca="false">-L6*Assumptions!L17/100</f>
        <v>-577.478171354489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2199.132</v>
      </c>
      <c r="D13" s="0" t="n">
        <f aca="false">D11+D12</f>
        <v>2017.522</v>
      </c>
      <c r="E13" s="0" t="n">
        <f aca="false">E11+E12</f>
        <v>2047.78483</v>
      </c>
      <c r="F13" s="0" t="n">
        <f aca="false">F11+F12</f>
        <v>2140.0189356</v>
      </c>
      <c r="G13" s="0" t="n">
        <f aca="false">G11+G12</f>
        <v>2217.688632432</v>
      </c>
      <c r="H13" s="0" t="n">
        <f aca="false">H11+H12</f>
        <v>2279.82575732184</v>
      </c>
      <c r="I13" s="0" t="n">
        <f aca="false">I11+I12</f>
        <v>2325.42227246828</v>
      </c>
      <c r="J13" s="0" t="n">
        <f aca="false">J11+J12</f>
        <v>2371.93071791764</v>
      </c>
      <c r="K13" s="0" t="n">
        <f aca="false">K11+K12</f>
        <v>2419.369332276</v>
      </c>
      <c r="L13" s="0" t="n">
        <f aca="false">L11+L12</f>
        <v>2467.75671892152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1693.33164</v>
      </c>
      <c r="D15" s="0" t="n">
        <f aca="false">D13-MAX(0,D13)*D14/100</f>
        <v>1553.49194</v>
      </c>
      <c r="E15" s="0" t="n">
        <f aca="false">E13-MAX(0,E13)*E14/100</f>
        <v>1576.7943191</v>
      </c>
      <c r="F15" s="0" t="n">
        <f aca="false">F13-MAX(0,F13)*F14/100</f>
        <v>1647.814580412</v>
      </c>
      <c r="G15" s="0" t="n">
        <f aca="false">G13-MAX(0,G13)*G14/100</f>
        <v>1707.62024697264</v>
      </c>
      <c r="H15" s="0" t="n">
        <f aca="false">H13-MAX(0,H13)*H14/100</f>
        <v>1755.46583313782</v>
      </c>
      <c r="I15" s="0" t="n">
        <f aca="false">I13-MAX(0,I13)*I14/100</f>
        <v>1790.57514980057</v>
      </c>
      <c r="J15" s="0" t="n">
        <f aca="false">J13-MAX(0,J13)*J14/100</f>
        <v>1826.38665279659</v>
      </c>
      <c r="K15" s="0" t="n">
        <f aca="false">K13-MAX(0,K13)*K14/100</f>
        <v>1862.91438585252</v>
      </c>
      <c r="L15" s="0" t="n">
        <f aca="false">L13-MAX(0,L13)*L14/100</f>
        <v>1900.17267356957</v>
      </c>
    </row>
    <row r="16" customFormat="false" ht="15" hidden="false" customHeight="false" outlineLevel="0" collapsed="false">
      <c r="A16" s="0" t="s">
        <v>128</v>
      </c>
      <c r="C16" s="0" t="n">
        <f aca="false">-C12</f>
        <v>528.32</v>
      </c>
      <c r="D16" s="0" t="n">
        <f aca="false">-D12</f>
        <v>528.32</v>
      </c>
      <c r="E16" s="0" t="n">
        <f aca="false">-E12</f>
        <v>536.2448</v>
      </c>
      <c r="F16" s="0" t="n">
        <f aca="false">-F12</f>
        <v>529.876893</v>
      </c>
      <c r="G16" s="0" t="n">
        <f aca="false">-G12</f>
        <v>540.47443086</v>
      </c>
      <c r="H16" s="0" t="n">
        <f aca="false">-H12</f>
        <v>533.500567236</v>
      </c>
      <c r="I16" s="0" t="n">
        <f aca="false">-I12</f>
        <v>544.17057858072</v>
      </c>
      <c r="J16" s="0" t="n">
        <f aca="false">-J12</f>
        <v>555.053990152335</v>
      </c>
      <c r="K16" s="0" t="n">
        <f aca="false">-K12</f>
        <v>566.155069955381</v>
      </c>
      <c r="L16" s="0" t="n">
        <f aca="false">-L12</f>
        <v>577.478171354489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-709.93</v>
      </c>
      <c r="D17" s="4" t="n">
        <f aca="false">-D6*Assumptions!D18/100</f>
        <v>-627.38</v>
      </c>
      <c r="E17" s="4" t="n">
        <f aca="false">-E6*Assumptions!E18/100</f>
        <v>-569.7601</v>
      </c>
      <c r="F17" s="4" t="n">
        <f aca="false">-F6*Assumptions!F18/100</f>
        <v>-546.969696</v>
      </c>
      <c r="G17" s="4" t="n">
        <f aca="false">-G6*Assumptions!G18/100</f>
        <v>-540.47443086</v>
      </c>
      <c r="H17" s="4" t="n">
        <f aca="false">-H6*Assumptions!H18/100</f>
        <v>-533.500567236</v>
      </c>
      <c r="I17" s="4" t="n">
        <f aca="false">-I6*Assumptions!I18/100</f>
        <v>-544.17057858072</v>
      </c>
      <c r="J17" s="4" t="n">
        <f aca="false">-J6*Assumptions!J18/100</f>
        <v>-555.053990152335</v>
      </c>
      <c r="K17" s="4" t="n">
        <f aca="false">-K6*Assumptions!K18/100</f>
        <v>-566.155069955381</v>
      </c>
      <c r="L17" s="4" t="n">
        <f aca="false">-L6*Assumptions!L18/100</f>
        <v>-577.478171354489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-76.2</v>
      </c>
      <c r="D18" s="4" t="n">
        <f aca="false">(D6-C6)*Assumptions!$B$23/100</f>
        <v>-0</v>
      </c>
      <c r="E18" s="4" t="n">
        <f aca="false">(E6-D6)*Assumptions!$B$23/100</f>
        <v>-29.7179999999997</v>
      </c>
      <c r="F18" s="4" t="n">
        <f aca="false">(F6-E6)*Assumptions!$B$23/100</f>
        <v>-40.2183600000002</v>
      </c>
      <c r="G18" s="4" t="n">
        <f aca="false">(G6-F6)*Assumptions!$B$23/100</f>
        <v>-41.0227272000002</v>
      </c>
      <c r="H18" s="4" t="n">
        <f aca="false">(H6-G6)*Assumptions!$B$23/100</f>
        <v>-41.843181744</v>
      </c>
      <c r="I18" s="4" t="n">
        <f aca="false">(I6-H6)*Assumptions!$B$23/100</f>
        <v>-42.68004537888</v>
      </c>
      <c r="J18" s="4" t="n">
        <f aca="false">(J6-I6)*Assumptions!$B$23/100</f>
        <v>-43.5336462864578</v>
      </c>
      <c r="K18" s="4" t="n">
        <f aca="false">(K6-J6)*Assumptions!$B$23/100</f>
        <v>-44.4043192121867</v>
      </c>
      <c r="L18" s="4" t="n">
        <f aca="false">(L6-K6)*Assumptions!$B$23/100</f>
        <v>-45.2924055964306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1435.52164</v>
      </c>
      <c r="D19" s="0" t="n">
        <f aca="false">D15+D16+D17+D18</f>
        <v>1454.43194</v>
      </c>
      <c r="E19" s="0" t="n">
        <f aca="false">E15+E16+E17+E18</f>
        <v>1513.5610191</v>
      </c>
      <c r="F19" s="0" t="n">
        <f aca="false">F15+F16+F17+F18</f>
        <v>1590.503417412</v>
      </c>
      <c r="G19" s="0" t="n">
        <f aca="false">G15+G16+G17+G18</f>
        <v>1666.59751977264</v>
      </c>
      <c r="H19" s="0" t="n">
        <f aca="false">H15+H16+H17+H18</f>
        <v>1713.62265139382</v>
      </c>
      <c r="I19" s="0" t="n">
        <f aca="false">I15+I16+I17+I18</f>
        <v>1747.89510442169</v>
      </c>
      <c r="J19" s="0" t="n">
        <f aca="false">J15+J16+J17+J18</f>
        <v>1782.85300651013</v>
      </c>
      <c r="K19" s="0" t="n">
        <f aca="false">K15+K16+K17+K18</f>
        <v>1818.51006664033</v>
      </c>
      <c r="L19" s="0" t="n">
        <f aca="false">L15+L16+L17+L18</f>
        <v>1854.88026797314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1323.06141935484</v>
      </c>
      <c r="D21" s="0" t="n">
        <f aca="false">D19*D20</f>
        <v>1235.47490071991</v>
      </c>
      <c r="E21" s="0" t="n">
        <f aca="false">E19*E20</f>
        <v>1184.97917932246</v>
      </c>
      <c r="F21" s="0" t="n">
        <f aca="false">F19*F20</f>
        <v>1147.6663650448</v>
      </c>
      <c r="G21" s="0" t="n">
        <f aca="false">G19*G20</f>
        <v>1108.36305298865</v>
      </c>
      <c r="H21" s="0" t="n">
        <f aca="false">H19*H20</f>
        <v>1050.35659129295</v>
      </c>
      <c r="I21" s="0" t="n">
        <f aca="false">I19*I20</f>
        <v>987.432002874481</v>
      </c>
      <c r="J21" s="0" t="n">
        <f aca="false">J19*J20</f>
        <v>928.277090259881</v>
      </c>
      <c r="K21" s="0" t="n">
        <f aca="false">K19*K20</f>
        <v>872.666020336478</v>
      </c>
      <c r="L21" s="0" t="n">
        <f aca="false">L19*L20</f>
        <v>820.386489164246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10658.6631113587</v>
      </c>
    </row>
    <row r="31" customFormat="false" ht="15" hidden="false" customHeight="false" outlineLevel="0" collapsed="false">
      <c r="A31" s="0" t="s">
        <v>137</v>
      </c>
      <c r="B31" s="0" t="n">
        <f aca="false">L19</f>
        <v>1854.88026797314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29107.3518974246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22258.5632156776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22258.5632156776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9844.63786997096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20503.3009813297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14964.3009813297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66.8347520380958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-0.361471748943386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435.631988150008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507.676835566784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71.0478329836822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14553.6759487123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27.2257258554591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15875</v>
      </c>
      <c r="C6" s="0" t="n">
        <f aca="false">B6*(1+C5/100)</f>
        <v>16748.125</v>
      </c>
      <c r="D6" s="0" t="n">
        <f aca="false">C6*(1+D5/100)</f>
        <v>17334.309375</v>
      </c>
      <c r="E6" s="0" t="n">
        <f aca="false">D6*(1+E5/100)</f>
        <v>17941.010203125</v>
      </c>
      <c r="F6" s="0" t="n">
        <f aca="false">E6*(1+F5/100)</f>
        <v>18568.9455602344</v>
      </c>
      <c r="G6" s="0" t="n">
        <f aca="false">F6*(1+G5/100)</f>
        <v>19126.0139270414</v>
      </c>
      <c r="H6" s="0" t="n">
        <f aca="false">G6*(1+H5/100)</f>
        <v>19699.7943448526</v>
      </c>
      <c r="I6" s="0" t="n">
        <f aca="false">H6*(1+I5/100)</f>
        <v>20290.7881751982</v>
      </c>
      <c r="J6" s="0" t="n">
        <f aca="false">I6*(1+J5/100)</f>
        <v>20848.7848500162</v>
      </c>
      <c r="K6" s="0" t="n">
        <f aca="false">J6*(1+K5/100)</f>
        <v>21370.0044712666</v>
      </c>
      <c r="L6" s="0" t="n">
        <f aca="false">K6*(1+L5/100)</f>
        <v>21904.2545830482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17.3</v>
      </c>
      <c r="D7" s="4" t="n">
        <f aca="false">Assumptions!D28</f>
        <v>17.8</v>
      </c>
      <c r="E7" s="4" t="n">
        <f aca="false">Assumptions!E28</f>
        <v>18.2</v>
      </c>
      <c r="F7" s="4" t="n">
        <f aca="false">Assumptions!F28</f>
        <v>18.5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2897.425625</v>
      </c>
      <c r="D8" s="0" t="n">
        <f aca="false">D6*D7/100</f>
        <v>3085.50706875</v>
      </c>
      <c r="E8" s="0" t="n">
        <f aca="false">E6*E7/100</f>
        <v>3265.26385696875</v>
      </c>
      <c r="F8" s="0" t="n">
        <f aca="false">F6*F7/100</f>
        <v>3435.25492864336</v>
      </c>
      <c r="G8" s="0" t="n">
        <f aca="false">G6*G7/100</f>
        <v>3538.31257650266</v>
      </c>
      <c r="H8" s="0" t="n">
        <f aca="false">H6*H7/100</f>
        <v>3644.46195379774</v>
      </c>
      <c r="I8" s="0" t="n">
        <f aca="false">I6*I7/100</f>
        <v>3753.79581241167</v>
      </c>
      <c r="J8" s="0" t="n">
        <f aca="false">J6*J7/100</f>
        <v>3857.02519725299</v>
      </c>
      <c r="K8" s="0" t="n">
        <f aca="false">K6*K7/100</f>
        <v>3953.45082718432</v>
      </c>
      <c r="L8" s="0" t="n">
        <f aca="false">L6*L7/100</f>
        <v>4052.28709786392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0.38</v>
      </c>
      <c r="D9" s="4" t="n">
        <f aca="false">Assumptions!D29</f>
        <v>0.38</v>
      </c>
      <c r="E9" s="4" t="n">
        <f aca="false">Assumptions!E29</f>
        <v>0.38</v>
      </c>
      <c r="F9" s="4" t="n">
        <f aca="false">Assumptions!F29</f>
        <v>0.38</v>
      </c>
      <c r="G9" s="4" t="n">
        <f aca="false">Assumptions!G29</f>
        <v>0.38</v>
      </c>
      <c r="H9" s="4" t="n">
        <f aca="false">Assumptions!H29</f>
        <v>0.38</v>
      </c>
      <c r="I9" s="4" t="n">
        <f aca="false">Assumptions!I29</f>
        <v>0.38</v>
      </c>
      <c r="J9" s="4" t="n">
        <f aca="false">Assumptions!J29</f>
        <v>0.38</v>
      </c>
      <c r="K9" s="4" t="n">
        <f aca="false">Assumptions!K29</f>
        <v>0.38</v>
      </c>
      <c r="L9" s="4" t="n">
        <f aca="false">Assumptions!L29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-63.642875</v>
      </c>
      <c r="D10" s="0" t="n">
        <f aca="false">-D6*D9/100</f>
        <v>-65.870375625</v>
      </c>
      <c r="E10" s="0" t="n">
        <f aca="false">-E6*E9/100</f>
        <v>-68.175838771875</v>
      </c>
      <c r="F10" s="0" t="n">
        <f aca="false">-F6*F9/100</f>
        <v>-70.5619931288906</v>
      </c>
      <c r="G10" s="0" t="n">
        <f aca="false">-G6*G9/100</f>
        <v>-72.6788529227573</v>
      </c>
      <c r="H10" s="0" t="n">
        <f aca="false">-H6*H9/100</f>
        <v>-74.85921851044</v>
      </c>
      <c r="I10" s="0" t="n">
        <f aca="false">-I6*I9/100</f>
        <v>-77.1049950657532</v>
      </c>
      <c r="J10" s="0" t="n">
        <f aca="false">-J6*J9/100</f>
        <v>-79.2253824300615</v>
      </c>
      <c r="K10" s="0" t="n">
        <f aca="false">-K6*K9/100</f>
        <v>-81.206016990813</v>
      </c>
      <c r="L10" s="0" t="n">
        <f aca="false">-L6*L9/100</f>
        <v>-83.2361674155833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2833.78275</v>
      </c>
      <c r="D11" s="0" t="n">
        <f aca="false">D8+D10+D24</f>
        <v>3019.636693125</v>
      </c>
      <c r="E11" s="0" t="n">
        <f aca="false">E8+E10+E24</f>
        <v>3197.08801819687</v>
      </c>
      <c r="F11" s="0" t="n">
        <f aca="false">F8+F10+F24</f>
        <v>3364.69293551447</v>
      </c>
      <c r="G11" s="0" t="n">
        <f aca="false">G8+G10+G24</f>
        <v>3465.6337235799</v>
      </c>
      <c r="H11" s="0" t="n">
        <f aca="false">H8+H10+H24</f>
        <v>3569.6027352873</v>
      </c>
      <c r="I11" s="0" t="n">
        <f aca="false">I8+I10+I24</f>
        <v>3676.69081734592</v>
      </c>
      <c r="J11" s="0" t="n">
        <f aca="false">J8+J10+J24</f>
        <v>3777.79981482293</v>
      </c>
      <c r="K11" s="0" t="n">
        <f aca="false">K8+K10+K24</f>
        <v>3872.2448101935</v>
      </c>
      <c r="L11" s="0" t="n">
        <f aca="false">L8+L10+L24</f>
        <v>3969.05093044834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-535.94</v>
      </c>
      <c r="D12" s="4" t="n">
        <f aca="false">-D6*Assumptions!D31/100</f>
        <v>-554.6979</v>
      </c>
      <c r="E12" s="4" t="n">
        <f aca="false">-E6*Assumptions!E31/100</f>
        <v>-556.171316296875</v>
      </c>
      <c r="F12" s="4" t="n">
        <f aca="false">-F6*Assumptions!F31/100</f>
        <v>-575.637312367266</v>
      </c>
      <c r="G12" s="4" t="n">
        <f aca="false">-G6*Assumptions!G31/100</f>
        <v>-573.780417811242</v>
      </c>
      <c r="H12" s="4" t="n">
        <f aca="false">-H6*Assumptions!H31/100</f>
        <v>-590.993830345579</v>
      </c>
      <c r="I12" s="4" t="n">
        <f aca="false">-I6*Assumptions!I31/100</f>
        <v>-608.723645255947</v>
      </c>
      <c r="J12" s="4" t="n">
        <f aca="false">-J6*Assumptions!J31/100</f>
        <v>-625.463545500485</v>
      </c>
      <c r="K12" s="4" t="n">
        <f aca="false">-K6*Assumptions!K31/100</f>
        <v>-641.100134137997</v>
      </c>
      <c r="L12" s="4" t="n">
        <f aca="false">-L6*Assumptions!L31/100</f>
        <v>-657.127637491447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2297.84275</v>
      </c>
      <c r="D13" s="0" t="n">
        <f aca="false">D11+D12</f>
        <v>2464.938793125</v>
      </c>
      <c r="E13" s="0" t="n">
        <f aca="false">E11+E12</f>
        <v>2640.9167019</v>
      </c>
      <c r="F13" s="0" t="n">
        <f aca="false">F11+F12</f>
        <v>2789.0556231472</v>
      </c>
      <c r="G13" s="0" t="n">
        <f aca="false">G11+G12</f>
        <v>2891.85330576866</v>
      </c>
      <c r="H13" s="0" t="n">
        <f aca="false">H11+H12</f>
        <v>2978.60890494172</v>
      </c>
      <c r="I13" s="0" t="n">
        <f aca="false">I11+I12</f>
        <v>3067.96717208997</v>
      </c>
      <c r="J13" s="0" t="n">
        <f aca="false">J11+J12</f>
        <v>3152.33626932245</v>
      </c>
      <c r="K13" s="0" t="n">
        <f aca="false">K11+K12</f>
        <v>3231.14467605551</v>
      </c>
      <c r="L13" s="0" t="n">
        <f aca="false">L11+L12</f>
        <v>3311.92329295689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1769.3389175</v>
      </c>
      <c r="D15" s="0" t="n">
        <f aca="false">D13-MAX(0,D13)*D14/100</f>
        <v>1898.00287070625</v>
      </c>
      <c r="E15" s="0" t="n">
        <f aca="false">E13-MAX(0,E13)*E14/100</f>
        <v>2033.505860463</v>
      </c>
      <c r="F15" s="0" t="n">
        <f aca="false">F13-MAX(0,F13)*F14/100</f>
        <v>2147.57282982335</v>
      </c>
      <c r="G15" s="0" t="n">
        <f aca="false">G13-MAX(0,G13)*G14/100</f>
        <v>2226.72704544187</v>
      </c>
      <c r="H15" s="0" t="n">
        <f aca="false">H13-MAX(0,H13)*H14/100</f>
        <v>2293.52885680512</v>
      </c>
      <c r="I15" s="0" t="n">
        <f aca="false">I13-MAX(0,I13)*I14/100</f>
        <v>2362.33472250928</v>
      </c>
      <c r="J15" s="0" t="n">
        <f aca="false">J13-MAX(0,J13)*J14/100</f>
        <v>2427.29892737828</v>
      </c>
      <c r="K15" s="0" t="n">
        <f aca="false">K13-MAX(0,K13)*K14/100</f>
        <v>2487.98140056274</v>
      </c>
      <c r="L15" s="0" t="n">
        <f aca="false">L13-MAX(0,L13)*L14/100</f>
        <v>2550.18093557681</v>
      </c>
    </row>
    <row r="16" customFormat="false" ht="15" hidden="false" customHeight="false" outlineLevel="0" collapsed="false">
      <c r="A16" s="0" t="s">
        <v>128</v>
      </c>
      <c r="C16" s="0" t="n">
        <f aca="false">-C12</f>
        <v>535.94</v>
      </c>
      <c r="D16" s="0" t="n">
        <f aca="false">-D12</f>
        <v>554.6979</v>
      </c>
      <c r="E16" s="0" t="n">
        <f aca="false">-E12</f>
        <v>556.171316296875</v>
      </c>
      <c r="F16" s="0" t="n">
        <f aca="false">-F12</f>
        <v>575.637312367266</v>
      </c>
      <c r="G16" s="0" t="n">
        <f aca="false">-G12</f>
        <v>573.780417811242</v>
      </c>
      <c r="H16" s="0" t="n">
        <f aca="false">-H12</f>
        <v>590.993830345579</v>
      </c>
      <c r="I16" s="0" t="n">
        <f aca="false">-I12</f>
        <v>608.723645255947</v>
      </c>
      <c r="J16" s="0" t="n">
        <f aca="false">-J12</f>
        <v>625.463545500485</v>
      </c>
      <c r="K16" s="0" t="n">
        <f aca="false">-K12</f>
        <v>641.100134137997</v>
      </c>
      <c r="L16" s="0" t="n">
        <f aca="false">-L12</f>
        <v>657.127637491447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-720.169375</v>
      </c>
      <c r="D17" s="4" t="n">
        <f aca="false">-D6*Assumptions!D32/100</f>
        <v>-693.372375</v>
      </c>
      <c r="E17" s="4" t="n">
        <f aca="false">-E6*Assumptions!E32/100</f>
        <v>-645.8763673125</v>
      </c>
      <c r="F17" s="4" t="n">
        <f aca="false">-F6*Assumptions!F32/100</f>
        <v>-631.344149047969</v>
      </c>
      <c r="G17" s="4" t="n">
        <f aca="false">-G6*Assumptions!G32/100</f>
        <v>-631.158459592366</v>
      </c>
      <c r="H17" s="4" t="n">
        <f aca="false">-H6*Assumptions!H32/100</f>
        <v>-630.393419035285</v>
      </c>
      <c r="I17" s="4" t="n">
        <f aca="false">-I6*Assumptions!I32/100</f>
        <v>-649.305221606343</v>
      </c>
      <c r="J17" s="4" t="n">
        <f aca="false">-J6*Assumptions!J32/100</f>
        <v>-667.161115200518</v>
      </c>
      <c r="K17" s="4" t="n">
        <f aca="false">-K6*Assumptions!K32/100</f>
        <v>-683.840143080531</v>
      </c>
      <c r="L17" s="4" t="n">
        <f aca="false">-L6*Assumptions!L32/100</f>
        <v>-700.936146657544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-104.775</v>
      </c>
      <c r="D18" s="4" t="n">
        <f aca="false">(D6-C6)*Assumptions!$B$37/100</f>
        <v>-70.3421249999997</v>
      </c>
      <c r="E18" s="4" t="n">
        <f aca="false">(E6-D6)*Assumptions!$B$37/100</f>
        <v>-72.8040993749998</v>
      </c>
      <c r="F18" s="4" t="n">
        <f aca="false">(F6-E6)*Assumptions!$B$37/100</f>
        <v>-75.3522428531249</v>
      </c>
      <c r="G18" s="4" t="n">
        <f aca="false">(G6-F6)*Assumptions!$B$37/100</f>
        <v>-66.8482040168437</v>
      </c>
      <c r="H18" s="4" t="n">
        <f aca="false">(H6-G6)*Assumptions!$B$37/100</f>
        <v>-68.853650137349</v>
      </c>
      <c r="I18" s="4" t="n">
        <f aca="false">(I6-H6)*Assumptions!$B$37/100</f>
        <v>-70.9192596414694</v>
      </c>
      <c r="J18" s="4" t="n">
        <f aca="false">(J6-I6)*Assumptions!$B$37/100</f>
        <v>-66.9596009781545</v>
      </c>
      <c r="K18" s="4" t="n">
        <f aca="false">(K6-J6)*Assumptions!$B$37/100</f>
        <v>-62.5463545500483</v>
      </c>
      <c r="L18" s="4" t="n">
        <f aca="false">(L6-K6)*Assumptions!$B$37/100</f>
        <v>-64.1100134137993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1480.3345425</v>
      </c>
      <c r="D19" s="0" t="n">
        <f aca="false">D15+D16+D17+D18</f>
        <v>1688.98627070625</v>
      </c>
      <c r="E19" s="0" t="n">
        <f aca="false">E15+E16+E17+E18</f>
        <v>1870.99671007237</v>
      </c>
      <c r="F19" s="0" t="n">
        <f aca="false">F15+F16+F17+F18</f>
        <v>2016.51375028952</v>
      </c>
      <c r="G19" s="0" t="n">
        <f aca="false">G15+G16+G17+G18</f>
        <v>2102.5007996439</v>
      </c>
      <c r="H19" s="0" t="n">
        <f aca="false">H15+H16+H17+H18</f>
        <v>2185.27561797807</v>
      </c>
      <c r="I19" s="0" t="n">
        <f aca="false">I15+I16+I17+I18</f>
        <v>2250.83388651741</v>
      </c>
      <c r="J19" s="0" t="n">
        <f aca="false">J15+J16+J17+J18</f>
        <v>2318.6417567001</v>
      </c>
      <c r="K19" s="0" t="n">
        <f aca="false">K15+K16+K17+K18</f>
        <v>2382.69503707016</v>
      </c>
      <c r="L19" s="0" t="n">
        <f aca="false">L15+L16+L17+L18</f>
        <v>2442.26241299691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1364.36363364055</v>
      </c>
      <c r="D21" s="0" t="n">
        <f aca="false">D19*D20</f>
        <v>1434.71831697955</v>
      </c>
      <c r="E21" s="0" t="n">
        <f aca="false">E19*E20</f>
        <v>1464.81847645291</v>
      </c>
      <c r="F21" s="0" t="n">
        <f aca="false">F19*F20</f>
        <v>1455.06446608165</v>
      </c>
      <c r="G21" s="0" t="n">
        <f aca="false">G19*G20</f>
        <v>1398.25853426345</v>
      </c>
      <c r="H21" s="0" t="n">
        <f aca="false">H19*H20</f>
        <v>1339.45396162223</v>
      </c>
      <c r="I21" s="0" t="n">
        <f aca="false">I19*I20</f>
        <v>1271.5553737059</v>
      </c>
      <c r="J21" s="0" t="n">
        <f aca="false">J19*J20</f>
        <v>1207.24592291417</v>
      </c>
      <c r="K21" s="0" t="n">
        <f aca="false">K19*K20</f>
        <v>1143.40692076396</v>
      </c>
      <c r="L21" s="0" t="n">
        <f aca="false">L19*L20</f>
        <v>1080.17704496135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13159.0626513857</v>
      </c>
    </row>
    <row r="31" customFormat="false" ht="15" hidden="false" customHeight="false" outlineLevel="0" collapsed="false">
      <c r="A31" s="0" t="s">
        <v>137</v>
      </c>
      <c r="B31" s="0" t="n">
        <f aca="false">L19</f>
        <v>2442.26241299691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41721.9828886973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36633.9361949537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36633.9361949537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16202.6556744202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29361.718325806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23822.718325806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106.39892061548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0.0165178237840831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473.713570947973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628.908273712813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111.323538054787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20026.5517865747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41.241580764302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15875</v>
      </c>
      <c r="C6" s="0" t="n">
        <f aca="false">B6*(1+C5/100)</f>
        <v>16906.875</v>
      </c>
      <c r="D6" s="0" t="n">
        <f aca="false">C6*(1+D5/100)</f>
        <v>17752.21875</v>
      </c>
      <c r="E6" s="0" t="n">
        <f aca="false">D6*(1+E5/100)</f>
        <v>18639.8296875</v>
      </c>
      <c r="F6" s="0" t="n">
        <f aca="false">E6*(1+F5/100)</f>
        <v>19478.6220234375</v>
      </c>
      <c r="G6" s="0" t="n">
        <f aca="false">F6*(1+G5/100)</f>
        <v>20257.766904375</v>
      </c>
      <c r="H6" s="0" t="n">
        <f aca="false">G6*(1+H5/100)</f>
        <v>21068.07758055</v>
      </c>
      <c r="I6" s="0" t="n">
        <f aca="false">H6*(1+I5/100)</f>
        <v>21805.4602958693</v>
      </c>
      <c r="J6" s="0" t="n">
        <f aca="false">I6*(1+J5/100)</f>
        <v>22568.6514062247</v>
      </c>
      <c r="K6" s="0" t="n">
        <f aca="false">J6*(1+K5/100)</f>
        <v>23245.7109484114</v>
      </c>
      <c r="L6" s="0" t="n">
        <f aca="false">K6*(1+L5/100)</f>
        <v>23943.0822768638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17.6</v>
      </c>
      <c r="D7" s="4" t="n">
        <f aca="false">Assumptions!D42</f>
        <v>18.4</v>
      </c>
      <c r="E7" s="4" t="n">
        <f aca="false">Assumptions!E42</f>
        <v>19.2</v>
      </c>
      <c r="F7" s="4" t="n">
        <f aca="false">Assumptions!F42</f>
        <v>19.8</v>
      </c>
      <c r="G7" s="4" t="n">
        <f aca="false">Assumptions!G42</f>
        <v>20</v>
      </c>
      <c r="H7" s="4" t="n">
        <f aca="false">Assumptions!H42</f>
        <v>20</v>
      </c>
      <c r="I7" s="4" t="n">
        <f aca="false">Assumptions!I42</f>
        <v>20</v>
      </c>
      <c r="J7" s="4" t="n">
        <f aca="false">Assumptions!J42</f>
        <v>20</v>
      </c>
      <c r="K7" s="4" t="n">
        <f aca="false">Assumptions!K42</f>
        <v>20</v>
      </c>
      <c r="L7" s="4" t="n">
        <f aca="false">Assumptions!L42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2975.61</v>
      </c>
      <c r="D8" s="0" t="n">
        <f aca="false">D6*D7/100</f>
        <v>3266.40825</v>
      </c>
      <c r="E8" s="0" t="n">
        <f aca="false">E6*E7/100</f>
        <v>3578.8473</v>
      </c>
      <c r="F8" s="0" t="n">
        <f aca="false">F6*F7/100</f>
        <v>3856.76716064062</v>
      </c>
      <c r="G8" s="0" t="n">
        <f aca="false">G6*G7/100</f>
        <v>4051.553380875</v>
      </c>
      <c r="H8" s="0" t="n">
        <f aca="false">H6*H7/100</f>
        <v>4213.61551611</v>
      </c>
      <c r="I8" s="0" t="n">
        <f aca="false">I6*I7/100</f>
        <v>4361.09205917385</v>
      </c>
      <c r="J8" s="0" t="n">
        <f aca="false">J6*J7/100</f>
        <v>4513.73028124493</v>
      </c>
      <c r="K8" s="0" t="n">
        <f aca="false">K6*K7/100</f>
        <v>4649.14218968228</v>
      </c>
      <c r="L8" s="0" t="n">
        <f aca="false">L6*L7/100</f>
        <v>4788.61645537275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0.38</v>
      </c>
      <c r="D9" s="4" t="n">
        <f aca="false">Assumptions!D43</f>
        <v>0.38</v>
      </c>
      <c r="E9" s="4" t="n">
        <f aca="false">Assumptions!E43</f>
        <v>0.38</v>
      </c>
      <c r="F9" s="4" t="n">
        <f aca="false">Assumptions!F43</f>
        <v>0.38</v>
      </c>
      <c r="G9" s="4" t="n">
        <f aca="false">Assumptions!G43</f>
        <v>0.38</v>
      </c>
      <c r="H9" s="4" t="n">
        <f aca="false">Assumptions!H43</f>
        <v>0.38</v>
      </c>
      <c r="I9" s="4" t="n">
        <f aca="false">Assumptions!I43</f>
        <v>0.38</v>
      </c>
      <c r="J9" s="4" t="n">
        <f aca="false">Assumptions!J43</f>
        <v>0.38</v>
      </c>
      <c r="K9" s="4" t="n">
        <f aca="false">Assumptions!K43</f>
        <v>0.38</v>
      </c>
      <c r="L9" s="4" t="n">
        <f aca="false">Assumptions!L43</f>
        <v>0.38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-64.246125</v>
      </c>
      <c r="D10" s="0" t="n">
        <f aca="false">-D6*D9/100</f>
        <v>-67.45843125</v>
      </c>
      <c r="E10" s="0" t="n">
        <f aca="false">-E6*E9/100</f>
        <v>-70.8313528125</v>
      </c>
      <c r="F10" s="0" t="n">
        <f aca="false">-F6*F9/100</f>
        <v>-74.0187636890625</v>
      </c>
      <c r="G10" s="0" t="n">
        <f aca="false">-G6*G9/100</f>
        <v>-76.979514236625</v>
      </c>
      <c r="H10" s="0" t="n">
        <f aca="false">-H6*H9/100</f>
        <v>-80.05869480609</v>
      </c>
      <c r="I10" s="0" t="n">
        <f aca="false">-I6*I9/100</f>
        <v>-82.8607491243031</v>
      </c>
      <c r="J10" s="0" t="n">
        <f aca="false">-J6*J9/100</f>
        <v>-85.7608753436538</v>
      </c>
      <c r="K10" s="0" t="n">
        <f aca="false">-K6*K9/100</f>
        <v>-88.3337016039634</v>
      </c>
      <c r="L10" s="0" t="n">
        <f aca="false">-L6*L9/100</f>
        <v>-90.9837126520823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2911.363875</v>
      </c>
      <c r="D11" s="0" t="n">
        <f aca="false">D8+D10+D24</f>
        <v>3198.94981875</v>
      </c>
      <c r="E11" s="0" t="n">
        <f aca="false">E8+E10+E24</f>
        <v>3508.0159471875</v>
      </c>
      <c r="F11" s="0" t="n">
        <f aca="false">F8+F10+F24</f>
        <v>3782.74839695156</v>
      </c>
      <c r="G11" s="0" t="n">
        <f aca="false">G8+G10+G24</f>
        <v>3974.57386663837</v>
      </c>
      <c r="H11" s="0" t="n">
        <f aca="false">H8+H10+H24</f>
        <v>4133.55682130391</v>
      </c>
      <c r="I11" s="0" t="n">
        <f aca="false">I8+I10+I24</f>
        <v>4278.23131004955</v>
      </c>
      <c r="J11" s="0" t="n">
        <f aca="false">J8+J10+J24</f>
        <v>4427.96940590128</v>
      </c>
      <c r="K11" s="0" t="n">
        <f aca="false">K8+K10+K24</f>
        <v>4560.80848807832</v>
      </c>
      <c r="L11" s="0" t="n">
        <f aca="false">L8+L10+L24</f>
        <v>4697.63274272067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-541.02</v>
      </c>
      <c r="D12" s="4" t="n">
        <f aca="false">-D6*Assumptions!D45/100</f>
        <v>-568.071</v>
      </c>
      <c r="E12" s="4" t="n">
        <f aca="false">-E6*Assumptions!E45/100</f>
        <v>-577.8347203125</v>
      </c>
      <c r="F12" s="4" t="n">
        <f aca="false">-F6*Assumptions!F45/100</f>
        <v>-603.837282726563</v>
      </c>
      <c r="G12" s="4" t="n">
        <f aca="false">-G6*Assumptions!G45/100</f>
        <v>-607.73300713125</v>
      </c>
      <c r="H12" s="4" t="n">
        <f aca="false">-H6*Assumptions!H45/100</f>
        <v>-632.0423274165</v>
      </c>
      <c r="I12" s="4" t="n">
        <f aca="false">-I6*Assumptions!I45/100</f>
        <v>-654.163808876078</v>
      </c>
      <c r="J12" s="4" t="n">
        <f aca="false">-J6*Assumptions!J45/100</f>
        <v>-677.05954218674</v>
      </c>
      <c r="K12" s="4" t="n">
        <f aca="false">-K6*Assumptions!K45/100</f>
        <v>-697.371328452342</v>
      </c>
      <c r="L12" s="4" t="n">
        <f aca="false">-L6*Assumptions!L45/100</f>
        <v>-718.292468305913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2370.343875</v>
      </c>
      <c r="D13" s="0" t="n">
        <f aca="false">D11+D12</f>
        <v>2630.87881875</v>
      </c>
      <c r="E13" s="0" t="n">
        <f aca="false">E11+E12</f>
        <v>2930.181226875</v>
      </c>
      <c r="F13" s="0" t="n">
        <f aca="false">F11+F12</f>
        <v>3178.911114225</v>
      </c>
      <c r="G13" s="0" t="n">
        <f aca="false">G11+G12</f>
        <v>3366.84085950712</v>
      </c>
      <c r="H13" s="0" t="n">
        <f aca="false">H11+H12</f>
        <v>3501.51449388741</v>
      </c>
      <c r="I13" s="0" t="n">
        <f aca="false">I11+I12</f>
        <v>3624.06750117347</v>
      </c>
      <c r="J13" s="0" t="n">
        <f aca="false">J11+J12</f>
        <v>3750.90986371454</v>
      </c>
      <c r="K13" s="0" t="n">
        <f aca="false">K11+K12</f>
        <v>3863.43715962598</v>
      </c>
      <c r="L13" s="0" t="n">
        <f aca="false">L11+L12</f>
        <v>3979.34027441476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1825.16478375</v>
      </c>
      <c r="D15" s="0" t="n">
        <f aca="false">D13-MAX(0,D13)*D14/100</f>
        <v>2025.7766904375</v>
      </c>
      <c r="E15" s="0" t="n">
        <f aca="false">E13-MAX(0,E13)*E14/100</f>
        <v>2256.23954469375</v>
      </c>
      <c r="F15" s="0" t="n">
        <f aca="false">F13-MAX(0,F13)*F14/100</f>
        <v>2447.76155795325</v>
      </c>
      <c r="G15" s="0" t="n">
        <f aca="false">G13-MAX(0,G13)*G14/100</f>
        <v>2592.46746182049</v>
      </c>
      <c r="H15" s="0" t="n">
        <f aca="false">H13-MAX(0,H13)*H14/100</f>
        <v>2696.16616029331</v>
      </c>
      <c r="I15" s="0" t="n">
        <f aca="false">I13-MAX(0,I13)*I14/100</f>
        <v>2790.53197590357</v>
      </c>
      <c r="J15" s="0" t="n">
        <f aca="false">J13-MAX(0,J13)*J14/100</f>
        <v>2888.2005950602</v>
      </c>
      <c r="K15" s="0" t="n">
        <f aca="false">K13-MAX(0,K13)*K14/100</f>
        <v>2974.846612912</v>
      </c>
      <c r="L15" s="0" t="n">
        <f aca="false">L13-MAX(0,L13)*L14/100</f>
        <v>3064.09201129936</v>
      </c>
    </row>
    <row r="16" customFormat="false" ht="15" hidden="false" customHeight="false" outlineLevel="0" collapsed="false">
      <c r="A16" s="0" t="s">
        <v>128</v>
      </c>
      <c r="C16" s="0" t="n">
        <f aca="false">-C12</f>
        <v>541.02</v>
      </c>
      <c r="D16" s="0" t="n">
        <f aca="false">-D12</f>
        <v>568.071</v>
      </c>
      <c r="E16" s="0" t="n">
        <f aca="false">-E12</f>
        <v>577.8347203125</v>
      </c>
      <c r="F16" s="0" t="n">
        <f aca="false">-F12</f>
        <v>603.837282726563</v>
      </c>
      <c r="G16" s="0" t="n">
        <f aca="false">-G12</f>
        <v>607.73300713125</v>
      </c>
      <c r="H16" s="0" t="n">
        <f aca="false">-H12</f>
        <v>632.0423274165</v>
      </c>
      <c r="I16" s="0" t="n">
        <f aca="false">-I12</f>
        <v>654.163808876078</v>
      </c>
      <c r="J16" s="0" t="n">
        <f aca="false">-J12</f>
        <v>677.05954218674</v>
      </c>
      <c r="K16" s="0" t="n">
        <f aca="false">-K12</f>
        <v>697.371328452342</v>
      </c>
      <c r="L16" s="0" t="n">
        <f aca="false">-L12</f>
        <v>718.292468305913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-726.995625</v>
      </c>
      <c r="D17" s="4" t="n">
        <f aca="false">-D6*Assumptions!D46/100</f>
        <v>-710.08875</v>
      </c>
      <c r="E17" s="4" t="n">
        <f aca="false">-E6*Assumptions!E46/100</f>
        <v>-689.6736984375</v>
      </c>
      <c r="F17" s="4" t="n">
        <f aca="false">-F6*Assumptions!F46/100</f>
        <v>-681.751770820313</v>
      </c>
      <c r="G17" s="4" t="n">
        <f aca="false">-G6*Assumptions!G46/100</f>
        <v>-688.76407474875</v>
      </c>
      <c r="H17" s="4" t="n">
        <f aca="false">-H6*Assumptions!H46/100</f>
        <v>-695.24656015815</v>
      </c>
      <c r="I17" s="4" t="n">
        <f aca="false">-I6*Assumptions!I46/100</f>
        <v>-719.580189763685</v>
      </c>
      <c r="J17" s="4" t="n">
        <f aca="false">-J6*Assumptions!J46/100</f>
        <v>-744.765496405414</v>
      </c>
      <c r="K17" s="4" t="n">
        <f aca="false">-K6*Assumptions!K46/100</f>
        <v>-767.108461297577</v>
      </c>
      <c r="L17" s="4" t="n">
        <f aca="false">-L6*Assumptions!L46/100</f>
        <v>-790.121715136504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-123.825</v>
      </c>
      <c r="D18" s="4" t="n">
        <f aca="false">(D6-C6)*Assumptions!$B$51/100</f>
        <v>-101.44125</v>
      </c>
      <c r="E18" s="4" t="n">
        <f aca="false">(E6-D6)*Assumptions!$B$51/100</f>
        <v>-106.5133125</v>
      </c>
      <c r="F18" s="4" t="n">
        <f aca="false">(F6-E6)*Assumptions!$B$51/100</f>
        <v>-100.6550803125</v>
      </c>
      <c r="G18" s="4" t="n">
        <f aca="false">(G6-F6)*Assumptions!$B$51/100</f>
        <v>-93.4973857125</v>
      </c>
      <c r="H18" s="4" t="n">
        <f aca="false">(H6-G6)*Assumptions!$B$51/100</f>
        <v>-97.2372811410003</v>
      </c>
      <c r="I18" s="4" t="n">
        <f aca="false">(I6-H6)*Assumptions!$B$51/100</f>
        <v>-88.4859258383096</v>
      </c>
      <c r="J18" s="4" t="n">
        <f aca="false">(J6-I6)*Assumptions!$B$51/100</f>
        <v>-91.5829332426508</v>
      </c>
      <c r="K18" s="4" t="n">
        <f aca="false">(K6-J6)*Assumptions!$B$51/100</f>
        <v>-81.2471450624088</v>
      </c>
      <c r="L18" s="4" t="n">
        <f aca="false">(L6-K6)*Assumptions!$B$51/100</f>
        <v>-83.6845594142813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1515.36415875</v>
      </c>
      <c r="D19" s="0" t="n">
        <f aca="false">D15+D16+D17+D18</f>
        <v>1782.3176904375</v>
      </c>
      <c r="E19" s="0" t="n">
        <f aca="false">E15+E16+E17+E18</f>
        <v>2037.88725406875</v>
      </c>
      <c r="F19" s="0" t="n">
        <f aca="false">F15+F16+F17+F18</f>
        <v>2269.191989547</v>
      </c>
      <c r="G19" s="0" t="n">
        <f aca="false">G15+G16+G17+G18</f>
        <v>2417.93900849049</v>
      </c>
      <c r="H19" s="0" t="n">
        <f aca="false">H15+H16+H17+H18</f>
        <v>2535.72464641066</v>
      </c>
      <c r="I19" s="0" t="n">
        <f aca="false">I15+I16+I17+I18</f>
        <v>2636.62966917765</v>
      </c>
      <c r="J19" s="0" t="n">
        <f aca="false">J15+J16+J17+J18</f>
        <v>2728.91170759887</v>
      </c>
      <c r="K19" s="0" t="n">
        <f aca="false">K15+K16+K17+K18</f>
        <v>2823.86233500436</v>
      </c>
      <c r="L19" s="0" t="n">
        <f aca="false">L15+L16+L17+L18</f>
        <v>2908.57820505449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1396.64899423963</v>
      </c>
      <c r="D21" s="0" t="n">
        <f aca="false">D19*D20</f>
        <v>1513.99918489456</v>
      </c>
      <c r="E21" s="0" t="n">
        <f aca="false">E19*E20</f>
        <v>1595.47843489919</v>
      </c>
      <c r="F21" s="0" t="n">
        <f aca="false">F19*F20</f>
        <v>1637.39058572395</v>
      </c>
      <c r="G21" s="0" t="n">
        <f aca="false">G19*G20</f>
        <v>1608.03927138718</v>
      </c>
      <c r="H21" s="0" t="n">
        <f aca="false">H19*H20</f>
        <v>1554.25997310147</v>
      </c>
      <c r="I21" s="0" t="n">
        <f aca="false">I19*I20</f>
        <v>1489.50157734766</v>
      </c>
      <c r="J21" s="0" t="n">
        <f aca="false">J19*J20</f>
        <v>1420.86095166344</v>
      </c>
      <c r="K21" s="0" t="n">
        <f aca="false">K19*K20</f>
        <v>1355.11414045624</v>
      </c>
      <c r="L21" s="0" t="n">
        <f aca="false">L19*L20</f>
        <v>1286.42171858979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14857.7148323031</v>
      </c>
    </row>
    <row r="31" customFormat="false" ht="15" hidden="false" customHeight="false" outlineLevel="0" collapsed="false">
      <c r="A31" s="0" t="s">
        <v>137</v>
      </c>
      <c r="B31" s="0" t="n">
        <f aca="false">L19</f>
        <v>2908.57820505449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51975.0279251041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49445.8294859263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49445.8294859263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21869.1692160265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36726.8840483296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31187.8840483296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139.293809952343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0.330790197309095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499.740478621923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719.085048043508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144.737425524766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24396.4416791305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51.3513124666229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66.8347520380958</v>
      </c>
      <c r="C4" s="0" t="n">
        <f aca="false">B4/Assumptions!$B$2-1</f>
        <v>-0.361471748943386</v>
      </c>
      <c r="D4" s="4" t="n">
        <f aca="false">Assumptions!$B$24</f>
        <v>0.25</v>
      </c>
      <c r="E4" s="4" t="n">
        <f aca="false">DCF_Bear!$B$43</f>
        <v>71.0478329836822</v>
      </c>
      <c r="F4" s="4" t="n">
        <f aca="false">DCF_Bear!$B$47</f>
        <v>27.2257258554591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106.39892061548</v>
      </c>
      <c r="C5" s="0" t="n">
        <f aca="false">B5/Assumptions!$B$2-1</f>
        <v>0.0165178237840831</v>
      </c>
      <c r="D5" s="4" t="n">
        <f aca="false">Assumptions!$B$38</f>
        <v>0.5</v>
      </c>
      <c r="E5" s="4" t="n">
        <f aca="false">DCF_Base!$B$43</f>
        <v>111.323538054787</v>
      </c>
      <c r="F5" s="4" t="n">
        <f aca="false">DCF_Base!$B$47</f>
        <v>41.241580764302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139.293809952343</v>
      </c>
      <c r="C6" s="0" t="n">
        <f aca="false">B6/Assumptions!$B$2-1</f>
        <v>0.330790197309095</v>
      </c>
      <c r="D6" s="4" t="n">
        <f aca="false">Assumptions!$B$52</f>
        <v>0.25</v>
      </c>
      <c r="E6" s="4" t="n">
        <f aca="false">DCF_Bull!$B$43</f>
        <v>144.737425524766</v>
      </c>
      <c r="F6" s="4" t="n">
        <f aca="false">DCF_Bull!$B$47</f>
        <v>51.3513124666229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104.73160080535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109.608083654505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0.000588177826711278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-1.26322202405265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40.2650499626715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106.39892061548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101.749359426852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87.4584283358248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73.8359685376908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63.0951725881115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41.241580764302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127.319606366709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127.319606366709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127.319606366709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127.319606366709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127.319606366709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116.369818877555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116.369818877555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116.369818877555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116.369818877555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116.369818877555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103.986734271216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106.39892061548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106.39892061548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106.39892061548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106.39892061548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87.1301050789032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91.1464399265521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95.7365368952937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97.3084879119861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97.3084879119861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74.0513844959599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76.9539785350023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80.2193968289251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83.9202042287042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88.1496983998803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2026-10-02T07:36:13Z</dcterms:created>
  <dc:creator>openpyxl</dc:creator>
  <dc:description/>
  <dc:language>en-NZ</dc:language>
  <cp:lastModifiedBy/>
  <dcterms:modified xsi:type="dcterms:W3CDTF">2026-10-02T07:36:13Z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