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ensitivity" sheetId="4" state="visible" r:id="rId4"/>
  </sheets>
  <definedNames>
    <definedName name="price">Inputs!$B$5</definedName>
    <definedName name="nav0">Inputs!$B$6</definedName>
    <definedName name="coe">Inputs!$B$23</definedName>
    <definedName name="hurdle">Inputs!$B$24</definedName>
    <definedName name="w_bear">Inputs!$B$27</definedName>
    <definedName name="w_base">Inputs!$B$28</definedName>
    <definedName name="w_bull">Inputs!$B$29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2" fontId="0" fillId="0" borderId="0" pivotButton="0" quotePrefix="0" xfId="0"/>
    <xf numFmtId="164" fontId="2" fillId="3" borderId="0" pivotButton="0" quotePrefix="0" xfId="0"/>
    <xf numFmtId="2" fontId="2" fillId="0" borderId="0" pivotButton="0" quotePrefix="0" xfId="0"/>
    <xf numFmtId="1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>
      <c r="A1" s="1" t="inlineStr">
        <is>
          <t>PLP.NZ — Booster Private Land and Property Fund</t>
        </is>
      </c>
    </row>
    <row r="2">
      <c r="A2" t="inlineStr">
        <is>
          <t>Model: NAV/unit compounding + distributions + exit P/NAV (NOT an FCF DCF)</t>
        </is>
      </c>
    </row>
    <row r="3">
      <c r="A3" t="inlineStr">
        <is>
          <t>Valuation date</t>
        </is>
      </c>
      <c r="B3" t="inlineStr">
        <is>
          <t>2026-08-26</t>
        </is>
      </c>
    </row>
    <row r="4">
      <c r="A4" t="inlineStr"/>
    </row>
    <row r="5">
      <c r="A5" t="inlineStr">
        <is>
          <t>Current price (NZD, Yahoo 2026-08-26T01:31Z)</t>
        </is>
      </c>
      <c r="B5" s="2" t="n">
        <v>1.304</v>
      </c>
    </row>
    <row r="6">
      <c r="A6" t="inlineStr">
        <is>
          <t>NAV per unit — current basis (18-Jun-2026 manager price)</t>
        </is>
      </c>
      <c r="B6" s="2" t="n">
        <v>1.301</v>
      </c>
    </row>
    <row r="7">
      <c r="A7" t="inlineStr">
        <is>
          <t>NAV per unit — 31-Mar-2026 unit price</t>
        </is>
      </c>
      <c r="B7" s="2" t="n">
        <v>1.2859</v>
      </c>
    </row>
    <row r="8">
      <c r="A8" t="inlineStr">
        <is>
          <t>Audited NTA per unit FY2026 (IFRS)</t>
        </is>
      </c>
      <c r="B8" s="2" t="n">
        <v>1.29</v>
      </c>
    </row>
    <row r="9">
      <c r="A9" t="inlineStr">
        <is>
          <t>Units on issue (m)</t>
        </is>
      </c>
      <c r="B9" t="n">
        <v>163.146781</v>
      </c>
    </row>
    <row r="10">
      <c r="A10" t="inlineStr">
        <is>
          <t>Net assets FY2026 (NZ$m, Fund level)</t>
        </is>
      </c>
      <c r="B10" t="n">
        <v>209.798</v>
      </c>
    </row>
    <row r="11">
      <c r="A11" t="inlineStr">
        <is>
          <t>PLPP look-through borrowings (NZ$m)</t>
        </is>
      </c>
      <c r="B11" t="n">
        <v>13.75</v>
      </c>
    </row>
    <row r="12">
      <c r="A12" t="inlineStr">
        <is>
          <t>Look-through gearing (÷ $214.5m assets)</t>
        </is>
      </c>
      <c r="B12" s="3" t="n">
        <v>0.0641025641025641</v>
      </c>
    </row>
    <row r="13">
      <c r="A13" t="inlineStr">
        <is>
          <t>Total fund charges (% NAV p.a., embedded in growth paths)</t>
        </is>
      </c>
      <c r="B13" s="3" t="n">
        <v>0.0125</v>
      </c>
    </row>
    <row r="14">
      <c r="A14" t="inlineStr">
        <is>
          <t>FY2026 distributions (NZ$m / c per unit)</t>
        </is>
      </c>
      <c r="B14" t="n">
        <v>5.294</v>
      </c>
    </row>
    <row r="15">
      <c r="A15" t="inlineStr"/>
    </row>
    <row r="16">
      <c r="A16" s="4" t="inlineStr">
        <is>
          <t>Cost of equity build-up</t>
        </is>
      </c>
    </row>
    <row r="17">
      <c r="A17" t="inlineStr">
        <is>
          <t xml:space="preserve">  NZ risk-free rate</t>
        </is>
      </c>
      <c r="B17" s="3" t="n">
        <v>0.045</v>
      </c>
    </row>
    <row r="18">
      <c r="A18" t="inlineStr">
        <is>
          <t xml:space="preserve">  NZ property equity risk premium</t>
        </is>
      </c>
      <c r="B18" s="3" t="n">
        <v>0.05</v>
      </c>
    </row>
    <row r="19">
      <c r="A19" t="inlineStr">
        <is>
          <t xml:space="preserve">  Illiquidity / ~4.5% free float</t>
        </is>
      </c>
      <c r="B19" s="3" t="n">
        <v>0.02</v>
      </c>
    </row>
    <row r="20">
      <c r="A20" t="inlineStr">
        <is>
          <t xml:space="preserve">  Valuation opacity (Level 2 manager marks)</t>
        </is>
      </c>
      <c r="B20" s="3" t="n">
        <v>0.01</v>
      </c>
    </row>
    <row r="21">
      <c r="A21" t="inlineStr">
        <is>
          <t xml:space="preserve">  Concentration (Rolleston 32.49% of NAV)</t>
        </is>
      </c>
      <c r="B21" s="3" t="n">
        <v>0.01</v>
      </c>
    </row>
    <row r="22">
      <c r="A22" t="inlineStr">
        <is>
          <t xml:space="preserve">  Agricultural / climate / commodity</t>
        </is>
      </c>
      <c r="B22" s="3" t="n">
        <v>0.005</v>
      </c>
    </row>
    <row r="23">
      <c r="A23" t="inlineStr">
        <is>
          <t>Cost of equity (sum)</t>
        </is>
      </c>
      <c r="B23" s="3">
        <f>SUM(B17:B22)</f>
        <v/>
      </c>
    </row>
    <row r="24">
      <c r="A24" t="inlineStr">
        <is>
          <t>Entry hurdle rate</t>
        </is>
      </c>
      <c r="B24" s="3" t="n">
        <v>0.15</v>
      </c>
    </row>
    <row r="25">
      <c r="A25" t="inlineStr"/>
    </row>
    <row r="26">
      <c r="A26" s="4" t="inlineStr">
        <is>
          <t>Scenario weights</t>
        </is>
      </c>
    </row>
    <row r="27">
      <c r="A27" t="inlineStr">
        <is>
          <t xml:space="preserve">  Bear</t>
        </is>
      </c>
      <c r="B27" s="3" t="n">
        <v>0.3</v>
      </c>
    </row>
    <row r="28">
      <c r="A28" t="inlineStr">
        <is>
          <t xml:space="preserve">  Base</t>
        </is>
      </c>
      <c r="B28" s="3" t="n">
        <v>0.5</v>
      </c>
    </row>
    <row r="29">
      <c r="A29" t="inlineStr">
        <is>
          <t xml:space="preserve">  Bull</t>
        </is>
      </c>
      <c r="B29" s="3" t="n">
        <v>0.2</v>
      </c>
    </row>
    <row r="30">
      <c r="A30" t="inlineStr">
        <is>
          <t xml:space="preserve">  Sum (must = 1.0)</t>
        </is>
      </c>
      <c r="B30" s="3">
        <f>SUM(B27:B29)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NAV per unit (manager price, 31 Mar)</t>
        </is>
      </c>
      <c r="B1" t="inlineStr"/>
      <c r="C1" t="inlineStr">
        <is>
          <t>Return after charges &amp; tax</t>
        </is>
      </c>
    </row>
    <row r="2">
      <c r="A2" s="4" t="inlineStr">
        <is>
          <t>FY</t>
        </is>
      </c>
      <c r="B2" t="inlineStr">
        <is>
          <t>NAV/unit</t>
        </is>
      </c>
      <c r="C2" t="inlineStr">
        <is>
          <t>YoY %</t>
        </is>
      </c>
      <c r="D2" t="inlineStr">
        <is>
          <t>Return %</t>
        </is>
      </c>
    </row>
    <row r="3">
      <c r="A3" t="inlineStr">
        <is>
          <t>FY2019</t>
        </is>
      </c>
      <c r="B3" s="2" t="n">
        <v>0.9896</v>
      </c>
    </row>
    <row r="4">
      <c r="A4" t="inlineStr">
        <is>
          <t>FY2020</t>
        </is>
      </c>
      <c r="B4" s="2" t="n">
        <v>1.0404</v>
      </c>
      <c r="C4" s="3">
        <f>B4/B3-1</f>
        <v/>
      </c>
      <c r="D4" s="3" t="n">
        <v>0.0764</v>
      </c>
    </row>
    <row r="5">
      <c r="A5" t="inlineStr">
        <is>
          <t>FY2021</t>
        </is>
      </c>
      <c r="B5" s="2" t="n">
        <v>1.0723</v>
      </c>
      <c r="C5" s="3">
        <f>B5/B4-1</f>
        <v/>
      </c>
      <c r="D5" s="3" t="n">
        <v>0.063</v>
      </c>
    </row>
    <row r="6">
      <c r="A6" t="inlineStr">
        <is>
          <t>FY2022</t>
        </is>
      </c>
      <c r="B6" s="2" t="n">
        <v>1.2028</v>
      </c>
      <c r="C6" s="3">
        <f>B6/B5-1</f>
        <v/>
      </c>
      <c r="D6" s="3" t="n">
        <v>0.14</v>
      </c>
    </row>
    <row r="7">
      <c r="A7" t="inlineStr">
        <is>
          <t>FY2023</t>
        </is>
      </c>
      <c r="B7" s="2" t="n">
        <v>1.4002</v>
      </c>
      <c r="C7" s="3">
        <f>B7/B6-1</f>
        <v/>
      </c>
      <c r="D7" s="3" t="n">
        <v>0.1924</v>
      </c>
    </row>
    <row r="8">
      <c r="A8" t="inlineStr">
        <is>
          <t>FY2024</t>
        </is>
      </c>
      <c r="B8" s="2" t="n">
        <v>1.3416</v>
      </c>
      <c r="C8" s="3">
        <f>B8/B7-1</f>
        <v/>
      </c>
      <c r="D8" s="3" t="n">
        <v>-0.022</v>
      </c>
    </row>
    <row r="9">
      <c r="A9" t="inlineStr">
        <is>
          <t>FY2025</t>
        </is>
      </c>
      <c r="B9" s="2" t="n">
        <v>1.3102</v>
      </c>
      <c r="C9" s="3">
        <f>B9/B8-1</f>
        <v/>
      </c>
      <c r="D9" s="3" t="n">
        <v>-0.005</v>
      </c>
    </row>
    <row r="10">
      <c r="A10" t="inlineStr">
        <is>
          <t>FY2026</t>
        </is>
      </c>
      <c r="B10" s="2" t="n">
        <v>1.2859</v>
      </c>
      <c r="C10" s="3">
        <f>B10/B9-1</f>
        <v/>
      </c>
      <c r="D10" s="3" t="n">
        <v>0.0063</v>
      </c>
    </row>
    <row r="12">
      <c r="A12" t="inlineStr">
        <is>
          <t>7yr NAV/unit CAGR FY19-26</t>
        </is>
      </c>
      <c r="B12" s="3">
        <f>(B10/B3)^(1/7)-1</f>
        <v/>
      </c>
    </row>
    <row r="13">
      <c r="A13" t="inlineStr">
        <is>
          <t>3yr NAV/unit CAGR FY23-26</t>
        </is>
      </c>
      <c r="B13" s="3">
        <f>(B10/B7)^(1/3)-1</f>
        <v/>
      </c>
    </row>
    <row r="14">
      <c r="A14" t="inlineStr">
        <is>
          <t>Since-inception avg return</t>
        </is>
      </c>
      <c r="B14" s="3" t="n">
        <v>0.0614</v>
      </c>
    </row>
    <row r="15">
      <c r="A15" t="inlineStr">
        <is>
          <t>5yr avg return (after tax)</t>
        </is>
      </c>
      <c r="B15" s="3" t="n">
        <v>0.0493</v>
      </c>
    </row>
    <row r="16">
      <c r="A16" t="inlineStr">
        <is>
          <t>Target (after fees, before tax)</t>
        </is>
      </c>
      <c r="B16" s="3" t="n">
        <v>0.065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Scenario engine: NAV_t = NAV_{t-1}×(1+g_t); dist_t = yield×NAV_t; IV = Σ PV(dist) + PV(NAV_5 × exit P/NAV) at CoE</t>
        </is>
      </c>
    </row>
    <row r="3">
      <c r="A3" s="5" t="inlineStr">
        <is>
          <t>Base scenario</t>
        </is>
      </c>
      <c r="B3" s="6" t="n"/>
      <c r="C3" s="6" t="n"/>
      <c r="D3" s="6" t="n"/>
      <c r="E3" s="6" t="n"/>
      <c r="F3" s="6" t="n"/>
      <c r="G3" s="6" t="n"/>
    </row>
    <row r="4">
      <c r="A4" t="inlineStr">
        <is>
          <t>Year</t>
        </is>
      </c>
      <c r="C4" s="4" t="inlineStr">
        <is>
          <t>FY2027</t>
        </is>
      </c>
      <c r="D4" s="4" t="inlineStr">
        <is>
          <t>FY2028</t>
        </is>
      </c>
      <c r="E4" s="4" t="inlineStr">
        <is>
          <t>FY2029</t>
        </is>
      </c>
      <c r="F4" s="4" t="inlineStr">
        <is>
          <t>FY2030</t>
        </is>
      </c>
      <c r="G4" s="4" t="inlineStr">
        <is>
          <t>FY2031</t>
        </is>
      </c>
    </row>
    <row r="5">
      <c r="A5" t="inlineStr">
        <is>
          <t>NAV growth %</t>
        </is>
      </c>
      <c r="C5" s="3" t="n">
        <v>0.005</v>
      </c>
      <c r="D5" s="3" t="n">
        <v>0.01</v>
      </c>
      <c r="E5" s="3" t="n">
        <v>0.015</v>
      </c>
      <c r="F5" s="3" t="n">
        <v>0.02</v>
      </c>
      <c r="G5" s="3" t="n">
        <v>0.02</v>
      </c>
    </row>
    <row r="6">
      <c r="A6" t="inlineStr">
        <is>
          <t>NAV per unit</t>
        </is>
      </c>
      <c r="B6" s="7">
        <f>nav0</f>
        <v/>
      </c>
      <c r="C6" s="2">
        <f>B6*(1+C5)</f>
        <v/>
      </c>
      <c r="D6" s="2">
        <f>C6*(1+D5)</f>
        <v/>
      </c>
      <c r="E6" s="2">
        <f>D6*(1+E5)</f>
        <v/>
      </c>
      <c r="F6" s="2">
        <f>E6*(1+F5)</f>
        <v/>
      </c>
      <c r="G6" s="2">
        <f>F6*(1+G5)</f>
        <v/>
      </c>
    </row>
    <row r="7">
      <c r="A7" t="inlineStr">
        <is>
          <t>Distribution yield on NAV</t>
        </is>
      </c>
      <c r="B7" s="3" t="n">
        <v>0.025</v>
      </c>
    </row>
    <row r="8">
      <c r="A8" t="inlineStr">
        <is>
          <t>Distribution per unit</t>
        </is>
      </c>
      <c r="C8" s="2">
        <f>C6*$B7</f>
        <v/>
      </c>
      <c r="D8" s="2">
        <f>D6*$B7</f>
        <v/>
      </c>
      <c r="E8" s="2">
        <f>E6*$B7</f>
        <v/>
      </c>
      <c r="F8" s="2">
        <f>F6*$B7</f>
        <v/>
      </c>
      <c r="G8" s="2">
        <f>G6*$B7</f>
        <v/>
      </c>
    </row>
    <row r="9">
      <c r="A9" t="inlineStr">
        <is>
          <t>Discount factor @ CoE</t>
        </is>
      </c>
      <c r="C9" s="8">
        <f>1/(1+coe)^1</f>
        <v/>
      </c>
      <c r="D9" s="8">
        <f>1/(1+coe)^2</f>
        <v/>
      </c>
      <c r="E9" s="8">
        <f>1/(1+coe)^3</f>
        <v/>
      </c>
      <c r="F9" s="8">
        <f>1/(1+coe)^4</f>
        <v/>
      </c>
      <c r="G9" s="8">
        <f>1/(1+coe)^5</f>
        <v/>
      </c>
    </row>
    <row r="10">
      <c r="A10" t="inlineStr">
        <is>
          <t>PV of distribution</t>
        </is>
      </c>
      <c r="C10" s="2">
        <f>C8*C9</f>
        <v/>
      </c>
      <c r="D10" s="2">
        <f>D8*D9</f>
        <v/>
      </c>
      <c r="E10" s="2">
        <f>E8*E9</f>
        <v/>
      </c>
      <c r="F10" s="2">
        <f>F8*F9</f>
        <v/>
      </c>
      <c r="G10" s="2">
        <f>G8*G9</f>
        <v/>
      </c>
    </row>
    <row r="11">
      <c r="A11" t="inlineStr">
        <is>
          <t>Exit P/NAV</t>
        </is>
      </c>
      <c r="B11" s="9" t="n">
        <v>1</v>
      </c>
    </row>
    <row r="12">
      <c r="A12" t="inlineStr">
        <is>
          <t>Year-5 exit value</t>
        </is>
      </c>
      <c r="B12" s="2">
        <f>G6*B11</f>
        <v/>
      </c>
    </row>
    <row r="13">
      <c r="A13" t="inlineStr">
        <is>
          <t>PV of exit value</t>
        </is>
      </c>
      <c r="B13" s="2">
        <f>B12*G9</f>
        <v/>
      </c>
    </row>
    <row r="14">
      <c r="A14" t="inlineStr">
        <is>
          <t>Sum PV distributions</t>
        </is>
      </c>
      <c r="B14" s="2">
        <f>SUM(C10:G10)</f>
        <v/>
      </c>
    </row>
    <row r="15">
      <c r="A15" s="4" t="inlineStr">
        <is>
          <t>Intrinsic value / unit</t>
        </is>
      </c>
      <c r="B15" s="10">
        <f>B14+B13</f>
        <v/>
      </c>
    </row>
    <row r="16">
      <c r="A16" t="inlineStr">
        <is>
          <t>Upside vs price</t>
        </is>
      </c>
      <c r="B16" s="3">
        <f>B15/price-1</f>
        <v/>
      </c>
    </row>
    <row r="17">
      <c r="A17" t="inlineStr">
        <is>
          <t>Terminal % of value</t>
        </is>
      </c>
      <c r="B17" s="3">
        <f>B13/B15</f>
        <v/>
      </c>
    </row>
    <row r="19">
      <c r="A19" s="5" t="inlineStr">
        <is>
          <t>Bull scenario</t>
        </is>
      </c>
      <c r="B19" s="6" t="n"/>
      <c r="C19" s="6" t="n"/>
      <c r="D19" s="6" t="n"/>
      <c r="E19" s="6" t="n"/>
      <c r="F19" s="6" t="n"/>
      <c r="G19" s="6" t="n"/>
    </row>
    <row r="20">
      <c r="A20" t="inlineStr">
        <is>
          <t>Year</t>
        </is>
      </c>
      <c r="C20" s="4" t="inlineStr">
        <is>
          <t>FY2027</t>
        </is>
      </c>
      <c r="D20" s="4" t="inlineStr">
        <is>
          <t>FY2028</t>
        </is>
      </c>
      <c r="E20" s="4" t="inlineStr">
        <is>
          <t>FY2029</t>
        </is>
      </c>
      <c r="F20" s="4" t="inlineStr">
        <is>
          <t>FY2030</t>
        </is>
      </c>
      <c r="G20" s="4" t="inlineStr">
        <is>
          <t>FY2031</t>
        </is>
      </c>
    </row>
    <row r="21">
      <c r="A21" t="inlineStr">
        <is>
          <t>NAV growth %</t>
        </is>
      </c>
      <c r="C21" s="3" t="n">
        <v>0.03</v>
      </c>
      <c r="D21" s="3" t="n">
        <v>0.035</v>
      </c>
      <c r="E21" s="3" t="n">
        <v>0.04</v>
      </c>
      <c r="F21" s="3" t="n">
        <v>0.045</v>
      </c>
      <c r="G21" s="3" t="n">
        <v>0.045</v>
      </c>
    </row>
    <row r="22">
      <c r="A22" t="inlineStr">
        <is>
          <t>NAV per unit</t>
        </is>
      </c>
      <c r="B22" s="7">
        <f>nav0</f>
        <v/>
      </c>
      <c r="C22" s="2">
        <f>B22*(1+C21)</f>
        <v/>
      </c>
      <c r="D22" s="2">
        <f>C22*(1+D21)</f>
        <v/>
      </c>
      <c r="E22" s="2">
        <f>D22*(1+E21)</f>
        <v/>
      </c>
      <c r="F22" s="2">
        <f>E22*(1+F21)</f>
        <v/>
      </c>
      <c r="G22" s="2">
        <f>F22*(1+G21)</f>
        <v/>
      </c>
    </row>
    <row r="23">
      <c r="A23" t="inlineStr">
        <is>
          <t>Distribution yield on NAV</t>
        </is>
      </c>
      <c r="B23" s="3" t="n">
        <v>0.0275</v>
      </c>
    </row>
    <row r="24">
      <c r="A24" t="inlineStr">
        <is>
          <t>Distribution per unit</t>
        </is>
      </c>
      <c r="C24" s="2">
        <f>C22*$B23</f>
        <v/>
      </c>
      <c r="D24" s="2">
        <f>D22*$B23</f>
        <v/>
      </c>
      <c r="E24" s="2">
        <f>E22*$B23</f>
        <v/>
      </c>
      <c r="F24" s="2">
        <f>F22*$B23</f>
        <v/>
      </c>
      <c r="G24" s="2">
        <f>G22*$B23</f>
        <v/>
      </c>
    </row>
    <row r="25">
      <c r="A25" t="inlineStr">
        <is>
          <t>Discount factor @ CoE</t>
        </is>
      </c>
      <c r="C25" s="8">
        <f>1/(1+coe)^1</f>
        <v/>
      </c>
      <c r="D25" s="8">
        <f>1/(1+coe)^2</f>
        <v/>
      </c>
      <c r="E25" s="8">
        <f>1/(1+coe)^3</f>
        <v/>
      </c>
      <c r="F25" s="8">
        <f>1/(1+coe)^4</f>
        <v/>
      </c>
      <c r="G25" s="8">
        <f>1/(1+coe)^5</f>
        <v/>
      </c>
    </row>
    <row r="26">
      <c r="A26" t="inlineStr">
        <is>
          <t>PV of distribution</t>
        </is>
      </c>
      <c r="C26" s="2">
        <f>C24*C25</f>
        <v/>
      </c>
      <c r="D26" s="2">
        <f>D24*D25</f>
        <v/>
      </c>
      <c r="E26" s="2">
        <f>E24*E25</f>
        <v/>
      </c>
      <c r="F26" s="2">
        <f>F24*F25</f>
        <v/>
      </c>
      <c r="G26" s="2">
        <f>G24*G25</f>
        <v/>
      </c>
    </row>
    <row r="27">
      <c r="A27" t="inlineStr">
        <is>
          <t>Exit P/NAV</t>
        </is>
      </c>
      <c r="B27" s="9" t="n">
        <v>1.03</v>
      </c>
    </row>
    <row r="28">
      <c r="A28" t="inlineStr">
        <is>
          <t>Year-5 exit value</t>
        </is>
      </c>
      <c r="B28" s="2">
        <f>G22*B27</f>
        <v/>
      </c>
    </row>
    <row r="29">
      <c r="A29" t="inlineStr">
        <is>
          <t>PV of exit value</t>
        </is>
      </c>
      <c r="B29" s="2">
        <f>B28*G25</f>
        <v/>
      </c>
    </row>
    <row r="30">
      <c r="A30" t="inlineStr">
        <is>
          <t>Sum PV distributions</t>
        </is>
      </c>
      <c r="B30" s="2">
        <f>SUM(C26:G26)</f>
        <v/>
      </c>
    </row>
    <row r="31">
      <c r="A31" s="4" t="inlineStr">
        <is>
          <t>Intrinsic value / unit</t>
        </is>
      </c>
      <c r="B31" s="10">
        <f>B30+B29</f>
        <v/>
      </c>
    </row>
    <row r="32">
      <c r="A32" t="inlineStr">
        <is>
          <t>Upside vs price</t>
        </is>
      </c>
      <c r="B32" s="3">
        <f>B31/price-1</f>
        <v/>
      </c>
    </row>
    <row r="33">
      <c r="A33" t="inlineStr">
        <is>
          <t>Terminal % of value</t>
        </is>
      </c>
      <c r="B33" s="3">
        <f>B29/B31</f>
        <v/>
      </c>
    </row>
    <row r="35">
      <c r="A35" s="5" t="inlineStr">
        <is>
          <t>Bear scenario</t>
        </is>
      </c>
      <c r="B35" s="6" t="n"/>
      <c r="C35" s="6" t="n"/>
      <c r="D35" s="6" t="n"/>
      <c r="E35" s="6" t="n"/>
      <c r="F35" s="6" t="n"/>
      <c r="G35" s="6" t="n"/>
    </row>
    <row r="36">
      <c r="A36" t="inlineStr">
        <is>
          <t>Year</t>
        </is>
      </c>
      <c r="C36" s="4" t="inlineStr">
        <is>
          <t>FY2027</t>
        </is>
      </c>
      <c r="D36" s="4" t="inlineStr">
        <is>
          <t>FY2028</t>
        </is>
      </c>
      <c r="E36" s="4" t="inlineStr">
        <is>
          <t>FY2029</t>
        </is>
      </c>
      <c r="F36" s="4" t="inlineStr">
        <is>
          <t>FY2030</t>
        </is>
      </c>
      <c r="G36" s="4" t="inlineStr">
        <is>
          <t>FY2031</t>
        </is>
      </c>
    </row>
    <row r="37">
      <c r="A37" t="inlineStr">
        <is>
          <t>NAV growth %</t>
        </is>
      </c>
      <c r="C37" s="3" t="n">
        <v>-0.04</v>
      </c>
      <c r="D37" s="3" t="n">
        <v>-0.03</v>
      </c>
      <c r="E37" s="3" t="n">
        <v>-0.02</v>
      </c>
      <c r="F37" s="3" t="n">
        <v>-0.015</v>
      </c>
      <c r="G37" s="3" t="n">
        <v>-0.01</v>
      </c>
    </row>
    <row r="38">
      <c r="A38" t="inlineStr">
        <is>
          <t>NAV per unit</t>
        </is>
      </c>
      <c r="B38" s="7">
        <f>nav0</f>
        <v/>
      </c>
      <c r="C38" s="2">
        <f>B38*(1+C37)</f>
        <v/>
      </c>
      <c r="D38" s="2">
        <f>C38*(1+D37)</f>
        <v/>
      </c>
      <c r="E38" s="2">
        <f>D38*(1+E37)</f>
        <v/>
      </c>
      <c r="F38" s="2">
        <f>E38*(1+F37)</f>
        <v/>
      </c>
      <c r="G38" s="2">
        <f>F38*(1+G37)</f>
        <v/>
      </c>
    </row>
    <row r="39">
      <c r="A39" t="inlineStr">
        <is>
          <t>Distribution yield on NAV</t>
        </is>
      </c>
      <c r="B39" s="3" t="n">
        <v>0.0225</v>
      </c>
    </row>
    <row r="40">
      <c r="A40" t="inlineStr">
        <is>
          <t>Distribution per unit</t>
        </is>
      </c>
      <c r="C40" s="2">
        <f>C38*$B39</f>
        <v/>
      </c>
      <c r="D40" s="2">
        <f>D38*$B39</f>
        <v/>
      </c>
      <c r="E40" s="2">
        <f>E38*$B39</f>
        <v/>
      </c>
      <c r="F40" s="2">
        <f>F38*$B39</f>
        <v/>
      </c>
      <c r="G40" s="2">
        <f>G38*$B39</f>
        <v/>
      </c>
    </row>
    <row r="41">
      <c r="A41" t="inlineStr">
        <is>
          <t>Discount factor @ CoE</t>
        </is>
      </c>
      <c r="C41" s="8">
        <f>1/(1+coe)^1</f>
        <v/>
      </c>
      <c r="D41" s="8">
        <f>1/(1+coe)^2</f>
        <v/>
      </c>
      <c r="E41" s="8">
        <f>1/(1+coe)^3</f>
        <v/>
      </c>
      <c r="F41" s="8">
        <f>1/(1+coe)^4</f>
        <v/>
      </c>
      <c r="G41" s="8">
        <f>1/(1+coe)^5</f>
        <v/>
      </c>
    </row>
    <row r="42">
      <c r="A42" t="inlineStr">
        <is>
          <t>PV of distribution</t>
        </is>
      </c>
      <c r="C42" s="2">
        <f>C40*C41</f>
        <v/>
      </c>
      <c r="D42" s="2">
        <f>D40*D41</f>
        <v/>
      </c>
      <c r="E42" s="2">
        <f>E40*E41</f>
        <v/>
      </c>
      <c r="F42" s="2">
        <f>F40*F41</f>
        <v/>
      </c>
      <c r="G42" s="2">
        <f>G40*G41</f>
        <v/>
      </c>
    </row>
    <row r="43">
      <c r="A43" t="inlineStr">
        <is>
          <t>Exit P/NAV</t>
        </is>
      </c>
      <c r="B43" s="9" t="n">
        <v>0.88</v>
      </c>
    </row>
    <row r="44">
      <c r="A44" t="inlineStr">
        <is>
          <t>Year-5 exit value</t>
        </is>
      </c>
      <c r="B44" s="2">
        <f>G38*B43</f>
        <v/>
      </c>
    </row>
    <row r="45">
      <c r="A45" t="inlineStr">
        <is>
          <t>PV of exit value</t>
        </is>
      </c>
      <c r="B45" s="2">
        <f>B44*G41</f>
        <v/>
      </c>
    </row>
    <row r="46">
      <c r="A46" t="inlineStr">
        <is>
          <t>Sum PV distributions</t>
        </is>
      </c>
      <c r="B46" s="2">
        <f>SUM(C42:G42)</f>
        <v/>
      </c>
    </row>
    <row r="47">
      <c r="A47" s="4" t="inlineStr">
        <is>
          <t>Intrinsic value / unit</t>
        </is>
      </c>
      <c r="B47" s="10">
        <f>B46+B45</f>
        <v/>
      </c>
    </row>
    <row r="48">
      <c r="A48" t="inlineStr">
        <is>
          <t>Upside vs price</t>
        </is>
      </c>
      <c r="B48" s="3">
        <f>B47/price-1</f>
        <v/>
      </c>
    </row>
    <row r="49">
      <c r="A49" t="inlineStr">
        <is>
          <t>Terminal % of value</t>
        </is>
      </c>
      <c r="B49" s="3">
        <f>B45/B47</f>
        <v/>
      </c>
    </row>
    <row r="51">
      <c r="A51" s="4" t="inlineStr">
        <is>
          <t>Probability-weighted</t>
        </is>
      </c>
    </row>
    <row r="52">
      <c r="A52" s="4" t="inlineStr">
        <is>
          <t>Weighted IV (bear 30% / base 50% / bull 20%)</t>
        </is>
      </c>
      <c r="B52" s="10">
        <f>w_bear*Model!$B$47+w_base*Model!$B$15+w_bull*Model!$B$31</f>
        <v/>
      </c>
    </row>
    <row r="53">
      <c r="A53" t="inlineStr">
        <is>
          <t>Weighted upside vs price</t>
        </is>
      </c>
      <c r="B53" s="3">
        <f>B52/price-1</f>
        <v/>
      </c>
    </row>
    <row r="55">
      <c r="A55" s="4" t="inlineStr">
        <is>
          <t>Entry price @ 15% hurdle (base scenario)</t>
        </is>
      </c>
    </row>
    <row r="56">
      <c r="A56" t="inlineStr">
        <is>
          <t>PV interim distributions @ hurdle</t>
        </is>
      </c>
      <c r="B56" s="2">
        <f>C8/(1+hurdle)^1+D8/(1+hurdle)^2+E8/(1+hurdle)^3+F8/(1+hurdle)^4+G8/(1+hurdle)^5</f>
        <v/>
      </c>
    </row>
    <row r="57">
      <c r="A57" t="inlineStr">
        <is>
          <t>PV year-5 exit @ hurdle</t>
        </is>
      </c>
      <c r="B57" s="2">
        <f>B12/(1+hurdle)^5</f>
        <v/>
      </c>
    </row>
    <row r="58">
      <c r="A58" s="4" t="inlineStr">
        <is>
          <t>Entry price</t>
        </is>
      </c>
      <c r="B58" s="10">
        <f>B56+B57</f>
        <v/>
      </c>
    </row>
    <row r="59">
      <c r="A59" t="inlineStr">
        <is>
          <t>Entry discount from current price</t>
        </is>
      </c>
      <c r="B59" s="3">
        <f>B58/price-1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IV/unit: flat NAV growth (rows) × exit P/NAV (cols), 2.5% dist yield, CoE from Inputs</t>
        </is>
      </c>
    </row>
    <row r="2">
      <c r="A2" s="4" t="inlineStr">
        <is>
          <t>g \ exit P/NAV</t>
        </is>
      </c>
      <c r="B2" s="11" t="n">
        <v>0.85</v>
      </c>
      <c r="C2" s="11" t="n">
        <v>0.9</v>
      </c>
      <c r="D2" s="11" t="n">
        <v>0.95</v>
      </c>
      <c r="E2" s="11" t="n">
        <v>1</v>
      </c>
      <c r="F2" s="11" t="n">
        <v>1.05</v>
      </c>
    </row>
    <row r="3">
      <c r="A3" s="12" t="n">
        <v>-0.03</v>
      </c>
      <c r="B3" s="13">
        <f>SUMPRODUCT(nav0*(1+$A$3)^ROW(INDIRECT("1:5"))*0.025/(1+coe)^ROW(INDIRECT("1:5")))+nav0*(1+$A$3)^5*B$2/(1+coe)^5</f>
        <v/>
      </c>
      <c r="C3" s="13">
        <f>SUMPRODUCT(nav0*(1+$A$3)^ROW(INDIRECT("1:5"))*0.025/(1+coe)^ROW(INDIRECT("1:5")))+nav0*(1+$A$3)^5*C$2/(1+coe)^5</f>
        <v/>
      </c>
      <c r="D3" s="13">
        <f>SUMPRODUCT(nav0*(1+$A$3)^ROW(INDIRECT("1:5"))*0.025/(1+coe)^ROW(INDIRECT("1:5")))+nav0*(1+$A$3)^5*D$2/(1+coe)^5</f>
        <v/>
      </c>
      <c r="E3" s="13">
        <f>SUMPRODUCT(nav0*(1+$A$3)^ROW(INDIRECT("1:5"))*0.025/(1+coe)^ROW(INDIRECT("1:5")))+nav0*(1+$A$3)^5*E$2/(1+coe)^5</f>
        <v/>
      </c>
      <c r="F3" s="13">
        <f>SUMPRODUCT(nav0*(1+$A$3)^ROW(INDIRECT("1:5"))*0.025/(1+coe)^ROW(INDIRECT("1:5")))+nav0*(1+$A$3)^5*F$2/(1+coe)^5</f>
        <v/>
      </c>
    </row>
    <row r="4">
      <c r="A4" s="12" t="n">
        <v>-0.015</v>
      </c>
      <c r="B4" s="13">
        <f>SUMPRODUCT(nav0*(1+$A$4)^ROW(INDIRECT("1:5"))*0.025/(1+coe)^ROW(INDIRECT("1:5")))+nav0*(1+$A$4)^5*B$2/(1+coe)^5</f>
        <v/>
      </c>
      <c r="C4" s="13">
        <f>SUMPRODUCT(nav0*(1+$A$4)^ROW(INDIRECT("1:5"))*0.025/(1+coe)^ROW(INDIRECT("1:5")))+nav0*(1+$A$4)^5*C$2/(1+coe)^5</f>
        <v/>
      </c>
      <c r="D4" s="13">
        <f>SUMPRODUCT(nav0*(1+$A$4)^ROW(INDIRECT("1:5"))*0.025/(1+coe)^ROW(INDIRECT("1:5")))+nav0*(1+$A$4)^5*D$2/(1+coe)^5</f>
        <v/>
      </c>
      <c r="E4" s="13">
        <f>SUMPRODUCT(nav0*(1+$A$4)^ROW(INDIRECT("1:5"))*0.025/(1+coe)^ROW(INDIRECT("1:5")))+nav0*(1+$A$4)^5*E$2/(1+coe)^5</f>
        <v/>
      </c>
      <c r="F4" s="13">
        <f>SUMPRODUCT(nav0*(1+$A$4)^ROW(INDIRECT("1:5"))*0.025/(1+coe)^ROW(INDIRECT("1:5")))+nav0*(1+$A$4)^5*F$2/(1+coe)^5</f>
        <v/>
      </c>
    </row>
    <row r="5">
      <c r="A5" s="12" t="n">
        <v>0</v>
      </c>
      <c r="B5" s="13">
        <f>SUMPRODUCT(nav0*(1+$A$5)^ROW(INDIRECT("1:5"))*0.025/(1+coe)^ROW(INDIRECT("1:5")))+nav0*(1+$A$5)^5*B$2/(1+coe)^5</f>
        <v/>
      </c>
      <c r="C5" s="13">
        <f>SUMPRODUCT(nav0*(1+$A$5)^ROW(INDIRECT("1:5"))*0.025/(1+coe)^ROW(INDIRECT("1:5")))+nav0*(1+$A$5)^5*C$2/(1+coe)^5</f>
        <v/>
      </c>
      <c r="D5" s="13">
        <f>SUMPRODUCT(nav0*(1+$A$5)^ROW(INDIRECT("1:5"))*0.025/(1+coe)^ROW(INDIRECT("1:5")))+nav0*(1+$A$5)^5*D$2/(1+coe)^5</f>
        <v/>
      </c>
      <c r="E5" s="13">
        <f>SUMPRODUCT(nav0*(1+$A$5)^ROW(INDIRECT("1:5"))*0.025/(1+coe)^ROW(INDIRECT("1:5")))+nav0*(1+$A$5)^5*E$2/(1+coe)^5</f>
        <v/>
      </c>
      <c r="F5" s="13">
        <f>SUMPRODUCT(nav0*(1+$A$5)^ROW(INDIRECT("1:5"))*0.025/(1+coe)^ROW(INDIRECT("1:5")))+nav0*(1+$A$5)^5*F$2/(1+coe)^5</f>
        <v/>
      </c>
    </row>
    <row r="6">
      <c r="A6" s="12" t="n">
        <v>0.015</v>
      </c>
      <c r="B6" s="13">
        <f>SUMPRODUCT(nav0*(1+$A$6)^ROW(INDIRECT("1:5"))*0.025/(1+coe)^ROW(INDIRECT("1:5")))+nav0*(1+$A$6)^5*B$2/(1+coe)^5</f>
        <v/>
      </c>
      <c r="C6" s="13">
        <f>SUMPRODUCT(nav0*(1+$A$6)^ROW(INDIRECT("1:5"))*0.025/(1+coe)^ROW(INDIRECT("1:5")))+nav0*(1+$A$6)^5*C$2/(1+coe)^5</f>
        <v/>
      </c>
      <c r="D6" s="13">
        <f>SUMPRODUCT(nav0*(1+$A$6)^ROW(INDIRECT("1:5"))*0.025/(1+coe)^ROW(INDIRECT("1:5")))+nav0*(1+$A$6)^5*D$2/(1+coe)^5</f>
        <v/>
      </c>
      <c r="E6" s="13">
        <f>SUMPRODUCT(nav0*(1+$A$6)^ROW(INDIRECT("1:5"))*0.025/(1+coe)^ROW(INDIRECT("1:5")))+nav0*(1+$A$6)^5*E$2/(1+coe)^5</f>
        <v/>
      </c>
      <c r="F6" s="13">
        <f>SUMPRODUCT(nav0*(1+$A$6)^ROW(INDIRECT("1:5"))*0.025/(1+coe)^ROW(INDIRECT("1:5")))+nav0*(1+$A$6)^5*F$2/(1+coe)^5</f>
        <v/>
      </c>
    </row>
    <row r="7">
      <c r="A7" s="12" t="n">
        <v>0.03</v>
      </c>
      <c r="B7" s="13">
        <f>SUMPRODUCT(nav0*(1+$A$7)^ROW(INDIRECT("1:5"))*0.025/(1+coe)^ROW(INDIRECT("1:5")))+nav0*(1+$A$7)^5*B$2/(1+coe)^5</f>
        <v/>
      </c>
      <c r="C7" s="13">
        <f>SUMPRODUCT(nav0*(1+$A$7)^ROW(INDIRECT("1:5"))*0.025/(1+coe)^ROW(INDIRECT("1:5")))+nav0*(1+$A$7)^5*C$2/(1+coe)^5</f>
        <v/>
      </c>
      <c r="D7" s="13">
        <f>SUMPRODUCT(nav0*(1+$A$7)^ROW(INDIRECT("1:5"))*0.025/(1+coe)^ROW(INDIRECT("1:5")))+nav0*(1+$A$7)^5*D$2/(1+coe)^5</f>
        <v/>
      </c>
      <c r="E7" s="13">
        <f>SUMPRODUCT(nav0*(1+$A$7)^ROW(INDIRECT("1:5"))*0.025/(1+coe)^ROW(INDIRECT("1:5")))+nav0*(1+$A$7)^5*E$2/(1+coe)^5</f>
        <v/>
      </c>
      <c r="F7" s="13">
        <f>SUMPRODUCT(nav0*(1+$A$7)^ROW(INDIRECT("1:5"))*0.025/(1+coe)^ROW(INDIRECT("1:5")))+nav0*(1+$A$7)^5*F$2/(1+coe)^5</f>
        <v/>
      </c>
    </row>
    <row r="8">
      <c r="A8" s="12" t="n">
        <v>0.045</v>
      </c>
      <c r="B8" s="13">
        <f>SUMPRODUCT(nav0*(1+$A$8)^ROW(INDIRECT("1:5"))*0.025/(1+coe)^ROW(INDIRECT("1:5")))+nav0*(1+$A$8)^5*B$2/(1+coe)^5</f>
        <v/>
      </c>
      <c r="C8" s="13">
        <f>SUMPRODUCT(nav0*(1+$A$8)^ROW(INDIRECT("1:5"))*0.025/(1+coe)^ROW(INDIRECT("1:5")))+nav0*(1+$A$8)^5*C$2/(1+coe)^5</f>
        <v/>
      </c>
      <c r="D8" s="13">
        <f>SUMPRODUCT(nav0*(1+$A$8)^ROW(INDIRECT("1:5"))*0.025/(1+coe)^ROW(INDIRECT("1:5")))+nav0*(1+$A$8)^5*D$2/(1+coe)^5</f>
        <v/>
      </c>
      <c r="E8" s="13">
        <f>SUMPRODUCT(nav0*(1+$A$8)^ROW(INDIRECT("1:5"))*0.025/(1+coe)^ROW(INDIRECT("1:5")))+nav0*(1+$A$8)^5*E$2/(1+coe)^5</f>
        <v/>
      </c>
      <c r="F8" s="13">
        <f>SUMPRODUCT(nav0*(1+$A$8)^ROW(INDIRECT("1:5"))*0.025/(1+coe)^ROW(INDIRECT("1:5")))+nav0*(1+$A$8)^5*F$2/(1+coe)^5</f>
        <v/>
      </c>
    </row>
    <row r="11">
      <c r="A11" s="4" t="inlineStr">
        <is>
          <t>Base-case IV vs cost of equity</t>
        </is>
      </c>
    </row>
    <row r="12">
      <c r="A12" s="4" t="inlineStr">
        <is>
          <t>CoE</t>
        </is>
      </c>
      <c r="B12" s="3" t="n">
        <v>0.11</v>
      </c>
      <c r="C12" s="3" t="n">
        <v>0.125</v>
      </c>
      <c r="D12" s="3" t="n">
        <v>0.14</v>
      </c>
      <c r="E12" s="3" t="n">
        <v>0.155</v>
      </c>
      <c r="F12" s="3" t="n">
        <v>0.17</v>
      </c>
    </row>
    <row r="13">
      <c r="A13" t="inlineStr">
        <is>
          <t>IV</t>
        </is>
      </c>
      <c r="B13" s="13">
        <f>(nav0*(1+Model!C$5))*0.025/(1+B12)^1+((nav0*(1+Model!C$5))*(1+Model!D$5))*0.025/(1+B12)^2+(((nav0*(1+Model!C$5))*(1+Model!D$5))*(1+Model!E$5))*0.025/(1+B12)^3+((((nav0*(1+Model!C$5))*(1+Model!D$5))*(1+Model!E$5))*(1+Model!F$5))*0.025/(1+B12)^4+(((((nav0*(1+Model!C$5))*(1+Model!D$5))*(1+Model!E$5))*(1+Model!F$5))*(1+Model!G$5))*0.025/(1+B12)^5+(((((nav0*(1+Model!C$5))*(1+Model!D$5))*(1+Model!E$5))*(1+Model!F$5))*(1+Model!G$5))*1/(1+B12)^5</f>
        <v/>
      </c>
      <c r="C13" s="13">
        <f>(nav0*(1+Model!C$5))*0.025/(1+C12)^1+((nav0*(1+Model!C$5))*(1+Model!D$5))*0.025/(1+C12)^2+(((nav0*(1+Model!C$5))*(1+Model!D$5))*(1+Model!E$5))*0.025/(1+C12)^3+((((nav0*(1+Model!C$5))*(1+Model!D$5))*(1+Model!E$5))*(1+Model!F$5))*0.025/(1+C12)^4+(((((nav0*(1+Model!C$5))*(1+Model!D$5))*(1+Model!E$5))*(1+Model!F$5))*(1+Model!G$5))*0.025/(1+C12)^5+(((((nav0*(1+Model!C$5))*(1+Model!D$5))*(1+Model!E$5))*(1+Model!F$5))*(1+Model!G$5))*1/(1+C12)^5</f>
        <v/>
      </c>
      <c r="D13" s="13">
        <f>(nav0*(1+Model!C$5))*0.025/(1+D12)^1+((nav0*(1+Model!C$5))*(1+Model!D$5))*0.025/(1+D12)^2+(((nav0*(1+Model!C$5))*(1+Model!D$5))*(1+Model!E$5))*0.025/(1+D12)^3+((((nav0*(1+Model!C$5))*(1+Model!D$5))*(1+Model!E$5))*(1+Model!F$5))*0.025/(1+D12)^4+(((((nav0*(1+Model!C$5))*(1+Model!D$5))*(1+Model!E$5))*(1+Model!F$5))*(1+Model!G$5))*0.025/(1+D12)^5+(((((nav0*(1+Model!C$5))*(1+Model!D$5))*(1+Model!E$5))*(1+Model!F$5))*(1+Model!G$5))*1/(1+D12)^5</f>
        <v/>
      </c>
      <c r="E13" s="13">
        <f>(nav0*(1+Model!C$5))*0.025/(1+E12)^1+((nav0*(1+Model!C$5))*(1+Model!D$5))*0.025/(1+E12)^2+(((nav0*(1+Model!C$5))*(1+Model!D$5))*(1+Model!E$5))*0.025/(1+E12)^3+((((nav0*(1+Model!C$5))*(1+Model!D$5))*(1+Model!E$5))*(1+Model!F$5))*0.025/(1+E12)^4+(((((nav0*(1+Model!C$5))*(1+Model!D$5))*(1+Model!E$5))*(1+Model!F$5))*(1+Model!G$5))*0.025/(1+E12)^5+(((((nav0*(1+Model!C$5))*(1+Model!D$5))*(1+Model!E$5))*(1+Model!F$5))*(1+Model!G$5))*1/(1+E12)^5</f>
        <v/>
      </c>
      <c r="F13" s="13">
        <f>(nav0*(1+Model!C$5))*0.025/(1+F12)^1+((nav0*(1+Model!C$5))*(1+Model!D$5))*0.025/(1+F12)^2+(((nav0*(1+Model!C$5))*(1+Model!D$5))*(1+Model!E$5))*0.025/(1+F12)^3+((((nav0*(1+Model!C$5))*(1+Model!D$5))*(1+Model!E$5))*(1+Model!F$5))*0.025/(1+F12)^4+(((((nav0*(1+Model!C$5))*(1+Model!D$5))*(1+Model!E$5))*(1+Model!F$5))*(1+Model!G$5))*0.025/(1+F12)^5+(((((nav0*(1+Model!C$5))*(1+Model!D$5))*(1+Model!E$5))*(1+Model!F$5))*(1+Model!G$5))*1/(1+F12)^5</f>
        <v/>
      </c>
    </row>
    <row r="15">
      <c r="A15" s="4" t="inlineStr">
        <is>
          <t>Required-return table (base scenario, 1.00x exit)</t>
        </is>
      </c>
    </row>
    <row r="16">
      <c r="A16" s="4" t="inlineStr">
        <is>
          <t>Required return</t>
        </is>
      </c>
      <c r="B16" s="3" t="n">
        <v>0.09</v>
      </c>
      <c r="C16" s="3" t="n">
        <v>0.1</v>
      </c>
      <c r="D16" s="3" t="n">
        <v>0.11</v>
      </c>
      <c r="E16" s="3" t="n">
        <v>0.12</v>
      </c>
      <c r="F16" s="3" t="n">
        <v>0.15</v>
      </c>
    </row>
    <row r="17">
      <c r="A17" t="inlineStr">
        <is>
          <t>Value per unit</t>
        </is>
      </c>
      <c r="B17" s="2">
        <f>(nav0*(1+Model!C$5))*0.025/(1+B16)^1+((nav0*(1+Model!C$5))*(1+Model!D$5))*0.025/(1+B16)^2+(((nav0*(1+Model!C$5))*(1+Model!D$5))*(1+Model!E$5))*0.025/(1+B16)^3+((((nav0*(1+Model!C$5))*(1+Model!D$5))*(1+Model!E$5))*(1+Model!F$5))*0.025/(1+B16)^4+(((((nav0*(1+Model!C$5))*(1+Model!D$5))*(1+Model!E$5))*(1+Model!F$5))*(1+Model!G$5))*0.025/(1+B16)^5+(((((nav0*(1+Model!C$5))*(1+Model!D$5))*(1+Model!E$5))*(1+Model!F$5))*(1+Model!G$5))*1/(1+B16)^5</f>
        <v/>
      </c>
      <c r="C17" s="2">
        <f>(nav0*(1+Model!C$5))*0.025/(1+C16)^1+((nav0*(1+Model!C$5))*(1+Model!D$5))*0.025/(1+C16)^2+(((nav0*(1+Model!C$5))*(1+Model!D$5))*(1+Model!E$5))*0.025/(1+C16)^3+((((nav0*(1+Model!C$5))*(1+Model!D$5))*(1+Model!E$5))*(1+Model!F$5))*0.025/(1+C16)^4+(((((nav0*(1+Model!C$5))*(1+Model!D$5))*(1+Model!E$5))*(1+Model!F$5))*(1+Model!G$5))*0.025/(1+C16)^5+(((((nav0*(1+Model!C$5))*(1+Model!D$5))*(1+Model!E$5))*(1+Model!F$5))*(1+Model!G$5))*1/(1+C16)^5</f>
        <v/>
      </c>
      <c r="D17" s="2">
        <f>(nav0*(1+Model!C$5))*0.025/(1+D16)^1+((nav0*(1+Model!C$5))*(1+Model!D$5))*0.025/(1+D16)^2+(((nav0*(1+Model!C$5))*(1+Model!D$5))*(1+Model!E$5))*0.025/(1+D16)^3+((((nav0*(1+Model!C$5))*(1+Model!D$5))*(1+Model!E$5))*(1+Model!F$5))*0.025/(1+D16)^4+(((((nav0*(1+Model!C$5))*(1+Model!D$5))*(1+Model!E$5))*(1+Model!F$5))*(1+Model!G$5))*0.025/(1+D16)^5+(((((nav0*(1+Model!C$5))*(1+Model!D$5))*(1+Model!E$5))*(1+Model!F$5))*(1+Model!G$5))*1/(1+D16)^5</f>
        <v/>
      </c>
      <c r="E17" s="2">
        <f>(nav0*(1+Model!C$5))*0.025/(1+E16)^1+((nav0*(1+Model!C$5))*(1+Model!D$5))*0.025/(1+E16)^2+(((nav0*(1+Model!C$5))*(1+Model!D$5))*(1+Model!E$5))*0.025/(1+E16)^3+((((nav0*(1+Model!C$5))*(1+Model!D$5))*(1+Model!E$5))*(1+Model!F$5))*0.025/(1+E16)^4+(((((nav0*(1+Model!C$5))*(1+Model!D$5))*(1+Model!E$5))*(1+Model!F$5))*(1+Model!G$5))*0.025/(1+E16)^5+(((((nav0*(1+Model!C$5))*(1+Model!D$5))*(1+Model!E$5))*(1+Model!F$5))*(1+Model!G$5))*1/(1+E16)^5</f>
        <v/>
      </c>
      <c r="F17" s="2">
        <f>(nav0*(1+Model!C$5))*0.025/(1+F16)^1+((nav0*(1+Model!C$5))*(1+Model!D$5))*0.025/(1+F16)^2+(((nav0*(1+Model!C$5))*(1+Model!D$5))*(1+Model!E$5))*0.025/(1+F16)^3+((((nav0*(1+Model!C$5))*(1+Model!D$5))*(1+Model!E$5))*(1+Model!F$5))*0.025/(1+F16)^4+(((((nav0*(1+Model!C$5))*(1+Model!D$5))*(1+Model!E$5))*(1+Model!F$5))*(1+Model!G$5))*0.025/(1+F16)^5+(((((nav0*(1+Model!C$5))*(1+Model!D$5))*(1+Model!E$5))*(1+Model!F$5))*(1+Model!G$5))*1/(1+F16)^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2026-08-26T02:17:20Z</dcterms:created>
  <dcterms:modified xsi:type="dcterms:W3CDTF">2026-08-26T02:17:20Z</dcterms:modified>
</cp:coreProperties>
</file>