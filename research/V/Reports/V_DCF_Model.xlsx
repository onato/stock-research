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<sst xmlns="http://schemas.openxmlformats.org/spreadsheetml/2006/main" count="168" uniqueCount="118">
  <si>
    <t>V DCF Valuation Model - Visa Inc.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</si>
  <si>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</si>
  <si>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</si>
  <si>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</si>
  <si>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</si>
  <si>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</si>
  <si>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</si>
  <si>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</si>
  <si>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</si>
  <si>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</si>
  <si>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</si>
  <si>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</si>
  <si>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</si>
  <si>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</si>
  <si>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</si>
  <si>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</si>
  <si>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</si>
  <si>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</si>
  <si>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</si>
  <si>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</si>
  <si>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</si>
  <si>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</si>
  <si>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</si>
  <si>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</si>
  <si>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</si>
  <si>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</si>
  <si>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</si>
  <si>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</si>
  <si>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</si>
  <si>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</si>
  <si>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</si>
  <si>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</si>
  <si>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Upside/(Downside) %</t>
  </si>
  <si>
    <t>ENTRY PRICE (15% CAGR Target)</t>
  </si>
  <si>
    <t>Terminal Value per Share</t>
  </si>
  <si>
    <t>Entry Price (15% CAGR)</t>
  </si>
  <si>
    <t>Discount from Current Price</t>
  </si>
  <si>
    <t>KEY METRICS</t>
  </si>
  <si>
    <t>Price / Intrinsic Value</t>
  </si>
  <si>
    <t>Margin of Safety</t>
  </si>
  <si>
    <t>Implied P/E (at IV)</t>
  </si>
  <si>
    <t>FY2025 EPS</t>
  </si>
  <si>
    <t>Current P/E</t>
  </si>
  <si>
    <t>Scenario Analysis - Base/Bull/Bear</t>
  </si>
  <si>
    <t>Compare different growth and margin assumptions</t>
  </si>
  <si>
    <t>BASE CASE</t>
  </si>
  <si>
    <t>Assumptions:</t>
  </si>
  <si>
    <t>Terminal Growth</t>
  </si>
  <si>
    <t>FCF Margin</t>
  </si>
  <si>
    <t>Growth Rate</t>
  </si>
  <si>
    <t>FCF ($M)</t>
  </si>
  <si>
    <t>Intrinsic Value/Share</t>
  </si>
  <si>
    <t>BULL CASE</t>
  </si>
  <si>
    <t>BEAR CASE</t>
  </si>
  <si>
    <t>SCENARIO SUMMARY</t>
  </si>
  <si>
    <t>Bull</t>
  </si>
  <si>
    <t>Bear</t>
  </si>
  <si>
    <t>Intrinsic Value</t>
  </si>
  <si>
    <t>Upside/(Downside)</t>
  </si>
  <si>
    <t>Probability Weight</t>
  </si>
  <si>
    <t>Weighted IV</t>
  </si>
  <si>
    <t>Sensitivity Analysis</t>
  </si>
  <si>
    <t>Intrinsic Value by WACC &amp; Terminal Growth (Base Case)</t>
  </si>
  <si>
    <t>WACC \ Term G</t>
  </si>
  <si>
    <t>Current Price</t>
  </si>
  <si>
    <t>Base Case IV</t>
  </si>
  <si>
    <t>Historical Growth Rates</t>
  </si>
  <si>
    <t>Source: V_Metrics.csv</t>
  </si>
  <si>
    <t>Metric</t>
  </si>
  <si>
    <t>3-Year CAGR</t>
  </si>
  <si>
    <t>5-Year CAGR</t>
  </si>
  <si>
    <t>10-Year CAGR</t>
  </si>
  <si>
    <t>Revenue</t>
  </si>
  <si>
    <t>EPS</t>
  </si>
  <si>
    <t>Equity</t>
  </si>
  <si>
    <t>FCF</t>
  </si>
  <si>
    <t>Selected Growth Rate:</t>
  </si>
  <si>
    <t>Source:</t>
  </si>
  <si>
    <t>fcf_5yr_cagr</t>
  </si>
  <si>
    <t>Warning:</t>
  </si>
  <si>
    <t>Equity CAGR significantly diverges from revenue/EPS due to aggressive share buybacks ($18.2B in FY2025). Using FCF CAGR as more conservative proxy for sustainable growth. Visa's asset-light model means equity growth understates earning power.</t>
  </si>
  <si>
    <t>Quality Metrics (FY2025)</t>
  </si>
  <si>
    <t>ROIC</t>
  </si>
  <si>
    <t>ROE</t>
  </si>
  <si>
    <t>Net Margin</t>
  </si>
  <si>
    <t>Operating Margin</t>
  </si>
  <si>
    <t>FCF Conversion</t>
  </si>
  <si>
    <t>Debt/Equity</t>
  </si>
  <si>
    <t>Investment Summary - Visa Inc.</t>
  </si>
  <si>
    <t>Analysis Date: 2026-02-05</t>
  </si>
  <si>
    <t>Recommendation</t>
  </si>
  <si>
    <t>HOLD / AVOID NEW POSITIONS</t>
  </si>
  <si>
    <t>Target Price (Base Case)</t>
  </si>
  <si>
    <t>Downside to Target</t>
  </si>
  <si>
    <t>Quality Rating</t>
  </si>
  <si>
    <t>Excellent (A+)</t>
  </si>
  <si>
    <t>Valuation Rating</t>
  </si>
  <si>
    <t>Expensive (D)</t>
  </si>
  <si>
    <t>Risk/Reward</t>
  </si>
  <si>
    <t>Unfavorable - Limited upside, significant regulatory and competitive downside</t>
  </si>
  <si>
    <t>Investment Thesis</t>
  </si>
  <si>
    <t>Visa is an exceptional business with unmatched competitive moats, industry-leading profitability, and secular growth tailwinds. However, at $370 per share (37x earnings, 35x FCF), the stock is priced for perfection. Our base case DCF suggests fair value of $224, implying 39% downside. Even in a bull scenario with successful New Flows expansion and VAS scaling, intrinsic value is only $322 (13% downside). The asymmetric risk/reward reflects three key concerns: (1) existential regulatory threat from Credit Card Competition Act, (2) margin compression from rising client incentives growing faster than revenue, and (3) real-time payment network disintermediation. For value investors seeking 15% CAGR, the entry price would be $133 (64% below current). Recommendation: Existing holders should HOLD given quality of business, but avoid initiating new positions at current valuation. Consider accumulating on any pullback below $250.</t>
  </si>
  <si>
    <t>Key Value Drivers (Positive)</t>
  </si>
  <si>
    <t>+</t>
  </si>
  <si>
    <t>Network effects moat: Two-sided network with 1.3B cards creates sustainable competitive advantage</t>
  </si>
  <si>
    <t>Exceptional margins: 54% FCF margin and 50% net margin among highest in S&amp;P 500</t>
  </si>
  <si>
    <t>Capital return program: $18.2B in buybacks FY2025, $24.9B remaining authorization</t>
  </si>
  <si>
    <t>Secular tailwinds: Cash-to-digital shift in emerging markets, cross-border e-commerce growth</t>
  </si>
  <si>
    <t>VAS diversification: Value-added services growing 24% YoY with higher margins</t>
  </si>
  <si>
    <t>Resilient business model: Essential infrastructure with no credit risk and minimal cyclicality</t>
  </si>
  <si>
    <t>Key Value Drivers (Negative)</t>
  </si>
  <si>
    <t>-</t>
  </si>
  <si>
    <t>Regulatory existential risk: Credit Card Competition Act could fundamentally alter economics</t>
  </si>
  <si>
    <t>Client incentive inflation: Rising from 28% of gross revenue, compressing margins</t>
  </si>
  <si>
    <t>Valuation premium: Current 37x P/E and 35x P/FCF leave minimal margin for error</t>
  </si>
  <si>
    <t>Real-time payment threat: FedNow, Zelle, and instant networks could disintermediate volumes</t>
  </si>
  <si>
    <t>Limited growth in mature markets: U.S. volume growth decelerating to mid-single digits</t>
  </si>
  <si>
    <t>Operating expense pressure: Opex growing mid-teens vs low double-digit revenue growth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</si>
</sst>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5" fontId="4" fillId="3" borderId="0" xfId="0" applyNumberFormat="1" applyFont="1" applyFill="1"/>
    <xf numFmtId="0" fontId="6" fillId="0" borderId="2" xfId="0" applyFont="1" applyBorder="1" applyAlignment="1">
      <alignment wrapText="1"/>
    </xf>
    <xf numFmtId="0" fontId="7" fillId="0" borderId="0" xfId="0" applyFont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370</v>
      </c>
    </row>
    <row r="6" spans="1:6">
      <c r="A6" t="s">
        <v>4</v>
      </c>
      <c r="B6" s="4">
        <v>1966</v>
      </c>
    </row>
    <row r="7" spans="1:6">
      <c r="A7" t="s">
        <v>5</v>
      </c>
      <c r="B7" s="4">
        <v>17164</v>
      </c>
    </row>
    <row r="8" spans="1:6">
      <c r="A8" t="s">
        <v>6</v>
      </c>
      <c r="B8" s="4">
        <v>19602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21577</v>
      </c>
    </row>
    <row r="12" spans="1:6">
      <c r="A12" t="s">
        <v>9</v>
      </c>
      <c r="B12" s="6">
        <v>0.095</v>
      </c>
    </row>
    <row r="13" spans="1:6">
      <c r="A13" t="s">
        <v>10</v>
      </c>
      <c r="B13" s="6">
        <v>0.03</v>
      </c>
    </row>
    <row r="15" spans="1:6">
      <c r="A15" s="3" t="s">
        <v>11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6">
      <c r="A16" t="s">
        <v>12</v>
      </c>
      <c r="B16" s="6">
        <v>0.12</v>
      </c>
      <c r="C16" s="6">
        <v>0.1</v>
      </c>
      <c r="D16" s="6">
        <v>0.09</v>
      </c>
      <c r="E16" s="6">
        <v>0.08</v>
      </c>
      <c r="F16" s="6">
        <v>0.06</v>
      </c>
    </row>
    <row r="18" spans="1:7">
      <c r="A18" s="3" t="s">
        <v>18</v>
      </c>
    </row>
    <row r="19" spans="1:7">
      <c r="A19" s="7"/>
      <c r="B19" s="7" t="s">
        <v>19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 spans="1:7">
      <c r="A20" t="s">
        <v>20</v>
      </c>
      <c r="B20" s="5">
        <f>B10</f>
        <v>0</v>
      </c>
      <c r="C20" s="5">
        <f>B20*(1+B16)</f>
        <v>0</v>
      </c>
      <c r="D20" s="5">
        <f>C20*(1+C16)</f>
        <v>0</v>
      </c>
      <c r="E20" s="5">
        <f>D20*(1+D16)</f>
        <v>0</v>
      </c>
      <c r="F20" s="5">
        <f>E20*(1+E16)</f>
        <v>0</v>
      </c>
      <c r="G20" s="5">
        <f>F20*(1+F16)</f>
        <v>0</v>
      </c>
    </row>
    <row r="21" spans="1:7">
      <c r="A21" t="s">
        <v>21</v>
      </c>
      <c r="C21" s="5">
        <f>1/(1+$B$12)^1</f>
        <v>0</v>
      </c>
      <c r="D21" s="5">
        <f>1/(1+$B$12)^2</f>
        <v>0</v>
      </c>
      <c r="E21" s="5">
        <f>1/(1+$B$12)^3</f>
        <v>0</v>
      </c>
      <c r="F21" s="5">
        <f>1/(1+$B$12)^4</f>
        <v>0</v>
      </c>
      <c r="G21" s="5">
        <f>1/(1+$B$12)^5</f>
        <v>0</v>
      </c>
    </row>
    <row r="22" spans="1:7">
      <c r="A22" t="s">
        <v>22</v>
      </c>
      <c r="C22" s="5">
        <f>C20*C21</f>
        <v>0</v>
      </c>
      <c r="D22" s="5">
        <f>D20*D21</f>
        <v>0</v>
      </c>
      <c r="E22" s="5">
        <f>E20*E21</f>
        <v>0</v>
      </c>
      <c r="F22" s="5">
        <f>F20*F21</f>
        <v>0</v>
      </c>
      <c r="G22" s="5">
        <f>G20*G21</f>
        <v>0</v>
      </c>
    </row>
    <row r="24" spans="1:7">
      <c r="A24" s="3" t="s">
        <v>23</v>
      </c>
    </row>
    <row r="25" spans="1:7">
      <c r="A25" t="s">
        <v>24</v>
      </c>
      <c r="B25" s="5">
        <f>SUM(C22:G22)</f>
        <v>0</v>
      </c>
    </row>
    <row r="26" spans="1:7">
      <c r="A26" t="s">
        <v>25</v>
      </c>
      <c r="B26" s="5">
        <f>G20*(1+$B$13)</f>
        <v>0</v>
      </c>
    </row>
    <row r="27" spans="1:7">
      <c r="A27" t="s">
        <v>26</v>
      </c>
      <c r="B27" s="5">
        <f>B26/($B$12-$B$13)</f>
        <v>0</v>
      </c>
    </row>
    <row r="28" spans="1:7">
      <c r="A28" t="s">
        <v>27</v>
      </c>
      <c r="B28" s="5">
        <f>B27*G21</f>
        <v>0</v>
      </c>
    </row>
    <row r="29" spans="1:7">
      <c r="A29" t="s">
        <v>28</v>
      </c>
      <c r="B29" s="5">
        <f>B25+B28</f>
        <v>0</v>
      </c>
    </row>
    <row r="30" spans="1:7">
      <c r="A30" t="s">
        <v>29</v>
      </c>
      <c r="B30" s="5">
        <f>B9</f>
        <v>0</v>
      </c>
    </row>
    <row r="31" spans="1:7">
      <c r="A31" t="s">
        <v>30</v>
      </c>
      <c r="B31" s="5">
        <f>B29-B30</f>
        <v>0</v>
      </c>
    </row>
    <row r="32" spans="1:7">
      <c r="A32" s="8" t="s">
        <v>31</v>
      </c>
      <c r="B32" s="9">
        <f>B31/B6</f>
        <v>0</v>
      </c>
    </row>
    <row r="33" spans="1:4">
      <c r="A33" t="s">
        <v>32</v>
      </c>
      <c r="B33" s="10">
        <f>(B32-B5)/B5</f>
        <v>0</v>
      </c>
    </row>
    <row r="35" spans="1:4">
      <c r="A35" s="3" t="s">
        <v>33</v>
      </c>
    </row>
    <row r="36" spans="1:4">
      <c r="A36" t="s">
        <v>34</v>
      </c>
      <c r="B36" s="11">
        <f>B27/B6</f>
        <v>0</v>
      </c>
    </row>
    <row r="37" spans="1:4">
      <c r="A37" t="s">
        <v>35</v>
      </c>
      <c r="B37" s="9">
        <f>B36/(1.15^5)</f>
        <v>0</v>
      </c>
    </row>
    <row r="38" spans="1:4">
      <c r="A38" t="s">
        <v>36</v>
      </c>
      <c r="B38" s="10">
        <f>(B37-B5)/B5</f>
        <v>0</v>
      </c>
    </row>
    <row r="40" spans="1:4">
      <c r="A40" s="3" t="s">
        <v>37</v>
      </c>
    </row>
    <row r="41" spans="1:4">
      <c r="A41" t="s">
        <v>38</v>
      </c>
      <c r="B41" s="5">
        <f>B5/B32</f>
        <v>0</v>
      </c>
    </row>
    <row r="42" spans="1:4">
      <c r="A42" t="s">
        <v>39</v>
      </c>
      <c r="B42" s="10">
        <f>1-B41</f>
        <v>0</v>
      </c>
    </row>
    <row r="43" spans="1:4">
      <c r="A43" t="s">
        <v>40</v>
      </c>
      <c r="B43" s="5">
        <f>B32/D43</f>
        <v>0</v>
      </c>
      <c r="C43" t="s">
        <v>41</v>
      </c>
      <c r="D43" s="4">
        <v>10.2</v>
      </c>
    </row>
    <row r="44" spans="1:4">
      <c r="A44" t="s">
        <v>42</v>
      </c>
      <c r="B44" s="5">
        <f>B5/D43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cols>
    <col min="1" max="1" width="25.7109375" customWidth="1"/>
    <col min="2" max="8" width="13.7109375" customWidth="1"/>
  </cols>
  <sheetData>
    <row r="1" spans="1:7">
      <c r="A1" s="1" t="s">
        <v>43</v>
      </c>
    </row>
    <row r="2" spans="1:7">
      <c r="A2" s="2" t="s">
        <v>44</v>
      </c>
    </row>
    <row r="4" spans="1:7">
      <c r="A4" s="3" t="s">
        <v>45</v>
      </c>
    </row>
    <row r="5" spans="1:7">
      <c r="A5" t="s">
        <v>46</v>
      </c>
      <c r="B5" s="8" t="s">
        <v>9</v>
      </c>
      <c r="C5" s="10">
        <v>0.095</v>
      </c>
    </row>
    <row r="6" spans="1:7">
      <c r="B6" s="8" t="s">
        <v>47</v>
      </c>
      <c r="C6" s="10">
        <v>0.03</v>
      </c>
    </row>
    <row r="7" spans="1:7">
      <c r="B7" s="8" t="s">
        <v>48</v>
      </c>
      <c r="C7" s="10">
        <v>0.54</v>
      </c>
    </row>
    <row r="9" spans="1:7">
      <c r="A9" s="7"/>
      <c r="B9" s="7" t="s">
        <v>19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</row>
    <row r="10" spans="1:7">
      <c r="A10" t="s">
        <v>49</v>
      </c>
      <c r="B10" s="10"/>
      <c r="C10" s="10">
        <v>0.12</v>
      </c>
      <c r="D10" s="10">
        <v>0.1</v>
      </c>
      <c r="E10" s="10">
        <v>0.09</v>
      </c>
      <c r="F10" s="10">
        <v>0.08</v>
      </c>
      <c r="G10" s="10">
        <v>0.06</v>
      </c>
    </row>
    <row r="11" spans="1:7">
      <c r="A11" t="s">
        <v>50</v>
      </c>
      <c r="B11" s="5">
        <v>21577</v>
      </c>
      <c r="C11" s="5">
        <v>24166</v>
      </c>
      <c r="D11" s="5">
        <v>26583</v>
      </c>
      <c r="E11" s="5">
        <v>28975</v>
      </c>
      <c r="F11" s="5">
        <v>31293</v>
      </c>
      <c r="G11" s="5">
        <v>33171</v>
      </c>
    </row>
    <row r="12" spans="1:7">
      <c r="A12" t="s">
        <v>51</v>
      </c>
      <c r="B12" s="11">
        <v>224.09</v>
      </c>
    </row>
    <row r="15" spans="1:7">
      <c r="A15" s="3" t="s">
        <v>52</v>
      </c>
    </row>
    <row r="16" spans="1:7">
      <c r="A16" t="s">
        <v>46</v>
      </c>
      <c r="B16" s="8" t="s">
        <v>9</v>
      </c>
      <c r="C16" s="10">
        <v>0.09</v>
      </c>
    </row>
    <row r="17" spans="1:7">
      <c r="B17" s="8" t="s">
        <v>47</v>
      </c>
      <c r="C17" s="10">
        <v>0.035</v>
      </c>
    </row>
    <row r="18" spans="1:7">
      <c r="B18" s="8" t="s">
        <v>48</v>
      </c>
      <c r="C18" s="10">
        <v>0.5600000000000001</v>
      </c>
    </row>
    <row r="20" spans="1:7">
      <c r="A20" s="7"/>
      <c r="B20" s="7" t="s">
        <v>19</v>
      </c>
      <c r="C20" s="7" t="s">
        <v>13</v>
      </c>
      <c r="D20" s="7" t="s">
        <v>14</v>
      </c>
      <c r="E20" s="7" t="s">
        <v>15</v>
      </c>
      <c r="F20" s="7" t="s">
        <v>16</v>
      </c>
      <c r="G20" s="7" t="s">
        <v>17</v>
      </c>
    </row>
    <row r="21" spans="1:7">
      <c r="A21" t="s">
        <v>49</v>
      </c>
      <c r="B21" s="10"/>
      <c r="C21" s="10">
        <v>0.18</v>
      </c>
      <c r="D21" s="10">
        <v>0.16</v>
      </c>
      <c r="E21" s="10">
        <v>0.14</v>
      </c>
      <c r="F21" s="10">
        <v>0.12</v>
      </c>
      <c r="G21" s="10">
        <v>0.1</v>
      </c>
    </row>
    <row r="22" spans="1:7">
      <c r="A22" t="s">
        <v>50</v>
      </c>
      <c r="B22" s="5">
        <v>21577</v>
      </c>
      <c r="C22" s="5">
        <v>25461</v>
      </c>
      <c r="D22" s="5">
        <v>29535</v>
      </c>
      <c r="E22" s="5">
        <v>33670</v>
      </c>
      <c r="F22" s="5">
        <v>37710</v>
      </c>
      <c r="G22" s="5">
        <v>41481</v>
      </c>
    </row>
    <row r="23" spans="1:7">
      <c r="A23" t="s">
        <v>51</v>
      </c>
      <c r="B23" s="11">
        <v>321.9</v>
      </c>
    </row>
    <row r="26" spans="1:7">
      <c r="A26" s="3" t="s">
        <v>53</v>
      </c>
    </row>
    <row r="27" spans="1:7">
      <c r="A27" t="s">
        <v>46</v>
      </c>
      <c r="B27" s="8" t="s">
        <v>9</v>
      </c>
      <c r="C27" s="10">
        <v>0.105</v>
      </c>
    </row>
    <row r="28" spans="1:7">
      <c r="B28" s="8" t="s">
        <v>47</v>
      </c>
      <c r="C28" s="10">
        <v>0.025</v>
      </c>
    </row>
    <row r="29" spans="1:7">
      <c r="B29" s="8" t="s">
        <v>48</v>
      </c>
      <c r="C29" s="10">
        <v>0.48</v>
      </c>
    </row>
    <row r="31" spans="1:7">
      <c r="A31" s="7"/>
      <c r="B31" s="7" t="s">
        <v>19</v>
      </c>
      <c r="C31" s="7" t="s">
        <v>13</v>
      </c>
      <c r="D31" s="7" t="s">
        <v>14</v>
      </c>
      <c r="E31" s="7" t="s">
        <v>15</v>
      </c>
      <c r="F31" s="7" t="s">
        <v>16</v>
      </c>
      <c r="G31" s="7" t="s">
        <v>17</v>
      </c>
    </row>
    <row r="32" spans="1:7">
      <c r="A32" t="s">
        <v>49</v>
      </c>
      <c r="B32" s="10"/>
      <c r="C32" s="10">
        <v>0.06</v>
      </c>
      <c r="D32" s="10">
        <v>0.05</v>
      </c>
      <c r="E32" s="10">
        <v>0.04</v>
      </c>
      <c r="F32" s="10">
        <v>0.03</v>
      </c>
      <c r="G32" s="10">
        <v>0.02</v>
      </c>
    </row>
    <row r="33" spans="1:7">
      <c r="A33" t="s">
        <v>50</v>
      </c>
      <c r="B33" s="5">
        <v>21577</v>
      </c>
      <c r="C33" s="5">
        <v>22872</v>
      </c>
      <c r="D33" s="5">
        <v>24015</v>
      </c>
      <c r="E33" s="5">
        <v>24976</v>
      </c>
      <c r="F33" s="5">
        <v>25725</v>
      </c>
      <c r="G33" s="5">
        <v>26240</v>
      </c>
    </row>
    <row r="34" spans="1:7">
      <c r="A34" t="s">
        <v>51</v>
      </c>
      <c r="B34" s="11">
        <v>149.39</v>
      </c>
    </row>
    <row r="37" spans="1:7">
      <c r="A37" s="3" t="s">
        <v>54</v>
      </c>
    </row>
    <row r="38" spans="1:7">
      <c r="A38" s="7"/>
      <c r="B38" s="7" t="s">
        <v>55</v>
      </c>
      <c r="C38" s="7" t="s">
        <v>19</v>
      </c>
      <c r="D38" s="7" t="s">
        <v>56</v>
      </c>
    </row>
    <row r="39" spans="1:7">
      <c r="A39" t="s">
        <v>57</v>
      </c>
      <c r="B39" s="11">
        <v>321.9</v>
      </c>
      <c r="C39" s="11">
        <v>224.09</v>
      </c>
      <c r="D39" s="11">
        <v>149.39</v>
      </c>
    </row>
    <row r="40" spans="1:7">
      <c r="A40" t="s">
        <v>58</v>
      </c>
      <c r="B40" s="10">
        <f>(B39-370.0)/370.0</f>
        <v>0</v>
      </c>
      <c r="C40" s="10">
        <f>(C39-370.0)/370.0</f>
        <v>0</v>
      </c>
      <c r="D40" s="10">
        <f>(D39-370.0)/370.0</f>
        <v>0</v>
      </c>
    </row>
    <row r="42" spans="1:7">
      <c r="A42" t="s">
        <v>59</v>
      </c>
      <c r="B42" s="10">
        <v>0.25</v>
      </c>
      <c r="C42" s="10">
        <v>0.5</v>
      </c>
      <c r="D42" s="10">
        <v>0.25</v>
      </c>
    </row>
    <row r="43" spans="1:7">
      <c r="A43" t="s">
        <v>60</v>
      </c>
      <c r="B43" s="9">
        <f>B39*B42+C39*C42+D39*D42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61</v>
      </c>
    </row>
    <row r="2" spans="1:6">
      <c r="A2" s="2" t="s">
        <v>62</v>
      </c>
    </row>
    <row r="4" spans="1:6">
      <c r="A4" s="7" t="s">
        <v>63</v>
      </c>
      <c r="B4" s="12">
        <v>0.02</v>
      </c>
      <c r="C4" s="12">
        <v>0.025</v>
      </c>
      <c r="D4" s="12">
        <v>0.03</v>
      </c>
      <c r="E4" s="12">
        <v>0.035</v>
      </c>
      <c r="F4" s="12">
        <v>0.04</v>
      </c>
    </row>
    <row r="5" spans="1:6">
      <c r="A5" s="12">
        <v>0.075</v>
      </c>
      <c r="B5" s="11">
        <v>321.45</v>
      </c>
      <c r="C5" s="11">
        <v>358.82</v>
      </c>
      <c r="D5" s="11">
        <v>407.23</v>
      </c>
      <c r="E5" s="11">
        <v>472.95</v>
      </c>
      <c r="F5" s="11">
        <v>566.87</v>
      </c>
    </row>
    <row r="6" spans="1:6">
      <c r="A6" s="12">
        <v>0.08500000000000001</v>
      </c>
      <c r="B6" s="11">
        <v>270.91</v>
      </c>
      <c r="C6" s="11">
        <v>298.14</v>
      </c>
      <c r="D6" s="11">
        <v>332.66</v>
      </c>
      <c r="E6" s="11">
        <v>377.52</v>
      </c>
      <c r="F6" s="11">
        <v>438.12</v>
      </c>
    </row>
    <row r="7" spans="1:6">
      <c r="A7" s="12">
        <v>0.095</v>
      </c>
      <c r="B7" s="11">
        <v>233.78</v>
      </c>
      <c r="C7" s="11">
        <v>254.42</v>
      </c>
      <c r="D7" s="11">
        <v>280.09</v>
      </c>
      <c r="E7" s="11">
        <v>312.23</v>
      </c>
      <c r="F7" s="11">
        <v>353.45</v>
      </c>
    </row>
    <row r="8" spans="1:6">
      <c r="A8" s="12">
        <v>0.105</v>
      </c>
      <c r="B8" s="11">
        <v>205.35</v>
      </c>
      <c r="C8" s="11">
        <v>221.92</v>
      </c>
      <c r="D8" s="11">
        <v>242.09</v>
      </c>
      <c r="E8" s="11">
        <v>266.94</v>
      </c>
      <c r="F8" s="11">
        <v>297.62</v>
      </c>
    </row>
    <row r="9" spans="1:6">
      <c r="A9" s="12">
        <v>0.115</v>
      </c>
      <c r="B9" s="11">
        <v>182.76</v>
      </c>
      <c r="C9" s="11">
        <v>196.51</v>
      </c>
      <c r="D9" s="11">
        <v>212.87</v>
      </c>
      <c r="E9" s="11">
        <v>232.56</v>
      </c>
      <c r="F9" s="11">
        <v>256.48</v>
      </c>
    </row>
    <row r="11" spans="1:6">
      <c r="A11" s="8" t="s">
        <v>64</v>
      </c>
      <c r="B11" s="11">
        <v>370</v>
      </c>
    </row>
    <row r="12" spans="1:6">
      <c r="A12" s="8" t="s">
        <v>65</v>
      </c>
      <c r="B12" s="11">
        <v>224.09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s="1" t="s">
        <v>66</v>
      </c>
    </row>
    <row r="2" spans="1:4">
      <c r="A2" s="2" t="s">
        <v>67</v>
      </c>
    </row>
    <row r="4" spans="1:4">
      <c r="A4" s="7" t="s">
        <v>68</v>
      </c>
      <c r="B4" s="7" t="s">
        <v>69</v>
      </c>
      <c r="C4" s="7" t="s">
        <v>70</v>
      </c>
      <c r="D4" s="7" t="s">
        <v>71</v>
      </c>
    </row>
    <row r="5" spans="1:4">
      <c r="A5" t="s">
        <v>72</v>
      </c>
      <c r="B5" s="10">
        <v>0.109</v>
      </c>
      <c r="C5" s="10">
        <v>0.129</v>
      </c>
      <c r="D5" s="10">
        <v>0.108</v>
      </c>
    </row>
    <row r="6" spans="1:4">
      <c r="A6" t="s">
        <v>73</v>
      </c>
      <c r="B6" s="10">
        <v>0.133</v>
      </c>
      <c r="C6" s="10">
        <v>0.156</v>
      </c>
      <c r="D6" s="10">
        <v>0.167</v>
      </c>
    </row>
    <row r="7" spans="1:4">
      <c r="A7" t="s">
        <v>74</v>
      </c>
      <c r="B7" s="10">
        <v>0.021</v>
      </c>
      <c r="C7" s="10">
        <v>0.009000000000000001</v>
      </c>
      <c r="D7" s="10">
        <v>0.014</v>
      </c>
    </row>
    <row r="8" spans="1:4">
      <c r="A8" t="s">
        <v>75</v>
      </c>
      <c r="B8" s="10">
        <v>0.044</v>
      </c>
      <c r="C8" s="10">
        <v>0.08199999999999999</v>
      </c>
    </row>
    <row r="10" spans="1:4">
      <c r="A10" s="8" t="s">
        <v>76</v>
      </c>
      <c r="B10" s="10">
        <v>0.08199999999999999</v>
      </c>
    </row>
    <row r="11" spans="1:4">
      <c r="A11" t="s">
        <v>77</v>
      </c>
      <c r="B11" t="s">
        <v>78</v>
      </c>
    </row>
    <row r="13" spans="1:4">
      <c r="A13" s="8" t="s">
        <v>79</v>
      </c>
    </row>
    <row r="14" spans="1:4">
      <c r="A14" s="13" t="s">
        <v>80</v>
      </c>
      <c r="B14" s="13"/>
      <c r="C14" s="13"/>
      <c r="D14" s="13"/>
    </row>
    <row r="15" spans="1:4">
      <c r="A15" s="13"/>
      <c r="B15" s="13"/>
      <c r="C15" s="13"/>
      <c r="D15" s="13"/>
    </row>
    <row r="16" spans="1:4">
      <c r="A16" s="13"/>
      <c r="B16" s="13"/>
      <c r="C16" s="13"/>
      <c r="D16" s="13"/>
    </row>
    <row r="18" spans="1:2">
      <c r="A18" s="3" t="s">
        <v>81</v>
      </c>
    </row>
    <row r="19" spans="1:2">
      <c r="A19" s="8" t="s">
        <v>82</v>
      </c>
      <c r="B19" s="10">
        <v>0.385</v>
      </c>
    </row>
    <row r="20" spans="1:2">
      <c r="A20" s="8" t="s">
        <v>83</v>
      </c>
      <c r="B20" s="10">
        <v>0.529</v>
      </c>
    </row>
    <row r="21" spans="1:2">
      <c r="A21" s="8" t="s">
        <v>84</v>
      </c>
      <c r="B21" s="10">
        <v>0.501</v>
      </c>
    </row>
    <row r="22" spans="1:2">
      <c r="A22" s="8" t="s">
        <v>85</v>
      </c>
      <c r="B22" s="10">
        <v>0.6</v>
      </c>
    </row>
    <row r="23" spans="1:2">
      <c r="A23" s="8" t="s">
        <v>86</v>
      </c>
      <c r="B23" s="10">
        <v>1.075</v>
      </c>
    </row>
    <row r="24" spans="1:2">
      <c r="A24" s="8" t="s">
        <v>87</v>
      </c>
      <c r="B24" s="5">
        <v>0.52</v>
      </c>
    </row>
  </sheetData>
  <mergeCells count="1">
    <mergeCell ref="A14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30.7109375" customWidth="1"/>
    <col min="2" max="2" width="70.7109375" customWidth="1"/>
  </cols>
  <sheetData>
    <row r="1" spans="1:2">
      <c r="A1" s="1" t="s">
        <v>88</v>
      </c>
    </row>
    <row r="2" spans="1:2">
      <c r="A2" s="2" t="s">
        <v>89</v>
      </c>
    </row>
    <row r="4" spans="1:2">
      <c r="A4" s="8" t="s">
        <v>90</v>
      </c>
      <c r="B4" s="14" t="s">
        <v>91</v>
      </c>
    </row>
    <row r="6" spans="1:2">
      <c r="A6" s="8" t="s">
        <v>64</v>
      </c>
      <c r="B6" s="11">
        <v>370</v>
      </c>
    </row>
    <row r="7" spans="1:2">
      <c r="A7" s="8" t="s">
        <v>92</v>
      </c>
      <c r="B7" s="11">
        <v>224.09</v>
      </c>
    </row>
    <row r="8" spans="1:2">
      <c r="A8" s="8" t="s">
        <v>93</v>
      </c>
      <c r="B8" s="10">
        <v>-0.394</v>
      </c>
    </row>
    <row r="10" spans="1:2">
      <c r="A10" s="8" t="s">
        <v>94</v>
      </c>
      <c r="B10" t="s">
        <v>95</v>
      </c>
    </row>
    <row r="11" spans="1:2">
      <c r="A11" s="8" t="s">
        <v>96</v>
      </c>
      <c r="B11" t="s">
        <v>97</v>
      </c>
    </row>
    <row r="12" spans="1:2">
      <c r="A12" s="8" t="s">
        <v>98</v>
      </c>
      <c r="B12" t="s">
        <v>99</v>
      </c>
    </row>
    <row r="14" spans="1:2">
      <c r="A14" s="3" t="s">
        <v>100</v>
      </c>
    </row>
    <row r="15" spans="1:2">
      <c r="A15" s="15" t="s">
        <v>101</v>
      </c>
      <c r="B15" s="15"/>
    </row>
    <row r="16" spans="1:2">
      <c r="A16" s="15"/>
      <c r="B16" s="15"/>
    </row>
    <row r="17" spans="1:2">
      <c r="A17" s="15"/>
      <c r="B17" s="15"/>
    </row>
    <row r="18" spans="1:2">
      <c r="A18" s="15"/>
      <c r="B18" s="15"/>
    </row>
    <row r="20" spans="1:2">
      <c r="A20" s="3" t="s">
        <v>102</v>
      </c>
    </row>
    <row r="21" spans="1:2">
      <c r="A21" t="s">
        <v>103</v>
      </c>
      <c r="B21" s="15" t="s">
        <v>104</v>
      </c>
    </row>
    <row r="22" spans="1:2">
      <c r="A22" t="s">
        <v>103</v>
      </c>
      <c r="B22" s="15" t="s">
        <v>105</v>
      </c>
    </row>
    <row r="23" spans="1:2">
      <c r="A23" t="s">
        <v>103</v>
      </c>
      <c r="B23" s="15" t="s">
        <v>106</v>
      </c>
    </row>
    <row r="24" spans="1:2">
      <c r="A24" t="s">
        <v>103</v>
      </c>
      <c r="B24" s="15" t="s">
        <v>107</v>
      </c>
    </row>
    <row r="25" spans="1:2">
      <c r="A25" t="s">
        <v>103</v>
      </c>
      <c r="B25" s="15" t="s">
        <v>108</v>
      </c>
    </row>
    <row r="26" spans="1:2">
      <c r="A26" t="s">
        <v>103</v>
      </c>
      <c r="B26" s="15" t="s">
        <v>109</v>
      </c>
    </row>
    <row r="28" spans="1:2">
      <c r="A28" s="3" t="s">
        <v>110</v>
      </c>
    </row>
    <row r="29" spans="1:2">
      <c r="A29" t="s">
        <v>111</v>
      </c>
      <c r="B29" s="15" t="s">
        <v>112</v>
      </c>
    </row>
    <row r="30" spans="1:2">
      <c r="A30" t="s">
        <v>111</v>
      </c>
      <c r="B30" s="15" t="s">
        <v>113</v>
      </c>
    </row>
    <row r="31" spans="1:2">
      <c r="A31" t="s">
        <v>111</v>
      </c>
      <c r="B31" s="15" t="s">
        <v>114</v>
      </c>
    </row>
    <row r="32" spans="1:2">
      <c r="A32" t="s">
        <v>111</v>
      </c>
      <c r="B32" s="15" t="s">
        <v>115</v>
      </c>
    </row>
    <row r="33" spans="1:2">
      <c r="A33" t="s">
        <v>111</v>
      </c>
      <c r="B33" s="15" t="s">
        <v>116</v>
      </c>
    </row>
    <row r="34" spans="1:2">
      <c r="A34" t="s">
        <v>111</v>
      </c>
      <c r="B34" s="15" t="s">
        <v>117</v>
      </c>
    </row>
  </sheetData>
  <mergeCells count="1">
    <mergeCell ref="A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2026-02-04T23:49:22Z</dcterms:created>
  <dcterms:modified xsi:type="dcterms:W3CDTF">2026-02-04T23:49:22Z</dcterms:modified>
</cp:coreProperties>
</file>