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<sst xmlns="http://schemas.openxmlformats.org/spreadsheetml/2006/main" count="365" uniqueCount="175">
  <si>
    <t xml:space="preserve">Ticker</t>
  </si>
  <si>
    <t xml:space="preserve">2628.HK</t>
  </si>
  <si>
    <t xml:space="preserve">Company</t>
  </si>
  <si>
    <t xml:space="preserve">China Life Insurance Company Limited</t>
  </si>
  <si>
    <t xml:space="preserve">Valuation date</t>
  </si>
  <si>
    <t xml:space="preserve">2026-10-22</t>
  </si>
  <si>
    <t xml:space="preserve">Current price</t>
  </si>
  <si>
    <t xml:space="preserve">Price as of</t>
  </si>
  <si>
    <t xml:space="preserve">2026-10-22T03:28:03Z HKEX intraday (11:28 HKT, morning session) -- an intraday print, replace at the regular close; 52-week range 22.46-36.16, i.e. the price sits AT the bottom of its range, 38% below the high, ahead of the Q3 2026 results due around the end of October 2026</t>
  </si>
  <si>
    <t xml:space="preserve">Balance sheet date</t>
  </si>
  <si>
    <t xml:space="preserve">2026-06-30</t>
  </si>
  <si>
    <t xml:space="preserve">Model</t>
  </si>
  <si>
    <t xml:space="preserve">Life insurer FCFE at cost of equity, net debt held at zero (engine route)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</si>
  <si>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</si>
  <si>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</si>
  <si>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</si>
  <si>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</si>
  <si>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</si>
  <si>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</si>
  <si>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</si>
  <si>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</si>
  <si>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</si>
  <si>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2026-10-22T03:48:48Z</t>
  </si>
  <si>
    <t xml:space="preserve">Drivers file</t>
  </si>
  <si>
    <t xml:space="preserve">2628.HK_Drivers.json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</si>
  <si>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</si>
  <si>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</si>
  <si>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</si>
  <si>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China Life is valued on the cash a shareholder actually receives -- dividends -- discounted at a 10% CNY cost of equity, with the FY2025/H1 2026 investment-gain windfall explicitly normalised away by FY2027 rather than capitalised. The base case lands the H-share near 1.0x H1 2026 book and ~0.4x embedded value: the valuation is a bet on the payout ratio rising from 16% toward 45% as solvency allows, not on peak earnings persisting. At 0.82x book, 0.34x EV and a 4.5% trailing yield the quote already discounts a harsh H2 2026; the 43% H-discount to the A-share is structural and is not assumed to close.
key_risks_to_valuation: H2 2026 A-share reversal: 135.8bn of H1 2026 unrealised gains sit in profit under IFRS 9 FVTPL; a 10% equity-market fall roughly erases a half-year of normalised profit (bear case).; Negative spread: ~1.8% 10-year CGB against a legacy book with 3-3.5% guaranteed rates; the regulator's dynamic guaranteed-rate mechanism reprices new business only.; Payout ratio is the dominant lever: every 5pp on the terminal payout is worth roughly 10% of the base IV; the 16% FY2025 payout is the lowest in a decade and the base case assumes it nearly triples.; IFRS 17 revenue and margin are not stable quantities: total revenues can swing 20% a year on investment income, so the growth and margin paths must be read together as a net-income path.; A/H discount (43%) and capital controls: the per-share value is on the total share count; nothing in the model assumes the H-share converges on the A-share price.; State control (68.37% China Life Group): dividend policy, equity-allocation mandates ('patient capital', 'five priorities') and risk appetite are set with policy objectives alongside shareholder returns.; Solvency drawdowns under C-ROSS II: core solvency moved 128.8% -&gt; 156.8% in six months on OCI; it can move the other way just as fast and would cap the payout.</t>
  </si>
  <si>
    <t xml:space="preserve">Data sources</t>
  </si>
  <si>
    <t xml:space="preserve">price: Yahoo Finance chart API at inputs.price_as_of (intraday HKEX print); 52-week range 22.46-36.16. fx from CNYHKD=X / HKDCNY=X same timestamp; A-share parity from 601628.SS.
financials: research/2628.HK/Reports/2628.HK_Metrics.csv (core_metrics FY2018-FY2025, H1 FY2023-H1 FY2026) and the kpis table (EmbeddedValue, ValueOfNewBusiness, GrossWrittenPremiums, SolvencyRatio, DividendsPaid, NetIncomeInclNCI, RevenueRestated, NetIncomeRestated, InterestRevenueOnFinancialAssets); FY2025 Annual Report (2628.HK_Annual_FY2025.txt: income statement :5940-5959, investment income :1093-1104, dividends Note 30 :11000-11013, EV :1527-1532); H1 2026 interim (2628.HK_HalfYear_H1-2026.txt: KPIs :440-470, investment income :864-880, solvency :1150-1151, dividends Note 15 :3640-3646, outlook :1222-1262).
qualitative: No 2628.HK_Analysis.json existed at build time; business context from the FY2025 AR and H1 2026 interim MD&amp;A directly, and from the 1336.HK (New China Life) valuation as the sector template.</t>
  </si>
  <si>
    <t xml:space="preserve">Scenario narrative: bear</t>
  </si>
  <si>
    <t xml:space="preserve">H2 2026 market drawdown reverses the H1 gains, then a negative-spread FY2027 at a 17% margin; growth 3-4%, payout held in the 30s. The H-share stays at ~0.25x EV.</t>
  </si>
  <si>
    <t xml:space="preserve">Scenario narrative: base</t>
  </si>
  <si>
    <t xml:space="preserve">Peak-cycle FY2025/H1 2026 earnings normalise in FY2027 to ~RMB98bn (ROE ~14%); investment assets and CSM release grow the book 5-6.5% a year; payout rises from 17% to 45% over ten years as solvency stays comfortably above 150%. Cost of equity 10% CNY.</t>
  </si>
  <si>
    <t xml:space="preserve">Scenario narrative: bull</t>
  </si>
  <si>
    <t xml:space="preserve">A ~5% sustained total investment return, VNB compounding 15-20% on participating products, margin 25.5%, payout to 55%: the H-share rerates toward 0.6x EV.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</si>
  <si>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</si>
  <si>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</si>
  <si>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</si>
  <si>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</si>
  <si>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</si>
  <si>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</si>
  <si>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</si>
  <si>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</si>
  <si>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</si>
  <si>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</si>
  <si>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</si>
  <si>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</si>
  <si>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</si>
  <si>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</si>
  <si>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</si>
  <si>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</si>
  <si>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</si>
  <si>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</si>
  <si>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</si>
  <si>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</si>
  <si>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</si>
  <si>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</si>
  <si>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</si>
  <si>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</si>
  <si>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</si>
  <si>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</si>
  <si>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</si>
  <si>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EmbeddedValue</t>
  </si>
  <si>
    <t xml:space="preserve">GrossInvestmentIncome</t>
  </si>
  <si>
    <t xml:space="preserve">GrossWrittenPremiums</t>
  </si>
  <si>
    <t xml:space="preserve">InsuranceRevenue</t>
  </si>
  <si>
    <t xml:space="preserve">InterestRevenueOnFinancialAssets</t>
  </si>
  <si>
    <t xml:space="preserve">NetIncomeInclNCI</t>
  </si>
  <si>
    <t xml:space="preserve">NetIncomeRestated</t>
  </si>
  <si>
    <t xml:space="preserve">RepoLiabilities</t>
  </si>
  <si>
    <t xml:space="preserve">RevenueRestated</t>
  </si>
  <si>
    <t xml:space="preserve">SolvencyRatio</t>
  </si>
  <si>
    <t xml:space="preserve">TotalEquityInclNCI</t>
  </si>
  <si>
    <t xml:space="preserve">ValueOfNewBusiness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</si>
  <si>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</si>
  <si>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</si>
  <si>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</si>
  <si>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</si>
  <si>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</si>
  <si>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</si>
  <si>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</si>
  <si>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</si>
  <si>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</si>
  <si>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</si>
  <si>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</si>
  <si>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</si>
  <si>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</si>
  <si>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</si>
  <si>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</si>
  <si>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</si>
  <si>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</si>
  <si>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</si>
  <si>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</si>
  <si>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</si>
  <si>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</si>
  <si>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</si>
  <si>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</si>
  <si>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</si>
  <si>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</si>
  <si>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</si>
  <si>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</si>
  <si>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</si>
  <si>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</si>
  <si>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</si>
  <si>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</si>
  <si>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</si>
  <si>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</si>
  <si>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</si>
  <si>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</si>
  <si>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</si>
  <si>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</si>
  <si>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</si>
  <si>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</si>
  <si>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</si>
  <si>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</si>
  <si>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</si>
  <si>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</si>
  <si>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</si>
  <si>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</si>
  <si>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2628.HK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</si>
  <si>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</si>
  <si>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</si>
  <si>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</si>
  <si>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</si>
  <si>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</si>
  <si>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</si>
  <si>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</si>
  <si>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</si>
  <si>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</si>
  <si>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</si>
  <si>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</si>
  <si>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</si>
  <si>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</si>
  <si>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</si>
  <si>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</si>
  <si>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</si>
  <si>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</si>
  <si>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</si>
  <si>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</si>
  <si>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</si>
  <si>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</si>
  <si>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</si>
  <si>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</si>
  <si>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</si>
  <si>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</si>
  <si>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</si>
  <si>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</si>
  <si>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</si>
  <si>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</si>
  <si>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</si>
  <si>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2628.HK owner-FCF component DCF: base case (millions, CNY)</t>
  </si>
  <si>
    <t xml:space="preserve">2628.HK owner-FCF component DCF: bull case (millions, CNY)</t>
  </si>
  <si>
    <t xml:space="preserve">2628.HK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</si>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</sst>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22.54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  <c r="AG1" s="2" t="s">
        <v>68</v>
      </c>
      <c r="AH1" s="2" t="s">
        <v>69</v>
      </c>
      <c r="AI1" s="2" t="s">
        <v>70</v>
      </c>
      <c r="AJ1" s="2" t="s">
        <v>71</v>
      </c>
      <c r="AK1" s="2" t="s">
        <v>72</v>
      </c>
      <c r="AL1" s="2" t="s">
        <v>73</v>
      </c>
      <c r="AM1" s="2" t="s">
        <v>74</v>
      </c>
      <c r="AN1" s="2" t="s">
        <v>75</v>
      </c>
    </row>
    <row r="2" customFormat="false" ht="15" hidden="false" customHeight="false" outlineLevel="0" collapsed="false">
      <c r="A2" s="0" t="s">
        <v>76</v>
      </c>
      <c r="B2" s="0" t="n">
        <v>627419</v>
      </c>
      <c r="I2" s="0" t="n">
        <v>11395</v>
      </c>
      <c r="J2" s="0" t="n">
        <v>1.8</v>
      </c>
      <c r="K2" s="0" t="n">
        <v>0.39</v>
      </c>
      <c r="L2" s="0" t="n">
        <v>147552</v>
      </c>
      <c r="M2" s="0" t="n">
        <v>19546</v>
      </c>
      <c r="N2" s="0" t="n">
        <v>128006</v>
      </c>
      <c r="O2" s="0" t="n">
        <v>318371</v>
      </c>
      <c r="P2" s="0" t="n">
        <v>3254403</v>
      </c>
      <c r="Q2" s="0" t="n">
        <v>2931113</v>
      </c>
      <c r="R2" s="0" t="n">
        <v>20150</v>
      </c>
      <c r="S2" s="0" t="n">
        <v>50809</v>
      </c>
      <c r="T2" s="0" t="n">
        <v>28264.705</v>
      </c>
      <c r="U2" s="0" t="n">
        <v>0</v>
      </c>
      <c r="AA2" s="0" t="s">
        <v>18</v>
      </c>
      <c r="AB2" s="0" t="s">
        <v>14</v>
      </c>
      <c r="AC2" s="0" t="n">
        <v>795052</v>
      </c>
      <c r="AD2" s="0" t="n">
        <v>125167</v>
      </c>
      <c r="AE2" s="0" t="n">
        <v>535826</v>
      </c>
      <c r="AH2" s="0" t="n">
        <v>11936</v>
      </c>
      <c r="AJ2" s="0" t="n">
        <v>192141</v>
      </c>
      <c r="AM2" s="0" t="n">
        <v>323290</v>
      </c>
      <c r="AN2" s="0" t="n">
        <v>49511</v>
      </c>
    </row>
    <row r="3" customFormat="false" ht="15" hidden="false" customHeight="false" outlineLevel="0" collapsed="false">
      <c r="A3" s="0" t="s">
        <v>77</v>
      </c>
      <c r="B3" s="0" t="n">
        <v>729474</v>
      </c>
      <c r="I3" s="0" t="n">
        <v>58287</v>
      </c>
      <c r="J3" s="0" t="n">
        <v>8</v>
      </c>
      <c r="K3" s="0" t="n">
        <v>2.05</v>
      </c>
      <c r="L3" s="0" t="n">
        <v>286032</v>
      </c>
      <c r="M3" s="0" t="n">
        <v>11415</v>
      </c>
      <c r="N3" s="0" t="n">
        <v>274617</v>
      </c>
      <c r="O3" s="0" t="n">
        <v>403764</v>
      </c>
      <c r="P3" s="0" t="n">
        <v>3726734</v>
      </c>
      <c r="Q3" s="0" t="n">
        <v>3317392</v>
      </c>
      <c r="R3" s="0" t="n">
        <v>55035</v>
      </c>
      <c r="S3" s="0" t="n">
        <v>53306</v>
      </c>
      <c r="T3" s="0" t="n">
        <v>28264.705</v>
      </c>
      <c r="U3" s="0" t="n">
        <v>0</v>
      </c>
      <c r="AA3" s="0" t="s">
        <v>18</v>
      </c>
      <c r="AB3" s="0" t="s">
        <v>14</v>
      </c>
      <c r="AC3" s="0" t="n">
        <v>942087</v>
      </c>
      <c r="AD3" s="0" t="n">
        <v>139919</v>
      </c>
      <c r="AE3" s="0" t="n">
        <v>567086</v>
      </c>
      <c r="AH3" s="0" t="n">
        <v>59014</v>
      </c>
      <c r="AJ3" s="0" t="n">
        <v>118088</v>
      </c>
      <c r="AM3" s="0" t="n">
        <v>409342</v>
      </c>
      <c r="AN3" s="0" t="n">
        <v>58698</v>
      </c>
    </row>
    <row r="4" customFormat="false" ht="15" hidden="false" customHeight="false" outlineLevel="0" collapsed="false">
      <c r="A4" s="0" t="s">
        <v>78</v>
      </c>
      <c r="B4" s="0" t="n">
        <v>804961</v>
      </c>
      <c r="I4" s="0" t="n">
        <v>50268</v>
      </c>
      <c r="J4" s="0" t="n">
        <v>6.2</v>
      </c>
      <c r="K4" s="0" t="n">
        <v>1.77</v>
      </c>
      <c r="L4" s="0" t="n">
        <v>304024</v>
      </c>
      <c r="M4" s="0" t="n">
        <v>7467</v>
      </c>
      <c r="N4" s="0" t="n">
        <v>296557</v>
      </c>
      <c r="O4" s="0" t="n">
        <v>450051</v>
      </c>
      <c r="P4" s="0" t="n">
        <v>4252410</v>
      </c>
      <c r="Q4" s="0" t="n">
        <v>3795479</v>
      </c>
      <c r="R4" s="0" t="n">
        <v>54548</v>
      </c>
      <c r="S4" s="0" t="n">
        <v>56629</v>
      </c>
      <c r="T4" s="0" t="n">
        <v>28264.705</v>
      </c>
      <c r="U4" s="0" t="n">
        <v>0</v>
      </c>
      <c r="AA4" s="0" t="s">
        <v>18</v>
      </c>
      <c r="AB4" s="0" t="s">
        <v>14</v>
      </c>
      <c r="AC4" s="0" t="n">
        <v>1072140</v>
      </c>
      <c r="AD4" s="0" t="n">
        <v>154497</v>
      </c>
      <c r="AE4" s="0" t="n">
        <v>612265</v>
      </c>
      <c r="AH4" s="0" t="n">
        <v>51385</v>
      </c>
      <c r="AJ4" s="0" t="n">
        <v>122249</v>
      </c>
      <c r="AM4" s="0" t="n">
        <v>456931</v>
      </c>
      <c r="AN4" s="0" t="n">
        <v>58373</v>
      </c>
    </row>
    <row r="5" customFormat="false" ht="15" hidden="false" customHeight="false" outlineLevel="0" collapsed="false">
      <c r="A5" s="0" t="s">
        <v>79</v>
      </c>
      <c r="B5" s="0" t="n">
        <v>824930</v>
      </c>
      <c r="I5" s="0" t="n">
        <v>50921</v>
      </c>
      <c r="J5" s="0" t="n">
        <v>6.2</v>
      </c>
      <c r="K5" s="0" t="n">
        <v>1.8</v>
      </c>
      <c r="L5" s="0" t="n">
        <v>286448</v>
      </c>
      <c r="M5" s="0" t="n">
        <v>5475</v>
      </c>
      <c r="N5" s="0" t="n">
        <v>280973</v>
      </c>
      <c r="O5" s="0" t="n">
        <v>478585</v>
      </c>
      <c r="P5" s="0" t="n">
        <v>4891085</v>
      </c>
      <c r="Q5" s="0" t="n">
        <v>4404427</v>
      </c>
      <c r="R5" s="0" t="n">
        <v>53680</v>
      </c>
      <c r="S5" s="0" t="n">
        <v>60440</v>
      </c>
      <c r="T5" s="0" t="n">
        <v>28264.705</v>
      </c>
      <c r="U5" s="0" t="n">
        <v>0</v>
      </c>
      <c r="AA5" s="0" t="s">
        <v>18</v>
      </c>
      <c r="AB5" s="0" t="s">
        <v>14</v>
      </c>
      <c r="AC5" s="0" t="n">
        <v>1203008</v>
      </c>
      <c r="AD5" s="0" t="n">
        <v>178387</v>
      </c>
      <c r="AE5" s="0" t="n">
        <v>618327</v>
      </c>
      <c r="AH5" s="0" t="n">
        <v>52412</v>
      </c>
      <c r="AJ5" s="0" t="n">
        <v>239446</v>
      </c>
      <c r="AM5" s="0" t="n">
        <v>486658</v>
      </c>
      <c r="AN5" s="0" t="n">
        <v>44780</v>
      </c>
    </row>
    <row r="6" customFormat="false" ht="15" hidden="false" customHeight="false" outlineLevel="0" collapsed="false">
      <c r="A6" s="0" t="s">
        <v>80</v>
      </c>
      <c r="B6" s="0" t="n">
        <v>804388</v>
      </c>
      <c r="I6" s="0" t="n">
        <v>32082</v>
      </c>
      <c r="J6" s="0" t="n">
        <v>4</v>
      </c>
      <c r="K6" s="0" t="n">
        <v>1.14</v>
      </c>
      <c r="L6" s="0" t="n">
        <v>351968</v>
      </c>
      <c r="M6" s="0" t="n">
        <v>3076</v>
      </c>
      <c r="N6" s="0" t="n">
        <v>348892</v>
      </c>
      <c r="O6" s="0" t="n">
        <v>436169</v>
      </c>
      <c r="P6" s="0" t="n">
        <v>5251988</v>
      </c>
      <c r="Q6" s="0" t="n">
        <v>4806867</v>
      </c>
      <c r="R6" s="0" t="n">
        <v>47771</v>
      </c>
      <c r="S6" s="0" t="n">
        <v>127594</v>
      </c>
      <c r="T6" s="0" t="n">
        <v>28264.705</v>
      </c>
      <c r="U6" s="0" t="n">
        <v>0</v>
      </c>
      <c r="AA6" s="0" t="s">
        <v>18</v>
      </c>
      <c r="AB6" s="0" t="s">
        <v>14</v>
      </c>
      <c r="AC6" s="0" t="n">
        <v>1230519</v>
      </c>
      <c r="AD6" s="0" t="n">
        <v>186629</v>
      </c>
      <c r="AE6" s="0" t="n">
        <v>615190</v>
      </c>
      <c r="AH6" s="0" t="n">
        <v>33514</v>
      </c>
      <c r="AI6" s="0" t="n">
        <v>66680</v>
      </c>
      <c r="AJ6" s="0" t="n">
        <v>148958</v>
      </c>
      <c r="AK6" s="0" t="n">
        <v>370861</v>
      </c>
      <c r="AM6" s="0" t="n">
        <v>445121</v>
      </c>
      <c r="AN6" s="0" t="n">
        <v>36004</v>
      </c>
    </row>
    <row r="7" customFormat="false" ht="15" hidden="false" customHeight="false" outlineLevel="0" collapsed="false">
      <c r="A7" s="0" t="s">
        <v>81</v>
      </c>
      <c r="B7" s="0" t="n">
        <v>344746</v>
      </c>
      <c r="I7" s="0" t="n">
        <v>46181</v>
      </c>
      <c r="J7" s="0" t="n">
        <v>13.4</v>
      </c>
      <c r="K7" s="0" t="n">
        <v>1.63</v>
      </c>
      <c r="L7" s="0" t="n">
        <v>384366</v>
      </c>
      <c r="M7" s="0" t="n">
        <v>4171</v>
      </c>
      <c r="N7" s="0" t="n">
        <v>380195</v>
      </c>
      <c r="O7" s="0" t="n">
        <v>477093</v>
      </c>
      <c r="P7" s="0" t="n">
        <v>5802086</v>
      </c>
      <c r="Q7" s="0" t="n">
        <v>5315052</v>
      </c>
      <c r="R7" s="0" t="n">
        <v>49023</v>
      </c>
      <c r="S7" s="0" t="n">
        <v>149305</v>
      </c>
      <c r="T7" s="0" t="n">
        <v>28264.705</v>
      </c>
      <c r="U7" s="0" t="n">
        <v>0</v>
      </c>
      <c r="AA7" s="0" t="s">
        <v>18</v>
      </c>
      <c r="AB7" s="0" t="s">
        <v>14</v>
      </c>
      <c r="AC7" s="0" t="n">
        <v>1260567</v>
      </c>
      <c r="AE7" s="0" t="n">
        <v>641380</v>
      </c>
      <c r="AF7" s="0" t="n">
        <v>212445</v>
      </c>
      <c r="AG7" s="0" t="n">
        <v>122994</v>
      </c>
      <c r="AH7" s="0" t="n">
        <v>47547</v>
      </c>
      <c r="AM7" s="0" t="n">
        <v>487034</v>
      </c>
      <c r="AN7" s="0" t="n">
        <v>36860</v>
      </c>
    </row>
    <row r="8" customFormat="false" ht="15" hidden="false" customHeight="false" outlineLevel="0" collapsed="false">
      <c r="A8" s="0" t="s">
        <v>82</v>
      </c>
      <c r="B8" s="0" t="n">
        <v>528627</v>
      </c>
      <c r="I8" s="0" t="n">
        <v>106935</v>
      </c>
      <c r="J8" s="0" t="n">
        <v>20.2</v>
      </c>
      <c r="K8" s="0" t="n">
        <v>3.78</v>
      </c>
      <c r="L8" s="0" t="n">
        <v>378795</v>
      </c>
      <c r="O8" s="0" t="n">
        <v>509675</v>
      </c>
      <c r="P8" s="0" t="n">
        <v>6769546</v>
      </c>
      <c r="Q8" s="0" t="n">
        <v>6248298</v>
      </c>
      <c r="R8" s="0" t="n">
        <v>47952</v>
      </c>
      <c r="S8" s="0" t="n">
        <v>85505</v>
      </c>
      <c r="T8" s="0" t="n">
        <v>28264.705</v>
      </c>
      <c r="U8" s="0" t="n">
        <v>0</v>
      </c>
      <c r="AA8" s="0" t="s">
        <v>18</v>
      </c>
      <c r="AB8" s="0" t="s">
        <v>14</v>
      </c>
      <c r="AC8" s="0" t="n">
        <v>1401146</v>
      </c>
      <c r="AE8" s="0" t="n">
        <v>671457</v>
      </c>
      <c r="AF8" s="0" t="n">
        <v>208161</v>
      </c>
      <c r="AG8" s="0" t="n">
        <v>120958</v>
      </c>
      <c r="AH8" s="0" t="n">
        <v>108940</v>
      </c>
      <c r="AL8" s="0" t="n">
        <v>207.76</v>
      </c>
      <c r="AM8" s="0" t="n">
        <v>521248</v>
      </c>
      <c r="AN8" s="0" t="n">
        <v>33709</v>
      </c>
    </row>
    <row r="9" customFormat="false" ht="15" hidden="false" customHeight="false" outlineLevel="0" collapsed="false">
      <c r="A9" s="0" t="s">
        <v>83</v>
      </c>
      <c r="B9" s="0" t="n">
        <v>616065</v>
      </c>
      <c r="I9" s="0" t="n">
        <v>154078</v>
      </c>
      <c r="J9" s="0" t="n">
        <v>25</v>
      </c>
      <c r="K9" s="0" t="n">
        <v>5.45</v>
      </c>
      <c r="L9" s="0" t="n">
        <v>459925</v>
      </c>
      <c r="O9" s="0" t="n">
        <v>595205</v>
      </c>
      <c r="P9" s="0" t="n">
        <v>7591004</v>
      </c>
      <c r="Q9" s="0" t="n">
        <v>6982611</v>
      </c>
      <c r="R9" s="0" t="n">
        <v>35251</v>
      </c>
      <c r="S9" s="0" t="n">
        <v>142373</v>
      </c>
      <c r="T9" s="0" t="n">
        <v>28264.705</v>
      </c>
      <c r="U9" s="0" t="n">
        <v>0</v>
      </c>
      <c r="AA9" s="0" t="s">
        <v>18</v>
      </c>
      <c r="AB9" s="0" t="s">
        <v>14</v>
      </c>
      <c r="AC9" s="0" t="n">
        <v>1467876</v>
      </c>
      <c r="AE9" s="0" t="n">
        <v>729887</v>
      </c>
      <c r="AF9" s="0" t="n">
        <v>214136</v>
      </c>
      <c r="AG9" s="0" t="n">
        <v>128286</v>
      </c>
      <c r="AH9" s="0" t="n">
        <v>156552</v>
      </c>
      <c r="AL9" s="0" t="n">
        <v>174.01</v>
      </c>
      <c r="AM9" s="0" t="n">
        <v>608393</v>
      </c>
      <c r="AN9" s="0" t="n">
        <v>45752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84</v>
      </c>
      <c r="B1" s="2" t="s">
        <v>85</v>
      </c>
    </row>
    <row r="2" customFormat="false" ht="15" hidden="false" customHeight="false" outlineLevel="0" collapsed="false">
      <c r="A2" s="0" t="s">
        <v>86</v>
      </c>
      <c r="B2" s="3" t="n">
        <v>22.54</v>
      </c>
    </row>
    <row r="3" customFormat="false" ht="15" hidden="false" customHeight="false" outlineLevel="0" collapsed="false">
      <c r="A3" s="0" t="s">
        <v>87</v>
      </c>
      <c r="B3" s="3" t="n">
        <v>28264.705</v>
      </c>
    </row>
    <row r="4" customFormat="false" ht="15" hidden="false" customHeight="false" outlineLevel="0" collapsed="false">
      <c r="A4" s="0" t="s">
        <v>88</v>
      </c>
      <c r="B4" s="3" t="n">
        <v>0</v>
      </c>
    </row>
    <row r="5" customFormat="false" ht="15" hidden="false" customHeight="false" outlineLevel="0" collapsed="false">
      <c r="A5" s="0" t="s">
        <v>89</v>
      </c>
      <c r="B5" s="3" t="n">
        <v>0</v>
      </c>
    </row>
    <row r="6" customFormat="false" ht="15" hidden="false" customHeight="false" outlineLevel="0" collapsed="false">
      <c r="A6" s="0" t="s">
        <v>90</v>
      </c>
      <c r="B6" s="3" t="n">
        <v>15</v>
      </c>
    </row>
    <row r="7" customFormat="false" ht="15" hidden="false" customHeight="false" outlineLevel="0" collapsed="false">
      <c r="A7" s="0" t="s">
        <v>91</v>
      </c>
      <c r="B7" s="3" t="n">
        <v>616065</v>
      </c>
    </row>
    <row r="8" customFormat="false" ht="15" hidden="false" customHeight="false" outlineLevel="0" collapsed="false">
      <c r="A8" s="0" t="s">
        <v>92</v>
      </c>
      <c r="B8" s="3" t="s">
        <v>83</v>
      </c>
    </row>
    <row r="9" customFormat="false" ht="15" hidden="false" customHeight="false" outlineLevel="0" collapsed="false">
      <c r="A9" s="0" t="s">
        <v>93</v>
      </c>
      <c r="B9" s="3" t="s">
        <v>94</v>
      </c>
    </row>
    <row r="10" customFormat="false" ht="15" hidden="false" customHeight="false" outlineLevel="0" collapsed="false">
      <c r="A10" s="0" t="s">
        <v>95</v>
      </c>
      <c r="B10" s="3" t="n">
        <v>1.175</v>
      </c>
    </row>
    <row r="12" customFormat="false" ht="15" hidden="false" customHeight="false" outlineLevel="0" collapsed="false">
      <c r="A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s">
        <v>104</v>
      </c>
      <c r="K12" s="2" t="s">
        <v>105</v>
      </c>
      <c r="L12" s="2" t="s">
        <v>106</v>
      </c>
    </row>
    <row r="13" customFormat="false" ht="15" hidden="false" customHeight="false" outlineLevel="0" collapsed="false">
      <c r="A13" s="0" t="s">
        <v>107</v>
      </c>
      <c r="C13" s="3" t="n">
        <v>-15</v>
      </c>
      <c r="D13" s="3" t="n">
        <v>-19</v>
      </c>
      <c r="E13" s="3" t="n">
        <v>3</v>
      </c>
      <c r="F13" s="3" t="n">
        <v>3.5</v>
      </c>
      <c r="G13" s="3" t="n">
        <v>4</v>
      </c>
      <c r="H13" s="3" t="n">
        <v>4</v>
      </c>
      <c r="I13" s="3" t="n">
        <v>4</v>
      </c>
      <c r="J13" s="3" t="n">
        <v>3.5</v>
      </c>
      <c r="K13" s="3" t="n">
        <v>3</v>
      </c>
      <c r="L13" s="3" t="n">
        <v>3</v>
      </c>
    </row>
    <row r="14" customFormat="false" ht="15" hidden="false" customHeight="false" outlineLevel="0" collapsed="false">
      <c r="A14" s="0" t="s">
        <v>108</v>
      </c>
      <c r="C14" s="3" t="n">
        <v>22</v>
      </c>
      <c r="D14" s="3" t="n">
        <v>17</v>
      </c>
      <c r="E14" s="3" t="n">
        <v>17.5</v>
      </c>
      <c r="F14" s="3" t="n">
        <v>18</v>
      </c>
      <c r="G14" s="3" t="n">
        <v>18</v>
      </c>
      <c r="H14" s="3" t="n">
        <v>18</v>
      </c>
      <c r="I14" s="3" t="n">
        <v>18</v>
      </c>
      <c r="J14" s="3" t="n">
        <v>18</v>
      </c>
      <c r="K14" s="3" t="n">
        <v>18</v>
      </c>
      <c r="L14" s="3" t="n">
        <v>18</v>
      </c>
    </row>
    <row r="15" customFormat="false" ht="15" hidden="false" customHeight="false" outlineLevel="0" collapsed="false">
      <c r="A15" s="0" t="s">
        <v>109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110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111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112</v>
      </c>
      <c r="C18" s="3" t="n">
        <v>14.96</v>
      </c>
      <c r="D18" s="3" t="n">
        <v>10.12</v>
      </c>
      <c r="E18" s="3" t="n">
        <v>10.12</v>
      </c>
      <c r="F18" s="3" t="n">
        <v>10.1</v>
      </c>
      <c r="G18" s="3" t="n">
        <v>9.95</v>
      </c>
      <c r="H18" s="3" t="n">
        <v>9.79</v>
      </c>
      <c r="I18" s="3" t="n">
        <v>9.64</v>
      </c>
      <c r="J18" s="3" t="n">
        <v>9.49</v>
      </c>
      <c r="K18" s="3" t="n">
        <v>9.33</v>
      </c>
      <c r="L18" s="3" t="n">
        <v>9.18</v>
      </c>
    </row>
    <row r="19" customFormat="false" ht="15" hidden="false" customHeight="false" outlineLevel="0" collapsed="false">
      <c r="A19" s="0" t="s">
        <v>113</v>
      </c>
      <c r="C19" s="3" t="n">
        <v>15</v>
      </c>
      <c r="D19" s="3" t="n">
        <v>15</v>
      </c>
      <c r="E19" s="3" t="n">
        <v>15</v>
      </c>
      <c r="F19" s="3" t="n">
        <v>15</v>
      </c>
      <c r="G19" s="3" t="n">
        <v>15</v>
      </c>
      <c r="H19" s="3" t="n">
        <v>15</v>
      </c>
      <c r="I19" s="3" t="n">
        <v>15</v>
      </c>
      <c r="J19" s="3" t="n">
        <v>15</v>
      </c>
      <c r="K19" s="3" t="n">
        <v>15</v>
      </c>
      <c r="L19" s="3" t="n">
        <v>15</v>
      </c>
    </row>
    <row r="20" customFormat="false" ht="15" hidden="false" customHeight="false" outlineLevel="0" collapsed="false">
      <c r="A20" s="0" t="s">
        <v>114</v>
      </c>
      <c r="B20" s="3" t="n">
        <v>10</v>
      </c>
    </row>
    <row r="21" customFormat="false" ht="15" hidden="false" customHeight="false" outlineLevel="0" collapsed="false">
      <c r="A21" s="0" t="s">
        <v>115</v>
      </c>
      <c r="B21" s="3" t="n">
        <v>2.5</v>
      </c>
    </row>
    <row r="22" customFormat="false" ht="15" hidden="false" customHeight="false" outlineLevel="0" collapsed="false">
      <c r="A22" s="0" t="s">
        <v>116</v>
      </c>
      <c r="B22" s="3" t="n">
        <v>12</v>
      </c>
    </row>
    <row r="23" customFormat="false" ht="15" hidden="false" customHeight="false" outlineLevel="0" collapsed="false">
      <c r="A23" s="0" t="s">
        <v>117</v>
      </c>
      <c r="B23" s="3" t="n">
        <v>0</v>
      </c>
    </row>
    <row r="24" customFormat="false" ht="15" hidden="false" customHeight="false" outlineLevel="0" collapsed="false">
      <c r="A24" s="0" t="s">
        <v>118</v>
      </c>
      <c r="B24" s="3" t="n">
        <v>0.3</v>
      </c>
    </row>
    <row r="26" customFormat="false" ht="15" hidden="false" customHeight="false" outlineLevel="0" collapsed="false">
      <c r="A26" s="2" t="s">
        <v>119</v>
      </c>
      <c r="C26" s="2" t="s">
        <v>97</v>
      </c>
      <c r="D26" s="2" t="s">
        <v>98</v>
      </c>
      <c r="E26" s="2" t="s">
        <v>99</v>
      </c>
      <c r="F26" s="2" t="s">
        <v>100</v>
      </c>
      <c r="G26" s="2" t="s">
        <v>101</v>
      </c>
      <c r="H26" s="2" t="s">
        <v>102</v>
      </c>
      <c r="I26" s="2" t="s">
        <v>103</v>
      </c>
      <c r="J26" s="2" t="s">
        <v>104</v>
      </c>
      <c r="K26" s="2" t="s">
        <v>105</v>
      </c>
      <c r="L26" s="2" t="s">
        <v>106</v>
      </c>
    </row>
    <row r="27" customFormat="false" ht="15" hidden="false" customHeight="false" outlineLevel="0" collapsed="false">
      <c r="A27" s="0" t="s">
        <v>107</v>
      </c>
      <c r="C27" s="3" t="n">
        <v>2</v>
      </c>
      <c r="D27" s="3" t="n">
        <v>-20</v>
      </c>
      <c r="E27" s="3" t="n">
        <v>5</v>
      </c>
      <c r="F27" s="3" t="n">
        <v>6.5</v>
      </c>
      <c r="G27" s="3" t="n">
        <v>6.5</v>
      </c>
      <c r="H27" s="3" t="n">
        <v>6</v>
      </c>
      <c r="I27" s="3" t="n">
        <v>6</v>
      </c>
      <c r="J27" s="3" t="n">
        <v>5.5</v>
      </c>
      <c r="K27" s="3" t="n">
        <v>5</v>
      </c>
      <c r="L27" s="3" t="n">
        <v>4.5</v>
      </c>
    </row>
    <row r="28" customFormat="false" ht="15" hidden="false" customHeight="false" outlineLevel="0" collapsed="false">
      <c r="A28" s="0" t="s">
        <v>108</v>
      </c>
      <c r="C28" s="3" t="n">
        <v>29</v>
      </c>
      <c r="D28" s="3" t="n">
        <v>23</v>
      </c>
      <c r="E28" s="3" t="n">
        <v>23</v>
      </c>
      <c r="F28" s="3" t="n">
        <v>23.5</v>
      </c>
      <c r="G28" s="3" t="n">
        <v>23.5</v>
      </c>
      <c r="H28" s="3" t="n">
        <v>23.5</v>
      </c>
      <c r="I28" s="3" t="n">
        <v>23.5</v>
      </c>
      <c r="J28" s="3" t="n">
        <v>23.5</v>
      </c>
      <c r="K28" s="3" t="n">
        <v>23.5</v>
      </c>
      <c r="L28" s="3" t="n">
        <v>23.5</v>
      </c>
    </row>
    <row r="29" customFormat="false" ht="15" hidden="false" customHeight="false" outlineLevel="0" collapsed="false">
      <c r="A29" s="0" t="s">
        <v>109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110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111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112</v>
      </c>
      <c r="C32" s="3" t="n">
        <v>20.46</v>
      </c>
      <c r="D32" s="3" t="n">
        <v>14.08</v>
      </c>
      <c r="E32" s="3" t="n">
        <v>13.69</v>
      </c>
      <c r="F32" s="3" t="n">
        <v>13.58</v>
      </c>
      <c r="G32" s="3" t="n">
        <v>13.18</v>
      </c>
      <c r="H32" s="3" t="n">
        <v>12.78</v>
      </c>
      <c r="I32" s="3" t="n">
        <v>12.38</v>
      </c>
      <c r="J32" s="3" t="n">
        <v>11.99</v>
      </c>
      <c r="K32" s="3" t="n">
        <v>11.59</v>
      </c>
      <c r="L32" s="3" t="n">
        <v>10.99</v>
      </c>
    </row>
    <row r="33" customFormat="false" ht="15" hidden="false" customHeight="false" outlineLevel="0" collapsed="false">
      <c r="A33" s="0" t="s">
        <v>113</v>
      </c>
      <c r="C33" s="3" t="n">
        <v>15</v>
      </c>
      <c r="D33" s="3" t="n">
        <v>15</v>
      </c>
      <c r="E33" s="3" t="n">
        <v>15</v>
      </c>
      <c r="F33" s="3" t="n">
        <v>15</v>
      </c>
      <c r="G33" s="3" t="n">
        <v>15</v>
      </c>
      <c r="H33" s="3" t="n">
        <v>15</v>
      </c>
      <c r="I33" s="3" t="n">
        <v>15</v>
      </c>
      <c r="J33" s="3" t="n">
        <v>15</v>
      </c>
      <c r="K33" s="3" t="n">
        <v>15</v>
      </c>
      <c r="L33" s="3" t="n">
        <v>15</v>
      </c>
    </row>
    <row r="34" customFormat="false" ht="15" hidden="false" customHeight="false" outlineLevel="0" collapsed="false">
      <c r="A34" s="0" t="s">
        <v>114</v>
      </c>
      <c r="B34" s="3" t="n">
        <v>10</v>
      </c>
    </row>
    <row r="35" customFormat="false" ht="15" hidden="false" customHeight="false" outlineLevel="0" collapsed="false">
      <c r="A35" s="0" t="s">
        <v>115</v>
      </c>
      <c r="B35" s="3" t="n">
        <v>3</v>
      </c>
    </row>
    <row r="36" customFormat="false" ht="15" hidden="false" customHeight="false" outlineLevel="0" collapsed="false">
      <c r="A36" s="0" t="s">
        <v>116</v>
      </c>
      <c r="B36" s="3" t="n">
        <v>15</v>
      </c>
    </row>
    <row r="37" customFormat="false" ht="15" hidden="false" customHeight="false" outlineLevel="0" collapsed="false">
      <c r="A37" s="0" t="s">
        <v>117</v>
      </c>
      <c r="B37" s="3" t="n">
        <v>0</v>
      </c>
    </row>
    <row r="38" customFormat="false" ht="15" hidden="false" customHeight="false" outlineLevel="0" collapsed="false">
      <c r="A38" s="0" t="s">
        <v>118</v>
      </c>
      <c r="B38" s="3" t="n">
        <v>0.5</v>
      </c>
    </row>
    <row r="40" customFormat="false" ht="15" hidden="false" customHeight="false" outlineLevel="0" collapsed="false">
      <c r="A40" s="2" t="s">
        <v>120</v>
      </c>
      <c r="C40" s="2" t="s">
        <v>97</v>
      </c>
      <c r="D40" s="2" t="s">
        <v>98</v>
      </c>
      <c r="E40" s="2" t="s">
        <v>99</v>
      </c>
      <c r="F40" s="2" t="s">
        <v>100</v>
      </c>
      <c r="G40" s="2" t="s">
        <v>101</v>
      </c>
      <c r="H40" s="2" t="s">
        <v>102</v>
      </c>
      <c r="I40" s="2" t="s">
        <v>103</v>
      </c>
      <c r="J40" s="2" t="s">
        <v>104</v>
      </c>
      <c r="K40" s="2" t="s">
        <v>105</v>
      </c>
      <c r="L40" s="2" t="s">
        <v>106</v>
      </c>
    </row>
    <row r="41" customFormat="false" ht="15" hidden="false" customHeight="false" outlineLevel="0" collapsed="false">
      <c r="A41" s="0" t="s">
        <v>107</v>
      </c>
      <c r="C41" s="3" t="n">
        <v>10</v>
      </c>
      <c r="D41" s="3" t="n">
        <v>-14</v>
      </c>
      <c r="E41" s="3" t="n">
        <v>7</v>
      </c>
      <c r="F41" s="3" t="n">
        <v>7.5</v>
      </c>
      <c r="G41" s="3" t="n">
        <v>7.5</v>
      </c>
      <c r="H41" s="3" t="n">
        <v>7</v>
      </c>
      <c r="I41" s="3" t="n">
        <v>6.5</v>
      </c>
      <c r="J41" s="3" t="n">
        <v>6</v>
      </c>
      <c r="K41" s="3" t="n">
        <v>5.5</v>
      </c>
      <c r="L41" s="3" t="n">
        <v>5</v>
      </c>
    </row>
    <row r="42" customFormat="false" ht="15" hidden="false" customHeight="false" outlineLevel="0" collapsed="false">
      <c r="A42" s="0" t="s">
        <v>108</v>
      </c>
      <c r="C42" s="3" t="n">
        <v>30</v>
      </c>
      <c r="D42" s="3" t="n">
        <v>25</v>
      </c>
      <c r="E42" s="3" t="n">
        <v>25</v>
      </c>
      <c r="F42" s="3" t="n">
        <v>25.5</v>
      </c>
      <c r="G42" s="3" t="n">
        <v>25.5</v>
      </c>
      <c r="H42" s="3" t="n">
        <v>25.5</v>
      </c>
      <c r="I42" s="3" t="n">
        <v>25.5</v>
      </c>
      <c r="J42" s="3" t="n">
        <v>25.5</v>
      </c>
      <c r="K42" s="3" t="n">
        <v>25.5</v>
      </c>
      <c r="L42" s="3" t="n">
        <v>25.5</v>
      </c>
    </row>
    <row r="43" customFormat="false" ht="15" hidden="false" customHeight="false" outlineLevel="0" collapsed="false">
      <c r="A43" s="0" t="s">
        <v>109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110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111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112</v>
      </c>
      <c r="C46" s="3" t="n">
        <v>21.17</v>
      </c>
      <c r="D46" s="3" t="n">
        <v>14.88</v>
      </c>
      <c r="E46" s="3" t="n">
        <v>14.03</v>
      </c>
      <c r="F46" s="3" t="n">
        <v>13.44</v>
      </c>
      <c r="G46" s="3" t="n">
        <v>12.57</v>
      </c>
      <c r="H46" s="3" t="n">
        <v>11.92</v>
      </c>
      <c r="I46" s="3" t="n">
        <v>11.27</v>
      </c>
      <c r="J46" s="3" t="n">
        <v>10.84</v>
      </c>
      <c r="K46" s="3" t="n">
        <v>10.4</v>
      </c>
      <c r="L46" s="3" t="n">
        <v>9.75</v>
      </c>
    </row>
    <row r="47" customFormat="false" ht="15" hidden="false" customHeight="false" outlineLevel="0" collapsed="false">
      <c r="A47" s="0" t="s">
        <v>113</v>
      </c>
      <c r="C47" s="3" t="n">
        <v>15</v>
      </c>
      <c r="D47" s="3" t="n">
        <v>15</v>
      </c>
      <c r="E47" s="3" t="n">
        <v>15</v>
      </c>
      <c r="F47" s="3" t="n">
        <v>15</v>
      </c>
      <c r="G47" s="3" t="n">
        <v>15</v>
      </c>
      <c r="H47" s="3" t="n">
        <v>15</v>
      </c>
      <c r="I47" s="3" t="n">
        <v>15</v>
      </c>
      <c r="J47" s="3" t="n">
        <v>15</v>
      </c>
      <c r="K47" s="3" t="n">
        <v>15</v>
      </c>
      <c r="L47" s="3" t="n">
        <v>15</v>
      </c>
    </row>
    <row r="48" customFormat="false" ht="15" hidden="false" customHeight="false" outlineLevel="0" collapsed="false">
      <c r="A48" s="0" t="s">
        <v>114</v>
      </c>
      <c r="B48" s="3" t="n">
        <v>10</v>
      </c>
    </row>
    <row r="49" customFormat="false" ht="15" hidden="false" customHeight="false" outlineLevel="0" collapsed="false">
      <c r="A49" s="0" t="s">
        <v>115</v>
      </c>
      <c r="B49" s="3" t="n">
        <v>3.5</v>
      </c>
    </row>
    <row r="50" customFormat="false" ht="15" hidden="false" customHeight="false" outlineLevel="0" collapsed="false">
      <c r="A50" s="0" t="s">
        <v>116</v>
      </c>
      <c r="B50" s="3" t="n">
        <v>17</v>
      </c>
    </row>
    <row r="51" customFormat="false" ht="15" hidden="false" customHeight="false" outlineLevel="0" collapsed="false">
      <c r="A51" s="0" t="s">
        <v>117</v>
      </c>
      <c r="B51" s="3" t="n">
        <v>0</v>
      </c>
    </row>
    <row r="52" customFormat="false" ht="15" hidden="false" customHeight="false" outlineLevel="0" collapsed="false">
      <c r="A52" s="0" t="s">
        <v>118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121</v>
      </c>
    </row>
    <row r="3" customFormat="false" ht="15" hidden="false" customHeight="false" outlineLevel="0" collapsed="false">
      <c r="A3" s="0" t="s">
        <v>122</v>
      </c>
      <c r="B3" s="0" t="s">
        <v>83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Assumptions!C13</f>
        <v>-15</v>
      </c>
      <c r="D5" s="4" t="n">
        <f aca="false">Assumptions!D13</f>
        <v>-19</v>
      </c>
      <c r="E5" s="4" t="n">
        <f aca="false">Assumptions!E13</f>
        <v>3</v>
      </c>
      <c r="F5" s="4" t="n">
        <f aca="false">Assumptions!F13</f>
        <v>3.5</v>
      </c>
      <c r="G5" s="4" t="n">
        <f aca="false">Assumptions!G13</f>
        <v>4</v>
      </c>
      <c r="H5" s="4" t="n">
        <f aca="false">Assumptions!H13</f>
        <v>4</v>
      </c>
      <c r="I5" s="4" t="n">
        <f aca="false">Assumptions!I13</f>
        <v>4</v>
      </c>
      <c r="J5" s="4" t="n">
        <f aca="false">Assumptions!J13</f>
        <v>3.5</v>
      </c>
      <c r="K5" s="4" t="n">
        <f aca="false">Assumptions!K13</f>
        <v>3</v>
      </c>
      <c r="L5" s="4" t="n">
        <f aca="false">Assumptions!L13</f>
        <v>3</v>
      </c>
    </row>
    <row r="6" customFormat="false" ht="15" hidden="false" customHeight="false" outlineLevel="0" collapsed="false">
      <c r="A6" s="0" t="s">
        <v>38</v>
      </c>
      <c r="B6" s="3" t="n">
        <v>616065</v>
      </c>
      <c r="C6" s="0" t="n">
        <f aca="false">B6*(1+C5/100)</f>
        <v>523655.25</v>
      </c>
      <c r="D6" s="0" t="n">
        <f aca="false">C6*(1+D5/100)</f>
        <v>424160.7525</v>
      </c>
      <c r="E6" s="0" t="n">
        <f aca="false">D6*(1+E5/100)</f>
        <v>436885.575075</v>
      </c>
      <c r="F6" s="0" t="n">
        <f aca="false">E6*(1+F5/100)</f>
        <v>452176.570202625</v>
      </c>
      <c r="G6" s="0" t="n">
        <f aca="false">F6*(1+G5/100)</f>
        <v>470263.63301073</v>
      </c>
      <c r="H6" s="0" t="n">
        <f aca="false">G6*(1+H5/100)</f>
        <v>489074.178331159</v>
      </c>
      <c r="I6" s="0" t="n">
        <f aca="false">H6*(1+I5/100)</f>
        <v>508637.145464406</v>
      </c>
      <c r="J6" s="0" t="n">
        <f aca="false">I6*(1+J5/100)</f>
        <v>526439.44555566</v>
      </c>
      <c r="K6" s="0" t="n">
        <f aca="false">J6*(1+K5/100)</f>
        <v>542232.62892233</v>
      </c>
      <c r="L6" s="0" t="n">
        <f aca="false">K6*(1+L5/100)</f>
        <v>558499.60779</v>
      </c>
    </row>
    <row r="7" customFormat="false" ht="15" hidden="false" customHeight="false" outlineLevel="0" collapsed="false">
      <c r="A7" s="0" t="s">
        <v>108</v>
      </c>
      <c r="C7" s="4" t="n">
        <f aca="false">Assumptions!C14</f>
        <v>22</v>
      </c>
      <c r="D7" s="4" t="n">
        <f aca="false">Assumptions!D14</f>
        <v>17</v>
      </c>
      <c r="E7" s="4" t="n">
        <f aca="false">Assumptions!E14</f>
        <v>17.5</v>
      </c>
      <c r="F7" s="4" t="n">
        <f aca="false">Assumptions!F14</f>
        <v>18</v>
      </c>
      <c r="G7" s="4" t="n">
        <f aca="false">Assumptions!G14</f>
        <v>18</v>
      </c>
      <c r="H7" s="4" t="n">
        <f aca="false">Assumptions!H14</f>
        <v>18</v>
      </c>
      <c r="I7" s="4" t="n">
        <f aca="false">Assumptions!I14</f>
        <v>18</v>
      </c>
      <c r="J7" s="4" t="n">
        <f aca="false">Assumptions!J14</f>
        <v>18</v>
      </c>
      <c r="K7" s="4" t="n">
        <f aca="false">Assumptions!K14</f>
        <v>18</v>
      </c>
      <c r="L7" s="4" t="n">
        <f aca="false">Assumptions!L14</f>
        <v>18</v>
      </c>
    </row>
    <row r="8" customFormat="false" ht="15" hidden="false" customHeight="false" outlineLevel="0" collapsed="false">
      <c r="A8" s="0" t="s">
        <v>44</v>
      </c>
      <c r="C8" s="0" t="n">
        <f aca="false">C6*C7/100</f>
        <v>115204.155</v>
      </c>
      <c r="D8" s="0" t="n">
        <f aca="false">D6*D7/100</f>
        <v>72107.327925</v>
      </c>
      <c r="E8" s="0" t="n">
        <f aca="false">E6*E7/100</f>
        <v>76454.975638125</v>
      </c>
      <c r="F8" s="0" t="n">
        <f aca="false">F6*F7/100</f>
        <v>81391.7826364725</v>
      </c>
      <c r="G8" s="0" t="n">
        <f aca="false">G6*G7/100</f>
        <v>84647.4539419314</v>
      </c>
      <c r="H8" s="0" t="n">
        <f aca="false">H6*H7/100</f>
        <v>88033.3520996086</v>
      </c>
      <c r="I8" s="0" t="n">
        <f aca="false">I6*I7/100</f>
        <v>91554.686183593</v>
      </c>
      <c r="J8" s="0" t="n">
        <f aca="false">J6*J7/100</f>
        <v>94759.1002000188</v>
      </c>
      <c r="K8" s="0" t="n">
        <f aca="false">K6*K7/100</f>
        <v>97601.8732060193</v>
      </c>
      <c r="L8" s="0" t="n">
        <f aca="false">L6*L7/100</f>
        <v>100529.9294022</v>
      </c>
    </row>
    <row r="9" customFormat="false" ht="15" hidden="false" customHeight="false" outlineLevel="0" collapsed="false">
      <c r="A9" s="0" t="s">
        <v>109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115204.155</v>
      </c>
      <c r="D11" s="0" t="n">
        <f aca="false">D8+D10+D24</f>
        <v>72107.327925</v>
      </c>
      <c r="E11" s="0" t="n">
        <f aca="false">E8+E10+E24</f>
        <v>76454.975638125</v>
      </c>
      <c r="F11" s="0" t="n">
        <f aca="false">F8+F10+F24</f>
        <v>81391.7826364725</v>
      </c>
      <c r="G11" s="0" t="n">
        <f aca="false">G8+G10+G24</f>
        <v>84647.4539419314</v>
      </c>
      <c r="H11" s="0" t="n">
        <f aca="false">H8+H10+H24</f>
        <v>88033.3520996086</v>
      </c>
      <c r="I11" s="0" t="n">
        <f aca="false">I8+I10+I24</f>
        <v>91554.686183593</v>
      </c>
      <c r="J11" s="0" t="n">
        <f aca="false">J8+J10+J24</f>
        <v>94759.1002000188</v>
      </c>
      <c r="K11" s="0" t="n">
        <f aca="false">K8+K10+K24</f>
        <v>97601.8732060193</v>
      </c>
      <c r="L11" s="0" t="n">
        <f aca="false">L8+L10+L24</f>
        <v>100529.9294022</v>
      </c>
    </row>
    <row r="12" customFormat="false" ht="15" hidden="false" customHeight="false" outlineLevel="0" collapsed="false">
      <c r="A12" s="0" t="s">
        <v>126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115204.155</v>
      </c>
      <c r="D13" s="0" t="n">
        <f aca="false">D11+D12</f>
        <v>72107.327925</v>
      </c>
      <c r="E13" s="0" t="n">
        <f aca="false">E11+E12</f>
        <v>76454.975638125</v>
      </c>
      <c r="F13" s="0" t="n">
        <f aca="false">F11+F12</f>
        <v>81391.7826364725</v>
      </c>
      <c r="G13" s="0" t="n">
        <f aca="false">G11+G12</f>
        <v>84647.4539419314</v>
      </c>
      <c r="H13" s="0" t="n">
        <f aca="false">H11+H12</f>
        <v>88033.3520996086</v>
      </c>
      <c r="I13" s="0" t="n">
        <f aca="false">I11+I12</f>
        <v>91554.686183593</v>
      </c>
      <c r="J13" s="0" t="n">
        <f aca="false">J11+J12</f>
        <v>94759.1002000188</v>
      </c>
      <c r="K13" s="0" t="n">
        <f aca="false">K11+K12</f>
        <v>97601.8732060193</v>
      </c>
      <c r="L13" s="0" t="n">
        <f aca="false">L11+L12</f>
        <v>100529.9294022</v>
      </c>
    </row>
    <row r="14" customFormat="false" ht="15" hidden="false" customHeight="false" outlineLevel="0" collapsed="false">
      <c r="A14" s="0" t="s">
        <v>113</v>
      </c>
      <c r="C14" s="4" t="n">
        <f aca="false">Assumptions!C19</f>
        <v>15</v>
      </c>
      <c r="D14" s="4" t="n">
        <f aca="false">Assumptions!D19</f>
        <v>15</v>
      </c>
      <c r="E14" s="4" t="n">
        <f aca="false">Assumptions!E19</f>
        <v>15</v>
      </c>
      <c r="F14" s="4" t="n">
        <f aca="false">Assumptions!F19</f>
        <v>15</v>
      </c>
      <c r="G14" s="4" t="n">
        <f aca="false">Assumptions!G19</f>
        <v>15</v>
      </c>
      <c r="H14" s="4" t="n">
        <f aca="false">Assumptions!H19</f>
        <v>15</v>
      </c>
      <c r="I14" s="4" t="n">
        <f aca="false">Assumptions!I19</f>
        <v>15</v>
      </c>
      <c r="J14" s="4" t="n">
        <f aca="false">Assumptions!J19</f>
        <v>15</v>
      </c>
      <c r="K14" s="4" t="n">
        <f aca="false">Assumptions!K19</f>
        <v>15</v>
      </c>
      <c r="L14" s="4" t="n">
        <f aca="false">Assumptions!L19</f>
        <v>15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97923.53175</v>
      </c>
      <c r="D15" s="0" t="n">
        <f aca="false">D13-MAX(0,D13)*D14/100</f>
        <v>61291.22873625</v>
      </c>
      <c r="E15" s="0" t="n">
        <f aca="false">E13-MAX(0,E13)*E14/100</f>
        <v>64986.7292924063</v>
      </c>
      <c r="F15" s="0" t="n">
        <f aca="false">F13-MAX(0,F13)*F14/100</f>
        <v>69183.0152410016</v>
      </c>
      <c r="G15" s="0" t="n">
        <f aca="false">G13-MAX(0,G13)*G14/100</f>
        <v>71950.3358506417</v>
      </c>
      <c r="H15" s="0" t="n">
        <f aca="false">H13-MAX(0,H13)*H14/100</f>
        <v>74828.3492846674</v>
      </c>
      <c r="I15" s="0" t="n">
        <f aca="false">I13-MAX(0,I13)*I14/100</f>
        <v>77821.483256054</v>
      </c>
      <c r="J15" s="0" t="n">
        <f aca="false">J13-MAX(0,J13)*J14/100</f>
        <v>80545.235170016</v>
      </c>
      <c r="K15" s="0" t="n">
        <f aca="false">K13-MAX(0,K13)*K14/100</f>
        <v>82961.5922251164</v>
      </c>
      <c r="L15" s="0" t="n">
        <f aca="false">L13-MAX(0,L13)*L14/100</f>
        <v>85450.4399918699</v>
      </c>
    </row>
    <row r="16" customFormat="false" ht="15" hidden="false" customHeight="false" outlineLevel="0" collapsed="false">
      <c r="A16" s="0" t="s">
        <v>129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130</v>
      </c>
      <c r="C17" s="4" t="n">
        <f aca="false">-C6*Assumptions!C18/100</f>
        <v>-78338.8254</v>
      </c>
      <c r="D17" s="4" t="n">
        <f aca="false">-D6*Assumptions!D18/100</f>
        <v>-42925.068153</v>
      </c>
      <c r="E17" s="4" t="n">
        <f aca="false">-E6*Assumptions!E18/100</f>
        <v>-44212.82019759</v>
      </c>
      <c r="F17" s="4" t="n">
        <f aca="false">-F6*Assumptions!F18/100</f>
        <v>-45669.8335904651</v>
      </c>
      <c r="G17" s="4" t="n">
        <f aca="false">-G6*Assumptions!G18/100</f>
        <v>-46791.2314845676</v>
      </c>
      <c r="H17" s="4" t="n">
        <f aca="false">-H6*Assumptions!H18/100</f>
        <v>-47880.3620586205</v>
      </c>
      <c r="I17" s="4" t="n">
        <f aca="false">-I6*Assumptions!I18/100</f>
        <v>-49032.6208227687</v>
      </c>
      <c r="J17" s="4" t="n">
        <f aca="false">-J6*Assumptions!J18/100</f>
        <v>-49959.1033832321</v>
      </c>
      <c r="K17" s="4" t="n">
        <f aca="false">-K6*Assumptions!K18/100</f>
        <v>-50590.3042784533</v>
      </c>
      <c r="L17" s="4" t="n">
        <f aca="false">-L6*Assumptions!L18/100</f>
        <v>-51270.263995122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(C6-B6)*Assumptions!$B$23/100</f>
        <v>-0</v>
      </c>
      <c r="D18" s="4" t="n">
        <f aca="false">(D6-C6)*Assumptions!$B$23/100</f>
        <v>-0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19584.70635</v>
      </c>
      <c r="D19" s="0" t="n">
        <f aca="false">D15+D16+D17+D18</f>
        <v>18366.16058325</v>
      </c>
      <c r="E19" s="0" t="n">
        <f aca="false">E15+E16+E17+E18</f>
        <v>20773.9090948163</v>
      </c>
      <c r="F19" s="0" t="n">
        <f aca="false">F15+F16+F17+F18</f>
        <v>23513.1816505365</v>
      </c>
      <c r="G19" s="0" t="n">
        <f aca="false">G15+G16+G17+G18</f>
        <v>25159.1043660741</v>
      </c>
      <c r="H19" s="0" t="n">
        <f aca="false">H15+H16+H17+H18</f>
        <v>26947.9872260469</v>
      </c>
      <c r="I19" s="0" t="n">
        <f aca="false">I15+I16+I17+I18</f>
        <v>28788.8624332853</v>
      </c>
      <c r="J19" s="0" t="n">
        <f aca="false">J15+J16+J17+J18</f>
        <v>30586.1317867838</v>
      </c>
      <c r="K19" s="0" t="n">
        <f aca="false">K15+K16+K17+K18</f>
        <v>32371.2879466631</v>
      </c>
      <c r="L19" s="0" t="n">
        <f aca="false">L15+L16+L17+L18</f>
        <v>34180.175996748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17804.2785</v>
      </c>
      <c r="D21" s="0" t="n">
        <f aca="false">D19*D20</f>
        <v>15178.645110124</v>
      </c>
      <c r="E21" s="0" t="n">
        <f aca="false">E19*E20</f>
        <v>15607.7453755194</v>
      </c>
      <c r="F21" s="0" t="n">
        <f aca="false">F19*F20</f>
        <v>16059.8194457595</v>
      </c>
      <c r="G21" s="0" t="n">
        <f aca="false">G19*G20</f>
        <v>15621.8243699661</v>
      </c>
      <c r="H21" s="0" t="n">
        <f aca="false">H19*H20</f>
        <v>15211.4362565257</v>
      </c>
      <c r="I21" s="0" t="n">
        <f aca="false">I19*I20</f>
        <v>14773.2384722674</v>
      </c>
      <c r="J21" s="0" t="n">
        <f aca="false">J19*J20</f>
        <v>14268.6562106022</v>
      </c>
      <c r="K21" s="0" t="n">
        <f aca="false">K19*K20</f>
        <v>13728.5861218297</v>
      </c>
      <c r="L21" s="0" t="n">
        <f aca="false">L19*L20</f>
        <v>13177.9374870665</v>
      </c>
    </row>
    <row r="23" customFormat="false" ht="15" hidden="false" customHeight="false" outlineLevel="0" collapsed="false">
      <c r="A23" s="0" t="s">
        <v>110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115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116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151432.16734966</v>
      </c>
    </row>
    <row r="31" customFormat="false" ht="15" hidden="false" customHeight="false" outlineLevel="0" collapsed="false">
      <c r="A31" s="0" t="s">
        <v>138</v>
      </c>
      <c r="B31" s="0" t="n">
        <f aca="false">L19</f>
        <v>34180.175996748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467129.071955556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410162.111960976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410162.111960976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158135.249844798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309567.417194459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309567.417194459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12.8691141550386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-0.429054385313285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12.8691141550386</v>
      </c>
    </row>
    <row r="45" customFormat="false" ht="15" hidden="false" customHeight="false" outlineLevel="0" collapsed="false">
      <c r="A45" s="0" t="s">
        <v>90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280277.443173333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7.89571453654055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122</v>
      </c>
      <c r="B3" s="0" t="s">
        <v>83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Assumptions!C27</f>
        <v>2</v>
      </c>
      <c r="D5" s="4" t="n">
        <f aca="false">Assumptions!D27</f>
        <v>-20</v>
      </c>
      <c r="E5" s="4" t="n">
        <f aca="false">Assumptions!E27</f>
        <v>5</v>
      </c>
      <c r="F5" s="4" t="n">
        <f aca="false">Assumptions!F27</f>
        <v>6.5</v>
      </c>
      <c r="G5" s="4" t="n">
        <f aca="false">Assumptions!G27</f>
        <v>6.5</v>
      </c>
      <c r="H5" s="4" t="n">
        <f aca="false">Assumptions!H27</f>
        <v>6</v>
      </c>
      <c r="I5" s="4" t="n">
        <f aca="false">Assumptions!I27</f>
        <v>6</v>
      </c>
      <c r="J5" s="4" t="n">
        <f aca="false">Assumptions!J27</f>
        <v>5.5</v>
      </c>
      <c r="K5" s="4" t="n">
        <f aca="false">Assumptions!K27</f>
        <v>5</v>
      </c>
      <c r="L5" s="4" t="n">
        <f aca="false">Assumptions!L27</f>
        <v>4.5</v>
      </c>
    </row>
    <row r="6" customFormat="false" ht="15" hidden="false" customHeight="false" outlineLevel="0" collapsed="false">
      <c r="A6" s="0" t="s">
        <v>38</v>
      </c>
      <c r="B6" s="3" t="n">
        <v>616065</v>
      </c>
      <c r="C6" s="0" t="n">
        <f aca="false">B6*(1+C5/100)</f>
        <v>628386.3</v>
      </c>
      <c r="D6" s="0" t="n">
        <f aca="false">C6*(1+D5/100)</f>
        <v>502709.04</v>
      </c>
      <c r="E6" s="0" t="n">
        <f aca="false">D6*(1+E5/100)</f>
        <v>527844.492</v>
      </c>
      <c r="F6" s="0" t="n">
        <f aca="false">E6*(1+F5/100)</f>
        <v>562154.38398</v>
      </c>
      <c r="G6" s="0" t="n">
        <f aca="false">F6*(1+G5/100)</f>
        <v>598694.4189387</v>
      </c>
      <c r="H6" s="0" t="n">
        <f aca="false">G6*(1+H5/100)</f>
        <v>634616.084075022</v>
      </c>
      <c r="I6" s="0" t="n">
        <f aca="false">H6*(1+I5/100)</f>
        <v>672693.049119523</v>
      </c>
      <c r="J6" s="0" t="n">
        <f aca="false">I6*(1+J5/100)</f>
        <v>709691.166821097</v>
      </c>
      <c r="K6" s="0" t="n">
        <f aca="false">J6*(1+K5/100)</f>
        <v>745175.725162152</v>
      </c>
      <c r="L6" s="0" t="n">
        <f aca="false">K6*(1+L5/100)</f>
        <v>778708.632794449</v>
      </c>
    </row>
    <row r="7" customFormat="false" ht="15" hidden="false" customHeight="false" outlineLevel="0" collapsed="false">
      <c r="A7" s="0" t="s">
        <v>108</v>
      </c>
      <c r="C7" s="4" t="n">
        <f aca="false">Assumptions!C28</f>
        <v>29</v>
      </c>
      <c r="D7" s="4" t="n">
        <f aca="false">Assumptions!D28</f>
        <v>23</v>
      </c>
      <c r="E7" s="4" t="n">
        <f aca="false">Assumptions!E28</f>
        <v>23</v>
      </c>
      <c r="F7" s="4" t="n">
        <f aca="false">Assumptions!F28</f>
        <v>23.5</v>
      </c>
      <c r="G7" s="4" t="n">
        <f aca="false">Assumptions!G28</f>
        <v>23.5</v>
      </c>
      <c r="H7" s="4" t="n">
        <f aca="false">Assumptions!H28</f>
        <v>23.5</v>
      </c>
      <c r="I7" s="4" t="n">
        <f aca="false">Assumptions!I28</f>
        <v>23.5</v>
      </c>
      <c r="J7" s="4" t="n">
        <f aca="false">Assumptions!J28</f>
        <v>23.5</v>
      </c>
      <c r="K7" s="4" t="n">
        <f aca="false">Assumptions!K28</f>
        <v>23.5</v>
      </c>
      <c r="L7" s="4" t="n">
        <f aca="false">Assumptions!L28</f>
        <v>23.5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182232.027</v>
      </c>
      <c r="D8" s="0" t="n">
        <f aca="false">D6*D7/100</f>
        <v>115623.0792</v>
      </c>
      <c r="E8" s="0" t="n">
        <f aca="false">E6*E7/100</f>
        <v>121404.23316</v>
      </c>
      <c r="F8" s="0" t="n">
        <f aca="false">F6*F7/100</f>
        <v>132106.2802353</v>
      </c>
      <c r="G8" s="0" t="n">
        <f aca="false">G6*G7/100</f>
        <v>140693.188450595</v>
      </c>
      <c r="H8" s="0" t="n">
        <f aca="false">H6*H7/100</f>
        <v>149134.77975763</v>
      </c>
      <c r="I8" s="0" t="n">
        <f aca="false">I6*I7/100</f>
        <v>158082.866543088</v>
      </c>
      <c r="J8" s="0" t="n">
        <f aca="false">J6*J7/100</f>
        <v>166777.424202958</v>
      </c>
      <c r="K8" s="0" t="n">
        <f aca="false">K6*K7/100</f>
        <v>175116.295413106</v>
      </c>
      <c r="L8" s="0" t="n">
        <f aca="false">L6*L7/100</f>
        <v>182996.528706695</v>
      </c>
    </row>
    <row r="9" customFormat="false" ht="15" hidden="false" customHeight="false" outlineLevel="0" collapsed="false">
      <c r="A9" s="0" t="s">
        <v>109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182232.027</v>
      </c>
      <c r="D11" s="0" t="n">
        <f aca="false">D8+D10+D24</f>
        <v>115623.0792</v>
      </c>
      <c r="E11" s="0" t="n">
        <f aca="false">E8+E10+E24</f>
        <v>121404.23316</v>
      </c>
      <c r="F11" s="0" t="n">
        <f aca="false">F8+F10+F24</f>
        <v>132106.2802353</v>
      </c>
      <c r="G11" s="0" t="n">
        <f aca="false">G8+G10+G24</f>
        <v>140693.188450595</v>
      </c>
      <c r="H11" s="0" t="n">
        <f aca="false">H8+H10+H24</f>
        <v>149134.77975763</v>
      </c>
      <c r="I11" s="0" t="n">
        <f aca="false">I8+I10+I24</f>
        <v>158082.866543088</v>
      </c>
      <c r="J11" s="0" t="n">
        <f aca="false">J8+J10+J24</f>
        <v>166777.424202958</v>
      </c>
      <c r="K11" s="0" t="n">
        <f aca="false">K8+K10+K24</f>
        <v>175116.295413106</v>
      </c>
      <c r="L11" s="0" t="n">
        <f aca="false">L8+L10+L24</f>
        <v>182996.528706695</v>
      </c>
    </row>
    <row r="12" customFormat="false" ht="15" hidden="false" customHeight="false" outlineLevel="0" collapsed="false">
      <c r="A12" s="0" t="s">
        <v>126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182232.027</v>
      </c>
      <c r="D13" s="0" t="n">
        <f aca="false">D11+D12</f>
        <v>115623.0792</v>
      </c>
      <c r="E13" s="0" t="n">
        <f aca="false">E11+E12</f>
        <v>121404.23316</v>
      </c>
      <c r="F13" s="0" t="n">
        <f aca="false">F11+F12</f>
        <v>132106.2802353</v>
      </c>
      <c r="G13" s="0" t="n">
        <f aca="false">G11+G12</f>
        <v>140693.188450595</v>
      </c>
      <c r="H13" s="0" t="n">
        <f aca="false">H11+H12</f>
        <v>149134.77975763</v>
      </c>
      <c r="I13" s="0" t="n">
        <f aca="false">I11+I12</f>
        <v>158082.866543088</v>
      </c>
      <c r="J13" s="0" t="n">
        <f aca="false">J11+J12</f>
        <v>166777.424202958</v>
      </c>
      <c r="K13" s="0" t="n">
        <f aca="false">K11+K12</f>
        <v>175116.295413106</v>
      </c>
      <c r="L13" s="0" t="n">
        <f aca="false">L11+L12</f>
        <v>182996.528706695</v>
      </c>
    </row>
    <row r="14" customFormat="false" ht="15" hidden="false" customHeight="false" outlineLevel="0" collapsed="false">
      <c r="A14" s="0" t="s">
        <v>113</v>
      </c>
      <c r="C14" s="4" t="n">
        <f aca="false">Assumptions!C33</f>
        <v>15</v>
      </c>
      <c r="D14" s="4" t="n">
        <f aca="false">Assumptions!D33</f>
        <v>15</v>
      </c>
      <c r="E14" s="4" t="n">
        <f aca="false">Assumptions!E33</f>
        <v>15</v>
      </c>
      <c r="F14" s="4" t="n">
        <f aca="false">Assumptions!F33</f>
        <v>15</v>
      </c>
      <c r="G14" s="4" t="n">
        <f aca="false">Assumptions!G33</f>
        <v>15</v>
      </c>
      <c r="H14" s="4" t="n">
        <f aca="false">Assumptions!H33</f>
        <v>15</v>
      </c>
      <c r="I14" s="4" t="n">
        <f aca="false">Assumptions!I33</f>
        <v>15</v>
      </c>
      <c r="J14" s="4" t="n">
        <f aca="false">Assumptions!J33</f>
        <v>15</v>
      </c>
      <c r="K14" s="4" t="n">
        <f aca="false">Assumptions!K33</f>
        <v>15</v>
      </c>
      <c r="L14" s="4" t="n">
        <f aca="false">Assumptions!L33</f>
        <v>15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154897.22295</v>
      </c>
      <c r="D15" s="0" t="n">
        <f aca="false">D13-MAX(0,D13)*D14/100</f>
        <v>98279.61732</v>
      </c>
      <c r="E15" s="0" t="n">
        <f aca="false">E13-MAX(0,E13)*E14/100</f>
        <v>103193.598186</v>
      </c>
      <c r="F15" s="0" t="n">
        <f aca="false">F13-MAX(0,F13)*F14/100</f>
        <v>112290.338200005</v>
      </c>
      <c r="G15" s="0" t="n">
        <f aca="false">G13-MAX(0,G13)*G14/100</f>
        <v>119589.210183005</v>
      </c>
      <c r="H15" s="0" t="n">
        <f aca="false">H13-MAX(0,H13)*H14/100</f>
        <v>126764.562793986</v>
      </c>
      <c r="I15" s="0" t="n">
        <f aca="false">I13-MAX(0,I13)*I14/100</f>
        <v>134370.436561625</v>
      </c>
      <c r="J15" s="0" t="n">
        <f aca="false">J13-MAX(0,J13)*J14/100</f>
        <v>141760.810572514</v>
      </c>
      <c r="K15" s="0" t="n">
        <f aca="false">K13-MAX(0,K13)*K14/100</f>
        <v>148848.85110114</v>
      </c>
      <c r="L15" s="0" t="n">
        <f aca="false">L13-MAX(0,L13)*L14/100</f>
        <v>155547.049400691</v>
      </c>
    </row>
    <row r="16" customFormat="false" ht="15" hidden="false" customHeight="false" outlineLevel="0" collapsed="false">
      <c r="A16" s="0" t="s">
        <v>129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130</v>
      </c>
      <c r="C17" s="4" t="n">
        <f aca="false">-C6*Assumptions!C32/100</f>
        <v>-128567.83698</v>
      </c>
      <c r="D17" s="4" t="n">
        <f aca="false">-D6*Assumptions!D32/100</f>
        <v>-70781.432832</v>
      </c>
      <c r="E17" s="4" t="n">
        <f aca="false">-E6*Assumptions!E32/100</f>
        <v>-72261.9109548</v>
      </c>
      <c r="F17" s="4" t="n">
        <f aca="false">-F6*Assumptions!F32/100</f>
        <v>-76340.565344484</v>
      </c>
      <c r="G17" s="4" t="n">
        <f aca="false">-G6*Assumptions!G32/100</f>
        <v>-78907.9244161207</v>
      </c>
      <c r="H17" s="4" t="n">
        <f aca="false">-H6*Assumptions!H32/100</f>
        <v>-81103.9355447878</v>
      </c>
      <c r="I17" s="4" t="n">
        <f aca="false">-I6*Assumptions!I32/100</f>
        <v>-83279.399480997</v>
      </c>
      <c r="J17" s="4" t="n">
        <f aca="false">-J6*Assumptions!J32/100</f>
        <v>-85091.9709018496</v>
      </c>
      <c r="K17" s="4" t="n">
        <f aca="false">-K6*Assumptions!K32/100</f>
        <v>-86365.8665462934</v>
      </c>
      <c r="L17" s="4" t="n">
        <f aca="false">-L6*Assumptions!L32/100</f>
        <v>-85580.0787441099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(C6-B6)*Assumptions!$B$37/100</f>
        <v>0</v>
      </c>
      <c r="D18" s="4" t="n">
        <f aca="false">(D6-C6)*Assumptions!$B$37/100</f>
        <v>-0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26329.38597</v>
      </c>
      <c r="D19" s="0" t="n">
        <f aca="false">D15+D16+D17+D18</f>
        <v>27498.184488</v>
      </c>
      <c r="E19" s="0" t="n">
        <f aca="false">E15+E16+E17+E18</f>
        <v>30931.6872312</v>
      </c>
      <c r="F19" s="0" t="n">
        <f aca="false">F15+F16+F17+F18</f>
        <v>35949.772855521</v>
      </c>
      <c r="G19" s="0" t="n">
        <f aca="false">G15+G16+G17+G18</f>
        <v>40681.2857668847</v>
      </c>
      <c r="H19" s="0" t="n">
        <f aca="false">H15+H16+H17+H18</f>
        <v>45660.6272491978</v>
      </c>
      <c r="I19" s="0" t="n">
        <f aca="false">I15+I16+I17+I18</f>
        <v>51091.0370806278</v>
      </c>
      <c r="J19" s="0" t="n">
        <f aca="false">J15+J16+J17+J18</f>
        <v>56668.8396706646</v>
      </c>
      <c r="K19" s="0" t="n">
        <f aca="false">K15+K16+K17+K18</f>
        <v>62482.9845548465</v>
      </c>
      <c r="L19" s="0" t="n">
        <f aca="false">L15+L16+L17+L18</f>
        <v>69966.9706565812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23935.8054272727</v>
      </c>
      <c r="D21" s="0" t="n">
        <f aca="false">D19*D20</f>
        <v>22725.7723041322</v>
      </c>
      <c r="E21" s="0" t="n">
        <f aca="false">E19*E20</f>
        <v>23239.4344336589</v>
      </c>
      <c r="F21" s="0" t="n">
        <f aca="false">F19*F20</f>
        <v>24554.1785776388</v>
      </c>
      <c r="G21" s="0" t="n">
        <f aca="false">G19*G20</f>
        <v>25259.8777821216</v>
      </c>
      <c r="H21" s="0" t="n">
        <f aca="false">H19*H20</f>
        <v>25774.2337120753</v>
      </c>
      <c r="I21" s="0" t="n">
        <f aca="false">I19*I20</f>
        <v>26217.7804467502</v>
      </c>
      <c r="J21" s="0" t="n">
        <f aca="false">J19*J20</f>
        <v>26436.4319342871</v>
      </c>
      <c r="K21" s="0" t="n">
        <f aca="false">K19*K20</f>
        <v>26498.8849385151</v>
      </c>
      <c r="L21" s="0" t="n">
        <f aca="false">L19*L20</f>
        <v>26975.2960183578</v>
      </c>
    </row>
    <row r="23" customFormat="false" ht="15" hidden="false" customHeight="false" outlineLevel="0" collapsed="false">
      <c r="A23" s="0" t="s">
        <v>110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115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116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251617.69557481</v>
      </c>
    </row>
    <row r="31" customFormat="false" ht="15" hidden="false" customHeight="false" outlineLevel="0" collapsed="false">
      <c r="A31" s="0" t="s">
        <v>138</v>
      </c>
      <c r="B31" s="0" t="n">
        <f aca="false">L19</f>
        <v>69966.9706565812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1029513.99680398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1049504.55984872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1029513.99680398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396922.212841551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648539.908416361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648539.908416361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26.9606349116053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0.19612399785294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26.9606349116053</v>
      </c>
    </row>
    <row r="45" customFormat="false" ht="15" hidden="false" customHeight="false" outlineLevel="0" collapsed="false">
      <c r="A45" s="0" t="s">
        <v>90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600549.831468989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14.3745816443544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0" t="s">
        <v>122</v>
      </c>
      <c r="B3" s="0" t="s">
        <v>83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Assumptions!C41</f>
        <v>10</v>
      </c>
      <c r="D5" s="4" t="n">
        <f aca="false">Assumptions!D41</f>
        <v>-14</v>
      </c>
      <c r="E5" s="4" t="n">
        <f aca="false">Assumptions!E41</f>
        <v>7</v>
      </c>
      <c r="F5" s="4" t="n">
        <f aca="false">Assumptions!F41</f>
        <v>7.5</v>
      </c>
      <c r="G5" s="4" t="n">
        <f aca="false">Assumptions!G41</f>
        <v>7.5</v>
      </c>
      <c r="H5" s="4" t="n">
        <f aca="false">Assumptions!H41</f>
        <v>7</v>
      </c>
      <c r="I5" s="4" t="n">
        <f aca="false">Assumptions!I41</f>
        <v>6.5</v>
      </c>
      <c r="J5" s="4" t="n">
        <f aca="false">Assumptions!J41</f>
        <v>6</v>
      </c>
      <c r="K5" s="4" t="n">
        <f aca="false">Assumptions!K41</f>
        <v>5.5</v>
      </c>
      <c r="L5" s="4" t="n">
        <f aca="false">Assumptions!L41</f>
        <v>5</v>
      </c>
    </row>
    <row r="6" customFormat="false" ht="15" hidden="false" customHeight="false" outlineLevel="0" collapsed="false">
      <c r="A6" s="0" t="s">
        <v>38</v>
      </c>
      <c r="B6" s="3" t="n">
        <v>616065</v>
      </c>
      <c r="C6" s="0" t="n">
        <f aca="false">B6*(1+C5/100)</f>
        <v>677671.5</v>
      </c>
      <c r="D6" s="0" t="n">
        <f aca="false">C6*(1+D5/100)</f>
        <v>582797.49</v>
      </c>
      <c r="E6" s="0" t="n">
        <f aca="false">D6*(1+E5/100)</f>
        <v>623593.3143</v>
      </c>
      <c r="F6" s="0" t="n">
        <f aca="false">E6*(1+F5/100)</f>
        <v>670362.8128725</v>
      </c>
      <c r="G6" s="0" t="n">
        <f aca="false">F6*(1+G5/100)</f>
        <v>720640.023837937</v>
      </c>
      <c r="H6" s="0" t="n">
        <f aca="false">G6*(1+H5/100)</f>
        <v>771084.825506593</v>
      </c>
      <c r="I6" s="0" t="n">
        <f aca="false">H6*(1+I5/100)</f>
        <v>821205.339164522</v>
      </c>
      <c r="J6" s="0" t="n">
        <f aca="false">I6*(1+J5/100)</f>
        <v>870477.659514393</v>
      </c>
      <c r="K6" s="0" t="n">
        <f aca="false">J6*(1+K5/100)</f>
        <v>918353.930787685</v>
      </c>
      <c r="L6" s="0" t="n">
        <f aca="false">K6*(1+L5/100)</f>
        <v>964271.627327069</v>
      </c>
    </row>
    <row r="7" customFormat="false" ht="15" hidden="false" customHeight="false" outlineLevel="0" collapsed="false">
      <c r="A7" s="0" t="s">
        <v>108</v>
      </c>
      <c r="C7" s="4" t="n">
        <f aca="false">Assumptions!C42</f>
        <v>30</v>
      </c>
      <c r="D7" s="4" t="n">
        <f aca="false">Assumptions!D42</f>
        <v>25</v>
      </c>
      <c r="E7" s="4" t="n">
        <f aca="false">Assumptions!E42</f>
        <v>25</v>
      </c>
      <c r="F7" s="4" t="n">
        <f aca="false">Assumptions!F42</f>
        <v>25.5</v>
      </c>
      <c r="G7" s="4" t="n">
        <f aca="false">Assumptions!G42</f>
        <v>25.5</v>
      </c>
      <c r="H7" s="4" t="n">
        <f aca="false">Assumptions!H42</f>
        <v>25.5</v>
      </c>
      <c r="I7" s="4" t="n">
        <f aca="false">Assumptions!I42</f>
        <v>25.5</v>
      </c>
      <c r="J7" s="4" t="n">
        <f aca="false">Assumptions!J42</f>
        <v>25.5</v>
      </c>
      <c r="K7" s="4" t="n">
        <f aca="false">Assumptions!K42</f>
        <v>25.5</v>
      </c>
      <c r="L7" s="4" t="n">
        <f aca="false">Assumptions!L42</f>
        <v>25.5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203301.45</v>
      </c>
      <c r="D8" s="0" t="n">
        <f aca="false">D6*D7/100</f>
        <v>145699.3725</v>
      </c>
      <c r="E8" s="0" t="n">
        <f aca="false">E6*E7/100</f>
        <v>155898.328575</v>
      </c>
      <c r="F8" s="0" t="n">
        <f aca="false">F6*F7/100</f>
        <v>170942.517282487</v>
      </c>
      <c r="G8" s="0" t="n">
        <f aca="false">G6*G7/100</f>
        <v>183763.206078674</v>
      </c>
      <c r="H8" s="0" t="n">
        <f aca="false">H6*H7/100</f>
        <v>196626.630504181</v>
      </c>
      <c r="I8" s="0" t="n">
        <f aca="false">I6*I7/100</f>
        <v>209407.361486953</v>
      </c>
      <c r="J8" s="0" t="n">
        <f aca="false">J6*J7/100</f>
        <v>221971.80317617</v>
      </c>
      <c r="K8" s="0" t="n">
        <f aca="false">K6*K7/100</f>
        <v>234180.25235086</v>
      </c>
      <c r="L8" s="0" t="n">
        <f aca="false">L6*L7/100</f>
        <v>245889.264968403</v>
      </c>
    </row>
    <row r="9" customFormat="false" ht="15" hidden="false" customHeight="false" outlineLevel="0" collapsed="false">
      <c r="A9" s="0" t="s">
        <v>109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203301.45</v>
      </c>
      <c r="D11" s="0" t="n">
        <f aca="false">D8+D10+D24</f>
        <v>145699.3725</v>
      </c>
      <c r="E11" s="0" t="n">
        <f aca="false">E8+E10+E24</f>
        <v>155898.328575</v>
      </c>
      <c r="F11" s="0" t="n">
        <f aca="false">F8+F10+F24</f>
        <v>170942.517282487</v>
      </c>
      <c r="G11" s="0" t="n">
        <f aca="false">G8+G10+G24</f>
        <v>183763.206078674</v>
      </c>
      <c r="H11" s="0" t="n">
        <f aca="false">H8+H10+H24</f>
        <v>196626.630504181</v>
      </c>
      <c r="I11" s="0" t="n">
        <f aca="false">I8+I10+I24</f>
        <v>209407.361486953</v>
      </c>
      <c r="J11" s="0" t="n">
        <f aca="false">J8+J10+J24</f>
        <v>221971.80317617</v>
      </c>
      <c r="K11" s="0" t="n">
        <f aca="false">K8+K10+K24</f>
        <v>234180.25235086</v>
      </c>
      <c r="L11" s="0" t="n">
        <f aca="false">L8+L10+L24</f>
        <v>245889.264968403</v>
      </c>
    </row>
    <row r="12" customFormat="false" ht="15" hidden="false" customHeight="false" outlineLevel="0" collapsed="false">
      <c r="A12" s="0" t="s">
        <v>126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203301.45</v>
      </c>
      <c r="D13" s="0" t="n">
        <f aca="false">D11+D12</f>
        <v>145699.3725</v>
      </c>
      <c r="E13" s="0" t="n">
        <f aca="false">E11+E12</f>
        <v>155898.328575</v>
      </c>
      <c r="F13" s="0" t="n">
        <f aca="false">F11+F12</f>
        <v>170942.517282487</v>
      </c>
      <c r="G13" s="0" t="n">
        <f aca="false">G11+G12</f>
        <v>183763.206078674</v>
      </c>
      <c r="H13" s="0" t="n">
        <f aca="false">H11+H12</f>
        <v>196626.630504181</v>
      </c>
      <c r="I13" s="0" t="n">
        <f aca="false">I11+I12</f>
        <v>209407.361486953</v>
      </c>
      <c r="J13" s="0" t="n">
        <f aca="false">J11+J12</f>
        <v>221971.80317617</v>
      </c>
      <c r="K13" s="0" t="n">
        <f aca="false">K11+K12</f>
        <v>234180.25235086</v>
      </c>
      <c r="L13" s="0" t="n">
        <f aca="false">L11+L12</f>
        <v>245889.264968403</v>
      </c>
    </row>
    <row r="14" customFormat="false" ht="15" hidden="false" customHeight="false" outlineLevel="0" collapsed="false">
      <c r="A14" s="0" t="s">
        <v>113</v>
      </c>
      <c r="C14" s="4" t="n">
        <f aca="false">Assumptions!C47</f>
        <v>15</v>
      </c>
      <c r="D14" s="4" t="n">
        <f aca="false">Assumptions!D47</f>
        <v>15</v>
      </c>
      <c r="E14" s="4" t="n">
        <f aca="false">Assumptions!E47</f>
        <v>15</v>
      </c>
      <c r="F14" s="4" t="n">
        <f aca="false">Assumptions!F47</f>
        <v>15</v>
      </c>
      <c r="G14" s="4" t="n">
        <f aca="false">Assumptions!G47</f>
        <v>15</v>
      </c>
      <c r="H14" s="4" t="n">
        <f aca="false">Assumptions!H47</f>
        <v>15</v>
      </c>
      <c r="I14" s="4" t="n">
        <f aca="false">Assumptions!I47</f>
        <v>15</v>
      </c>
      <c r="J14" s="4" t="n">
        <f aca="false">Assumptions!J47</f>
        <v>15</v>
      </c>
      <c r="K14" s="4" t="n">
        <f aca="false">Assumptions!K47</f>
        <v>15</v>
      </c>
      <c r="L14" s="4" t="n">
        <f aca="false">Assumptions!L47</f>
        <v>15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172806.2325</v>
      </c>
      <c r="D15" s="0" t="n">
        <f aca="false">D13-MAX(0,D13)*D14/100</f>
        <v>123844.466625</v>
      </c>
      <c r="E15" s="0" t="n">
        <f aca="false">E13-MAX(0,E13)*E14/100</f>
        <v>132513.57928875</v>
      </c>
      <c r="F15" s="0" t="n">
        <f aca="false">F13-MAX(0,F13)*F14/100</f>
        <v>145301.139690114</v>
      </c>
      <c r="G15" s="0" t="n">
        <f aca="false">G13-MAX(0,G13)*G14/100</f>
        <v>156198.725166873</v>
      </c>
      <c r="H15" s="0" t="n">
        <f aca="false">H13-MAX(0,H13)*H14/100</f>
        <v>167132.635928554</v>
      </c>
      <c r="I15" s="0" t="n">
        <f aca="false">I13-MAX(0,I13)*I14/100</f>
        <v>177996.25726391</v>
      </c>
      <c r="J15" s="0" t="n">
        <f aca="false">J13-MAX(0,J13)*J14/100</f>
        <v>188676.032699745</v>
      </c>
      <c r="K15" s="0" t="n">
        <f aca="false">K13-MAX(0,K13)*K14/100</f>
        <v>199053.214498231</v>
      </c>
      <c r="L15" s="0" t="n">
        <f aca="false">L13-MAX(0,L13)*L14/100</f>
        <v>209005.875223142</v>
      </c>
    </row>
    <row r="16" customFormat="false" ht="15" hidden="false" customHeight="false" outlineLevel="0" collapsed="false">
      <c r="A16" s="0" t="s">
        <v>129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130</v>
      </c>
      <c r="C17" s="4" t="n">
        <f aca="false">-C6*Assumptions!C46/100</f>
        <v>-143463.05655</v>
      </c>
      <c r="D17" s="4" t="n">
        <f aca="false">-D6*Assumptions!D46/100</f>
        <v>-86720.266512</v>
      </c>
      <c r="E17" s="4" t="n">
        <f aca="false">-E6*Assumptions!E46/100</f>
        <v>-87490.14199629</v>
      </c>
      <c r="F17" s="4" t="n">
        <f aca="false">-F6*Assumptions!F46/100</f>
        <v>-90096.762050064</v>
      </c>
      <c r="G17" s="4" t="n">
        <f aca="false">-G6*Assumptions!G46/100</f>
        <v>-90584.4509964287</v>
      </c>
      <c r="H17" s="4" t="n">
        <f aca="false">-H6*Assumptions!H46/100</f>
        <v>-91913.3112003859</v>
      </c>
      <c r="I17" s="4" t="n">
        <f aca="false">-I6*Assumptions!I46/100</f>
        <v>-92549.8417238416</v>
      </c>
      <c r="J17" s="4" t="n">
        <f aca="false">-J6*Assumptions!J46/100</f>
        <v>-94359.7782913602</v>
      </c>
      <c r="K17" s="4" t="n">
        <f aca="false">-K6*Assumptions!K46/100</f>
        <v>-95508.8088019192</v>
      </c>
      <c r="L17" s="4" t="n">
        <f aca="false">-L6*Assumptions!L46/100</f>
        <v>-94016.4836643892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(C6-B6)*Assumptions!$B$51/100</f>
        <v>0</v>
      </c>
      <c r="D18" s="4" t="n">
        <f aca="false">(D6-C6)*Assumptions!$B$51/100</f>
        <v>-0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29343.17595</v>
      </c>
      <c r="D19" s="0" t="n">
        <f aca="false">D15+D16+D17+D18</f>
        <v>37124.200113</v>
      </c>
      <c r="E19" s="0" t="n">
        <f aca="false">E15+E16+E17+E18</f>
        <v>45023.43729246</v>
      </c>
      <c r="F19" s="0" t="n">
        <f aca="false">F15+F16+F17+F18</f>
        <v>55204.3776400504</v>
      </c>
      <c r="G19" s="0" t="n">
        <f aca="false">G15+G16+G17+G18</f>
        <v>65614.2741704442</v>
      </c>
      <c r="H19" s="0" t="n">
        <f aca="false">H15+H16+H17+H18</f>
        <v>75219.3247281682</v>
      </c>
      <c r="I19" s="0" t="n">
        <f aca="false">I15+I16+I17+I18</f>
        <v>85446.4155400685</v>
      </c>
      <c r="J19" s="0" t="n">
        <f aca="false">J15+J16+J17+J18</f>
        <v>94316.2544083845</v>
      </c>
      <c r="K19" s="0" t="n">
        <f aca="false">K15+K16+K17+K18</f>
        <v>103544.405696311</v>
      </c>
      <c r="L19" s="0" t="n">
        <f aca="false">L15+L16+L17+L18</f>
        <v>114989.391558753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26675.6145</v>
      </c>
      <c r="D21" s="0" t="n">
        <f aca="false">D19*D20</f>
        <v>30681.1571181818</v>
      </c>
      <c r="E21" s="0" t="n">
        <f aca="false">E19*E20</f>
        <v>33826.7748252892</v>
      </c>
      <c r="F21" s="0" t="n">
        <f aca="false">F19*F20</f>
        <v>37705.332723209</v>
      </c>
      <c r="G21" s="0" t="n">
        <f aca="false">G19*G20</f>
        <v>40741.3019294784</v>
      </c>
      <c r="H21" s="0" t="n">
        <f aca="false">H19*H20</f>
        <v>42459.3478453004</v>
      </c>
      <c r="I21" s="0" t="n">
        <f aca="false">I19*I20</f>
        <v>43847.5218081005</v>
      </c>
      <c r="J21" s="0" t="n">
        <f aca="false">J19*J20</f>
        <v>43999.2287552501</v>
      </c>
      <c r="K21" s="0" t="n">
        <f aca="false">K19*K20</f>
        <v>43912.9358516</v>
      </c>
      <c r="L21" s="0" t="n">
        <f aca="false">L19*L20</f>
        <v>44333.388271062</v>
      </c>
    </row>
    <row r="23" customFormat="false" ht="15" hidden="false" customHeight="false" outlineLevel="0" collapsed="false">
      <c r="A23" s="0" t="s">
        <v>110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115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116</v>
      </c>
      <c r="B29" s="4" t="n">
        <f aca="false">Assumptions!$B$50</f>
        <v>17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388182.603627472</v>
      </c>
    </row>
    <row r="31" customFormat="false" ht="15" hidden="false" customHeight="false" outlineLevel="0" collapsed="false">
      <c r="A31" s="0" t="s">
        <v>138</v>
      </c>
      <c r="B31" s="0" t="n">
        <f aca="false">L19</f>
        <v>114989.391558753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1830984.92712783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1954819.6564988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1830984.92712783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705923.951700756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1094106.55532823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1094106.55532823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45.4834112901821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1.01789757276762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45.4834112901821</v>
      </c>
    </row>
    <row r="45" customFormat="false" ht="15" hidden="false" customHeight="false" outlineLevel="0" collapsed="false">
      <c r="A45" s="0" t="s">
        <v>90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1034904.52402878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23.1352424748143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2" t="s">
        <v>155</v>
      </c>
      <c r="B3" s="2" t="s">
        <v>156</v>
      </c>
      <c r="C3" s="2" t="s">
        <v>146</v>
      </c>
      <c r="D3" s="2" t="s">
        <v>157</v>
      </c>
      <c r="E3" s="2" t="s">
        <v>149</v>
      </c>
      <c r="F3" s="2" t="s">
        <v>158</v>
      </c>
    </row>
    <row r="4" customFormat="false" ht="15" hidden="false" customHeight="false" outlineLevel="0" collapsed="false">
      <c r="A4" s="0" t="s">
        <v>159</v>
      </c>
      <c r="B4" s="4" t="n">
        <f aca="false">DCF_Bear!$B$38</f>
        <v>12.8691141550386</v>
      </c>
      <c r="C4" s="0" t="n">
        <f aca="false">B4/Assumptions!$B$2-1</f>
        <v>-0.429054385313285</v>
      </c>
      <c r="D4" s="4" t="n">
        <f aca="false">Assumptions!$B$24</f>
        <v>0.3</v>
      </c>
      <c r="E4" s="4" t="n">
        <f aca="false">DCF_Bear!$B$43</f>
        <v>12.8691141550386</v>
      </c>
      <c r="F4" s="4" t="n">
        <f aca="false">DCF_Bear!$B$47</f>
        <v>7.89571453654055</v>
      </c>
    </row>
    <row r="5" customFormat="false" ht="15" hidden="false" customHeight="false" outlineLevel="0" collapsed="false">
      <c r="A5" s="0" t="s">
        <v>160</v>
      </c>
      <c r="B5" s="4" t="n">
        <f aca="false">DCF_Base!$B$38</f>
        <v>26.9606349116053</v>
      </c>
      <c r="C5" s="0" t="n">
        <f aca="false">B5/Assumptions!$B$2-1</f>
        <v>0.19612399785294</v>
      </c>
      <c r="D5" s="4" t="n">
        <f aca="false">Assumptions!$B$38</f>
        <v>0.5</v>
      </c>
      <c r="E5" s="4" t="n">
        <f aca="false">DCF_Base!$B$43</f>
        <v>26.9606349116053</v>
      </c>
      <c r="F5" s="4" t="n">
        <f aca="false">DCF_Base!$B$47</f>
        <v>14.3745816443544</v>
      </c>
    </row>
    <row r="6" customFormat="false" ht="15" hidden="false" customHeight="false" outlineLevel="0" collapsed="false">
      <c r="A6" s="0" t="s">
        <v>161</v>
      </c>
      <c r="B6" s="4" t="n">
        <f aca="false">DCF_Bull!$B$38</f>
        <v>45.4834112901821</v>
      </c>
      <c r="C6" s="0" t="n">
        <f aca="false">B6/Assumptions!$B$2-1</f>
        <v>1.01789757276762</v>
      </c>
      <c r="D6" s="4" t="n">
        <f aca="false">Assumptions!$B$52</f>
        <v>0.2</v>
      </c>
      <c r="E6" s="4" t="n">
        <f aca="false">DCF_Bull!$B$43</f>
        <v>45.4834112901821</v>
      </c>
      <c r="F6" s="4" t="n">
        <f aca="false">DCF_Bull!$B$47</f>
        <v>23.1352424748143</v>
      </c>
    </row>
    <row r="8" customFormat="false" ht="15" hidden="false" customHeight="false" outlineLevel="0" collapsed="false">
      <c r="A8" s="0" t="s">
        <v>162</v>
      </c>
      <c r="B8" s="0" t="n">
        <f aca="false">SUMPRODUCT(B4:B6,D4:D6)</f>
        <v>26.4377339603506</v>
      </c>
    </row>
    <row r="9" customFormat="false" ht="15" hidden="false" customHeight="false" outlineLevel="0" collapsed="false">
      <c r="A9" s="0" t="s">
        <v>163</v>
      </c>
      <c r="B9" s="0" t="n">
        <f aca="false">SUMPRODUCT(E4:E6,D4:D6)</f>
        <v>26.4377339603506</v>
      </c>
    </row>
    <row r="10" customFormat="false" ht="15" hidden="false" customHeight="false" outlineLevel="0" collapsed="false">
      <c r="A10" s="0" t="s">
        <v>164</v>
      </c>
      <c r="B10" s="0" t="n">
        <f aca="false">1-Assumptions!$B$2/B8</f>
        <v>0.147430712715249</v>
      </c>
    </row>
    <row r="11" customFormat="false" ht="15" hidden="false" customHeight="false" outlineLevel="0" collapsed="false">
      <c r="A11" s="0" t="s">
        <v>165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166</v>
      </c>
      <c r="B12" s="0" t="n">
        <f aca="false">SUMPRODUCT(F4:F6,D4:D6)</f>
        <v>14.1830536781022</v>
      </c>
    </row>
    <row r="14" customFormat="false" ht="15" hidden="false" customHeight="false" outlineLevel="0" collapsed="false">
      <c r="A14" s="2" t="s">
        <v>167</v>
      </c>
      <c r="C14" s="0" t="s">
        <v>168</v>
      </c>
    </row>
    <row r="15" customFormat="false" ht="15" hidden="false" customHeight="false" outlineLevel="0" collapsed="false">
      <c r="A15" s="0" t="s">
        <v>169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29.4471509323054</v>
      </c>
      <c r="C15" s="3" t="n">
        <v>9</v>
      </c>
    </row>
    <row r="16" customFormat="false" ht="15" hidden="false" customHeight="false" outlineLevel="0" collapsed="false">
      <c r="A16" s="0" t="s">
        <v>170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26.9606349116053</v>
      </c>
      <c r="C16" s="3" t="n">
        <v>10</v>
      </c>
    </row>
    <row r="17" customFormat="false" ht="15" hidden="false" customHeight="false" outlineLevel="0" collapsed="false">
      <c r="A17" s="0" t="s">
        <v>171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23.1308171884558</v>
      </c>
      <c r="C17" s="3" t="n">
        <v>11</v>
      </c>
    </row>
    <row r="18" customFormat="false" ht="15" hidden="false" customHeight="false" outlineLevel="0" collapsed="false">
      <c r="A18" s="0" t="s">
        <v>172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20.1779726424993</v>
      </c>
      <c r="C18" s="3" t="n">
        <v>12</v>
      </c>
    </row>
    <row r="19" customFormat="false" ht="15" hidden="false" customHeight="false" outlineLevel="0" collapsed="false">
      <c r="A19" s="0" t="s">
        <v>173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14.3745816443544</v>
      </c>
      <c r="C19" s="3" t="n">
        <v>15</v>
      </c>
    </row>
    <row r="21" customFormat="false" ht="15" hidden="false" customHeight="false" outlineLevel="0" collapsed="false">
      <c r="A21" s="2" t="s">
        <v>174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31.8274094240517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31.8274094240517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31.8274094240517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31.8274094240517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31.8274094240517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28.9205947507047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29.4471509323054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29.4471509323054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29.4471509323054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29.4471509323054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24.7578895932374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25.7858374084757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26.9606349116053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27.2810342306406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27.2810342306406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21.5515806820665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22.2947508027203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23.1308171884558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24.0783590922893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25.161264125242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19.0125545209029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19.5645946837643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20.1779726424993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20.8635127140265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21.6347452944947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2026-10-22T03:48:48Z</dcterms:created>
  <dc:creator>openpyxl</dc:creator>
  <dc:description/>
  <dc:language>en-NZ</dc:language>
  <cp:lastModifiedBy/>
  <dcterms:modified xsi:type="dcterms:W3CDTF">2026-10-22T03:48:48Z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