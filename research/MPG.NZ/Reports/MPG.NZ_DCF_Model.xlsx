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#,##0.000"/>
    <numFmt numFmtId="166" formatCode="0.0"/>
    <numFmt numFmtId="167" formatCode="0.0%"/>
    <numFmt numFmtId="168" formatCode="0.0000"/>
    <numFmt numFmtId="169" formatCode="0.0&quot;x&quot;"/>
    <numFmt numFmtId="170" formatCode="0.000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1F4E78"/>
      <sz val="11"/>
    </font>
    <font>
      <b val="1"/>
      <sz val="13"/>
    </font>
    <font>
      <b val="1"/>
      <color rgb="00FFFFFF"/>
    </font>
    <font>
      <color rgb="000000CC"/>
    </font>
    <font>
      <i val="1"/>
      <color rgb="00666666"/>
      <sz val="9"/>
    </font>
    <font>
      <b val="1"/>
      <sz val="12"/>
    </font>
    <font>
      <color rgb="00007700"/>
    </font>
    <font>
      <i val="1"/>
      <sz val="9"/>
    </font>
    <font>
      <b val="1"/>
      <i val="1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C6E0B4"/>
        <b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3" fontId="6" fillId="0" borderId="0" pivotButton="0" quotePrefix="0" xfId="0"/>
    <xf numFmtId="164" fontId="6" fillId="0" borderId="0" pivotButton="0" quotePrefix="0" xfId="0"/>
    <xf numFmtId="0" fontId="7" fillId="0" borderId="0" applyAlignment="1" pivotButton="0" quotePrefix="0" xfId="0">
      <alignment vertical="top" wrapText="1"/>
    </xf>
    <xf numFmtId="165" fontId="6" fillId="3" borderId="0" pivotButton="0" quotePrefix="0" xfId="0"/>
    <xf numFmtId="10" fontId="6" fillId="3" borderId="0" pivotButton="0" quotePrefix="0" xfId="0"/>
    <xf numFmtId="166" fontId="6" fillId="3" borderId="0" pivotButton="0" quotePrefix="0" xfId="0"/>
    <xf numFmtId="9" fontId="6" fillId="4" borderId="0" pivotButton="0" quotePrefix="0" xfId="0"/>
    <xf numFmtId="9" fontId="0" fillId="0" borderId="0" pivotButton="0" quotePrefix="0" xfId="0"/>
    <xf numFmtId="0" fontId="8" fillId="0" borderId="0" pivotButton="0" quotePrefix="0" xfId="0"/>
    <xf numFmtId="167" fontId="6" fillId="4" borderId="0" pivotButton="0" quotePrefix="0" xfId="0"/>
    <xf numFmtId="3" fontId="0" fillId="0" borderId="0" pivotButton="0" quotePrefix="0" xfId="0"/>
    <xf numFmtId="3" fontId="9" fillId="0" borderId="0" pivotButton="0" quotePrefix="0" xfId="0"/>
    <xf numFmtId="3" fontId="2" fillId="0" borderId="0" pivotButton="0" quotePrefix="0" xfId="0"/>
    <xf numFmtId="168" fontId="9" fillId="0" borderId="0" pivotButton="0" quotePrefix="0" xfId="0"/>
    <xf numFmtId="3" fontId="10" fillId="0" borderId="0" pivotButton="0" quotePrefix="0" xfId="0"/>
    <xf numFmtId="167" fontId="10" fillId="0" borderId="0" pivotButton="0" quotePrefix="0" xfId="0"/>
    <xf numFmtId="10" fontId="9" fillId="0" borderId="0" pivotButton="0" quotePrefix="0" xfId="0"/>
    <xf numFmtId="166" fontId="9" fillId="0" borderId="0" pivotButton="0" quotePrefix="0" xfId="0"/>
    <xf numFmtId="169" fontId="0" fillId="0" borderId="0" pivotButton="0" quotePrefix="0" xfId="0"/>
    <xf numFmtId="164" fontId="9" fillId="0" borderId="0" pivotButton="0" quotePrefix="0" xfId="0"/>
    <xf numFmtId="168" fontId="8" fillId="5" borderId="0" pivotButton="0" quotePrefix="0" xfId="0"/>
    <xf numFmtId="167" fontId="9" fillId="0" borderId="0" pivotButton="0" quotePrefix="0" xfId="0"/>
    <xf numFmtId="0" fontId="11" fillId="0" borderId="0" pivotButton="0" quotePrefix="0" xfId="0"/>
    <xf numFmtId="168" fontId="0" fillId="0" borderId="0" pivotButton="0" quotePrefix="0" xfId="0"/>
    <xf numFmtId="167" fontId="0" fillId="0" borderId="0" pivotButton="0" quotePrefix="0" xfId="0"/>
    <xf numFmtId="0" fontId="10" fillId="0" borderId="0" pivotButton="0" quotePrefix="0" xfId="0"/>
    <xf numFmtId="170" fontId="9" fillId="0" borderId="0" pivotButton="0" quotePrefix="0" xfId="0"/>
    <xf numFmtId="9" fontId="9" fillId="0" borderId="0" pivotButton="0" quotePrefix="0" xfId="0"/>
    <xf numFmtId="168" fontId="2" fillId="0" borderId="0" pivotButton="0" quotePrefix="0" xfId="0"/>
    <xf numFmtId="0" fontId="12" fillId="0" borderId="0" pivotButton="0" quotePrefix="0" xfId="0"/>
    <xf numFmtId="167" fontId="6" fillId="0" borderId="0" pivotButton="0" quotePrefix="0" xfId="0"/>
    <xf numFmtId="167" fontId="2" fillId="0" borderId="0" pivotButton="0" quotePrefix="0" xfId="0"/>
    <xf numFmtId="168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MPG.NZ -- Metro Performance Glass -- DCF Model</t>
        </is>
      </c>
    </row>
    <row r="3" ht="15" customHeight="1">
      <c r="A3" s="2" t="inlineStr">
        <is>
          <t>Version</t>
        </is>
      </c>
      <c r="B3" s="3" t="inlineStr">
        <is>
          <t>1.0 -- FRESH BUILD. No prior MPG.NZ_DCF.json / workbook existed to supersede.</t>
        </is>
      </c>
    </row>
    <row r="4" ht="30" customHeight="1">
      <c r="A4" s="2" t="inlineStr">
        <is>
          <t>Built by</t>
        </is>
      </c>
      <c r="B4" s="3" t="inlineStr">
        <is>
          <t>dcf-analyst agent (Claude, Sonnet 5), 2026-08-20, at the request of the research pipeline (dcf-analyst.md + dcf-methods skill).</t>
        </is>
      </c>
    </row>
    <row r="5" ht="15" customHeight="1">
      <c r="A5" s="2" t="inlineStr">
        <is>
          <t>Model type</t>
        </is>
      </c>
      <c r="B5" s="3" t="inlineStr">
        <is>
          <t>Owner-FCF DCF, operating company (cyclical/non-US adaptations, dcf-methods section 7).</t>
        </is>
      </c>
    </row>
    <row r="6" ht="15" customHeight="1">
      <c r="A6" s="2" t="inlineStr">
        <is>
          <t>Ticker</t>
        </is>
      </c>
      <c r="B6" s="3" t="inlineStr">
        <is>
          <t>MPG.NZ -- Metro Performance Glass Limited, NZX/ASX dual-listed glass processor. Fiscal year ends 31 March.</t>
        </is>
      </c>
    </row>
    <row r="7" ht="15" customHeight="1">
      <c r="A7" s="2" t="inlineStr"/>
      <c r="B7" s="3" t="inlineStr"/>
    </row>
    <row r="9">
      <c r="A9" s="4" t="inlineStr">
        <is>
          <t>--- DATA VINTAGE ---</t>
        </is>
      </c>
    </row>
    <row r="10" ht="15" customHeight="1">
      <c r="A10" s="2" t="inlineStr">
        <is>
          <t>Price</t>
        </is>
      </c>
      <c r="B10" s="3" t="inlineStr">
        <is>
          <t>NZD 0.925 as of 2026-08-20T00:47:14Z, regular NZX (NZE) close. Source: Yahoo Finance chart API.</t>
        </is>
      </c>
    </row>
    <row r="11" ht="15" customHeight="1">
      <c r="A11" s="2" t="inlineStr">
        <is>
          <t>Balance sheet</t>
        </is>
      </c>
      <c r="B11" s="3" t="inlineStr">
        <is>
          <t>31 March 2026 (FY2026 10-K, audited, board-authorised 27-May-2026).</t>
        </is>
      </c>
    </row>
    <row r="12" ht="45" customHeight="1">
      <c r="A12" s="2" t="inlineStr">
        <is>
          <t>Share count</t>
        </is>
      </c>
      <c r="B12" s="3" t="inlineStr">
        <is>
          <t>24,591,464 fully paid ordinary shares on issue at 31-Mar-2026 (post 40:1 consolidation of 6-Mar-2026 and post Sept-2025 rights issue + Amari placement). Basic = diluted (FY26 EPS note: potential ordinary shares antidilutive given the loss).</t>
        </is>
      </c>
    </row>
    <row r="13" ht="30" customHeight="1">
      <c r="A13" s="2" t="inlineStr">
        <is>
          <t>Net debt</t>
        </is>
      </c>
      <c r="B13" s="3" t="inlineStr">
        <is>
          <t>NZD 26,975k at 31-Mar-2026 = interest-bearing liabilities $35,241k less cash $8,266k. Ties to the company's own disclosed 'Net debt at 31 March' line. Lease liabilities ($69,532k) EXCLUDED -- see lease treatment below.</t>
        </is>
      </c>
    </row>
    <row r="14" ht="45" customHeight="1">
      <c r="A14" s="2" t="inlineStr">
        <is>
          <t>Guidance</t>
        </is>
      </c>
      <c r="B14" s="3" t="inlineStr">
        <is>
          <t>FY26 Annual Report (27-May-2026): 'no substantive market growth' assumed for FY27; qualitative 'stronger cash flow, lower debt, higher revenue and profitability' expected; no numeric FY27 guidance given ('enough uncertainty').</t>
        </is>
      </c>
    </row>
    <row r="15" ht="15" customHeight="1">
      <c r="A15" s="2" t="inlineStr"/>
      <c r="B15" s="3" t="inlineStr"/>
    </row>
    <row r="17">
      <c r="A17" s="4" t="inlineStr">
        <is>
          <t>--- METHODOLOGY CHOICES ---</t>
        </is>
      </c>
    </row>
    <row r="18" ht="60" customHeight="1">
      <c r="A18" s="2" t="inlineStr">
        <is>
          <t>Lease treatment (B)</t>
        </is>
      </c>
      <c r="B18" s="3" t="inlineStr">
        <is>
          <t>Leases as operating cost. Full lease payment (~3.9% of revenue, anchored to FY26's $8,042k principal / $208,163k revenue) deducted inside the flow build (row 'Lease opex'). Lease liabilities excluded from net_debt. Confirmed this is what the company's own disclosed net-debt figure implies (ties out exactly to interest-bearing debt only).</t>
        </is>
      </c>
    </row>
    <row r="19" ht="45" customHeight="1">
      <c r="A19" s="2" t="inlineStr">
        <is>
          <t>SBC treatment</t>
        </is>
      </c>
      <c r="B19" s="3" t="inlineStr">
        <is>
          <t>SBC-zero market. LTI plan net expense was -18k (FY26) and -165k (FY25) -- net reversals, immaterial. SBC rows kept explicit at 0% per house policy rather than deleted. House and street bases coincide; band_position is not meaningful (blank/n/a on Valuation tab).</t>
        </is>
      </c>
    </row>
    <row r="20" ht="30" customHeight="1">
      <c r="A20" s="2" t="inlineStr">
        <is>
          <t>Share count</t>
        </is>
      </c>
      <c r="B20" s="3" t="inlineStr">
        <is>
          <t>Held FLAT at 24,591,464 across all 10 forecast years -- no SBC to charge, no other dilutive instruments in the money.</t>
        </is>
      </c>
    </row>
    <row r="21" ht="60" customHeight="1">
      <c r="A21" s="2" t="inlineStr">
        <is>
          <t>WACC build</t>
        </is>
      </c>
      <c r="B21" s="3" t="inlineStr">
        <is>
          <t>NZD risk-free ~4.5% + ERP 5.5% x beta 1.15 = ~10.8% unlevered CoE, +3.0pp small-cap/illiquidity/51%-control-shareholder premium = 13.5% base WACC. Bull 12.5% / Bear 15.0% (bear premium reflects solvency-tail/covenant risk specific to that path, not generic cyclicality -- cyclicality itself is charged once, in the scenario flows).</t>
        </is>
      </c>
    </row>
    <row r="22" ht="60" customHeight="1">
      <c r="A22" s="2" t="inlineStr">
        <is>
          <t>Terminal cap -- SANITY FIX APPLIED</t>
        </is>
      </c>
      <c r="B22" s="3" t="inlineStr">
        <is>
          <t>Base terminal cap tightened to 6x FCF (implied ~4.86x EV/EBITDA) after the Step-8c sanity check found an initial 8x-FCF cap implied 5.32x EV/EBITDA, ABOVE the stock's own 10-year trading ceiling of ~4.90x. Bull 7x FCF (~8.4x EV/EBITDA -- a deliberate re-rate assumption, not an error). Bear 5x FCF. See Valuation tab and MPG.NZ_DCF.json 'valuation_philosophy' for the full note.</t>
        </is>
      </c>
    </row>
    <row r="23" ht="45" customHeight="1">
      <c r="A23" s="2" t="inlineStr">
        <is>
          <t>Horizon</t>
        </is>
      </c>
      <c r="B23" s="3" t="inlineStr">
        <is>
          <t>10-year explicit build. Year-5 owner-FCF margin (5.6% base case) is still materially below the modelled mature level and the business is only 1-2 years off a cyclical trough -- a 5-year Gordon capitalization would freeze an immature margin.</t>
        </is>
      </c>
    </row>
    <row r="24" ht="60" customHeight="1">
      <c r="A24" s="2" t="inlineStr">
        <is>
          <t>Historical growth rates</t>
        </is>
      </c>
      <c r="B24" s="3" t="inlineStr">
        <is>
          <t>Revenue and equity CAGRs are both negative but NEITHER used directly as the forward driver -- FY26 equity is inflated by the $23.9m dilutive raise (not organic), and EPS/FCF CAGRs are not computable across the 40:1 consolidation / the FY25-to-FY26 sign flip in owner FCF. Growth path instead built bottom-up from FY26 actuals + guidance + cost-out program, per the component-build method.</t>
        </is>
      </c>
    </row>
    <row r="25" ht="15" customHeight="1">
      <c r="A25" s="2" t="inlineStr"/>
      <c r="B25" s="3" t="inlineStr"/>
    </row>
    <row r="27">
      <c r="A27" s="4" t="inlineStr">
        <is>
          <t>--- SCENARIO DRIVER JUDGMENT ---</t>
        </is>
      </c>
    </row>
    <row r="28" ht="30" customHeight="1">
      <c r="A28" s="2" t="inlineStr">
        <is>
          <t>Whose judgment</t>
        </is>
      </c>
      <c r="B28" s="3" t="inlineStr">
        <is>
          <t>Scenario growth/margin/WACC paths set by the dcf-analyst agent on 2026-08-20, drawing on MPG.NZ_Analysis.json bull/bear case points and FY2026 Annual Report guidance. Not yet reviewed by the user.</t>
        </is>
      </c>
    </row>
    <row r="29" ht="60" customHeight="1">
      <c r="A29" s="2" t="inlineStr">
        <is>
          <t>Probability weights</t>
        </is>
      </c>
      <c r="B29" s="3" t="inlineStr">
        <is>
          <t>Bear 20% / Base 50% / Bull 30% -- bear above the 15% house default given &lt;1yr since going-concern doubt was removed and management's own 'enough uncertainty' framing; bull trimmed from 35% default given the bull case needs independent things to go right (market consolidation the Commerce Commission has already shown skepticism toward, AU recovery timing, execution beyond the already-actioned cost-out).</t>
        </is>
      </c>
    </row>
    <row r="30" ht="15" customHeight="1">
      <c r="A30" s="2" t="inlineStr"/>
      <c r="B30" s="3" t="inlineStr"/>
    </row>
    <row r="32">
      <c r="A32" s="4" t="inlineStr">
        <is>
          <t>--- REFRESH TRIGGERS ---</t>
        </is>
      </c>
    </row>
    <row r="33" ht="45" customHeight="1">
      <c r="A33" s="2" t="inlineStr">
        <is>
          <t>Refresh after</t>
        </is>
      </c>
      <c r="B33" s="3" t="inlineStr">
        <is>
          <t>FY2027 H1 result (due ~Nov-2026) -- first real read on whether the FY26 cost-out program's full-year benefit is showing up as guided. Also refresh if: NZ/AU building consent data turns materially, any further capital raise, any change in banking covenant status, or a renewed takeover approach.</t>
        </is>
      </c>
    </row>
    <row r="34" ht="30" customHeight="1">
      <c r="A34" s="2" t="inlineStr">
        <is>
          <t>Figures go stale</t>
        </is>
      </c>
      <c r="B34" s="3" t="inlineStr">
        <is>
          <t>All figures in this workbook are point-in-time as of the vintage dates above. Do not reuse without refreshing price, balance sheet and guidance anchors.</t>
        </is>
      </c>
    </row>
    <row r="35" ht="15" customHeight="1">
      <c r="A35" s="2" t="inlineStr"/>
      <c r="B35" s="3" t="inlineStr"/>
    </row>
    <row r="37">
      <c r="A37" s="4" t="inlineStr">
        <is>
          <t>--- CELL COLOUR LEGEND ---</t>
        </is>
      </c>
    </row>
    <row r="38" ht="15" customHeight="1">
      <c r="A38" s="2" t="inlineStr">
        <is>
          <t>Blue text / blue fill</t>
        </is>
      </c>
      <c r="B38" s="3" t="inlineStr">
        <is>
          <t>Hardcoded input (typed number, not a formula).</t>
        </is>
      </c>
    </row>
    <row r="39" ht="30" customHeight="1">
      <c r="A39" s="2" t="inlineStr">
        <is>
          <t>Yellow fill</t>
        </is>
      </c>
      <c r="B39" s="3" t="inlineStr">
        <is>
          <t>Key lever -- the four driver rows on each DCF tab (growth, margin, SBC%, tax rate) users are expected to flex.</t>
        </is>
      </c>
    </row>
    <row r="40" ht="15" customHeight="1">
      <c r="A40" s="2" t="inlineStr">
        <is>
          <t>Black text</t>
        </is>
      </c>
      <c r="B40" s="3" t="inlineStr">
        <is>
          <t>Formula, computed from other cells.</t>
        </is>
      </c>
    </row>
    <row r="41" ht="15" customHeight="1">
      <c r="A41" s="2" t="inlineStr">
        <is>
          <t>Green text</t>
        </is>
      </c>
      <c r="B41" s="3" t="inlineStr">
        <is>
          <t>Cross-sheet link (references another tab).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5" t="inlineStr">
        <is>
          <t>MPG.NZ -- Historical Actuals (NZD thousands unless noted)</t>
        </is>
      </c>
    </row>
    <row r="3">
      <c r="A3" s="6" t="inlineStr">
        <is>
          <t>Period</t>
        </is>
      </c>
      <c r="B3" s="6" t="inlineStr">
        <is>
          <t>FY2018</t>
        </is>
      </c>
      <c r="C3" s="6" t="inlineStr">
        <is>
          <t>FY2019</t>
        </is>
      </c>
      <c r="D3" s="6" t="inlineStr">
        <is>
          <t>FY2021</t>
        </is>
      </c>
      <c r="E3" s="6" t="inlineStr">
        <is>
          <t>FY2022</t>
        </is>
      </c>
      <c r="F3" s="6" t="inlineStr">
        <is>
          <t>FY2023</t>
        </is>
      </c>
      <c r="G3" s="6" t="inlineStr">
        <is>
          <t>FY2024</t>
        </is>
      </c>
      <c r="H3" s="6" t="inlineStr">
        <is>
          <t>FY2025</t>
        </is>
      </c>
      <c r="I3" s="6" t="inlineStr">
        <is>
          <t>FY2026</t>
        </is>
      </c>
    </row>
    <row r="4">
      <c r="A4" t="inlineStr">
        <is>
          <t>Revenue</t>
        </is>
      </c>
      <c r="B4" s="7" t="n">
        <v>268293</v>
      </c>
      <c r="C4" s="7" t="n">
        <v>267836</v>
      </c>
      <c r="D4" s="7" t="n">
        <v>232274</v>
      </c>
      <c r="E4" s="7" t="n">
        <v>236063</v>
      </c>
      <c r="F4" s="7" t="n">
        <v>263520</v>
      </c>
      <c r="G4" s="7" t="n">
        <v>239280</v>
      </c>
      <c r="H4" s="7" t="n">
        <v>213922</v>
      </c>
      <c r="I4" s="7" t="n">
        <v>208163</v>
      </c>
    </row>
    <row r="5">
      <c r="A5" t="inlineStr">
        <is>
          <t>EBITDA (reported)</t>
        </is>
      </c>
      <c r="B5" s="7" t="n">
        <v>40398</v>
      </c>
      <c r="C5" s="7" t="n">
        <v>30134</v>
      </c>
      <c r="D5" s="7" t="n">
        <v>38466</v>
      </c>
      <c r="E5" s="7" t="n">
        <v>24598</v>
      </c>
      <c r="F5" s="7" t="n">
        <v>18712</v>
      </c>
      <c r="G5" s="7" t="n">
        <v>-333</v>
      </c>
      <c r="H5" s="7" t="n">
        <v>12169</v>
      </c>
      <c r="I5" s="7" t="n">
        <v>25247</v>
      </c>
    </row>
    <row r="6">
      <c r="A6" t="inlineStr">
        <is>
          <t>EBITDA before significant items</t>
        </is>
      </c>
      <c r="B6" s="7" t="n"/>
      <c r="C6" s="7" t="n"/>
      <c r="D6" s="7" t="n"/>
      <c r="E6" s="7" t="n"/>
      <c r="F6" s="7" t="n"/>
      <c r="G6" s="7" t="n"/>
      <c r="H6" s="7" t="n">
        <v>16897</v>
      </c>
      <c r="I6" s="7" t="n">
        <v>18241</v>
      </c>
    </row>
    <row r="7">
      <c r="A7" t="inlineStr">
        <is>
          <t>D&amp;A</t>
        </is>
      </c>
      <c r="B7" s="7" t="n">
        <v>12398</v>
      </c>
      <c r="C7" s="7" t="n">
        <v>14459</v>
      </c>
      <c r="D7" s="7" t="n">
        <v>20304</v>
      </c>
      <c r="E7" s="7" t="n">
        <v>18687</v>
      </c>
      <c r="F7" s="7" t="n">
        <v>18960</v>
      </c>
      <c r="G7" s="7" t="n">
        <v>17920</v>
      </c>
      <c r="H7" s="7" t="n">
        <v>17534</v>
      </c>
      <c r="I7" s="7" t="n">
        <v>17356</v>
      </c>
    </row>
    <row r="8">
      <c r="A8" t="inlineStr">
        <is>
          <t>Net income (statutory)</t>
        </is>
      </c>
      <c r="B8" s="7" t="n">
        <v>16278</v>
      </c>
      <c r="C8" s="7" t="n">
        <v>5042</v>
      </c>
      <c r="D8" s="7" t="n">
        <v>8105</v>
      </c>
      <c r="E8" s="7" t="n">
        <v>-459</v>
      </c>
      <c r="F8" s="7" t="n">
        <v>-10548</v>
      </c>
      <c r="G8" s="7" t="n">
        <v>-27512</v>
      </c>
      <c r="H8" s="7" t="n">
        <v>-13470</v>
      </c>
      <c r="I8" s="7" t="n">
        <v>-939</v>
      </c>
    </row>
    <row r="9">
      <c r="A9" t="inlineStr">
        <is>
          <t>Reported FCF (company definition)</t>
        </is>
      </c>
      <c r="B9" s="7" t="n">
        <v>13081</v>
      </c>
      <c r="C9" s="7" t="n">
        <v>15843</v>
      </c>
      <c r="D9" s="7" t="n">
        <v>23054</v>
      </c>
      <c r="E9" s="7" t="n">
        <v>2855</v>
      </c>
      <c r="F9" s="7" t="n">
        <v>-1604</v>
      </c>
      <c r="G9" s="7" t="n">
        <v>14932</v>
      </c>
      <c r="H9" s="7" t="n">
        <v>-937</v>
      </c>
      <c r="I9" s="7" t="n">
        <v>12826</v>
      </c>
    </row>
    <row r="10">
      <c r="A10" t="inlineStr">
        <is>
          <t>Lease principal payments</t>
        </is>
      </c>
      <c r="B10" s="7" t="n"/>
      <c r="C10" s="7" t="n"/>
      <c r="D10" s="7" t="n"/>
      <c r="E10" s="7" t="n"/>
      <c r="F10" s="7" t="n"/>
      <c r="G10" s="7" t="n"/>
      <c r="H10" s="7" t="n">
        <v>7542</v>
      </c>
      <c r="I10" s="7" t="n">
        <v>8042</v>
      </c>
    </row>
    <row r="11">
      <c r="A11" t="inlineStr">
        <is>
          <t>Interest income</t>
        </is>
      </c>
      <c r="B11" s="7" t="n">
        <v>141</v>
      </c>
      <c r="C11" s="7" t="n">
        <v>19</v>
      </c>
      <c r="D11" s="7" t="n"/>
      <c r="E11" s="7" t="n">
        <v>100</v>
      </c>
      <c r="F11" s="7" t="n"/>
      <c r="G11" s="7" t="n"/>
      <c r="H11" s="7" t="n">
        <v>46</v>
      </c>
      <c r="I11" s="7" t="n">
        <v>49</v>
      </c>
    </row>
    <row r="12">
      <c r="A12" t="inlineStr">
        <is>
          <t>Shareholders' equity</t>
        </is>
      </c>
      <c r="B12" s="7" t="n"/>
      <c r="C12" s="7" t="n">
        <v>156963</v>
      </c>
      <c r="D12" s="7" t="n">
        <v>85401</v>
      </c>
      <c r="E12" s="7" t="n">
        <v>85529</v>
      </c>
      <c r="F12" s="7" t="n">
        <v>75467</v>
      </c>
      <c r="G12" s="7" t="n">
        <v>48991</v>
      </c>
      <c r="H12" s="7" t="n">
        <v>35582</v>
      </c>
      <c r="I12" s="7" t="n">
        <v>59958</v>
      </c>
    </row>
    <row r="13">
      <c r="A13" t="inlineStr">
        <is>
          <t>Total debt (interest-bearing)</t>
        </is>
      </c>
      <c r="B13" s="7" t="n">
        <v>360</v>
      </c>
      <c r="C13" s="7" t="n">
        <v>88832</v>
      </c>
      <c r="D13" s="7" t="n">
        <v>55519</v>
      </c>
      <c r="E13" s="7" t="n">
        <v>65319</v>
      </c>
      <c r="F13" s="7" t="n">
        <v>67370</v>
      </c>
      <c r="G13" s="7" t="n">
        <v>59663</v>
      </c>
      <c r="H13" s="7" t="n">
        <v>67032</v>
      </c>
      <c r="I13" s="7" t="n">
        <v>35241</v>
      </c>
    </row>
    <row r="14">
      <c r="A14" t="inlineStr">
        <is>
          <t>Cash &amp; equivalents</t>
        </is>
      </c>
      <c r="B14" s="7" t="n"/>
      <c r="C14" s="7" t="n">
        <v>5488</v>
      </c>
      <c r="D14" s="7" t="n">
        <v>7530</v>
      </c>
      <c r="E14" s="7" t="n">
        <v>13064</v>
      </c>
      <c r="F14" s="7" t="n">
        <v>7300</v>
      </c>
      <c r="G14" s="7" t="n">
        <v>6634</v>
      </c>
      <c r="H14" s="7" t="n">
        <v>6538</v>
      </c>
      <c r="I14" s="7" t="n">
        <v>8266</v>
      </c>
    </row>
    <row r="15">
      <c r="A15" t="inlineStr">
        <is>
          <t>Net debt (interest-bearing only)</t>
        </is>
      </c>
      <c r="B15" s="7" t="n"/>
      <c r="C15" s="7" t="n">
        <v>83344</v>
      </c>
      <c r="D15" s="7" t="n"/>
      <c r="E15" s="7" t="n">
        <v>52255</v>
      </c>
      <c r="F15" s="7" t="n">
        <v>60070</v>
      </c>
      <c r="G15" s="7" t="n">
        <v>53029</v>
      </c>
      <c r="H15" s="7" t="n">
        <v>60494</v>
      </c>
      <c r="I15" s="7" t="n">
        <v>26975</v>
      </c>
    </row>
    <row r="16">
      <c r="A16" t="inlineStr">
        <is>
          <t>Lease liabilities (total, memo)</t>
        </is>
      </c>
      <c r="B16" s="7" t="n"/>
      <c r="C16" s="7" t="n"/>
      <c r="D16" s="7" t="n"/>
      <c r="E16" s="7" t="n">
        <v>81280</v>
      </c>
      <c r="F16" s="7" t="n">
        <v>77884</v>
      </c>
      <c r="G16" s="7" t="n">
        <v>78393</v>
      </c>
      <c r="H16" s="7" t="n">
        <v>76565</v>
      </c>
      <c r="I16" s="7" t="n">
        <v>69532</v>
      </c>
    </row>
    <row r="17">
      <c r="A17" t="inlineStr">
        <is>
          <t>Shares on issue, period end ('000)</t>
        </is>
      </c>
      <c r="B17" s="8" t="n">
        <v>185378</v>
      </c>
      <c r="C17" s="8" t="n">
        <v>185378</v>
      </c>
      <c r="D17" s="8" t="n">
        <v>185378</v>
      </c>
      <c r="E17" s="8" t="n">
        <v>185378</v>
      </c>
      <c r="F17" s="8" t="n">
        <v>185378</v>
      </c>
      <c r="G17" s="8" t="n">
        <v>185378</v>
      </c>
      <c r="H17" s="8" t="n">
        <v>185378</v>
      </c>
      <c r="I17" s="8" t="n">
        <v>24591.464</v>
      </c>
    </row>
    <row r="19">
      <c r="A19" s="2" t="inlineStr">
        <is>
          <t>Notes:</t>
        </is>
      </c>
    </row>
    <row r="20" ht="28" customHeight="1">
      <c r="A20" s="9" t="inlineStr">
        <is>
          <t>FY2020 omitted -- no filing parsed for that period in the source Metrics.csv (COVID-year gap).</t>
        </is>
      </c>
    </row>
    <row r="21" ht="28" customHeight="1">
      <c r="A21" s="9" t="inlineStr">
        <is>
          <t>40-for-1 share consolidation effective 6-Mar-2026, after Sept-2025 rights issue (1.6-for-1) + Amari Metals placement raising $23.9m gross. Pre-FY2026 share counts (185,378k) are NOT comparable to FY2026 (24,591k) on a per-share basis.</t>
        </is>
      </c>
    </row>
    <row r="22" ht="28" customHeight="1">
      <c r="A22" s="9" t="inlineStr">
        <is>
          <t>Net debt (interest-bearing only) ties to the company's own disclosed 'Net debt at 31 March' figure for FY2025 ($60,494k) and FY2026 ($26,975k) -- confirms lease liabilities are excluded from the company's own net-debt definition too.</t>
        </is>
      </c>
    </row>
    <row r="23" ht="28" customHeight="1">
      <c r="A23" s="9" t="inlineStr">
        <is>
          <t>FY2026 EBIT before significant items $0.9m excludes: net extinguishment-of-debt gain +$9.2m (non-recurring, from the Sept-2025 refinancing) and NZ/AU restructuring costs -$2.2m.</t>
        </is>
      </c>
    </row>
    <row r="24" ht="28" customHeight="1">
      <c r="A24" s="9" t="inlineStr">
        <is>
          <t>SBC: LTI plan expense was net NEGATIVE in FY2025 (-165) and FY2026 (-18) -- reversals/expiries exceeding new grants. Treated as an SBC-zero market.</t>
        </is>
      </c>
    </row>
  </sheetData>
  <mergeCells count="5">
    <mergeCell ref="A21:I21"/>
    <mergeCell ref="A23:I23"/>
    <mergeCell ref="A22:I22"/>
    <mergeCell ref="A20:I20"/>
    <mergeCell ref="A24:I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</cols>
  <sheetData>
    <row r="1">
      <c r="A1" s="5" t="inlineStr">
        <is>
          <t>Global Assumptions</t>
        </is>
      </c>
    </row>
    <row r="3">
      <c r="A3" s="6" t="inlineStr">
        <is>
          <t>Input</t>
        </is>
      </c>
      <c r="B3" s="6" t="inlineStr">
        <is>
          <t>Value</t>
        </is>
      </c>
      <c r="C3" s="6" t="inlineStr">
        <is>
          <t>Note</t>
        </is>
      </c>
    </row>
    <row r="4">
      <c r="A4" t="inlineStr">
        <is>
          <t>Current price (NZD)</t>
        </is>
      </c>
      <c r="B4" s="10" t="n">
        <v>0.925</v>
      </c>
      <c r="C4" s="9" t="inlineStr">
        <is>
          <t>2026-08-20T00:47:14Z regular NZX close. Source: Yahoo Finance.</t>
        </is>
      </c>
    </row>
    <row r="5">
      <c r="A5" t="inlineStr">
        <is>
          <t>Shares outstanding ('000)</t>
        </is>
      </c>
      <c r="B5" s="10" t="n">
        <v>24591.464</v>
      </c>
      <c r="C5" s="9" t="inlineStr">
        <is>
          <t>31-Mar-2026 10-K, fully paid ordinary shares on issue, post 40:1 consolidation. Basic=diluted.</t>
        </is>
      </c>
    </row>
    <row r="6">
      <c r="A6" t="inlineStr">
        <is>
          <t>Net debt (NZD '000)</t>
        </is>
      </c>
      <c r="B6" s="10" t="n">
        <v>26975</v>
      </c>
      <c r="C6" s="9" t="inlineStr">
        <is>
          <t>Interest-bearing debt only, 31-Mar-2026. Lease liabilities excluded (lease treatment B).</t>
        </is>
      </c>
    </row>
    <row r="7">
      <c r="A7" t="inlineStr">
        <is>
          <t>D&amp;A % of revenue</t>
        </is>
      </c>
      <c r="B7" s="11" t="n">
        <v>0.0834</v>
      </c>
      <c r="C7" s="9" t="inlineStr">
        <is>
          <t>FY2026 actual (17,356 / 208,163), held flat -- asset-heavy processor, no major capex step-change assumed.</t>
        </is>
      </c>
    </row>
    <row r="8">
      <c r="A8" t="inlineStr">
        <is>
          <t>Capex % of revenue</t>
        </is>
      </c>
      <c r="B8" s="11" t="n">
        <v>0.022</v>
      </c>
      <c r="C8" s="9" t="inlineStr">
        <is>
          <t>Set slightly above FY26's depressed 1.37% -- maintenance capex normalises up from a trough underinvestment level.</t>
        </is>
      </c>
    </row>
    <row r="9">
      <c r="A9" t="inlineStr">
        <is>
          <t>Lease opex % of revenue</t>
        </is>
      </c>
      <c r="B9" s="11" t="n">
        <v>0.039</v>
      </c>
      <c r="C9" s="9" t="inlineStr">
        <is>
          <t>FY2026 actual lease principal payments (8,042) / revenue (208,163) = 3.86%, held flat. Lease treatment B: full lease payment charged as an operating cost inside the flow.</t>
        </is>
      </c>
    </row>
    <row r="10">
      <c r="A10" t="inlineStr">
        <is>
          <t>WC capture % of revenue growth</t>
        </is>
      </c>
      <c r="B10" s="11" t="n">
        <v>0.12</v>
      </c>
      <c r="C10" s="9" t="inlineStr">
        <is>
          <t>Modest working-capital capture on YoY revenue growth (glass inventory + receivables build), well below SaaS-style deferred-revenue businesses.</t>
        </is>
      </c>
    </row>
    <row r="11">
      <c r="A11" t="inlineStr">
        <is>
          <t>Base WACC</t>
        </is>
      </c>
      <c r="B11" s="11" t="n">
        <v>0.135</v>
      </c>
      <c r="C11" s="9" t="inlineStr">
        <is>
          <t>NZD risk-free ~4.5% + ERP 5.5% x beta 1.15 = ~10.8% unlevered CoE + 3.0pp small-cap/illiquidity/control-shareholder premium. See Model_Info.</t>
        </is>
      </c>
    </row>
    <row r="12">
      <c r="A12" t="inlineStr">
        <is>
          <t>Bull WACC</t>
        </is>
      </c>
      <c r="B12" s="11" t="n">
        <v>0.125</v>
      </c>
      <c r="C12" s="9" t="inlineStr">
        <is>
          <t>1.0pp below base -- lower-risk bull path.</t>
        </is>
      </c>
    </row>
    <row r="13">
      <c r="A13" t="inlineStr">
        <is>
          <t>Bear WACC</t>
        </is>
      </c>
      <c r="B13" s="11" t="n">
        <v>0.15</v>
      </c>
      <c r="C13" s="9" t="inlineStr">
        <is>
          <t>1.5pp above base -- solvency-tail/covenant-risk premium specific to the bear path, not a generic cyclicality charge.</t>
        </is>
      </c>
    </row>
    <row r="15">
      <c r="A15" s="2" t="inlineStr">
        <is>
          <t>Terminal growth &amp; cap multiple, by scenario</t>
        </is>
      </c>
    </row>
    <row r="16">
      <c r="A16" s="6" t="inlineStr">
        <is>
          <t>Scenario</t>
        </is>
      </c>
      <c r="B16" s="6" t="inlineStr">
        <is>
          <t>Terminal growth</t>
        </is>
      </c>
      <c r="C16" s="6" t="inlineStr">
        <is>
          <t>Terminal cap (x FCF)</t>
        </is>
      </c>
    </row>
    <row r="17">
      <c r="A17" t="inlineStr">
        <is>
          <t>Bear</t>
        </is>
      </c>
      <c r="B17" s="11" t="n">
        <v>0.015</v>
      </c>
      <c r="C17" s="12" t="n">
        <v>5</v>
      </c>
    </row>
    <row r="18">
      <c r="A18" t="inlineStr">
        <is>
          <t>Base</t>
        </is>
      </c>
      <c r="B18" s="11" t="n">
        <v>0.025</v>
      </c>
      <c r="C18" s="12" t="n">
        <v>6</v>
      </c>
    </row>
    <row r="19">
      <c r="A19" t="inlineStr">
        <is>
          <t>Bull</t>
        </is>
      </c>
      <c r="B19" s="11" t="n">
        <v>0.03</v>
      </c>
      <c r="C19" s="12" t="n">
        <v>7</v>
      </c>
    </row>
    <row r="21">
      <c r="A21" s="2" t="inlineStr">
        <is>
          <t>Probability weights</t>
        </is>
      </c>
    </row>
    <row r="22">
      <c r="A22" s="6" t="inlineStr">
        <is>
          <t>Scenario</t>
        </is>
      </c>
      <c r="B22" s="6" t="inlineStr">
        <is>
          <t>Weight</t>
        </is>
      </c>
    </row>
    <row r="23">
      <c r="A23" t="inlineStr">
        <is>
          <t>Bear</t>
        </is>
      </c>
      <c r="B23" s="13" t="n">
        <v>0.2</v>
      </c>
    </row>
    <row r="24">
      <c r="A24" t="inlineStr">
        <is>
          <t>Base</t>
        </is>
      </c>
      <c r="B24" s="13" t="n">
        <v>0.5</v>
      </c>
    </row>
    <row r="25">
      <c r="A25" t="inlineStr">
        <is>
          <t>Bull</t>
        </is>
      </c>
      <c r="B25" s="13" t="n">
        <v>0.3</v>
      </c>
    </row>
    <row r="26">
      <c r="A26" s="2" t="inlineStr">
        <is>
          <t>SUM check</t>
        </is>
      </c>
      <c r="B26" s="14">
        <f>SUM(B23:B25)</f>
        <v/>
      </c>
    </row>
    <row r="28">
      <c r="A28" s="15" t="inlineStr">
        <is>
          <t>Scenario narratives</t>
        </is>
      </c>
    </row>
    <row r="29" ht="90" customHeight="1">
      <c r="A29" s="2" t="inlineStr">
        <is>
          <t>Base</t>
        </is>
      </c>
      <c r="B29" s="3" t="inlineStr">
        <is>
          <t>FY27 essentially flat (management's own 'no substantive market growth' guidance) as the $4m FY26 cost-out program delivers its full-year benefit and margin recovers from 8.76% (FY26) toward an 11% mid-cycle level -- well below the FY18/FY21 pre-oversupply peaks of 15-16.6%, reflecting the Commerce Commission's own finding that the NZ glass market remains structurally oversupplied. Terminal value capped at 6x FCF (~4.9x FY26 EBITDA), the top of the stock's own 10-year trading range.</t>
        </is>
      </c>
    </row>
    <row r="30" ht="90" customHeight="1">
      <c r="A30" s="2" t="inlineStr">
        <is>
          <t>Bull</t>
        </is>
      </c>
      <c r="B30" s="3" t="inlineStr">
        <is>
          <t>Failed Viridian takeover and persistent NZ oversupply keep consolidation optionality alive -- capacity rationalisation restores pricing power faster than base case. AGG's import-model transition stabilises ahead of schedule; Australia's 1.2-million-new-homes target flows into AGG volumes. Margin reaches 13.5%, still below the FY18/21 peak. Terminal cap raised modestly to 7x FCF -- a deliberate, named re-rate assumption.</t>
        </is>
      </c>
    </row>
    <row r="31" ht="90" customHeight="1">
      <c r="A31" s="2" t="inlineStr">
        <is>
          <t>Bear</t>
        </is>
      </c>
      <c r="B31" s="3" t="inlineStr">
        <is>
          <t>Construction downturn deepens rather than stabilises -- NZ consent momentum turns into a further multi-year decline; AU stays subdued longer than the import-model cost base can absorb. Oversupply persists, cost-out only partially offsets revenue erosion. Highest WACC (15.0%) reflects solvency-tail/covenant risk specific to this path (not generic cyclicality). Terminal capped at 5x FCF, below the stock's historical trading floor.</t>
        </is>
      </c>
    </row>
  </sheetData>
  <mergeCells count="3">
    <mergeCell ref="B30:C30"/>
    <mergeCell ref="B29:C29"/>
    <mergeCell ref="B31:C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5" t="inlineStr">
        <is>
          <t>MPG.NZ -- DCF -- Bear case</t>
        </is>
      </c>
    </row>
    <row r="3">
      <c r="A3" s="6" t="inlineStr">
        <is>
          <t>Year</t>
        </is>
      </c>
      <c r="B3" s="6" t="inlineStr">
        <is>
          <t>FY2026A</t>
        </is>
      </c>
      <c r="C3" s="6" t="inlineStr">
        <is>
          <t>FY2027E</t>
        </is>
      </c>
      <c r="D3" s="6" t="inlineStr">
        <is>
          <t>FY2028E</t>
        </is>
      </c>
      <c r="E3" s="6" t="inlineStr">
        <is>
          <t>FY2029E</t>
        </is>
      </c>
      <c r="F3" s="6" t="inlineStr">
        <is>
          <t>FY2030E</t>
        </is>
      </c>
      <c r="G3" s="6" t="inlineStr">
        <is>
          <t>FY2031E</t>
        </is>
      </c>
      <c r="H3" s="6" t="inlineStr">
        <is>
          <t>FY2032E</t>
        </is>
      </c>
      <c r="I3" s="6" t="inlineStr">
        <is>
          <t>FY2033E</t>
        </is>
      </c>
      <c r="J3" s="6" t="inlineStr">
        <is>
          <t>FY2034E</t>
        </is>
      </c>
      <c r="K3" s="6" t="inlineStr">
        <is>
          <t>FY2035E</t>
        </is>
      </c>
      <c r="L3" s="6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16" t="n">
        <v>-0.03</v>
      </c>
      <c r="D5" s="16" t="n">
        <v>-0.02</v>
      </c>
      <c r="E5" s="16" t="n">
        <v>0</v>
      </c>
      <c r="F5" s="16" t="n">
        <v>0.01</v>
      </c>
      <c r="G5" s="16" t="n">
        <v>0.015</v>
      </c>
      <c r="H5" s="16" t="n">
        <v>0.015</v>
      </c>
      <c r="I5" s="16" t="n">
        <v>0.02</v>
      </c>
      <c r="J5" s="16" t="n">
        <v>0.02</v>
      </c>
      <c r="K5" s="16" t="n">
        <v>0.02</v>
      </c>
      <c r="L5" s="16" t="n">
        <v>0.02</v>
      </c>
    </row>
    <row r="6">
      <c r="A6" t="inlineStr">
        <is>
          <t>Revenue</t>
        </is>
      </c>
      <c r="B6" s="7" t="n">
        <v>208163</v>
      </c>
      <c r="C6" s="17">
        <f>B6*(1+C5)</f>
        <v/>
      </c>
      <c r="D6" s="17">
        <f>C6*(1+D5)</f>
        <v/>
      </c>
      <c r="E6" s="17">
        <f>D6*(1+E5)</f>
        <v/>
      </c>
      <c r="F6" s="17">
        <f>E6*(1+F5)</f>
        <v/>
      </c>
      <c r="G6" s="17">
        <f>F6*(1+G5)</f>
        <v/>
      </c>
      <c r="H6" s="17">
        <f>G6*(1+H5)</f>
        <v/>
      </c>
      <c r="I6" s="17">
        <f>H6*(1+I5)</f>
        <v/>
      </c>
      <c r="J6" s="17">
        <f>I6*(1+J5)</f>
        <v/>
      </c>
      <c r="K6" s="17">
        <f>J6*(1+K5)</f>
        <v/>
      </c>
      <c r="L6" s="17">
        <f>K6*(1+L5)</f>
        <v/>
      </c>
    </row>
    <row r="7">
      <c r="A7" t="inlineStr">
        <is>
          <t>Adj EBITDA margin</t>
        </is>
      </c>
      <c r="C7" s="16" t="n">
        <v>0.075</v>
      </c>
      <c r="D7" s="16" t="n">
        <v>0.07000000000000001</v>
      </c>
      <c r="E7" s="16" t="n">
        <v>0.075</v>
      </c>
      <c r="F7" s="16" t="n">
        <v>0.08</v>
      </c>
      <c r="G7" s="16" t="n">
        <v>0.08500000000000001</v>
      </c>
      <c r="H7" s="16" t="n">
        <v>0.08500000000000001</v>
      </c>
      <c r="I7" s="16" t="n">
        <v>0.08500000000000001</v>
      </c>
      <c r="J7" s="16" t="n">
        <v>0.08500000000000001</v>
      </c>
      <c r="K7" s="16" t="n">
        <v>0.08500000000000001</v>
      </c>
      <c r="L7" s="16" t="n">
        <v>0.08500000000000001</v>
      </c>
    </row>
    <row r="8">
      <c r="A8" t="inlineStr">
        <is>
          <t>Adjusted EBITDA</t>
        </is>
      </c>
      <c r="C8" s="17">
        <f>C6*C7</f>
        <v/>
      </c>
      <c r="D8" s="17">
        <f>D6*D7</f>
        <v/>
      </c>
      <c r="E8" s="17">
        <f>E6*E7</f>
        <v/>
      </c>
      <c r="F8" s="17">
        <f>F6*F7</f>
        <v/>
      </c>
      <c r="G8" s="17">
        <f>G6*G7</f>
        <v/>
      </c>
      <c r="H8" s="17">
        <f>H6*H7</f>
        <v/>
      </c>
      <c r="I8" s="17">
        <f>I6*I7</f>
        <v/>
      </c>
      <c r="J8" s="17">
        <f>J6*J7</f>
        <v/>
      </c>
      <c r="K8" s="17">
        <f>K6*K7</f>
        <v/>
      </c>
      <c r="L8" s="17">
        <f>L6*L7</f>
        <v/>
      </c>
    </row>
    <row r="9">
      <c r="A9" t="inlineStr">
        <is>
          <t>SBC % of revenue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</row>
    <row r="10">
      <c r="A10" t="inlineStr">
        <is>
          <t>SBC $ (negative)</t>
        </is>
      </c>
      <c r="C10" s="17">
        <f>-C6*C9</f>
        <v/>
      </c>
      <c r="D10" s="17">
        <f>-D6*D9</f>
        <v/>
      </c>
      <c r="E10" s="17">
        <f>-E6*E9</f>
        <v/>
      </c>
      <c r="F10" s="17">
        <f>-F6*F9</f>
        <v/>
      </c>
      <c r="G10" s="17">
        <f>-G6*G9</f>
        <v/>
      </c>
      <c r="H10" s="17">
        <f>-H6*H9</f>
        <v/>
      </c>
      <c r="I10" s="17">
        <f>-I6*I9</f>
        <v/>
      </c>
      <c r="J10" s="17">
        <f>-J6*J9</f>
        <v/>
      </c>
      <c r="K10" s="17">
        <f>-K6*K9</f>
        <v/>
      </c>
      <c r="L10" s="17">
        <f>-L6*L9</f>
        <v/>
      </c>
    </row>
    <row r="11">
      <c r="A11" t="inlineStr">
        <is>
          <t>Owner EBITDA (EBITDA + SBC)</t>
        </is>
      </c>
      <c r="C11" s="17">
        <f>C8+C10</f>
        <v/>
      </c>
      <c r="D11" s="17">
        <f>D8+D10</f>
        <v/>
      </c>
      <c r="E11" s="17">
        <f>E8+E10</f>
        <v/>
      </c>
      <c r="F11" s="17">
        <f>F8+F10</f>
        <v/>
      </c>
      <c r="G11" s="17">
        <f>G8+G10</f>
        <v/>
      </c>
      <c r="H11" s="17">
        <f>H8+H10</f>
        <v/>
      </c>
      <c r="I11" s="17">
        <f>I8+I10</f>
        <v/>
      </c>
      <c r="J11" s="17">
        <f>J8+J10</f>
        <v/>
      </c>
      <c r="K11" s="17">
        <f>K8+K10</f>
        <v/>
      </c>
      <c r="L11" s="17">
        <f>L8+L10</f>
        <v/>
      </c>
    </row>
    <row r="12">
      <c r="A12" t="inlineStr">
        <is>
          <t>Lease opex (treatment B)</t>
        </is>
      </c>
      <c r="C12" s="18">
        <f>-C6*Assumptions!$B$9</f>
        <v/>
      </c>
      <c r="D12" s="18">
        <f>-D6*Assumptions!$B$9</f>
        <v/>
      </c>
      <c r="E12" s="18">
        <f>-E6*Assumptions!$B$9</f>
        <v/>
      </c>
      <c r="F12" s="18">
        <f>-F6*Assumptions!$B$9</f>
        <v/>
      </c>
      <c r="G12" s="18">
        <f>-G6*Assumptions!$B$9</f>
        <v/>
      </c>
      <c r="H12" s="18">
        <f>-H6*Assumptions!$B$9</f>
        <v/>
      </c>
      <c r="I12" s="18">
        <f>-I6*Assumptions!$B$9</f>
        <v/>
      </c>
      <c r="J12" s="18">
        <f>-J6*Assumptions!$B$9</f>
        <v/>
      </c>
      <c r="K12" s="18">
        <f>-K6*Assumptions!$B$9</f>
        <v/>
      </c>
      <c r="L12" s="18">
        <f>-L6*Assumptions!$B$9</f>
        <v/>
      </c>
    </row>
    <row r="13">
      <c r="A13" t="inlineStr">
        <is>
          <t>D&amp;A</t>
        </is>
      </c>
      <c r="C13" s="18">
        <f>-C6*Assumptions!$B$7</f>
        <v/>
      </c>
      <c r="D13" s="18">
        <f>-D6*Assumptions!$B$7</f>
        <v/>
      </c>
      <c r="E13" s="18">
        <f>-E6*Assumptions!$B$7</f>
        <v/>
      </c>
      <c r="F13" s="18">
        <f>-F6*Assumptions!$B$7</f>
        <v/>
      </c>
      <c r="G13" s="18">
        <f>-G6*Assumptions!$B$7</f>
        <v/>
      </c>
      <c r="H13" s="18">
        <f>-H6*Assumptions!$B$7</f>
        <v/>
      </c>
      <c r="I13" s="18">
        <f>-I6*Assumptions!$B$7</f>
        <v/>
      </c>
      <c r="J13" s="18">
        <f>-J6*Assumptions!$B$7</f>
        <v/>
      </c>
      <c r="K13" s="18">
        <f>-K6*Assumptions!$B$7</f>
        <v/>
      </c>
      <c r="L13" s="18">
        <f>-L6*Assumptions!$B$7</f>
        <v/>
      </c>
    </row>
    <row r="14">
      <c r="A14" t="inlineStr">
        <is>
          <t>EBIT (SBC + lease expensed)</t>
        </is>
      </c>
      <c r="C14" s="17">
        <f>C11+C12+C13</f>
        <v/>
      </c>
      <c r="D14" s="17">
        <f>D11+D12+D13</f>
        <v/>
      </c>
      <c r="E14" s="17">
        <f>E11+E12+E13</f>
        <v/>
      </c>
      <c r="F14" s="17">
        <f>F11+F12+F13</f>
        <v/>
      </c>
      <c r="G14" s="17">
        <f>G11+G12+G13</f>
        <v/>
      </c>
      <c r="H14" s="17">
        <f>H11+H12+H13</f>
        <v/>
      </c>
      <c r="I14" s="17">
        <f>I11+I12+I13</f>
        <v/>
      </c>
      <c r="J14" s="17">
        <f>J11+J12+J13</f>
        <v/>
      </c>
      <c r="K14" s="17">
        <f>K11+K12+K13</f>
        <v/>
      </c>
      <c r="L14" s="17">
        <f>L11+L12+L13</f>
        <v/>
      </c>
    </row>
    <row r="15">
      <c r="A15" t="inlineStr">
        <is>
          <t>Cash tax rate</t>
        </is>
      </c>
      <c r="C15" s="16" t="n">
        <v>0.02</v>
      </c>
      <c r="D15" s="16" t="n">
        <v>0.06</v>
      </c>
      <c r="E15" s="16" t="n">
        <v>0.12</v>
      </c>
      <c r="F15" s="16" t="n">
        <v>0.18</v>
      </c>
      <c r="G15" s="16" t="n">
        <v>0.26</v>
      </c>
      <c r="H15" s="16" t="n">
        <v>0.26</v>
      </c>
      <c r="I15" s="16" t="n">
        <v>0.26</v>
      </c>
      <c r="J15" s="16" t="n">
        <v>0.26</v>
      </c>
      <c r="K15" s="16" t="n">
        <v>0.26</v>
      </c>
      <c r="L15" s="16" t="n">
        <v>0.26</v>
      </c>
    </row>
    <row r="16">
      <c r="A16" t="inlineStr">
        <is>
          <t>NOPAT</t>
        </is>
      </c>
      <c r="C16" s="17">
        <f>C14*(1-C15)</f>
        <v/>
      </c>
      <c r="D16" s="17">
        <f>D14*(1-D15)</f>
        <v/>
      </c>
      <c r="E16" s="17">
        <f>E14*(1-E15)</f>
        <v/>
      </c>
      <c r="F16" s="17">
        <f>F14*(1-F15)</f>
        <v/>
      </c>
      <c r="G16" s="17">
        <f>G14*(1-G15)</f>
        <v/>
      </c>
      <c r="H16" s="17">
        <f>H14*(1-H15)</f>
        <v/>
      </c>
      <c r="I16" s="17">
        <f>I14*(1-I15)</f>
        <v/>
      </c>
      <c r="J16" s="17">
        <f>J14*(1-J15)</f>
        <v/>
      </c>
      <c r="K16" s="17">
        <f>K14*(1-K15)</f>
        <v/>
      </c>
      <c r="L16" s="17">
        <f>L14*(1-L15)</f>
        <v/>
      </c>
    </row>
    <row r="17">
      <c r="A17" t="inlineStr">
        <is>
          <t>Add back D&amp;A</t>
        </is>
      </c>
      <c r="C17" s="17">
        <f>-C13</f>
        <v/>
      </c>
      <c r="D17" s="17">
        <f>-D13</f>
        <v/>
      </c>
      <c r="E17" s="17">
        <f>-E13</f>
        <v/>
      </c>
      <c r="F17" s="17">
        <f>-F13</f>
        <v/>
      </c>
      <c r="G17" s="17">
        <f>-G13</f>
        <v/>
      </c>
      <c r="H17" s="17">
        <f>-H13</f>
        <v/>
      </c>
      <c r="I17" s="17">
        <f>-I13</f>
        <v/>
      </c>
      <c r="J17" s="17">
        <f>-J13</f>
        <v/>
      </c>
      <c r="K17" s="17">
        <f>-K13</f>
        <v/>
      </c>
      <c r="L17" s="17">
        <f>-L13</f>
        <v/>
      </c>
    </row>
    <row r="18">
      <c r="A18" t="inlineStr">
        <is>
          <t>Less capex</t>
        </is>
      </c>
      <c r="C18" s="18">
        <f>-C6*Assumptions!$B$8</f>
        <v/>
      </c>
      <c r="D18" s="18">
        <f>-D6*Assumptions!$B$8</f>
        <v/>
      </c>
      <c r="E18" s="18">
        <f>-E6*Assumptions!$B$8</f>
        <v/>
      </c>
      <c r="F18" s="18">
        <f>-F6*Assumptions!$B$8</f>
        <v/>
      </c>
      <c r="G18" s="18">
        <f>-G6*Assumptions!$B$8</f>
        <v/>
      </c>
      <c r="H18" s="18">
        <f>-H6*Assumptions!$B$8</f>
        <v/>
      </c>
      <c r="I18" s="18">
        <f>-I6*Assumptions!$B$8</f>
        <v/>
      </c>
      <c r="J18" s="18">
        <f>-J6*Assumptions!$B$8</f>
        <v/>
      </c>
      <c r="K18" s="18">
        <f>-K6*Assumptions!$B$8</f>
        <v/>
      </c>
      <c r="L18" s="18">
        <f>-L6*Assumptions!$B$8</f>
        <v/>
      </c>
    </row>
    <row r="19">
      <c r="A19" t="inlineStr">
        <is>
          <t>Add working capital</t>
        </is>
      </c>
      <c r="C19" s="18">
        <f>Assumptions!$B$10*(C6-B6)</f>
        <v/>
      </c>
      <c r="D19" s="18">
        <f>Assumptions!$B$10*(D6-C6)</f>
        <v/>
      </c>
      <c r="E19" s="18">
        <f>Assumptions!$B$10*(E6-D6)</f>
        <v/>
      </c>
      <c r="F19" s="18">
        <f>Assumptions!$B$10*(F6-E6)</f>
        <v/>
      </c>
      <c r="G19" s="18">
        <f>Assumptions!$B$10*(G6-F6)</f>
        <v/>
      </c>
      <c r="H19" s="18">
        <f>Assumptions!$B$10*(H6-G6)</f>
        <v/>
      </c>
      <c r="I19" s="18">
        <f>Assumptions!$B$10*(I6-H6)</f>
        <v/>
      </c>
      <c r="J19" s="18">
        <f>Assumptions!$B$10*(J6-I6)</f>
        <v/>
      </c>
      <c r="K19" s="18">
        <f>Assumptions!$B$10*(K6-J6)</f>
        <v/>
      </c>
      <c r="L19" s="18">
        <f>Assumptions!$B$10*(L6-K6)</f>
        <v/>
      </c>
    </row>
    <row r="20">
      <c r="A20" s="2" t="inlineStr">
        <is>
          <t>Unlevered owner FCF</t>
        </is>
      </c>
      <c r="C20" s="19">
        <f>C16+C17+C18+C19</f>
        <v/>
      </c>
      <c r="D20" s="19">
        <f>D16+D17+D18+D19</f>
        <v/>
      </c>
      <c r="E20" s="19">
        <f>E16+E17+E18+E19</f>
        <v/>
      </c>
      <c r="F20" s="19">
        <f>F16+F17+F18+F19</f>
        <v/>
      </c>
      <c r="G20" s="19">
        <f>G16+G17+G18+G19</f>
        <v/>
      </c>
      <c r="H20" s="19">
        <f>H16+H17+H18+H19</f>
        <v/>
      </c>
      <c r="I20" s="19">
        <f>I16+I17+I18+I19</f>
        <v/>
      </c>
      <c r="J20" s="19">
        <f>J16+J17+J18+J19</f>
        <v/>
      </c>
      <c r="K20" s="19">
        <f>K16+K17+K18+K19</f>
        <v/>
      </c>
      <c r="L20" s="19">
        <f>L16+L17+L18+L19</f>
        <v/>
      </c>
    </row>
    <row r="21">
      <c r="A21" t="inlineStr">
        <is>
          <t>Discount factor</t>
        </is>
      </c>
      <c r="C21" s="20">
        <f>1/(1+Assumptions!$B$13)^C4</f>
        <v/>
      </c>
      <c r="D21" s="20">
        <f>1/(1+Assumptions!$B$13)^D4</f>
        <v/>
      </c>
      <c r="E21" s="20">
        <f>1/(1+Assumptions!$B$13)^E4</f>
        <v/>
      </c>
      <c r="F21" s="20">
        <f>1/(1+Assumptions!$B$13)^F4</f>
        <v/>
      </c>
      <c r="G21" s="20">
        <f>1/(1+Assumptions!$B$13)^G4</f>
        <v/>
      </c>
      <c r="H21" s="20">
        <f>1/(1+Assumptions!$B$13)^H4</f>
        <v/>
      </c>
      <c r="I21" s="20">
        <f>1/(1+Assumptions!$B$13)^I4</f>
        <v/>
      </c>
      <c r="J21" s="20">
        <f>1/(1+Assumptions!$B$13)^J4</f>
        <v/>
      </c>
      <c r="K21" s="20">
        <f>1/(1+Assumptions!$B$13)^K4</f>
        <v/>
      </c>
      <c r="L21" s="20">
        <f>1/(1+Assumptions!$B$13)^L4</f>
        <v/>
      </c>
    </row>
    <row r="22">
      <c r="A22" t="inlineStr">
        <is>
          <t>PV of FCF</t>
        </is>
      </c>
      <c r="C22" s="17">
        <f>C20*C21</f>
        <v/>
      </c>
      <c r="D22" s="17">
        <f>D20*D21</f>
        <v/>
      </c>
      <c r="E22" s="17">
        <f>E20*E21</f>
        <v/>
      </c>
      <c r="F22" s="17">
        <f>F20*F21</f>
        <v/>
      </c>
      <c r="G22" s="17">
        <f>G20*G21</f>
        <v/>
      </c>
      <c r="H22" s="17">
        <f>H20*H21</f>
        <v/>
      </c>
      <c r="I22" s="17">
        <f>I20*I21</f>
        <v/>
      </c>
      <c r="J22" s="17">
        <f>J20*J21</f>
        <v/>
      </c>
      <c r="K22" s="17">
        <f>K20*K21</f>
        <v/>
      </c>
      <c r="L22" s="17">
        <f>L20*L21</f>
        <v/>
      </c>
    </row>
    <row r="24">
      <c r="A24" t="inlineStr">
        <is>
          <t>Memo: FCF before SBC (company-style)</t>
        </is>
      </c>
      <c r="C24" s="21">
        <f>C20-C10</f>
        <v/>
      </c>
      <c r="D24" s="21">
        <f>D20-D10</f>
        <v/>
      </c>
      <c r="E24" s="21">
        <f>E20-E10</f>
        <v/>
      </c>
      <c r="F24" s="21">
        <f>F20-F10</f>
        <v/>
      </c>
      <c r="G24" s="21">
        <f>G20-G10</f>
        <v/>
      </c>
      <c r="H24" s="21">
        <f>H20-H10</f>
        <v/>
      </c>
      <c r="I24" s="21">
        <f>I20-I10</f>
        <v/>
      </c>
      <c r="J24" s="21">
        <f>J20-J10</f>
        <v/>
      </c>
      <c r="K24" s="21">
        <f>K20-K10</f>
        <v/>
      </c>
      <c r="L24" s="21">
        <f>L20-L10</f>
        <v/>
      </c>
    </row>
    <row r="25">
      <c r="A25" t="inlineStr">
        <is>
          <t>Memo: implied owner-FCF margin</t>
        </is>
      </c>
      <c r="C25" s="22">
        <f>C20/C6</f>
        <v/>
      </c>
      <c r="D25" s="22">
        <f>D20/D6</f>
        <v/>
      </c>
      <c r="E25" s="22">
        <f>E20/E6</f>
        <v/>
      </c>
      <c r="F25" s="22">
        <f>F20/F6</f>
        <v/>
      </c>
      <c r="G25" s="22">
        <f>G20/G6</f>
        <v/>
      </c>
      <c r="H25" s="22">
        <f>H20/H6</f>
        <v/>
      </c>
      <c r="I25" s="22">
        <f>I20/I6</f>
        <v/>
      </c>
      <c r="J25" s="22">
        <f>J20/J6</f>
        <v/>
      </c>
      <c r="K25" s="22">
        <f>K20/K6</f>
        <v/>
      </c>
      <c r="L25" s="22">
        <f>L20/L6</f>
        <v/>
      </c>
    </row>
    <row r="27">
      <c r="A27" s="2" t="inlineStr">
        <is>
          <t>Sum of PV of explicit FCF</t>
        </is>
      </c>
      <c r="B27" s="17">
        <f>SUM(C22:L22)</f>
        <v/>
      </c>
    </row>
    <row r="28">
      <c r="A28" t="inlineStr">
        <is>
          <t>Terminal growth</t>
        </is>
      </c>
      <c r="B28" s="23">
        <f>Assumptions!$B$17</f>
        <v/>
      </c>
    </row>
    <row r="29">
      <c r="A29" t="inlineStr">
        <is>
          <t>Terminal FCF</t>
        </is>
      </c>
      <c r="B29" s="17">
        <f>L20*(1+B28)</f>
        <v/>
      </c>
    </row>
    <row r="30">
      <c r="A30" t="inlineStr">
        <is>
          <t>Gordon TV</t>
        </is>
      </c>
      <c r="B30" s="17">
        <f>IF(Assumptions!$B$13&gt;B28,B29/(Assumptions!$B$13-B28),"n/a")</f>
        <v/>
      </c>
    </row>
    <row r="31">
      <c r="A31" t="inlineStr">
        <is>
          <t>Terminal cap multiple (x FCF)</t>
        </is>
      </c>
      <c r="B31" s="24">
        <f>Assumptions!$C$17</f>
        <v/>
      </c>
    </row>
    <row r="32">
      <c r="A32" t="inlineStr">
        <is>
          <t>Cap TV</t>
        </is>
      </c>
      <c r="B32" s="17">
        <f>B31*L20</f>
        <v/>
      </c>
    </row>
    <row r="33">
      <c r="A33" s="2" t="inlineStr">
        <is>
          <t>TV used = MAX(0,MIN(Gordon,Cap))</t>
        </is>
      </c>
      <c r="B33" s="19">
        <f>MAX(0,MIN(IF(ISNUMBER(B30),B30,B32),B32))</f>
        <v/>
      </c>
    </row>
    <row r="34">
      <c r="A34" t="inlineStr">
        <is>
          <t>Implied exit multiple (TV / FCF_N)</t>
        </is>
      </c>
      <c r="B34" s="25">
        <f>B33/L20</f>
        <v/>
      </c>
    </row>
    <row r="35">
      <c r="A35" t="inlineStr">
        <is>
          <t>PV of TV</t>
        </is>
      </c>
      <c r="B35" s="17">
        <f>B33*L21</f>
        <v/>
      </c>
    </row>
    <row r="36">
      <c r="A36" s="2" t="inlineStr">
        <is>
          <t>Enterprise value</t>
        </is>
      </c>
      <c r="B36" s="19">
        <f>B27+B35</f>
        <v/>
      </c>
    </row>
    <row r="37">
      <c r="A37" t="inlineStr">
        <is>
          <t>Less: net debt</t>
        </is>
      </c>
      <c r="B37" s="18">
        <f>-Assumptions!$B$6</f>
        <v/>
      </c>
    </row>
    <row r="38">
      <c r="A38" s="2" t="inlineStr">
        <is>
          <t>Equity value</t>
        </is>
      </c>
      <c r="B38" s="19">
        <f>B36+B37</f>
        <v/>
      </c>
    </row>
    <row r="39">
      <c r="A39" t="inlineStr">
        <is>
          <t>Diluted shares outstanding ('000)</t>
        </is>
      </c>
      <c r="B39" s="26">
        <f>Assumptions!$B$5</f>
        <v/>
      </c>
    </row>
    <row r="40">
      <c r="A40" s="15" t="inlineStr">
        <is>
          <t>VALUE PER SHARE (NZD)</t>
        </is>
      </c>
      <c r="B40" s="27">
        <f>B38/B39</f>
        <v/>
      </c>
    </row>
    <row r="41">
      <c r="A41" t="inlineStr">
        <is>
          <t>Upside vs current price</t>
        </is>
      </c>
      <c r="B41" s="28">
        <f>B40/Assumptions!$B$4-1</f>
        <v/>
      </c>
    </row>
    <row r="43">
      <c r="A43" s="29" t="inlineStr">
        <is>
          <t>Street memo (SBC add-back -- SBC-zero market, expect ~0)</t>
        </is>
      </c>
    </row>
    <row r="44">
      <c r="A44" t="inlineStr">
        <is>
          <t>PV of explicit-period SBC</t>
        </is>
      </c>
      <c r="B44" s="17">
        <f>SUMPRODUCT(-C10:L10,C21:L21)</f>
        <v/>
      </c>
    </row>
    <row r="45">
      <c r="A45" t="inlineStr">
        <is>
          <t>PV of terminal SBC (Gordon on -L10)</t>
        </is>
      </c>
      <c r="B45" s="17">
        <f>IF(Assumptions!$B$13&gt;B28,(-L10*(1+B28))/(Assumptions!$B$13-B28)*L21,0)</f>
        <v/>
      </c>
    </row>
    <row r="46">
      <c r="A46" t="inlineStr">
        <is>
          <t>Street value per share</t>
        </is>
      </c>
      <c r="B46" s="30">
        <f>(B38+B44+B45)/B39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5" t="inlineStr">
        <is>
          <t>MPG.NZ -- DCF -- Base case</t>
        </is>
      </c>
    </row>
    <row r="3">
      <c r="A3" s="6" t="inlineStr">
        <is>
          <t>Year</t>
        </is>
      </c>
      <c r="B3" s="6" t="inlineStr">
        <is>
          <t>FY2026A</t>
        </is>
      </c>
      <c r="C3" s="6" t="inlineStr">
        <is>
          <t>FY2027E</t>
        </is>
      </c>
      <c r="D3" s="6" t="inlineStr">
        <is>
          <t>FY2028E</t>
        </is>
      </c>
      <c r="E3" s="6" t="inlineStr">
        <is>
          <t>FY2029E</t>
        </is>
      </c>
      <c r="F3" s="6" t="inlineStr">
        <is>
          <t>FY2030E</t>
        </is>
      </c>
      <c r="G3" s="6" t="inlineStr">
        <is>
          <t>FY2031E</t>
        </is>
      </c>
      <c r="H3" s="6" t="inlineStr">
        <is>
          <t>FY2032E</t>
        </is>
      </c>
      <c r="I3" s="6" t="inlineStr">
        <is>
          <t>FY2033E</t>
        </is>
      </c>
      <c r="J3" s="6" t="inlineStr">
        <is>
          <t>FY2034E</t>
        </is>
      </c>
      <c r="K3" s="6" t="inlineStr">
        <is>
          <t>FY2035E</t>
        </is>
      </c>
      <c r="L3" s="6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16" t="n">
        <v>0.005</v>
      </c>
      <c r="D5" s="16" t="n">
        <v>0.02</v>
      </c>
      <c r="E5" s="16" t="n">
        <v>0.03</v>
      </c>
      <c r="F5" s="16" t="n">
        <v>0.035</v>
      </c>
      <c r="G5" s="16" t="n">
        <v>0.035</v>
      </c>
      <c r="H5" s="16" t="n">
        <v>0.03</v>
      </c>
      <c r="I5" s="16" t="n">
        <v>0.03</v>
      </c>
      <c r="J5" s="16" t="n">
        <v>0.028</v>
      </c>
      <c r="K5" s="16" t="n">
        <v>0.025</v>
      </c>
      <c r="L5" s="16" t="n">
        <v>0.025</v>
      </c>
    </row>
    <row r="6">
      <c r="A6" t="inlineStr">
        <is>
          <t>Revenue</t>
        </is>
      </c>
      <c r="B6" s="7" t="n">
        <v>208163</v>
      </c>
      <c r="C6" s="17">
        <f>B6*(1+C5)</f>
        <v/>
      </c>
      <c r="D6" s="17">
        <f>C6*(1+D5)</f>
        <v/>
      </c>
      <c r="E6" s="17">
        <f>D6*(1+E5)</f>
        <v/>
      </c>
      <c r="F6" s="17">
        <f>E6*(1+F5)</f>
        <v/>
      </c>
      <c r="G6" s="17">
        <f>F6*(1+G5)</f>
        <v/>
      </c>
      <c r="H6" s="17">
        <f>G6*(1+H5)</f>
        <v/>
      </c>
      <c r="I6" s="17">
        <f>H6*(1+I5)</f>
        <v/>
      </c>
      <c r="J6" s="17">
        <f>I6*(1+J5)</f>
        <v/>
      </c>
      <c r="K6" s="17">
        <f>J6*(1+K5)</f>
        <v/>
      </c>
      <c r="L6" s="17">
        <f>K6*(1+L5)</f>
        <v/>
      </c>
    </row>
    <row r="7">
      <c r="A7" t="inlineStr">
        <is>
          <t>Adj EBITDA margin</t>
        </is>
      </c>
      <c r="C7" s="16" t="n">
        <v>0.098</v>
      </c>
      <c r="D7" s="16" t="n">
        <v>0.105</v>
      </c>
      <c r="E7" s="16" t="n">
        <v>0.108</v>
      </c>
      <c r="F7" s="16" t="n">
        <v>0.11</v>
      </c>
      <c r="G7" s="16" t="n">
        <v>0.11</v>
      </c>
      <c r="H7" s="16" t="n">
        <v>0.11</v>
      </c>
      <c r="I7" s="16" t="n">
        <v>0.11</v>
      </c>
      <c r="J7" s="16" t="n">
        <v>0.11</v>
      </c>
      <c r="K7" s="16" t="n">
        <v>0.11</v>
      </c>
      <c r="L7" s="16" t="n">
        <v>0.11</v>
      </c>
    </row>
    <row r="8">
      <c r="A8" t="inlineStr">
        <is>
          <t>Adjusted EBITDA</t>
        </is>
      </c>
      <c r="C8" s="17">
        <f>C6*C7</f>
        <v/>
      </c>
      <c r="D8" s="17">
        <f>D6*D7</f>
        <v/>
      </c>
      <c r="E8" s="17">
        <f>E6*E7</f>
        <v/>
      </c>
      <c r="F8" s="17">
        <f>F6*F7</f>
        <v/>
      </c>
      <c r="G8" s="17">
        <f>G6*G7</f>
        <v/>
      </c>
      <c r="H8" s="17">
        <f>H6*H7</f>
        <v/>
      </c>
      <c r="I8" s="17">
        <f>I6*I7</f>
        <v/>
      </c>
      <c r="J8" s="17">
        <f>J6*J7</f>
        <v/>
      </c>
      <c r="K8" s="17">
        <f>K6*K7</f>
        <v/>
      </c>
      <c r="L8" s="17">
        <f>L6*L7</f>
        <v/>
      </c>
    </row>
    <row r="9">
      <c r="A9" t="inlineStr">
        <is>
          <t>SBC % of revenue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</row>
    <row r="10">
      <c r="A10" t="inlineStr">
        <is>
          <t>SBC $ (negative)</t>
        </is>
      </c>
      <c r="C10" s="17">
        <f>-C6*C9</f>
        <v/>
      </c>
      <c r="D10" s="17">
        <f>-D6*D9</f>
        <v/>
      </c>
      <c r="E10" s="17">
        <f>-E6*E9</f>
        <v/>
      </c>
      <c r="F10" s="17">
        <f>-F6*F9</f>
        <v/>
      </c>
      <c r="G10" s="17">
        <f>-G6*G9</f>
        <v/>
      </c>
      <c r="H10" s="17">
        <f>-H6*H9</f>
        <v/>
      </c>
      <c r="I10" s="17">
        <f>-I6*I9</f>
        <v/>
      </c>
      <c r="J10" s="17">
        <f>-J6*J9</f>
        <v/>
      </c>
      <c r="K10" s="17">
        <f>-K6*K9</f>
        <v/>
      </c>
      <c r="L10" s="17">
        <f>-L6*L9</f>
        <v/>
      </c>
    </row>
    <row r="11">
      <c r="A11" t="inlineStr">
        <is>
          <t>Owner EBITDA (EBITDA + SBC)</t>
        </is>
      </c>
      <c r="C11" s="17">
        <f>C8+C10</f>
        <v/>
      </c>
      <c r="D11" s="17">
        <f>D8+D10</f>
        <v/>
      </c>
      <c r="E11" s="17">
        <f>E8+E10</f>
        <v/>
      </c>
      <c r="F11" s="17">
        <f>F8+F10</f>
        <v/>
      </c>
      <c r="G11" s="17">
        <f>G8+G10</f>
        <v/>
      </c>
      <c r="H11" s="17">
        <f>H8+H10</f>
        <v/>
      </c>
      <c r="I11" s="17">
        <f>I8+I10</f>
        <v/>
      </c>
      <c r="J11" s="17">
        <f>J8+J10</f>
        <v/>
      </c>
      <c r="K11" s="17">
        <f>K8+K10</f>
        <v/>
      </c>
      <c r="L11" s="17">
        <f>L8+L10</f>
        <v/>
      </c>
    </row>
    <row r="12">
      <c r="A12" t="inlineStr">
        <is>
          <t>Lease opex (treatment B)</t>
        </is>
      </c>
      <c r="C12" s="18">
        <f>-C6*Assumptions!$B$9</f>
        <v/>
      </c>
      <c r="D12" s="18">
        <f>-D6*Assumptions!$B$9</f>
        <v/>
      </c>
      <c r="E12" s="18">
        <f>-E6*Assumptions!$B$9</f>
        <v/>
      </c>
      <c r="F12" s="18">
        <f>-F6*Assumptions!$B$9</f>
        <v/>
      </c>
      <c r="G12" s="18">
        <f>-G6*Assumptions!$B$9</f>
        <v/>
      </c>
      <c r="H12" s="18">
        <f>-H6*Assumptions!$B$9</f>
        <v/>
      </c>
      <c r="I12" s="18">
        <f>-I6*Assumptions!$B$9</f>
        <v/>
      </c>
      <c r="J12" s="18">
        <f>-J6*Assumptions!$B$9</f>
        <v/>
      </c>
      <c r="K12" s="18">
        <f>-K6*Assumptions!$B$9</f>
        <v/>
      </c>
      <c r="L12" s="18">
        <f>-L6*Assumptions!$B$9</f>
        <v/>
      </c>
    </row>
    <row r="13">
      <c r="A13" t="inlineStr">
        <is>
          <t>D&amp;A</t>
        </is>
      </c>
      <c r="C13" s="18">
        <f>-C6*Assumptions!$B$7</f>
        <v/>
      </c>
      <c r="D13" s="18">
        <f>-D6*Assumptions!$B$7</f>
        <v/>
      </c>
      <c r="E13" s="18">
        <f>-E6*Assumptions!$B$7</f>
        <v/>
      </c>
      <c r="F13" s="18">
        <f>-F6*Assumptions!$B$7</f>
        <v/>
      </c>
      <c r="G13" s="18">
        <f>-G6*Assumptions!$B$7</f>
        <v/>
      </c>
      <c r="H13" s="18">
        <f>-H6*Assumptions!$B$7</f>
        <v/>
      </c>
      <c r="I13" s="18">
        <f>-I6*Assumptions!$B$7</f>
        <v/>
      </c>
      <c r="J13" s="18">
        <f>-J6*Assumptions!$B$7</f>
        <v/>
      </c>
      <c r="K13" s="18">
        <f>-K6*Assumptions!$B$7</f>
        <v/>
      </c>
      <c r="L13" s="18">
        <f>-L6*Assumptions!$B$7</f>
        <v/>
      </c>
    </row>
    <row r="14">
      <c r="A14" t="inlineStr">
        <is>
          <t>EBIT (SBC + lease expensed)</t>
        </is>
      </c>
      <c r="C14" s="17">
        <f>C11+C12+C13</f>
        <v/>
      </c>
      <c r="D14" s="17">
        <f>D11+D12+D13</f>
        <v/>
      </c>
      <c r="E14" s="17">
        <f>E11+E12+E13</f>
        <v/>
      </c>
      <c r="F14" s="17">
        <f>F11+F12+F13</f>
        <v/>
      </c>
      <c r="G14" s="17">
        <f>G11+G12+G13</f>
        <v/>
      </c>
      <c r="H14" s="17">
        <f>H11+H12+H13</f>
        <v/>
      </c>
      <c r="I14" s="17">
        <f>I11+I12+I13</f>
        <v/>
      </c>
      <c r="J14" s="17">
        <f>J11+J12+J13</f>
        <v/>
      </c>
      <c r="K14" s="17">
        <f>K11+K12+K13</f>
        <v/>
      </c>
      <c r="L14" s="17">
        <f>L11+L12+L13</f>
        <v/>
      </c>
    </row>
    <row r="15">
      <c r="A15" t="inlineStr">
        <is>
          <t>Cash tax rate</t>
        </is>
      </c>
      <c r="C15" s="16" t="n">
        <v>0.02</v>
      </c>
      <c r="D15" s="16" t="n">
        <v>0.06</v>
      </c>
      <c r="E15" s="16" t="n">
        <v>0.12</v>
      </c>
      <c r="F15" s="16" t="n">
        <v>0.18</v>
      </c>
      <c r="G15" s="16" t="n">
        <v>0.26</v>
      </c>
      <c r="H15" s="16" t="n">
        <v>0.26</v>
      </c>
      <c r="I15" s="16" t="n">
        <v>0.26</v>
      </c>
      <c r="J15" s="16" t="n">
        <v>0.26</v>
      </c>
      <c r="K15" s="16" t="n">
        <v>0.26</v>
      </c>
      <c r="L15" s="16" t="n">
        <v>0.26</v>
      </c>
    </row>
    <row r="16">
      <c r="A16" t="inlineStr">
        <is>
          <t>NOPAT</t>
        </is>
      </c>
      <c r="C16" s="17">
        <f>C14*(1-C15)</f>
        <v/>
      </c>
      <c r="D16" s="17">
        <f>D14*(1-D15)</f>
        <v/>
      </c>
      <c r="E16" s="17">
        <f>E14*(1-E15)</f>
        <v/>
      </c>
      <c r="F16" s="17">
        <f>F14*(1-F15)</f>
        <v/>
      </c>
      <c r="G16" s="17">
        <f>G14*(1-G15)</f>
        <v/>
      </c>
      <c r="H16" s="17">
        <f>H14*(1-H15)</f>
        <v/>
      </c>
      <c r="I16" s="17">
        <f>I14*(1-I15)</f>
        <v/>
      </c>
      <c r="J16" s="17">
        <f>J14*(1-J15)</f>
        <v/>
      </c>
      <c r="K16" s="17">
        <f>K14*(1-K15)</f>
        <v/>
      </c>
      <c r="L16" s="17">
        <f>L14*(1-L15)</f>
        <v/>
      </c>
    </row>
    <row r="17">
      <c r="A17" t="inlineStr">
        <is>
          <t>Add back D&amp;A</t>
        </is>
      </c>
      <c r="C17" s="17">
        <f>-C13</f>
        <v/>
      </c>
      <c r="D17" s="17">
        <f>-D13</f>
        <v/>
      </c>
      <c r="E17" s="17">
        <f>-E13</f>
        <v/>
      </c>
      <c r="F17" s="17">
        <f>-F13</f>
        <v/>
      </c>
      <c r="G17" s="17">
        <f>-G13</f>
        <v/>
      </c>
      <c r="H17" s="17">
        <f>-H13</f>
        <v/>
      </c>
      <c r="I17" s="17">
        <f>-I13</f>
        <v/>
      </c>
      <c r="J17" s="17">
        <f>-J13</f>
        <v/>
      </c>
      <c r="K17" s="17">
        <f>-K13</f>
        <v/>
      </c>
      <c r="L17" s="17">
        <f>-L13</f>
        <v/>
      </c>
    </row>
    <row r="18">
      <c r="A18" t="inlineStr">
        <is>
          <t>Less capex</t>
        </is>
      </c>
      <c r="C18" s="18">
        <f>-C6*Assumptions!$B$8</f>
        <v/>
      </c>
      <c r="D18" s="18">
        <f>-D6*Assumptions!$B$8</f>
        <v/>
      </c>
      <c r="E18" s="18">
        <f>-E6*Assumptions!$B$8</f>
        <v/>
      </c>
      <c r="F18" s="18">
        <f>-F6*Assumptions!$B$8</f>
        <v/>
      </c>
      <c r="G18" s="18">
        <f>-G6*Assumptions!$B$8</f>
        <v/>
      </c>
      <c r="H18" s="18">
        <f>-H6*Assumptions!$B$8</f>
        <v/>
      </c>
      <c r="I18" s="18">
        <f>-I6*Assumptions!$B$8</f>
        <v/>
      </c>
      <c r="J18" s="18">
        <f>-J6*Assumptions!$B$8</f>
        <v/>
      </c>
      <c r="K18" s="18">
        <f>-K6*Assumptions!$B$8</f>
        <v/>
      </c>
      <c r="L18" s="18">
        <f>-L6*Assumptions!$B$8</f>
        <v/>
      </c>
    </row>
    <row r="19">
      <c r="A19" t="inlineStr">
        <is>
          <t>Add working capital</t>
        </is>
      </c>
      <c r="C19" s="18">
        <f>Assumptions!$B$10*(C6-B6)</f>
        <v/>
      </c>
      <c r="D19" s="18">
        <f>Assumptions!$B$10*(D6-C6)</f>
        <v/>
      </c>
      <c r="E19" s="18">
        <f>Assumptions!$B$10*(E6-D6)</f>
        <v/>
      </c>
      <c r="F19" s="18">
        <f>Assumptions!$B$10*(F6-E6)</f>
        <v/>
      </c>
      <c r="G19" s="18">
        <f>Assumptions!$B$10*(G6-F6)</f>
        <v/>
      </c>
      <c r="H19" s="18">
        <f>Assumptions!$B$10*(H6-G6)</f>
        <v/>
      </c>
      <c r="I19" s="18">
        <f>Assumptions!$B$10*(I6-H6)</f>
        <v/>
      </c>
      <c r="J19" s="18">
        <f>Assumptions!$B$10*(J6-I6)</f>
        <v/>
      </c>
      <c r="K19" s="18">
        <f>Assumptions!$B$10*(K6-J6)</f>
        <v/>
      </c>
      <c r="L19" s="18">
        <f>Assumptions!$B$10*(L6-K6)</f>
        <v/>
      </c>
    </row>
    <row r="20">
      <c r="A20" s="2" t="inlineStr">
        <is>
          <t>Unlevered owner FCF</t>
        </is>
      </c>
      <c r="C20" s="19">
        <f>C16+C17+C18+C19</f>
        <v/>
      </c>
      <c r="D20" s="19">
        <f>D16+D17+D18+D19</f>
        <v/>
      </c>
      <c r="E20" s="19">
        <f>E16+E17+E18+E19</f>
        <v/>
      </c>
      <c r="F20" s="19">
        <f>F16+F17+F18+F19</f>
        <v/>
      </c>
      <c r="G20" s="19">
        <f>G16+G17+G18+G19</f>
        <v/>
      </c>
      <c r="H20" s="19">
        <f>H16+H17+H18+H19</f>
        <v/>
      </c>
      <c r="I20" s="19">
        <f>I16+I17+I18+I19</f>
        <v/>
      </c>
      <c r="J20" s="19">
        <f>J16+J17+J18+J19</f>
        <v/>
      </c>
      <c r="K20" s="19">
        <f>K16+K17+K18+K19</f>
        <v/>
      </c>
      <c r="L20" s="19">
        <f>L16+L17+L18+L19</f>
        <v/>
      </c>
    </row>
    <row r="21">
      <c r="A21" t="inlineStr">
        <is>
          <t>Discount factor</t>
        </is>
      </c>
      <c r="C21" s="20">
        <f>1/(1+Assumptions!$B$11)^C4</f>
        <v/>
      </c>
      <c r="D21" s="20">
        <f>1/(1+Assumptions!$B$11)^D4</f>
        <v/>
      </c>
      <c r="E21" s="20">
        <f>1/(1+Assumptions!$B$11)^E4</f>
        <v/>
      </c>
      <c r="F21" s="20">
        <f>1/(1+Assumptions!$B$11)^F4</f>
        <v/>
      </c>
      <c r="G21" s="20">
        <f>1/(1+Assumptions!$B$11)^G4</f>
        <v/>
      </c>
      <c r="H21" s="20">
        <f>1/(1+Assumptions!$B$11)^H4</f>
        <v/>
      </c>
      <c r="I21" s="20">
        <f>1/(1+Assumptions!$B$11)^I4</f>
        <v/>
      </c>
      <c r="J21" s="20">
        <f>1/(1+Assumptions!$B$11)^J4</f>
        <v/>
      </c>
      <c r="K21" s="20">
        <f>1/(1+Assumptions!$B$11)^K4</f>
        <v/>
      </c>
      <c r="L21" s="20">
        <f>1/(1+Assumptions!$B$11)^L4</f>
        <v/>
      </c>
    </row>
    <row r="22">
      <c r="A22" t="inlineStr">
        <is>
          <t>PV of FCF</t>
        </is>
      </c>
      <c r="C22" s="17">
        <f>C20*C21</f>
        <v/>
      </c>
      <c r="D22" s="17">
        <f>D20*D21</f>
        <v/>
      </c>
      <c r="E22" s="17">
        <f>E20*E21</f>
        <v/>
      </c>
      <c r="F22" s="17">
        <f>F20*F21</f>
        <v/>
      </c>
      <c r="G22" s="17">
        <f>G20*G21</f>
        <v/>
      </c>
      <c r="H22" s="17">
        <f>H20*H21</f>
        <v/>
      </c>
      <c r="I22" s="17">
        <f>I20*I21</f>
        <v/>
      </c>
      <c r="J22" s="17">
        <f>J20*J21</f>
        <v/>
      </c>
      <c r="K22" s="17">
        <f>K20*K21</f>
        <v/>
      </c>
      <c r="L22" s="17">
        <f>L20*L21</f>
        <v/>
      </c>
    </row>
    <row r="24">
      <c r="A24" t="inlineStr">
        <is>
          <t>Memo: FCF before SBC (company-style)</t>
        </is>
      </c>
      <c r="C24" s="21">
        <f>C20-C10</f>
        <v/>
      </c>
      <c r="D24" s="21">
        <f>D20-D10</f>
        <v/>
      </c>
      <c r="E24" s="21">
        <f>E20-E10</f>
        <v/>
      </c>
      <c r="F24" s="21">
        <f>F20-F10</f>
        <v/>
      </c>
      <c r="G24" s="21">
        <f>G20-G10</f>
        <v/>
      </c>
      <c r="H24" s="21">
        <f>H20-H10</f>
        <v/>
      </c>
      <c r="I24" s="21">
        <f>I20-I10</f>
        <v/>
      </c>
      <c r="J24" s="21">
        <f>J20-J10</f>
        <v/>
      </c>
      <c r="K24" s="21">
        <f>K20-K10</f>
        <v/>
      </c>
      <c r="L24" s="21">
        <f>L20-L10</f>
        <v/>
      </c>
    </row>
    <row r="25">
      <c r="A25" t="inlineStr">
        <is>
          <t>Memo: implied owner-FCF margin</t>
        </is>
      </c>
      <c r="C25" s="22">
        <f>C20/C6</f>
        <v/>
      </c>
      <c r="D25" s="22">
        <f>D20/D6</f>
        <v/>
      </c>
      <c r="E25" s="22">
        <f>E20/E6</f>
        <v/>
      </c>
      <c r="F25" s="22">
        <f>F20/F6</f>
        <v/>
      </c>
      <c r="G25" s="22">
        <f>G20/G6</f>
        <v/>
      </c>
      <c r="H25" s="22">
        <f>H20/H6</f>
        <v/>
      </c>
      <c r="I25" s="22">
        <f>I20/I6</f>
        <v/>
      </c>
      <c r="J25" s="22">
        <f>J20/J6</f>
        <v/>
      </c>
      <c r="K25" s="22">
        <f>K20/K6</f>
        <v/>
      </c>
      <c r="L25" s="22">
        <f>L20/L6</f>
        <v/>
      </c>
    </row>
    <row r="27">
      <c r="A27" s="2" t="inlineStr">
        <is>
          <t>Sum of PV of explicit FCF</t>
        </is>
      </c>
      <c r="B27" s="17">
        <f>SUM(C22:L22)</f>
        <v/>
      </c>
    </row>
    <row r="28">
      <c r="A28" t="inlineStr">
        <is>
          <t>Terminal growth</t>
        </is>
      </c>
      <c r="B28" s="23">
        <f>Assumptions!$B$18</f>
        <v/>
      </c>
    </row>
    <row r="29">
      <c r="A29" t="inlineStr">
        <is>
          <t>Terminal FCF</t>
        </is>
      </c>
      <c r="B29" s="17">
        <f>L20*(1+B28)</f>
        <v/>
      </c>
    </row>
    <row r="30">
      <c r="A30" t="inlineStr">
        <is>
          <t>Gordon TV</t>
        </is>
      </c>
      <c r="B30" s="17">
        <f>IF(Assumptions!$B$11&gt;B28,B29/(Assumptions!$B$11-B28),"n/a")</f>
        <v/>
      </c>
    </row>
    <row r="31">
      <c r="A31" t="inlineStr">
        <is>
          <t>Terminal cap multiple (x FCF)</t>
        </is>
      </c>
      <c r="B31" s="24">
        <f>Assumptions!$C$18</f>
        <v/>
      </c>
    </row>
    <row r="32">
      <c r="A32" t="inlineStr">
        <is>
          <t>Cap TV</t>
        </is>
      </c>
      <c r="B32" s="17">
        <f>B31*L20</f>
        <v/>
      </c>
    </row>
    <row r="33">
      <c r="A33" s="2" t="inlineStr">
        <is>
          <t>TV used = MAX(0,MIN(Gordon,Cap))</t>
        </is>
      </c>
      <c r="B33" s="19">
        <f>MAX(0,MIN(IF(ISNUMBER(B30),B30,B32),B32))</f>
        <v/>
      </c>
    </row>
    <row r="34">
      <c r="A34" t="inlineStr">
        <is>
          <t>Implied exit multiple (TV / FCF_N)</t>
        </is>
      </c>
      <c r="B34" s="25">
        <f>B33/L20</f>
        <v/>
      </c>
    </row>
    <row r="35">
      <c r="A35" t="inlineStr">
        <is>
          <t>PV of TV</t>
        </is>
      </c>
      <c r="B35" s="17">
        <f>B33*L21</f>
        <v/>
      </c>
    </row>
    <row r="36">
      <c r="A36" s="2" t="inlineStr">
        <is>
          <t>Enterprise value</t>
        </is>
      </c>
      <c r="B36" s="19">
        <f>B27+B35</f>
        <v/>
      </c>
    </row>
    <row r="37">
      <c r="A37" t="inlineStr">
        <is>
          <t>Less: net debt</t>
        </is>
      </c>
      <c r="B37" s="18">
        <f>-Assumptions!$B$6</f>
        <v/>
      </c>
    </row>
    <row r="38">
      <c r="A38" s="2" t="inlineStr">
        <is>
          <t>Equity value</t>
        </is>
      </c>
      <c r="B38" s="19">
        <f>B36+B37</f>
        <v/>
      </c>
    </row>
    <row r="39">
      <c r="A39" t="inlineStr">
        <is>
          <t>Diluted shares outstanding ('000)</t>
        </is>
      </c>
      <c r="B39" s="26">
        <f>Assumptions!$B$5</f>
        <v/>
      </c>
    </row>
    <row r="40">
      <c r="A40" s="15" t="inlineStr">
        <is>
          <t>VALUE PER SHARE (NZD)</t>
        </is>
      </c>
      <c r="B40" s="27">
        <f>B38/B39</f>
        <v/>
      </c>
    </row>
    <row r="41">
      <c r="A41" t="inlineStr">
        <is>
          <t>Upside vs current price</t>
        </is>
      </c>
      <c r="B41" s="28">
        <f>B40/Assumptions!$B$4-1</f>
        <v/>
      </c>
    </row>
    <row r="43">
      <c r="A43" s="29" t="inlineStr">
        <is>
          <t>Street memo (SBC add-back -- SBC-zero market, expect ~0)</t>
        </is>
      </c>
    </row>
    <row r="44">
      <c r="A44" t="inlineStr">
        <is>
          <t>PV of explicit-period SBC</t>
        </is>
      </c>
      <c r="B44" s="17">
        <f>SUMPRODUCT(-C10:L10,C21:L21)</f>
        <v/>
      </c>
    </row>
    <row r="45">
      <c r="A45" t="inlineStr">
        <is>
          <t>PV of terminal SBC (Gordon on -L10)</t>
        </is>
      </c>
      <c r="B45" s="17">
        <f>IF(Assumptions!$B$11&gt;B28,(-L10*(1+B28))/(Assumptions!$B$11-B28)*L21,0)</f>
        <v/>
      </c>
    </row>
    <row r="46">
      <c r="A46" t="inlineStr">
        <is>
          <t>Street value per share</t>
        </is>
      </c>
      <c r="B46" s="30">
        <f>(B38+B44+B45)/B39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5" t="inlineStr">
        <is>
          <t>MPG.NZ -- DCF -- Bull case</t>
        </is>
      </c>
    </row>
    <row r="3">
      <c r="A3" s="6" t="inlineStr">
        <is>
          <t>Year</t>
        </is>
      </c>
      <c r="B3" s="6" t="inlineStr">
        <is>
          <t>FY2026A</t>
        </is>
      </c>
      <c r="C3" s="6" t="inlineStr">
        <is>
          <t>FY2027E</t>
        </is>
      </c>
      <c r="D3" s="6" t="inlineStr">
        <is>
          <t>FY2028E</t>
        </is>
      </c>
      <c r="E3" s="6" t="inlineStr">
        <is>
          <t>FY2029E</t>
        </is>
      </c>
      <c r="F3" s="6" t="inlineStr">
        <is>
          <t>FY2030E</t>
        </is>
      </c>
      <c r="G3" s="6" t="inlineStr">
        <is>
          <t>FY2031E</t>
        </is>
      </c>
      <c r="H3" s="6" t="inlineStr">
        <is>
          <t>FY2032E</t>
        </is>
      </c>
      <c r="I3" s="6" t="inlineStr">
        <is>
          <t>FY2033E</t>
        </is>
      </c>
      <c r="J3" s="6" t="inlineStr">
        <is>
          <t>FY2034E</t>
        </is>
      </c>
      <c r="K3" s="6" t="inlineStr">
        <is>
          <t>FY2035E</t>
        </is>
      </c>
      <c r="L3" s="6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16" t="n">
        <v>0.03</v>
      </c>
      <c r="D5" s="16" t="n">
        <v>0.05</v>
      </c>
      <c r="E5" s="16" t="n">
        <v>0.06</v>
      </c>
      <c r="F5" s="16" t="n">
        <v>0.06</v>
      </c>
      <c r="G5" s="16" t="n">
        <v>0.055</v>
      </c>
      <c r="H5" s="16" t="n">
        <v>0.05</v>
      </c>
      <c r="I5" s="16" t="n">
        <v>0.045</v>
      </c>
      <c r="J5" s="16" t="n">
        <v>0.04</v>
      </c>
      <c r="K5" s="16" t="n">
        <v>0.035</v>
      </c>
      <c r="L5" s="16" t="n">
        <v>0.03</v>
      </c>
    </row>
    <row r="6">
      <c r="A6" t="inlineStr">
        <is>
          <t>Revenue</t>
        </is>
      </c>
      <c r="B6" s="7" t="n">
        <v>208163</v>
      </c>
      <c r="C6" s="17">
        <f>B6*(1+C5)</f>
        <v/>
      </c>
      <c r="D6" s="17">
        <f>C6*(1+D5)</f>
        <v/>
      </c>
      <c r="E6" s="17">
        <f>D6*(1+E5)</f>
        <v/>
      </c>
      <c r="F6" s="17">
        <f>E6*(1+F5)</f>
        <v/>
      </c>
      <c r="G6" s="17">
        <f>F6*(1+G5)</f>
        <v/>
      </c>
      <c r="H6" s="17">
        <f>G6*(1+H5)</f>
        <v/>
      </c>
      <c r="I6" s="17">
        <f>H6*(1+I5)</f>
        <v/>
      </c>
      <c r="J6" s="17">
        <f>I6*(1+J5)</f>
        <v/>
      </c>
      <c r="K6" s="17">
        <f>J6*(1+K5)</f>
        <v/>
      </c>
      <c r="L6" s="17">
        <f>K6*(1+L5)</f>
        <v/>
      </c>
    </row>
    <row r="7">
      <c r="A7" t="inlineStr">
        <is>
          <t>Adj EBITDA margin</t>
        </is>
      </c>
      <c r="C7" s="16" t="n">
        <v>0.105</v>
      </c>
      <c r="D7" s="16" t="n">
        <v>0.12</v>
      </c>
      <c r="E7" s="16" t="n">
        <v>0.13</v>
      </c>
      <c r="F7" s="16" t="n">
        <v>0.135</v>
      </c>
      <c r="G7" s="16" t="n">
        <v>0.135</v>
      </c>
      <c r="H7" s="16" t="n">
        <v>0.135</v>
      </c>
      <c r="I7" s="16" t="n">
        <v>0.135</v>
      </c>
      <c r="J7" s="16" t="n">
        <v>0.135</v>
      </c>
      <c r="K7" s="16" t="n">
        <v>0.135</v>
      </c>
      <c r="L7" s="16" t="n">
        <v>0.135</v>
      </c>
    </row>
    <row r="8">
      <c r="A8" t="inlineStr">
        <is>
          <t>Adjusted EBITDA</t>
        </is>
      </c>
      <c r="C8" s="17">
        <f>C6*C7</f>
        <v/>
      </c>
      <c r="D8" s="17">
        <f>D6*D7</f>
        <v/>
      </c>
      <c r="E8" s="17">
        <f>E6*E7</f>
        <v/>
      </c>
      <c r="F8" s="17">
        <f>F6*F7</f>
        <v/>
      </c>
      <c r="G8" s="17">
        <f>G6*G7</f>
        <v/>
      </c>
      <c r="H8" s="17">
        <f>H6*H7</f>
        <v/>
      </c>
      <c r="I8" s="17">
        <f>I6*I7</f>
        <v/>
      </c>
      <c r="J8" s="17">
        <f>J6*J7</f>
        <v/>
      </c>
      <c r="K8" s="17">
        <f>K6*K7</f>
        <v/>
      </c>
      <c r="L8" s="17">
        <f>L6*L7</f>
        <v/>
      </c>
    </row>
    <row r="9">
      <c r="A9" t="inlineStr">
        <is>
          <t>SBC % of revenue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</row>
    <row r="10">
      <c r="A10" t="inlineStr">
        <is>
          <t>SBC $ (negative)</t>
        </is>
      </c>
      <c r="C10" s="17">
        <f>-C6*C9</f>
        <v/>
      </c>
      <c r="D10" s="17">
        <f>-D6*D9</f>
        <v/>
      </c>
      <c r="E10" s="17">
        <f>-E6*E9</f>
        <v/>
      </c>
      <c r="F10" s="17">
        <f>-F6*F9</f>
        <v/>
      </c>
      <c r="G10" s="17">
        <f>-G6*G9</f>
        <v/>
      </c>
      <c r="H10" s="17">
        <f>-H6*H9</f>
        <v/>
      </c>
      <c r="I10" s="17">
        <f>-I6*I9</f>
        <v/>
      </c>
      <c r="J10" s="17">
        <f>-J6*J9</f>
        <v/>
      </c>
      <c r="K10" s="17">
        <f>-K6*K9</f>
        <v/>
      </c>
      <c r="L10" s="17">
        <f>-L6*L9</f>
        <v/>
      </c>
    </row>
    <row r="11">
      <c r="A11" t="inlineStr">
        <is>
          <t>Owner EBITDA (EBITDA + SBC)</t>
        </is>
      </c>
      <c r="C11" s="17">
        <f>C8+C10</f>
        <v/>
      </c>
      <c r="D11" s="17">
        <f>D8+D10</f>
        <v/>
      </c>
      <c r="E11" s="17">
        <f>E8+E10</f>
        <v/>
      </c>
      <c r="F11" s="17">
        <f>F8+F10</f>
        <v/>
      </c>
      <c r="G11" s="17">
        <f>G8+G10</f>
        <v/>
      </c>
      <c r="H11" s="17">
        <f>H8+H10</f>
        <v/>
      </c>
      <c r="I11" s="17">
        <f>I8+I10</f>
        <v/>
      </c>
      <c r="J11" s="17">
        <f>J8+J10</f>
        <v/>
      </c>
      <c r="K11" s="17">
        <f>K8+K10</f>
        <v/>
      </c>
      <c r="L11" s="17">
        <f>L8+L10</f>
        <v/>
      </c>
    </row>
    <row r="12">
      <c r="A12" t="inlineStr">
        <is>
          <t>Lease opex (treatment B)</t>
        </is>
      </c>
      <c r="C12" s="18">
        <f>-C6*Assumptions!$B$9</f>
        <v/>
      </c>
      <c r="D12" s="18">
        <f>-D6*Assumptions!$B$9</f>
        <v/>
      </c>
      <c r="E12" s="18">
        <f>-E6*Assumptions!$B$9</f>
        <v/>
      </c>
      <c r="F12" s="18">
        <f>-F6*Assumptions!$B$9</f>
        <v/>
      </c>
      <c r="G12" s="18">
        <f>-G6*Assumptions!$B$9</f>
        <v/>
      </c>
      <c r="H12" s="18">
        <f>-H6*Assumptions!$B$9</f>
        <v/>
      </c>
      <c r="I12" s="18">
        <f>-I6*Assumptions!$B$9</f>
        <v/>
      </c>
      <c r="J12" s="18">
        <f>-J6*Assumptions!$B$9</f>
        <v/>
      </c>
      <c r="K12" s="18">
        <f>-K6*Assumptions!$B$9</f>
        <v/>
      </c>
      <c r="L12" s="18">
        <f>-L6*Assumptions!$B$9</f>
        <v/>
      </c>
    </row>
    <row r="13">
      <c r="A13" t="inlineStr">
        <is>
          <t>D&amp;A</t>
        </is>
      </c>
      <c r="C13" s="18">
        <f>-C6*Assumptions!$B$7</f>
        <v/>
      </c>
      <c r="D13" s="18">
        <f>-D6*Assumptions!$B$7</f>
        <v/>
      </c>
      <c r="E13" s="18">
        <f>-E6*Assumptions!$B$7</f>
        <v/>
      </c>
      <c r="F13" s="18">
        <f>-F6*Assumptions!$B$7</f>
        <v/>
      </c>
      <c r="G13" s="18">
        <f>-G6*Assumptions!$B$7</f>
        <v/>
      </c>
      <c r="H13" s="18">
        <f>-H6*Assumptions!$B$7</f>
        <v/>
      </c>
      <c r="I13" s="18">
        <f>-I6*Assumptions!$B$7</f>
        <v/>
      </c>
      <c r="J13" s="18">
        <f>-J6*Assumptions!$B$7</f>
        <v/>
      </c>
      <c r="K13" s="18">
        <f>-K6*Assumptions!$B$7</f>
        <v/>
      </c>
      <c r="L13" s="18">
        <f>-L6*Assumptions!$B$7</f>
        <v/>
      </c>
    </row>
    <row r="14">
      <c r="A14" t="inlineStr">
        <is>
          <t>EBIT (SBC + lease expensed)</t>
        </is>
      </c>
      <c r="C14" s="17">
        <f>C11+C12+C13</f>
        <v/>
      </c>
      <c r="D14" s="17">
        <f>D11+D12+D13</f>
        <v/>
      </c>
      <c r="E14" s="17">
        <f>E11+E12+E13</f>
        <v/>
      </c>
      <c r="F14" s="17">
        <f>F11+F12+F13</f>
        <v/>
      </c>
      <c r="G14" s="17">
        <f>G11+G12+G13</f>
        <v/>
      </c>
      <c r="H14" s="17">
        <f>H11+H12+H13</f>
        <v/>
      </c>
      <c r="I14" s="17">
        <f>I11+I12+I13</f>
        <v/>
      </c>
      <c r="J14" s="17">
        <f>J11+J12+J13</f>
        <v/>
      </c>
      <c r="K14" s="17">
        <f>K11+K12+K13</f>
        <v/>
      </c>
      <c r="L14" s="17">
        <f>L11+L12+L13</f>
        <v/>
      </c>
    </row>
    <row r="15">
      <c r="A15" t="inlineStr">
        <is>
          <t>Cash tax rate</t>
        </is>
      </c>
      <c r="C15" s="16" t="n">
        <v>0.02</v>
      </c>
      <c r="D15" s="16" t="n">
        <v>0.06</v>
      </c>
      <c r="E15" s="16" t="n">
        <v>0.12</v>
      </c>
      <c r="F15" s="16" t="n">
        <v>0.18</v>
      </c>
      <c r="G15" s="16" t="n">
        <v>0.26</v>
      </c>
      <c r="H15" s="16" t="n">
        <v>0.26</v>
      </c>
      <c r="I15" s="16" t="n">
        <v>0.26</v>
      </c>
      <c r="J15" s="16" t="n">
        <v>0.26</v>
      </c>
      <c r="K15" s="16" t="n">
        <v>0.26</v>
      </c>
      <c r="L15" s="16" t="n">
        <v>0.26</v>
      </c>
    </row>
    <row r="16">
      <c r="A16" t="inlineStr">
        <is>
          <t>NOPAT</t>
        </is>
      </c>
      <c r="C16" s="17">
        <f>C14*(1-C15)</f>
        <v/>
      </c>
      <c r="D16" s="17">
        <f>D14*(1-D15)</f>
        <v/>
      </c>
      <c r="E16" s="17">
        <f>E14*(1-E15)</f>
        <v/>
      </c>
      <c r="F16" s="17">
        <f>F14*(1-F15)</f>
        <v/>
      </c>
      <c r="G16" s="17">
        <f>G14*(1-G15)</f>
        <v/>
      </c>
      <c r="H16" s="17">
        <f>H14*(1-H15)</f>
        <v/>
      </c>
      <c r="I16" s="17">
        <f>I14*(1-I15)</f>
        <v/>
      </c>
      <c r="J16" s="17">
        <f>J14*(1-J15)</f>
        <v/>
      </c>
      <c r="K16" s="17">
        <f>K14*(1-K15)</f>
        <v/>
      </c>
      <c r="L16" s="17">
        <f>L14*(1-L15)</f>
        <v/>
      </c>
    </row>
    <row r="17">
      <c r="A17" t="inlineStr">
        <is>
          <t>Add back D&amp;A</t>
        </is>
      </c>
      <c r="C17" s="17">
        <f>-C13</f>
        <v/>
      </c>
      <c r="D17" s="17">
        <f>-D13</f>
        <v/>
      </c>
      <c r="E17" s="17">
        <f>-E13</f>
        <v/>
      </c>
      <c r="F17" s="17">
        <f>-F13</f>
        <v/>
      </c>
      <c r="G17" s="17">
        <f>-G13</f>
        <v/>
      </c>
      <c r="H17" s="17">
        <f>-H13</f>
        <v/>
      </c>
      <c r="I17" s="17">
        <f>-I13</f>
        <v/>
      </c>
      <c r="J17" s="17">
        <f>-J13</f>
        <v/>
      </c>
      <c r="K17" s="17">
        <f>-K13</f>
        <v/>
      </c>
      <c r="L17" s="17">
        <f>-L13</f>
        <v/>
      </c>
    </row>
    <row r="18">
      <c r="A18" t="inlineStr">
        <is>
          <t>Less capex</t>
        </is>
      </c>
      <c r="C18" s="18">
        <f>-C6*Assumptions!$B$8</f>
        <v/>
      </c>
      <c r="D18" s="18">
        <f>-D6*Assumptions!$B$8</f>
        <v/>
      </c>
      <c r="E18" s="18">
        <f>-E6*Assumptions!$B$8</f>
        <v/>
      </c>
      <c r="F18" s="18">
        <f>-F6*Assumptions!$B$8</f>
        <v/>
      </c>
      <c r="G18" s="18">
        <f>-G6*Assumptions!$B$8</f>
        <v/>
      </c>
      <c r="H18" s="18">
        <f>-H6*Assumptions!$B$8</f>
        <v/>
      </c>
      <c r="I18" s="18">
        <f>-I6*Assumptions!$B$8</f>
        <v/>
      </c>
      <c r="J18" s="18">
        <f>-J6*Assumptions!$B$8</f>
        <v/>
      </c>
      <c r="K18" s="18">
        <f>-K6*Assumptions!$B$8</f>
        <v/>
      </c>
      <c r="L18" s="18">
        <f>-L6*Assumptions!$B$8</f>
        <v/>
      </c>
    </row>
    <row r="19">
      <c r="A19" t="inlineStr">
        <is>
          <t>Add working capital</t>
        </is>
      </c>
      <c r="C19" s="18">
        <f>Assumptions!$B$10*(C6-B6)</f>
        <v/>
      </c>
      <c r="D19" s="18">
        <f>Assumptions!$B$10*(D6-C6)</f>
        <v/>
      </c>
      <c r="E19" s="18">
        <f>Assumptions!$B$10*(E6-D6)</f>
        <v/>
      </c>
      <c r="F19" s="18">
        <f>Assumptions!$B$10*(F6-E6)</f>
        <v/>
      </c>
      <c r="G19" s="18">
        <f>Assumptions!$B$10*(G6-F6)</f>
        <v/>
      </c>
      <c r="H19" s="18">
        <f>Assumptions!$B$10*(H6-G6)</f>
        <v/>
      </c>
      <c r="I19" s="18">
        <f>Assumptions!$B$10*(I6-H6)</f>
        <v/>
      </c>
      <c r="J19" s="18">
        <f>Assumptions!$B$10*(J6-I6)</f>
        <v/>
      </c>
      <c r="K19" s="18">
        <f>Assumptions!$B$10*(K6-J6)</f>
        <v/>
      </c>
      <c r="L19" s="18">
        <f>Assumptions!$B$10*(L6-K6)</f>
        <v/>
      </c>
    </row>
    <row r="20">
      <c r="A20" s="2" t="inlineStr">
        <is>
          <t>Unlevered owner FCF</t>
        </is>
      </c>
      <c r="C20" s="19">
        <f>C16+C17+C18+C19</f>
        <v/>
      </c>
      <c r="D20" s="19">
        <f>D16+D17+D18+D19</f>
        <v/>
      </c>
      <c r="E20" s="19">
        <f>E16+E17+E18+E19</f>
        <v/>
      </c>
      <c r="F20" s="19">
        <f>F16+F17+F18+F19</f>
        <v/>
      </c>
      <c r="G20" s="19">
        <f>G16+G17+G18+G19</f>
        <v/>
      </c>
      <c r="H20" s="19">
        <f>H16+H17+H18+H19</f>
        <v/>
      </c>
      <c r="I20" s="19">
        <f>I16+I17+I18+I19</f>
        <v/>
      </c>
      <c r="J20" s="19">
        <f>J16+J17+J18+J19</f>
        <v/>
      </c>
      <c r="K20" s="19">
        <f>K16+K17+K18+K19</f>
        <v/>
      </c>
      <c r="L20" s="19">
        <f>L16+L17+L18+L19</f>
        <v/>
      </c>
    </row>
    <row r="21">
      <c r="A21" t="inlineStr">
        <is>
          <t>Discount factor</t>
        </is>
      </c>
      <c r="C21" s="20">
        <f>1/(1+Assumptions!$B$12)^C4</f>
        <v/>
      </c>
      <c r="D21" s="20">
        <f>1/(1+Assumptions!$B$12)^D4</f>
        <v/>
      </c>
      <c r="E21" s="20">
        <f>1/(1+Assumptions!$B$12)^E4</f>
        <v/>
      </c>
      <c r="F21" s="20">
        <f>1/(1+Assumptions!$B$12)^F4</f>
        <v/>
      </c>
      <c r="G21" s="20">
        <f>1/(1+Assumptions!$B$12)^G4</f>
        <v/>
      </c>
      <c r="H21" s="20">
        <f>1/(1+Assumptions!$B$12)^H4</f>
        <v/>
      </c>
      <c r="I21" s="20">
        <f>1/(1+Assumptions!$B$12)^I4</f>
        <v/>
      </c>
      <c r="J21" s="20">
        <f>1/(1+Assumptions!$B$12)^J4</f>
        <v/>
      </c>
      <c r="K21" s="20">
        <f>1/(1+Assumptions!$B$12)^K4</f>
        <v/>
      </c>
      <c r="L21" s="20">
        <f>1/(1+Assumptions!$B$12)^L4</f>
        <v/>
      </c>
    </row>
    <row r="22">
      <c r="A22" t="inlineStr">
        <is>
          <t>PV of FCF</t>
        </is>
      </c>
      <c r="C22" s="17">
        <f>C20*C21</f>
        <v/>
      </c>
      <c r="D22" s="17">
        <f>D20*D21</f>
        <v/>
      </c>
      <c r="E22" s="17">
        <f>E20*E21</f>
        <v/>
      </c>
      <c r="F22" s="17">
        <f>F20*F21</f>
        <v/>
      </c>
      <c r="G22" s="17">
        <f>G20*G21</f>
        <v/>
      </c>
      <c r="H22" s="17">
        <f>H20*H21</f>
        <v/>
      </c>
      <c r="I22" s="17">
        <f>I20*I21</f>
        <v/>
      </c>
      <c r="J22" s="17">
        <f>J20*J21</f>
        <v/>
      </c>
      <c r="K22" s="17">
        <f>K20*K21</f>
        <v/>
      </c>
      <c r="L22" s="17">
        <f>L20*L21</f>
        <v/>
      </c>
    </row>
    <row r="24">
      <c r="A24" t="inlineStr">
        <is>
          <t>Memo: FCF before SBC (company-style)</t>
        </is>
      </c>
      <c r="C24" s="21">
        <f>C20-C10</f>
        <v/>
      </c>
      <c r="D24" s="21">
        <f>D20-D10</f>
        <v/>
      </c>
      <c r="E24" s="21">
        <f>E20-E10</f>
        <v/>
      </c>
      <c r="F24" s="21">
        <f>F20-F10</f>
        <v/>
      </c>
      <c r="G24" s="21">
        <f>G20-G10</f>
        <v/>
      </c>
      <c r="H24" s="21">
        <f>H20-H10</f>
        <v/>
      </c>
      <c r="I24" s="21">
        <f>I20-I10</f>
        <v/>
      </c>
      <c r="J24" s="21">
        <f>J20-J10</f>
        <v/>
      </c>
      <c r="K24" s="21">
        <f>K20-K10</f>
        <v/>
      </c>
      <c r="L24" s="21">
        <f>L20-L10</f>
        <v/>
      </c>
    </row>
    <row r="25">
      <c r="A25" t="inlineStr">
        <is>
          <t>Memo: implied owner-FCF margin</t>
        </is>
      </c>
      <c r="C25" s="22">
        <f>C20/C6</f>
        <v/>
      </c>
      <c r="D25" s="22">
        <f>D20/D6</f>
        <v/>
      </c>
      <c r="E25" s="22">
        <f>E20/E6</f>
        <v/>
      </c>
      <c r="F25" s="22">
        <f>F20/F6</f>
        <v/>
      </c>
      <c r="G25" s="22">
        <f>G20/G6</f>
        <v/>
      </c>
      <c r="H25" s="22">
        <f>H20/H6</f>
        <v/>
      </c>
      <c r="I25" s="22">
        <f>I20/I6</f>
        <v/>
      </c>
      <c r="J25" s="22">
        <f>J20/J6</f>
        <v/>
      </c>
      <c r="K25" s="22">
        <f>K20/K6</f>
        <v/>
      </c>
      <c r="L25" s="22">
        <f>L20/L6</f>
        <v/>
      </c>
    </row>
    <row r="27">
      <c r="A27" s="2" t="inlineStr">
        <is>
          <t>Sum of PV of explicit FCF</t>
        </is>
      </c>
      <c r="B27" s="17">
        <f>SUM(C22:L22)</f>
        <v/>
      </c>
    </row>
    <row r="28">
      <c r="A28" t="inlineStr">
        <is>
          <t>Terminal growth</t>
        </is>
      </c>
      <c r="B28" s="23">
        <f>Assumptions!$B$19</f>
        <v/>
      </c>
    </row>
    <row r="29">
      <c r="A29" t="inlineStr">
        <is>
          <t>Terminal FCF</t>
        </is>
      </c>
      <c r="B29" s="17">
        <f>L20*(1+B28)</f>
        <v/>
      </c>
    </row>
    <row r="30">
      <c r="A30" t="inlineStr">
        <is>
          <t>Gordon TV</t>
        </is>
      </c>
      <c r="B30" s="17">
        <f>IF(Assumptions!$B$12&gt;B28,B29/(Assumptions!$B$12-B28),"n/a")</f>
        <v/>
      </c>
    </row>
    <row r="31">
      <c r="A31" t="inlineStr">
        <is>
          <t>Terminal cap multiple (x FCF)</t>
        </is>
      </c>
      <c r="B31" s="24">
        <f>Assumptions!$C$19</f>
        <v/>
      </c>
    </row>
    <row r="32">
      <c r="A32" t="inlineStr">
        <is>
          <t>Cap TV</t>
        </is>
      </c>
      <c r="B32" s="17">
        <f>B31*L20</f>
        <v/>
      </c>
    </row>
    <row r="33">
      <c r="A33" s="2" t="inlineStr">
        <is>
          <t>TV used = MAX(0,MIN(Gordon,Cap))</t>
        </is>
      </c>
      <c r="B33" s="19">
        <f>MAX(0,MIN(IF(ISNUMBER(B30),B30,B32),B32))</f>
        <v/>
      </c>
    </row>
    <row r="34">
      <c r="A34" t="inlineStr">
        <is>
          <t>Implied exit multiple (TV / FCF_N)</t>
        </is>
      </c>
      <c r="B34" s="25">
        <f>B33/L20</f>
        <v/>
      </c>
    </row>
    <row r="35">
      <c r="A35" t="inlineStr">
        <is>
          <t>PV of TV</t>
        </is>
      </c>
      <c r="B35" s="17">
        <f>B33*L21</f>
        <v/>
      </c>
    </row>
    <row r="36">
      <c r="A36" s="2" t="inlineStr">
        <is>
          <t>Enterprise value</t>
        </is>
      </c>
      <c r="B36" s="19">
        <f>B27+B35</f>
        <v/>
      </c>
    </row>
    <row r="37">
      <c r="A37" t="inlineStr">
        <is>
          <t>Less: net debt</t>
        </is>
      </c>
      <c r="B37" s="18">
        <f>-Assumptions!$B$6</f>
        <v/>
      </c>
    </row>
    <row r="38">
      <c r="A38" s="2" t="inlineStr">
        <is>
          <t>Equity value</t>
        </is>
      </c>
      <c r="B38" s="19">
        <f>B36+B37</f>
        <v/>
      </c>
    </row>
    <row r="39">
      <c r="A39" t="inlineStr">
        <is>
          <t>Diluted shares outstanding ('000)</t>
        </is>
      </c>
      <c r="B39" s="26">
        <f>Assumptions!$B$5</f>
        <v/>
      </c>
    </row>
    <row r="40">
      <c r="A40" s="15" t="inlineStr">
        <is>
          <t>VALUE PER SHARE (NZD)</t>
        </is>
      </c>
      <c r="B40" s="27">
        <f>B38/B39</f>
        <v/>
      </c>
    </row>
    <row r="41">
      <c r="A41" t="inlineStr">
        <is>
          <t>Upside vs current price</t>
        </is>
      </c>
      <c r="B41" s="28">
        <f>B40/Assumptions!$B$4-1</f>
        <v/>
      </c>
    </row>
    <row r="43">
      <c r="A43" s="29" t="inlineStr">
        <is>
          <t>Street memo (SBC add-back -- SBC-zero market, expect ~0)</t>
        </is>
      </c>
    </row>
    <row r="44">
      <c r="A44" t="inlineStr">
        <is>
          <t>PV of explicit-period SBC</t>
        </is>
      </c>
      <c r="B44" s="17">
        <f>SUMPRODUCT(-C10:L10,C21:L21)</f>
        <v/>
      </c>
    </row>
    <row r="45">
      <c r="A45" t="inlineStr">
        <is>
          <t>PV of terminal SBC (Gordon on -L10)</t>
        </is>
      </c>
      <c r="B45" s="17">
        <f>IF(Assumptions!$B$12&gt;B28,(-L10*(1+B28))/(Assumptions!$B$12-B28)*L21,0)</f>
        <v/>
      </c>
    </row>
    <row r="46">
      <c r="A46" t="inlineStr">
        <is>
          <t>Street value per share</t>
        </is>
      </c>
      <c r="B46" s="30">
        <f>(B38+B44+B45)/B39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5" t="inlineStr">
        <is>
          <t>FCF Quality -- Reported FCF Reconciled to Owner FCF</t>
        </is>
      </c>
    </row>
    <row r="3">
      <c r="A3" s="6" t="inlineStr"/>
      <c r="B3" s="6" t="inlineStr">
        <is>
          <t>FY2025</t>
        </is>
      </c>
      <c r="C3" s="6" t="inlineStr">
        <is>
          <t>FY2026</t>
        </is>
      </c>
    </row>
    <row r="4">
      <c r="A4" t="inlineStr">
        <is>
          <t>Free cash flow (company definition)</t>
        </is>
      </c>
      <c r="B4" s="7" t="n">
        <v>-937</v>
      </c>
      <c r="C4" s="7" t="n">
        <v>12826</v>
      </c>
    </row>
    <row r="5">
      <c r="A5" t="inlineStr">
        <is>
          <t>less: SBC incl. equity-award taxes</t>
        </is>
      </c>
      <c r="B5" s="7" t="n">
        <v>0</v>
      </c>
      <c r="C5" s="7" t="n">
        <v>0</v>
      </c>
    </row>
    <row r="6">
      <c r="A6" t="inlineStr">
        <is>
          <t>less: lease principal payments (treatment B)</t>
        </is>
      </c>
      <c r="B6" s="7" t="n">
        <v>-7542</v>
      </c>
      <c r="C6" s="7" t="n">
        <v>-8042</v>
      </c>
    </row>
    <row r="7">
      <c r="A7" t="inlineStr">
        <is>
          <t>less: interest income</t>
        </is>
      </c>
      <c r="B7" s="7" t="n">
        <v>-46</v>
      </c>
      <c r="C7" s="7" t="n">
        <v>-49</v>
      </c>
    </row>
    <row r="8">
      <c r="A8" s="2" t="inlineStr">
        <is>
          <t>Owner FCF (= FCF - SBC - lease - interest income)</t>
        </is>
      </c>
      <c r="B8" s="19">
        <f>SUM(B4:B7)</f>
        <v/>
      </c>
      <c r="C8" s="19">
        <f>SUM(C4:C7)</f>
        <v/>
      </c>
    </row>
    <row r="10">
      <c r="A10" t="inlineStr">
        <is>
          <t>Reported FCF margin</t>
        </is>
      </c>
      <c r="B10" s="31">
        <f>B4/213922</f>
        <v/>
      </c>
      <c r="C10" s="31">
        <f>C4/208163</f>
        <v/>
      </c>
    </row>
    <row r="11">
      <c r="A11" t="inlineStr">
        <is>
          <t>Owner FCF margin</t>
        </is>
      </c>
      <c r="B11" s="31">
        <f>B8/213922</f>
        <v/>
      </c>
      <c r="C11" s="31">
        <f>C8/208163</f>
        <v/>
      </c>
    </row>
    <row r="13" ht="28" customHeight="1">
      <c r="A13" s="32" t="inlineStr">
        <is>
          <t>Memo: cash tax rate (FY26 cash taxes paid $78k on EBT of ~-$0.8m; effectively nil -- ramped to 26% by FY31 in projections)</t>
        </is>
      </c>
    </row>
    <row r="14" ht="28" customHeight="1">
      <c r="A14" s="32" t="inlineStr">
        <is>
          <t>Memo: no deferred-revenue/prepaid-subscription dynamic in this business -- working capital is inventory + receivables, modelled as a capture rate on revenue GROWTH (12%), not a fixed share of revenue.</t>
        </is>
      </c>
    </row>
  </sheetData>
  <mergeCells count="2">
    <mergeCell ref="A13:I13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MPG.NZ -- Valuation Summary</t>
        </is>
      </c>
    </row>
    <row r="3">
      <c r="A3" t="inlineStr">
        <is>
          <t>Current price (NZD)</t>
        </is>
      </c>
      <c r="B3" s="33">
        <f>Assumptions!$B$4</f>
        <v/>
      </c>
    </row>
    <row r="5">
      <c r="A5" s="6" t="inlineStr">
        <is>
          <t>Scenario</t>
        </is>
      </c>
      <c r="B5" s="6" t="inlineStr">
        <is>
          <t>Value/share (house)</t>
        </is>
      </c>
      <c r="C5" s="6" t="inlineStr">
        <is>
          <t>Upside vs price</t>
        </is>
      </c>
      <c r="D5" s="6" t="inlineStr">
        <is>
          <t>Probability</t>
        </is>
      </c>
      <c r="E5" s="6" t="inlineStr">
        <is>
          <t>Street value/share</t>
        </is>
      </c>
    </row>
    <row r="6">
      <c r="A6" t="inlineStr">
        <is>
          <t>Bear</t>
        </is>
      </c>
      <c r="B6" s="20">
        <f>DCF_Bear!$B$40</f>
        <v/>
      </c>
      <c r="C6" s="31">
        <f>B6/$B$3-1</f>
        <v/>
      </c>
      <c r="D6" s="34">
        <f>Assumptions!$B$23</f>
        <v/>
      </c>
      <c r="E6" s="20">
        <f>DCF_Bear!$B$46</f>
        <v/>
      </c>
    </row>
    <row r="7">
      <c r="A7" t="inlineStr">
        <is>
          <t>Base</t>
        </is>
      </c>
      <c r="B7" s="20">
        <f>DCF_Base!$B$40</f>
        <v/>
      </c>
      <c r="C7" s="31">
        <f>B7/$B$3-1</f>
        <v/>
      </c>
      <c r="D7" s="34">
        <f>Assumptions!$B$24</f>
        <v/>
      </c>
      <c r="E7" s="20">
        <f>DCF_Base!$B$46</f>
        <v/>
      </c>
    </row>
    <row r="8">
      <c r="A8" t="inlineStr">
        <is>
          <t>Bull</t>
        </is>
      </c>
      <c r="B8" s="20">
        <f>DCF_Bull!$B$40</f>
        <v/>
      </c>
      <c r="C8" s="31">
        <f>B8/$B$3-1</f>
        <v/>
      </c>
      <c r="D8" s="34">
        <f>Assumptions!$B$25</f>
        <v/>
      </c>
      <c r="E8" s="20">
        <f>DCF_Bull!$B$46</f>
        <v/>
      </c>
    </row>
    <row r="10">
      <c r="A10" s="2" t="inlineStr">
        <is>
          <t>Probability-weighted value/share (house)</t>
        </is>
      </c>
      <c r="B10" s="35">
        <f>SUMPRODUCT(B6:B8,D6:D8)</f>
        <v/>
      </c>
    </row>
    <row r="11">
      <c r="A11" t="inlineStr">
        <is>
          <t>Margin of safety</t>
        </is>
      </c>
      <c r="B11" s="31">
        <f>1-$B$3/B10</f>
        <v/>
      </c>
    </row>
    <row r="12">
      <c r="A12" t="inlineStr">
        <is>
          <t>Probability-weighted street value/share</t>
        </is>
      </c>
      <c r="B12" s="30">
        <f>SUMPRODUCT(E6:E8,D6:D8)</f>
        <v/>
      </c>
    </row>
    <row r="13">
      <c r="A13" t="inlineStr">
        <is>
          <t>Band position (SBC-zero market -- house=street)</t>
        </is>
      </c>
      <c r="B13" s="36" t="inlineStr">
        <is>
          <t>n/a -- SBC-zero market, house and street bases coincide</t>
        </is>
      </c>
    </row>
    <row r="15">
      <c r="A15" s="2" t="inlineStr">
        <is>
          <t>Weights sum check</t>
        </is>
      </c>
      <c r="B15" s="14">
        <f>Assumptions!$B$26</f>
        <v/>
      </c>
    </row>
    <row r="17">
      <c r="A17" s="15" t="inlineStr">
        <is>
          <t>Required-return table (base case)</t>
        </is>
      </c>
    </row>
    <row r="18">
      <c r="A18" t="inlineStr">
        <is>
          <t>Required return</t>
        </is>
      </c>
      <c r="B18" s="37" t="n">
        <v>0.09</v>
      </c>
      <c r="C18" s="37" t="n">
        <v>0.1</v>
      </c>
      <c r="D18" s="37" t="n">
        <v>0.11</v>
      </c>
      <c r="E18" s="37" t="n">
        <v>0.12</v>
      </c>
      <c r="F18" s="37" t="n">
        <v>0.135</v>
      </c>
      <c r="G18" s="37" t="n">
        <v>0.15</v>
      </c>
    </row>
    <row r="19">
      <c r="A19" t="inlineStr">
        <is>
          <t>Value per share</t>
        </is>
      </c>
      <c r="B19" s="30">
        <f>(((SUMPRODUCT(DCF_Base!$C$20:$L$20,1/(1+B$18)^DCF_Base!$C$4:$L$4))+(MAX(0,MIN(IF(B$18&gt;DCF_Base!$B$28,DCF_Base!$L$20*(1+DCF_Base!$B$28)/(B$18-DCF_Base!$B$28),DCF_Base!$B$31*DCF_Base!$L$20),DCF_Base!$B$31*DCF_Base!$L$20)))/(1+B$18)^10)-Assumptions!$B$6)/Assumptions!$B$5</f>
        <v/>
      </c>
      <c r="C19" s="30">
        <f>(((SUMPRODUCT(DCF_Base!$C$20:$L$20,1/(1+C$18)^DCF_Base!$C$4:$L$4))+(MAX(0,MIN(IF(C$18&gt;DCF_Base!$B$28,DCF_Base!$L$20*(1+DCF_Base!$B$28)/(C$18-DCF_Base!$B$28),DCF_Base!$B$31*DCF_Base!$L$20),DCF_Base!$B$31*DCF_Base!$L$20)))/(1+C$18)^10)-Assumptions!$B$6)/Assumptions!$B$5</f>
        <v/>
      </c>
      <c r="D19" s="30">
        <f>(((SUMPRODUCT(DCF_Base!$C$20:$L$20,1/(1+D$18)^DCF_Base!$C$4:$L$4))+(MAX(0,MIN(IF(D$18&gt;DCF_Base!$B$28,DCF_Base!$L$20*(1+DCF_Base!$B$28)/(D$18-DCF_Base!$B$28),DCF_Base!$B$31*DCF_Base!$L$20),DCF_Base!$B$31*DCF_Base!$L$20)))/(1+D$18)^10)-Assumptions!$B$6)/Assumptions!$B$5</f>
        <v/>
      </c>
      <c r="E19" s="30">
        <f>(((SUMPRODUCT(DCF_Base!$C$20:$L$20,1/(1+E$18)^DCF_Base!$C$4:$L$4))+(MAX(0,MIN(IF(E$18&gt;DCF_Base!$B$28,DCF_Base!$L$20*(1+DCF_Base!$B$28)/(E$18-DCF_Base!$B$28),DCF_Base!$B$31*DCF_Base!$L$20),DCF_Base!$B$31*DCF_Base!$L$20)))/(1+E$18)^10)-Assumptions!$B$6)/Assumptions!$B$5</f>
        <v/>
      </c>
      <c r="F19" s="30">
        <f>(((SUMPRODUCT(DCF_Base!$C$20:$L$20,1/(1+F$18)^DCF_Base!$C$4:$L$4))+(MAX(0,MIN(IF(F$18&gt;DCF_Base!$B$28,DCF_Base!$L$20*(1+DCF_Base!$B$28)/(F$18-DCF_Base!$B$28),DCF_Base!$B$31*DCF_Base!$L$20),DCF_Base!$B$31*DCF_Base!$L$20)))/(1+F$18)^10)-Assumptions!$B$6)/Assumptions!$B$5</f>
        <v/>
      </c>
      <c r="G19" s="30">
        <f>(((SUMPRODUCT(DCF_Base!$C$20:$L$20,1/(1+G$18)^DCF_Base!$C$4:$L$4))+(MAX(0,MIN(IF(G$18&gt;DCF_Base!$B$28,DCF_Base!$L$20*(1+DCF_Base!$B$28)/(G$18-DCF_Base!$B$28),DCF_Base!$B$31*DCF_Base!$L$20),DCF_Base!$B$31*DCF_Base!$L$20)))/(1+G$18)^10)-Assumptions!$B$6)/Assumptions!$B$5</f>
        <v/>
      </c>
    </row>
    <row r="21">
      <c r="A21" s="15" t="inlineStr">
        <is>
          <t>15%-hurdle entry price, by scenario</t>
        </is>
      </c>
    </row>
    <row r="22">
      <c r="A22" s="6" t="inlineStr">
        <is>
          <t>Scenario</t>
        </is>
      </c>
      <c r="B22" s="6" t="inlineStr">
        <is>
          <t>Entry price (15% IRR)</t>
        </is>
      </c>
    </row>
    <row r="23">
      <c r="A23" t="inlineStr">
        <is>
          <t>Bear</t>
        </is>
      </c>
      <c r="B23" s="30">
        <f>(((SUMPRODUCT(DCF_Bear!$C$20:$L$20,1/(1+0.15)^DCF_Bear!$C$4:$L$4))+DCF_Bear!$B$33/(1+0.15)^10)-Assumptions!$B$6)/Assumptions!$B$5</f>
        <v/>
      </c>
    </row>
    <row r="24">
      <c r="A24" t="inlineStr">
        <is>
          <t>Base</t>
        </is>
      </c>
      <c r="B24" s="30">
        <f>(((SUMPRODUCT(DCF_Base!$C$20:$L$20,1/(1+0.15)^DCF_Base!$C$4:$L$4))+DCF_Base!$B$33/(1+0.15)^10)-Assumptions!$B$6)/Assumptions!$B$5</f>
        <v/>
      </c>
    </row>
    <row r="25">
      <c r="A25" t="inlineStr">
        <is>
          <t>Bull</t>
        </is>
      </c>
      <c r="B25" s="30">
        <f>(((SUMPRODUCT(DCF_Bull!$C$20:$L$20,1/(1+0.15)^DCF_Bull!$C$4:$L$4))+DCF_Bull!$B$33/(1+0.15)^10)-Assumptions!$B$6)/Assumptions!$B$5</f>
        <v/>
      </c>
    </row>
    <row r="26">
      <c r="A26" s="2" t="inlineStr">
        <is>
          <t>Weighted entry price</t>
        </is>
      </c>
      <c r="B26" s="30">
        <f>B23*Assumptions!$B$23+B24*Assumptions!$B$24+B25*Assumptions!$B$25</f>
        <v/>
      </c>
    </row>
    <row r="28">
      <c r="A28" s="15" t="inlineStr">
        <is>
          <t>Sensitivity: WACC x Terminal Growth (base case)</t>
        </is>
      </c>
    </row>
    <row r="29">
      <c r="A29" t="inlineStr">
        <is>
          <t>WACC \ Terminal g</t>
        </is>
      </c>
      <c r="B29" s="38" t="n">
        <v>0.015</v>
      </c>
      <c r="C29" s="38" t="n">
        <v>0.02</v>
      </c>
      <c r="D29" s="38" t="n">
        <v>0.025</v>
      </c>
      <c r="E29" s="38" t="n">
        <v>0.03</v>
      </c>
      <c r="F29" s="38" t="n">
        <v>0.035</v>
      </c>
    </row>
    <row r="30">
      <c r="A30" s="38" t="n">
        <v>0.115</v>
      </c>
      <c r="B30" s="30">
        <f>IF($A30&lt;=B$29,"n/a",((SUMPRODUCT(DCF_Base!$C$20:$L$20,1/(1+$A30)^DCF_Base!$C$4:$L$4))+(MAX(0,MIN(DCF_Base!$L$20*(1+B$29)/($A30-B$29),DCF_Base!$B$31*DCF_Base!$L$20)))/(1+$A30)^10-Assumptions!$B$6)/Assumptions!$B$5)</f>
        <v/>
      </c>
      <c r="C30" s="30">
        <f>IF($A30&lt;=C$29,"n/a",((SUMPRODUCT(DCF_Base!$C$20:$L$20,1/(1+$A30)^DCF_Base!$C$4:$L$4))+(MAX(0,MIN(DCF_Base!$L$20*(1+C$29)/($A30-C$29),DCF_Base!$B$31*DCF_Base!$L$20)))/(1+$A30)^10-Assumptions!$B$6)/Assumptions!$B$5)</f>
        <v/>
      </c>
      <c r="D30" s="30">
        <f>IF($A30&lt;=D$29,"n/a",((SUMPRODUCT(DCF_Base!$C$20:$L$20,1/(1+$A30)^DCF_Base!$C$4:$L$4))+(MAX(0,MIN(DCF_Base!$L$20*(1+D$29)/($A30-D$29),DCF_Base!$B$31*DCF_Base!$L$20)))/(1+$A30)^10-Assumptions!$B$6)/Assumptions!$B$5)</f>
        <v/>
      </c>
      <c r="E30" s="30">
        <f>IF($A30&lt;=E$29,"n/a",((SUMPRODUCT(DCF_Base!$C$20:$L$20,1/(1+$A30)^DCF_Base!$C$4:$L$4))+(MAX(0,MIN(DCF_Base!$L$20*(1+E$29)/($A30-E$29),DCF_Base!$B$31*DCF_Base!$L$20)))/(1+$A30)^10-Assumptions!$B$6)/Assumptions!$B$5)</f>
        <v/>
      </c>
      <c r="F30" s="30">
        <f>IF($A30&lt;=F$29,"n/a",((SUMPRODUCT(DCF_Base!$C$20:$L$20,1/(1+$A30)^DCF_Base!$C$4:$L$4))+(MAX(0,MIN(DCF_Base!$L$20*(1+F$29)/($A30-F$29),DCF_Base!$B$31*DCF_Base!$L$20)))/(1+$A30)^10-Assumptions!$B$6)/Assumptions!$B$5)</f>
        <v/>
      </c>
    </row>
    <row r="31">
      <c r="A31" s="38" t="n">
        <v>0.125</v>
      </c>
      <c r="B31" s="30">
        <f>IF($A31&lt;=B$29,"n/a",((SUMPRODUCT(DCF_Base!$C$20:$L$20,1/(1+$A31)^DCF_Base!$C$4:$L$4))+(MAX(0,MIN(DCF_Base!$L$20*(1+B$29)/($A31-B$29),DCF_Base!$B$31*DCF_Base!$L$20)))/(1+$A31)^10-Assumptions!$B$6)/Assumptions!$B$5)</f>
        <v/>
      </c>
      <c r="C31" s="30">
        <f>IF($A31&lt;=C$29,"n/a",((SUMPRODUCT(DCF_Base!$C$20:$L$20,1/(1+$A31)^DCF_Base!$C$4:$L$4))+(MAX(0,MIN(DCF_Base!$L$20*(1+C$29)/($A31-C$29),DCF_Base!$B$31*DCF_Base!$L$20)))/(1+$A31)^10-Assumptions!$B$6)/Assumptions!$B$5)</f>
        <v/>
      </c>
      <c r="D31" s="30">
        <f>IF($A31&lt;=D$29,"n/a",((SUMPRODUCT(DCF_Base!$C$20:$L$20,1/(1+$A31)^DCF_Base!$C$4:$L$4))+(MAX(0,MIN(DCF_Base!$L$20*(1+D$29)/($A31-D$29),DCF_Base!$B$31*DCF_Base!$L$20)))/(1+$A31)^10-Assumptions!$B$6)/Assumptions!$B$5)</f>
        <v/>
      </c>
      <c r="E31" s="30">
        <f>IF($A31&lt;=E$29,"n/a",((SUMPRODUCT(DCF_Base!$C$20:$L$20,1/(1+$A31)^DCF_Base!$C$4:$L$4))+(MAX(0,MIN(DCF_Base!$L$20*(1+E$29)/($A31-E$29),DCF_Base!$B$31*DCF_Base!$L$20)))/(1+$A31)^10-Assumptions!$B$6)/Assumptions!$B$5)</f>
        <v/>
      </c>
      <c r="F31" s="30">
        <f>IF($A31&lt;=F$29,"n/a",((SUMPRODUCT(DCF_Base!$C$20:$L$20,1/(1+$A31)^DCF_Base!$C$4:$L$4))+(MAX(0,MIN(DCF_Base!$L$20*(1+F$29)/($A31-F$29),DCF_Base!$B$31*DCF_Base!$L$20)))/(1+$A31)^10-Assumptions!$B$6)/Assumptions!$B$5)</f>
        <v/>
      </c>
    </row>
    <row r="32">
      <c r="A32" s="38" t="n">
        <v>0.135</v>
      </c>
      <c r="B32" s="39">
        <f>IF($A32&lt;=B$29,"n/a",((SUMPRODUCT(DCF_Base!$C$20:$L$20,1/(1+$A32)^DCF_Base!$C$4:$L$4))+(MAX(0,MIN(DCF_Base!$L$20*(1+B$29)/($A32-B$29),DCF_Base!$B$31*DCF_Base!$L$20)))/(1+$A32)^10-Assumptions!$B$6)/Assumptions!$B$5)</f>
        <v/>
      </c>
      <c r="C32" s="39">
        <f>IF($A32&lt;=C$29,"n/a",((SUMPRODUCT(DCF_Base!$C$20:$L$20,1/(1+$A32)^DCF_Base!$C$4:$L$4))+(MAX(0,MIN(DCF_Base!$L$20*(1+C$29)/($A32-C$29),DCF_Base!$B$31*DCF_Base!$L$20)))/(1+$A32)^10-Assumptions!$B$6)/Assumptions!$B$5)</f>
        <v/>
      </c>
      <c r="D32" s="39">
        <f>IF($A32&lt;=D$29,"n/a",((SUMPRODUCT(DCF_Base!$C$20:$L$20,1/(1+$A32)^DCF_Base!$C$4:$L$4))+(MAX(0,MIN(DCF_Base!$L$20*(1+D$29)/($A32-D$29),DCF_Base!$B$31*DCF_Base!$L$20)))/(1+$A32)^10-Assumptions!$B$6)/Assumptions!$B$5)</f>
        <v/>
      </c>
      <c r="E32" s="39">
        <f>IF($A32&lt;=E$29,"n/a",((SUMPRODUCT(DCF_Base!$C$20:$L$20,1/(1+$A32)^DCF_Base!$C$4:$L$4))+(MAX(0,MIN(DCF_Base!$L$20*(1+E$29)/($A32-E$29),DCF_Base!$B$31*DCF_Base!$L$20)))/(1+$A32)^10-Assumptions!$B$6)/Assumptions!$B$5)</f>
        <v/>
      </c>
      <c r="F32" s="39">
        <f>IF($A32&lt;=F$29,"n/a",((SUMPRODUCT(DCF_Base!$C$20:$L$20,1/(1+$A32)^DCF_Base!$C$4:$L$4))+(MAX(0,MIN(DCF_Base!$L$20*(1+F$29)/($A32-F$29),DCF_Base!$B$31*DCF_Base!$L$20)))/(1+$A32)^10-Assumptions!$B$6)/Assumptions!$B$5)</f>
        <v/>
      </c>
    </row>
    <row r="33">
      <c r="A33" s="38" t="n">
        <v>0.145</v>
      </c>
      <c r="B33" s="30">
        <f>IF($A33&lt;=B$29,"n/a",((SUMPRODUCT(DCF_Base!$C$20:$L$20,1/(1+$A33)^DCF_Base!$C$4:$L$4))+(MAX(0,MIN(DCF_Base!$L$20*(1+B$29)/($A33-B$29),DCF_Base!$B$31*DCF_Base!$L$20)))/(1+$A33)^10-Assumptions!$B$6)/Assumptions!$B$5)</f>
        <v/>
      </c>
      <c r="C33" s="30">
        <f>IF($A33&lt;=C$29,"n/a",((SUMPRODUCT(DCF_Base!$C$20:$L$20,1/(1+$A33)^DCF_Base!$C$4:$L$4))+(MAX(0,MIN(DCF_Base!$L$20*(1+C$29)/($A33-C$29),DCF_Base!$B$31*DCF_Base!$L$20)))/(1+$A33)^10-Assumptions!$B$6)/Assumptions!$B$5)</f>
        <v/>
      </c>
      <c r="D33" s="30">
        <f>IF($A33&lt;=D$29,"n/a",((SUMPRODUCT(DCF_Base!$C$20:$L$20,1/(1+$A33)^DCF_Base!$C$4:$L$4))+(MAX(0,MIN(DCF_Base!$L$20*(1+D$29)/($A33-D$29),DCF_Base!$B$31*DCF_Base!$L$20)))/(1+$A33)^10-Assumptions!$B$6)/Assumptions!$B$5)</f>
        <v/>
      </c>
      <c r="E33" s="30">
        <f>IF($A33&lt;=E$29,"n/a",((SUMPRODUCT(DCF_Base!$C$20:$L$20,1/(1+$A33)^DCF_Base!$C$4:$L$4))+(MAX(0,MIN(DCF_Base!$L$20*(1+E$29)/($A33-E$29),DCF_Base!$B$31*DCF_Base!$L$20)))/(1+$A33)^10-Assumptions!$B$6)/Assumptions!$B$5)</f>
        <v/>
      </c>
      <c r="F33" s="30">
        <f>IF($A33&lt;=F$29,"n/a",((SUMPRODUCT(DCF_Base!$C$20:$L$20,1/(1+$A33)^DCF_Base!$C$4:$L$4))+(MAX(0,MIN(DCF_Base!$L$20*(1+F$29)/($A33-F$29),DCF_Base!$B$31*DCF_Base!$L$20)))/(1+$A33)^10-Assumptions!$B$6)/Assumptions!$B$5)</f>
        <v/>
      </c>
    </row>
    <row r="34">
      <c r="A34" s="38" t="n">
        <v>0.155</v>
      </c>
      <c r="B34" s="30">
        <f>IF($A34&lt;=B$29,"n/a",((SUMPRODUCT(DCF_Base!$C$20:$L$20,1/(1+$A34)^DCF_Base!$C$4:$L$4))+(MAX(0,MIN(DCF_Base!$L$20*(1+B$29)/($A34-B$29),DCF_Base!$B$31*DCF_Base!$L$20)))/(1+$A34)^10-Assumptions!$B$6)/Assumptions!$B$5)</f>
        <v/>
      </c>
      <c r="C34" s="30">
        <f>IF($A34&lt;=C$29,"n/a",((SUMPRODUCT(DCF_Base!$C$20:$L$20,1/(1+$A34)^DCF_Base!$C$4:$L$4))+(MAX(0,MIN(DCF_Base!$L$20*(1+C$29)/($A34-C$29),DCF_Base!$B$31*DCF_Base!$L$20)))/(1+$A34)^10-Assumptions!$B$6)/Assumptions!$B$5)</f>
        <v/>
      </c>
      <c r="D34" s="30">
        <f>IF($A34&lt;=D$29,"n/a",((SUMPRODUCT(DCF_Base!$C$20:$L$20,1/(1+$A34)^DCF_Base!$C$4:$L$4))+(MAX(0,MIN(DCF_Base!$L$20*(1+D$29)/($A34-D$29),DCF_Base!$B$31*DCF_Base!$L$20)))/(1+$A34)^10-Assumptions!$B$6)/Assumptions!$B$5)</f>
        <v/>
      </c>
      <c r="E34" s="30">
        <f>IF($A34&lt;=E$29,"n/a",((SUMPRODUCT(DCF_Base!$C$20:$L$20,1/(1+$A34)^DCF_Base!$C$4:$L$4))+(MAX(0,MIN(DCF_Base!$L$20*(1+E$29)/($A34-E$29),DCF_Base!$B$31*DCF_Base!$L$20)))/(1+$A34)^10-Assumptions!$B$6)/Assumptions!$B$5)</f>
        <v/>
      </c>
      <c r="F34" s="30">
        <f>IF($A34&lt;=F$29,"n/a",((SUMPRODUCT(DCF_Base!$C$20:$L$20,1/(1+$A34)^DCF_Base!$C$4:$L$4))+(MAX(0,MIN(DCF_Base!$L$20*(1+F$29)/($A34-F$29),DCF_Base!$B$31*DCF_Base!$L$20)))/(1+$A34)^10-Assumptions!$B$6)/Assumptions!$B$5)</f>
        <v/>
      </c>
    </row>
    <row r="37">
      <c r="A37" s="32" t="inlineStr">
        <is>
          <t>Note: terminal-growth columns are near-flat in this grid because the 6x-FCF terminal cap binds</t>
        </is>
      </c>
    </row>
    <row r="38">
      <c r="A38" s="32" t="inlineStr">
        <is>
          <t>across this range (Gordon only exceeds the cap below roughly -2.7% terminal growth). WACC is the</t>
        </is>
      </c>
    </row>
    <row r="39">
      <c r="A39" s="32" t="inlineStr">
        <is>
          <t>sensitivity that matters for this chronically low-multiple name. See MPG.NZ_DCF.json sensitivity.note.</t>
        </is>
      </c>
    </row>
  </sheetData>
  <mergeCells count="3">
    <mergeCell ref="A38:F38"/>
    <mergeCell ref="A39:F39"/>
    <mergeCell ref="A37:F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2026-08-20T04:20:01Z</dcterms:created>
  <dcterms:modified xmlns:dcterms="http://purl.org/dc/terms/" xmlns:xsi="http://www.w3.org/2001/XMLSchema-instance" xsi:type="dcterms:W3CDTF">2026-08-20T04:20:01Z</dcterms:modified>
</cp:coreProperties>
</file>