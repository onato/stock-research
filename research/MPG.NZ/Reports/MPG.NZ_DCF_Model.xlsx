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0.0"/>
    <numFmt numFmtId="167" formatCode="0.0000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165" fontId="2" fillId="0" borderId="0" pivotButton="0" quotePrefix="0" xfId="0"/>
    <xf numFmtId="165" fontId="2" fillId="2" borderId="0" pivotButton="0" quotePrefix="0" xfId="0"/>
    <xf numFmtId="166" fontId="2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0" fontId="2" fillId="0" borderId="0" pivotButton="0" quotePrefix="0" xfId="0"/>
    <xf numFmtId="3" fontId="4" fillId="0" borderId="0" pivotButton="0" quotePrefix="0" xfId="0"/>
    <xf numFmtId="3" fontId="1" fillId="0" borderId="0" pivotButton="0" quotePrefix="0" xfId="0"/>
    <xf numFmtId="167" fontId="4" fillId="0" borderId="0" pivotButton="0" quotePrefix="0" xfId="0"/>
    <xf numFmtId="165" fontId="4" fillId="0" borderId="0" pivotButton="0" quotePrefix="0" xfId="0"/>
    <xf numFmtId="166" fontId="0" fillId="0" borderId="0" pivotButton="0" quotePrefix="0" xfId="0"/>
    <xf numFmtId="164" fontId="1" fillId="2" borderId="0" pivotButton="0" quotePrefix="0" xfId="0"/>
    <xf numFmtId="164" fontId="0" fillId="0" borderId="0" pivotButton="0" quotePrefix="0" xfId="0"/>
    <xf numFmtId="165" fontId="3" fillId="0" borderId="0" pivotButton="0" quotePrefix="0" xfId="0"/>
    <xf numFmtId="164" fontId="4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Metro Performance Glass (MPG.NZ) owner-FCF DCF -- workbook v2, 2026-09-15</t>
        </is>
      </c>
    </row>
    <row r="2">
      <c r="A2" t="inlineStr">
        <is>
          <t>Supersedes the 2026-08-20 v1 workbook (base IV $2.50, weighted $2.87), whose flows deducted lease principal only, booked working capital as an inflow on growth and took a tax credit on negative EBIT.</t>
        </is>
      </c>
    </row>
    <row r="3">
      <c r="A3" t="inlineStr">
        <is>
          <t>Built by Claude Fable 5.1 (interactive session, at the user's request) from MPG.NZ_DCF.json; the JSON and this workbook implement the same component model and must agree to within rounding.</t>
        </is>
      </c>
    </row>
    <row r="4">
      <c r="A4" t="inlineStr">
        <is>
          <t>Data vintage: price NZ$0.83 Yahoo regular close 2026-09-15T01:38Z; balance sheet 31-Mar-2026 (FY2026 annual report, approved 27-May-2026); shares 24,591,464 post 40:1 consolidation (6-Mar-2026); no FY2027 numeric guidance ('no substantive market growth').</t>
        </is>
      </c>
    </row>
    <row r="5">
      <c r="A5" t="inlineStr">
        <is>
          <t>Units: NZD thousands throughout except per-share values (NZD) and percentages.</t>
        </is>
      </c>
    </row>
    <row r="6">
      <c r="A6" t="inlineStr">
        <is>
          <t>Lease treatment (B): full IFRS-16 lease cash (principal 8,042 + interest 4,546 = 12,588 in FY2026, 6.05% of revenue) is an operating cost in the flows; lease liabilities (69,532) are EXCLUDED from net debt (26,975 = bank debt 35,241 less cash 8,266).</t>
        </is>
      </c>
    </row>
    <row r="7">
      <c r="A7" t="inlineStr">
        <is>
          <t>Working capital: net working capital is 14.1% of revenue (receivables + inventory + other current assets - payables - deferred income), so WC capture is NEGATIVE: growth consumes cash.</t>
        </is>
      </c>
    </row>
    <row r="8">
      <c r="A8" t="inlineStr">
        <is>
          <t>Cash tax: on max(0, EBIT) where EBIT is after the lease and after D&amp;A EX right-of-use depreciation (3.5% of revenue); rate ramps 0% -&gt; 28% over FY2030-34 as the recognised tax losses (~$26m) run off.</t>
        </is>
      </c>
    </row>
    <row r="9">
      <c r="A9" t="inlineStr">
        <is>
          <t>Terminal value: Gordon at WACC / terminal growth, capped at 5.5x year-10 pre-IFRS-16 EBITDA (the stock's own normal-year EV/EBITDA ceiling, expressed as an FCF multiple on each DCF tab), floored at zero.</t>
        </is>
      </c>
    </row>
    <row r="10">
      <c r="A10" t="inlineStr">
        <is>
          <t>Scenario drivers (growth, margin, WACC, terminal growth, weights) are the 2026-08-20 dcf-analyst's judgment, kept unchanged; the 2026-09-15 rebuild changed only the flow mechanics, the lease cost, the terminal-cap basis and the sanity check.</t>
        </is>
      </c>
    </row>
    <row r="11">
      <c r="A11" t="inlineStr">
        <is>
          <t>Refresh after the FY2027 interim (Nov-2026): FY0 actuals on each DCF tab, Assumptions price/timestamp/net debt/shares, and the Actuals tab. Figures go stale.</t>
        </is>
      </c>
    </row>
    <row r="12">
      <c r="A12" t="inlineStr">
        <is>
          <t>Cell colours: blue = hardcoded input, yellow fill = key lever, black = formula, green = cross-sheet link. Sheet names contain no spaces.</t>
        </is>
      </c>
    </row>
    <row r="13">
      <c r="A13" t="inlineStr">
        <is>
          <t>Row map on each DCF tab: 5 growth (driver), 6 revenue, 7 EBITDA margin (driver), 8 adj EBITDA, 9 SBC % (driver), 10 SBC, 11 lease % (driver), 12 lease cash, 13 owner EBITDA, 14 D&amp;A, 15 EBIT, 16 cash tax rate (driver), 17 NOPAT, 18 add D&amp;A, 19 capex, 20 WC, 21 owner FCF, 22 discount factor, 23 PV; valuation block rows 28-41; street memo 43-45.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8" max="8"/>
  </cols>
  <sheetData>
    <row r="1">
      <c r="A1" s="1" t="inlineStr">
        <is>
          <t>Period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  <c r="G1" s="1" t="inlineStr">
        <is>
          <t>FY2026</t>
        </is>
      </c>
      <c r="H1" s="1" t="inlineStr">
        <is>
          <t>Source</t>
        </is>
      </c>
    </row>
    <row r="2">
      <c r="A2" t="inlineStr">
        <is>
          <t>Revenue</t>
        </is>
      </c>
      <c r="B2" s="2" t="n">
        <v>232274</v>
      </c>
      <c r="C2" s="2" t="n">
        <v>236063</v>
      </c>
      <c r="D2" s="2" t="n">
        <v>263520</v>
      </c>
      <c r="E2" s="2" t="n">
        <v>239280</v>
      </c>
      <c r="F2" s="2" t="n">
        <v>213922</v>
      </c>
      <c r="G2" s="2" t="n">
        <v>208163</v>
      </c>
      <c r="H2" t="inlineStr">
        <is>
          <t>Consolidated statement of comprehensive income, each annual report</t>
        </is>
      </c>
    </row>
    <row r="3">
      <c r="A3" t="inlineStr">
        <is>
          <t>EBITDA before significant items</t>
        </is>
      </c>
      <c r="B3" s="2" t="n">
        <v>37500</v>
      </c>
      <c r="C3" s="2" t="n">
        <v>24600</v>
      </c>
      <c r="D3" s="2" t="n">
        <v>30744</v>
      </c>
      <c r="E3" s="2" t="n">
        <v>25104</v>
      </c>
      <c r="F3" s="2" t="n">
        <v>16897</v>
      </c>
      <c r="G3" s="2" t="n">
        <v>18241</v>
      </c>
      <c r="H3" t="inlineStr">
        <is>
          <t>Non-GAAP reconciliation page / segment note</t>
        </is>
      </c>
    </row>
    <row r="4">
      <c r="A4" t="inlineStr">
        <is>
          <t>Lease principal paid</t>
        </is>
      </c>
      <c r="B4" s="2" t="n">
        <v>5789</v>
      </c>
      <c r="C4" s="2" t="n">
        <v>6940</v>
      </c>
      <c r="D4" s="2" t="n">
        <v>6873</v>
      </c>
      <c r="E4" s="2" t="n">
        <v>7561</v>
      </c>
      <c r="F4" s="2" t="n">
        <v>7542</v>
      </c>
      <c r="G4" s="2" t="n">
        <v>8042</v>
      </c>
      <c r="H4" t="inlineStr">
        <is>
          <t>Cash-flow statement, financing</t>
        </is>
      </c>
    </row>
    <row r="5">
      <c r="A5" t="inlineStr">
        <is>
          <t>Interest paid on leases</t>
        </is>
      </c>
      <c r="B5" s="2" t="n">
        <v>3064</v>
      </c>
      <c r="C5" s="2" t="n">
        <v>3139</v>
      </c>
      <c r="D5" s="2" t="n">
        <v>4847</v>
      </c>
      <c r="E5" s="2" t="n">
        <v>4691</v>
      </c>
      <c r="F5" s="2" t="n">
        <v>4955</v>
      </c>
      <c r="G5" s="2" t="n">
        <v>4546</v>
      </c>
      <c r="H5" t="inlineStr">
        <is>
          <t>Cash-flow statement, operating</t>
        </is>
      </c>
    </row>
    <row r="6">
      <c r="A6" t="inlineStr">
        <is>
          <t>Pre-IFRS-16 EBITDA (BSI less lease cash)</t>
        </is>
      </c>
      <c r="B6" s="2" t="n">
        <v>28647</v>
      </c>
      <c r="C6" s="2" t="n">
        <v>14521</v>
      </c>
      <c r="D6" s="2" t="n">
        <v>19024</v>
      </c>
      <c r="E6" s="2" t="n">
        <v>12852</v>
      </c>
      <c r="F6" s="2" t="n">
        <v>4400</v>
      </c>
      <c r="G6" s="2" t="n">
        <v>5653</v>
      </c>
      <c r="H6" t="inlineStr">
        <is>
          <t>Derived</t>
        </is>
      </c>
    </row>
    <row r="7">
      <c r="A7" t="inlineStr">
        <is>
          <t>Operating cash flow</t>
        </is>
      </c>
      <c r="B7" s="2" t="n">
        <v>28847</v>
      </c>
      <c r="C7" s="2" t="n">
        <v>13254</v>
      </c>
      <c r="D7" s="2" t="n">
        <v>5130</v>
      </c>
      <c r="E7" s="2" t="n">
        <v>18916</v>
      </c>
      <c r="F7" s="2" t="n">
        <v>2072</v>
      </c>
      <c r="G7" s="2" t="n">
        <v>15675</v>
      </c>
      <c r="H7" t="inlineStr">
        <is>
          <t>Cash-flow statement</t>
        </is>
      </c>
    </row>
    <row r="8">
      <c r="A8" t="inlineStr">
        <is>
          <t>Capex (PP&amp;E + intangibles)</t>
        </is>
      </c>
      <c r="B8" s="2" t="n">
        <v>5793</v>
      </c>
      <c r="C8" s="2" t="n">
        <v>10399</v>
      </c>
      <c r="D8" s="2" t="n">
        <v>6734</v>
      </c>
      <c r="E8" s="2" t="n">
        <v>3984</v>
      </c>
      <c r="F8" s="2" t="n">
        <v>3009</v>
      </c>
      <c r="G8" s="2" t="n">
        <v>2849</v>
      </c>
      <c r="H8" t="inlineStr">
        <is>
          <t>Cash-flow statement, investing</t>
        </is>
      </c>
    </row>
    <row r="9">
      <c r="A9" t="inlineStr">
        <is>
          <t>D&amp;A</t>
        </is>
      </c>
      <c r="B9" s="2" t="n">
        <v>20304</v>
      </c>
      <c r="C9" s="2" t="n">
        <v>18687</v>
      </c>
      <c r="D9" s="2" t="n">
        <v>18960</v>
      </c>
      <c r="E9" s="2" t="n">
        <v>17920</v>
      </c>
      <c r="F9" s="2" t="n">
        <v>17534</v>
      </c>
      <c r="G9" s="2" t="n">
        <v>17356</v>
      </c>
      <c r="H9" t="inlineStr">
        <is>
          <t>OCF reconciliation</t>
        </is>
      </c>
    </row>
    <row r="10">
      <c r="A10" t="inlineStr">
        <is>
          <t>Net debt (bank, ex leases)</t>
        </is>
      </c>
      <c r="B10" s="2" t="n">
        <v>47989</v>
      </c>
      <c r="C10" s="2" t="n">
        <v>52255</v>
      </c>
      <c r="D10" s="2" t="n">
        <v>60070</v>
      </c>
      <c r="E10" s="2" t="n">
        <v>53029</v>
      </c>
      <c r="F10" s="2" t="n">
        <v>60494</v>
      </c>
      <c r="G10" s="2" t="n">
        <v>26975</v>
      </c>
      <c r="H10" t="inlineStr">
        <is>
          <t>Net-debt table beneath the cash-flow statement</t>
        </is>
      </c>
    </row>
    <row r="11">
      <c r="A11" t="inlineStr">
        <is>
          <t>Lease liabilities</t>
        </is>
      </c>
      <c r="C11" s="2" t="n">
        <v>81280</v>
      </c>
      <c r="D11" s="2" t="n">
        <v>77884</v>
      </c>
      <c r="E11" s="2" t="n">
        <v>78393</v>
      </c>
      <c r="F11" s="2" t="n">
        <v>76565</v>
      </c>
      <c r="G11" s="2" t="n">
        <v>69532</v>
      </c>
      <c r="H11" t="inlineStr">
        <is>
          <t>Balance sheet, current + non-current</t>
        </is>
      </c>
    </row>
    <row r="12">
      <c r="A12" t="inlineStr">
        <is>
          <t>Shareholders' equity</t>
        </is>
      </c>
      <c r="B12" s="2" t="n">
        <v>85401</v>
      </c>
      <c r="C12" s="2" t="n">
        <v>85529</v>
      </c>
      <c r="D12" s="2" t="n">
        <v>75467</v>
      </c>
      <c r="E12" s="2" t="n">
        <v>48991</v>
      </c>
      <c r="F12" s="2" t="n">
        <v>35582</v>
      </c>
      <c r="G12" s="2" t="n">
        <v>59958</v>
      </c>
      <c r="H12" t="inlineStr">
        <is>
          <t>Balance sheet</t>
        </is>
      </c>
    </row>
    <row r="13">
      <c r="A13" t="inlineStr">
        <is>
          <t>Shares on issue ('000, as filed)</t>
        </is>
      </c>
      <c r="B13" s="2" t="n">
        <v>185378</v>
      </c>
      <c r="C13" s="2" t="n">
        <v>185378</v>
      </c>
      <c r="D13" s="2" t="n">
        <v>185378</v>
      </c>
      <c r="E13" s="2" t="n">
        <v>185378</v>
      </c>
      <c r="F13" s="2" t="n">
        <v>185378</v>
      </c>
      <c r="G13" s="2" t="n">
        <v>24591</v>
      </c>
      <c r="H13" t="inlineStr">
        <is>
          <t>FY2026 is post 40:1 consolidation; earlier years pre-consolidation</t>
        </is>
      </c>
    </row>
    <row r="14">
      <c r="A14" t="inlineStr">
        <is>
          <t>FY-end price (raw Yahoo close, NZD)</t>
        </is>
      </c>
      <c r="B14" s="3" t="n">
        <v>0.317</v>
      </c>
      <c r="C14" s="3" t="n">
        <v>0.235</v>
      </c>
      <c r="D14" s="3" t="n">
        <v>0.124</v>
      </c>
      <c r="E14" s="3" t="n">
        <v>0.0857</v>
      </c>
      <c r="F14" s="3" t="n">
        <v>0.0486</v>
      </c>
      <c r="G14" s="3" t="n">
        <v>1</v>
      </c>
      <c r="H14" t="inlineStr">
        <is>
          <t>Yahoo monthly closes; pre-Mar-2026 quotes are pre-consolidation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90" customWidth="1" min="3" max="3"/>
  </cols>
  <sheetData>
    <row r="1">
      <c r="A1" t="inlineStr">
        <is>
          <t>Price (NZD)</t>
        </is>
      </c>
      <c r="B1" s="3" t="n">
        <v>0.83</v>
      </c>
      <c r="C1" t="inlineStr">
        <is>
          <t>Yahoo regular close 2026-09-15T01:38Z</t>
        </is>
      </c>
    </row>
    <row r="2">
      <c r="A2" t="inlineStr">
        <is>
          <t>Price timestamp</t>
        </is>
      </c>
      <c r="B2" s="4" t="inlineStr">
        <is>
          <t>2026-09-15T01:38:09Z regular NZX close (Yahoo regularMarketPrice via dcf_context)</t>
        </is>
      </c>
      <c r="C2" t="inlineStr"/>
    </row>
    <row r="3">
      <c r="A3" t="inlineStr">
        <is>
          <t>Diluted shares ('000)</t>
        </is>
      </c>
      <c r="B3" s="2" t="n">
        <v>24591.464</v>
      </c>
      <c r="C3" t="inlineStr">
        <is>
          <t>24,591,464 post-consolidation; basic = diluted (loss year)</t>
        </is>
      </c>
    </row>
    <row r="4">
      <c r="A4" t="inlineStr">
        <is>
          <t>Net debt ('000, bank only)</t>
        </is>
      </c>
      <c r="B4" s="2" t="n">
        <v>26975</v>
      </c>
      <c r="C4" t="inlineStr">
        <is>
          <t>35,241 borrowings less 8,266 cash; leases excluded (treatment B)</t>
        </is>
      </c>
    </row>
    <row r="5">
      <c r="A5" t="inlineStr">
        <is>
          <t>Net cash ('000)</t>
        </is>
      </c>
      <c r="B5" s="5">
        <f>-B4</f>
        <v/>
      </c>
      <c r="C5" t="inlineStr">
        <is>
          <t>Formula</t>
        </is>
      </c>
    </row>
    <row r="6">
      <c r="A6" t="inlineStr">
        <is>
          <t>D&amp;A % of revenue (ex ROU depreciation)</t>
        </is>
      </c>
      <c r="B6" s="6" t="n">
        <v>0.035</v>
      </c>
      <c r="C6" t="inlineStr">
        <is>
          <t>FY2026 D&amp;A 17,356 less ROU depreciation 9,297 = 3.9%; 3.5% as the PP&amp;E base shrinks toward capex</t>
        </is>
      </c>
    </row>
    <row r="7">
      <c r="A7" t="inlineStr">
        <is>
          <t>Capex % of revenue</t>
        </is>
      </c>
      <c r="B7" s="6" t="n">
        <v>0.025</v>
      </c>
      <c r="C7" t="inlineStr">
        <is>
          <t>FY2022-26 average 2.3%; FY2026 1.4% is under-investment</t>
        </is>
      </c>
    </row>
    <row r="8">
      <c r="A8" t="inlineStr">
        <is>
          <t>WC capture (% of revenue change; negative = investment)</t>
        </is>
      </c>
      <c r="B8" s="6" t="n">
        <v>-0.14</v>
      </c>
      <c r="C8" t="inlineStr">
        <is>
          <t>Net working capital 29,318 = 14.1% of FY2026 revenue</t>
        </is>
      </c>
    </row>
    <row r="9">
      <c r="A9" t="inlineStr">
        <is>
          <t>FY2026 lease cash ('000)</t>
        </is>
      </c>
      <c r="B9" s="2" t="n">
        <v>12588</v>
      </c>
      <c r="C9" t="inlineStr">
        <is>
          <t>Principal 8,042 + interest 4,546; the lease % rows on each DCF tab escalate this at 2%/yr</t>
        </is>
      </c>
    </row>
    <row r="10">
      <c r="A10" t="inlineStr">
        <is>
          <t>Hurdle rate (entry price)</t>
        </is>
      </c>
      <c r="B10" s="6" t="n">
        <v>0.15</v>
      </c>
      <c r="C10" t="inlineStr">
        <is>
          <t>House 15% IRR</t>
        </is>
      </c>
    </row>
    <row r="11">
      <c r="A11" t="inlineStr">
        <is>
          <t>FY2026 revenue ('000)</t>
        </is>
      </c>
      <c r="B11" s="2" t="n">
        <v>208163</v>
      </c>
      <c r="C11" t="inlineStr">
        <is>
          <t>FY0 anchor</t>
        </is>
      </c>
    </row>
    <row r="12">
      <c r="A12" t="inlineStr">
        <is>
          <t>FY2026 EBITDA before significant items ('000)</t>
        </is>
      </c>
      <c r="B12" s="2" t="n">
        <v>18241</v>
      </c>
      <c r="C12" t="inlineStr">
        <is>
          <t>18,241 (8.76% margin)</t>
        </is>
      </c>
    </row>
    <row r="14">
      <c r="A14" s="1" t="inlineStr">
        <is>
          <t>Scenario</t>
        </is>
      </c>
      <c r="B14" s="1" t="inlineStr">
        <is>
          <t>Bear</t>
        </is>
      </c>
      <c r="C14" s="1" t="inlineStr">
        <is>
          <t>Base</t>
        </is>
      </c>
      <c r="D14" s="1" t="inlineStr">
        <is>
          <t>Bull</t>
        </is>
      </c>
    </row>
    <row r="15">
      <c r="A15" t="inlineStr">
        <is>
          <t>WACC</t>
        </is>
      </c>
      <c r="B15" s="7" t="n">
        <v>0.15</v>
      </c>
      <c r="C15" s="7" t="n">
        <v>0.135</v>
      </c>
      <c r="D15" s="7" t="n">
        <v>0.125</v>
      </c>
    </row>
    <row r="16">
      <c r="A16" t="inlineStr">
        <is>
          <t>Terminal growth</t>
        </is>
      </c>
      <c r="B16" s="6" t="n">
        <v>0.015</v>
      </c>
      <c r="C16" s="6" t="n">
        <v>0.025</v>
      </c>
      <c r="D16" s="6" t="n">
        <v>0.03</v>
      </c>
    </row>
    <row r="17">
      <c r="A17" t="inlineStr">
        <is>
          <t>Terminal cap (x year-10 owner FCF)</t>
        </is>
      </c>
      <c r="B17" s="8" t="n">
        <v>20</v>
      </c>
      <c r="C17" s="8" t="n">
        <v>14.9</v>
      </c>
      <c r="D17" s="8" t="n">
        <v>11</v>
      </c>
    </row>
    <row r="18">
      <c r="A18" t="inlineStr">
        <is>
          <t>Probability weight</t>
        </is>
      </c>
      <c r="B18" s="6" t="n">
        <v>0.2</v>
      </c>
      <c r="C18" s="6" t="n">
        <v>0.5</v>
      </c>
      <c r="D18" s="6" t="n">
        <v>0.3</v>
      </c>
    </row>
    <row r="19">
      <c r="A19" t="inlineStr">
        <is>
          <t>Weights check (must be 100%)</t>
        </is>
      </c>
      <c r="B19" s="9">
        <f>SUM(B18:D18)</f>
        <v/>
      </c>
    </row>
    <row r="21">
      <c r="A21" s="1" t="inlineStr">
        <is>
          <t>Scenario narratives</t>
        </is>
      </c>
    </row>
    <row r="22">
      <c r="A22" t="inlineStr">
        <is>
          <t>Bear</t>
        </is>
      </c>
      <c r="B22" t="inlineStr">
        <is>
          <t>Bear case: the construction downturn deepens rather than stabilises -- NZ consent momentum turns into a further multi-year decline and Victoria stays subdued longer than AGG's cost base can absorb. The premises bill ($12.6m, escalating) is fixed while revenue falls, so the pre-IFRS-16 EBITDA margin sits near 1-2% and owner FCF is negative for the first three years; the equity is worth less than zero against $27m of bank debt (the covenant path -- renegotiated Sept-2025, facility to Sept-2028 -- is the binding constraint, not the model). WACC 15.0% carries a solvency-tail premium specific to this path. Terminal cap 5.5x pre-IFRS-16 EV/EBITDA (does not bind: Gordon at 15%/1.5% is lower).</t>
        </is>
      </c>
    </row>
    <row r="23">
      <c r="A23" t="inlineStr">
        <is>
          <t>Base</t>
        </is>
      </c>
      <c r="B23" t="inlineStr">
        <is>
          <t>Base case: FY27 essentially flat (management's 'no substantive market growth' guidance) as the $4m FY26 cost-out delivers its full-year benefit; EBITDA margin (before significant items, post-IFRS-16) recovers from 8.76% toward 11% -- about 5% after the $12.6m premises bill, an FY2023-24 level and well below the FY2018/FY2021 peaks -- reflecting the Commerce Commission's finding that NZ glass processing remains structurally oversupplied. Modest volume recovery from FY28 as NZ/AU consents stabilise and Building Code / NatHERS lift the double-glazing mix. Cash tax shielded by the recognised tax losses until FY2030, then ramps to the 28% statutory rate. Owner FCF builds from ~$0.6m (FY26 underlying) to ~$2.7m FY27 and ~$5m by FY31: this is a business that earns roughly its cost of capital on an ex-lease EV of ~$47m, so most of the equity value sits in the bull case, not the base.</t>
        </is>
      </c>
    </row>
    <row r="24">
      <c r="A24" t="inlineStr">
        <is>
          <t>Bull</t>
        </is>
      </c>
      <c r="B24" t="inlineStr">
        <is>
          <t>Bull case: the failed Viridian takeover and persistent NZ oversupply keep consolidation optionality alive -- a rationalisation of processing capacity (Metro or a competitor exiting) restores pricing power faster than base assumes; AGG's import-model transition stabilises early and Australia's 1.2-million-homes target flows into volumes; Building Code / NatHERS drive mix-shift to Low-E / laminated / frameless product. Margin reaches 13.5% post-IFRS-16 (about 8% pre-IFRS-16, an FY2023 level, still short of FY2021's 12%). Terminal value is capped at 5.5x pre-IFRS-16 EV/EBITDA, the upper-middle of the stock's own normal-year trading range, so no re-rating beyond history is assumed even here. Amari (51%) or a strategic buying the minority at a premium is the realistic exit path.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Bear case -- owner-FCF DCF, NZD thousands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7" t="n">
        <v>-0.03</v>
      </c>
      <c r="D5" s="7" t="n">
        <v>-0.02</v>
      </c>
      <c r="E5" s="7" t="n">
        <v>0</v>
      </c>
      <c r="F5" s="7" t="n">
        <v>0.01</v>
      </c>
      <c r="G5" s="7" t="n">
        <v>0.015</v>
      </c>
      <c r="H5" s="7" t="n">
        <v>0.015</v>
      </c>
      <c r="I5" s="7" t="n">
        <v>0.02</v>
      </c>
      <c r="J5" s="7" t="n">
        <v>0.02</v>
      </c>
      <c r="K5" s="7" t="n">
        <v>0.02</v>
      </c>
      <c r="L5" s="7" t="n">
        <v>0.02</v>
      </c>
    </row>
    <row r="6">
      <c r="A6" t="inlineStr">
        <is>
          <t>Revenue</t>
        </is>
      </c>
      <c r="B6" s="10">
        <f>Assumptions!$B$11</f>
        <v/>
      </c>
      <c r="C6" s="11">
        <f>B6*(1+C5)</f>
        <v/>
      </c>
      <c r="D6" s="11">
        <f>C6*(1+D5)</f>
        <v/>
      </c>
      <c r="E6" s="11">
        <f>D6*(1+E5)</f>
        <v/>
      </c>
      <c r="F6" s="11">
        <f>E6*(1+F5)</f>
        <v/>
      </c>
      <c r="G6" s="11">
        <f>F6*(1+G5)</f>
        <v/>
      </c>
      <c r="H6" s="11">
        <f>G6*(1+H5)</f>
        <v/>
      </c>
      <c r="I6" s="11">
        <f>H6*(1+I5)</f>
        <v/>
      </c>
      <c r="J6" s="11">
        <f>I6*(1+J5)</f>
        <v/>
      </c>
      <c r="K6" s="11">
        <f>J6*(1+K5)</f>
        <v/>
      </c>
      <c r="L6" s="11">
        <f>K6*(1+L5)</f>
        <v/>
      </c>
    </row>
    <row r="7">
      <c r="A7" t="inlineStr">
        <is>
          <t>Adj EBITDA margin (before significant items)</t>
        </is>
      </c>
      <c r="B7" s="9">
        <f>Assumptions!$B$12/B6</f>
        <v/>
      </c>
      <c r="C7" s="7" t="n">
        <v>0.075</v>
      </c>
      <c r="D7" s="7" t="n">
        <v>0.07000000000000001</v>
      </c>
      <c r="E7" s="7" t="n">
        <v>0.075</v>
      </c>
      <c r="F7" s="7" t="n">
        <v>0.08</v>
      </c>
      <c r="G7" s="7" t="n">
        <v>0.08500000000000001</v>
      </c>
      <c r="H7" s="7" t="n">
        <v>0.08500000000000001</v>
      </c>
      <c r="I7" s="7" t="n">
        <v>0.08500000000000001</v>
      </c>
      <c r="J7" s="7" t="n">
        <v>0.08500000000000001</v>
      </c>
      <c r="K7" s="7" t="n">
        <v>0.08500000000000001</v>
      </c>
      <c r="L7" s="7" t="n">
        <v>0.08500000000000001</v>
      </c>
    </row>
    <row r="8">
      <c r="A8" t="inlineStr">
        <is>
          <t>Adjusted EBITDA</t>
        </is>
      </c>
      <c r="B8">
        <f>B6*B7</f>
        <v/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  <c r="I8" s="11">
        <f>I6*I7</f>
        <v/>
      </c>
      <c r="J8" s="11">
        <f>J6*J7</f>
        <v/>
      </c>
      <c r="K8" s="11">
        <f>K6*K7</f>
        <v/>
      </c>
      <c r="L8" s="11">
        <f>L6*L7</f>
        <v/>
      </c>
    </row>
    <row r="9">
      <c r="A9" t="inlineStr">
        <is>
          <t>SBC % of revenue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t="inlineStr">
        <is>
          <t>SBC</t>
        </is>
      </c>
      <c r="B10">
        <f>-B6*B9</f>
        <v/>
      </c>
      <c r="C10" s="11">
        <f>-C6*C9</f>
        <v/>
      </c>
      <c r="D10" s="11">
        <f>-D6*D9</f>
        <v/>
      </c>
      <c r="E10" s="11">
        <f>-E6*E9</f>
        <v/>
      </c>
      <c r="F10" s="11">
        <f>-F6*F9</f>
        <v/>
      </c>
      <c r="G10" s="11">
        <f>-G6*G9</f>
        <v/>
      </c>
      <c r="H10" s="11">
        <f>-H6*H9</f>
        <v/>
      </c>
      <c r="I10" s="11">
        <f>-I6*I9</f>
        <v/>
      </c>
      <c r="J10" s="11">
        <f>-J6*J9</f>
        <v/>
      </c>
      <c r="K10" s="11">
        <f>-K6*K9</f>
        <v/>
      </c>
      <c r="L10" s="11">
        <f>-L6*L9</f>
        <v/>
      </c>
    </row>
    <row r="11">
      <c r="A11" t="inlineStr">
        <is>
          <t>Lease cash % of revenue (principal + interest)</t>
        </is>
      </c>
      <c r="B11" s="9">
        <f>Assumptions!$B$9/B6</f>
        <v/>
      </c>
      <c r="C11" s="12" t="n">
        <v>0.0636</v>
      </c>
      <c r="D11" s="12" t="n">
        <v>0.06619999999999999</v>
      </c>
      <c r="E11" s="12" t="n">
        <v>0.0675</v>
      </c>
      <c r="F11" s="12" t="n">
        <v>0.0682</v>
      </c>
      <c r="G11" s="12" t="n">
        <v>0.06849999999999999</v>
      </c>
      <c r="H11" s="12" t="n">
        <v>0.0688</v>
      </c>
      <c r="I11" s="12" t="n">
        <v>0.0688</v>
      </c>
      <c r="J11" s="12" t="n">
        <v>0.0688</v>
      </c>
      <c r="K11" s="12" t="n">
        <v>0.0688</v>
      </c>
      <c r="L11" s="12" t="n">
        <v>0.0688</v>
      </c>
    </row>
    <row r="12">
      <c r="A12" t="inlineStr">
        <is>
          <t>Lease cash</t>
        </is>
      </c>
      <c r="B12">
        <f>-B6*B11</f>
        <v/>
      </c>
      <c r="C12" s="11">
        <f>-C6*C11</f>
        <v/>
      </c>
      <c r="D12" s="11">
        <f>-D6*D11</f>
        <v/>
      </c>
      <c r="E12" s="11">
        <f>-E6*E11</f>
        <v/>
      </c>
      <c r="F12" s="11">
        <f>-F6*F11</f>
        <v/>
      </c>
      <c r="G12" s="11">
        <f>-G6*G11</f>
        <v/>
      </c>
      <c r="H12" s="11">
        <f>-H6*H11</f>
        <v/>
      </c>
      <c r="I12" s="11">
        <f>-I6*I11</f>
        <v/>
      </c>
      <c r="J12" s="11">
        <f>-J6*J11</f>
        <v/>
      </c>
      <c r="K12" s="11">
        <f>-K6*K11</f>
        <v/>
      </c>
      <c r="L12" s="11">
        <f>-L6*L11</f>
        <v/>
      </c>
    </row>
    <row r="13">
      <c r="A13" t="inlineStr">
        <is>
          <t>Owner EBITDA (pre-IFRS-16, after SBC)</t>
        </is>
      </c>
      <c r="B13">
        <f>B8+B10+B12</f>
        <v/>
      </c>
      <c r="C13" s="11">
        <f>C8+C10+C12</f>
        <v/>
      </c>
      <c r="D13" s="11">
        <f>D8+D10+D12</f>
        <v/>
      </c>
      <c r="E13" s="11">
        <f>E8+E10+E12</f>
        <v/>
      </c>
      <c r="F13" s="11">
        <f>F8+F10+F12</f>
        <v/>
      </c>
      <c r="G13" s="11">
        <f>G8+G10+G12</f>
        <v/>
      </c>
      <c r="H13" s="11">
        <f>H8+H10+H12</f>
        <v/>
      </c>
      <c r="I13" s="11">
        <f>I8+I10+I12</f>
        <v/>
      </c>
      <c r="J13" s="11">
        <f>J8+J10+J12</f>
        <v/>
      </c>
      <c r="K13" s="11">
        <f>K8+K10+K12</f>
        <v/>
      </c>
      <c r="L13" s="11">
        <f>L8+L10+L12</f>
        <v/>
      </c>
    </row>
    <row r="14">
      <c r="A14" t="inlineStr">
        <is>
          <t>D&amp;A (ex ROU depreciation)</t>
        </is>
      </c>
      <c r="C14" s="13">
        <f>-C6*Assumptions!$B$6</f>
        <v/>
      </c>
      <c r="D14" s="13">
        <f>-D6*Assumptions!$B$6</f>
        <v/>
      </c>
      <c r="E14" s="13">
        <f>-E6*Assumptions!$B$6</f>
        <v/>
      </c>
      <c r="F14" s="13">
        <f>-F6*Assumptions!$B$6</f>
        <v/>
      </c>
      <c r="G14" s="13">
        <f>-G6*Assumptions!$B$6</f>
        <v/>
      </c>
      <c r="H14" s="13">
        <f>-H6*Assumptions!$B$6</f>
        <v/>
      </c>
      <c r="I14" s="13">
        <f>-I6*Assumptions!$B$6</f>
        <v/>
      </c>
      <c r="J14" s="13">
        <f>-J6*Assumptions!$B$6</f>
        <v/>
      </c>
      <c r="K14" s="13">
        <f>-K6*Assumptions!$B$6</f>
        <v/>
      </c>
      <c r="L14" s="13">
        <f>-L6*Assumptions!$B$6</f>
        <v/>
      </c>
    </row>
    <row r="15">
      <c r="A15" t="inlineStr">
        <is>
          <t>EBIT</t>
        </is>
      </c>
      <c r="C15" s="11">
        <f>C13+C14</f>
        <v/>
      </c>
      <c r="D15" s="11">
        <f>D13+D14</f>
        <v/>
      </c>
      <c r="E15" s="11">
        <f>E13+E14</f>
        <v/>
      </c>
      <c r="F15" s="11">
        <f>F13+F14</f>
        <v/>
      </c>
      <c r="G15" s="11">
        <f>G13+G14</f>
        <v/>
      </c>
      <c r="H15" s="11">
        <f>H13+H14</f>
        <v/>
      </c>
      <c r="I15" s="11">
        <f>I13+I14</f>
        <v/>
      </c>
      <c r="J15" s="11">
        <f>J13+J14</f>
        <v/>
      </c>
      <c r="K15" s="11">
        <f>K13+K14</f>
        <v/>
      </c>
      <c r="L15" s="11">
        <f>L13+L14</f>
        <v/>
      </c>
    </row>
    <row r="16">
      <c r="A16" t="inlineStr">
        <is>
          <t>Cash tax rate</t>
        </is>
      </c>
      <c r="C16" s="6" t="n">
        <v>0</v>
      </c>
      <c r="D16" s="6" t="n">
        <v>0</v>
      </c>
      <c r="E16" s="6" t="n">
        <v>0</v>
      </c>
      <c r="F16" s="6" t="n">
        <v>0.05</v>
      </c>
      <c r="G16" s="6" t="n">
        <v>0.1</v>
      </c>
      <c r="H16" s="6" t="n">
        <v>0.15</v>
      </c>
      <c r="I16" s="6" t="n">
        <v>0.2</v>
      </c>
      <c r="J16" s="6" t="n">
        <v>0.28</v>
      </c>
      <c r="K16" s="6" t="n">
        <v>0.28</v>
      </c>
      <c r="L16" s="6" t="n">
        <v>0.28</v>
      </c>
    </row>
    <row r="17">
      <c r="A17" t="inlineStr">
        <is>
          <t>NOPAT (tax on positive EBIT only)</t>
        </is>
      </c>
      <c r="C17" s="11">
        <f>C15-MAX(0,C15)*C16</f>
        <v/>
      </c>
      <c r="D17" s="11">
        <f>D15-MAX(0,D15)*D16</f>
        <v/>
      </c>
      <c r="E17" s="11">
        <f>E15-MAX(0,E15)*E16</f>
        <v/>
      </c>
      <c r="F17" s="11">
        <f>F15-MAX(0,F15)*F16</f>
        <v/>
      </c>
      <c r="G17" s="11">
        <f>G15-MAX(0,G15)*G16</f>
        <v/>
      </c>
      <c r="H17" s="11">
        <f>H15-MAX(0,H15)*H16</f>
        <v/>
      </c>
      <c r="I17" s="11">
        <f>I15-MAX(0,I15)*I16</f>
        <v/>
      </c>
      <c r="J17" s="11">
        <f>J15-MAX(0,J15)*J16</f>
        <v/>
      </c>
      <c r="K17" s="11">
        <f>K15-MAX(0,K15)*K16</f>
        <v/>
      </c>
      <c r="L17" s="11">
        <f>L15-MAX(0,L15)*L16</f>
        <v/>
      </c>
    </row>
    <row r="18">
      <c r="A18" t="inlineStr">
        <is>
          <t>add back D&amp;A</t>
        </is>
      </c>
      <c r="C18" s="11">
        <f>-C14</f>
        <v/>
      </c>
      <c r="D18" s="11">
        <f>-D14</f>
        <v/>
      </c>
      <c r="E18" s="11">
        <f>-E14</f>
        <v/>
      </c>
      <c r="F18" s="11">
        <f>-F14</f>
        <v/>
      </c>
      <c r="G18" s="11">
        <f>-G14</f>
        <v/>
      </c>
      <c r="H18" s="11">
        <f>-H14</f>
        <v/>
      </c>
      <c r="I18" s="11">
        <f>-I14</f>
        <v/>
      </c>
      <c r="J18" s="11">
        <f>-J14</f>
        <v/>
      </c>
      <c r="K18" s="11">
        <f>-K14</f>
        <v/>
      </c>
      <c r="L18" s="11">
        <f>-L14</f>
        <v/>
      </c>
    </row>
    <row r="19">
      <c r="A19" t="inlineStr">
        <is>
          <t>less capex</t>
        </is>
      </c>
      <c r="C19" s="13">
        <f>-C6*Assumptions!$B$7</f>
        <v/>
      </c>
      <c r="D19" s="13">
        <f>-D6*Assumptions!$B$7</f>
        <v/>
      </c>
      <c r="E19" s="13">
        <f>-E6*Assumptions!$B$7</f>
        <v/>
      </c>
      <c r="F19" s="13">
        <f>-F6*Assumptions!$B$7</f>
        <v/>
      </c>
      <c r="G19" s="13">
        <f>-G6*Assumptions!$B$7</f>
        <v/>
      </c>
      <c r="H19" s="13">
        <f>-H6*Assumptions!$B$7</f>
        <v/>
      </c>
      <c r="I19" s="13">
        <f>-I6*Assumptions!$B$7</f>
        <v/>
      </c>
      <c r="J19" s="13">
        <f>-J6*Assumptions!$B$7</f>
        <v/>
      </c>
      <c r="K19" s="13">
        <f>-K6*Assumptions!$B$7</f>
        <v/>
      </c>
      <c r="L19" s="13">
        <f>-L6*Assumptions!$B$7</f>
        <v/>
      </c>
    </row>
    <row r="20">
      <c r="A20" t="inlineStr">
        <is>
          <t>add working capital</t>
        </is>
      </c>
      <c r="C20" s="13">
        <f>Assumptions!$B$8*(C6-B6)</f>
        <v/>
      </c>
      <c r="D20" s="13">
        <f>Assumptions!$B$8*(D6-C6)</f>
        <v/>
      </c>
      <c r="E20" s="13">
        <f>Assumptions!$B$8*(E6-D6)</f>
        <v/>
      </c>
      <c r="F20" s="13">
        <f>Assumptions!$B$8*(F6-E6)</f>
        <v/>
      </c>
      <c r="G20" s="13">
        <f>Assumptions!$B$8*(G6-F6)</f>
        <v/>
      </c>
      <c r="H20" s="13">
        <f>Assumptions!$B$8*(H6-G6)</f>
        <v/>
      </c>
      <c r="I20" s="13">
        <f>Assumptions!$B$8*(I6-H6)</f>
        <v/>
      </c>
      <c r="J20" s="13">
        <f>Assumptions!$B$8*(J6-I6)</f>
        <v/>
      </c>
      <c r="K20" s="13">
        <f>Assumptions!$B$8*(K6-J6)</f>
        <v/>
      </c>
      <c r="L20" s="13">
        <f>Assumptions!$B$8*(L6-K6)</f>
        <v/>
      </c>
    </row>
    <row r="21">
      <c r="A21" s="1" t="inlineStr">
        <is>
          <t>Unlevered owner FCF</t>
        </is>
      </c>
      <c r="C21" s="14">
        <f>C17+C18+C19+C20</f>
        <v/>
      </c>
      <c r="D21" s="14">
        <f>D17+D18+D19+D20</f>
        <v/>
      </c>
      <c r="E21" s="14">
        <f>E17+E18+E19+E20</f>
        <v/>
      </c>
      <c r="F21" s="14">
        <f>F17+F18+F19+F20</f>
        <v/>
      </c>
      <c r="G21" s="14">
        <f>G17+G18+G19+G20</f>
        <v/>
      </c>
      <c r="H21" s="14">
        <f>H17+H18+H19+H20</f>
        <v/>
      </c>
      <c r="I21" s="14">
        <f>I17+I18+I19+I20</f>
        <v/>
      </c>
      <c r="J21" s="14">
        <f>J17+J18+J19+J20</f>
        <v/>
      </c>
      <c r="K21" s="14">
        <f>K17+K18+K19+K20</f>
        <v/>
      </c>
      <c r="L21" s="14">
        <f>L17+L18+L19+L20</f>
        <v/>
      </c>
    </row>
    <row r="22">
      <c r="A22" t="inlineStr">
        <is>
          <t>Discount factor</t>
        </is>
      </c>
      <c r="B22" t="n">
        <v>1</v>
      </c>
      <c r="C22" s="15">
        <f>1/(1+Assumptions!$B$15)^C4</f>
        <v/>
      </c>
      <c r="D22" s="15">
        <f>1/(1+Assumptions!$B$15)^D4</f>
        <v/>
      </c>
      <c r="E22" s="15">
        <f>1/(1+Assumptions!$B$15)^E4</f>
        <v/>
      </c>
      <c r="F22" s="15">
        <f>1/(1+Assumptions!$B$15)^F4</f>
        <v/>
      </c>
      <c r="G22" s="15">
        <f>1/(1+Assumptions!$B$15)^G4</f>
        <v/>
      </c>
      <c r="H22" s="15">
        <f>1/(1+Assumptions!$B$15)^H4</f>
        <v/>
      </c>
      <c r="I22" s="15">
        <f>1/(1+Assumptions!$B$15)^I4</f>
        <v/>
      </c>
      <c r="J22" s="15">
        <f>1/(1+Assumptions!$B$15)^J4</f>
        <v/>
      </c>
      <c r="K22" s="15">
        <f>1/(1+Assumptions!$B$15)^K4</f>
        <v/>
      </c>
      <c r="L22" s="15">
        <f>1/(1+Assumptions!$B$15)^L4</f>
        <v/>
      </c>
    </row>
    <row r="23">
      <c r="A23" t="inlineStr">
        <is>
          <t>PV of FCF</t>
        </is>
      </c>
      <c r="C23" s="11">
        <f>C21*C22</f>
        <v/>
      </c>
      <c r="D23" s="11">
        <f>D21*D22</f>
        <v/>
      </c>
      <c r="E23" s="11">
        <f>E21*E22</f>
        <v/>
      </c>
      <c r="F23" s="11">
        <f>F21*F22</f>
        <v/>
      </c>
      <c r="G23" s="11">
        <f>G21*G22</f>
        <v/>
      </c>
      <c r="H23" s="11">
        <f>H21*H22</f>
        <v/>
      </c>
      <c r="I23" s="11">
        <f>I21*I22</f>
        <v/>
      </c>
      <c r="J23" s="11">
        <f>J21*J22</f>
        <v/>
      </c>
      <c r="K23" s="11">
        <f>K21*K22</f>
        <v/>
      </c>
      <c r="L23" s="11">
        <f>L21*L22</f>
        <v/>
      </c>
    </row>
    <row r="25">
      <c r="A25" t="inlineStr">
        <is>
          <t>Memo: FCF before SBC</t>
        </is>
      </c>
      <c r="C25" s="11">
        <f>C21-C10</f>
        <v/>
      </c>
      <c r="D25" s="11">
        <f>D21-D10</f>
        <v/>
      </c>
      <c r="E25" s="11">
        <f>E21-E10</f>
        <v/>
      </c>
      <c r="F25" s="11">
        <f>F21-F10</f>
        <v/>
      </c>
      <c r="G25" s="11">
        <f>G21-G10</f>
        <v/>
      </c>
      <c r="H25" s="11">
        <f>H21-H10</f>
        <v/>
      </c>
      <c r="I25" s="11">
        <f>I21-I10</f>
        <v/>
      </c>
      <c r="J25" s="11">
        <f>J21-J10</f>
        <v/>
      </c>
      <c r="K25" s="11">
        <f>K21-K10</f>
        <v/>
      </c>
      <c r="L25" s="11">
        <f>L21-L10</f>
        <v/>
      </c>
    </row>
    <row r="26">
      <c r="A26" t="inlineStr">
        <is>
          <t>Memo: owner-FCF margin</t>
        </is>
      </c>
      <c r="C26" s="9">
        <f>C21/C6</f>
        <v/>
      </c>
      <c r="D26" s="9">
        <f>D21/D6</f>
        <v/>
      </c>
      <c r="E26" s="9">
        <f>E21/E6</f>
        <v/>
      </c>
      <c r="F26" s="9">
        <f>F21/F6</f>
        <v/>
      </c>
      <c r="G26" s="9">
        <f>G21/G6</f>
        <v/>
      </c>
      <c r="H26" s="9">
        <f>H21/H6</f>
        <v/>
      </c>
      <c r="I26" s="9">
        <f>I21/I6</f>
        <v/>
      </c>
      <c r="J26" s="9">
        <f>J21/J6</f>
        <v/>
      </c>
      <c r="K26" s="9">
        <f>K21/K6</f>
        <v/>
      </c>
      <c r="L26" s="9">
        <f>L21/L6</f>
        <v/>
      </c>
    </row>
    <row r="28">
      <c r="A28" t="inlineStr">
        <is>
          <t>Sum of PV of FCF</t>
        </is>
      </c>
      <c r="B28" s="11">
        <f>SUM(C23:L23)</f>
        <v/>
      </c>
    </row>
    <row r="29">
      <c r="A29" t="inlineStr">
        <is>
          <t>Terminal growth</t>
        </is>
      </c>
      <c r="B29" s="16">
        <f>Assumptions!$B$16</f>
        <v/>
      </c>
    </row>
    <row r="30">
      <c r="A30" t="inlineStr">
        <is>
          <t>Terminal FCF (year 10 x (1+g))</t>
        </is>
      </c>
      <c r="B30" s="11">
        <f>L21*(1+B29)</f>
        <v/>
      </c>
    </row>
    <row r="31">
      <c r="A31" t="inlineStr">
        <is>
          <t>Gordon terminal value</t>
        </is>
      </c>
      <c r="B31" s="11">
        <f>IF(Assumptions!$B$15&gt;B29, B30/(Assumptions!$B$15-B29), B32)</f>
        <v/>
      </c>
    </row>
    <row r="32">
      <c r="A32" t="inlineStr">
        <is>
          <t>Cap terminal value (cap x year-10 FCF)</t>
        </is>
      </c>
      <c r="B32" s="13">
        <f>Assumptions!$B$17*L21</f>
        <v/>
      </c>
    </row>
    <row r="33">
      <c r="A33" t="inlineStr">
        <is>
          <t>Terminal value used = MAX(0, MIN(Gordon, cap))</t>
        </is>
      </c>
      <c r="B33" s="11">
        <f>MAX(0,MIN(B31,B32))</f>
        <v/>
      </c>
    </row>
    <row r="34">
      <c r="A34" t="inlineStr">
        <is>
          <t>Implied exit multiple (x FCF)</t>
        </is>
      </c>
      <c r="B34" s="17">
        <f>IF(L21&gt;0,B33/L21,"n/a")</f>
        <v/>
      </c>
    </row>
    <row r="35">
      <c r="A35" t="inlineStr">
        <is>
          <t>PV of terminal value</t>
        </is>
      </c>
      <c r="B35" s="11">
        <f>B33*L22</f>
        <v/>
      </c>
    </row>
    <row r="36">
      <c r="A36" t="inlineStr">
        <is>
          <t>Enterprise value</t>
        </is>
      </c>
      <c r="B36" s="11">
        <f>B28+B35</f>
        <v/>
      </c>
    </row>
    <row r="37">
      <c r="A37" t="inlineStr">
        <is>
          <t>add net cash (bank debt only; leases in the flows)</t>
        </is>
      </c>
      <c r="B37" s="13">
        <f>Assumptions!$B$5</f>
        <v/>
      </c>
    </row>
    <row r="38">
      <c r="A38" t="inlineStr">
        <is>
          <t>Equity value</t>
        </is>
      </c>
      <c r="B38" s="11">
        <f>B36+B37</f>
        <v/>
      </c>
    </row>
    <row r="39">
      <c r="A39" t="inlineStr">
        <is>
          <t>Diluted shares ('000)</t>
        </is>
      </c>
      <c r="B39" s="13">
        <f>Assumptions!$B$3</f>
        <v/>
      </c>
    </row>
    <row r="40">
      <c r="A40" t="inlineStr">
        <is>
          <t>Value per share (NZD)</t>
        </is>
      </c>
      <c r="B40" s="18">
        <f>B38/B39</f>
        <v/>
      </c>
    </row>
    <row r="41">
      <c r="A41" t="inlineStr">
        <is>
          <t>Upside vs price</t>
        </is>
      </c>
      <c r="B41" s="9">
        <f>B40/Assumptions!$B$1-1</f>
        <v/>
      </c>
    </row>
    <row r="43">
      <c r="A43" t="inlineStr">
        <is>
          <t>Street memo: PV of explicit-period SBC</t>
        </is>
      </c>
      <c r="B43" s="11">
        <f>SUMPRODUCT(-C10:L10/(1+Assumptions!$B$15)^C4:L4)</f>
        <v/>
      </c>
    </row>
    <row r="44">
      <c r="A44" t="inlineStr">
        <is>
          <t>Street memo: PV of terminal SBC</t>
        </is>
      </c>
      <c r="B44" s="11">
        <f>IF(Assumptions!$B$15&gt;B29,-L10*(1+B29)/(Assumptions!$B$15-B29),0)*L22</f>
        <v/>
      </c>
    </row>
    <row r="45">
      <c r="A45" t="inlineStr">
        <is>
          <t>Street value per share (NZD)</t>
        </is>
      </c>
      <c r="B45" s="19">
        <f>(B38+B43+B44)/B39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Base case -- owner-FCF DCF, NZD thousands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7" t="n">
        <v>0.005</v>
      </c>
      <c r="D5" s="7" t="n">
        <v>0.02</v>
      </c>
      <c r="E5" s="7" t="n">
        <v>0.03</v>
      </c>
      <c r="F5" s="7" t="n">
        <v>0.035</v>
      </c>
      <c r="G5" s="7" t="n">
        <v>0.035</v>
      </c>
      <c r="H5" s="7" t="n">
        <v>0.03</v>
      </c>
      <c r="I5" s="7" t="n">
        <v>0.03</v>
      </c>
      <c r="J5" s="7" t="n">
        <v>0.028</v>
      </c>
      <c r="K5" s="7" t="n">
        <v>0.025</v>
      </c>
      <c r="L5" s="7" t="n">
        <v>0.025</v>
      </c>
    </row>
    <row r="6">
      <c r="A6" t="inlineStr">
        <is>
          <t>Revenue</t>
        </is>
      </c>
      <c r="B6" s="10">
        <f>Assumptions!$B$11</f>
        <v/>
      </c>
      <c r="C6" s="11">
        <f>B6*(1+C5)</f>
        <v/>
      </c>
      <c r="D6" s="11">
        <f>C6*(1+D5)</f>
        <v/>
      </c>
      <c r="E6" s="11">
        <f>D6*(1+E5)</f>
        <v/>
      </c>
      <c r="F6" s="11">
        <f>E6*(1+F5)</f>
        <v/>
      </c>
      <c r="G6" s="11">
        <f>F6*(1+G5)</f>
        <v/>
      </c>
      <c r="H6" s="11">
        <f>G6*(1+H5)</f>
        <v/>
      </c>
      <c r="I6" s="11">
        <f>H6*(1+I5)</f>
        <v/>
      </c>
      <c r="J6" s="11">
        <f>I6*(1+J5)</f>
        <v/>
      </c>
      <c r="K6" s="11">
        <f>J6*(1+K5)</f>
        <v/>
      </c>
      <c r="L6" s="11">
        <f>K6*(1+L5)</f>
        <v/>
      </c>
    </row>
    <row r="7">
      <c r="A7" t="inlineStr">
        <is>
          <t>Adj EBITDA margin (before significant items)</t>
        </is>
      </c>
      <c r="B7" s="9">
        <f>Assumptions!$B$12/B6</f>
        <v/>
      </c>
      <c r="C7" s="7" t="n">
        <v>0.098</v>
      </c>
      <c r="D7" s="7" t="n">
        <v>0.105</v>
      </c>
      <c r="E7" s="7" t="n">
        <v>0.108</v>
      </c>
      <c r="F7" s="7" t="n">
        <v>0.11</v>
      </c>
      <c r="G7" s="7" t="n">
        <v>0.11</v>
      </c>
      <c r="H7" s="7" t="n">
        <v>0.11</v>
      </c>
      <c r="I7" s="7" t="n">
        <v>0.11</v>
      </c>
      <c r="J7" s="7" t="n">
        <v>0.11</v>
      </c>
      <c r="K7" s="7" t="n">
        <v>0.11</v>
      </c>
      <c r="L7" s="7" t="n">
        <v>0.11</v>
      </c>
    </row>
    <row r="8">
      <c r="A8" t="inlineStr">
        <is>
          <t>Adjusted EBITDA</t>
        </is>
      </c>
      <c r="B8">
        <f>B6*B7</f>
        <v/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  <c r="I8" s="11">
        <f>I6*I7</f>
        <v/>
      </c>
      <c r="J8" s="11">
        <f>J6*J7</f>
        <v/>
      </c>
      <c r="K8" s="11">
        <f>K6*K7</f>
        <v/>
      </c>
      <c r="L8" s="11">
        <f>L6*L7</f>
        <v/>
      </c>
    </row>
    <row r="9">
      <c r="A9" t="inlineStr">
        <is>
          <t>SBC % of revenue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t="inlineStr">
        <is>
          <t>SBC</t>
        </is>
      </c>
      <c r="B10">
        <f>-B6*B9</f>
        <v/>
      </c>
      <c r="C10" s="11">
        <f>-C6*C9</f>
        <v/>
      </c>
      <c r="D10" s="11">
        <f>-D6*D9</f>
        <v/>
      </c>
      <c r="E10" s="11">
        <f>-E6*E9</f>
        <v/>
      </c>
      <c r="F10" s="11">
        <f>-F6*F9</f>
        <v/>
      </c>
      <c r="G10" s="11">
        <f>-G6*G9</f>
        <v/>
      </c>
      <c r="H10" s="11">
        <f>-H6*H9</f>
        <v/>
      </c>
      <c r="I10" s="11">
        <f>-I6*I9</f>
        <v/>
      </c>
      <c r="J10" s="11">
        <f>-J6*J9</f>
        <v/>
      </c>
      <c r="K10" s="11">
        <f>-K6*K9</f>
        <v/>
      </c>
      <c r="L10" s="11">
        <f>-L6*L9</f>
        <v/>
      </c>
    </row>
    <row r="11">
      <c r="A11" t="inlineStr">
        <is>
          <t>Lease cash % of revenue (principal + interest)</t>
        </is>
      </c>
      <c r="B11" s="9">
        <f>Assumptions!$B$9/B6</f>
        <v/>
      </c>
      <c r="C11" s="12" t="n">
        <v>0.0614</v>
      </c>
      <c r="D11" s="12" t="n">
        <v>0.0614</v>
      </c>
      <c r="E11" s="12" t="n">
        <v>0.0608</v>
      </c>
      <c r="F11" s="12" t="n">
        <v>0.0599</v>
      </c>
      <c r="G11" s="12" t="n">
        <v>0.059</v>
      </c>
      <c r="H11" s="12" t="n">
        <v>0.0585</v>
      </c>
      <c r="I11" s="12" t="n">
        <v>0.0579</v>
      </c>
      <c r="J11" s="12" t="n">
        <v>0.0574</v>
      </c>
      <c r="K11" s="12" t="n">
        <v>0.0572</v>
      </c>
      <c r="L11" s="12" t="n">
        <v>0.05690000000000001</v>
      </c>
    </row>
    <row r="12">
      <c r="A12" t="inlineStr">
        <is>
          <t>Lease cash</t>
        </is>
      </c>
      <c r="B12">
        <f>-B6*B11</f>
        <v/>
      </c>
      <c r="C12" s="11">
        <f>-C6*C11</f>
        <v/>
      </c>
      <c r="D12" s="11">
        <f>-D6*D11</f>
        <v/>
      </c>
      <c r="E12" s="11">
        <f>-E6*E11</f>
        <v/>
      </c>
      <c r="F12" s="11">
        <f>-F6*F11</f>
        <v/>
      </c>
      <c r="G12" s="11">
        <f>-G6*G11</f>
        <v/>
      </c>
      <c r="H12" s="11">
        <f>-H6*H11</f>
        <v/>
      </c>
      <c r="I12" s="11">
        <f>-I6*I11</f>
        <v/>
      </c>
      <c r="J12" s="11">
        <f>-J6*J11</f>
        <v/>
      </c>
      <c r="K12" s="11">
        <f>-K6*K11</f>
        <v/>
      </c>
      <c r="L12" s="11">
        <f>-L6*L11</f>
        <v/>
      </c>
    </row>
    <row r="13">
      <c r="A13" t="inlineStr">
        <is>
          <t>Owner EBITDA (pre-IFRS-16, after SBC)</t>
        </is>
      </c>
      <c r="B13">
        <f>B8+B10+B12</f>
        <v/>
      </c>
      <c r="C13" s="11">
        <f>C8+C10+C12</f>
        <v/>
      </c>
      <c r="D13" s="11">
        <f>D8+D10+D12</f>
        <v/>
      </c>
      <c r="E13" s="11">
        <f>E8+E10+E12</f>
        <v/>
      </c>
      <c r="F13" s="11">
        <f>F8+F10+F12</f>
        <v/>
      </c>
      <c r="G13" s="11">
        <f>G8+G10+G12</f>
        <v/>
      </c>
      <c r="H13" s="11">
        <f>H8+H10+H12</f>
        <v/>
      </c>
      <c r="I13" s="11">
        <f>I8+I10+I12</f>
        <v/>
      </c>
      <c r="J13" s="11">
        <f>J8+J10+J12</f>
        <v/>
      </c>
      <c r="K13" s="11">
        <f>K8+K10+K12</f>
        <v/>
      </c>
      <c r="L13" s="11">
        <f>L8+L10+L12</f>
        <v/>
      </c>
    </row>
    <row r="14">
      <c r="A14" t="inlineStr">
        <is>
          <t>D&amp;A (ex ROU depreciation)</t>
        </is>
      </c>
      <c r="C14" s="13">
        <f>-C6*Assumptions!$B$6</f>
        <v/>
      </c>
      <c r="D14" s="13">
        <f>-D6*Assumptions!$B$6</f>
        <v/>
      </c>
      <c r="E14" s="13">
        <f>-E6*Assumptions!$B$6</f>
        <v/>
      </c>
      <c r="F14" s="13">
        <f>-F6*Assumptions!$B$6</f>
        <v/>
      </c>
      <c r="G14" s="13">
        <f>-G6*Assumptions!$B$6</f>
        <v/>
      </c>
      <c r="H14" s="13">
        <f>-H6*Assumptions!$B$6</f>
        <v/>
      </c>
      <c r="I14" s="13">
        <f>-I6*Assumptions!$B$6</f>
        <v/>
      </c>
      <c r="J14" s="13">
        <f>-J6*Assumptions!$B$6</f>
        <v/>
      </c>
      <c r="K14" s="13">
        <f>-K6*Assumptions!$B$6</f>
        <v/>
      </c>
      <c r="L14" s="13">
        <f>-L6*Assumptions!$B$6</f>
        <v/>
      </c>
    </row>
    <row r="15">
      <c r="A15" t="inlineStr">
        <is>
          <t>EBIT</t>
        </is>
      </c>
      <c r="C15" s="11">
        <f>C13+C14</f>
        <v/>
      </c>
      <c r="D15" s="11">
        <f>D13+D14</f>
        <v/>
      </c>
      <c r="E15" s="11">
        <f>E13+E14</f>
        <v/>
      </c>
      <c r="F15" s="11">
        <f>F13+F14</f>
        <v/>
      </c>
      <c r="G15" s="11">
        <f>G13+G14</f>
        <v/>
      </c>
      <c r="H15" s="11">
        <f>H13+H14</f>
        <v/>
      </c>
      <c r="I15" s="11">
        <f>I13+I14</f>
        <v/>
      </c>
      <c r="J15" s="11">
        <f>J13+J14</f>
        <v/>
      </c>
      <c r="K15" s="11">
        <f>K13+K14</f>
        <v/>
      </c>
      <c r="L15" s="11">
        <f>L13+L14</f>
        <v/>
      </c>
    </row>
    <row r="16">
      <c r="A16" t="inlineStr">
        <is>
          <t>Cash tax rate</t>
        </is>
      </c>
      <c r="C16" s="6" t="n">
        <v>0</v>
      </c>
      <c r="D16" s="6" t="n">
        <v>0</v>
      </c>
      <c r="E16" s="6" t="n">
        <v>0</v>
      </c>
      <c r="F16" s="6" t="n">
        <v>0.05</v>
      </c>
      <c r="G16" s="6" t="n">
        <v>0.1</v>
      </c>
      <c r="H16" s="6" t="n">
        <v>0.15</v>
      </c>
      <c r="I16" s="6" t="n">
        <v>0.2</v>
      </c>
      <c r="J16" s="6" t="n">
        <v>0.28</v>
      </c>
      <c r="K16" s="6" t="n">
        <v>0.28</v>
      </c>
      <c r="L16" s="6" t="n">
        <v>0.28</v>
      </c>
    </row>
    <row r="17">
      <c r="A17" t="inlineStr">
        <is>
          <t>NOPAT (tax on positive EBIT only)</t>
        </is>
      </c>
      <c r="C17" s="11">
        <f>C15-MAX(0,C15)*C16</f>
        <v/>
      </c>
      <c r="D17" s="11">
        <f>D15-MAX(0,D15)*D16</f>
        <v/>
      </c>
      <c r="E17" s="11">
        <f>E15-MAX(0,E15)*E16</f>
        <v/>
      </c>
      <c r="F17" s="11">
        <f>F15-MAX(0,F15)*F16</f>
        <v/>
      </c>
      <c r="G17" s="11">
        <f>G15-MAX(0,G15)*G16</f>
        <v/>
      </c>
      <c r="H17" s="11">
        <f>H15-MAX(0,H15)*H16</f>
        <v/>
      </c>
      <c r="I17" s="11">
        <f>I15-MAX(0,I15)*I16</f>
        <v/>
      </c>
      <c r="J17" s="11">
        <f>J15-MAX(0,J15)*J16</f>
        <v/>
      </c>
      <c r="K17" s="11">
        <f>K15-MAX(0,K15)*K16</f>
        <v/>
      </c>
      <c r="L17" s="11">
        <f>L15-MAX(0,L15)*L16</f>
        <v/>
      </c>
    </row>
    <row r="18">
      <c r="A18" t="inlineStr">
        <is>
          <t>add back D&amp;A</t>
        </is>
      </c>
      <c r="C18" s="11">
        <f>-C14</f>
        <v/>
      </c>
      <c r="D18" s="11">
        <f>-D14</f>
        <v/>
      </c>
      <c r="E18" s="11">
        <f>-E14</f>
        <v/>
      </c>
      <c r="F18" s="11">
        <f>-F14</f>
        <v/>
      </c>
      <c r="G18" s="11">
        <f>-G14</f>
        <v/>
      </c>
      <c r="H18" s="11">
        <f>-H14</f>
        <v/>
      </c>
      <c r="I18" s="11">
        <f>-I14</f>
        <v/>
      </c>
      <c r="J18" s="11">
        <f>-J14</f>
        <v/>
      </c>
      <c r="K18" s="11">
        <f>-K14</f>
        <v/>
      </c>
      <c r="L18" s="11">
        <f>-L14</f>
        <v/>
      </c>
    </row>
    <row r="19">
      <c r="A19" t="inlineStr">
        <is>
          <t>less capex</t>
        </is>
      </c>
      <c r="C19" s="13">
        <f>-C6*Assumptions!$B$7</f>
        <v/>
      </c>
      <c r="D19" s="13">
        <f>-D6*Assumptions!$B$7</f>
        <v/>
      </c>
      <c r="E19" s="13">
        <f>-E6*Assumptions!$B$7</f>
        <v/>
      </c>
      <c r="F19" s="13">
        <f>-F6*Assumptions!$B$7</f>
        <v/>
      </c>
      <c r="G19" s="13">
        <f>-G6*Assumptions!$B$7</f>
        <v/>
      </c>
      <c r="H19" s="13">
        <f>-H6*Assumptions!$B$7</f>
        <v/>
      </c>
      <c r="I19" s="13">
        <f>-I6*Assumptions!$B$7</f>
        <v/>
      </c>
      <c r="J19" s="13">
        <f>-J6*Assumptions!$B$7</f>
        <v/>
      </c>
      <c r="K19" s="13">
        <f>-K6*Assumptions!$B$7</f>
        <v/>
      </c>
      <c r="L19" s="13">
        <f>-L6*Assumptions!$B$7</f>
        <v/>
      </c>
    </row>
    <row r="20">
      <c r="A20" t="inlineStr">
        <is>
          <t>add working capital</t>
        </is>
      </c>
      <c r="C20" s="13">
        <f>Assumptions!$B$8*(C6-B6)</f>
        <v/>
      </c>
      <c r="D20" s="13">
        <f>Assumptions!$B$8*(D6-C6)</f>
        <v/>
      </c>
      <c r="E20" s="13">
        <f>Assumptions!$B$8*(E6-D6)</f>
        <v/>
      </c>
      <c r="F20" s="13">
        <f>Assumptions!$B$8*(F6-E6)</f>
        <v/>
      </c>
      <c r="G20" s="13">
        <f>Assumptions!$B$8*(G6-F6)</f>
        <v/>
      </c>
      <c r="H20" s="13">
        <f>Assumptions!$B$8*(H6-G6)</f>
        <v/>
      </c>
      <c r="I20" s="13">
        <f>Assumptions!$B$8*(I6-H6)</f>
        <v/>
      </c>
      <c r="J20" s="13">
        <f>Assumptions!$B$8*(J6-I6)</f>
        <v/>
      </c>
      <c r="K20" s="13">
        <f>Assumptions!$B$8*(K6-J6)</f>
        <v/>
      </c>
      <c r="L20" s="13">
        <f>Assumptions!$B$8*(L6-K6)</f>
        <v/>
      </c>
    </row>
    <row r="21">
      <c r="A21" s="1" t="inlineStr">
        <is>
          <t>Unlevered owner FCF</t>
        </is>
      </c>
      <c r="C21" s="14">
        <f>C17+C18+C19+C20</f>
        <v/>
      </c>
      <c r="D21" s="14">
        <f>D17+D18+D19+D20</f>
        <v/>
      </c>
      <c r="E21" s="14">
        <f>E17+E18+E19+E20</f>
        <v/>
      </c>
      <c r="F21" s="14">
        <f>F17+F18+F19+F20</f>
        <v/>
      </c>
      <c r="G21" s="14">
        <f>G17+G18+G19+G20</f>
        <v/>
      </c>
      <c r="H21" s="14">
        <f>H17+H18+H19+H20</f>
        <v/>
      </c>
      <c r="I21" s="14">
        <f>I17+I18+I19+I20</f>
        <v/>
      </c>
      <c r="J21" s="14">
        <f>J17+J18+J19+J20</f>
        <v/>
      </c>
      <c r="K21" s="14">
        <f>K17+K18+K19+K20</f>
        <v/>
      </c>
      <c r="L21" s="14">
        <f>L17+L18+L19+L20</f>
        <v/>
      </c>
    </row>
    <row r="22">
      <c r="A22" t="inlineStr">
        <is>
          <t>Discount factor</t>
        </is>
      </c>
      <c r="B22" t="n">
        <v>1</v>
      </c>
      <c r="C22" s="15">
        <f>1/(1+Assumptions!$C$15)^C4</f>
        <v/>
      </c>
      <c r="D22" s="15">
        <f>1/(1+Assumptions!$C$15)^D4</f>
        <v/>
      </c>
      <c r="E22" s="15">
        <f>1/(1+Assumptions!$C$15)^E4</f>
        <v/>
      </c>
      <c r="F22" s="15">
        <f>1/(1+Assumptions!$C$15)^F4</f>
        <v/>
      </c>
      <c r="G22" s="15">
        <f>1/(1+Assumptions!$C$15)^G4</f>
        <v/>
      </c>
      <c r="H22" s="15">
        <f>1/(1+Assumptions!$C$15)^H4</f>
        <v/>
      </c>
      <c r="I22" s="15">
        <f>1/(1+Assumptions!$C$15)^I4</f>
        <v/>
      </c>
      <c r="J22" s="15">
        <f>1/(1+Assumptions!$C$15)^J4</f>
        <v/>
      </c>
      <c r="K22" s="15">
        <f>1/(1+Assumptions!$C$15)^K4</f>
        <v/>
      </c>
      <c r="L22" s="15">
        <f>1/(1+Assumptions!$C$15)^L4</f>
        <v/>
      </c>
    </row>
    <row r="23">
      <c r="A23" t="inlineStr">
        <is>
          <t>PV of FCF</t>
        </is>
      </c>
      <c r="C23" s="11">
        <f>C21*C22</f>
        <v/>
      </c>
      <c r="D23" s="11">
        <f>D21*D22</f>
        <v/>
      </c>
      <c r="E23" s="11">
        <f>E21*E22</f>
        <v/>
      </c>
      <c r="F23" s="11">
        <f>F21*F22</f>
        <v/>
      </c>
      <c r="G23" s="11">
        <f>G21*G22</f>
        <v/>
      </c>
      <c r="H23" s="11">
        <f>H21*H22</f>
        <v/>
      </c>
      <c r="I23" s="11">
        <f>I21*I22</f>
        <v/>
      </c>
      <c r="J23" s="11">
        <f>J21*J22</f>
        <v/>
      </c>
      <c r="K23" s="11">
        <f>K21*K22</f>
        <v/>
      </c>
      <c r="L23" s="11">
        <f>L21*L22</f>
        <v/>
      </c>
    </row>
    <row r="25">
      <c r="A25" t="inlineStr">
        <is>
          <t>Memo: FCF before SBC</t>
        </is>
      </c>
      <c r="C25" s="11">
        <f>C21-C10</f>
        <v/>
      </c>
      <c r="D25" s="11">
        <f>D21-D10</f>
        <v/>
      </c>
      <c r="E25" s="11">
        <f>E21-E10</f>
        <v/>
      </c>
      <c r="F25" s="11">
        <f>F21-F10</f>
        <v/>
      </c>
      <c r="G25" s="11">
        <f>G21-G10</f>
        <v/>
      </c>
      <c r="H25" s="11">
        <f>H21-H10</f>
        <v/>
      </c>
      <c r="I25" s="11">
        <f>I21-I10</f>
        <v/>
      </c>
      <c r="J25" s="11">
        <f>J21-J10</f>
        <v/>
      </c>
      <c r="K25" s="11">
        <f>K21-K10</f>
        <v/>
      </c>
      <c r="L25" s="11">
        <f>L21-L10</f>
        <v/>
      </c>
    </row>
    <row r="26">
      <c r="A26" t="inlineStr">
        <is>
          <t>Memo: owner-FCF margin</t>
        </is>
      </c>
      <c r="C26" s="9">
        <f>C21/C6</f>
        <v/>
      </c>
      <c r="D26" s="9">
        <f>D21/D6</f>
        <v/>
      </c>
      <c r="E26" s="9">
        <f>E21/E6</f>
        <v/>
      </c>
      <c r="F26" s="9">
        <f>F21/F6</f>
        <v/>
      </c>
      <c r="G26" s="9">
        <f>G21/G6</f>
        <v/>
      </c>
      <c r="H26" s="9">
        <f>H21/H6</f>
        <v/>
      </c>
      <c r="I26" s="9">
        <f>I21/I6</f>
        <v/>
      </c>
      <c r="J26" s="9">
        <f>J21/J6</f>
        <v/>
      </c>
      <c r="K26" s="9">
        <f>K21/K6</f>
        <v/>
      </c>
      <c r="L26" s="9">
        <f>L21/L6</f>
        <v/>
      </c>
    </row>
    <row r="28">
      <c r="A28" t="inlineStr">
        <is>
          <t>Sum of PV of FCF</t>
        </is>
      </c>
      <c r="B28" s="11">
        <f>SUM(C23:L23)</f>
        <v/>
      </c>
    </row>
    <row r="29">
      <c r="A29" t="inlineStr">
        <is>
          <t>Terminal growth</t>
        </is>
      </c>
      <c r="B29" s="16">
        <f>Assumptions!$C$16</f>
        <v/>
      </c>
    </row>
    <row r="30">
      <c r="A30" t="inlineStr">
        <is>
          <t>Terminal FCF (year 10 x (1+g))</t>
        </is>
      </c>
      <c r="B30" s="11">
        <f>L21*(1+B29)</f>
        <v/>
      </c>
    </row>
    <row r="31">
      <c r="A31" t="inlineStr">
        <is>
          <t>Gordon terminal value</t>
        </is>
      </c>
      <c r="B31" s="11">
        <f>IF(Assumptions!$C$15&gt;B29, B30/(Assumptions!$C$15-B29), B32)</f>
        <v/>
      </c>
    </row>
    <row r="32">
      <c r="A32" t="inlineStr">
        <is>
          <t>Cap terminal value (cap x year-10 FCF)</t>
        </is>
      </c>
      <c r="B32" s="13">
        <f>Assumptions!$C$17*L21</f>
        <v/>
      </c>
    </row>
    <row r="33">
      <c r="A33" t="inlineStr">
        <is>
          <t>Terminal value used = MAX(0, MIN(Gordon, cap))</t>
        </is>
      </c>
      <c r="B33" s="11">
        <f>MAX(0,MIN(B31,B32))</f>
        <v/>
      </c>
    </row>
    <row r="34">
      <c r="A34" t="inlineStr">
        <is>
          <t>Implied exit multiple (x FCF)</t>
        </is>
      </c>
      <c r="B34" s="17">
        <f>IF(L21&gt;0,B33/L21,"n/a")</f>
        <v/>
      </c>
    </row>
    <row r="35">
      <c r="A35" t="inlineStr">
        <is>
          <t>PV of terminal value</t>
        </is>
      </c>
      <c r="B35" s="11">
        <f>B33*L22</f>
        <v/>
      </c>
    </row>
    <row r="36">
      <c r="A36" t="inlineStr">
        <is>
          <t>Enterprise value</t>
        </is>
      </c>
      <c r="B36" s="11">
        <f>B28+B35</f>
        <v/>
      </c>
    </row>
    <row r="37">
      <c r="A37" t="inlineStr">
        <is>
          <t>add net cash (bank debt only; leases in the flows)</t>
        </is>
      </c>
      <c r="B37" s="13">
        <f>Assumptions!$B$5</f>
        <v/>
      </c>
    </row>
    <row r="38">
      <c r="A38" t="inlineStr">
        <is>
          <t>Equity value</t>
        </is>
      </c>
      <c r="B38" s="11">
        <f>B36+B37</f>
        <v/>
      </c>
    </row>
    <row r="39">
      <c r="A39" t="inlineStr">
        <is>
          <t>Diluted shares ('000)</t>
        </is>
      </c>
      <c r="B39" s="13">
        <f>Assumptions!$B$3</f>
        <v/>
      </c>
    </row>
    <row r="40">
      <c r="A40" t="inlineStr">
        <is>
          <t>Value per share (NZD)</t>
        </is>
      </c>
      <c r="B40" s="18">
        <f>B38/B39</f>
        <v/>
      </c>
    </row>
    <row r="41">
      <c r="A41" t="inlineStr">
        <is>
          <t>Upside vs price</t>
        </is>
      </c>
      <c r="B41" s="9">
        <f>B40/Assumptions!$B$1-1</f>
        <v/>
      </c>
    </row>
    <row r="43">
      <c r="A43" t="inlineStr">
        <is>
          <t>Street memo: PV of explicit-period SBC</t>
        </is>
      </c>
      <c r="B43" s="11">
        <f>SUMPRODUCT(-C10:L10/(1+Assumptions!$C$15)^C4:L4)</f>
        <v/>
      </c>
    </row>
    <row r="44">
      <c r="A44" t="inlineStr">
        <is>
          <t>Street memo: PV of terminal SBC</t>
        </is>
      </c>
      <c r="B44" s="11">
        <f>IF(Assumptions!$C$15&gt;B29,-L10*(1+B29)/(Assumptions!$C$15-B29),0)*L22</f>
        <v/>
      </c>
    </row>
    <row r="45">
      <c r="A45" t="inlineStr">
        <is>
          <t>Street value per share (NZD)</t>
        </is>
      </c>
      <c r="B45" s="19">
        <f>(B38+B43+B44)/B39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Bull case -- owner-FCF DCF, NZD thousands</t>
        </is>
      </c>
    </row>
    <row r="3">
      <c r="A3" t="inlineStr">
        <is>
          <t>Year</t>
        </is>
      </c>
      <c r="B3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7" t="n">
        <v>0.03</v>
      </c>
      <c r="D5" s="7" t="n">
        <v>0.05</v>
      </c>
      <c r="E5" s="7" t="n">
        <v>0.06</v>
      </c>
      <c r="F5" s="7" t="n">
        <v>0.06</v>
      </c>
      <c r="G5" s="7" t="n">
        <v>0.055</v>
      </c>
      <c r="H5" s="7" t="n">
        <v>0.05</v>
      </c>
      <c r="I5" s="7" t="n">
        <v>0.045</v>
      </c>
      <c r="J5" s="7" t="n">
        <v>0.04</v>
      </c>
      <c r="K5" s="7" t="n">
        <v>0.035</v>
      </c>
      <c r="L5" s="7" t="n">
        <v>0.03</v>
      </c>
    </row>
    <row r="6">
      <c r="A6" t="inlineStr">
        <is>
          <t>Revenue</t>
        </is>
      </c>
      <c r="B6" s="10">
        <f>Assumptions!$B$11</f>
        <v/>
      </c>
      <c r="C6" s="11">
        <f>B6*(1+C5)</f>
        <v/>
      </c>
      <c r="D6" s="11">
        <f>C6*(1+D5)</f>
        <v/>
      </c>
      <c r="E6" s="11">
        <f>D6*(1+E5)</f>
        <v/>
      </c>
      <c r="F6" s="11">
        <f>E6*(1+F5)</f>
        <v/>
      </c>
      <c r="G6" s="11">
        <f>F6*(1+G5)</f>
        <v/>
      </c>
      <c r="H6" s="11">
        <f>G6*(1+H5)</f>
        <v/>
      </c>
      <c r="I6" s="11">
        <f>H6*(1+I5)</f>
        <v/>
      </c>
      <c r="J6" s="11">
        <f>I6*(1+J5)</f>
        <v/>
      </c>
      <c r="K6" s="11">
        <f>J6*(1+K5)</f>
        <v/>
      </c>
      <c r="L6" s="11">
        <f>K6*(1+L5)</f>
        <v/>
      </c>
    </row>
    <row r="7">
      <c r="A7" t="inlineStr">
        <is>
          <t>Adj EBITDA margin (before significant items)</t>
        </is>
      </c>
      <c r="B7" s="9">
        <f>Assumptions!$B$12/B6</f>
        <v/>
      </c>
      <c r="C7" s="7" t="n">
        <v>0.105</v>
      </c>
      <c r="D7" s="7" t="n">
        <v>0.12</v>
      </c>
      <c r="E7" s="7" t="n">
        <v>0.13</v>
      </c>
      <c r="F7" s="7" t="n">
        <v>0.135</v>
      </c>
      <c r="G7" s="7" t="n">
        <v>0.135</v>
      </c>
      <c r="H7" s="7" t="n">
        <v>0.135</v>
      </c>
      <c r="I7" s="7" t="n">
        <v>0.135</v>
      </c>
      <c r="J7" s="7" t="n">
        <v>0.135</v>
      </c>
      <c r="K7" s="7" t="n">
        <v>0.135</v>
      </c>
      <c r="L7" s="7" t="n">
        <v>0.135</v>
      </c>
    </row>
    <row r="8">
      <c r="A8" t="inlineStr">
        <is>
          <t>Adjusted EBITDA</t>
        </is>
      </c>
      <c r="B8">
        <f>B6*B7</f>
        <v/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  <c r="G8" s="11">
        <f>G6*G7</f>
        <v/>
      </c>
      <c r="H8" s="11">
        <f>H6*H7</f>
        <v/>
      </c>
      <c r="I8" s="11">
        <f>I6*I7</f>
        <v/>
      </c>
      <c r="J8" s="11">
        <f>J6*J7</f>
        <v/>
      </c>
      <c r="K8" s="11">
        <f>K6*K7</f>
        <v/>
      </c>
      <c r="L8" s="11">
        <f>L6*L7</f>
        <v/>
      </c>
    </row>
    <row r="9">
      <c r="A9" t="inlineStr">
        <is>
          <t>SBC % of revenue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t="inlineStr">
        <is>
          <t>SBC</t>
        </is>
      </c>
      <c r="B10">
        <f>-B6*B9</f>
        <v/>
      </c>
      <c r="C10" s="11">
        <f>-C6*C9</f>
        <v/>
      </c>
      <c r="D10" s="11">
        <f>-D6*D9</f>
        <v/>
      </c>
      <c r="E10" s="11">
        <f>-E6*E9</f>
        <v/>
      </c>
      <c r="F10" s="11">
        <f>-F6*F9</f>
        <v/>
      </c>
      <c r="G10" s="11">
        <f>-G6*G9</f>
        <v/>
      </c>
      <c r="H10" s="11">
        <f>-H6*H9</f>
        <v/>
      </c>
      <c r="I10" s="11">
        <f>-I6*I9</f>
        <v/>
      </c>
      <c r="J10" s="11">
        <f>-J6*J9</f>
        <v/>
      </c>
      <c r="K10" s="11">
        <f>-K6*K9</f>
        <v/>
      </c>
      <c r="L10" s="11">
        <f>-L6*L9</f>
        <v/>
      </c>
    </row>
    <row r="11">
      <c r="A11" t="inlineStr">
        <is>
          <t>Lease cash % of revenue (principal + interest)</t>
        </is>
      </c>
      <c r="B11" s="9">
        <f>Assumptions!$B$9/B6</f>
        <v/>
      </c>
      <c r="C11" s="12" t="n">
        <v>0.0599</v>
      </c>
      <c r="D11" s="12" t="n">
        <v>0.0582</v>
      </c>
      <c r="E11" s="12" t="n">
        <v>0.05599999999999999</v>
      </c>
      <c r="F11" s="12" t="n">
        <v>0.0539</v>
      </c>
      <c r="G11" s="12" t="n">
        <v>0.0521</v>
      </c>
      <c r="H11" s="12" t="n">
        <v>0.0506</v>
      </c>
      <c r="I11" s="12" t="n">
        <v>0.04940000000000001</v>
      </c>
      <c r="J11" s="12" t="n">
        <v>0.0484</v>
      </c>
      <c r="K11" s="12" t="n">
        <v>0.04769999999999999</v>
      </c>
      <c r="L11" s="12" t="n">
        <v>0.0473</v>
      </c>
    </row>
    <row r="12">
      <c r="A12" t="inlineStr">
        <is>
          <t>Lease cash</t>
        </is>
      </c>
      <c r="B12">
        <f>-B6*B11</f>
        <v/>
      </c>
      <c r="C12" s="11">
        <f>-C6*C11</f>
        <v/>
      </c>
      <c r="D12" s="11">
        <f>-D6*D11</f>
        <v/>
      </c>
      <c r="E12" s="11">
        <f>-E6*E11</f>
        <v/>
      </c>
      <c r="F12" s="11">
        <f>-F6*F11</f>
        <v/>
      </c>
      <c r="G12" s="11">
        <f>-G6*G11</f>
        <v/>
      </c>
      <c r="H12" s="11">
        <f>-H6*H11</f>
        <v/>
      </c>
      <c r="I12" s="11">
        <f>-I6*I11</f>
        <v/>
      </c>
      <c r="J12" s="11">
        <f>-J6*J11</f>
        <v/>
      </c>
      <c r="K12" s="11">
        <f>-K6*K11</f>
        <v/>
      </c>
      <c r="L12" s="11">
        <f>-L6*L11</f>
        <v/>
      </c>
    </row>
    <row r="13">
      <c r="A13" t="inlineStr">
        <is>
          <t>Owner EBITDA (pre-IFRS-16, after SBC)</t>
        </is>
      </c>
      <c r="B13">
        <f>B8+B10+B12</f>
        <v/>
      </c>
      <c r="C13" s="11">
        <f>C8+C10+C12</f>
        <v/>
      </c>
      <c r="D13" s="11">
        <f>D8+D10+D12</f>
        <v/>
      </c>
      <c r="E13" s="11">
        <f>E8+E10+E12</f>
        <v/>
      </c>
      <c r="F13" s="11">
        <f>F8+F10+F12</f>
        <v/>
      </c>
      <c r="G13" s="11">
        <f>G8+G10+G12</f>
        <v/>
      </c>
      <c r="H13" s="11">
        <f>H8+H10+H12</f>
        <v/>
      </c>
      <c r="I13" s="11">
        <f>I8+I10+I12</f>
        <v/>
      </c>
      <c r="J13" s="11">
        <f>J8+J10+J12</f>
        <v/>
      </c>
      <c r="K13" s="11">
        <f>K8+K10+K12</f>
        <v/>
      </c>
      <c r="L13" s="11">
        <f>L8+L10+L12</f>
        <v/>
      </c>
    </row>
    <row r="14">
      <c r="A14" t="inlineStr">
        <is>
          <t>D&amp;A (ex ROU depreciation)</t>
        </is>
      </c>
      <c r="C14" s="13">
        <f>-C6*Assumptions!$B$6</f>
        <v/>
      </c>
      <c r="D14" s="13">
        <f>-D6*Assumptions!$B$6</f>
        <v/>
      </c>
      <c r="E14" s="13">
        <f>-E6*Assumptions!$B$6</f>
        <v/>
      </c>
      <c r="F14" s="13">
        <f>-F6*Assumptions!$B$6</f>
        <v/>
      </c>
      <c r="G14" s="13">
        <f>-G6*Assumptions!$B$6</f>
        <v/>
      </c>
      <c r="H14" s="13">
        <f>-H6*Assumptions!$B$6</f>
        <v/>
      </c>
      <c r="I14" s="13">
        <f>-I6*Assumptions!$B$6</f>
        <v/>
      </c>
      <c r="J14" s="13">
        <f>-J6*Assumptions!$B$6</f>
        <v/>
      </c>
      <c r="K14" s="13">
        <f>-K6*Assumptions!$B$6</f>
        <v/>
      </c>
      <c r="L14" s="13">
        <f>-L6*Assumptions!$B$6</f>
        <v/>
      </c>
    </row>
    <row r="15">
      <c r="A15" t="inlineStr">
        <is>
          <t>EBIT</t>
        </is>
      </c>
      <c r="C15" s="11">
        <f>C13+C14</f>
        <v/>
      </c>
      <c r="D15" s="11">
        <f>D13+D14</f>
        <v/>
      </c>
      <c r="E15" s="11">
        <f>E13+E14</f>
        <v/>
      </c>
      <c r="F15" s="11">
        <f>F13+F14</f>
        <v/>
      </c>
      <c r="G15" s="11">
        <f>G13+G14</f>
        <v/>
      </c>
      <c r="H15" s="11">
        <f>H13+H14</f>
        <v/>
      </c>
      <c r="I15" s="11">
        <f>I13+I14</f>
        <v/>
      </c>
      <c r="J15" s="11">
        <f>J13+J14</f>
        <v/>
      </c>
      <c r="K15" s="11">
        <f>K13+K14</f>
        <v/>
      </c>
      <c r="L15" s="11">
        <f>L13+L14</f>
        <v/>
      </c>
    </row>
    <row r="16">
      <c r="A16" t="inlineStr">
        <is>
          <t>Cash tax rate</t>
        </is>
      </c>
      <c r="C16" s="6" t="n">
        <v>0</v>
      </c>
      <c r="D16" s="6" t="n">
        <v>0</v>
      </c>
      <c r="E16" s="6" t="n">
        <v>0</v>
      </c>
      <c r="F16" s="6" t="n">
        <v>0.05</v>
      </c>
      <c r="G16" s="6" t="n">
        <v>0.1</v>
      </c>
      <c r="H16" s="6" t="n">
        <v>0.15</v>
      </c>
      <c r="I16" s="6" t="n">
        <v>0.2</v>
      </c>
      <c r="J16" s="6" t="n">
        <v>0.28</v>
      </c>
      <c r="K16" s="6" t="n">
        <v>0.28</v>
      </c>
      <c r="L16" s="6" t="n">
        <v>0.28</v>
      </c>
    </row>
    <row r="17">
      <c r="A17" t="inlineStr">
        <is>
          <t>NOPAT (tax on positive EBIT only)</t>
        </is>
      </c>
      <c r="C17" s="11">
        <f>C15-MAX(0,C15)*C16</f>
        <v/>
      </c>
      <c r="D17" s="11">
        <f>D15-MAX(0,D15)*D16</f>
        <v/>
      </c>
      <c r="E17" s="11">
        <f>E15-MAX(0,E15)*E16</f>
        <v/>
      </c>
      <c r="F17" s="11">
        <f>F15-MAX(0,F15)*F16</f>
        <v/>
      </c>
      <c r="G17" s="11">
        <f>G15-MAX(0,G15)*G16</f>
        <v/>
      </c>
      <c r="H17" s="11">
        <f>H15-MAX(0,H15)*H16</f>
        <v/>
      </c>
      <c r="I17" s="11">
        <f>I15-MAX(0,I15)*I16</f>
        <v/>
      </c>
      <c r="J17" s="11">
        <f>J15-MAX(0,J15)*J16</f>
        <v/>
      </c>
      <c r="K17" s="11">
        <f>K15-MAX(0,K15)*K16</f>
        <v/>
      </c>
      <c r="L17" s="11">
        <f>L15-MAX(0,L15)*L16</f>
        <v/>
      </c>
    </row>
    <row r="18">
      <c r="A18" t="inlineStr">
        <is>
          <t>add back D&amp;A</t>
        </is>
      </c>
      <c r="C18" s="11">
        <f>-C14</f>
        <v/>
      </c>
      <c r="D18" s="11">
        <f>-D14</f>
        <v/>
      </c>
      <c r="E18" s="11">
        <f>-E14</f>
        <v/>
      </c>
      <c r="F18" s="11">
        <f>-F14</f>
        <v/>
      </c>
      <c r="G18" s="11">
        <f>-G14</f>
        <v/>
      </c>
      <c r="H18" s="11">
        <f>-H14</f>
        <v/>
      </c>
      <c r="I18" s="11">
        <f>-I14</f>
        <v/>
      </c>
      <c r="J18" s="11">
        <f>-J14</f>
        <v/>
      </c>
      <c r="K18" s="11">
        <f>-K14</f>
        <v/>
      </c>
      <c r="L18" s="11">
        <f>-L14</f>
        <v/>
      </c>
    </row>
    <row r="19">
      <c r="A19" t="inlineStr">
        <is>
          <t>less capex</t>
        </is>
      </c>
      <c r="C19" s="13">
        <f>-C6*Assumptions!$B$7</f>
        <v/>
      </c>
      <c r="D19" s="13">
        <f>-D6*Assumptions!$B$7</f>
        <v/>
      </c>
      <c r="E19" s="13">
        <f>-E6*Assumptions!$B$7</f>
        <v/>
      </c>
      <c r="F19" s="13">
        <f>-F6*Assumptions!$B$7</f>
        <v/>
      </c>
      <c r="G19" s="13">
        <f>-G6*Assumptions!$B$7</f>
        <v/>
      </c>
      <c r="H19" s="13">
        <f>-H6*Assumptions!$B$7</f>
        <v/>
      </c>
      <c r="I19" s="13">
        <f>-I6*Assumptions!$B$7</f>
        <v/>
      </c>
      <c r="J19" s="13">
        <f>-J6*Assumptions!$B$7</f>
        <v/>
      </c>
      <c r="K19" s="13">
        <f>-K6*Assumptions!$B$7</f>
        <v/>
      </c>
      <c r="L19" s="13">
        <f>-L6*Assumptions!$B$7</f>
        <v/>
      </c>
    </row>
    <row r="20">
      <c r="A20" t="inlineStr">
        <is>
          <t>add working capital</t>
        </is>
      </c>
      <c r="C20" s="13">
        <f>Assumptions!$B$8*(C6-B6)</f>
        <v/>
      </c>
      <c r="D20" s="13">
        <f>Assumptions!$B$8*(D6-C6)</f>
        <v/>
      </c>
      <c r="E20" s="13">
        <f>Assumptions!$B$8*(E6-D6)</f>
        <v/>
      </c>
      <c r="F20" s="13">
        <f>Assumptions!$B$8*(F6-E6)</f>
        <v/>
      </c>
      <c r="G20" s="13">
        <f>Assumptions!$B$8*(G6-F6)</f>
        <v/>
      </c>
      <c r="H20" s="13">
        <f>Assumptions!$B$8*(H6-G6)</f>
        <v/>
      </c>
      <c r="I20" s="13">
        <f>Assumptions!$B$8*(I6-H6)</f>
        <v/>
      </c>
      <c r="J20" s="13">
        <f>Assumptions!$B$8*(J6-I6)</f>
        <v/>
      </c>
      <c r="K20" s="13">
        <f>Assumptions!$B$8*(K6-J6)</f>
        <v/>
      </c>
      <c r="L20" s="13">
        <f>Assumptions!$B$8*(L6-K6)</f>
        <v/>
      </c>
    </row>
    <row r="21">
      <c r="A21" s="1" t="inlineStr">
        <is>
          <t>Unlevered owner FCF</t>
        </is>
      </c>
      <c r="C21" s="14">
        <f>C17+C18+C19+C20</f>
        <v/>
      </c>
      <c r="D21" s="14">
        <f>D17+D18+D19+D20</f>
        <v/>
      </c>
      <c r="E21" s="14">
        <f>E17+E18+E19+E20</f>
        <v/>
      </c>
      <c r="F21" s="14">
        <f>F17+F18+F19+F20</f>
        <v/>
      </c>
      <c r="G21" s="14">
        <f>G17+G18+G19+G20</f>
        <v/>
      </c>
      <c r="H21" s="14">
        <f>H17+H18+H19+H20</f>
        <v/>
      </c>
      <c r="I21" s="14">
        <f>I17+I18+I19+I20</f>
        <v/>
      </c>
      <c r="J21" s="14">
        <f>J17+J18+J19+J20</f>
        <v/>
      </c>
      <c r="K21" s="14">
        <f>K17+K18+K19+K20</f>
        <v/>
      </c>
      <c r="L21" s="14">
        <f>L17+L18+L19+L20</f>
        <v/>
      </c>
    </row>
    <row r="22">
      <c r="A22" t="inlineStr">
        <is>
          <t>Discount factor</t>
        </is>
      </c>
      <c r="B22" t="n">
        <v>1</v>
      </c>
      <c r="C22" s="15">
        <f>1/(1+Assumptions!$D$15)^C4</f>
        <v/>
      </c>
      <c r="D22" s="15">
        <f>1/(1+Assumptions!$D$15)^D4</f>
        <v/>
      </c>
      <c r="E22" s="15">
        <f>1/(1+Assumptions!$D$15)^E4</f>
        <v/>
      </c>
      <c r="F22" s="15">
        <f>1/(1+Assumptions!$D$15)^F4</f>
        <v/>
      </c>
      <c r="G22" s="15">
        <f>1/(1+Assumptions!$D$15)^G4</f>
        <v/>
      </c>
      <c r="H22" s="15">
        <f>1/(1+Assumptions!$D$15)^H4</f>
        <v/>
      </c>
      <c r="I22" s="15">
        <f>1/(1+Assumptions!$D$15)^I4</f>
        <v/>
      </c>
      <c r="J22" s="15">
        <f>1/(1+Assumptions!$D$15)^J4</f>
        <v/>
      </c>
      <c r="K22" s="15">
        <f>1/(1+Assumptions!$D$15)^K4</f>
        <v/>
      </c>
      <c r="L22" s="15">
        <f>1/(1+Assumptions!$D$15)^L4</f>
        <v/>
      </c>
    </row>
    <row r="23">
      <c r="A23" t="inlineStr">
        <is>
          <t>PV of FCF</t>
        </is>
      </c>
      <c r="C23" s="11">
        <f>C21*C22</f>
        <v/>
      </c>
      <c r="D23" s="11">
        <f>D21*D22</f>
        <v/>
      </c>
      <c r="E23" s="11">
        <f>E21*E22</f>
        <v/>
      </c>
      <c r="F23" s="11">
        <f>F21*F22</f>
        <v/>
      </c>
      <c r="G23" s="11">
        <f>G21*G22</f>
        <v/>
      </c>
      <c r="H23" s="11">
        <f>H21*H22</f>
        <v/>
      </c>
      <c r="I23" s="11">
        <f>I21*I22</f>
        <v/>
      </c>
      <c r="J23" s="11">
        <f>J21*J22</f>
        <v/>
      </c>
      <c r="K23" s="11">
        <f>K21*K22</f>
        <v/>
      </c>
      <c r="L23" s="11">
        <f>L21*L22</f>
        <v/>
      </c>
    </row>
    <row r="25">
      <c r="A25" t="inlineStr">
        <is>
          <t>Memo: FCF before SBC</t>
        </is>
      </c>
      <c r="C25" s="11">
        <f>C21-C10</f>
        <v/>
      </c>
      <c r="D25" s="11">
        <f>D21-D10</f>
        <v/>
      </c>
      <c r="E25" s="11">
        <f>E21-E10</f>
        <v/>
      </c>
      <c r="F25" s="11">
        <f>F21-F10</f>
        <v/>
      </c>
      <c r="G25" s="11">
        <f>G21-G10</f>
        <v/>
      </c>
      <c r="H25" s="11">
        <f>H21-H10</f>
        <v/>
      </c>
      <c r="I25" s="11">
        <f>I21-I10</f>
        <v/>
      </c>
      <c r="J25" s="11">
        <f>J21-J10</f>
        <v/>
      </c>
      <c r="K25" s="11">
        <f>K21-K10</f>
        <v/>
      </c>
      <c r="L25" s="11">
        <f>L21-L10</f>
        <v/>
      </c>
    </row>
    <row r="26">
      <c r="A26" t="inlineStr">
        <is>
          <t>Memo: owner-FCF margin</t>
        </is>
      </c>
      <c r="C26" s="9">
        <f>C21/C6</f>
        <v/>
      </c>
      <c r="D26" s="9">
        <f>D21/D6</f>
        <v/>
      </c>
      <c r="E26" s="9">
        <f>E21/E6</f>
        <v/>
      </c>
      <c r="F26" s="9">
        <f>F21/F6</f>
        <v/>
      </c>
      <c r="G26" s="9">
        <f>G21/G6</f>
        <v/>
      </c>
      <c r="H26" s="9">
        <f>H21/H6</f>
        <v/>
      </c>
      <c r="I26" s="9">
        <f>I21/I6</f>
        <v/>
      </c>
      <c r="J26" s="9">
        <f>J21/J6</f>
        <v/>
      </c>
      <c r="K26" s="9">
        <f>K21/K6</f>
        <v/>
      </c>
      <c r="L26" s="9">
        <f>L21/L6</f>
        <v/>
      </c>
    </row>
    <row r="28">
      <c r="A28" t="inlineStr">
        <is>
          <t>Sum of PV of FCF</t>
        </is>
      </c>
      <c r="B28" s="11">
        <f>SUM(C23:L23)</f>
        <v/>
      </c>
    </row>
    <row r="29">
      <c r="A29" t="inlineStr">
        <is>
          <t>Terminal growth</t>
        </is>
      </c>
      <c r="B29" s="16">
        <f>Assumptions!$D$16</f>
        <v/>
      </c>
    </row>
    <row r="30">
      <c r="A30" t="inlineStr">
        <is>
          <t>Terminal FCF (year 10 x (1+g))</t>
        </is>
      </c>
      <c r="B30" s="11">
        <f>L21*(1+B29)</f>
        <v/>
      </c>
    </row>
    <row r="31">
      <c r="A31" t="inlineStr">
        <is>
          <t>Gordon terminal value</t>
        </is>
      </c>
      <c r="B31" s="11">
        <f>IF(Assumptions!$D$15&gt;B29, B30/(Assumptions!$D$15-B29), B32)</f>
        <v/>
      </c>
    </row>
    <row r="32">
      <c r="A32" t="inlineStr">
        <is>
          <t>Cap terminal value (cap x year-10 FCF)</t>
        </is>
      </c>
      <c r="B32" s="13">
        <f>Assumptions!$D$17*L21</f>
        <v/>
      </c>
    </row>
    <row r="33">
      <c r="A33" t="inlineStr">
        <is>
          <t>Terminal value used = MAX(0, MIN(Gordon, cap))</t>
        </is>
      </c>
      <c r="B33" s="11">
        <f>MAX(0,MIN(B31,B32))</f>
        <v/>
      </c>
    </row>
    <row r="34">
      <c r="A34" t="inlineStr">
        <is>
          <t>Implied exit multiple (x FCF)</t>
        </is>
      </c>
      <c r="B34" s="17">
        <f>IF(L21&gt;0,B33/L21,"n/a")</f>
        <v/>
      </c>
    </row>
    <row r="35">
      <c r="A35" t="inlineStr">
        <is>
          <t>PV of terminal value</t>
        </is>
      </c>
      <c r="B35" s="11">
        <f>B33*L22</f>
        <v/>
      </c>
    </row>
    <row r="36">
      <c r="A36" t="inlineStr">
        <is>
          <t>Enterprise value</t>
        </is>
      </c>
      <c r="B36" s="11">
        <f>B28+B35</f>
        <v/>
      </c>
    </row>
    <row r="37">
      <c r="A37" t="inlineStr">
        <is>
          <t>add net cash (bank debt only; leases in the flows)</t>
        </is>
      </c>
      <c r="B37" s="13">
        <f>Assumptions!$B$5</f>
        <v/>
      </c>
    </row>
    <row r="38">
      <c r="A38" t="inlineStr">
        <is>
          <t>Equity value</t>
        </is>
      </c>
      <c r="B38" s="11">
        <f>B36+B37</f>
        <v/>
      </c>
    </row>
    <row r="39">
      <c r="A39" t="inlineStr">
        <is>
          <t>Diluted shares ('000)</t>
        </is>
      </c>
      <c r="B39" s="13">
        <f>Assumptions!$B$3</f>
        <v/>
      </c>
    </row>
    <row r="40">
      <c r="A40" t="inlineStr">
        <is>
          <t>Value per share (NZD)</t>
        </is>
      </c>
      <c r="B40" s="18">
        <f>B38/B39</f>
        <v/>
      </c>
    </row>
    <row r="41">
      <c r="A41" t="inlineStr">
        <is>
          <t>Upside vs price</t>
        </is>
      </c>
      <c r="B41" s="9">
        <f>B40/Assumptions!$B$1-1</f>
        <v/>
      </c>
    </row>
    <row r="43">
      <c r="A43" t="inlineStr">
        <is>
          <t>Street memo: PV of explicit-period SBC</t>
        </is>
      </c>
      <c r="B43" s="11">
        <f>SUMPRODUCT(-C10:L10/(1+Assumptions!$D$15)^C4:L4)</f>
        <v/>
      </c>
    </row>
    <row r="44">
      <c r="A44" t="inlineStr">
        <is>
          <t>Street memo: PV of terminal SBC</t>
        </is>
      </c>
      <c r="B44" s="11">
        <f>IF(Assumptions!$D$15&gt;B29,-L10*(1+B29)/(Assumptions!$D$15-B29),0)*L22</f>
        <v/>
      </c>
    </row>
    <row r="45">
      <c r="A45" t="inlineStr">
        <is>
          <t>Street value per share (NZD)</t>
        </is>
      </c>
      <c r="B45" s="19">
        <f>(B38+B43+B44)/B39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4" max="4"/>
  </cols>
  <sheetData>
    <row r="1">
      <c r="A1" s="1" t="inlineStr">
        <is>
          <t>Reported FCF reconciled to owner FCF (EV basis), NZD thousands</t>
        </is>
      </c>
    </row>
    <row r="2">
      <c r="A2" s="1" t="inlineStr"/>
      <c r="B2" s="1" t="inlineStr">
        <is>
          <t>FY2025</t>
        </is>
      </c>
      <c r="C2" s="1" t="inlineStr">
        <is>
          <t>FY2026</t>
        </is>
      </c>
      <c r="D2" s="1" t="inlineStr">
        <is>
          <t>Note</t>
        </is>
      </c>
    </row>
    <row r="3">
      <c r="A3" t="inlineStr">
        <is>
          <t>Operating cash flow (reported)</t>
        </is>
      </c>
      <c r="B3" s="2" t="n">
        <v>2072</v>
      </c>
      <c r="C3" s="2" t="n">
        <v>15675</v>
      </c>
      <c r="D3" t="inlineStr">
        <is>
          <t>Cash-flow statement; after bank interest and lease interest</t>
        </is>
      </c>
    </row>
    <row r="4">
      <c r="A4" t="inlineStr">
        <is>
          <t>less capex</t>
        </is>
      </c>
      <c r="B4" s="2" t="n">
        <v>-3009</v>
      </c>
      <c r="C4" s="2" t="n">
        <v>-2849</v>
      </c>
      <c r="D4" t="inlineStr">
        <is>
          <t>PP&amp;E + intangibles</t>
        </is>
      </c>
    </row>
    <row r="5">
      <c r="A5" t="inlineStr">
        <is>
          <t>Free cash flow (company-style) =</t>
        </is>
      </c>
      <c r="B5" s="5">
        <f>B3+B4</f>
        <v/>
      </c>
      <c r="C5" s="5">
        <f>C3+C4</f>
        <v/>
      </c>
      <c r="D5" t="inlineStr"/>
    </row>
    <row r="6">
      <c r="A6" t="inlineStr">
        <is>
          <t>less lease principal</t>
        </is>
      </c>
      <c r="B6" s="2" t="n">
        <v>-7542</v>
      </c>
      <c r="C6" s="2" t="n">
        <v>-8042</v>
      </c>
      <c r="D6" t="inlineStr">
        <is>
          <t>Financing activities; treatment B moves it into the flows</t>
        </is>
      </c>
    </row>
    <row r="7">
      <c r="A7" t="inlineStr">
        <is>
          <t>add back bank interest paid</t>
        </is>
      </c>
      <c r="B7" s="2" t="n">
        <v>6051</v>
      </c>
      <c r="C7" s="2" t="n">
        <v>4010</v>
      </c>
      <c r="D7" t="inlineStr">
        <is>
          <t>An equity charge, not an EV charge; net debt is deducted once in the bridge</t>
        </is>
      </c>
    </row>
    <row r="8">
      <c r="A8" t="inlineStr">
        <is>
          <t>less interest income</t>
        </is>
      </c>
      <c r="B8" s="2" t="n">
        <v>-46</v>
      </c>
      <c r="C8" s="2" t="n">
        <v>-49</v>
      </c>
      <c r="D8" t="inlineStr">
        <is>
          <t>Non-operating</t>
        </is>
      </c>
    </row>
    <row r="9">
      <c r="A9" t="inlineStr">
        <is>
          <t>less working-capital swing</t>
        </is>
      </c>
      <c r="B9" s="2" t="n">
        <v>4743</v>
      </c>
      <c r="C9" s="2" t="n">
        <v>-8194</v>
      </c>
      <c r="D9" t="inlineStr">
        <is>
          <t>OCF reconciliation: FY2026 payables +6,550, inventory +2,477 -- a one-off release</t>
        </is>
      </c>
    </row>
    <row r="10">
      <c r="A10" t="inlineStr">
        <is>
          <t>Owner FCF, EV basis, ex WC =</t>
        </is>
      </c>
      <c r="B10" s="5">
        <f>B5+B6+B7+B8+B9</f>
        <v/>
      </c>
      <c r="C10" s="5">
        <f>C5+C6+C7+C8+C9</f>
        <v/>
      </c>
      <c r="D10" t="inlineStr">
        <is>
          <t>FY2026 551 is inputs.last_fcf</t>
        </is>
      </c>
    </row>
    <row r="11">
      <c r="A11" t="inlineStr">
        <is>
          <t>Reported FCF margin</t>
        </is>
      </c>
      <c r="B11" s="20">
        <f>B5/213922</f>
        <v/>
      </c>
      <c r="C11" s="20">
        <f>C5/208163</f>
        <v/>
      </c>
      <c r="D11" t="inlineStr"/>
    </row>
    <row r="12">
      <c r="A12" t="inlineStr">
        <is>
          <t>Owner FCF margin</t>
        </is>
      </c>
      <c r="B12" s="20">
        <f>B10/213922</f>
        <v/>
      </c>
      <c r="C12" s="20">
        <f>C10/208163</f>
        <v/>
      </c>
      <c r="D12" t="inlineStr"/>
    </row>
    <row r="13">
      <c r="A13" t="inlineStr">
        <is>
          <t>Memo: WC swing as % of reported FCF</t>
        </is>
      </c>
      <c r="B13" s="20">
        <f>"n/a"</f>
        <v/>
      </c>
      <c r="C13" s="20">
        <f>-C9/C5</f>
        <v/>
      </c>
      <c r="D13" t="inlineStr">
        <is>
          <t>64% of FY2026 headline FCF is working-capital timing</t>
        </is>
      </c>
    </row>
    <row r="14">
      <c r="A14" t="inlineStr">
        <is>
          <t>Memo: cash tax paid</t>
        </is>
      </c>
      <c r="B14" s="2" t="n">
        <v>-180</v>
      </c>
      <c r="C14" s="2" t="n">
        <v>-78</v>
      </c>
      <c r="D14" t="inlineStr">
        <is>
          <t>Tax losses shield; note 6.1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Valuation summary (NZD per share)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 per share</t>
        </is>
      </c>
      <c r="F3" s="1" t="inlineStr">
        <is>
          <t>Entry price @ hurdle</t>
        </is>
      </c>
    </row>
    <row r="4">
      <c r="A4" t="inlineStr">
        <is>
          <t>Bear</t>
        </is>
      </c>
      <c r="B4" s="21">
        <f>DCF_Bear!$B$40</f>
        <v/>
      </c>
      <c r="C4" s="9">
        <f>B4/Assumptions!$B$1-1</f>
        <v/>
      </c>
      <c r="D4" s="16">
        <f>Assumptions!$B$18</f>
        <v/>
      </c>
      <c r="E4" s="21">
        <f>DCF_Bear!$B$45</f>
        <v/>
      </c>
      <c r="F4" s="19">
        <f>(SUMPRODUCT(DCF_Bear!$C$21:$L$21/(1+Assumptions!$B$10)^DCF_Bear!$C$4:$L$4)+MAX(0,MIN(IF(Assumptions!$B$10&gt;Assumptions!$B$16,DCF_Bear!$L$21*(1+Assumptions!$B$16)/(Assumptions!$B$10-Assumptions!$B$16),Assumptions!$B$17*DCF_Bear!$L$21),Assumptions!$B$17*DCF_Bear!$L$21))/(1+Assumptions!$B$10)^10+Assumptions!$B$5)/Assumptions!$B$3</f>
        <v/>
      </c>
    </row>
    <row r="5">
      <c r="A5" t="inlineStr">
        <is>
          <t>Base</t>
        </is>
      </c>
      <c r="B5" s="21">
        <f>DCF_Base!$B$40</f>
        <v/>
      </c>
      <c r="C5" s="9">
        <f>B5/Assumptions!$B$1-1</f>
        <v/>
      </c>
      <c r="D5" s="16">
        <f>Assumptions!$C$18</f>
        <v/>
      </c>
      <c r="E5" s="21">
        <f>DCF_Base!$B$45</f>
        <v/>
      </c>
      <c r="F5" s="19">
        <f>(SUMPRODUCT(DCF_Base!$C$21:$L$21/(1+Assumptions!$B$10)^DCF_Base!$C$4:$L$4)+MAX(0,MIN(IF(Assumptions!$B$10&gt;Assumptions!$C$16,DCF_Base!$L$21*(1+Assumptions!$C$16)/(Assumptions!$B$10-Assumptions!$C$16),Assumptions!$C$17*DCF_Base!$L$21),Assumptions!$C$17*DCF_Base!$L$21))/(1+Assumptions!$B$10)^10+Assumptions!$B$5)/Assumptions!$B$3</f>
        <v/>
      </c>
    </row>
    <row r="6">
      <c r="A6" t="inlineStr">
        <is>
          <t>Bull</t>
        </is>
      </c>
      <c r="B6" s="21">
        <f>DCF_Bull!$B$40</f>
        <v/>
      </c>
      <c r="C6" s="9">
        <f>B6/Assumptions!$B$1-1</f>
        <v/>
      </c>
      <c r="D6" s="16">
        <f>Assumptions!$D$18</f>
        <v/>
      </c>
      <c r="E6" s="21">
        <f>DCF_Bull!$B$45</f>
        <v/>
      </c>
      <c r="F6" s="19">
        <f>(SUMPRODUCT(DCF_Bull!$C$21:$L$21/(1+Assumptions!$B$10)^DCF_Bull!$C$4:$L$4)+MAX(0,MIN(IF(Assumptions!$B$10&gt;Assumptions!$D$16,DCF_Bull!$L$21*(1+Assumptions!$D$16)/(Assumptions!$B$10-Assumptions!$D$16),Assumptions!$D$17*DCF_Bull!$L$21),Assumptions!$D$17*DCF_Bull!$L$21))/(1+Assumptions!$B$10)^10+Assumptions!$B$5)/Assumptions!$B$3</f>
        <v/>
      </c>
    </row>
    <row r="8">
      <c r="A8" t="inlineStr">
        <is>
          <t>Probability-weighted value</t>
        </is>
      </c>
      <c r="B8" s="18">
        <f>SUMPRODUCT(B4:B6,D4:D6)</f>
        <v/>
      </c>
    </row>
    <row r="9">
      <c r="A9" t="inlineStr">
        <is>
          <t>Margin of safety vs price</t>
        </is>
      </c>
      <c r="B9" s="9">
        <f>1-Assumptions!$B$1/B8</f>
        <v/>
      </c>
    </row>
    <row r="10">
      <c r="A10" t="inlineStr">
        <is>
          <t>Street weighted value</t>
        </is>
      </c>
      <c r="B10" s="19">
        <f>SUMPRODUCT(E4:E6,D4:D6)</f>
        <v/>
      </c>
    </row>
    <row r="11">
      <c r="A11" t="inlineStr">
        <is>
          <t>Weighted entry price @ hurdle</t>
        </is>
      </c>
      <c r="B11" s="19">
        <f>SUMPRODUCT(F4:F6,D4:D6)</f>
        <v/>
      </c>
    </row>
    <row r="12">
      <c r="A12" t="inlineStr">
        <is>
          <t>Band position (house = street in an SBC-zero market)</t>
        </is>
      </c>
      <c r="B12" t="inlineStr">
        <is>
          <t>n/a -- SBC is zero, so house and street coincide</t>
        </is>
      </c>
    </row>
    <row r="14">
      <c r="A14" s="1" t="inlineStr">
        <is>
          <t>Required-return table (base case)</t>
        </is>
      </c>
    </row>
    <row r="15">
      <c r="A15" t="inlineStr">
        <is>
          <t>Required return</t>
        </is>
      </c>
      <c r="B15" s="6" t="n">
        <v>0.09</v>
      </c>
      <c r="C15" s="6" t="n">
        <v>0.1</v>
      </c>
      <c r="D15" s="6" t="n">
        <v>0.11</v>
      </c>
      <c r="E15" s="6" t="n">
        <v>0.12</v>
      </c>
      <c r="F15" s="6" t="n">
        <v>0.135</v>
      </c>
      <c r="G15" s="6" t="n">
        <v>0.15</v>
      </c>
    </row>
    <row r="16">
      <c r="A16" t="inlineStr">
        <is>
          <t>Value per share</t>
        </is>
      </c>
      <c r="B16" s="19">
        <f>(SUMPRODUCT(DCF_Base!$C$21:$L$21/(1+B15)^DCF_Base!$C$4:$L$4)+MAX(0,MIN(IF(B15&gt;Assumptions!$C$16,DCF_Base!$L$21*(1+Assumptions!$C$16)/(B15-Assumptions!$C$16),Assumptions!$C$17*DCF_Base!$L$21),Assumptions!$C$17*DCF_Base!$L$21))/(1+B15)^10+Assumptions!$B$5)/Assumptions!$B$3</f>
        <v/>
      </c>
      <c r="C16" s="19">
        <f>(SUMPRODUCT(DCF_Base!$C$21:$L$21/(1+C15)^DCF_Base!$C$4:$L$4)+MAX(0,MIN(IF(C15&gt;Assumptions!$C$16,DCF_Base!$L$21*(1+Assumptions!$C$16)/(C15-Assumptions!$C$16),Assumptions!$C$17*DCF_Base!$L$21),Assumptions!$C$17*DCF_Base!$L$21))/(1+C15)^10+Assumptions!$B$5)/Assumptions!$B$3</f>
        <v/>
      </c>
      <c r="D16" s="19">
        <f>(SUMPRODUCT(DCF_Base!$C$21:$L$21/(1+D15)^DCF_Base!$C$4:$L$4)+MAX(0,MIN(IF(D15&gt;Assumptions!$C$16,DCF_Base!$L$21*(1+Assumptions!$C$16)/(D15-Assumptions!$C$16),Assumptions!$C$17*DCF_Base!$L$21),Assumptions!$C$17*DCF_Base!$L$21))/(1+D15)^10+Assumptions!$B$5)/Assumptions!$B$3</f>
        <v/>
      </c>
      <c r="E16" s="19">
        <f>(SUMPRODUCT(DCF_Base!$C$21:$L$21/(1+E15)^DCF_Base!$C$4:$L$4)+MAX(0,MIN(IF(E15&gt;Assumptions!$C$16,DCF_Base!$L$21*(1+Assumptions!$C$16)/(E15-Assumptions!$C$16),Assumptions!$C$17*DCF_Base!$L$21),Assumptions!$C$17*DCF_Base!$L$21))/(1+E15)^10+Assumptions!$B$5)/Assumptions!$B$3</f>
        <v/>
      </c>
      <c r="F16" s="19">
        <f>(SUMPRODUCT(DCF_Base!$C$21:$L$21/(1+F15)^DCF_Base!$C$4:$L$4)+MAX(0,MIN(IF(F15&gt;Assumptions!$C$16,DCF_Base!$L$21*(1+Assumptions!$C$16)/(F15-Assumptions!$C$16),Assumptions!$C$17*DCF_Base!$L$21),Assumptions!$C$17*DCF_Base!$L$21))/(1+F15)^10+Assumptions!$B$5)/Assumptions!$B$3</f>
        <v/>
      </c>
      <c r="G16" s="19">
        <f>(SUMPRODUCT(DCF_Base!$C$21:$L$21/(1+G15)^DCF_Base!$C$4:$L$4)+MAX(0,MIN(IF(G15&gt;Assumptions!$C$16,DCF_Base!$L$21*(1+Assumptions!$C$16)/(G15-Assumptions!$C$16),Assumptions!$C$17*DCF_Base!$L$21),Assumptions!$C$17*DCF_Base!$L$21))/(1+G15)^10+Assumptions!$B$5)/Assumptions!$B$3</f>
        <v/>
      </c>
    </row>
    <row r="18">
      <c r="A18" s="1" t="inlineStr">
        <is>
          <t>Sensitivity: base-case value per share, WACC (rows) x terminal growth (columns)</t>
        </is>
      </c>
    </row>
    <row r="19">
      <c r="B19" s="6" t="n">
        <v>0.015</v>
      </c>
      <c r="C19" s="6" t="n">
        <v>0.02</v>
      </c>
      <c r="D19" s="6" t="n">
        <v>0.025</v>
      </c>
      <c r="E19" s="6" t="n">
        <v>0.03</v>
      </c>
      <c r="F19" s="6" t="n">
        <v>0.035</v>
      </c>
    </row>
    <row r="20">
      <c r="A20" s="6" t="n">
        <v>0.115</v>
      </c>
      <c r="B20" s="19">
        <f>IF($A20&gt;B$19,(SUMPRODUCT(DCF_Base!$C$21:$L$21/(1+$A20)^DCF_Base!$C$4:$L$4)+MAX(0,MIN(DCF_Base!$L$21*(1+B$19)/($A20-B$19),Assumptions!$C$17*DCF_Base!$L$21))/(1+$A20)^10+Assumptions!$B$5)/Assumptions!$B$3,"n/a")</f>
        <v/>
      </c>
      <c r="C20" s="19">
        <f>IF($A20&gt;C$19,(SUMPRODUCT(DCF_Base!$C$21:$L$21/(1+$A20)^DCF_Base!$C$4:$L$4)+MAX(0,MIN(DCF_Base!$L$21*(1+C$19)/($A20-C$19),Assumptions!$C$17*DCF_Base!$L$21))/(1+$A20)^10+Assumptions!$B$5)/Assumptions!$B$3,"n/a")</f>
        <v/>
      </c>
      <c r="D20" s="19">
        <f>IF($A20&gt;D$19,(SUMPRODUCT(DCF_Base!$C$21:$L$21/(1+$A20)^DCF_Base!$C$4:$L$4)+MAX(0,MIN(DCF_Base!$L$21*(1+D$19)/($A20-D$19),Assumptions!$C$17*DCF_Base!$L$21))/(1+$A20)^10+Assumptions!$B$5)/Assumptions!$B$3,"n/a")</f>
        <v/>
      </c>
      <c r="E20" s="19">
        <f>IF($A20&gt;E$19,(SUMPRODUCT(DCF_Base!$C$21:$L$21/(1+$A20)^DCF_Base!$C$4:$L$4)+MAX(0,MIN(DCF_Base!$L$21*(1+E$19)/($A20-E$19),Assumptions!$C$17*DCF_Base!$L$21))/(1+$A20)^10+Assumptions!$B$5)/Assumptions!$B$3,"n/a")</f>
        <v/>
      </c>
      <c r="F20" s="19">
        <f>IF($A20&gt;F$19,(SUMPRODUCT(DCF_Base!$C$21:$L$21/(1+$A20)^DCF_Base!$C$4:$L$4)+MAX(0,MIN(DCF_Base!$L$21*(1+F$19)/($A20-F$19),Assumptions!$C$17*DCF_Base!$L$21))/(1+$A20)^10+Assumptions!$B$5)/Assumptions!$B$3,"n/a")</f>
        <v/>
      </c>
    </row>
    <row r="21">
      <c r="A21" s="6" t="n">
        <v>0.125</v>
      </c>
      <c r="B21" s="19">
        <f>IF($A21&gt;B$19,(SUMPRODUCT(DCF_Base!$C$21:$L$21/(1+$A21)^DCF_Base!$C$4:$L$4)+MAX(0,MIN(DCF_Base!$L$21*(1+B$19)/($A21-B$19),Assumptions!$C$17*DCF_Base!$L$21))/(1+$A21)^10+Assumptions!$B$5)/Assumptions!$B$3,"n/a")</f>
        <v/>
      </c>
      <c r="C21" s="19">
        <f>IF($A21&gt;C$19,(SUMPRODUCT(DCF_Base!$C$21:$L$21/(1+$A21)^DCF_Base!$C$4:$L$4)+MAX(0,MIN(DCF_Base!$L$21*(1+C$19)/($A21-C$19),Assumptions!$C$17*DCF_Base!$L$21))/(1+$A21)^10+Assumptions!$B$5)/Assumptions!$B$3,"n/a")</f>
        <v/>
      </c>
      <c r="D21" s="19">
        <f>IF($A21&gt;D$19,(SUMPRODUCT(DCF_Base!$C$21:$L$21/(1+$A21)^DCF_Base!$C$4:$L$4)+MAX(0,MIN(DCF_Base!$L$21*(1+D$19)/($A21-D$19),Assumptions!$C$17*DCF_Base!$L$21))/(1+$A21)^10+Assumptions!$B$5)/Assumptions!$B$3,"n/a")</f>
        <v/>
      </c>
      <c r="E21" s="19">
        <f>IF($A21&gt;E$19,(SUMPRODUCT(DCF_Base!$C$21:$L$21/(1+$A21)^DCF_Base!$C$4:$L$4)+MAX(0,MIN(DCF_Base!$L$21*(1+E$19)/($A21-E$19),Assumptions!$C$17*DCF_Base!$L$21))/(1+$A21)^10+Assumptions!$B$5)/Assumptions!$B$3,"n/a")</f>
        <v/>
      </c>
      <c r="F21" s="19">
        <f>IF($A21&gt;F$19,(SUMPRODUCT(DCF_Base!$C$21:$L$21/(1+$A21)^DCF_Base!$C$4:$L$4)+MAX(0,MIN(DCF_Base!$L$21*(1+F$19)/($A21-F$19),Assumptions!$C$17*DCF_Base!$L$21))/(1+$A21)^10+Assumptions!$B$5)/Assumptions!$B$3,"n/a")</f>
        <v/>
      </c>
    </row>
    <row r="22">
      <c r="A22" s="6" t="n">
        <v>0.135</v>
      </c>
      <c r="B22" s="19">
        <f>IF($A22&gt;B$19,(SUMPRODUCT(DCF_Base!$C$21:$L$21/(1+$A22)^DCF_Base!$C$4:$L$4)+MAX(0,MIN(DCF_Base!$L$21*(1+B$19)/($A22-B$19),Assumptions!$C$17*DCF_Base!$L$21))/(1+$A22)^10+Assumptions!$B$5)/Assumptions!$B$3,"n/a")</f>
        <v/>
      </c>
      <c r="C22" s="19">
        <f>IF($A22&gt;C$19,(SUMPRODUCT(DCF_Base!$C$21:$L$21/(1+$A22)^DCF_Base!$C$4:$L$4)+MAX(0,MIN(DCF_Base!$L$21*(1+C$19)/($A22-C$19),Assumptions!$C$17*DCF_Base!$L$21))/(1+$A22)^10+Assumptions!$B$5)/Assumptions!$B$3,"n/a")</f>
        <v/>
      </c>
      <c r="D22" s="22">
        <f>IF($A22&gt;D$19,(SUMPRODUCT(DCF_Base!$C$21:$L$21/(1+$A22)^DCF_Base!$C$4:$L$4)+MAX(0,MIN(DCF_Base!$L$21*(1+D$19)/($A22-D$19),Assumptions!$C$17*DCF_Base!$L$21))/(1+$A22)^10+Assumptions!$B$5)/Assumptions!$B$3,"n/a")</f>
        <v/>
      </c>
      <c r="E22" s="19">
        <f>IF($A22&gt;E$19,(SUMPRODUCT(DCF_Base!$C$21:$L$21/(1+$A22)^DCF_Base!$C$4:$L$4)+MAX(0,MIN(DCF_Base!$L$21*(1+E$19)/($A22-E$19),Assumptions!$C$17*DCF_Base!$L$21))/(1+$A22)^10+Assumptions!$B$5)/Assumptions!$B$3,"n/a")</f>
        <v/>
      </c>
      <c r="F22" s="19">
        <f>IF($A22&gt;F$19,(SUMPRODUCT(DCF_Base!$C$21:$L$21/(1+$A22)^DCF_Base!$C$4:$L$4)+MAX(0,MIN(DCF_Base!$L$21*(1+F$19)/($A22-F$19),Assumptions!$C$17*DCF_Base!$L$21))/(1+$A22)^10+Assumptions!$B$5)/Assumptions!$B$3,"n/a")</f>
        <v/>
      </c>
    </row>
    <row r="23">
      <c r="A23" s="6" t="n">
        <v>0.145</v>
      </c>
      <c r="B23" s="19">
        <f>IF($A23&gt;B$19,(SUMPRODUCT(DCF_Base!$C$21:$L$21/(1+$A23)^DCF_Base!$C$4:$L$4)+MAX(0,MIN(DCF_Base!$L$21*(1+B$19)/($A23-B$19),Assumptions!$C$17*DCF_Base!$L$21))/(1+$A23)^10+Assumptions!$B$5)/Assumptions!$B$3,"n/a")</f>
        <v/>
      </c>
      <c r="C23" s="19">
        <f>IF($A23&gt;C$19,(SUMPRODUCT(DCF_Base!$C$21:$L$21/(1+$A23)^DCF_Base!$C$4:$L$4)+MAX(0,MIN(DCF_Base!$L$21*(1+C$19)/($A23-C$19),Assumptions!$C$17*DCF_Base!$L$21))/(1+$A23)^10+Assumptions!$B$5)/Assumptions!$B$3,"n/a")</f>
        <v/>
      </c>
      <c r="D23" s="19">
        <f>IF($A23&gt;D$19,(SUMPRODUCT(DCF_Base!$C$21:$L$21/(1+$A23)^DCF_Base!$C$4:$L$4)+MAX(0,MIN(DCF_Base!$L$21*(1+D$19)/($A23-D$19),Assumptions!$C$17*DCF_Base!$L$21))/(1+$A23)^10+Assumptions!$B$5)/Assumptions!$B$3,"n/a")</f>
        <v/>
      </c>
      <c r="E23" s="19">
        <f>IF($A23&gt;E$19,(SUMPRODUCT(DCF_Base!$C$21:$L$21/(1+$A23)^DCF_Base!$C$4:$L$4)+MAX(0,MIN(DCF_Base!$L$21*(1+E$19)/($A23-E$19),Assumptions!$C$17*DCF_Base!$L$21))/(1+$A23)^10+Assumptions!$B$5)/Assumptions!$B$3,"n/a")</f>
        <v/>
      </c>
      <c r="F23" s="19">
        <f>IF($A23&gt;F$19,(SUMPRODUCT(DCF_Base!$C$21:$L$21/(1+$A23)^DCF_Base!$C$4:$L$4)+MAX(0,MIN(DCF_Base!$L$21*(1+F$19)/($A23-F$19),Assumptions!$C$17*DCF_Base!$L$21))/(1+$A23)^10+Assumptions!$B$5)/Assumptions!$B$3,"n/a")</f>
        <v/>
      </c>
    </row>
    <row r="24">
      <c r="A24" s="6" t="n">
        <v>0.155</v>
      </c>
      <c r="B24" s="19">
        <f>IF($A24&gt;B$19,(SUMPRODUCT(DCF_Base!$C$21:$L$21/(1+$A24)^DCF_Base!$C$4:$L$4)+MAX(0,MIN(DCF_Base!$L$21*(1+B$19)/($A24-B$19),Assumptions!$C$17*DCF_Base!$L$21))/(1+$A24)^10+Assumptions!$B$5)/Assumptions!$B$3,"n/a")</f>
        <v/>
      </c>
      <c r="C24" s="19">
        <f>IF($A24&gt;C$19,(SUMPRODUCT(DCF_Base!$C$21:$L$21/(1+$A24)^DCF_Base!$C$4:$L$4)+MAX(0,MIN(DCF_Base!$L$21*(1+C$19)/($A24-C$19),Assumptions!$C$17*DCF_Base!$L$21))/(1+$A24)^10+Assumptions!$B$5)/Assumptions!$B$3,"n/a")</f>
        <v/>
      </c>
      <c r="D24" s="19">
        <f>IF($A24&gt;D$19,(SUMPRODUCT(DCF_Base!$C$21:$L$21/(1+$A24)^DCF_Base!$C$4:$L$4)+MAX(0,MIN(DCF_Base!$L$21*(1+D$19)/($A24-D$19),Assumptions!$C$17*DCF_Base!$L$21))/(1+$A24)^10+Assumptions!$B$5)/Assumptions!$B$3,"n/a")</f>
        <v/>
      </c>
      <c r="E24" s="19">
        <f>IF($A24&gt;E$19,(SUMPRODUCT(DCF_Base!$C$21:$L$21/(1+$A24)^DCF_Base!$C$4:$L$4)+MAX(0,MIN(DCF_Base!$L$21*(1+E$19)/($A24-E$19),Assumptions!$C$17*DCF_Base!$L$21))/(1+$A24)^10+Assumptions!$B$5)/Assumptions!$B$3,"n/a")</f>
        <v/>
      </c>
      <c r="F24" s="19">
        <f>IF($A24&gt;F$19,(SUMPRODUCT(DCF_Base!$C$21:$L$21/(1+$A24)^DCF_Base!$C$4:$L$4)+MAX(0,MIN(DCF_Base!$L$21*(1+F$19)/($A24-F$19),Assumptions!$C$17*DCF_Base!$L$21))/(1+$A24)^10+Assumptions!$B$5)/Assumptions!$B$3,"n/a")</f>
        <v/>
      </c>
    </row>
    <row r="26">
      <c r="A26" t="inlineStr">
        <is>
          <t>Sanity (lease-consistent): market at $0.83 = 8.4x FY2026 pre-IFRS-16 EBITDA / 6.4x lease-inclusive / 0.34x book; base terminal 3.4x pre-IFRS-16 EBITDA vs 3.7-6.6x normal-year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2026-09-15T06:37:45Z</dcterms:created>
  <dcterms:modified xsi:type="dcterms:W3CDTF">2026-09-15T06:37:45Z</dcterms:modified>
</cp:coreProperties>
</file>