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<sst xmlns="http://schemas.openxmlformats.org/spreadsheetml/2006/main" count="389" uniqueCount="175">
  <si>
    <t xml:space="preserve">Ticker</t>
  </si>
  <si>
    <t xml:space="preserve">AMAT</t>
  </si>
  <si>
    <t xml:space="preserve">Company</t>
  </si>
  <si>
    <t xml:space="preserve">Applied Materials Inc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</si>
  <si>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</si>
  <si>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</si>
  <si>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</si>
  <si>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</si>
  <si>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2026-09-24T20:00:01Z regular close (Yahoo chart API)</t>
  </si>
  <si>
    <t xml:space="preserve">Balance sheet date</t>
  </si>
  <si>
    <t xml:space="preserve">2026-07-26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</si>
  <si>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</si>
  <si>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</si>
  <si>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</si>
  <si>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</si>
  <si>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</si>
  <si>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</si>
  <si>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</si>
  <si>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</si>
  <si>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</si>
  <si>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</si>
  <si>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2026-09-25T09:49:58Z</t>
  </si>
  <si>
    <t xml:space="preserve">Drivers file</t>
  </si>
  <si>
    <t xml:space="preserve">AMAT_Drivers.json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</si>
  <si>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</si>
  <si>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</si>
  <si>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</si>
  <si>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AMAT is valued as a cyclical operating company on strict owner FCF (SBC and equity-award withholding tax expensed, interest income stripped with the cash pile and long-term investments added in the bridge), built from components over a 10-year horizon that deliberately runs THROUGH a wafer-fab-equipment downturn rather than capitalizing the FY2026 AI-upcycle peak. The terminal year sits on a mid-cycle 33.5% pre-SBC EBITDA margin (FY21-25 average ~33%) and is capped at 15x owner FCF, the cyclical cap, with Gordon at 10%/3% (~14.7x) the binding bound in the base. Cyclical risk is charged once, in the flows and in a 25% bear weight, not again through a WACC premium. The gap to the market price is the finding: at the current price the market is capitalizing the upcycle as if it were a new plateau, implying either a far lower discount rate or a decade of AI-driven growth without a digestion year, neither of which WFE history supports.
cyclicality_approach: Mid-cycle margin anchor + explicit downturn year in every scenario + 15x cyclical terminal cap + 25% bear weight. No peak-FCF capitalization, no stacked WACC premium.
key_risks_to_valuation: Upside risk: AI/HBM/packaging demand proves structural and the next WFE downturn is shallow or skipped; the bull case is then the floor, not the ceiling; Downside risk: AI capex digestion coinciding with a memory price correction (bear FY2028 -18%); Further US export-control tightening beyond the ~$600M FY26 China headwind; Continued share loss to Lam/KLA/ASML at the GAA and backside-power inflections; Capex step-up (8% of revenue) failing to normalize, holding owner-FCF conversion down; Long-term investment portfolio (5.3B) valuation and liquidity</t>
  </si>
  <si>
    <t xml:space="preserve">Data sources</t>
  </si>
  <si>
    <t xml:space="preserve">price: Yahoo Finance chart API at inputs.price_as_of; 52-week range 196.20-739.67
financials: SEC XBRL (AMAT_Metrics.csv / core_metrics via build_facts_xbrl; SEC companyfacts CIK 0000006951 for short-term and long-term investments, interest income, SBC withholding taxes, buybacks, cash taxes, diluted shares) through 10-Q Q3 FY2026 (quarter ended 2026-07-26)
qualitative: AMAT_Analysis.json (2026-09), including Q3 FY2026 earnings guidance: Q4 FY26 revenue $10.25B +/- $0.5B, non-GAAP EPS $4.02 +/- $0.20, Semiconductor Systems &gt;30% FY26 growth</t>
  </si>
  <si>
    <t xml:space="preserve">Scenario narrative: bear</t>
  </si>
  <si>
    <t xml:space="preserve">FY2026 was the peak. AI capex digestion arrives in FY2028 (-18%, the FY2012-13 pattern), coinciding with a memory price correction and further export-control tightening that removes more China revenue. The 2025 share losses to Lam, KLA and ASML continue into the GAA/backside-power node, pricing power is limited (no ASML-style monopoly step), and mid-cycle margins settle at 31% with capex still elevated from the EPIC build. Growth recovers only to 3-6%.</t>
  </si>
  <si>
    <t xml:space="preserve">Scenario narrative: base</t>
  </si>
  <si>
    <t xml:space="preserve">The AI build carries one more strong year: leading-edge logic (GAA, backside power), DRAM/HBM and CoWoS-class advanced packaging take FY2027 revenue to the Q4 FY26 run-rate (~$40.5B) and FY2028 a little higher, with margins at a 36% pre-SBC peak. Then the WFE cycle does what it has always done: a FY2029 digestion year (-12%) as hyperscaler capex and memory pricing normalize, margins dip to 31.5%, and the business recovers to mid-single-digit growth on a 33.5% mid-cycle margin, with Applied Global Services' installed-base annuity cushioning the trough. China stays structurally smaller (28% of revenue vs 35%) after the memory and mature-node lockout; share loss to Lam/KLA/ASML in 2025 neither reverses nor worsens.</t>
  </si>
  <si>
    <t xml:space="preserve">Scenario narrative: bull</t>
  </si>
  <si>
    <t xml:space="preserve">The memory supercycle (DRAM shortage through 2027-28, HBM content per bit rising) and advanced packaging (+70% in FY26) extend the upcycle two more years: FY2027 +28%, FY2028 +15%, and the next downturn is a shallow -5% because AGS (22% of revenue) and packaging diversify the cycle. Breadth across deposition, CMP, implant and packaging lets Applied win at every inflection, margins hold 36% mid-cycle, and growth stays above GDP into the 2030s on rising materials-engineering intensity per wafer.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</si>
  <si>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</si>
  <si>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</si>
  <si>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</si>
  <si>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</si>
  <si>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</si>
  <si>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</si>
  <si>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</si>
  <si>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</si>
  <si>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</si>
  <si>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</si>
  <si>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</si>
  <si>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</si>
  <si>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</si>
  <si>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</si>
  <si>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</si>
  <si>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</si>
  <si>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</si>
  <si>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</si>
  <si>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</si>
  <si>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</si>
  <si>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</si>
  <si>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</si>
  <si>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</si>
  <si>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</si>
  <si>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</si>
  <si>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</si>
  <si>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</si>
  <si>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</si>
  <si>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</si>
  <si>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</si>
  <si>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</si>
  <si>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</si>
  <si>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</si>
  <si>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</si>
  <si>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</si>
  <si>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</si>
  <si>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</si>
  <si>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</si>
  <si>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</si>
  <si>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</si>
  <si>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</si>
  <si>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</si>
  <si>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</si>
  <si>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</si>
  <si>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</si>
  <si>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</si>
  <si>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</si>
  <si>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</si>
  <si>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</si>
  <si>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</si>
  <si>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</si>
  <si>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</si>
  <si>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</si>
  <si>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</si>
  <si>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</si>
  <si>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</si>
  <si>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</si>
  <si>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</si>
  <si>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</si>
  <si>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</si>
  <si>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</si>
  <si>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</si>
  <si>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</si>
  <si>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</si>
  <si>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</si>
  <si>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</si>
  <si>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</si>
  <si>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</si>
  <si>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</si>
  <si>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</si>
  <si>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</si>
  <si>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</si>
  <si>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</si>
  <si>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</si>
  <si>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</si>
  <si>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</si>
  <si>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</si>
  <si>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</si>
  <si>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</si>
  <si>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</si>
  <si>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</si>
  <si>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</si>
  <si>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</si>
  <si>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</si>
  <si>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</si>
  <si>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AMAT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</si>
  <si>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</si>
  <si>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</si>
  <si>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</si>
  <si>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</si>
  <si>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</si>
  <si>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</si>
  <si>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</si>
  <si>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</si>
  <si>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</si>
  <si>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</si>
  <si>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</si>
  <si>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</si>
  <si>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</si>
  <si>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</si>
  <si>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</si>
  <si>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</si>
  <si>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</si>
  <si>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</si>
  <si>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</si>
  <si>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</si>
  <si>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</si>
  <si>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</si>
  <si>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</si>
  <si>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</si>
  <si>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</si>
  <si>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</si>
  <si>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</si>
  <si>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</si>
  <si>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</si>
  <si>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</si>
  <si>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AMAT owner-FCF component DCF: base case (millions, USD)</t>
  </si>
  <si>
    <t xml:space="preserve">AMAT owner-FCF component DCF: bull case (millions, USD)</t>
  </si>
  <si>
    <t xml:space="preserve">AMAT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</si>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</sst>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474.25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35.0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6651.4</v>
      </c>
      <c r="S2" s="0" t="n">
        <v>861.463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9734.856</v>
      </c>
      <c r="C3" s="0" t="n">
        <v>5242.413</v>
      </c>
      <c r="D3" s="0" t="n">
        <v>4492.443</v>
      </c>
      <c r="E3" s="0" t="n">
        <v>46.1480169814531</v>
      </c>
      <c r="F3" s="0" t="n">
        <v>2371.506</v>
      </c>
      <c r="G3" s="0" t="n">
        <v>24.3609766800865</v>
      </c>
      <c r="H3" s="0" t="n">
        <v>2639.84</v>
      </c>
      <c r="I3" s="0" t="n">
        <v>1710.196</v>
      </c>
      <c r="J3" s="0" t="n">
        <v>17.5677585780416</v>
      </c>
      <c r="K3" s="0" t="n">
        <v>1.2</v>
      </c>
      <c r="L3" s="0" t="n">
        <v>2209.296</v>
      </c>
      <c r="O3" s="0" t="n">
        <v>7821.409</v>
      </c>
      <c r="S3" s="0" t="n">
        <v>1202.722</v>
      </c>
      <c r="T3" s="0" t="n">
        <v>1427.002</v>
      </c>
      <c r="U3" s="0" t="n">
        <v>161.196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8129.24</v>
      </c>
      <c r="C4" s="0" t="n">
        <v>4686.412</v>
      </c>
      <c r="D4" s="0" t="n">
        <v>3442.828</v>
      </c>
      <c r="E4" s="0" t="n">
        <v>42.3511668987507</v>
      </c>
      <c r="F4" s="0" t="n">
        <v>1355.431</v>
      </c>
      <c r="G4" s="0" t="n">
        <v>16.6735266765405</v>
      </c>
      <c r="H4" s="0" t="n">
        <v>1675.482</v>
      </c>
      <c r="I4" s="0" t="n">
        <v>960.746</v>
      </c>
      <c r="J4" s="0" t="n">
        <v>11.8183987679045</v>
      </c>
      <c r="K4" s="0" t="n">
        <v>0.7</v>
      </c>
      <c r="L4" s="0" t="n">
        <v>1710.468</v>
      </c>
      <c r="O4" s="0" t="n">
        <v>7549</v>
      </c>
      <c r="P4" s="0" t="n">
        <v>11006.318</v>
      </c>
      <c r="Q4" s="0" t="n">
        <v>3457.36</v>
      </c>
      <c r="R4" s="0" t="n">
        <v>202.644</v>
      </c>
      <c r="S4" s="0" t="n">
        <v>1411</v>
      </c>
      <c r="T4" s="0" t="n">
        <v>1374.507</v>
      </c>
      <c r="U4" s="0" t="n">
        <v>178.943</v>
      </c>
      <c r="V4" s="0" t="n">
        <v>0.06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5014</v>
      </c>
      <c r="C5" s="0" t="n">
        <v>3583</v>
      </c>
      <c r="D5" s="0" t="n">
        <v>1431</v>
      </c>
      <c r="E5" s="0" t="n">
        <v>28.540087754288</v>
      </c>
      <c r="F5" s="0" t="n">
        <v>-394</v>
      </c>
      <c r="G5" s="0" t="n">
        <v>-7.85799760670124</v>
      </c>
      <c r="H5" s="0" t="n">
        <v>-103</v>
      </c>
      <c r="I5" s="0" t="n">
        <v>-305</v>
      </c>
      <c r="J5" s="0" t="n">
        <v>-6.08296769046669</v>
      </c>
      <c r="K5" s="0" t="n">
        <v>-0.23</v>
      </c>
      <c r="L5" s="0" t="n">
        <v>333</v>
      </c>
      <c r="O5" s="0" t="n">
        <v>7094</v>
      </c>
      <c r="P5" s="0" t="n">
        <v>9574</v>
      </c>
      <c r="Q5" s="0" t="n">
        <v>2479.635</v>
      </c>
      <c r="R5" s="0" t="n">
        <v>203.134</v>
      </c>
      <c r="S5" s="0" t="n">
        <v>1576</v>
      </c>
      <c r="T5" s="0" t="n">
        <v>1333</v>
      </c>
      <c r="U5" s="0" t="n">
        <v>147</v>
      </c>
      <c r="V5" s="0" t="n">
        <v>0.06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9549</v>
      </c>
      <c r="C6" s="0" t="n">
        <v>5834</v>
      </c>
      <c r="D6" s="0" t="n">
        <v>3715</v>
      </c>
      <c r="E6" s="0" t="n">
        <v>38.9045973400356</v>
      </c>
      <c r="F6" s="0" t="n">
        <v>1384</v>
      </c>
      <c r="G6" s="0" t="n">
        <v>14.4936642580375</v>
      </c>
      <c r="H6" s="0" t="n">
        <v>1689</v>
      </c>
      <c r="I6" s="0" t="n">
        <v>938</v>
      </c>
      <c r="J6" s="0" t="n">
        <v>9.82301811708032</v>
      </c>
      <c r="K6" s="0" t="n">
        <v>0.7</v>
      </c>
      <c r="L6" s="0" t="n">
        <v>1723</v>
      </c>
      <c r="O6" s="0" t="n">
        <v>7536</v>
      </c>
      <c r="P6" s="0" t="n">
        <v>10943</v>
      </c>
      <c r="Q6" s="0" t="n">
        <v>3407</v>
      </c>
      <c r="R6" s="0" t="n">
        <v>207</v>
      </c>
      <c r="S6" s="0" t="n">
        <v>1858</v>
      </c>
      <c r="T6" s="0" t="n">
        <v>1349</v>
      </c>
      <c r="U6" s="0" t="n">
        <v>126</v>
      </c>
      <c r="V6" s="0" t="n">
        <v>0.07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10517</v>
      </c>
      <c r="C7" s="0" t="n">
        <v>6157</v>
      </c>
      <c r="D7" s="0" t="n">
        <v>4360</v>
      </c>
      <c r="E7" s="0" t="n">
        <v>41.4566891699154</v>
      </c>
      <c r="F7" s="0" t="n">
        <v>2398</v>
      </c>
      <c r="G7" s="0" t="n">
        <v>22.8011790434535</v>
      </c>
      <c r="H7" s="0" t="n">
        <v>2644</v>
      </c>
      <c r="I7" s="0" t="n">
        <v>1926</v>
      </c>
      <c r="J7" s="0" t="n">
        <v>18.3132071883617</v>
      </c>
      <c r="K7" s="0" t="n">
        <v>1.45</v>
      </c>
      <c r="L7" s="0" t="n">
        <v>2429</v>
      </c>
      <c r="M7" s="0" t="n">
        <v>209</v>
      </c>
      <c r="N7" s="0" t="n">
        <v>2220</v>
      </c>
      <c r="O7" s="0" t="n">
        <v>8800</v>
      </c>
      <c r="P7" s="0" t="n">
        <v>13861</v>
      </c>
      <c r="Q7" s="0" t="n">
        <v>5061</v>
      </c>
      <c r="R7" s="0" t="n">
        <v>1900</v>
      </c>
      <c r="S7" s="0" t="n">
        <v>5960</v>
      </c>
      <c r="T7" s="0" t="n">
        <v>1330</v>
      </c>
      <c r="U7" s="0" t="n">
        <v>146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8719</v>
      </c>
      <c r="C8" s="0" t="n">
        <v>5406</v>
      </c>
      <c r="D8" s="0" t="n">
        <v>3313</v>
      </c>
      <c r="E8" s="0" t="n">
        <v>37.9974767748595</v>
      </c>
      <c r="F8" s="0" t="n">
        <v>411</v>
      </c>
      <c r="G8" s="0" t="n">
        <v>4.71384333065719</v>
      </c>
      <c r="H8" s="0" t="n">
        <v>833</v>
      </c>
      <c r="I8" s="0" t="n">
        <v>109</v>
      </c>
      <c r="J8" s="0" t="n">
        <v>1.2501433650648</v>
      </c>
      <c r="K8" s="0" t="n">
        <v>0.09</v>
      </c>
      <c r="L8" s="0" t="n">
        <v>1851</v>
      </c>
      <c r="M8" s="0" t="n">
        <v>162</v>
      </c>
      <c r="N8" s="0" t="n">
        <v>1689</v>
      </c>
      <c r="O8" s="0" t="n">
        <v>7235</v>
      </c>
      <c r="P8" s="0" t="n">
        <v>12102</v>
      </c>
      <c r="Q8" s="0" t="n">
        <v>4867</v>
      </c>
      <c r="R8" s="0" t="n">
        <v>1946</v>
      </c>
      <c r="S8" s="0" t="n">
        <v>1392</v>
      </c>
      <c r="T8" s="0" t="n">
        <v>1277</v>
      </c>
      <c r="U8" s="0" t="n">
        <v>182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7509</v>
      </c>
      <c r="C9" s="0" t="n">
        <v>4518</v>
      </c>
      <c r="D9" s="0" t="n">
        <v>2991</v>
      </c>
      <c r="E9" s="0" t="n">
        <v>39.83220135837</v>
      </c>
      <c r="F9" s="0" t="n">
        <v>432</v>
      </c>
      <c r="G9" s="0" t="n">
        <v>5.75309628445865</v>
      </c>
      <c r="H9" s="0" t="n">
        <v>842</v>
      </c>
      <c r="I9" s="0" t="n">
        <v>256</v>
      </c>
      <c r="J9" s="0" t="n">
        <v>3.40924224264216</v>
      </c>
      <c r="K9" s="0" t="n">
        <v>0.21</v>
      </c>
      <c r="L9" s="0" t="n">
        <v>623</v>
      </c>
      <c r="M9" s="0" t="n">
        <v>197</v>
      </c>
      <c r="N9" s="0" t="n">
        <v>426</v>
      </c>
      <c r="O9" s="0" t="n">
        <v>7088</v>
      </c>
      <c r="P9" s="0" t="n">
        <v>12043</v>
      </c>
      <c r="Q9" s="0" t="n">
        <v>4955</v>
      </c>
      <c r="R9" s="0" t="n">
        <v>1946</v>
      </c>
      <c r="S9" s="0" t="n">
        <v>1711</v>
      </c>
      <c r="T9" s="0" t="n">
        <v>1219</v>
      </c>
      <c r="U9" s="0" t="n">
        <v>162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9072</v>
      </c>
      <c r="C10" s="0" t="n">
        <v>5229</v>
      </c>
      <c r="D10" s="0" t="n">
        <v>3843</v>
      </c>
      <c r="E10" s="0" t="n">
        <v>42.3611111111111</v>
      </c>
      <c r="F10" s="0" t="n">
        <v>1520</v>
      </c>
      <c r="G10" s="0" t="n">
        <v>16.7548500881834</v>
      </c>
      <c r="H10" s="0" t="n">
        <v>1895</v>
      </c>
      <c r="I10" s="0" t="n">
        <v>1072</v>
      </c>
      <c r="J10" s="0" t="n">
        <v>11.8165784832452</v>
      </c>
      <c r="K10" s="0" t="n">
        <v>0.87</v>
      </c>
      <c r="L10" s="0" t="n">
        <v>1800</v>
      </c>
      <c r="M10" s="0" t="n">
        <v>241</v>
      </c>
      <c r="N10" s="0" t="n">
        <v>1559</v>
      </c>
      <c r="O10" s="0" t="n">
        <v>7868</v>
      </c>
      <c r="P10" s="0" t="n">
        <v>13174</v>
      </c>
      <c r="Q10" s="0" t="n">
        <v>5306</v>
      </c>
      <c r="R10" s="0" t="n">
        <v>1947</v>
      </c>
      <c r="S10" s="0" t="n">
        <v>3002</v>
      </c>
      <c r="T10" s="0" t="n">
        <v>1231</v>
      </c>
      <c r="U10" s="0" t="n">
        <v>177</v>
      </c>
      <c r="V10" s="0" t="n">
        <v>0.1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9659</v>
      </c>
      <c r="C11" s="0" t="n">
        <v>5707</v>
      </c>
      <c r="D11" s="0" t="n">
        <v>3952</v>
      </c>
      <c r="E11" s="0" t="n">
        <v>40.9152086137281</v>
      </c>
      <c r="F11" s="0" t="n">
        <v>1693</v>
      </c>
      <c r="G11" s="0" t="n">
        <v>17.5276943783</v>
      </c>
      <c r="H11" s="0" t="n">
        <v>2064</v>
      </c>
      <c r="I11" s="0" t="n">
        <v>1377</v>
      </c>
      <c r="J11" s="0" t="n">
        <v>14.2561341753805</v>
      </c>
      <c r="K11" s="0" t="n">
        <v>1.12</v>
      </c>
      <c r="L11" s="0" t="n">
        <v>1163</v>
      </c>
      <c r="M11" s="0" t="n">
        <v>215</v>
      </c>
      <c r="N11" s="0" t="n">
        <v>948</v>
      </c>
      <c r="O11" s="0" t="n">
        <v>7613</v>
      </c>
      <c r="P11" s="0" t="n">
        <v>15308</v>
      </c>
      <c r="Q11" s="0" t="n">
        <v>7695</v>
      </c>
      <c r="R11" s="0" t="n">
        <v>4542</v>
      </c>
      <c r="S11" s="0" t="n">
        <v>4797</v>
      </c>
      <c r="T11" s="0" t="n">
        <v>1226</v>
      </c>
      <c r="U11" s="0" t="n">
        <v>187</v>
      </c>
      <c r="V11" s="0" t="n">
        <v>0.1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10825</v>
      </c>
      <c r="C12" s="0" t="n">
        <v>6314</v>
      </c>
      <c r="D12" s="0" t="n">
        <v>4511</v>
      </c>
      <c r="E12" s="0" t="n">
        <v>41.6720554272517</v>
      </c>
      <c r="F12" s="0" t="n">
        <v>2152</v>
      </c>
      <c r="G12" s="0" t="n">
        <v>19.8799076212471</v>
      </c>
      <c r="H12" s="0" t="n">
        <v>2541</v>
      </c>
      <c r="I12" s="0" t="n">
        <v>1721</v>
      </c>
      <c r="J12" s="0" t="n">
        <v>15.8983833718245</v>
      </c>
      <c r="K12" s="0" t="n">
        <v>1.54</v>
      </c>
      <c r="L12" s="0" t="n">
        <v>2566</v>
      </c>
      <c r="M12" s="0" t="n">
        <v>253</v>
      </c>
      <c r="N12" s="0" t="n">
        <v>2313</v>
      </c>
      <c r="O12" s="0" t="n">
        <v>7413</v>
      </c>
      <c r="P12" s="0" t="n">
        <v>14570</v>
      </c>
      <c r="Q12" s="0" t="n">
        <v>7353</v>
      </c>
      <c r="R12" s="0" t="n">
        <v>3325</v>
      </c>
      <c r="S12" s="0" t="n">
        <v>3406</v>
      </c>
      <c r="T12" s="0" t="n">
        <v>1116</v>
      </c>
      <c r="U12" s="0" t="n">
        <v>201</v>
      </c>
      <c r="V12" s="0" t="n">
        <v>0.1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14698</v>
      </c>
      <c r="C13" s="0" t="n">
        <v>8086</v>
      </c>
      <c r="D13" s="0" t="n">
        <v>6612</v>
      </c>
      <c r="E13" s="0" t="n">
        <v>44.9857123418152</v>
      </c>
      <c r="F13" s="0" t="n">
        <v>3936</v>
      </c>
      <c r="G13" s="0" t="n">
        <v>26.7791536263437</v>
      </c>
      <c r="H13" s="0" t="n">
        <v>4343</v>
      </c>
      <c r="I13" s="0" t="n">
        <v>3519</v>
      </c>
      <c r="J13" s="0" t="n">
        <v>23.9420329296503</v>
      </c>
      <c r="K13" s="0" t="n">
        <v>3.25</v>
      </c>
      <c r="L13" s="0" t="n">
        <v>3789</v>
      </c>
      <c r="M13" s="0" t="n">
        <v>345</v>
      </c>
      <c r="N13" s="0" t="n">
        <v>3444</v>
      </c>
      <c r="O13" s="0" t="n">
        <v>9630</v>
      </c>
      <c r="P13" s="0" t="n">
        <v>19419</v>
      </c>
      <c r="Q13" s="0" t="n">
        <v>10070</v>
      </c>
      <c r="R13" s="0" t="n">
        <v>5304</v>
      </c>
      <c r="S13" s="0" t="n">
        <v>5010</v>
      </c>
      <c r="T13" s="0" t="n">
        <v>1084</v>
      </c>
      <c r="U13" s="0" t="n">
        <v>220</v>
      </c>
      <c r="V13" s="0" t="n">
        <v>0.1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16705</v>
      </c>
      <c r="C14" s="0" t="n">
        <v>9188</v>
      </c>
      <c r="D14" s="0" t="n">
        <v>7517</v>
      </c>
      <c r="E14" s="0" t="n">
        <v>44.9985034420832</v>
      </c>
      <c r="F14" s="0" t="n">
        <v>4491</v>
      </c>
      <c r="G14" s="0" t="n">
        <v>26.8841664172404</v>
      </c>
      <c r="H14" s="0" t="n">
        <v>4948</v>
      </c>
      <c r="I14" s="0" t="n">
        <v>3038</v>
      </c>
      <c r="J14" s="0" t="n">
        <v>18.1861718048489</v>
      </c>
      <c r="K14" s="0" t="n">
        <v>2.96</v>
      </c>
      <c r="L14" s="0" t="n">
        <v>3787</v>
      </c>
      <c r="M14" s="0" t="n">
        <v>622</v>
      </c>
      <c r="N14" s="0" t="n">
        <v>3165</v>
      </c>
      <c r="O14" s="0" t="n">
        <v>6845</v>
      </c>
      <c r="P14" s="0" t="n">
        <v>17633</v>
      </c>
      <c r="Q14" s="0" t="n">
        <v>10788</v>
      </c>
      <c r="R14" s="0" t="n">
        <v>5309</v>
      </c>
      <c r="S14" s="0" t="n">
        <v>3440</v>
      </c>
      <c r="T14" s="0" t="n">
        <v>1026</v>
      </c>
      <c r="U14" s="0" t="n">
        <v>258</v>
      </c>
      <c r="V14" s="0" t="n">
        <v>0.7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14608</v>
      </c>
      <c r="C15" s="0" t="n">
        <v>8222</v>
      </c>
      <c r="D15" s="0" t="n">
        <v>6386</v>
      </c>
      <c r="E15" s="0" t="n">
        <v>43.7157721796276</v>
      </c>
      <c r="F15" s="0" t="n">
        <v>3350</v>
      </c>
      <c r="G15" s="0" t="n">
        <v>22.9326396495071</v>
      </c>
      <c r="H15" s="0" t="n">
        <v>3713</v>
      </c>
      <c r="I15" s="0" t="n">
        <v>2706</v>
      </c>
      <c r="J15" s="0" t="n">
        <v>18.5240963855422</v>
      </c>
      <c r="K15" s="0" t="n">
        <v>2.86</v>
      </c>
      <c r="L15" s="0" t="n">
        <v>3247</v>
      </c>
      <c r="M15" s="0" t="n">
        <v>441</v>
      </c>
      <c r="N15" s="0" t="n">
        <v>2806</v>
      </c>
      <c r="O15" s="0" t="n">
        <v>8214</v>
      </c>
      <c r="P15" s="0" t="n">
        <v>19024</v>
      </c>
      <c r="Q15" s="0" t="n">
        <v>10810</v>
      </c>
      <c r="R15" s="0" t="n">
        <v>5913</v>
      </c>
      <c r="S15" s="0" t="n">
        <v>3129</v>
      </c>
      <c r="T15" s="0" t="n">
        <v>945</v>
      </c>
      <c r="U15" s="0" t="n">
        <v>263</v>
      </c>
      <c r="V15" s="0" t="n">
        <v>0.83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17202</v>
      </c>
      <c r="C16" s="0" t="n">
        <v>9510</v>
      </c>
      <c r="D16" s="0" t="n">
        <v>7692</v>
      </c>
      <c r="E16" s="0" t="n">
        <v>44.715730728985</v>
      </c>
      <c r="F16" s="0" t="n">
        <v>4365</v>
      </c>
      <c r="G16" s="0" t="n">
        <v>25.3749564004186</v>
      </c>
      <c r="H16" s="0" t="n">
        <v>4741</v>
      </c>
      <c r="I16" s="0" t="n">
        <v>3619</v>
      </c>
      <c r="J16" s="0" t="n">
        <v>21.0382513661202</v>
      </c>
      <c r="K16" s="0" t="n">
        <v>3.92</v>
      </c>
      <c r="L16" s="0" t="n">
        <v>3804</v>
      </c>
      <c r="M16" s="0" t="n">
        <v>422</v>
      </c>
      <c r="N16" s="0" t="n">
        <v>3382</v>
      </c>
      <c r="O16" s="0" t="n">
        <v>10578</v>
      </c>
      <c r="P16" s="0" t="n">
        <v>22353</v>
      </c>
      <c r="Q16" s="0" t="n">
        <v>11775</v>
      </c>
      <c r="R16" s="0" t="n">
        <v>5448</v>
      </c>
      <c r="S16" s="0" t="n">
        <v>5351</v>
      </c>
      <c r="T16" s="0" t="n">
        <v>923</v>
      </c>
      <c r="U16" s="0" t="n">
        <v>307</v>
      </c>
      <c r="V16" s="0" t="n">
        <v>0.87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23063</v>
      </c>
      <c r="C17" s="0" t="n">
        <v>12149</v>
      </c>
      <c r="D17" s="0" t="n">
        <v>10914</v>
      </c>
      <c r="E17" s="0" t="n">
        <v>47.3225512726011</v>
      </c>
      <c r="F17" s="0" t="n">
        <v>6889</v>
      </c>
      <c r="G17" s="0" t="n">
        <v>29.8703551142523</v>
      </c>
      <c r="H17" s="0" t="n">
        <v>7283</v>
      </c>
      <c r="I17" s="0" t="n">
        <v>5888</v>
      </c>
      <c r="J17" s="0" t="n">
        <v>25.5300698087846</v>
      </c>
      <c r="K17" s="0" t="n">
        <v>6.4</v>
      </c>
      <c r="L17" s="0" t="n">
        <v>5442</v>
      </c>
      <c r="M17" s="0" t="n">
        <v>668</v>
      </c>
      <c r="N17" s="0" t="n">
        <v>4774</v>
      </c>
      <c r="O17" s="0" t="n">
        <v>12247</v>
      </c>
      <c r="P17" s="0" t="n">
        <v>25825</v>
      </c>
      <c r="Q17" s="0" t="n">
        <v>13578</v>
      </c>
      <c r="R17" s="0" t="n">
        <v>5452</v>
      </c>
      <c r="S17" s="0" t="n">
        <v>4995</v>
      </c>
      <c r="T17" s="0" t="n">
        <v>919</v>
      </c>
      <c r="U17" s="0" t="n">
        <v>346</v>
      </c>
      <c r="V17" s="0" t="n">
        <v>0.94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25785</v>
      </c>
      <c r="C18" s="0" t="n">
        <v>13792</v>
      </c>
      <c r="D18" s="0" t="n">
        <v>11993</v>
      </c>
      <c r="E18" s="0" t="n">
        <v>46.5115377157262</v>
      </c>
      <c r="F18" s="0" t="n">
        <v>7788</v>
      </c>
      <c r="G18" s="0" t="n">
        <v>30.2036067481094</v>
      </c>
      <c r="H18" s="0" t="n">
        <v>8232</v>
      </c>
      <c r="I18" s="0" t="n">
        <v>6525</v>
      </c>
      <c r="J18" s="0" t="n">
        <v>25.3054101221641</v>
      </c>
      <c r="K18" s="0" t="n">
        <v>7.44</v>
      </c>
      <c r="L18" s="0" t="n">
        <v>5399</v>
      </c>
      <c r="M18" s="0" t="n">
        <v>787</v>
      </c>
      <c r="N18" s="0" t="n">
        <v>4612</v>
      </c>
      <c r="O18" s="0" t="n">
        <v>12194</v>
      </c>
      <c r="P18" s="0" t="n">
        <v>26726</v>
      </c>
      <c r="Q18" s="0" t="n">
        <v>14532</v>
      </c>
      <c r="R18" s="0" t="n">
        <v>5457</v>
      </c>
      <c r="S18" s="0" t="n">
        <v>1995</v>
      </c>
      <c r="T18" s="0" t="n">
        <v>877</v>
      </c>
      <c r="U18" s="0" t="n">
        <v>413</v>
      </c>
      <c r="V18" s="0" t="n">
        <v>1.02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26517</v>
      </c>
      <c r="C19" s="0" t="n">
        <v>14133</v>
      </c>
      <c r="D19" s="0" t="n">
        <v>12384</v>
      </c>
      <c r="E19" s="0" t="n">
        <v>46.7021156239394</v>
      </c>
      <c r="F19" s="0" t="n">
        <v>7654</v>
      </c>
      <c r="G19" s="0" t="n">
        <v>28.8645020175736</v>
      </c>
      <c r="H19" s="0" t="n">
        <v>8169</v>
      </c>
      <c r="I19" s="0" t="n">
        <v>6856</v>
      </c>
      <c r="J19" s="0" t="n">
        <v>25.855111815062</v>
      </c>
      <c r="K19" s="0" t="n">
        <v>8.11</v>
      </c>
      <c r="L19" s="0" t="n">
        <v>8700</v>
      </c>
      <c r="M19" s="0" t="n">
        <v>1106</v>
      </c>
      <c r="N19" s="0" t="n">
        <v>7594</v>
      </c>
      <c r="O19" s="0" t="n">
        <v>16349</v>
      </c>
      <c r="P19" s="0" t="n">
        <v>30729</v>
      </c>
      <c r="Q19" s="0" t="n">
        <v>14380</v>
      </c>
      <c r="R19" s="0" t="n">
        <v>5461</v>
      </c>
      <c r="S19" s="0" t="n">
        <v>6132</v>
      </c>
      <c r="T19" s="0" t="n">
        <v>845</v>
      </c>
      <c r="U19" s="0" t="n">
        <v>490</v>
      </c>
      <c r="V19" s="0" t="n">
        <v>1.22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27176</v>
      </c>
      <c r="C20" s="0" t="n">
        <v>14279</v>
      </c>
      <c r="D20" s="0" t="n">
        <v>12897</v>
      </c>
      <c r="E20" s="0" t="n">
        <v>47.4573152781866</v>
      </c>
      <c r="F20" s="0" t="n">
        <v>7867</v>
      </c>
      <c r="G20" s="0" t="n">
        <v>28.9483367677362</v>
      </c>
      <c r="H20" s="0" t="n">
        <v>8259</v>
      </c>
      <c r="I20" s="0" t="n">
        <v>7177</v>
      </c>
      <c r="J20" s="0" t="n">
        <v>26.4093317633206</v>
      </c>
      <c r="K20" s="0" t="n">
        <v>8.61</v>
      </c>
      <c r="L20" s="0" t="n">
        <v>8677</v>
      </c>
      <c r="M20" s="0" t="n">
        <v>1190</v>
      </c>
      <c r="N20" s="0" t="n">
        <v>7487</v>
      </c>
      <c r="O20" s="0" t="n">
        <v>19001</v>
      </c>
      <c r="P20" s="0" t="n">
        <v>34409</v>
      </c>
      <c r="Q20" s="0" t="n">
        <v>15408</v>
      </c>
      <c r="R20" s="0" t="n">
        <v>6160</v>
      </c>
      <c r="S20" s="0" t="n">
        <v>8022</v>
      </c>
      <c r="T20" s="0" t="n">
        <v>834</v>
      </c>
      <c r="U20" s="0" t="n">
        <v>577</v>
      </c>
      <c r="V20" s="0" t="n">
        <v>1.52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28368</v>
      </c>
      <c r="C21" s="0" t="n">
        <v>14560</v>
      </c>
      <c r="D21" s="0" t="n">
        <v>13808</v>
      </c>
      <c r="E21" s="0" t="n">
        <v>48.6745628877609</v>
      </c>
      <c r="F21" s="0" t="n">
        <v>8289</v>
      </c>
      <c r="G21" s="0" t="n">
        <v>29.2195431472081</v>
      </c>
      <c r="H21" s="0" t="n">
        <v>8724</v>
      </c>
      <c r="I21" s="0" t="n">
        <v>6998</v>
      </c>
      <c r="J21" s="0" t="n">
        <v>24.6686407219402</v>
      </c>
      <c r="K21" s="0" t="n">
        <v>8.66</v>
      </c>
      <c r="L21" s="0" t="n">
        <v>7958</v>
      </c>
      <c r="M21" s="0" t="n">
        <v>2260</v>
      </c>
      <c r="N21" s="0" t="n">
        <v>5698</v>
      </c>
      <c r="O21" s="0" t="n">
        <v>20415</v>
      </c>
      <c r="P21" s="0" t="n">
        <v>36299</v>
      </c>
      <c r="Q21" s="0" t="n">
        <v>15884</v>
      </c>
      <c r="R21" s="0" t="n">
        <v>6455</v>
      </c>
      <c r="S21" s="0" t="n">
        <v>7241</v>
      </c>
      <c r="T21" s="0" t="n">
        <v>808</v>
      </c>
      <c r="U21" s="0" t="n">
        <v>668</v>
      </c>
      <c r="V21" s="0" t="n">
        <v>1.78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474.25</v>
      </c>
    </row>
    <row r="3" customFormat="false" ht="15" hidden="false" customHeight="false" outlineLevel="0" collapsed="false">
      <c r="A3" s="0" t="s">
        <v>86</v>
      </c>
      <c r="B3" s="3" t="n">
        <v>800</v>
      </c>
    </row>
    <row r="4" customFormat="false" ht="15" hidden="false" customHeight="false" outlineLevel="0" collapsed="false">
      <c r="A4" s="0" t="s">
        <v>87</v>
      </c>
      <c r="B4" s="3" t="n">
        <v>-2789</v>
      </c>
    </row>
    <row r="5" customFormat="false" ht="15" hidden="false" customHeight="false" outlineLevel="0" collapsed="false">
      <c r="A5" s="0" t="s">
        <v>88</v>
      </c>
      <c r="B5" s="3" t="n">
        <v>4478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34287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5</v>
      </c>
      <c r="D13" s="3" t="n">
        <v>-18</v>
      </c>
      <c r="E13" s="3" t="n">
        <v>-5</v>
      </c>
      <c r="F13" s="3" t="n">
        <v>6</v>
      </c>
      <c r="G13" s="3" t="n">
        <v>5</v>
      </c>
      <c r="H13" s="3" t="n">
        <v>4</v>
      </c>
      <c r="I13" s="3" t="n">
        <v>4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108</v>
      </c>
      <c r="C14" s="3" t="n">
        <v>34.5</v>
      </c>
      <c r="D14" s="3" t="n">
        <v>29</v>
      </c>
      <c r="E14" s="3" t="n">
        <v>28</v>
      </c>
      <c r="F14" s="3" t="n">
        <v>30</v>
      </c>
      <c r="G14" s="3" t="n">
        <v>31</v>
      </c>
      <c r="H14" s="3" t="n">
        <v>31</v>
      </c>
      <c r="I14" s="3" t="n">
        <v>31</v>
      </c>
      <c r="J14" s="3" t="n">
        <v>31</v>
      </c>
      <c r="K14" s="3" t="n">
        <v>31</v>
      </c>
      <c r="L14" s="3" t="n">
        <v>31</v>
      </c>
    </row>
    <row r="15" customFormat="false" ht="15" hidden="false" customHeight="false" outlineLevel="0" collapsed="false">
      <c r="A15" s="0" t="s">
        <v>109</v>
      </c>
      <c r="C15" s="3" t="n">
        <v>3.3</v>
      </c>
      <c r="D15" s="3" t="n">
        <v>3.4</v>
      </c>
      <c r="E15" s="3" t="n">
        <v>3.4</v>
      </c>
      <c r="F15" s="3" t="n">
        <v>3.3</v>
      </c>
      <c r="G15" s="3" t="n">
        <v>3.2</v>
      </c>
      <c r="H15" s="3" t="n">
        <v>3.1</v>
      </c>
      <c r="I15" s="3" t="n">
        <v>3</v>
      </c>
      <c r="J15" s="3" t="n">
        <v>3</v>
      </c>
      <c r="K15" s="3" t="n">
        <v>3</v>
      </c>
      <c r="L15" s="3" t="n">
        <v>3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1.8</v>
      </c>
      <c r="D17" s="3" t="n">
        <v>2.1</v>
      </c>
      <c r="E17" s="3" t="n">
        <v>2.5</v>
      </c>
      <c r="F17" s="3" t="n">
        <v>2.7</v>
      </c>
      <c r="G17" s="3" t="n">
        <v>2.8</v>
      </c>
      <c r="H17" s="3" t="n">
        <v>2.9</v>
      </c>
      <c r="I17" s="3" t="n">
        <v>3</v>
      </c>
      <c r="J17" s="3" t="n">
        <v>3</v>
      </c>
      <c r="K17" s="3" t="n">
        <v>3</v>
      </c>
      <c r="L17" s="3" t="n">
        <v>3</v>
      </c>
    </row>
    <row r="18" customFormat="false" ht="15" hidden="false" customHeight="false" outlineLevel="0" collapsed="false">
      <c r="A18" s="0" t="s">
        <v>112</v>
      </c>
      <c r="C18" s="3" t="n">
        <v>7.5</v>
      </c>
      <c r="D18" s="3" t="n">
        <v>7</v>
      </c>
      <c r="E18" s="3" t="n">
        <v>6</v>
      </c>
      <c r="F18" s="3" t="n">
        <v>5</v>
      </c>
      <c r="G18" s="3" t="n">
        <v>4.5</v>
      </c>
      <c r="H18" s="3" t="n">
        <v>4.5</v>
      </c>
      <c r="I18" s="3" t="n">
        <v>4.5</v>
      </c>
      <c r="J18" s="3" t="n">
        <v>4.5</v>
      </c>
      <c r="K18" s="3" t="n">
        <v>4.5</v>
      </c>
      <c r="L18" s="3" t="n">
        <v>4.5</v>
      </c>
    </row>
    <row r="19" customFormat="false" ht="15" hidden="false" customHeight="false" outlineLevel="0" collapsed="false">
      <c r="A19" s="0" t="s">
        <v>113</v>
      </c>
      <c r="C19" s="3" t="n">
        <v>15</v>
      </c>
      <c r="D19" s="3" t="n">
        <v>15</v>
      </c>
      <c r="E19" s="3" t="n">
        <v>16</v>
      </c>
      <c r="F19" s="3" t="n">
        <v>16</v>
      </c>
      <c r="G19" s="3" t="n">
        <v>16</v>
      </c>
      <c r="H19" s="3" t="n">
        <v>16</v>
      </c>
      <c r="I19" s="3" t="n">
        <v>16</v>
      </c>
      <c r="J19" s="3" t="n">
        <v>16</v>
      </c>
      <c r="K19" s="3" t="n">
        <v>16</v>
      </c>
      <c r="L19" s="3" t="n">
        <v>16</v>
      </c>
    </row>
    <row r="20" customFormat="false" ht="15" hidden="false" customHeight="false" outlineLevel="0" collapsed="false">
      <c r="A20" s="0" t="s">
        <v>114</v>
      </c>
      <c r="B20" s="3" t="n">
        <v>10</v>
      </c>
    </row>
    <row r="21" customFormat="false" ht="15" hidden="false" customHeight="false" outlineLevel="0" collapsed="false">
      <c r="A21" s="0" t="s">
        <v>115</v>
      </c>
      <c r="B21" s="3" t="n">
        <v>2.5</v>
      </c>
    </row>
    <row r="22" customFormat="false" ht="15" hidden="false" customHeight="false" outlineLevel="0" collapsed="false">
      <c r="A22" s="0" t="s">
        <v>116</v>
      </c>
      <c r="B22" s="3" t="n">
        <v>15</v>
      </c>
    </row>
    <row r="23" customFormat="false" ht="15" hidden="false" customHeight="false" outlineLevel="0" collapsed="false">
      <c r="A23" s="0" t="s">
        <v>117</v>
      </c>
      <c r="B23" s="3" t="n">
        <v>-15</v>
      </c>
    </row>
    <row r="24" customFormat="false" ht="15" hidden="false" customHeight="false" outlineLevel="0" collapsed="false">
      <c r="A24" s="0" t="s">
        <v>118</v>
      </c>
      <c r="B24" s="3" t="n">
        <v>0.25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18</v>
      </c>
      <c r="D27" s="3" t="n">
        <v>8</v>
      </c>
      <c r="E27" s="3" t="n">
        <v>-12</v>
      </c>
      <c r="F27" s="3" t="n">
        <v>5</v>
      </c>
      <c r="G27" s="3" t="n">
        <v>7</v>
      </c>
      <c r="H27" s="3" t="n">
        <v>6</v>
      </c>
      <c r="I27" s="3" t="n">
        <v>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108</v>
      </c>
      <c r="C28" s="3" t="n">
        <v>36</v>
      </c>
      <c r="D28" s="3" t="n">
        <v>36</v>
      </c>
      <c r="E28" s="3" t="n">
        <v>31.5</v>
      </c>
      <c r="F28" s="3" t="n">
        <v>33</v>
      </c>
      <c r="G28" s="3" t="n">
        <v>33.5</v>
      </c>
      <c r="H28" s="3" t="n">
        <v>33.5</v>
      </c>
      <c r="I28" s="3" t="n">
        <v>33.5</v>
      </c>
      <c r="J28" s="3" t="n">
        <v>33.5</v>
      </c>
      <c r="K28" s="3" t="n">
        <v>33.5</v>
      </c>
      <c r="L28" s="3" t="n">
        <v>33.5</v>
      </c>
    </row>
    <row r="29" customFormat="false" ht="15" hidden="false" customHeight="false" outlineLevel="0" collapsed="false">
      <c r="A29" s="0" t="s">
        <v>109</v>
      </c>
      <c r="C29" s="3" t="n">
        <v>3.3</v>
      </c>
      <c r="D29" s="3" t="n">
        <v>3.2</v>
      </c>
      <c r="E29" s="3" t="n">
        <v>3.2</v>
      </c>
      <c r="F29" s="3" t="n">
        <v>3.1</v>
      </c>
      <c r="G29" s="3" t="n">
        <v>3.1</v>
      </c>
      <c r="H29" s="3" t="n">
        <v>3</v>
      </c>
      <c r="I29" s="3" t="n">
        <v>3</v>
      </c>
      <c r="J29" s="3" t="n">
        <v>3</v>
      </c>
      <c r="K29" s="3" t="n">
        <v>3</v>
      </c>
      <c r="L29" s="3" t="n">
        <v>3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1.8</v>
      </c>
      <c r="D31" s="3" t="n">
        <v>2</v>
      </c>
      <c r="E31" s="3" t="n">
        <v>2.3</v>
      </c>
      <c r="F31" s="3" t="n">
        <v>2.5</v>
      </c>
      <c r="G31" s="3" t="n">
        <v>2.7</v>
      </c>
      <c r="H31" s="3" t="n">
        <v>2.8</v>
      </c>
      <c r="I31" s="3" t="n">
        <v>2.9</v>
      </c>
      <c r="J31" s="3" t="n">
        <v>3</v>
      </c>
      <c r="K31" s="3" t="n">
        <v>3</v>
      </c>
      <c r="L31" s="3" t="n">
        <v>3</v>
      </c>
    </row>
    <row r="32" customFormat="false" ht="15" hidden="false" customHeight="false" outlineLevel="0" collapsed="false">
      <c r="A32" s="0" t="s">
        <v>112</v>
      </c>
      <c r="C32" s="3" t="n">
        <v>7</v>
      </c>
      <c r="D32" s="3" t="n">
        <v>6</v>
      </c>
      <c r="E32" s="3" t="n">
        <v>5.5</v>
      </c>
      <c r="F32" s="3" t="n">
        <v>5</v>
      </c>
      <c r="G32" s="3" t="n">
        <v>4.5</v>
      </c>
      <c r="H32" s="3" t="n">
        <v>4.5</v>
      </c>
      <c r="I32" s="3" t="n">
        <v>4.5</v>
      </c>
      <c r="J32" s="3" t="n">
        <v>4.5</v>
      </c>
      <c r="K32" s="3" t="n">
        <v>4.5</v>
      </c>
      <c r="L32" s="3" t="n">
        <v>4.5</v>
      </c>
    </row>
    <row r="33" customFormat="false" ht="15" hidden="false" customHeight="false" outlineLevel="0" collapsed="false">
      <c r="A33" s="0" t="s">
        <v>113</v>
      </c>
      <c r="C33" s="3" t="n">
        <v>15</v>
      </c>
      <c r="D33" s="3" t="n">
        <v>15</v>
      </c>
      <c r="E33" s="3" t="n">
        <v>16</v>
      </c>
      <c r="F33" s="3" t="n">
        <v>16</v>
      </c>
      <c r="G33" s="3" t="n">
        <v>16</v>
      </c>
      <c r="H33" s="3" t="n">
        <v>16</v>
      </c>
      <c r="I33" s="3" t="n">
        <v>16</v>
      </c>
      <c r="J33" s="3" t="n">
        <v>16</v>
      </c>
      <c r="K33" s="3" t="n">
        <v>16</v>
      </c>
      <c r="L33" s="3" t="n">
        <v>16</v>
      </c>
    </row>
    <row r="34" customFormat="false" ht="15" hidden="false" customHeight="false" outlineLevel="0" collapsed="false">
      <c r="A34" s="0" t="s">
        <v>114</v>
      </c>
      <c r="B34" s="3" t="n">
        <v>10</v>
      </c>
    </row>
    <row r="35" customFormat="false" ht="15" hidden="false" customHeight="false" outlineLevel="0" collapsed="false">
      <c r="A35" s="0" t="s">
        <v>115</v>
      </c>
      <c r="B35" s="3" t="n">
        <v>3</v>
      </c>
    </row>
    <row r="36" customFormat="false" ht="15" hidden="false" customHeight="false" outlineLevel="0" collapsed="false">
      <c r="A36" s="0" t="s">
        <v>116</v>
      </c>
      <c r="B36" s="3" t="n">
        <v>15</v>
      </c>
    </row>
    <row r="37" customFormat="false" ht="15" hidden="false" customHeight="false" outlineLevel="0" collapsed="false">
      <c r="A37" s="0" t="s">
        <v>117</v>
      </c>
      <c r="B37" s="3" t="n">
        <v>-15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28</v>
      </c>
      <c r="D41" s="3" t="n">
        <v>15</v>
      </c>
      <c r="E41" s="3" t="n">
        <v>-5</v>
      </c>
      <c r="F41" s="3" t="n">
        <v>8</v>
      </c>
      <c r="G41" s="3" t="n">
        <v>9</v>
      </c>
      <c r="H41" s="3" t="n">
        <v>8</v>
      </c>
      <c r="I41" s="3" t="n">
        <v>7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108</v>
      </c>
      <c r="C42" s="3" t="n">
        <v>37</v>
      </c>
      <c r="D42" s="3" t="n">
        <v>38</v>
      </c>
      <c r="E42" s="3" t="n">
        <v>35</v>
      </c>
      <c r="F42" s="3" t="n">
        <v>36</v>
      </c>
      <c r="G42" s="3" t="n">
        <v>36</v>
      </c>
      <c r="H42" s="3" t="n">
        <v>36</v>
      </c>
      <c r="I42" s="3" t="n">
        <v>36</v>
      </c>
      <c r="J42" s="3" t="n">
        <v>36</v>
      </c>
      <c r="K42" s="3" t="n">
        <v>36</v>
      </c>
      <c r="L42" s="3" t="n">
        <v>36</v>
      </c>
    </row>
    <row r="43" customFormat="false" ht="15" hidden="false" customHeight="false" outlineLevel="0" collapsed="false">
      <c r="A43" s="0" t="s">
        <v>109</v>
      </c>
      <c r="C43" s="3" t="n">
        <v>3.3</v>
      </c>
      <c r="D43" s="3" t="n">
        <v>3.2</v>
      </c>
      <c r="E43" s="3" t="n">
        <v>3.2</v>
      </c>
      <c r="F43" s="3" t="n">
        <v>3.1</v>
      </c>
      <c r="G43" s="3" t="n">
        <v>3.1</v>
      </c>
      <c r="H43" s="3" t="n">
        <v>3</v>
      </c>
      <c r="I43" s="3" t="n">
        <v>3</v>
      </c>
      <c r="J43" s="3" t="n">
        <v>3</v>
      </c>
      <c r="K43" s="3" t="n">
        <v>3</v>
      </c>
      <c r="L43" s="3" t="n">
        <v>3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1.8</v>
      </c>
      <c r="D45" s="3" t="n">
        <v>2</v>
      </c>
      <c r="E45" s="3" t="n">
        <v>2.3</v>
      </c>
      <c r="F45" s="3" t="n">
        <v>2.5</v>
      </c>
      <c r="G45" s="3" t="n">
        <v>2.7</v>
      </c>
      <c r="H45" s="3" t="n">
        <v>2.8</v>
      </c>
      <c r="I45" s="3" t="n">
        <v>2.9</v>
      </c>
      <c r="J45" s="3" t="n">
        <v>3</v>
      </c>
      <c r="K45" s="3" t="n">
        <v>3</v>
      </c>
      <c r="L45" s="3" t="n">
        <v>3</v>
      </c>
    </row>
    <row r="46" customFormat="false" ht="15" hidden="false" customHeight="false" outlineLevel="0" collapsed="false">
      <c r="A46" s="0" t="s">
        <v>112</v>
      </c>
      <c r="C46" s="3" t="n">
        <v>6.5</v>
      </c>
      <c r="D46" s="3" t="n">
        <v>5.5</v>
      </c>
      <c r="E46" s="3" t="n">
        <v>5</v>
      </c>
      <c r="F46" s="3" t="n">
        <v>4.5</v>
      </c>
      <c r="G46" s="3" t="n">
        <v>4.5</v>
      </c>
      <c r="H46" s="3" t="n">
        <v>4.5</v>
      </c>
      <c r="I46" s="3" t="n">
        <v>4.5</v>
      </c>
      <c r="J46" s="3" t="n">
        <v>4.5</v>
      </c>
      <c r="K46" s="3" t="n">
        <v>4.5</v>
      </c>
      <c r="L46" s="3" t="n">
        <v>4.5</v>
      </c>
    </row>
    <row r="47" customFormat="false" ht="15" hidden="false" customHeight="false" outlineLevel="0" collapsed="false">
      <c r="A47" s="0" t="s">
        <v>113</v>
      </c>
      <c r="C47" s="3" t="n">
        <v>15</v>
      </c>
      <c r="D47" s="3" t="n">
        <v>15</v>
      </c>
      <c r="E47" s="3" t="n">
        <v>16</v>
      </c>
      <c r="F47" s="3" t="n">
        <v>16</v>
      </c>
      <c r="G47" s="3" t="n">
        <v>16</v>
      </c>
      <c r="H47" s="3" t="n">
        <v>16</v>
      </c>
      <c r="I47" s="3" t="n">
        <v>16</v>
      </c>
      <c r="J47" s="3" t="n">
        <v>16</v>
      </c>
      <c r="K47" s="3" t="n">
        <v>16</v>
      </c>
      <c r="L47" s="3" t="n">
        <v>16</v>
      </c>
    </row>
    <row r="48" customFormat="false" ht="15" hidden="false" customHeight="false" outlineLevel="0" collapsed="false">
      <c r="A48" s="0" t="s">
        <v>114</v>
      </c>
      <c r="B48" s="3" t="n">
        <v>10</v>
      </c>
    </row>
    <row r="49" customFormat="false" ht="15" hidden="false" customHeight="false" outlineLevel="0" collapsed="false">
      <c r="A49" s="0" t="s">
        <v>115</v>
      </c>
      <c r="B49" s="3" t="n">
        <v>3.5</v>
      </c>
    </row>
    <row r="50" customFormat="false" ht="15" hidden="false" customHeight="false" outlineLevel="0" collapsed="false">
      <c r="A50" s="0" t="s">
        <v>116</v>
      </c>
      <c r="B50" s="3" t="n">
        <v>15</v>
      </c>
    </row>
    <row r="51" customFormat="false" ht="15" hidden="false" customHeight="false" outlineLevel="0" collapsed="false">
      <c r="A51" s="0" t="s">
        <v>117</v>
      </c>
      <c r="B51" s="3" t="n">
        <v>-15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5</v>
      </c>
      <c r="D5" s="4" t="n">
        <f aca="false">Assumptions!D13</f>
        <v>-18</v>
      </c>
      <c r="E5" s="4" t="n">
        <f aca="false">Assumptions!E13</f>
        <v>-5</v>
      </c>
      <c r="F5" s="4" t="n">
        <f aca="false">Assumptions!F13</f>
        <v>6</v>
      </c>
      <c r="G5" s="4" t="n">
        <f aca="false">Assumptions!G13</f>
        <v>5</v>
      </c>
      <c r="H5" s="4" t="n">
        <f aca="false">Assumptions!H13</f>
        <v>4</v>
      </c>
      <c r="I5" s="4" t="n">
        <f aca="false">Assumptions!I13</f>
        <v>4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34287</v>
      </c>
      <c r="C6" s="0" t="n">
        <f aca="false">B6*(1+C5/100)</f>
        <v>36001.35</v>
      </c>
      <c r="D6" s="0" t="n">
        <f aca="false">C6*(1+D5/100)</f>
        <v>29521.107</v>
      </c>
      <c r="E6" s="0" t="n">
        <f aca="false">D6*(1+E5/100)</f>
        <v>28045.05165</v>
      </c>
      <c r="F6" s="0" t="n">
        <f aca="false">E6*(1+F5/100)</f>
        <v>29727.754749</v>
      </c>
      <c r="G6" s="0" t="n">
        <f aca="false">F6*(1+G5/100)</f>
        <v>31214.14248645</v>
      </c>
      <c r="H6" s="0" t="n">
        <f aca="false">G6*(1+H5/100)</f>
        <v>32462.708185908</v>
      </c>
      <c r="I6" s="0" t="n">
        <f aca="false">H6*(1+I5/100)</f>
        <v>33761.2165133443</v>
      </c>
      <c r="J6" s="0" t="n">
        <f aca="false">I6*(1+J5/100)</f>
        <v>34774.0530087447</v>
      </c>
      <c r="K6" s="0" t="n">
        <f aca="false">J6*(1+K5/100)</f>
        <v>35817.274599007</v>
      </c>
      <c r="L6" s="0" t="n">
        <f aca="false">K6*(1+L5/100)</f>
        <v>36891.7928369772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34.5</v>
      </c>
      <c r="D7" s="4" t="n">
        <f aca="false">Assumptions!D14</f>
        <v>29</v>
      </c>
      <c r="E7" s="4" t="n">
        <f aca="false">Assumptions!E14</f>
        <v>28</v>
      </c>
      <c r="F7" s="4" t="n">
        <f aca="false">Assumptions!F14</f>
        <v>30</v>
      </c>
      <c r="G7" s="4" t="n">
        <f aca="false">Assumptions!G14</f>
        <v>31</v>
      </c>
      <c r="H7" s="4" t="n">
        <f aca="false">Assumptions!H14</f>
        <v>31</v>
      </c>
      <c r="I7" s="4" t="n">
        <f aca="false">Assumptions!I14</f>
        <v>31</v>
      </c>
      <c r="J7" s="4" t="n">
        <f aca="false">Assumptions!J14</f>
        <v>31</v>
      </c>
      <c r="K7" s="4" t="n">
        <f aca="false">Assumptions!K14</f>
        <v>31</v>
      </c>
      <c r="L7" s="4" t="n">
        <f aca="false">Assumptions!L14</f>
        <v>31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12420.46575</v>
      </c>
      <c r="D8" s="0" t="n">
        <f aca="false">D6*D7/100</f>
        <v>8561.12103</v>
      </c>
      <c r="E8" s="0" t="n">
        <f aca="false">E6*E7/100</f>
        <v>7852.614462</v>
      </c>
      <c r="F8" s="0" t="n">
        <f aca="false">F6*F7/100</f>
        <v>8918.3264247</v>
      </c>
      <c r="G8" s="0" t="n">
        <f aca="false">G6*G7/100</f>
        <v>9676.3841707995</v>
      </c>
      <c r="H8" s="0" t="n">
        <f aca="false">H6*H7/100</f>
        <v>10063.4395376315</v>
      </c>
      <c r="I8" s="0" t="n">
        <f aca="false">I6*I7/100</f>
        <v>10465.9771191367</v>
      </c>
      <c r="J8" s="0" t="n">
        <f aca="false">J6*J7/100</f>
        <v>10779.9564327108</v>
      </c>
      <c r="K8" s="0" t="n">
        <f aca="false">K6*K7/100</f>
        <v>11103.3551256922</v>
      </c>
      <c r="L8" s="0" t="n">
        <f aca="false">L6*L7/100</f>
        <v>11436.4557794629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3.3</v>
      </c>
      <c r="D9" s="4" t="n">
        <f aca="false">Assumptions!D15</f>
        <v>3.4</v>
      </c>
      <c r="E9" s="4" t="n">
        <f aca="false">Assumptions!E15</f>
        <v>3.4</v>
      </c>
      <c r="F9" s="4" t="n">
        <f aca="false">Assumptions!F15</f>
        <v>3.3</v>
      </c>
      <c r="G9" s="4" t="n">
        <f aca="false">Assumptions!G15</f>
        <v>3.2</v>
      </c>
      <c r="H9" s="4" t="n">
        <f aca="false">Assumptions!H15</f>
        <v>3.1</v>
      </c>
      <c r="I9" s="4" t="n">
        <f aca="false">Assumptions!I15</f>
        <v>3</v>
      </c>
      <c r="J9" s="4" t="n">
        <f aca="false">Assumptions!J15</f>
        <v>3</v>
      </c>
      <c r="K9" s="4" t="n">
        <f aca="false">Assumptions!K15</f>
        <v>3</v>
      </c>
      <c r="L9" s="4" t="n">
        <f aca="false">Assumptions!L15</f>
        <v>3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-1188.04455</v>
      </c>
      <c r="D10" s="0" t="n">
        <f aca="false">-D6*D9/100</f>
        <v>-1003.717638</v>
      </c>
      <c r="E10" s="0" t="n">
        <f aca="false">-E6*E9/100</f>
        <v>-953.5317561</v>
      </c>
      <c r="F10" s="0" t="n">
        <f aca="false">-F6*F9/100</f>
        <v>-981.015906717</v>
      </c>
      <c r="G10" s="0" t="n">
        <f aca="false">-G6*G9/100</f>
        <v>-998.8525595664</v>
      </c>
      <c r="H10" s="0" t="n">
        <f aca="false">-H6*H9/100</f>
        <v>-1006.34395376315</v>
      </c>
      <c r="I10" s="0" t="n">
        <f aca="false">-I6*I9/100</f>
        <v>-1012.83649540033</v>
      </c>
      <c r="J10" s="0" t="n">
        <f aca="false">-J6*J9/100</f>
        <v>-1043.22159026234</v>
      </c>
      <c r="K10" s="0" t="n">
        <f aca="false">-K6*K9/100</f>
        <v>-1074.51823797021</v>
      </c>
      <c r="L10" s="0" t="n">
        <f aca="false">-L6*L9/100</f>
        <v>-1106.75378510932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11232.4212</v>
      </c>
      <c r="D11" s="0" t="n">
        <f aca="false">D8+D10+D24</f>
        <v>7557.403392</v>
      </c>
      <c r="E11" s="0" t="n">
        <f aca="false">E8+E10+E24</f>
        <v>6899.0827059</v>
      </c>
      <c r="F11" s="0" t="n">
        <f aca="false">F8+F10+F24</f>
        <v>7937.310517983</v>
      </c>
      <c r="G11" s="0" t="n">
        <f aca="false">G8+G10+G24</f>
        <v>8677.5316112331</v>
      </c>
      <c r="H11" s="0" t="n">
        <f aca="false">H8+H10+H24</f>
        <v>9057.09558386833</v>
      </c>
      <c r="I11" s="0" t="n">
        <f aca="false">I8+I10+I24</f>
        <v>9453.14062373641</v>
      </c>
      <c r="J11" s="0" t="n">
        <f aca="false">J8+J10+J24</f>
        <v>9736.7348424485</v>
      </c>
      <c r="K11" s="0" t="n">
        <f aca="false">K8+K10+K24</f>
        <v>10028.836887722</v>
      </c>
      <c r="L11" s="0" t="n">
        <f aca="false">L8+L10+L24</f>
        <v>10329.7019943536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-648.0243</v>
      </c>
      <c r="D12" s="4" t="n">
        <f aca="false">-D6*Assumptions!D17/100</f>
        <v>-619.943247</v>
      </c>
      <c r="E12" s="4" t="n">
        <f aca="false">-E6*Assumptions!E17/100</f>
        <v>-701.12629125</v>
      </c>
      <c r="F12" s="4" t="n">
        <f aca="false">-F6*Assumptions!F17/100</f>
        <v>-802.649378223</v>
      </c>
      <c r="G12" s="4" t="n">
        <f aca="false">-G6*Assumptions!G17/100</f>
        <v>-873.9959896206</v>
      </c>
      <c r="H12" s="4" t="n">
        <f aca="false">-H6*Assumptions!H17/100</f>
        <v>-941.418537391332</v>
      </c>
      <c r="I12" s="4" t="n">
        <f aca="false">-I6*Assumptions!I17/100</f>
        <v>-1012.83649540033</v>
      </c>
      <c r="J12" s="4" t="n">
        <f aca="false">-J6*Assumptions!J17/100</f>
        <v>-1043.22159026234</v>
      </c>
      <c r="K12" s="4" t="n">
        <f aca="false">-K6*Assumptions!K17/100</f>
        <v>-1074.51823797021</v>
      </c>
      <c r="L12" s="4" t="n">
        <f aca="false">-L6*Assumptions!L17/100</f>
        <v>-1106.75378510932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10584.3969</v>
      </c>
      <c r="D13" s="0" t="n">
        <f aca="false">D11+D12</f>
        <v>6937.460145</v>
      </c>
      <c r="E13" s="0" t="n">
        <f aca="false">E11+E12</f>
        <v>6197.95641465</v>
      </c>
      <c r="F13" s="0" t="n">
        <f aca="false">F11+F12</f>
        <v>7134.66113976</v>
      </c>
      <c r="G13" s="0" t="n">
        <f aca="false">G11+G12</f>
        <v>7803.5356216125</v>
      </c>
      <c r="H13" s="0" t="n">
        <f aca="false">H11+H12</f>
        <v>8115.677046477</v>
      </c>
      <c r="I13" s="0" t="n">
        <f aca="false">I11+I12</f>
        <v>8440.30412833608</v>
      </c>
      <c r="J13" s="0" t="n">
        <f aca="false">J11+J12</f>
        <v>8693.51325218617</v>
      </c>
      <c r="K13" s="0" t="n">
        <f aca="false">K11+K12</f>
        <v>8954.31864975175</v>
      </c>
      <c r="L13" s="0" t="n">
        <f aca="false">L11+L12</f>
        <v>9222.9482092443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15</v>
      </c>
      <c r="D14" s="4" t="n">
        <f aca="false">Assumptions!D19</f>
        <v>15</v>
      </c>
      <c r="E14" s="4" t="n">
        <f aca="false">Assumptions!E19</f>
        <v>16</v>
      </c>
      <c r="F14" s="4" t="n">
        <f aca="false">Assumptions!F19</f>
        <v>16</v>
      </c>
      <c r="G14" s="4" t="n">
        <f aca="false">Assumptions!G19</f>
        <v>16</v>
      </c>
      <c r="H14" s="4" t="n">
        <f aca="false">Assumptions!H19</f>
        <v>16</v>
      </c>
      <c r="I14" s="4" t="n">
        <f aca="false">Assumptions!I19</f>
        <v>16</v>
      </c>
      <c r="J14" s="4" t="n">
        <f aca="false">Assumptions!J19</f>
        <v>16</v>
      </c>
      <c r="K14" s="4" t="n">
        <f aca="false">Assumptions!K19</f>
        <v>16</v>
      </c>
      <c r="L14" s="4" t="n">
        <f aca="false">Assumptions!L19</f>
        <v>16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8996.737365</v>
      </c>
      <c r="D15" s="0" t="n">
        <f aca="false">D13-MAX(0,D13)*D14/100</f>
        <v>5896.84112325</v>
      </c>
      <c r="E15" s="0" t="n">
        <f aca="false">E13-MAX(0,E13)*E14/100</f>
        <v>5206.283388306</v>
      </c>
      <c r="F15" s="0" t="n">
        <f aca="false">F13-MAX(0,F13)*F14/100</f>
        <v>5993.1153573984</v>
      </c>
      <c r="G15" s="0" t="n">
        <f aca="false">G13-MAX(0,G13)*G14/100</f>
        <v>6554.9699221545</v>
      </c>
      <c r="H15" s="0" t="n">
        <f aca="false">H13-MAX(0,H13)*H14/100</f>
        <v>6817.16871904068</v>
      </c>
      <c r="I15" s="0" t="n">
        <f aca="false">I13-MAX(0,I13)*I14/100</f>
        <v>7089.85546780231</v>
      </c>
      <c r="J15" s="0" t="n">
        <f aca="false">J13-MAX(0,J13)*J14/100</f>
        <v>7302.55113183638</v>
      </c>
      <c r="K15" s="0" t="n">
        <f aca="false">K13-MAX(0,K13)*K14/100</f>
        <v>7521.62766579147</v>
      </c>
      <c r="L15" s="0" t="n">
        <f aca="false">L13-MAX(0,L13)*L14/100</f>
        <v>7747.27649576521</v>
      </c>
    </row>
    <row r="16" customFormat="false" ht="15" hidden="false" customHeight="false" outlineLevel="0" collapsed="false">
      <c r="A16" s="0" t="s">
        <v>129</v>
      </c>
      <c r="C16" s="0" t="n">
        <f aca="false">-C12</f>
        <v>648.0243</v>
      </c>
      <c r="D16" s="0" t="n">
        <f aca="false">-D12</f>
        <v>619.943247</v>
      </c>
      <c r="E16" s="0" t="n">
        <f aca="false">-E12</f>
        <v>701.12629125</v>
      </c>
      <c r="F16" s="0" t="n">
        <f aca="false">-F12</f>
        <v>802.649378223</v>
      </c>
      <c r="G16" s="0" t="n">
        <f aca="false">-G12</f>
        <v>873.9959896206</v>
      </c>
      <c r="H16" s="0" t="n">
        <f aca="false">-H12</f>
        <v>941.418537391332</v>
      </c>
      <c r="I16" s="0" t="n">
        <f aca="false">-I12</f>
        <v>1012.83649540033</v>
      </c>
      <c r="J16" s="0" t="n">
        <f aca="false">-J12</f>
        <v>1043.22159026234</v>
      </c>
      <c r="K16" s="0" t="n">
        <f aca="false">-K12</f>
        <v>1074.51823797021</v>
      </c>
      <c r="L16" s="0" t="n">
        <f aca="false">-L12</f>
        <v>1106.75378510932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-2700.10125</v>
      </c>
      <c r="D17" s="4" t="n">
        <f aca="false">-D6*Assumptions!D18/100</f>
        <v>-2066.47749</v>
      </c>
      <c r="E17" s="4" t="n">
        <f aca="false">-E6*Assumptions!E18/100</f>
        <v>-1682.703099</v>
      </c>
      <c r="F17" s="4" t="n">
        <f aca="false">-F6*Assumptions!F18/100</f>
        <v>-1486.38773745</v>
      </c>
      <c r="G17" s="4" t="n">
        <f aca="false">-G6*Assumptions!G18/100</f>
        <v>-1404.63641189025</v>
      </c>
      <c r="H17" s="4" t="n">
        <f aca="false">-H6*Assumptions!H18/100</f>
        <v>-1460.82186836586</v>
      </c>
      <c r="I17" s="4" t="n">
        <f aca="false">-I6*Assumptions!I18/100</f>
        <v>-1519.25474310049</v>
      </c>
      <c r="J17" s="4" t="n">
        <f aca="false">-J6*Assumptions!J18/100</f>
        <v>-1564.83238539351</v>
      </c>
      <c r="K17" s="4" t="n">
        <f aca="false">-K6*Assumptions!K18/100</f>
        <v>-1611.77735695532</v>
      </c>
      <c r="L17" s="4" t="n">
        <f aca="false">-L6*Assumptions!L18/100</f>
        <v>-1660.13067766397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-257.1525</v>
      </c>
      <c r="D18" s="4" t="n">
        <f aca="false">(D6-C6)*Assumptions!$B$23/100</f>
        <v>972.03645</v>
      </c>
      <c r="E18" s="4" t="n">
        <f aca="false">(E6-D6)*Assumptions!$B$23/100</f>
        <v>221.4083025</v>
      </c>
      <c r="F18" s="4" t="n">
        <f aca="false">(F6-E6)*Assumptions!$B$23/100</f>
        <v>-252.40546485</v>
      </c>
      <c r="G18" s="4" t="n">
        <f aca="false">(G6-F6)*Assumptions!$B$23/100</f>
        <v>-222.9581606175</v>
      </c>
      <c r="H18" s="4" t="n">
        <f aca="false">(H6-G6)*Assumptions!$B$23/100</f>
        <v>-187.2848549187</v>
      </c>
      <c r="I18" s="4" t="n">
        <f aca="false">(I6-H6)*Assumptions!$B$23/100</f>
        <v>-194.776249115449</v>
      </c>
      <c r="J18" s="4" t="n">
        <f aca="false">(J6-I6)*Assumptions!$B$23/100</f>
        <v>-151.92547431005</v>
      </c>
      <c r="K18" s="4" t="n">
        <f aca="false">(K6-J6)*Assumptions!$B$23/100</f>
        <v>-156.483238539351</v>
      </c>
      <c r="L18" s="4" t="n">
        <f aca="false">(L6-K6)*Assumptions!$B$23/100</f>
        <v>-161.177735695531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6687.507915</v>
      </c>
      <c r="D19" s="0" t="n">
        <f aca="false">D15+D16+D17+D18</f>
        <v>5422.34333025</v>
      </c>
      <c r="E19" s="0" t="n">
        <f aca="false">E15+E16+E17+E18</f>
        <v>4446.114883056</v>
      </c>
      <c r="F19" s="0" t="n">
        <f aca="false">F15+F16+F17+F18</f>
        <v>5056.9715333214</v>
      </c>
      <c r="G19" s="0" t="n">
        <f aca="false">G15+G16+G17+G18</f>
        <v>5801.37133926735</v>
      </c>
      <c r="H19" s="0" t="n">
        <f aca="false">H15+H16+H17+H18</f>
        <v>6110.48053314745</v>
      </c>
      <c r="I19" s="0" t="n">
        <f aca="false">I15+I16+I17+I18</f>
        <v>6388.66097098669</v>
      </c>
      <c r="J19" s="0" t="n">
        <f aca="false">J15+J16+J17+J18</f>
        <v>6629.01486239516</v>
      </c>
      <c r="K19" s="0" t="n">
        <f aca="false">K15+K16+K17+K18</f>
        <v>6827.88530826702</v>
      </c>
      <c r="L19" s="0" t="n">
        <f aca="false">L15+L16+L17+L18</f>
        <v>7032.72186751502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6079.55265</v>
      </c>
      <c r="D21" s="0" t="n">
        <f aca="false">D19*D20</f>
        <v>4481.27547954545</v>
      </c>
      <c r="E21" s="0" t="n">
        <f aca="false">E19*E20</f>
        <v>3340.43191814876</v>
      </c>
      <c r="F21" s="0" t="n">
        <f aca="false">F19*F20</f>
        <v>3453.97960065665</v>
      </c>
      <c r="G21" s="0" t="n">
        <f aca="false">G19*G20</f>
        <v>3602.19516753534</v>
      </c>
      <c r="H21" s="0" t="n">
        <f aca="false">H19*H20</f>
        <v>3449.20696106284</v>
      </c>
      <c r="I21" s="0" t="n">
        <f aca="false">I19*I20</f>
        <v>3278.39324188549</v>
      </c>
      <c r="J21" s="0" t="n">
        <f aca="false">J19*J20</f>
        <v>3092.48435682735</v>
      </c>
      <c r="K21" s="0" t="n">
        <f aca="false">K19*K20</f>
        <v>2895.68989775652</v>
      </c>
      <c r="L21" s="0" t="n">
        <f aca="false">L19*L20</f>
        <v>2711.41872244474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36384.6279958631</v>
      </c>
    </row>
    <row r="31" customFormat="false" ht="15" hidden="false" customHeight="false" outlineLevel="0" collapsed="false">
      <c r="A31" s="0" t="s">
        <v>138</v>
      </c>
      <c r="B31" s="0" t="n">
        <f aca="false">L19</f>
        <v>7032.72186751502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96113.8655227053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105490.828012725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96113.8655227053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37056.0558734114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73440.6838692746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80707.6838692746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100.884604836593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-0.787275477413615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6373.09053581405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5831.58709696162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116.140451877563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57668.3193136232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63.7823170865622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18</v>
      </c>
      <c r="D5" s="4" t="n">
        <f aca="false">Assumptions!D27</f>
        <v>8</v>
      </c>
      <c r="E5" s="4" t="n">
        <f aca="false">Assumptions!E27</f>
        <v>-12</v>
      </c>
      <c r="F5" s="4" t="n">
        <f aca="false">Assumptions!F27</f>
        <v>5</v>
      </c>
      <c r="G5" s="4" t="n">
        <f aca="false">Assumptions!G27</f>
        <v>7</v>
      </c>
      <c r="H5" s="4" t="n">
        <f aca="false">Assumptions!H27</f>
        <v>6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34287</v>
      </c>
      <c r="C6" s="0" t="n">
        <f aca="false">B6*(1+C5/100)</f>
        <v>40458.66</v>
      </c>
      <c r="D6" s="0" t="n">
        <f aca="false">C6*(1+D5/100)</f>
        <v>43695.3528</v>
      </c>
      <c r="E6" s="0" t="n">
        <f aca="false">D6*(1+E5/100)</f>
        <v>38451.910464</v>
      </c>
      <c r="F6" s="0" t="n">
        <f aca="false">E6*(1+F5/100)</f>
        <v>40374.5059872</v>
      </c>
      <c r="G6" s="0" t="n">
        <f aca="false">F6*(1+G5/100)</f>
        <v>43200.721406304</v>
      </c>
      <c r="H6" s="0" t="n">
        <f aca="false">G6*(1+H5/100)</f>
        <v>45792.7646906823</v>
      </c>
      <c r="I6" s="0" t="n">
        <f aca="false">H6*(1+I5/100)</f>
        <v>48082.4029252164</v>
      </c>
      <c r="J6" s="0" t="n">
        <f aca="false">I6*(1+J5/100)</f>
        <v>50246.1110568511</v>
      </c>
      <c r="K6" s="0" t="n">
        <f aca="false">J6*(1+K5/100)</f>
        <v>52255.9554991251</v>
      </c>
      <c r="L6" s="0" t="n">
        <f aca="false">K6*(1+L5/100)</f>
        <v>54084.9139415945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36</v>
      </c>
      <c r="D7" s="4" t="n">
        <f aca="false">Assumptions!D28</f>
        <v>36</v>
      </c>
      <c r="E7" s="4" t="n">
        <f aca="false">Assumptions!E28</f>
        <v>31.5</v>
      </c>
      <c r="F7" s="4" t="n">
        <f aca="false">Assumptions!F28</f>
        <v>33</v>
      </c>
      <c r="G7" s="4" t="n">
        <f aca="false">Assumptions!G28</f>
        <v>33.5</v>
      </c>
      <c r="H7" s="4" t="n">
        <f aca="false">Assumptions!H28</f>
        <v>33.5</v>
      </c>
      <c r="I7" s="4" t="n">
        <f aca="false">Assumptions!I28</f>
        <v>33.5</v>
      </c>
      <c r="J7" s="4" t="n">
        <f aca="false">Assumptions!J28</f>
        <v>33.5</v>
      </c>
      <c r="K7" s="4" t="n">
        <f aca="false">Assumptions!K28</f>
        <v>33.5</v>
      </c>
      <c r="L7" s="4" t="n">
        <f aca="false">Assumptions!L28</f>
        <v>33.5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14565.1176</v>
      </c>
      <c r="D8" s="0" t="n">
        <f aca="false">D6*D7/100</f>
        <v>15730.327008</v>
      </c>
      <c r="E8" s="0" t="n">
        <f aca="false">E6*E7/100</f>
        <v>12112.35179616</v>
      </c>
      <c r="F8" s="0" t="n">
        <f aca="false">F6*F7/100</f>
        <v>13323.586975776</v>
      </c>
      <c r="G8" s="0" t="n">
        <f aca="false">G6*G7/100</f>
        <v>14472.2416711118</v>
      </c>
      <c r="H8" s="0" t="n">
        <f aca="false">H6*H7/100</f>
        <v>15340.5761713786</v>
      </c>
      <c r="I8" s="0" t="n">
        <f aca="false">I6*I7/100</f>
        <v>16107.6049799475</v>
      </c>
      <c r="J8" s="0" t="n">
        <f aca="false">J6*J7/100</f>
        <v>16832.4472040451</v>
      </c>
      <c r="K8" s="0" t="n">
        <f aca="false">K6*K7/100</f>
        <v>17505.7450922069</v>
      </c>
      <c r="L8" s="0" t="n">
        <f aca="false">L6*L7/100</f>
        <v>18118.4461704342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3.3</v>
      </c>
      <c r="D9" s="4" t="n">
        <f aca="false">Assumptions!D29</f>
        <v>3.2</v>
      </c>
      <c r="E9" s="4" t="n">
        <f aca="false">Assumptions!E29</f>
        <v>3.2</v>
      </c>
      <c r="F9" s="4" t="n">
        <f aca="false">Assumptions!F29</f>
        <v>3.1</v>
      </c>
      <c r="G9" s="4" t="n">
        <f aca="false">Assumptions!G29</f>
        <v>3.1</v>
      </c>
      <c r="H9" s="4" t="n">
        <f aca="false">Assumptions!H29</f>
        <v>3</v>
      </c>
      <c r="I9" s="4" t="n">
        <f aca="false">Assumptions!I29</f>
        <v>3</v>
      </c>
      <c r="J9" s="4" t="n">
        <f aca="false">Assumptions!J29</f>
        <v>3</v>
      </c>
      <c r="K9" s="4" t="n">
        <f aca="false">Assumptions!K29</f>
        <v>3</v>
      </c>
      <c r="L9" s="4" t="n">
        <f aca="false">Assumptions!L29</f>
        <v>3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-1335.13578</v>
      </c>
      <c r="D10" s="0" t="n">
        <f aca="false">-D6*D9/100</f>
        <v>-1398.2512896</v>
      </c>
      <c r="E10" s="0" t="n">
        <f aca="false">-E6*E9/100</f>
        <v>-1230.461134848</v>
      </c>
      <c r="F10" s="0" t="n">
        <f aca="false">-F6*F9/100</f>
        <v>-1251.6096856032</v>
      </c>
      <c r="G10" s="0" t="n">
        <f aca="false">-G6*G9/100</f>
        <v>-1339.22236359542</v>
      </c>
      <c r="H10" s="0" t="n">
        <f aca="false">-H6*H9/100</f>
        <v>-1373.78294072047</v>
      </c>
      <c r="I10" s="0" t="n">
        <f aca="false">-I6*I9/100</f>
        <v>-1442.47208775649</v>
      </c>
      <c r="J10" s="0" t="n">
        <f aca="false">-J6*J9/100</f>
        <v>-1507.38333170553</v>
      </c>
      <c r="K10" s="0" t="n">
        <f aca="false">-K6*K9/100</f>
        <v>-1567.67866497375</v>
      </c>
      <c r="L10" s="0" t="n">
        <f aca="false">-L6*L9/100</f>
        <v>-1622.54741824784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13229.98182</v>
      </c>
      <c r="D11" s="0" t="n">
        <f aca="false">D8+D10+D24</f>
        <v>14332.0757184</v>
      </c>
      <c r="E11" s="0" t="n">
        <f aca="false">E8+E10+E24</f>
        <v>10881.890661312</v>
      </c>
      <c r="F11" s="0" t="n">
        <f aca="false">F8+F10+F24</f>
        <v>12071.9772901728</v>
      </c>
      <c r="G11" s="0" t="n">
        <f aca="false">G8+G10+G24</f>
        <v>13133.0193075164</v>
      </c>
      <c r="H11" s="0" t="n">
        <f aca="false">H8+H10+H24</f>
        <v>13966.7932306581</v>
      </c>
      <c r="I11" s="0" t="n">
        <f aca="false">I8+I10+I24</f>
        <v>14665.132892191</v>
      </c>
      <c r="J11" s="0" t="n">
        <f aca="false">J8+J10+J24</f>
        <v>15325.0638723396</v>
      </c>
      <c r="K11" s="0" t="n">
        <f aca="false">K8+K10+K24</f>
        <v>15938.0664272332</v>
      </c>
      <c r="L11" s="0" t="n">
        <f aca="false">L8+L10+L24</f>
        <v>16495.8987521863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-728.25588</v>
      </c>
      <c r="D12" s="4" t="n">
        <f aca="false">-D6*Assumptions!D31/100</f>
        <v>-873.907056</v>
      </c>
      <c r="E12" s="4" t="n">
        <f aca="false">-E6*Assumptions!E31/100</f>
        <v>-884.393940672</v>
      </c>
      <c r="F12" s="4" t="n">
        <f aca="false">-F6*Assumptions!F31/100</f>
        <v>-1009.36264968</v>
      </c>
      <c r="G12" s="4" t="n">
        <f aca="false">-G6*Assumptions!G31/100</f>
        <v>-1166.41947797021</v>
      </c>
      <c r="H12" s="4" t="n">
        <f aca="false">-H6*Assumptions!H31/100</f>
        <v>-1282.1974113391</v>
      </c>
      <c r="I12" s="4" t="n">
        <f aca="false">-I6*Assumptions!I31/100</f>
        <v>-1394.38968483127</v>
      </c>
      <c r="J12" s="4" t="n">
        <f aca="false">-J6*Assumptions!J31/100</f>
        <v>-1507.38333170553</v>
      </c>
      <c r="K12" s="4" t="n">
        <f aca="false">-K6*Assumptions!K31/100</f>
        <v>-1567.67866497375</v>
      </c>
      <c r="L12" s="4" t="n">
        <f aca="false">-L6*Assumptions!L31/100</f>
        <v>-1622.54741824784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12501.72594</v>
      </c>
      <c r="D13" s="0" t="n">
        <f aca="false">D11+D12</f>
        <v>13458.1686624</v>
      </c>
      <c r="E13" s="0" t="n">
        <f aca="false">E11+E12</f>
        <v>9997.49672064</v>
      </c>
      <c r="F13" s="0" t="n">
        <f aca="false">F11+F12</f>
        <v>11062.6146404928</v>
      </c>
      <c r="G13" s="0" t="n">
        <f aca="false">G11+G12</f>
        <v>11966.5998295462</v>
      </c>
      <c r="H13" s="0" t="n">
        <f aca="false">H11+H12</f>
        <v>12684.595819319</v>
      </c>
      <c r="I13" s="0" t="n">
        <f aca="false">I11+I12</f>
        <v>13270.7432073597</v>
      </c>
      <c r="J13" s="0" t="n">
        <f aca="false">J11+J12</f>
        <v>13817.6805406341</v>
      </c>
      <c r="K13" s="0" t="n">
        <f aca="false">K11+K12</f>
        <v>14370.3877622594</v>
      </c>
      <c r="L13" s="0" t="n">
        <f aca="false">L11+L12</f>
        <v>14873.3513339385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15</v>
      </c>
      <c r="D14" s="4" t="n">
        <f aca="false">Assumptions!D33</f>
        <v>15</v>
      </c>
      <c r="E14" s="4" t="n">
        <f aca="false">Assumptions!E33</f>
        <v>16</v>
      </c>
      <c r="F14" s="4" t="n">
        <f aca="false">Assumptions!F33</f>
        <v>16</v>
      </c>
      <c r="G14" s="4" t="n">
        <f aca="false">Assumptions!G33</f>
        <v>16</v>
      </c>
      <c r="H14" s="4" t="n">
        <f aca="false">Assumptions!H33</f>
        <v>16</v>
      </c>
      <c r="I14" s="4" t="n">
        <f aca="false">Assumptions!I33</f>
        <v>16</v>
      </c>
      <c r="J14" s="4" t="n">
        <f aca="false">Assumptions!J33</f>
        <v>16</v>
      </c>
      <c r="K14" s="4" t="n">
        <f aca="false">Assumptions!K33</f>
        <v>16</v>
      </c>
      <c r="L14" s="4" t="n">
        <f aca="false">Assumptions!L33</f>
        <v>16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10626.467049</v>
      </c>
      <c r="D15" s="0" t="n">
        <f aca="false">D13-MAX(0,D13)*D14/100</f>
        <v>11439.44336304</v>
      </c>
      <c r="E15" s="0" t="n">
        <f aca="false">E13-MAX(0,E13)*E14/100</f>
        <v>8397.8972453376</v>
      </c>
      <c r="F15" s="0" t="n">
        <f aca="false">F13-MAX(0,F13)*F14/100</f>
        <v>9292.59629801395</v>
      </c>
      <c r="G15" s="0" t="n">
        <f aca="false">G13-MAX(0,G13)*G14/100</f>
        <v>10051.9438568188</v>
      </c>
      <c r="H15" s="0" t="n">
        <f aca="false">H13-MAX(0,H13)*H14/100</f>
        <v>10655.0604882279</v>
      </c>
      <c r="I15" s="0" t="n">
        <f aca="false">I13-MAX(0,I13)*I14/100</f>
        <v>11147.4242941822</v>
      </c>
      <c r="J15" s="0" t="n">
        <f aca="false">J13-MAX(0,J13)*J14/100</f>
        <v>11606.8516541326</v>
      </c>
      <c r="K15" s="0" t="n">
        <f aca="false">K13-MAX(0,K13)*K14/100</f>
        <v>12071.1257202979</v>
      </c>
      <c r="L15" s="0" t="n">
        <f aca="false">L13-MAX(0,L13)*L14/100</f>
        <v>12493.6151205083</v>
      </c>
    </row>
    <row r="16" customFormat="false" ht="15" hidden="false" customHeight="false" outlineLevel="0" collapsed="false">
      <c r="A16" s="0" t="s">
        <v>129</v>
      </c>
      <c r="C16" s="0" t="n">
        <f aca="false">-C12</f>
        <v>728.25588</v>
      </c>
      <c r="D16" s="0" t="n">
        <f aca="false">-D12</f>
        <v>873.907056</v>
      </c>
      <c r="E16" s="0" t="n">
        <f aca="false">-E12</f>
        <v>884.393940672</v>
      </c>
      <c r="F16" s="0" t="n">
        <f aca="false">-F12</f>
        <v>1009.36264968</v>
      </c>
      <c r="G16" s="0" t="n">
        <f aca="false">-G12</f>
        <v>1166.41947797021</v>
      </c>
      <c r="H16" s="0" t="n">
        <f aca="false">-H12</f>
        <v>1282.1974113391</v>
      </c>
      <c r="I16" s="0" t="n">
        <f aca="false">-I12</f>
        <v>1394.38968483127</v>
      </c>
      <c r="J16" s="0" t="n">
        <f aca="false">-J12</f>
        <v>1507.38333170553</v>
      </c>
      <c r="K16" s="0" t="n">
        <f aca="false">-K12</f>
        <v>1567.67866497375</v>
      </c>
      <c r="L16" s="0" t="n">
        <f aca="false">-L12</f>
        <v>1622.54741824784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-2832.1062</v>
      </c>
      <c r="D17" s="4" t="n">
        <f aca="false">-D6*Assumptions!D32/100</f>
        <v>-2621.721168</v>
      </c>
      <c r="E17" s="4" t="n">
        <f aca="false">-E6*Assumptions!E32/100</f>
        <v>-2114.85507552</v>
      </c>
      <c r="F17" s="4" t="n">
        <f aca="false">-F6*Assumptions!F32/100</f>
        <v>-2018.72529936</v>
      </c>
      <c r="G17" s="4" t="n">
        <f aca="false">-G6*Assumptions!G32/100</f>
        <v>-1944.03246328368</v>
      </c>
      <c r="H17" s="4" t="n">
        <f aca="false">-H6*Assumptions!H32/100</f>
        <v>-2060.6744110807</v>
      </c>
      <c r="I17" s="4" t="n">
        <f aca="false">-I6*Assumptions!I32/100</f>
        <v>-2163.70813163474</v>
      </c>
      <c r="J17" s="4" t="n">
        <f aca="false">-J6*Assumptions!J32/100</f>
        <v>-2261.0749975583</v>
      </c>
      <c r="K17" s="4" t="n">
        <f aca="false">-K6*Assumptions!K32/100</f>
        <v>-2351.51799746063</v>
      </c>
      <c r="L17" s="4" t="n">
        <f aca="false">-L6*Assumptions!L32/100</f>
        <v>-2433.82112737175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-925.748999999999</v>
      </c>
      <c r="D18" s="4" t="n">
        <f aca="false">(D6-C6)*Assumptions!$B$37/100</f>
        <v>-485.503920000001</v>
      </c>
      <c r="E18" s="4" t="n">
        <f aca="false">(E6-D6)*Assumptions!$B$37/100</f>
        <v>786.5163504</v>
      </c>
      <c r="F18" s="4" t="n">
        <f aca="false">(F6-E6)*Assumptions!$B$37/100</f>
        <v>-288.389328480001</v>
      </c>
      <c r="G18" s="4" t="n">
        <f aca="false">(G6-F6)*Assumptions!$B$37/100</f>
        <v>-423.9323128656</v>
      </c>
      <c r="H18" s="4" t="n">
        <f aca="false">(H6-G6)*Assumptions!$B$37/100</f>
        <v>-388.806492656736</v>
      </c>
      <c r="I18" s="4" t="n">
        <f aca="false">(I6-H6)*Assumptions!$B$37/100</f>
        <v>-343.445735180117</v>
      </c>
      <c r="J18" s="4" t="n">
        <f aca="false">(J6-I6)*Assumptions!$B$37/100</f>
        <v>-324.55621974521</v>
      </c>
      <c r="K18" s="4" t="n">
        <f aca="false">(K6-J6)*Assumptions!$B$37/100</f>
        <v>-301.476666341106</v>
      </c>
      <c r="L18" s="4" t="n">
        <f aca="false">(L6-K6)*Assumptions!$B$37/100</f>
        <v>-274.343766370406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7596.867729</v>
      </c>
      <c r="D19" s="0" t="n">
        <f aca="false">D15+D16+D17+D18</f>
        <v>9206.12533104</v>
      </c>
      <c r="E19" s="0" t="n">
        <f aca="false">E15+E16+E17+E18</f>
        <v>7953.9524608896</v>
      </c>
      <c r="F19" s="0" t="n">
        <f aca="false">F15+F16+F17+F18</f>
        <v>7994.84431985395</v>
      </c>
      <c r="G19" s="0" t="n">
        <f aca="false">G15+G16+G17+G18</f>
        <v>8850.39855863975</v>
      </c>
      <c r="H19" s="0" t="n">
        <f aca="false">H15+H16+H17+H18</f>
        <v>9487.77699582961</v>
      </c>
      <c r="I19" s="0" t="n">
        <f aca="false">I15+I16+I17+I18</f>
        <v>10034.6601121986</v>
      </c>
      <c r="J19" s="0" t="n">
        <f aca="false">J15+J16+J17+J18</f>
        <v>10528.6037685346</v>
      </c>
      <c r="K19" s="0" t="n">
        <f aca="false">K15+K16+K17+K18</f>
        <v>10985.8097214699</v>
      </c>
      <c r="L19" s="0" t="n">
        <f aca="false">L15+L16+L17+L18</f>
        <v>11407.997645014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6906.24339</v>
      </c>
      <c r="D21" s="0" t="n">
        <f aca="false">D19*D20</f>
        <v>7608.36804218182</v>
      </c>
      <c r="E21" s="0" t="n">
        <f aca="false">E19*E20</f>
        <v>5975.92220953388</v>
      </c>
      <c r="F21" s="0" t="n">
        <f aca="false">F19*F20</f>
        <v>5460.58624400926</v>
      </c>
      <c r="G21" s="0" t="n">
        <f aca="false">G19*G20</f>
        <v>5495.40118263143</v>
      </c>
      <c r="H21" s="0" t="n">
        <f aca="false">H19*H20</f>
        <v>5355.60276830976</v>
      </c>
      <c r="I21" s="0" t="n">
        <f aca="false">I19*I20</f>
        <v>5149.36730026055</v>
      </c>
      <c r="J21" s="0" t="n">
        <f aca="false">J19*J20</f>
        <v>4911.67136132541</v>
      </c>
      <c r="K21" s="0" t="n">
        <f aca="false">K19*K20</f>
        <v>4659.05573876868</v>
      </c>
      <c r="L21" s="0" t="n">
        <f aca="false">L19*L20</f>
        <v>4398.27693786305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55920.4951748838</v>
      </c>
    </row>
    <row r="31" customFormat="false" ht="15" hidden="false" customHeight="false" outlineLevel="0" collapsed="false">
      <c r="A31" s="0" t="s">
        <v>138</v>
      </c>
      <c r="B31" s="0" t="n">
        <f aca="false">L19</f>
        <v>11407.997645014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167860.536776635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171119.96467521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167860.536776635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64717.5035142705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120637.998689154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127904.998689154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159.881248361443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-0.662875596496694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8489.5184425975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9204.7019564752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181.999023860284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97918.6464530369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95.6225540759808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28</v>
      </c>
      <c r="D5" s="4" t="n">
        <f aca="false">Assumptions!D41</f>
        <v>15</v>
      </c>
      <c r="E5" s="4" t="n">
        <f aca="false">Assumptions!E41</f>
        <v>-5</v>
      </c>
      <c r="F5" s="4" t="n">
        <f aca="false">Assumptions!F41</f>
        <v>8</v>
      </c>
      <c r="G5" s="4" t="n">
        <f aca="false">Assumptions!G41</f>
        <v>9</v>
      </c>
      <c r="H5" s="4" t="n">
        <f aca="false">Assumptions!H41</f>
        <v>8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34287</v>
      </c>
      <c r="C6" s="0" t="n">
        <f aca="false">B6*(1+C5/100)</f>
        <v>43887.36</v>
      </c>
      <c r="D6" s="0" t="n">
        <f aca="false">C6*(1+D5/100)</f>
        <v>50470.464</v>
      </c>
      <c r="E6" s="0" t="n">
        <f aca="false">D6*(1+E5/100)</f>
        <v>47946.9408</v>
      </c>
      <c r="F6" s="0" t="n">
        <f aca="false">E6*(1+F5/100)</f>
        <v>51782.696064</v>
      </c>
      <c r="G6" s="0" t="n">
        <f aca="false">F6*(1+G5/100)</f>
        <v>56443.13870976</v>
      </c>
      <c r="H6" s="0" t="n">
        <f aca="false">G6*(1+H5/100)</f>
        <v>60958.5898065408</v>
      </c>
      <c r="I6" s="0" t="n">
        <f aca="false">H6*(1+I5/100)</f>
        <v>65225.6910929987</v>
      </c>
      <c r="J6" s="0" t="n">
        <f aca="false">I6*(1+J5/100)</f>
        <v>69139.2325585786</v>
      </c>
      <c r="K6" s="0" t="n">
        <f aca="false">J6*(1+K5/100)</f>
        <v>72596.1941865075</v>
      </c>
      <c r="L6" s="0" t="n">
        <f aca="false">K6*(1+L5/100)</f>
        <v>75500.0419539678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37</v>
      </c>
      <c r="D7" s="4" t="n">
        <f aca="false">Assumptions!D42</f>
        <v>38</v>
      </c>
      <c r="E7" s="4" t="n">
        <f aca="false">Assumptions!E42</f>
        <v>35</v>
      </c>
      <c r="F7" s="4" t="n">
        <f aca="false">Assumptions!F42</f>
        <v>36</v>
      </c>
      <c r="G7" s="4" t="n">
        <f aca="false">Assumptions!G42</f>
        <v>36</v>
      </c>
      <c r="H7" s="4" t="n">
        <f aca="false">Assumptions!H42</f>
        <v>36</v>
      </c>
      <c r="I7" s="4" t="n">
        <f aca="false">Assumptions!I42</f>
        <v>36</v>
      </c>
      <c r="J7" s="4" t="n">
        <f aca="false">Assumptions!J42</f>
        <v>36</v>
      </c>
      <c r="K7" s="4" t="n">
        <f aca="false">Assumptions!K42</f>
        <v>36</v>
      </c>
      <c r="L7" s="4" t="n">
        <f aca="false">Assumptions!L42</f>
        <v>36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16238.3232</v>
      </c>
      <c r="D8" s="0" t="n">
        <f aca="false">D6*D7/100</f>
        <v>19178.77632</v>
      </c>
      <c r="E8" s="0" t="n">
        <f aca="false">E6*E7/100</f>
        <v>16781.42928</v>
      </c>
      <c r="F8" s="0" t="n">
        <f aca="false">F6*F7/100</f>
        <v>18641.77058304</v>
      </c>
      <c r="G8" s="0" t="n">
        <f aca="false">G6*G7/100</f>
        <v>20319.5299355136</v>
      </c>
      <c r="H8" s="0" t="n">
        <f aca="false">H6*H7/100</f>
        <v>21945.0923303547</v>
      </c>
      <c r="I8" s="0" t="n">
        <f aca="false">I6*I7/100</f>
        <v>23481.2487934795</v>
      </c>
      <c r="J8" s="0" t="n">
        <f aca="false">J6*J7/100</f>
        <v>24890.1237210883</v>
      </c>
      <c r="K8" s="0" t="n">
        <f aca="false">K6*K7/100</f>
        <v>26134.6299071427</v>
      </c>
      <c r="L8" s="0" t="n">
        <f aca="false">L6*L7/100</f>
        <v>27180.0151034284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3.3</v>
      </c>
      <c r="D9" s="4" t="n">
        <f aca="false">Assumptions!D43</f>
        <v>3.2</v>
      </c>
      <c r="E9" s="4" t="n">
        <f aca="false">Assumptions!E43</f>
        <v>3.2</v>
      </c>
      <c r="F9" s="4" t="n">
        <f aca="false">Assumptions!F43</f>
        <v>3.1</v>
      </c>
      <c r="G9" s="4" t="n">
        <f aca="false">Assumptions!G43</f>
        <v>3.1</v>
      </c>
      <c r="H9" s="4" t="n">
        <f aca="false">Assumptions!H43</f>
        <v>3</v>
      </c>
      <c r="I9" s="4" t="n">
        <f aca="false">Assumptions!I43</f>
        <v>3</v>
      </c>
      <c r="J9" s="4" t="n">
        <f aca="false">Assumptions!J43</f>
        <v>3</v>
      </c>
      <c r="K9" s="4" t="n">
        <f aca="false">Assumptions!K43</f>
        <v>3</v>
      </c>
      <c r="L9" s="4" t="n">
        <f aca="false">Assumptions!L43</f>
        <v>3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-1448.28288</v>
      </c>
      <c r="D10" s="0" t="n">
        <f aca="false">-D6*D9/100</f>
        <v>-1615.054848</v>
      </c>
      <c r="E10" s="0" t="n">
        <f aca="false">-E6*E9/100</f>
        <v>-1534.3021056</v>
      </c>
      <c r="F10" s="0" t="n">
        <f aca="false">-F6*F9/100</f>
        <v>-1605.263577984</v>
      </c>
      <c r="G10" s="0" t="n">
        <f aca="false">-G6*G9/100</f>
        <v>-1749.73730000256</v>
      </c>
      <c r="H10" s="0" t="n">
        <f aca="false">-H6*H9/100</f>
        <v>-1828.75769419622</v>
      </c>
      <c r="I10" s="0" t="n">
        <f aca="false">-I6*I9/100</f>
        <v>-1956.77073278996</v>
      </c>
      <c r="J10" s="0" t="n">
        <f aca="false">-J6*J9/100</f>
        <v>-2074.17697675736</v>
      </c>
      <c r="K10" s="0" t="n">
        <f aca="false">-K6*K9/100</f>
        <v>-2177.88582559523</v>
      </c>
      <c r="L10" s="0" t="n">
        <f aca="false">-L6*L9/100</f>
        <v>-2265.00125861903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14790.04032</v>
      </c>
      <c r="D11" s="0" t="n">
        <f aca="false">D8+D10+D24</f>
        <v>17563.721472</v>
      </c>
      <c r="E11" s="0" t="n">
        <f aca="false">E8+E10+E24</f>
        <v>15247.1271744</v>
      </c>
      <c r="F11" s="0" t="n">
        <f aca="false">F8+F10+F24</f>
        <v>17036.507005056</v>
      </c>
      <c r="G11" s="0" t="n">
        <f aca="false">G8+G10+G24</f>
        <v>18569.792635511</v>
      </c>
      <c r="H11" s="0" t="n">
        <f aca="false">H8+H10+H24</f>
        <v>20116.3346361585</v>
      </c>
      <c r="I11" s="0" t="n">
        <f aca="false">I8+I10+I24</f>
        <v>21524.4780606896</v>
      </c>
      <c r="J11" s="0" t="n">
        <f aca="false">J8+J10+J24</f>
        <v>22815.9467443309</v>
      </c>
      <c r="K11" s="0" t="n">
        <f aca="false">K8+K10+K24</f>
        <v>23956.7440815475</v>
      </c>
      <c r="L11" s="0" t="n">
        <f aca="false">L8+L10+L24</f>
        <v>24915.0138448094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-789.97248</v>
      </c>
      <c r="D12" s="4" t="n">
        <f aca="false">-D6*Assumptions!D45/100</f>
        <v>-1009.40928</v>
      </c>
      <c r="E12" s="4" t="n">
        <f aca="false">-E6*Assumptions!E45/100</f>
        <v>-1102.7796384</v>
      </c>
      <c r="F12" s="4" t="n">
        <f aca="false">-F6*Assumptions!F45/100</f>
        <v>-1294.5674016</v>
      </c>
      <c r="G12" s="4" t="n">
        <f aca="false">-G6*Assumptions!G45/100</f>
        <v>-1523.96474516352</v>
      </c>
      <c r="H12" s="4" t="n">
        <f aca="false">-H6*Assumptions!H45/100</f>
        <v>-1706.84051458314</v>
      </c>
      <c r="I12" s="4" t="n">
        <f aca="false">-I6*Assumptions!I45/100</f>
        <v>-1891.54504169696</v>
      </c>
      <c r="J12" s="4" t="n">
        <f aca="false">-J6*Assumptions!J45/100</f>
        <v>-2074.17697675736</v>
      </c>
      <c r="K12" s="4" t="n">
        <f aca="false">-K6*Assumptions!K45/100</f>
        <v>-2177.88582559523</v>
      </c>
      <c r="L12" s="4" t="n">
        <f aca="false">-L6*Assumptions!L45/100</f>
        <v>-2265.00125861903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14000.06784</v>
      </c>
      <c r="D13" s="0" t="n">
        <f aca="false">D11+D12</f>
        <v>16554.312192</v>
      </c>
      <c r="E13" s="0" t="n">
        <f aca="false">E11+E12</f>
        <v>14144.347536</v>
      </c>
      <c r="F13" s="0" t="n">
        <f aca="false">F11+F12</f>
        <v>15741.939603456</v>
      </c>
      <c r="G13" s="0" t="n">
        <f aca="false">G11+G12</f>
        <v>17045.8278903475</v>
      </c>
      <c r="H13" s="0" t="n">
        <f aca="false">H11+H12</f>
        <v>18409.4941215753</v>
      </c>
      <c r="I13" s="0" t="n">
        <f aca="false">I11+I12</f>
        <v>19632.9330189926</v>
      </c>
      <c r="J13" s="0" t="n">
        <f aca="false">J11+J12</f>
        <v>20741.7697675736</v>
      </c>
      <c r="K13" s="0" t="n">
        <f aca="false">K11+K12</f>
        <v>21778.8582559523</v>
      </c>
      <c r="L13" s="0" t="n">
        <f aca="false">L11+L12</f>
        <v>22650.0125861904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15</v>
      </c>
      <c r="D14" s="4" t="n">
        <f aca="false">Assumptions!D47</f>
        <v>15</v>
      </c>
      <c r="E14" s="4" t="n">
        <f aca="false">Assumptions!E47</f>
        <v>16</v>
      </c>
      <c r="F14" s="4" t="n">
        <f aca="false">Assumptions!F47</f>
        <v>16</v>
      </c>
      <c r="G14" s="4" t="n">
        <f aca="false">Assumptions!G47</f>
        <v>16</v>
      </c>
      <c r="H14" s="4" t="n">
        <f aca="false">Assumptions!H47</f>
        <v>16</v>
      </c>
      <c r="I14" s="4" t="n">
        <f aca="false">Assumptions!I47</f>
        <v>16</v>
      </c>
      <c r="J14" s="4" t="n">
        <f aca="false">Assumptions!J47</f>
        <v>16</v>
      </c>
      <c r="K14" s="4" t="n">
        <f aca="false">Assumptions!K47</f>
        <v>16</v>
      </c>
      <c r="L14" s="4" t="n">
        <f aca="false">Assumptions!L47</f>
        <v>16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11900.057664</v>
      </c>
      <c r="D15" s="0" t="n">
        <f aca="false">D13-MAX(0,D13)*D14/100</f>
        <v>14071.1653632</v>
      </c>
      <c r="E15" s="0" t="n">
        <f aca="false">E13-MAX(0,E13)*E14/100</f>
        <v>11881.25193024</v>
      </c>
      <c r="F15" s="0" t="n">
        <f aca="false">F13-MAX(0,F13)*F14/100</f>
        <v>13223.229266903</v>
      </c>
      <c r="G15" s="0" t="n">
        <f aca="false">G13-MAX(0,G13)*G14/100</f>
        <v>14318.4954278919</v>
      </c>
      <c r="H15" s="0" t="n">
        <f aca="false">H13-MAX(0,H13)*H14/100</f>
        <v>15463.9750621233</v>
      </c>
      <c r="I15" s="0" t="n">
        <f aca="false">I13-MAX(0,I13)*I14/100</f>
        <v>16491.6637359538</v>
      </c>
      <c r="J15" s="0" t="n">
        <f aca="false">J13-MAX(0,J13)*J14/100</f>
        <v>17423.0866047618</v>
      </c>
      <c r="K15" s="0" t="n">
        <f aca="false">K13-MAX(0,K13)*K14/100</f>
        <v>18294.2409349999</v>
      </c>
      <c r="L15" s="0" t="n">
        <f aca="false">L13-MAX(0,L13)*L14/100</f>
        <v>19026.0105723999</v>
      </c>
    </row>
    <row r="16" customFormat="false" ht="15" hidden="false" customHeight="false" outlineLevel="0" collapsed="false">
      <c r="A16" s="0" t="s">
        <v>129</v>
      </c>
      <c r="C16" s="0" t="n">
        <f aca="false">-C12</f>
        <v>789.97248</v>
      </c>
      <c r="D16" s="0" t="n">
        <f aca="false">-D12</f>
        <v>1009.40928</v>
      </c>
      <c r="E16" s="0" t="n">
        <f aca="false">-E12</f>
        <v>1102.7796384</v>
      </c>
      <c r="F16" s="0" t="n">
        <f aca="false">-F12</f>
        <v>1294.5674016</v>
      </c>
      <c r="G16" s="0" t="n">
        <f aca="false">-G12</f>
        <v>1523.96474516352</v>
      </c>
      <c r="H16" s="0" t="n">
        <f aca="false">-H12</f>
        <v>1706.84051458314</v>
      </c>
      <c r="I16" s="0" t="n">
        <f aca="false">-I12</f>
        <v>1891.54504169696</v>
      </c>
      <c r="J16" s="0" t="n">
        <f aca="false">-J12</f>
        <v>2074.17697675736</v>
      </c>
      <c r="K16" s="0" t="n">
        <f aca="false">-K12</f>
        <v>2177.88582559523</v>
      </c>
      <c r="L16" s="0" t="n">
        <f aca="false">-L12</f>
        <v>2265.00125861903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-2852.6784</v>
      </c>
      <c r="D17" s="4" t="n">
        <f aca="false">-D6*Assumptions!D46/100</f>
        <v>-2775.87552</v>
      </c>
      <c r="E17" s="4" t="n">
        <f aca="false">-E6*Assumptions!E46/100</f>
        <v>-2397.34704</v>
      </c>
      <c r="F17" s="4" t="n">
        <f aca="false">-F6*Assumptions!F46/100</f>
        <v>-2330.22132288</v>
      </c>
      <c r="G17" s="4" t="n">
        <f aca="false">-G6*Assumptions!G46/100</f>
        <v>-2539.9412419392</v>
      </c>
      <c r="H17" s="4" t="n">
        <f aca="false">-H6*Assumptions!H46/100</f>
        <v>-2743.13654129434</v>
      </c>
      <c r="I17" s="4" t="n">
        <f aca="false">-I6*Assumptions!I46/100</f>
        <v>-2935.15609918494</v>
      </c>
      <c r="J17" s="4" t="n">
        <f aca="false">-J6*Assumptions!J46/100</f>
        <v>-3111.26546513604</v>
      </c>
      <c r="K17" s="4" t="n">
        <f aca="false">-K6*Assumptions!K46/100</f>
        <v>-3266.82873839284</v>
      </c>
      <c r="L17" s="4" t="n">
        <f aca="false">-L6*Assumptions!L46/100</f>
        <v>-3397.50188792855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-1440.054</v>
      </c>
      <c r="D18" s="4" t="n">
        <f aca="false">(D6-C6)*Assumptions!$B$51/100</f>
        <v>-987.4656</v>
      </c>
      <c r="E18" s="4" t="n">
        <f aca="false">(E6-D6)*Assumptions!$B$51/100</f>
        <v>378.528480000001</v>
      </c>
      <c r="F18" s="4" t="n">
        <f aca="false">(F6-E6)*Assumptions!$B$51/100</f>
        <v>-575.363289600001</v>
      </c>
      <c r="G18" s="4" t="n">
        <f aca="false">(G6-F6)*Assumptions!$B$51/100</f>
        <v>-699.066396864001</v>
      </c>
      <c r="H18" s="4" t="n">
        <f aca="false">(H6-G6)*Assumptions!$B$51/100</f>
        <v>-677.31766451712</v>
      </c>
      <c r="I18" s="4" t="n">
        <f aca="false">(I6-H6)*Assumptions!$B$51/100</f>
        <v>-640.065192968679</v>
      </c>
      <c r="J18" s="4" t="n">
        <f aca="false">(J6-I6)*Assumptions!$B$51/100</f>
        <v>-587.031219836988</v>
      </c>
      <c r="K18" s="4" t="n">
        <f aca="false">(K6-J6)*Assumptions!$B$51/100</f>
        <v>-518.54424418934</v>
      </c>
      <c r="L18" s="4" t="n">
        <f aca="false">(L6-K6)*Assumptions!$B$51/100</f>
        <v>-435.577165119046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8397.297744</v>
      </c>
      <c r="D19" s="0" t="n">
        <f aca="false">D15+D16+D17+D18</f>
        <v>11317.2335232</v>
      </c>
      <c r="E19" s="0" t="n">
        <f aca="false">E15+E16+E17+E18</f>
        <v>10965.21300864</v>
      </c>
      <c r="F19" s="0" t="n">
        <f aca="false">F15+F16+F17+F18</f>
        <v>11612.212056023</v>
      </c>
      <c r="G19" s="0" t="n">
        <f aca="false">G15+G16+G17+G18</f>
        <v>12603.4525342522</v>
      </c>
      <c r="H19" s="0" t="n">
        <f aca="false">H15+H16+H17+H18</f>
        <v>13750.361370895</v>
      </c>
      <c r="I19" s="0" t="n">
        <f aca="false">I15+I16+I17+I18</f>
        <v>14807.9874854971</v>
      </c>
      <c r="J19" s="0" t="n">
        <f aca="false">J15+J16+J17+J18</f>
        <v>15798.9668965461</v>
      </c>
      <c r="K19" s="0" t="n">
        <f aca="false">K15+K16+K17+K18</f>
        <v>16686.7537780129</v>
      </c>
      <c r="L19" s="0" t="n">
        <f aca="false">L15+L16+L17+L18</f>
        <v>17457.9327779713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7633.90704</v>
      </c>
      <c r="D21" s="0" t="n">
        <f aca="false">D19*D20</f>
        <v>9353.08555636364</v>
      </c>
      <c r="E21" s="0" t="n">
        <f aca="false">E19*E20</f>
        <v>8238.32682842975</v>
      </c>
      <c r="F21" s="0" t="n">
        <f aca="false">F19*F20</f>
        <v>7931.29708081623</v>
      </c>
      <c r="G21" s="0" t="n">
        <f aca="false">G19*G20</f>
        <v>7825.75242268116</v>
      </c>
      <c r="H21" s="0" t="n">
        <f aca="false">H19*H20</f>
        <v>7761.72052268872</v>
      </c>
      <c r="I21" s="0" t="n">
        <f aca="false">I19*I20</f>
        <v>7598.83899284156</v>
      </c>
      <c r="J21" s="0" t="n">
        <f aca="false">J19*J20</f>
        <v>7370.33465692804</v>
      </c>
      <c r="K21" s="0" t="n">
        <f aca="false">K19*K20</f>
        <v>7076.81253562335</v>
      </c>
      <c r="L21" s="0" t="n">
        <f aca="false">L19*L20</f>
        <v>6730.7888298587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77520.8644662311</v>
      </c>
    </row>
    <row r="31" customFormat="false" ht="15" hidden="false" customHeight="false" outlineLevel="0" collapsed="false">
      <c r="A31" s="0" t="s">
        <v>138</v>
      </c>
      <c r="B31" s="0" t="n">
        <f aca="false">L19</f>
        <v>17457.9327779713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277984.006541543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261868.99166957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261868.99166957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100961.832447881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178482.696914112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185749.696914112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232.18712114264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-0.510411974396121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10787.9165010701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13904.923031744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263.053170558657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157121.395001742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134.768400037478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100.884604836593</v>
      </c>
      <c r="C4" s="0" t="n">
        <f aca="false">B4/Assumptions!$B$2-1</f>
        <v>-0.787275477413615</v>
      </c>
      <c r="D4" s="4" t="n">
        <f aca="false">Assumptions!$B$24</f>
        <v>0.25</v>
      </c>
      <c r="E4" s="4" t="n">
        <f aca="false">DCF_Bear!$B$43</f>
        <v>116.140451877563</v>
      </c>
      <c r="F4" s="4" t="n">
        <f aca="false">DCF_Bear!$B$47</f>
        <v>63.7823170865622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159.881248361443</v>
      </c>
      <c r="C5" s="0" t="n">
        <f aca="false">B5/Assumptions!$B$2-1</f>
        <v>-0.662875596496694</v>
      </c>
      <c r="D5" s="4" t="n">
        <f aca="false">Assumptions!$B$38</f>
        <v>0.5</v>
      </c>
      <c r="E5" s="4" t="n">
        <f aca="false">DCF_Base!$B$43</f>
        <v>181.999023860284</v>
      </c>
      <c r="F5" s="4" t="n">
        <f aca="false">DCF_Base!$B$47</f>
        <v>95.6225540759808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232.18712114264</v>
      </c>
      <c r="C6" s="0" t="n">
        <f aca="false">B6/Assumptions!$B$2-1</f>
        <v>-0.510411974396121</v>
      </c>
      <c r="D6" s="4" t="n">
        <f aca="false">Assumptions!$B$52</f>
        <v>0.25</v>
      </c>
      <c r="E6" s="4" t="n">
        <f aca="false">DCF_Bull!$B$43</f>
        <v>263.053170558657</v>
      </c>
      <c r="F6" s="4" t="n">
        <f aca="false">DCF_Bull!$B$47</f>
        <v>134.768400037478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163.20855567553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185.797917539197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-1.90579129284645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1376.93772051503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97.4489563190004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172.666859833691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159.881248361443</v>
      </c>
      <c r="C16" s="3" t="n">
        <v>10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140.540592928017</v>
      </c>
      <c r="C17" s="3" t="n">
        <v>11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125.528100603296</v>
      </c>
      <c r="C18" s="3" t="n">
        <v>12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95.6225540759808</v>
      </c>
      <c r="C19" s="3" t="n">
        <v>15</v>
      </c>
    </row>
    <row r="21" customFormat="false" ht="15" hidden="false" customHeight="false" outlineLevel="0" collapsed="false">
      <c r="A21" s="2" t="s">
        <v>174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184.964510397422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184.964510397422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184.964510397422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184.964510397422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184.964510397422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170.085326892461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172.666859833691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172.666859833691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172.666859833691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172.666859833691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149.081907665797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154.121599990432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159.881248361443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161.452061553537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161.452061553537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132.798112247528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136.441632567758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140.540592928017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145.18608133631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150.495210945787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119.814436275854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122.520908852011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125.528100603296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128.889079619439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132.670181012599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2026-09-25T09:49:58Z</dcterms:created>
  <dc:creator>openpyxl</dc:creator>
  <dc:description/>
  <dc:language>en-NZ</dc:language>
  <cp:lastModifiedBy/>
  <dcterms:modified xsi:type="dcterms:W3CDTF">2026-09-25T09:49:58Z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