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Base" sheetId="2" state="visible" r:id="rId2"/>
    <sheet name="Bull" sheetId="3" state="visible" r:id="rId3"/>
    <sheet name="Bear" sheetId="4" state="visible" r:id="rId4"/>
    <sheet name="Summary" sheetId="5" state="visible" r:id="rId5"/>
    <sheet name="RequiredReturn" sheetId="6" state="visible" r:id="rId6"/>
    <sheet name="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Scottish Mortgage Investment Trust plc (SMT.L) - NAV + exit discount model</t>
        </is>
      </c>
    </row>
    <row r="2">
      <c r="A2" s="1" t="inlineStr">
        <is>
          <t>Per-share figures in pence (GBp); money in GBP millions</t>
        </is>
      </c>
    </row>
    <row r="3">
      <c r="A3" s="2" t="inlineStr">
        <is>
          <t>Current price (GBp)</t>
        </is>
      </c>
      <c r="B3" t="n">
        <v>1636.5</v>
      </c>
    </row>
    <row r="4">
      <c r="A4" s="2" t="inlineStr">
        <is>
          <t>NAV per share cum fair (p), 8 Oct 2026</t>
        </is>
      </c>
      <c r="B4" t="n">
        <v>1776.31</v>
      </c>
    </row>
    <row r="5">
      <c r="A5" s="2" t="inlineStr">
        <is>
          <t>NAV per share cum par (p), 8 Oct 2026</t>
        </is>
      </c>
      <c r="B5" t="n">
        <v>1737.94</v>
      </c>
    </row>
    <row r="6">
      <c r="A6" s="2" t="inlineStr">
        <is>
          <t>Shares outstanding (m), 1 Oct 2026</t>
        </is>
      </c>
      <c r="B6" t="n">
        <v>1046.191858</v>
      </c>
    </row>
    <row r="7">
      <c r="A7" s="2" t="inlineStr">
        <is>
          <t>FY2026 dividend per share (p)</t>
        </is>
      </c>
      <c r="B7" t="n">
        <v>4.57</v>
      </c>
    </row>
    <row r="8">
      <c r="A8" s="2" t="inlineStr">
        <is>
          <t>Hurdle rate</t>
        </is>
      </c>
      <c r="B8" t="n">
        <v>0.15</v>
      </c>
    </row>
    <row r="9">
      <c r="A9" s="2" t="inlineStr">
        <is>
          <t>Horizon (years)</t>
        </is>
      </c>
      <c r="B9" t="n">
        <v>5</v>
      </c>
    </row>
    <row r="10">
      <c r="A10" s="2" t="inlineStr">
        <is>
          <t>Discount to NAV at fair today</t>
        </is>
      </c>
      <c r="B10">
        <f>B3/B4-1</f>
        <v/>
      </c>
    </row>
    <row r="11">
      <c r="A11" s="2" t="inlineStr">
        <is>
          <t>Discount to NAV at par today</t>
        </is>
      </c>
      <c r="B11">
        <f>B3/B5-1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Base scenario</t>
        </is>
      </c>
    </row>
    <row r="2">
      <c r="A2" t="inlineStr">
        <is>
          <t>NAV total return p.a. (%)</t>
        </is>
      </c>
      <c r="B2" t="n">
        <v>9</v>
      </c>
    </row>
    <row r="3">
      <c r="A3" t="inlineStr">
        <is>
          <t>Exit discount to NAV (%)</t>
        </is>
      </c>
      <c r="B3" t="n">
        <v>-8</v>
      </c>
    </row>
    <row r="4">
      <c r="A4" t="inlineStr">
        <is>
          <t>Cost of equity (%)</t>
        </is>
      </c>
      <c r="B4" t="n">
        <v>10</v>
      </c>
    </row>
    <row r="5">
      <c r="A5" t="inlineStr">
        <is>
          <t>Dividend growth p.a. (%)</t>
        </is>
      </c>
      <c r="B5" t="n">
        <v>4</v>
      </c>
    </row>
    <row r="7">
      <c r="A7" t="inlineStr">
        <is>
          <t>Year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A8" t="inlineStr">
        <is>
          <t>NAV per share (p)</t>
        </is>
      </c>
      <c r="B8">
        <f>Inputs!$B$4*(1+$B$2/100)-B9</f>
        <v/>
      </c>
      <c r="C8">
        <f>B8*(1+$B$2/100)-C9</f>
        <v/>
      </c>
      <c r="D8">
        <f>C8*(1+$B$2/100)-D9</f>
        <v/>
      </c>
      <c r="E8">
        <f>D8*(1+$B$2/100)-E9</f>
        <v/>
      </c>
      <c r="F8">
        <f>E8*(1+$B$2/100)-F9</f>
        <v/>
      </c>
    </row>
    <row r="9">
      <c r="A9" t="inlineStr">
        <is>
          <t>Dividend per share (p)</t>
        </is>
      </c>
      <c r="B9">
        <f>Inputs!$B$7*(1+$B$5/100)</f>
        <v/>
      </c>
      <c r="C9">
        <f>B9*(1+$B$5/100)</f>
        <v/>
      </c>
      <c r="D9">
        <f>C9*(1+$B$5/100)</f>
        <v/>
      </c>
      <c r="E9">
        <f>D9*(1+$B$5/100)</f>
        <v/>
      </c>
      <c r="F9">
        <f>E9*(1+$B$5/100)</f>
        <v/>
      </c>
    </row>
    <row r="10">
      <c r="A10" t="inlineStr">
        <is>
          <t>Discount factor @ CoE</t>
        </is>
      </c>
      <c r="B10">
        <f>1/(1+$B$4/100)^B7</f>
        <v/>
      </c>
      <c r="C10">
        <f>1/(1+$B$4/100)^C7</f>
        <v/>
      </c>
      <c r="D10">
        <f>1/(1+$B$4/100)^D7</f>
        <v/>
      </c>
      <c r="E10">
        <f>1/(1+$B$4/100)^E7</f>
        <v/>
      </c>
      <c r="F10">
        <f>1/(1+$B$4/100)^F7</f>
        <v/>
      </c>
    </row>
    <row r="11">
      <c r="A11" t="inlineStr">
        <is>
          <t>PV dividend @ CoE</t>
        </is>
      </c>
      <c r="B11">
        <f>B9*B10</f>
        <v/>
      </c>
      <c r="C11">
        <f>C9*C10</f>
        <v/>
      </c>
      <c r="D11">
        <f>D9*D10</f>
        <v/>
      </c>
      <c r="E11">
        <f>E9*E10</f>
        <v/>
      </c>
      <c r="F11">
        <f>F9*F10</f>
        <v/>
      </c>
    </row>
    <row r="12">
      <c r="A12" t="inlineStr">
        <is>
          <t>Discount factor @ hurdle</t>
        </is>
      </c>
      <c r="B12">
        <f>1/(1+Inputs!$B$8)^B7</f>
        <v/>
      </c>
      <c r="C12">
        <f>1/(1+Inputs!$B$8)^C7</f>
        <v/>
      </c>
      <c r="D12">
        <f>1/(1+Inputs!$B$8)^D7</f>
        <v/>
      </c>
      <c r="E12">
        <f>1/(1+Inputs!$B$8)^E7</f>
        <v/>
      </c>
      <c r="F12">
        <f>1/(1+Inputs!$B$8)^F7</f>
        <v/>
      </c>
    </row>
    <row r="13">
      <c r="A13" t="inlineStr">
        <is>
          <t>PV dividend @ hurdle</t>
        </is>
      </c>
      <c r="B13">
        <f>B9*B12</f>
        <v/>
      </c>
      <c r="C13">
        <f>C9*C12</f>
        <v/>
      </c>
      <c r="D13">
        <f>D9*D12</f>
        <v/>
      </c>
      <c r="E13">
        <f>E9*E12</f>
        <v/>
      </c>
      <c r="F13">
        <f>F9*F12</f>
        <v/>
      </c>
    </row>
    <row r="15">
      <c r="A15" t="inlineStr">
        <is>
          <t>Year-5 exit price = NAV5 x (1 + exit discount)</t>
        </is>
      </c>
      <c r="B15">
        <f>F8*(1+$B$3/100)</f>
        <v/>
      </c>
    </row>
    <row r="16">
      <c r="A16" t="inlineStr">
        <is>
          <t>PV exit @ CoE</t>
        </is>
      </c>
      <c r="B16">
        <f>B15*F10</f>
        <v/>
      </c>
    </row>
    <row r="17">
      <c r="A17" t="inlineStr">
        <is>
          <t>PV dividends @ CoE</t>
        </is>
      </c>
      <c r="B17">
        <f>SUM(B11:F11)</f>
        <v/>
      </c>
    </row>
    <row r="18">
      <c r="A18" s="1" t="inlineStr">
        <is>
          <t>Intrinsic value (p)</t>
        </is>
      </c>
      <c r="B18">
        <f>B16+B17</f>
        <v/>
      </c>
    </row>
    <row r="19">
      <c r="A19" t="inlineStr">
        <is>
          <t>Upside vs price</t>
        </is>
      </c>
      <c r="B19">
        <f>B18/Inputs!$B$3-1</f>
        <v/>
      </c>
    </row>
    <row r="20">
      <c r="A20" t="inlineStr">
        <is>
          <t>Implied P/NAV (fair) today</t>
        </is>
      </c>
      <c r="B20">
        <f>B18/Inputs!$B$4-1</f>
        <v/>
      </c>
    </row>
    <row r="21">
      <c r="A21" t="inlineStr">
        <is>
          <t>Exit value share of IV</t>
        </is>
      </c>
      <c r="B21">
        <f>B16/B18</f>
        <v/>
      </c>
    </row>
    <row r="23">
      <c r="A23" t="inlineStr">
        <is>
          <t>PV exit @ hurdle</t>
        </is>
      </c>
      <c r="B23">
        <f>B15*F12</f>
        <v/>
      </c>
    </row>
    <row r="24">
      <c r="A24" t="inlineStr">
        <is>
          <t>PV dividends @ hurdle</t>
        </is>
      </c>
      <c r="B24">
        <f>SUM(B13:F13)</f>
        <v/>
      </c>
    </row>
    <row r="25">
      <c r="A25" s="1" t="inlineStr">
        <is>
          <t>Entry price @ hurdle (p)</t>
        </is>
      </c>
      <c r="B25">
        <f>B23+B24</f>
        <v/>
      </c>
    </row>
    <row r="26">
      <c r="A26" t="inlineStr">
        <is>
          <t>Entry discount from current</t>
        </is>
      </c>
      <c r="B26">
        <f>B25/Inputs!$B$3-1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Bull scenario</t>
        </is>
      </c>
    </row>
    <row r="2">
      <c r="A2" t="inlineStr">
        <is>
          <t>NAV total return p.a. (%)</t>
        </is>
      </c>
      <c r="B2" t="n">
        <v>15</v>
      </c>
    </row>
    <row r="3">
      <c r="A3" t="inlineStr">
        <is>
          <t>Exit discount to NAV (%)</t>
        </is>
      </c>
      <c r="B3" t="n">
        <v>0</v>
      </c>
    </row>
    <row r="4">
      <c r="A4" t="inlineStr">
        <is>
          <t>Cost of equity (%)</t>
        </is>
      </c>
      <c r="B4" t="n">
        <v>10</v>
      </c>
    </row>
    <row r="5">
      <c r="A5" t="inlineStr">
        <is>
          <t>Dividend growth p.a. (%)</t>
        </is>
      </c>
      <c r="B5" t="n">
        <v>5</v>
      </c>
    </row>
    <row r="7">
      <c r="A7" t="inlineStr">
        <is>
          <t>Year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A8" t="inlineStr">
        <is>
          <t>NAV per share (p)</t>
        </is>
      </c>
      <c r="B8">
        <f>Inputs!$B$4*(1+$B$2/100)-B9</f>
        <v/>
      </c>
      <c r="C8">
        <f>B8*(1+$B$2/100)-C9</f>
        <v/>
      </c>
      <c r="D8">
        <f>C8*(1+$B$2/100)-D9</f>
        <v/>
      </c>
      <c r="E8">
        <f>D8*(1+$B$2/100)-E9</f>
        <v/>
      </c>
      <c r="F8">
        <f>E8*(1+$B$2/100)-F9</f>
        <v/>
      </c>
    </row>
    <row r="9">
      <c r="A9" t="inlineStr">
        <is>
          <t>Dividend per share (p)</t>
        </is>
      </c>
      <c r="B9">
        <f>Inputs!$B$7*(1+$B$5/100)</f>
        <v/>
      </c>
      <c r="C9">
        <f>B9*(1+$B$5/100)</f>
        <v/>
      </c>
      <c r="D9">
        <f>C9*(1+$B$5/100)</f>
        <v/>
      </c>
      <c r="E9">
        <f>D9*(1+$B$5/100)</f>
        <v/>
      </c>
      <c r="F9">
        <f>E9*(1+$B$5/100)</f>
        <v/>
      </c>
    </row>
    <row r="10">
      <c r="A10" t="inlineStr">
        <is>
          <t>Discount factor @ CoE</t>
        </is>
      </c>
      <c r="B10">
        <f>1/(1+$B$4/100)^B7</f>
        <v/>
      </c>
      <c r="C10">
        <f>1/(1+$B$4/100)^C7</f>
        <v/>
      </c>
      <c r="D10">
        <f>1/(1+$B$4/100)^D7</f>
        <v/>
      </c>
      <c r="E10">
        <f>1/(1+$B$4/100)^E7</f>
        <v/>
      </c>
      <c r="F10">
        <f>1/(1+$B$4/100)^F7</f>
        <v/>
      </c>
    </row>
    <row r="11">
      <c r="A11" t="inlineStr">
        <is>
          <t>PV dividend @ CoE</t>
        </is>
      </c>
      <c r="B11">
        <f>B9*B10</f>
        <v/>
      </c>
      <c r="C11">
        <f>C9*C10</f>
        <v/>
      </c>
      <c r="D11">
        <f>D9*D10</f>
        <v/>
      </c>
      <c r="E11">
        <f>E9*E10</f>
        <v/>
      </c>
      <c r="F11">
        <f>F9*F10</f>
        <v/>
      </c>
    </row>
    <row r="12">
      <c r="A12" t="inlineStr">
        <is>
          <t>Discount factor @ hurdle</t>
        </is>
      </c>
      <c r="B12">
        <f>1/(1+Inputs!$B$8)^B7</f>
        <v/>
      </c>
      <c r="C12">
        <f>1/(1+Inputs!$B$8)^C7</f>
        <v/>
      </c>
      <c r="D12">
        <f>1/(1+Inputs!$B$8)^D7</f>
        <v/>
      </c>
      <c r="E12">
        <f>1/(1+Inputs!$B$8)^E7</f>
        <v/>
      </c>
      <c r="F12">
        <f>1/(1+Inputs!$B$8)^F7</f>
        <v/>
      </c>
    </row>
    <row r="13">
      <c r="A13" t="inlineStr">
        <is>
          <t>PV dividend @ hurdle</t>
        </is>
      </c>
      <c r="B13">
        <f>B9*B12</f>
        <v/>
      </c>
      <c r="C13">
        <f>C9*C12</f>
        <v/>
      </c>
      <c r="D13">
        <f>D9*D12</f>
        <v/>
      </c>
      <c r="E13">
        <f>E9*E12</f>
        <v/>
      </c>
      <c r="F13">
        <f>F9*F12</f>
        <v/>
      </c>
    </row>
    <row r="15">
      <c r="A15" t="inlineStr">
        <is>
          <t>Year-5 exit price = NAV5 x (1 + exit discount)</t>
        </is>
      </c>
      <c r="B15">
        <f>F8*(1+$B$3/100)</f>
        <v/>
      </c>
    </row>
    <row r="16">
      <c r="A16" t="inlineStr">
        <is>
          <t>PV exit @ CoE</t>
        </is>
      </c>
      <c r="B16">
        <f>B15*F10</f>
        <v/>
      </c>
    </row>
    <row r="17">
      <c r="A17" t="inlineStr">
        <is>
          <t>PV dividends @ CoE</t>
        </is>
      </c>
      <c r="B17">
        <f>SUM(B11:F11)</f>
        <v/>
      </c>
    </row>
    <row r="18">
      <c r="A18" s="1" t="inlineStr">
        <is>
          <t>Intrinsic value (p)</t>
        </is>
      </c>
      <c r="B18">
        <f>B16+B17</f>
        <v/>
      </c>
    </row>
    <row r="19">
      <c r="A19" t="inlineStr">
        <is>
          <t>Upside vs price</t>
        </is>
      </c>
      <c r="B19">
        <f>B18/Inputs!$B$3-1</f>
        <v/>
      </c>
    </row>
    <row r="20">
      <c r="A20" t="inlineStr">
        <is>
          <t>Implied P/NAV (fair) today</t>
        </is>
      </c>
      <c r="B20">
        <f>B18/Inputs!$B$4-1</f>
        <v/>
      </c>
    </row>
    <row r="21">
      <c r="A21" t="inlineStr">
        <is>
          <t>Exit value share of IV</t>
        </is>
      </c>
      <c r="B21">
        <f>B16/B18</f>
        <v/>
      </c>
    </row>
    <row r="23">
      <c r="A23" t="inlineStr">
        <is>
          <t>PV exit @ hurdle</t>
        </is>
      </c>
      <c r="B23">
        <f>B15*F12</f>
        <v/>
      </c>
    </row>
    <row r="24">
      <c r="A24" t="inlineStr">
        <is>
          <t>PV dividends @ hurdle</t>
        </is>
      </c>
      <c r="B24">
        <f>SUM(B13:F13)</f>
        <v/>
      </c>
    </row>
    <row r="25">
      <c r="A25" s="1" t="inlineStr">
        <is>
          <t>Entry price @ hurdle (p)</t>
        </is>
      </c>
      <c r="B25">
        <f>B23+B24</f>
        <v/>
      </c>
    </row>
    <row r="26">
      <c r="A26" t="inlineStr">
        <is>
          <t>Entry discount from current</t>
        </is>
      </c>
      <c r="B26">
        <f>B25/Inputs!$B$3-1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Bear scenario</t>
        </is>
      </c>
    </row>
    <row r="2">
      <c r="A2" t="inlineStr">
        <is>
          <t>NAV total return p.a. (%)</t>
        </is>
      </c>
      <c r="B2" t="n">
        <v>0</v>
      </c>
    </row>
    <row r="3">
      <c r="A3" t="inlineStr">
        <is>
          <t>Exit discount to NAV (%)</t>
        </is>
      </c>
      <c r="B3" t="n">
        <v>-15</v>
      </c>
    </row>
    <row r="4">
      <c r="A4" t="inlineStr">
        <is>
          <t>Cost of equity (%)</t>
        </is>
      </c>
      <c r="B4" t="n">
        <v>10</v>
      </c>
    </row>
    <row r="5">
      <c r="A5" t="inlineStr">
        <is>
          <t>Dividend growth p.a. (%)</t>
        </is>
      </c>
      <c r="B5" t="n">
        <v>2</v>
      </c>
    </row>
    <row r="7">
      <c r="A7" t="inlineStr">
        <is>
          <t>Year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</row>
    <row r="8">
      <c r="A8" t="inlineStr">
        <is>
          <t>NAV per share (p)</t>
        </is>
      </c>
      <c r="B8">
        <f>Inputs!$B$4*(1+$B$2/100)-B9</f>
        <v/>
      </c>
      <c r="C8">
        <f>B8*(1+$B$2/100)-C9</f>
        <v/>
      </c>
      <c r="D8">
        <f>C8*(1+$B$2/100)-D9</f>
        <v/>
      </c>
      <c r="E8">
        <f>D8*(1+$B$2/100)-E9</f>
        <v/>
      </c>
      <c r="F8">
        <f>E8*(1+$B$2/100)-F9</f>
        <v/>
      </c>
    </row>
    <row r="9">
      <c r="A9" t="inlineStr">
        <is>
          <t>Dividend per share (p)</t>
        </is>
      </c>
      <c r="B9">
        <f>Inputs!$B$7*(1+$B$5/100)</f>
        <v/>
      </c>
      <c r="C9">
        <f>B9*(1+$B$5/100)</f>
        <v/>
      </c>
      <c r="D9">
        <f>C9*(1+$B$5/100)</f>
        <v/>
      </c>
      <c r="E9">
        <f>D9*(1+$B$5/100)</f>
        <v/>
      </c>
      <c r="F9">
        <f>E9*(1+$B$5/100)</f>
        <v/>
      </c>
    </row>
    <row r="10">
      <c r="A10" t="inlineStr">
        <is>
          <t>Discount factor @ CoE</t>
        </is>
      </c>
      <c r="B10">
        <f>1/(1+$B$4/100)^B7</f>
        <v/>
      </c>
      <c r="C10">
        <f>1/(1+$B$4/100)^C7</f>
        <v/>
      </c>
      <c r="D10">
        <f>1/(1+$B$4/100)^D7</f>
        <v/>
      </c>
      <c r="E10">
        <f>1/(1+$B$4/100)^E7</f>
        <v/>
      </c>
      <c r="F10">
        <f>1/(1+$B$4/100)^F7</f>
        <v/>
      </c>
    </row>
    <row r="11">
      <c r="A11" t="inlineStr">
        <is>
          <t>PV dividend @ CoE</t>
        </is>
      </c>
      <c r="B11">
        <f>B9*B10</f>
        <v/>
      </c>
      <c r="C11">
        <f>C9*C10</f>
        <v/>
      </c>
      <c r="D11">
        <f>D9*D10</f>
        <v/>
      </c>
      <c r="E11">
        <f>E9*E10</f>
        <v/>
      </c>
      <c r="F11">
        <f>F9*F10</f>
        <v/>
      </c>
    </row>
    <row r="12">
      <c r="A12" t="inlineStr">
        <is>
          <t>Discount factor @ hurdle</t>
        </is>
      </c>
      <c r="B12">
        <f>1/(1+Inputs!$B$8)^B7</f>
        <v/>
      </c>
      <c r="C12">
        <f>1/(1+Inputs!$B$8)^C7</f>
        <v/>
      </c>
      <c r="D12">
        <f>1/(1+Inputs!$B$8)^D7</f>
        <v/>
      </c>
      <c r="E12">
        <f>1/(1+Inputs!$B$8)^E7</f>
        <v/>
      </c>
      <c r="F12">
        <f>1/(1+Inputs!$B$8)^F7</f>
        <v/>
      </c>
    </row>
    <row r="13">
      <c r="A13" t="inlineStr">
        <is>
          <t>PV dividend @ hurdle</t>
        </is>
      </c>
      <c r="B13">
        <f>B9*B12</f>
        <v/>
      </c>
      <c r="C13">
        <f>C9*C12</f>
        <v/>
      </c>
      <c r="D13">
        <f>D9*D12</f>
        <v/>
      </c>
      <c r="E13">
        <f>E9*E12</f>
        <v/>
      </c>
      <c r="F13">
        <f>F9*F12</f>
        <v/>
      </c>
    </row>
    <row r="15">
      <c r="A15" t="inlineStr">
        <is>
          <t>Year-5 exit price = NAV5 x (1 + exit discount)</t>
        </is>
      </c>
      <c r="B15">
        <f>F8*(1+$B$3/100)</f>
        <v/>
      </c>
    </row>
    <row r="16">
      <c r="A16" t="inlineStr">
        <is>
          <t>PV exit @ CoE</t>
        </is>
      </c>
      <c r="B16">
        <f>B15*F10</f>
        <v/>
      </c>
    </row>
    <row r="17">
      <c r="A17" t="inlineStr">
        <is>
          <t>PV dividends @ CoE</t>
        </is>
      </c>
      <c r="B17">
        <f>SUM(B11:F11)</f>
        <v/>
      </c>
    </row>
    <row r="18">
      <c r="A18" s="1" t="inlineStr">
        <is>
          <t>Intrinsic value (p)</t>
        </is>
      </c>
      <c r="B18">
        <f>B16+B17</f>
        <v/>
      </c>
    </row>
    <row r="19">
      <c r="A19" t="inlineStr">
        <is>
          <t>Upside vs price</t>
        </is>
      </c>
      <c r="B19">
        <f>B18/Inputs!$B$3-1</f>
        <v/>
      </c>
    </row>
    <row r="20">
      <c r="A20" t="inlineStr">
        <is>
          <t>Implied P/NAV (fair) today</t>
        </is>
      </c>
      <c r="B20">
        <f>B18/Inputs!$B$4-1</f>
        <v/>
      </c>
    </row>
    <row r="21">
      <c r="A21" t="inlineStr">
        <is>
          <t>Exit value share of IV</t>
        </is>
      </c>
      <c r="B21">
        <f>B16/B18</f>
        <v/>
      </c>
    </row>
    <row r="23">
      <c r="A23" t="inlineStr">
        <is>
          <t>PV exit @ hurdle</t>
        </is>
      </c>
      <c r="B23">
        <f>B15*F12</f>
        <v/>
      </c>
    </row>
    <row r="24">
      <c r="A24" t="inlineStr">
        <is>
          <t>PV dividends @ hurdle</t>
        </is>
      </c>
      <c r="B24">
        <f>SUM(B13:F13)</f>
        <v/>
      </c>
    </row>
    <row r="25">
      <c r="A25" s="1" t="inlineStr">
        <is>
          <t>Entry price @ hurdle (p)</t>
        </is>
      </c>
      <c r="B25">
        <f>B23+B24</f>
        <v/>
      </c>
    </row>
    <row r="26">
      <c r="A26" t="inlineStr">
        <is>
          <t>Entry discount from current</t>
        </is>
      </c>
      <c r="B26">
        <f>B25/Inputs!$B$3-1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Scenario</t>
        </is>
      </c>
      <c r="B1" s="1" t="inlineStr">
        <is>
          <t>Weight</t>
        </is>
      </c>
      <c r="C1" s="1" t="inlineStr">
        <is>
          <t>Intrinsic value (p)</t>
        </is>
      </c>
      <c r="D1" s="1" t="inlineStr">
        <is>
          <t>Entry price (p)</t>
        </is>
      </c>
    </row>
    <row r="2">
      <c r="A2" t="inlineStr">
        <is>
          <t>bear</t>
        </is>
      </c>
      <c r="B2" t="n">
        <v>0.25</v>
      </c>
      <c r="C2">
        <f>Bear!B18</f>
        <v/>
      </c>
      <c r="D2">
        <f>Bear!B25</f>
        <v/>
      </c>
    </row>
    <row r="3">
      <c r="A3" t="inlineStr">
        <is>
          <t>base</t>
        </is>
      </c>
      <c r="B3" t="n">
        <v>0.5</v>
      </c>
      <c r="C3">
        <f>Base!B18</f>
        <v/>
      </c>
      <c r="D3">
        <f>Base!B25</f>
        <v/>
      </c>
    </row>
    <row r="4">
      <c r="A4" t="inlineStr">
        <is>
          <t>bull</t>
        </is>
      </c>
      <c r="B4" t="n">
        <v>0.25</v>
      </c>
      <c r="C4">
        <f>Bull!B18</f>
        <v/>
      </c>
      <c r="D4">
        <f>Bull!B25</f>
        <v/>
      </c>
    </row>
    <row r="5">
      <c r="A5" s="1" t="inlineStr">
        <is>
          <t>Probability-weighted</t>
        </is>
      </c>
      <c r="B5">
        <f>SUM(B2:B4)</f>
        <v/>
      </c>
      <c r="C5">
        <f>SUMPRODUCT(B2:B4,C2:C4)</f>
        <v/>
      </c>
      <c r="D5">
        <f>SUMPRODUCT(B2:B4,D2:D4)</f>
        <v/>
      </c>
    </row>
    <row r="6">
      <c r="A6" t="inlineStr">
        <is>
          <t>Weighted upside vs price</t>
        </is>
      </c>
      <c r="C6">
        <f>C5/Inputs!B3-1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Required return (%)</t>
        </is>
      </c>
      <c r="B1" s="1" t="inlineStr">
        <is>
          <t>Value per share (p), base paths</t>
        </is>
      </c>
    </row>
    <row r="2">
      <c r="A2" t="n">
        <v>8</v>
      </c>
      <c r="B2">
        <f>Base!B9/(1+$A2/100)^1+Base!C9/(1+$A2/100)^2+Base!D9/(1+$A2/100)^3+Base!E9/(1+$A2/100)^4+Base!F9/(1+$A2/100)^5+Base!B15/(1+$A2/100)^5</f>
        <v/>
      </c>
    </row>
    <row r="3">
      <c r="A3" t="n">
        <v>9</v>
      </c>
      <c r="B3">
        <f>Base!B9/(1+$A3/100)^1+Base!C9/(1+$A3/100)^2+Base!D9/(1+$A3/100)^3+Base!E9/(1+$A3/100)^4+Base!F9/(1+$A3/100)^5+Base!B15/(1+$A3/100)^5</f>
        <v/>
      </c>
    </row>
    <row r="4">
      <c r="A4" t="n">
        <v>10</v>
      </c>
      <c r="B4">
        <f>Base!B9/(1+$A4/100)^1+Base!C9/(1+$A4/100)^2+Base!D9/(1+$A4/100)^3+Base!E9/(1+$A4/100)^4+Base!F9/(1+$A4/100)^5+Base!B15/(1+$A4/100)^5</f>
        <v/>
      </c>
    </row>
    <row r="5">
      <c r="A5" t="n">
        <v>12</v>
      </c>
      <c r="B5">
        <f>Base!B9/(1+$A5/100)^1+Base!C9/(1+$A5/100)^2+Base!D9/(1+$A5/100)^3+Base!E9/(1+$A5/100)^4+Base!F9/(1+$A5/100)^5+Base!B15/(1+$A5/100)^5</f>
        <v/>
      </c>
    </row>
    <row r="6">
      <c r="A6" t="n">
        <v>15</v>
      </c>
      <c r="B6">
        <f>Base!B9/(1+$A6/100)^1+Base!C9/(1+$A6/100)^2+Base!D9/(1+$A6/100)^3+Base!E9/(1+$A6/100)^4+Base!F9/(1+$A6/100)^5+Base!B15/(1+$A6/100)^5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Intrinsic value (p) at base CoE: rows = exit discount %, cols = NAV total return % p.a.</t>
        </is>
      </c>
    </row>
    <row r="2">
      <c r="A2" t="inlineStr">
        <is>
          <t>exit \ TR</t>
        </is>
      </c>
      <c r="B2" t="n">
        <v>3</v>
      </c>
      <c r="C2" t="n">
        <v>6</v>
      </c>
      <c r="D2" t="n">
        <v>9</v>
      </c>
      <c r="E2" t="n">
        <v>12</v>
      </c>
      <c r="F2" t="n">
        <v>15</v>
      </c>
    </row>
    <row r="3">
      <c r="A3" t="n">
        <v>-15</v>
      </c>
      <c r="B3">
        <f>B$10*(1+$A3/100)/(1+Base!$B$4/100)^5+B$11</f>
        <v/>
      </c>
      <c r="C3">
        <f>C$10*(1+$A3/100)/(1+Base!$B$4/100)^5+C$11</f>
        <v/>
      </c>
      <c r="D3">
        <f>D$10*(1+$A3/100)/(1+Base!$B$4/100)^5+D$11</f>
        <v/>
      </c>
      <c r="E3">
        <f>E$10*(1+$A3/100)/(1+Base!$B$4/100)^5+E$11</f>
        <v/>
      </c>
      <c r="F3">
        <f>F$10*(1+$A3/100)/(1+Base!$B$4/100)^5+F$11</f>
        <v/>
      </c>
    </row>
    <row r="4">
      <c r="A4" t="n">
        <v>-10</v>
      </c>
      <c r="B4">
        <f>B$10*(1+$A4/100)/(1+Base!$B$4/100)^5+B$11</f>
        <v/>
      </c>
      <c r="C4">
        <f>C$10*(1+$A4/100)/(1+Base!$B$4/100)^5+C$11</f>
        <v/>
      </c>
      <c r="D4">
        <f>D$10*(1+$A4/100)/(1+Base!$B$4/100)^5+D$11</f>
        <v/>
      </c>
      <c r="E4">
        <f>E$10*(1+$A4/100)/(1+Base!$B$4/100)^5+E$11</f>
        <v/>
      </c>
      <c r="F4">
        <f>F$10*(1+$A4/100)/(1+Base!$B$4/100)^5+F$11</f>
        <v/>
      </c>
    </row>
    <row r="5">
      <c r="A5" t="n">
        <v>-8</v>
      </c>
      <c r="B5">
        <f>B$10*(1+$A5/100)/(1+Base!$B$4/100)^5+B$11</f>
        <v/>
      </c>
      <c r="C5">
        <f>C$10*(1+$A5/100)/(1+Base!$B$4/100)^5+C$11</f>
        <v/>
      </c>
      <c r="D5">
        <f>D$10*(1+$A5/100)/(1+Base!$B$4/100)^5+D$11</f>
        <v/>
      </c>
      <c r="E5">
        <f>E$10*(1+$A5/100)/(1+Base!$B$4/100)^5+E$11</f>
        <v/>
      </c>
      <c r="F5">
        <f>F$10*(1+$A5/100)/(1+Base!$B$4/100)^5+F$11</f>
        <v/>
      </c>
    </row>
    <row r="6">
      <c r="A6" t="n">
        <v>-5</v>
      </c>
      <c r="B6">
        <f>B$10*(1+$A6/100)/(1+Base!$B$4/100)^5+B$11</f>
        <v/>
      </c>
      <c r="C6">
        <f>C$10*(1+$A6/100)/(1+Base!$B$4/100)^5+C$11</f>
        <v/>
      </c>
      <c r="D6">
        <f>D$10*(1+$A6/100)/(1+Base!$B$4/100)^5+D$11</f>
        <v/>
      </c>
      <c r="E6">
        <f>E$10*(1+$A6/100)/(1+Base!$B$4/100)^5+E$11</f>
        <v/>
      </c>
      <c r="F6">
        <f>F$10*(1+$A6/100)/(1+Base!$B$4/100)^5+F$11</f>
        <v/>
      </c>
    </row>
    <row r="7">
      <c r="A7" t="n">
        <v>0</v>
      </c>
      <c r="B7">
        <f>B$10*(1+$A7/100)/(1+Base!$B$4/100)^5+B$11</f>
        <v/>
      </c>
      <c r="C7">
        <f>C$10*(1+$A7/100)/(1+Base!$B$4/100)^5+C$11</f>
        <v/>
      </c>
      <c r="D7">
        <f>D$10*(1+$A7/100)/(1+Base!$B$4/100)^5+D$11</f>
        <v/>
      </c>
      <c r="E7">
        <f>E$10*(1+$A7/100)/(1+Base!$B$4/100)^5+E$11</f>
        <v/>
      </c>
      <c r="F7">
        <f>F$10*(1+$A7/100)/(1+Base!$B$4/100)^5+F$11</f>
        <v/>
      </c>
    </row>
    <row r="10">
      <c r="A10" t="inlineStr">
        <is>
          <t>helper: NAV5 by TR</t>
        </is>
      </c>
      <c r="B10">
        <f>Inputs!$B$4*(1+B$2/100)^5-Base!B9*(1+B$2/100)^4-Base!C9*(1+B$2/100)^3-Base!D9*(1+B$2/100)^2-Base!E9*(1+B$2/100)^1-Base!F9*(1+B$2/100)^0</f>
        <v/>
      </c>
      <c r="C10">
        <f>Inputs!$B$4*(1+C$2/100)^5-Base!B9*(1+C$2/100)^4-Base!C9*(1+C$2/100)^3-Base!D9*(1+C$2/100)^2-Base!E9*(1+C$2/100)^1-Base!F9*(1+C$2/100)^0</f>
        <v/>
      </c>
      <c r="D10">
        <f>Inputs!$B$4*(1+D$2/100)^5-Base!B9*(1+D$2/100)^4-Base!C9*(1+D$2/100)^3-Base!D9*(1+D$2/100)^2-Base!E9*(1+D$2/100)^1-Base!F9*(1+D$2/100)^0</f>
        <v/>
      </c>
      <c r="E10">
        <f>Inputs!$B$4*(1+E$2/100)^5-Base!B9*(1+E$2/100)^4-Base!C9*(1+E$2/100)^3-Base!D9*(1+E$2/100)^2-Base!E9*(1+E$2/100)^1-Base!F9*(1+E$2/100)^0</f>
        <v/>
      </c>
      <c r="F10">
        <f>Inputs!$B$4*(1+F$2/100)^5-Base!B9*(1+F$2/100)^4-Base!C9*(1+F$2/100)^3-Base!D9*(1+F$2/100)^2-Base!E9*(1+F$2/100)^1-Base!F9*(1+F$2/100)^0</f>
        <v/>
      </c>
    </row>
    <row r="11">
      <c r="A11" t="inlineStr">
        <is>
          <t>helper: PV dividends @ CoE (base path)</t>
        </is>
      </c>
      <c r="B11">
        <f>Base!$B$17</f>
        <v/>
      </c>
      <c r="C11">
        <f>Base!$B$17</f>
        <v/>
      </c>
      <c r="D11">
        <f>Base!$B$17</f>
        <v/>
      </c>
      <c r="E11">
        <f>Base!$B$17</f>
        <v/>
      </c>
      <c r="F11">
        <f>Base!$B$17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2026-10-10T01:38:51Z</dcterms:created>
  <dcterms:modified xsi:type="dcterms:W3CDTF">2026-10-10T01:38:51Z</dcterms:modified>
</cp:coreProperties>
</file>