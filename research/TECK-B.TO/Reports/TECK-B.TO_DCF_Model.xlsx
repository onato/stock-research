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<sst xmlns="http://schemas.openxmlformats.org/spreadsheetml/2006/main" count="368" uniqueCount="172">
  <si>
    <t xml:space="preserve">Ticker</t>
  </si>
  <si>
    <t xml:space="preserve">TECK-B.TO</t>
  </si>
  <si>
    <t xml:space="preserve">Company</t>
  </si>
  <si>
    <t xml:space="preserve">Teck Resources Limited (Class B subordinate voting)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</si>
  <si>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</si>
  <si>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</si>
  <si>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</si>
  <si>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</si>
  <si>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</si>
  <si>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</si>
  <si>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</si>
  <si>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</si>
  <si>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</si>
  <si>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</si>
  <si>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</si>
  <si>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</si>
  <si>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</si>
  <si>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</si>
  <si>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</si>
  <si>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</si>
  <si>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</si>
  <si>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2026-10-10T10:57:24Z</t>
  </si>
  <si>
    <t xml:space="preserve">Drivers file</t>
  </si>
  <si>
    <t xml:space="preserve">TECK-B.TO_Drivers.json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</si>
  <si>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</si>
  <si>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</si>
  <si>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</si>
  <si>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Standalone, mid-cycle owner-FCF valuation of Teck as a copper/zinc miner. The key judgment is the copper price deck, not the growth rate: revenue is rebuilt from guided volumes x a scenario price, and FY2026's record prices are faded to an incentive-price US$5.00/lb real by 2029. FY2024/FY2025 are rejected as bases (QB ramp, pre-tax loss, -C$920m owner FCF) and H1-2026 is rejected as a run-rate (peak price); FY2026E is used only to anchor the revenue level. MAJOR UNCERTAINTY -- PENDING ANGLO AMERICAN MERGER: under the September 2025 all-share merger of equals, Anglo American will issue 1.3301 ordinary shares per Teck share to form Anglo Teck plc (shareholders approved Dec 9, 2025; Investment Canada Act approval Dec 15, 2025; China and South Korea antitrust still pending at mid-2026, guided close 12-18 months from announcement). If it completes, a Teck holder's realized value is 1.3301 x the Anglo Teck share price -- driven by Anglo's assets, the ~US$800m/yr of guided synergies and the QB-Collahuasi option -- and this standalone DCF stops being the relevant number. No synergies, deal ratio or rival-bid optionality are modelled. The current price should be read as pricing the merged entity plus a copper price near spot, not Teck standalone at mid-cycle.
base_year_choice: FY0 = FY2026E revenue (C$14,150m: H1 actual 7,548 + H2E 6,600); explicit years from FY2027 are volume x price-deck builds, so no reported margin is carried forward. H2-2026E unlevered owner FCF (C$700m) is added to the 2026-06-30 balance sheet in the bridge.
copper_price_sensitivity: Each US$0.50/lb on the long-run copper price moves revenue by ~C$750m/yr and owner FCF by ~C$480m/yr after tax, ~C$13/share of value at 9%.
key_risks_to_valuation: Anglo American merger completes (realized value = 1.3301 x Anglo Teck share price, not this DCF) or is blocked/renegotiated, or a rival bid emerges; Long-run copper price: the valuation is highly levered to the deck (base US$5.00, bull 6.00, bear 4.00/lb real); QB2 throughput/recoveries and TMF: the asset has not yet run at design for a sustained multi-year period; Red Dog end of mine life (2032) without a sanctioned extension; QB advances deducted at carrying value; economically SMM/SC's claim is lower at the base deck (~C$3/share conservatism); Chile/Peru royalty, tax and permitting changes; drought at CdA; Growth projects (San Nicolas, Zafranal, QB debottleneck, Galore Creek, NuevaUnion) carried only at JV book value -- a real but unmodelled upside</t>
  </si>
  <si>
    <t xml:space="preserve">Data sources</t>
  </si>
  <si>
    <t xml:space="preserve">price: Yahoo Finance chart API at inputs.price_as_of; 52-week range 53.55-99.91 CAD
financials: Teck Q2-2026 news release and interim statements (balance sheet 2026-06-30, cash flow, Notes 8-10); FY2025 Annual Report (segment tables, revenue by product, DRP Note 25, QB NCI note, 2026-2028 production and capex guidance); TECK-B.TO_Metrics.csv
qualitative: TECK-B.TO_Analysis.json (2026-10-10)</t>
  </si>
  <si>
    <t xml:space="preserve">Scenario narrative: bear</t>
  </si>
  <si>
    <t xml:space="preserve">Copper mean-reverts to ~US$4.00/lb real as Chinese demand slows and new supply (DRC, Peru, Mongolia) arrives; QB2's troubled ramp history (TMF constraints 2023-2025, 2025 shiploader outage) recurs and it runs below guidance at higher unit cost; Red Dog closes in 2032 without an extension, removing the zinc segment's main cash contributor; HVC MLE capex is spent regardless. Teck reverts to the FY2024-25 pattern of thin owner FCF.</t>
  </si>
  <si>
    <t xml:space="preserve">Scenario narrative: base</t>
  </si>
  <si>
    <t xml:space="preserve">Copper normalizes from the 2026 record (Q2 LME US$6.05/lb) to roughly the incentive price for new supply, US$5.00/lb real, by 2029. QB2 is now a stable ~240-275kt/yr asset after the TMF sand-wedge work, HVC MLE delivers ~132kt/yr to 2046, Antamina and CdA run to plan, and Red Dog's decline is managed by a mine-life extension. Owner FCF is suppressed through 2028 by HVC MLE and stripping capex and by the 2028 volume trough, then settles near C$1.9-2.2bn/yr. Growth projects (San Nicolas, Zafranal, QB debottleneck) are excluded from flows and carried only at JV book value.</t>
  </si>
  <si>
    <t xml:space="preserve">Scenario narrative: bull</t>
  </si>
  <si>
    <t xml:space="preserve">The copper deficit thesis plays out: electrification, grid and AI data-centre demand against stagnant mine supply and record-low treatment charges keep copper near US$6/lb real. QB reaches design throughput and recoveries with incremental debottlenecking, total copper approaches 550kt, and zinc/silver/germanium by-products stay strong. Operating leverage is large: mid-cycle EBITDA ~C$7bn+ against ~C$5bn in base.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</si>
  <si>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</si>
  <si>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</si>
  <si>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</si>
  <si>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</si>
  <si>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</si>
  <si>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</si>
  <si>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</si>
  <si>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</si>
  <si>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</si>
  <si>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</si>
  <si>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</si>
  <si>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</si>
  <si>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</si>
  <si>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</si>
  <si>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</si>
  <si>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</si>
  <si>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</si>
  <si>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</si>
  <si>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</si>
  <si>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</si>
  <si>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</si>
  <si>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</si>
  <si>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</si>
  <si>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</si>
  <si>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</si>
  <si>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</si>
  <si>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</si>
  <si>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BasicEPS</t>
  </si>
  <si>
    <t xml:space="preserve">CapexPPE</t>
  </si>
  <si>
    <t xml:space="preserve">CopperProduction</t>
  </si>
  <si>
    <t xml:space="preserve">NetIncomeContinuing</t>
  </si>
  <si>
    <t xml:space="preserve">NetIncomeDiscontinued</t>
  </si>
  <si>
    <t xml:space="preserve">NonControllingInterestProfit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</si>
  <si>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</si>
  <si>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</si>
  <si>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</si>
  <si>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</si>
  <si>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</si>
  <si>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</si>
  <si>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</si>
  <si>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</si>
  <si>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</si>
  <si>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</si>
  <si>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</si>
  <si>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</si>
  <si>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</si>
  <si>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</si>
  <si>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</si>
  <si>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</si>
  <si>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</si>
  <si>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</si>
  <si>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</si>
  <si>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</si>
  <si>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</si>
  <si>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</si>
  <si>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</si>
  <si>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</si>
  <si>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</si>
  <si>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</si>
  <si>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</si>
  <si>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</si>
  <si>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</si>
  <si>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</si>
  <si>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</si>
  <si>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</si>
  <si>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</si>
  <si>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</si>
  <si>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</si>
  <si>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</si>
  <si>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</si>
  <si>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</si>
  <si>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</si>
  <si>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</si>
  <si>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</si>
  <si>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</si>
  <si>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</si>
  <si>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</si>
  <si>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</si>
  <si>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</si>
  <si>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</si>
  <si>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</si>
  <si>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</si>
  <si>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TECK-B.TO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</si>
  <si>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</si>
  <si>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</si>
  <si>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</si>
  <si>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</si>
  <si>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</si>
  <si>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</si>
  <si>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</si>
  <si>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</si>
  <si>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</si>
  <si>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</si>
  <si>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</si>
  <si>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</si>
  <si>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</si>
  <si>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</si>
  <si>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</si>
  <si>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</si>
  <si>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</si>
  <si>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</si>
  <si>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</si>
  <si>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</si>
  <si>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</si>
  <si>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</si>
  <si>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</si>
  <si>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</si>
  <si>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</si>
  <si>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</si>
  <si>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</si>
  <si>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</si>
  <si>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</si>
  <si>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</si>
  <si>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TECK-B.TO owner-FCF component DCF: base case (millions, CAD)</t>
  </si>
  <si>
    <t xml:space="preserve">TECK-B.TO owner-FCF component DCF: bull case (millions, CAD)</t>
  </si>
  <si>
    <t xml:space="preserve">TECK-B.TO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</si>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</sst>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97.1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46.2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</row>
    <row r="2" customFormat="false" ht="15" hidden="false" customHeight="false" outlineLevel="0" collapsed="false">
      <c r="A2" s="0" t="s">
        <v>69</v>
      </c>
      <c r="B2" s="0" t="n">
        <v>8259</v>
      </c>
      <c r="C2" s="0" t="n">
        <v>6980</v>
      </c>
      <c r="D2" s="0" t="n">
        <v>1279</v>
      </c>
      <c r="E2" s="0" t="n">
        <v>15.5</v>
      </c>
      <c r="H2" s="0" t="n">
        <v>-1633</v>
      </c>
      <c r="I2" s="0" t="n">
        <v>-2474</v>
      </c>
      <c r="J2" s="0" t="n">
        <v>-30</v>
      </c>
      <c r="K2" s="0" t="n">
        <v>-4.29</v>
      </c>
      <c r="L2" s="0" t="n">
        <v>1962</v>
      </c>
      <c r="M2" s="0" t="n">
        <v>2244</v>
      </c>
      <c r="N2" s="0" t="n">
        <v>-282</v>
      </c>
      <c r="O2" s="0" t="n">
        <v>16407</v>
      </c>
      <c r="P2" s="0" t="n">
        <v>34688</v>
      </c>
      <c r="Q2" s="0" t="n">
        <v>18051</v>
      </c>
      <c r="R2" s="0" t="n">
        <v>9634</v>
      </c>
      <c r="S2" s="0" t="n">
        <v>1887</v>
      </c>
      <c r="T2" s="0" t="n">
        <v>576.2</v>
      </c>
      <c r="U2" s="0" t="n">
        <v>13</v>
      </c>
      <c r="AA2" s="0" t="s">
        <v>17</v>
      </c>
      <c r="AB2" s="0" t="s">
        <v>14</v>
      </c>
      <c r="AC2" s="0" t="n">
        <v>-4.29</v>
      </c>
      <c r="AD2" s="0" t="n">
        <v>1581</v>
      </c>
    </row>
    <row r="3" customFormat="false" ht="15" hidden="false" customHeight="false" outlineLevel="0" collapsed="false">
      <c r="A3" s="0" t="s">
        <v>70</v>
      </c>
      <c r="B3" s="0" t="n">
        <v>9300</v>
      </c>
      <c r="C3" s="0" t="n">
        <v>6904</v>
      </c>
      <c r="D3" s="0" t="n">
        <v>2396</v>
      </c>
      <c r="E3" s="0" t="n">
        <v>25.8</v>
      </c>
      <c r="F3" s="0" t="n">
        <v>1725</v>
      </c>
      <c r="G3" s="0" t="n">
        <v>18.5</v>
      </c>
      <c r="H3" s="0" t="n">
        <v>3350</v>
      </c>
      <c r="I3" s="0" t="n">
        <v>1040</v>
      </c>
      <c r="J3" s="0" t="n">
        <v>11.2</v>
      </c>
      <c r="K3" s="0" t="n">
        <v>1.78</v>
      </c>
      <c r="L3" s="0" t="n">
        <v>3056</v>
      </c>
      <c r="M3" s="0" t="n">
        <v>1893</v>
      </c>
      <c r="N3" s="0" t="n">
        <v>1163</v>
      </c>
      <c r="O3" s="0" t="n">
        <v>17442</v>
      </c>
      <c r="P3" s="0" t="n">
        <v>35629</v>
      </c>
      <c r="Q3" s="0" t="n">
        <v>18028</v>
      </c>
      <c r="R3" s="0" t="n">
        <v>8343</v>
      </c>
      <c r="S3" s="0" t="n">
        <v>1407</v>
      </c>
      <c r="T3" s="0" t="n">
        <v>576.4</v>
      </c>
      <c r="U3" s="0" t="n">
        <v>171</v>
      </c>
      <c r="AA3" s="0" t="s">
        <v>17</v>
      </c>
      <c r="AB3" s="0" t="s">
        <v>14</v>
      </c>
      <c r="AC3" s="0" t="n">
        <v>1.8</v>
      </c>
      <c r="AD3" s="0" t="n">
        <v>1416</v>
      </c>
    </row>
    <row r="4" customFormat="false" ht="15" hidden="false" customHeight="false" outlineLevel="0" collapsed="false">
      <c r="A4" s="0" t="s">
        <v>71</v>
      </c>
      <c r="B4" s="0" t="n">
        <v>12048</v>
      </c>
      <c r="C4" s="0" t="n">
        <v>7419</v>
      </c>
      <c r="D4" s="0" t="n">
        <v>4629</v>
      </c>
      <c r="E4" s="0" t="n">
        <v>38.4</v>
      </c>
      <c r="F4" s="0" t="n">
        <v>4333</v>
      </c>
      <c r="G4" s="0" t="n">
        <v>36</v>
      </c>
      <c r="H4" s="0" t="n">
        <v>5626</v>
      </c>
      <c r="I4" s="0" t="n">
        <v>2509</v>
      </c>
      <c r="J4" s="0" t="n">
        <v>20.8</v>
      </c>
      <c r="K4" s="0" t="n">
        <v>4.28</v>
      </c>
      <c r="L4" s="0" t="n">
        <v>5066</v>
      </c>
      <c r="M4" s="0" t="n">
        <v>2299</v>
      </c>
      <c r="N4" s="0" t="n">
        <v>2767</v>
      </c>
      <c r="O4" s="0" t="n">
        <v>19383</v>
      </c>
      <c r="P4" s="0" t="n">
        <v>37058</v>
      </c>
      <c r="Q4" s="0" t="n">
        <v>17533</v>
      </c>
      <c r="R4" s="0" t="n">
        <v>6369</v>
      </c>
      <c r="S4" s="0" t="n">
        <v>952</v>
      </c>
      <c r="T4" s="0" t="n">
        <v>577.5</v>
      </c>
      <c r="U4" s="0" t="n">
        <v>125</v>
      </c>
      <c r="AA4" s="0" t="s">
        <v>17</v>
      </c>
      <c r="AB4" s="0" t="s">
        <v>14</v>
      </c>
      <c r="AC4" s="0" t="n">
        <v>4.34</v>
      </c>
      <c r="AD4" s="0" t="n">
        <v>1621</v>
      </c>
    </row>
    <row r="5" customFormat="false" ht="15" hidden="false" customHeight="false" outlineLevel="0" collapsed="false">
      <c r="A5" s="0" t="s">
        <v>72</v>
      </c>
      <c r="B5" s="0" t="n">
        <v>12564</v>
      </c>
      <c r="C5" s="0" t="n">
        <v>7943</v>
      </c>
      <c r="D5" s="0" t="n">
        <v>4621</v>
      </c>
      <c r="E5" s="0" t="n">
        <v>36.8</v>
      </c>
      <c r="F5" s="0" t="n">
        <v>4784</v>
      </c>
      <c r="G5" s="0" t="n">
        <v>38.1</v>
      </c>
      <c r="H5" s="0" t="n">
        <v>6174</v>
      </c>
      <c r="I5" s="0" t="n">
        <v>3107</v>
      </c>
      <c r="J5" s="0" t="n">
        <v>24.7</v>
      </c>
      <c r="K5" s="0" t="n">
        <v>5.34</v>
      </c>
      <c r="L5" s="0" t="n">
        <v>4438</v>
      </c>
      <c r="M5" s="0" t="n">
        <v>2613</v>
      </c>
      <c r="N5" s="0" t="n">
        <v>1825</v>
      </c>
      <c r="O5" s="0" t="n">
        <v>22884</v>
      </c>
      <c r="P5" s="0" t="n">
        <v>39626</v>
      </c>
      <c r="Q5" s="0" t="n">
        <v>16608</v>
      </c>
      <c r="R5" s="0" t="n">
        <v>5181</v>
      </c>
      <c r="S5" s="0" t="n">
        <v>1734</v>
      </c>
      <c r="T5" s="0" t="n">
        <v>582.1</v>
      </c>
      <c r="U5" s="0" t="n">
        <v>59</v>
      </c>
      <c r="AA5" s="0" t="s">
        <v>17</v>
      </c>
      <c r="AB5" s="0" t="s">
        <v>14</v>
      </c>
      <c r="AC5" s="0" t="n">
        <v>5.41</v>
      </c>
      <c r="AD5" s="0" t="n">
        <v>1906</v>
      </c>
    </row>
    <row r="6" customFormat="false" ht="15" hidden="false" customHeight="false" outlineLevel="0" collapsed="false">
      <c r="A6" s="0" t="s">
        <v>73</v>
      </c>
      <c r="B6" s="0" t="n">
        <v>11934</v>
      </c>
      <c r="C6" s="0" t="n">
        <v>8594</v>
      </c>
      <c r="D6" s="0" t="n">
        <v>3340</v>
      </c>
      <c r="E6" s="0" t="n">
        <v>28</v>
      </c>
      <c r="F6" s="0" t="n">
        <v>-150</v>
      </c>
      <c r="G6" s="0" t="n">
        <v>-1.3</v>
      </c>
      <c r="I6" s="0" t="n">
        <v>-605</v>
      </c>
      <c r="J6" s="0" t="n">
        <v>-5.1</v>
      </c>
      <c r="K6" s="0" t="n">
        <v>-1.08</v>
      </c>
      <c r="L6" s="0" t="n">
        <v>3484</v>
      </c>
      <c r="M6" s="0" t="n">
        <v>3468</v>
      </c>
      <c r="N6" s="0" t="n">
        <v>16</v>
      </c>
      <c r="O6" s="0" t="n">
        <v>21304</v>
      </c>
      <c r="P6" s="0" t="n">
        <v>39350</v>
      </c>
      <c r="Q6" s="0" t="n">
        <v>17276</v>
      </c>
      <c r="R6" s="0" t="n">
        <v>4162</v>
      </c>
      <c r="S6" s="0" t="n">
        <v>1026</v>
      </c>
      <c r="T6" s="0" t="n">
        <v>559.8</v>
      </c>
      <c r="U6" s="0" t="n">
        <v>4</v>
      </c>
      <c r="AA6" s="0" t="s">
        <v>17</v>
      </c>
      <c r="AB6" s="0" t="s">
        <v>14</v>
      </c>
      <c r="AC6" s="0" t="n">
        <v>-1.08</v>
      </c>
      <c r="AD6" s="0" t="n">
        <v>2788</v>
      </c>
    </row>
    <row r="7" customFormat="false" ht="15" hidden="false" customHeight="false" outlineLevel="0" collapsed="false">
      <c r="A7" s="0" t="s">
        <v>74</v>
      </c>
      <c r="B7" s="0" t="n">
        <v>8948</v>
      </c>
      <c r="C7" s="0" t="n">
        <v>7615</v>
      </c>
      <c r="D7" s="0" t="n">
        <v>1333</v>
      </c>
      <c r="E7" s="0" t="n">
        <v>14.9</v>
      </c>
      <c r="F7" s="0" t="n">
        <v>-910</v>
      </c>
      <c r="G7" s="0" t="n">
        <v>-10.2</v>
      </c>
      <c r="I7" s="0" t="n">
        <v>-864</v>
      </c>
      <c r="J7" s="0" t="n">
        <v>-9.7</v>
      </c>
      <c r="K7" s="0" t="n">
        <v>-1.62</v>
      </c>
      <c r="L7" s="0" t="n">
        <v>1563</v>
      </c>
      <c r="M7" s="0" t="n">
        <v>3628</v>
      </c>
      <c r="N7" s="0" t="n">
        <v>-2065</v>
      </c>
      <c r="O7" s="0" t="n">
        <v>20039</v>
      </c>
      <c r="P7" s="0" t="n">
        <v>41278</v>
      </c>
      <c r="Q7" s="0" t="n">
        <v>20570</v>
      </c>
      <c r="R7" s="0" t="n">
        <v>6255</v>
      </c>
      <c r="S7" s="0" t="n">
        <v>450</v>
      </c>
      <c r="T7" s="0" t="n">
        <v>534.4</v>
      </c>
      <c r="U7" s="0" t="n">
        <v>47</v>
      </c>
      <c r="V7" s="0" t="n">
        <v>0.2</v>
      </c>
      <c r="AA7" s="0" t="s">
        <v>17</v>
      </c>
      <c r="AB7" s="0" t="s">
        <v>14</v>
      </c>
      <c r="AC7" s="0" t="n">
        <v>-1.62</v>
      </c>
      <c r="AD7" s="0" t="n">
        <v>3129</v>
      </c>
      <c r="AE7" s="0" t="n">
        <v>276</v>
      </c>
    </row>
    <row r="8" customFormat="false" ht="15" hidden="false" customHeight="false" outlineLevel="0" collapsed="false">
      <c r="A8" s="0" t="s">
        <v>75</v>
      </c>
      <c r="B8" s="0" t="n">
        <v>13481</v>
      </c>
      <c r="C8" s="0" t="n">
        <v>8400</v>
      </c>
      <c r="D8" s="0" t="n">
        <v>5081</v>
      </c>
      <c r="E8" s="0" t="n">
        <v>37.7</v>
      </c>
      <c r="F8" s="0" t="n">
        <v>4850</v>
      </c>
      <c r="G8" s="0" t="n">
        <v>36</v>
      </c>
      <c r="I8" s="0" t="n">
        <v>2868</v>
      </c>
      <c r="J8" s="0" t="n">
        <v>21.3</v>
      </c>
      <c r="K8" s="0" t="n">
        <v>5.31</v>
      </c>
      <c r="L8" s="0" t="n">
        <v>4738</v>
      </c>
      <c r="M8" s="0" t="n">
        <v>4713</v>
      </c>
      <c r="N8" s="0" t="n">
        <v>25</v>
      </c>
      <c r="O8" s="0" t="n">
        <v>23005</v>
      </c>
      <c r="P8" s="0" t="n">
        <v>47368</v>
      </c>
      <c r="Q8" s="0" t="n">
        <v>23595</v>
      </c>
      <c r="R8" s="0" t="n">
        <v>7374</v>
      </c>
      <c r="S8" s="0" t="n">
        <v>1427</v>
      </c>
      <c r="T8" s="0" t="n">
        <v>540.3</v>
      </c>
      <c r="U8" s="0" t="n">
        <v>125</v>
      </c>
      <c r="V8" s="0" t="n">
        <v>0.2</v>
      </c>
      <c r="AA8" s="0" t="s">
        <v>17</v>
      </c>
      <c r="AB8" s="0" t="s">
        <v>14</v>
      </c>
      <c r="AC8" s="0" t="n">
        <v>5.39</v>
      </c>
      <c r="AD8" s="0" t="n">
        <v>4046</v>
      </c>
      <c r="AE8" s="0" t="n">
        <v>287</v>
      </c>
    </row>
    <row r="9" customFormat="false" ht="15" hidden="false" customHeight="false" outlineLevel="0" collapsed="false">
      <c r="A9" s="0" t="s">
        <v>76</v>
      </c>
      <c r="B9" s="0" t="n">
        <v>17316</v>
      </c>
      <c r="C9" s="0" t="n">
        <v>8745</v>
      </c>
      <c r="D9" s="0" t="n">
        <v>8571</v>
      </c>
      <c r="E9" s="0" t="n">
        <v>49.5</v>
      </c>
      <c r="F9" s="0" t="n">
        <v>6986</v>
      </c>
      <c r="G9" s="0" t="n">
        <v>40.3</v>
      </c>
      <c r="I9" s="0" t="n">
        <v>3317</v>
      </c>
      <c r="J9" s="0" t="n">
        <v>19.2</v>
      </c>
      <c r="K9" s="0" t="n">
        <v>6.19</v>
      </c>
      <c r="L9" s="0" t="n">
        <v>7983</v>
      </c>
      <c r="M9" s="0" t="n">
        <v>5465</v>
      </c>
      <c r="N9" s="0" t="n">
        <v>2518</v>
      </c>
      <c r="O9" s="0" t="n">
        <v>25473</v>
      </c>
      <c r="P9" s="0" t="n">
        <v>52359</v>
      </c>
      <c r="Q9" s="0" t="n">
        <v>25848</v>
      </c>
      <c r="R9" s="0" t="n">
        <v>7167</v>
      </c>
      <c r="S9" s="0" t="n">
        <v>1883</v>
      </c>
      <c r="T9" s="0" t="n">
        <v>535.9</v>
      </c>
      <c r="U9" s="0" t="n">
        <v>236</v>
      </c>
      <c r="V9" s="0" t="n">
        <v>1</v>
      </c>
      <c r="AA9" s="0" t="s">
        <v>17</v>
      </c>
      <c r="AB9" s="0" t="s">
        <v>14</v>
      </c>
      <c r="AC9" s="0" t="n">
        <v>6.3</v>
      </c>
      <c r="AD9" s="0" t="n">
        <v>4423</v>
      </c>
      <c r="AE9" s="0" t="n">
        <v>270</v>
      </c>
      <c r="AF9" s="0" t="n">
        <v>4089</v>
      </c>
      <c r="AG9" s="0" t="n">
        <v>-772</v>
      </c>
    </row>
    <row r="10" customFormat="false" ht="15" hidden="false" customHeight="false" outlineLevel="0" collapsed="false">
      <c r="A10" s="0" t="s">
        <v>77</v>
      </c>
      <c r="B10" s="0" t="n">
        <v>15011</v>
      </c>
      <c r="C10" s="0" t="n">
        <v>9868</v>
      </c>
      <c r="D10" s="0" t="n">
        <v>5143</v>
      </c>
      <c r="E10" s="0" t="n">
        <v>34.3</v>
      </c>
      <c r="F10" s="0" t="n">
        <v>4370</v>
      </c>
      <c r="G10" s="0" t="n">
        <v>29.1</v>
      </c>
      <c r="I10" s="0" t="n">
        <v>2409</v>
      </c>
      <c r="J10" s="0" t="n">
        <v>16</v>
      </c>
      <c r="K10" s="0" t="n">
        <v>4.59</v>
      </c>
      <c r="L10" s="0" t="n">
        <v>4084</v>
      </c>
      <c r="M10" s="0" t="n">
        <v>5782</v>
      </c>
      <c r="N10" s="0" t="n">
        <v>-1698</v>
      </c>
      <c r="O10" s="0" t="n">
        <v>26988</v>
      </c>
      <c r="P10" s="0" t="n">
        <v>56193</v>
      </c>
      <c r="Q10" s="0" t="n">
        <v>27901</v>
      </c>
      <c r="R10" s="0" t="n">
        <v>6534</v>
      </c>
      <c r="S10" s="0" t="n">
        <v>744</v>
      </c>
      <c r="T10" s="0" t="n">
        <v>525.3</v>
      </c>
      <c r="U10" s="0" t="n">
        <v>107</v>
      </c>
      <c r="V10" s="0" t="n">
        <v>1</v>
      </c>
      <c r="X10" s="0" t="n">
        <v>6476</v>
      </c>
      <c r="AA10" s="0" t="s">
        <v>17</v>
      </c>
      <c r="AB10" s="0" t="s">
        <v>14</v>
      </c>
      <c r="AC10" s="0" t="n">
        <v>4.65</v>
      </c>
      <c r="AD10" s="0" t="n">
        <v>4678</v>
      </c>
      <c r="AE10" s="0" t="n">
        <v>296</v>
      </c>
      <c r="AF10" s="0" t="n">
        <v>2435</v>
      </c>
      <c r="AG10" s="0" t="n">
        <v>-26</v>
      </c>
    </row>
    <row r="11" customFormat="false" ht="15" hidden="false" customHeight="false" outlineLevel="0" collapsed="false">
      <c r="A11" s="0" t="s">
        <v>78</v>
      </c>
      <c r="B11" s="0" t="n">
        <v>9065</v>
      </c>
      <c r="C11" s="0" t="n">
        <v>7458</v>
      </c>
      <c r="D11" s="0" t="n">
        <v>1607</v>
      </c>
      <c r="E11" s="0" t="n">
        <v>17.7</v>
      </c>
      <c r="F11" s="0" t="n">
        <v>-9</v>
      </c>
      <c r="G11" s="0" t="n">
        <v>-0.1</v>
      </c>
      <c r="I11" s="0" t="n">
        <v>406</v>
      </c>
      <c r="J11" s="0" t="n">
        <v>4.5</v>
      </c>
      <c r="K11" s="0" t="n">
        <v>0.78</v>
      </c>
      <c r="L11" s="0" t="n">
        <v>430</v>
      </c>
      <c r="M11" s="0" t="n">
        <v>2635</v>
      </c>
      <c r="N11" s="0" t="n">
        <v>-2205</v>
      </c>
      <c r="O11" s="0" t="n">
        <v>26077</v>
      </c>
      <c r="P11" s="0" t="n">
        <v>47037</v>
      </c>
      <c r="Q11" s="0" t="n">
        <v>19941</v>
      </c>
      <c r="R11" s="0" t="n">
        <v>4531</v>
      </c>
      <c r="S11" s="0" t="n">
        <v>7587</v>
      </c>
      <c r="T11" s="0" t="n">
        <v>520</v>
      </c>
      <c r="U11" s="0" t="n">
        <v>91</v>
      </c>
      <c r="V11" s="0" t="n">
        <v>1</v>
      </c>
      <c r="X11" s="0" t="n">
        <v>9065</v>
      </c>
      <c r="AA11" s="0" t="s">
        <v>17</v>
      </c>
      <c r="AB11" s="0" t="s">
        <v>14</v>
      </c>
      <c r="AC11" s="0" t="n">
        <v>0.79</v>
      </c>
      <c r="AD11" s="0" t="n">
        <v>2262</v>
      </c>
      <c r="AE11" s="0" t="n">
        <v>446</v>
      </c>
      <c r="AF11" s="0" t="n">
        <v>-467</v>
      </c>
      <c r="AG11" s="0" t="n">
        <v>873</v>
      </c>
      <c r="AH11" s="0" t="n">
        <v>-123</v>
      </c>
    </row>
    <row r="12" customFormat="false" ht="15" hidden="false" customHeight="false" outlineLevel="0" collapsed="false">
      <c r="A12" s="0" t="s">
        <v>79</v>
      </c>
      <c r="B12" s="0" t="n">
        <v>10756</v>
      </c>
      <c r="C12" s="0" t="n">
        <v>8099</v>
      </c>
      <c r="D12" s="0" t="n">
        <v>2657</v>
      </c>
      <c r="E12" s="0" t="n">
        <v>24.7</v>
      </c>
      <c r="F12" s="0" t="n">
        <v>2248</v>
      </c>
      <c r="G12" s="0" t="n">
        <v>20.9</v>
      </c>
      <c r="I12" s="0" t="n">
        <v>1401</v>
      </c>
      <c r="J12" s="0" t="n">
        <v>13</v>
      </c>
      <c r="K12" s="0" t="n">
        <v>2.83</v>
      </c>
      <c r="L12" s="0" t="n">
        <v>1479</v>
      </c>
      <c r="M12" s="0" t="n">
        <v>2062</v>
      </c>
      <c r="N12" s="0" t="n">
        <v>-583</v>
      </c>
      <c r="O12" s="0" t="n">
        <v>25096</v>
      </c>
      <c r="P12" s="0" t="n">
        <v>45436</v>
      </c>
      <c r="Q12" s="0" t="n">
        <v>19429</v>
      </c>
      <c r="R12" s="0" t="n">
        <v>3904</v>
      </c>
      <c r="S12" s="0" t="n">
        <v>5012</v>
      </c>
      <c r="T12" s="0" t="n">
        <v>495.4</v>
      </c>
      <c r="U12" s="0" t="n">
        <v>66</v>
      </c>
      <c r="V12" s="0" t="n">
        <v>0.5</v>
      </c>
      <c r="X12" s="0" t="n">
        <v>10756</v>
      </c>
      <c r="AA12" s="0" t="s">
        <v>17</v>
      </c>
      <c r="AB12" s="0" t="s">
        <v>14</v>
      </c>
      <c r="AC12" s="0" t="n">
        <v>2.84</v>
      </c>
      <c r="AD12" s="0" t="n">
        <v>1838</v>
      </c>
      <c r="AE12" s="0" t="n">
        <v>454</v>
      </c>
      <c r="AF12" s="0" t="n">
        <v>1401</v>
      </c>
      <c r="AG12" s="0" t="n">
        <v>0</v>
      </c>
      <c r="AH12" s="0" t="n">
        <v>-329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97.1</v>
      </c>
    </row>
    <row r="3" customFormat="false" ht="15" hidden="false" customHeight="false" outlineLevel="0" collapsed="false">
      <c r="A3" s="0" t="s">
        <v>83</v>
      </c>
      <c r="B3" s="3" t="n">
        <v>492</v>
      </c>
    </row>
    <row r="4" customFormat="false" ht="15" hidden="false" customHeight="false" outlineLevel="0" collapsed="false">
      <c r="A4" s="0" t="s">
        <v>84</v>
      </c>
      <c r="B4" s="3" t="n">
        <v>-2209</v>
      </c>
    </row>
    <row r="5" customFormat="false" ht="15" hidden="false" customHeight="false" outlineLevel="0" collapsed="false">
      <c r="A5" s="0" t="s">
        <v>85</v>
      </c>
      <c r="B5" s="3" t="n">
        <v>-6082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14150</v>
      </c>
    </row>
    <row r="8" customFormat="false" ht="15" hidden="false" customHeight="false" outlineLevel="0" collapsed="false">
      <c r="A8" s="0" t="s">
        <v>88</v>
      </c>
      <c r="B8" s="3" t="s">
        <v>89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-26.1</v>
      </c>
      <c r="D13" s="3" t="n">
        <v>-14.7</v>
      </c>
      <c r="E13" s="3" t="n">
        <v>5.2</v>
      </c>
      <c r="F13" s="3" t="n">
        <v>1.4</v>
      </c>
      <c r="G13" s="3" t="n">
        <v>1.5</v>
      </c>
      <c r="H13" s="3" t="n">
        <v>1.5</v>
      </c>
      <c r="I13" s="3" t="n">
        <v>-10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105</v>
      </c>
      <c r="C14" s="3" t="n">
        <v>38.6</v>
      </c>
      <c r="D14" s="3" t="n">
        <v>31.5</v>
      </c>
      <c r="E14" s="3" t="n">
        <v>33.5</v>
      </c>
      <c r="F14" s="3" t="n">
        <v>33.7</v>
      </c>
      <c r="G14" s="3" t="n">
        <v>33.7</v>
      </c>
      <c r="H14" s="3" t="n">
        <v>33.7</v>
      </c>
      <c r="I14" s="3" t="n">
        <v>34</v>
      </c>
      <c r="J14" s="3" t="n">
        <v>34</v>
      </c>
      <c r="K14" s="3" t="n">
        <v>34</v>
      </c>
      <c r="L14" s="3" t="n">
        <v>34</v>
      </c>
    </row>
    <row r="15" customFormat="false" ht="15" hidden="false" customHeight="false" outlineLevel="0" collapsed="false">
      <c r="A15" s="0" t="s">
        <v>106</v>
      </c>
      <c r="C15" s="3" t="n">
        <v>0.6</v>
      </c>
      <c r="D15" s="3" t="n">
        <v>0.6</v>
      </c>
      <c r="E15" s="3" t="n">
        <v>0.6</v>
      </c>
      <c r="F15" s="3" t="n">
        <v>0.6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107</v>
      </c>
      <c r="C16" s="3" t="n">
        <v>1.3</v>
      </c>
      <c r="D16" s="3" t="n">
        <v>1.3</v>
      </c>
      <c r="E16" s="3" t="n">
        <v>1.3</v>
      </c>
      <c r="F16" s="3" t="n">
        <v>1.3</v>
      </c>
      <c r="G16" s="3" t="n">
        <v>1.3</v>
      </c>
      <c r="H16" s="3" t="n">
        <v>1.3</v>
      </c>
      <c r="I16" s="3" t="n">
        <v>1.3</v>
      </c>
      <c r="J16" s="3" t="n">
        <v>1.3</v>
      </c>
      <c r="K16" s="3" t="n">
        <v>1.3</v>
      </c>
      <c r="L16" s="3" t="n">
        <v>1.3</v>
      </c>
    </row>
    <row r="17" customFormat="false" ht="15" hidden="false" customHeight="false" outlineLevel="0" collapsed="false">
      <c r="A17" s="0" t="s">
        <v>108</v>
      </c>
      <c r="C17" s="3" t="n">
        <v>17.2</v>
      </c>
      <c r="D17" s="3" t="n">
        <v>20.2</v>
      </c>
      <c r="E17" s="3" t="n">
        <v>19.2</v>
      </c>
      <c r="F17" s="3" t="n">
        <v>18.9</v>
      </c>
      <c r="G17" s="3" t="n">
        <v>18.6</v>
      </c>
      <c r="H17" s="3" t="n">
        <v>18.4</v>
      </c>
      <c r="I17" s="3" t="n">
        <v>18.5</v>
      </c>
      <c r="J17" s="3" t="n">
        <v>18.3</v>
      </c>
      <c r="K17" s="3" t="n">
        <v>18.2</v>
      </c>
      <c r="L17" s="3" t="n">
        <v>18</v>
      </c>
    </row>
    <row r="18" customFormat="false" ht="15" hidden="false" customHeight="false" outlineLevel="0" collapsed="false">
      <c r="A18" s="0" t="s">
        <v>109</v>
      </c>
      <c r="C18" s="3" t="n">
        <v>31.5</v>
      </c>
      <c r="D18" s="3" t="n">
        <v>29.1</v>
      </c>
      <c r="E18" s="3" t="n">
        <v>22.9</v>
      </c>
      <c r="F18" s="3" t="n">
        <v>19.4</v>
      </c>
      <c r="G18" s="3" t="n">
        <v>18.5</v>
      </c>
      <c r="H18" s="3" t="n">
        <v>18.5</v>
      </c>
      <c r="I18" s="3" t="n">
        <v>18</v>
      </c>
      <c r="J18" s="3" t="n">
        <v>18</v>
      </c>
      <c r="K18" s="3" t="n">
        <v>18</v>
      </c>
      <c r="L18" s="3" t="n">
        <v>18</v>
      </c>
    </row>
    <row r="19" customFormat="false" ht="15" hidden="false" customHeight="false" outlineLevel="0" collapsed="false">
      <c r="A19" s="0" t="s">
        <v>110</v>
      </c>
      <c r="C19" s="3" t="n">
        <v>30</v>
      </c>
      <c r="D19" s="3" t="n">
        <v>32</v>
      </c>
      <c r="E19" s="3" t="n">
        <v>34</v>
      </c>
      <c r="F19" s="3" t="n">
        <v>35</v>
      </c>
      <c r="G19" s="3" t="n">
        <v>36</v>
      </c>
      <c r="H19" s="3" t="n">
        <v>36</v>
      </c>
      <c r="I19" s="3" t="n">
        <v>36</v>
      </c>
      <c r="J19" s="3" t="n">
        <v>36</v>
      </c>
      <c r="K19" s="3" t="n">
        <v>36</v>
      </c>
      <c r="L19" s="3" t="n">
        <v>36</v>
      </c>
    </row>
    <row r="20" customFormat="false" ht="15" hidden="false" customHeight="false" outlineLevel="0" collapsed="false">
      <c r="A20" s="0" t="s">
        <v>111</v>
      </c>
      <c r="B20" s="3" t="n">
        <v>9</v>
      </c>
    </row>
    <row r="21" customFormat="false" ht="15" hidden="false" customHeight="false" outlineLevel="0" collapsed="false">
      <c r="A21" s="0" t="s">
        <v>112</v>
      </c>
      <c r="B21" s="3" t="n">
        <v>1.5</v>
      </c>
    </row>
    <row r="22" customFormat="false" ht="15" hidden="false" customHeight="false" outlineLevel="0" collapsed="false">
      <c r="A22" s="0" t="s">
        <v>113</v>
      </c>
      <c r="B22" s="3" t="n">
        <v>13</v>
      </c>
    </row>
    <row r="23" customFormat="false" ht="15" hidden="false" customHeight="false" outlineLevel="0" collapsed="false">
      <c r="A23" s="0" t="s">
        <v>114</v>
      </c>
      <c r="B23" s="3" t="n">
        <v>-15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-12.2</v>
      </c>
      <c r="D27" s="3" t="n">
        <v>-13.4</v>
      </c>
      <c r="E27" s="3" t="n">
        <v>6.2</v>
      </c>
      <c r="F27" s="3" t="n">
        <v>2.1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105</v>
      </c>
      <c r="C28" s="3" t="n">
        <v>48.2</v>
      </c>
      <c r="D28" s="3" t="n">
        <v>42.4</v>
      </c>
      <c r="E28" s="3" t="n">
        <v>44.9</v>
      </c>
      <c r="F28" s="3" t="n">
        <v>45.2</v>
      </c>
      <c r="G28" s="3" t="n">
        <v>45</v>
      </c>
      <c r="H28" s="3" t="n">
        <v>45</v>
      </c>
      <c r="I28" s="3" t="n">
        <v>45</v>
      </c>
      <c r="J28" s="3" t="n">
        <v>45</v>
      </c>
      <c r="K28" s="3" t="n">
        <v>45</v>
      </c>
      <c r="L28" s="3" t="n">
        <v>45</v>
      </c>
    </row>
    <row r="29" customFormat="false" ht="15" hidden="false" customHeight="false" outlineLevel="0" collapsed="false">
      <c r="A29" s="0" t="s">
        <v>106</v>
      </c>
      <c r="C29" s="3" t="n">
        <v>0.6</v>
      </c>
      <c r="D29" s="3" t="n">
        <v>0.6</v>
      </c>
      <c r="E29" s="3" t="n">
        <v>0.6</v>
      </c>
      <c r="F29" s="3" t="n">
        <v>0.6</v>
      </c>
      <c r="G29" s="3" t="n">
        <v>0.6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107</v>
      </c>
      <c r="C30" s="3" t="n">
        <v>1.3</v>
      </c>
      <c r="D30" s="3" t="n">
        <v>1.3</v>
      </c>
      <c r="E30" s="3" t="n">
        <v>1.3</v>
      </c>
      <c r="F30" s="3" t="n">
        <v>1.3</v>
      </c>
      <c r="G30" s="3" t="n">
        <v>1.3</v>
      </c>
      <c r="H30" s="3" t="n">
        <v>1.3</v>
      </c>
      <c r="I30" s="3" t="n">
        <v>1.3</v>
      </c>
      <c r="J30" s="3" t="n">
        <v>1.3</v>
      </c>
      <c r="K30" s="3" t="n">
        <v>1.3</v>
      </c>
      <c r="L30" s="3" t="n">
        <v>1.3</v>
      </c>
    </row>
    <row r="31" customFormat="false" ht="15" hidden="false" customHeight="false" outlineLevel="0" collapsed="false">
      <c r="A31" s="0" t="s">
        <v>108</v>
      </c>
      <c r="C31" s="3" t="n">
        <v>14.7</v>
      </c>
      <c r="D31" s="3" t="n">
        <v>17</v>
      </c>
      <c r="E31" s="3" t="n">
        <v>16</v>
      </c>
      <c r="F31" s="3" t="n">
        <v>15.7</v>
      </c>
      <c r="G31" s="3" t="n">
        <v>15.5</v>
      </c>
      <c r="H31" s="3" t="n">
        <v>15.3</v>
      </c>
      <c r="I31" s="3" t="n">
        <v>15.1</v>
      </c>
      <c r="J31" s="3" t="n">
        <v>15</v>
      </c>
      <c r="K31" s="3" t="n">
        <v>15</v>
      </c>
      <c r="L31" s="3" t="n">
        <v>15</v>
      </c>
    </row>
    <row r="32" customFormat="false" ht="15" hidden="false" customHeight="false" outlineLevel="0" collapsed="false">
      <c r="A32" s="0" t="s">
        <v>109</v>
      </c>
      <c r="C32" s="3" t="n">
        <v>27.4</v>
      </c>
      <c r="D32" s="3" t="n">
        <v>25.4</v>
      </c>
      <c r="E32" s="3" t="n">
        <v>20.6</v>
      </c>
      <c r="F32" s="3" t="n">
        <v>18</v>
      </c>
      <c r="G32" s="3" t="n">
        <v>17.5</v>
      </c>
      <c r="H32" s="3" t="n">
        <v>17.5</v>
      </c>
      <c r="I32" s="3" t="n">
        <v>17.5</v>
      </c>
      <c r="J32" s="3" t="n">
        <v>17.5</v>
      </c>
      <c r="K32" s="3" t="n">
        <v>17.5</v>
      </c>
      <c r="L32" s="3" t="n">
        <v>17.5</v>
      </c>
    </row>
    <row r="33" customFormat="false" ht="15" hidden="false" customHeight="false" outlineLevel="0" collapsed="false">
      <c r="A33" s="0" t="s">
        <v>110</v>
      </c>
      <c r="C33" s="3" t="n">
        <v>30</v>
      </c>
      <c r="D33" s="3" t="n">
        <v>32</v>
      </c>
      <c r="E33" s="3" t="n">
        <v>34</v>
      </c>
      <c r="F33" s="3" t="n">
        <v>35</v>
      </c>
      <c r="G33" s="3" t="n">
        <v>36</v>
      </c>
      <c r="H33" s="3" t="n">
        <v>36</v>
      </c>
      <c r="I33" s="3" t="n">
        <v>36</v>
      </c>
      <c r="J33" s="3" t="n">
        <v>36</v>
      </c>
      <c r="K33" s="3" t="n">
        <v>36</v>
      </c>
      <c r="L33" s="3" t="n">
        <v>36</v>
      </c>
    </row>
    <row r="34" customFormat="false" ht="15" hidden="false" customHeight="false" outlineLevel="0" collapsed="false">
      <c r="A34" s="0" t="s">
        <v>111</v>
      </c>
      <c r="B34" s="3" t="n">
        <v>9</v>
      </c>
    </row>
    <row r="35" customFormat="false" ht="15" hidden="false" customHeight="false" outlineLevel="0" collapsed="false">
      <c r="A35" s="0" t="s">
        <v>112</v>
      </c>
      <c r="B35" s="3" t="n">
        <v>2</v>
      </c>
    </row>
    <row r="36" customFormat="false" ht="15" hidden="false" customHeight="false" outlineLevel="0" collapsed="false">
      <c r="A36" s="0" t="s">
        <v>113</v>
      </c>
      <c r="B36" s="3" t="n">
        <v>13</v>
      </c>
    </row>
    <row r="37" customFormat="false" ht="15" hidden="false" customHeight="false" outlineLevel="0" collapsed="false">
      <c r="A37" s="0" t="s">
        <v>114</v>
      </c>
      <c r="B37" s="3" t="n">
        <v>-15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-2.4</v>
      </c>
      <c r="D41" s="3" t="n">
        <v>-10.5</v>
      </c>
      <c r="E41" s="3" t="n">
        <v>9.3</v>
      </c>
      <c r="F41" s="3" t="n">
        <v>2.8</v>
      </c>
      <c r="G41" s="3" t="n">
        <v>2.5</v>
      </c>
      <c r="H41" s="3" t="n">
        <v>2.5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105</v>
      </c>
      <c r="C42" s="3" t="n">
        <v>52.7</v>
      </c>
      <c r="D42" s="3" t="n">
        <v>48.9</v>
      </c>
      <c r="E42" s="3" t="n">
        <v>52</v>
      </c>
      <c r="F42" s="3" t="n">
        <v>52.4</v>
      </c>
      <c r="G42" s="3" t="n">
        <v>52</v>
      </c>
      <c r="H42" s="3" t="n">
        <v>52</v>
      </c>
      <c r="I42" s="3" t="n">
        <v>52</v>
      </c>
      <c r="J42" s="3" t="n">
        <v>52</v>
      </c>
      <c r="K42" s="3" t="n">
        <v>52</v>
      </c>
      <c r="L42" s="3" t="n">
        <v>52</v>
      </c>
    </row>
    <row r="43" customFormat="false" ht="15" hidden="false" customHeight="false" outlineLevel="0" collapsed="false">
      <c r="A43" s="0" t="s">
        <v>106</v>
      </c>
      <c r="C43" s="3" t="n">
        <v>0.6</v>
      </c>
      <c r="D43" s="3" t="n">
        <v>0.6</v>
      </c>
      <c r="E43" s="3" t="n">
        <v>0.6</v>
      </c>
      <c r="F43" s="3" t="n">
        <v>0.6</v>
      </c>
      <c r="G43" s="3" t="n">
        <v>0.6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</row>
    <row r="44" customFormat="false" ht="15" hidden="false" customHeight="false" outlineLevel="0" collapsed="false">
      <c r="A44" s="0" t="s">
        <v>107</v>
      </c>
      <c r="C44" s="3" t="n">
        <v>1.3</v>
      </c>
      <c r="D44" s="3" t="n">
        <v>1.3</v>
      </c>
      <c r="E44" s="3" t="n">
        <v>1.3</v>
      </c>
      <c r="F44" s="3" t="n">
        <v>1.3</v>
      </c>
      <c r="G44" s="3" t="n">
        <v>1.3</v>
      </c>
      <c r="H44" s="3" t="n">
        <v>1.3</v>
      </c>
      <c r="I44" s="3" t="n">
        <v>1.3</v>
      </c>
      <c r="J44" s="3" t="n">
        <v>1.3</v>
      </c>
      <c r="K44" s="3" t="n">
        <v>1.3</v>
      </c>
      <c r="L44" s="3" t="n">
        <v>1.3</v>
      </c>
    </row>
    <row r="45" customFormat="false" ht="15" hidden="false" customHeight="false" outlineLevel="0" collapsed="false">
      <c r="A45" s="0" t="s">
        <v>108</v>
      </c>
      <c r="C45" s="3" t="n">
        <v>13.8</v>
      </c>
      <c r="D45" s="3" t="n">
        <v>15.4</v>
      </c>
      <c r="E45" s="3" t="n">
        <v>14.1</v>
      </c>
      <c r="F45" s="3" t="n">
        <v>13.7</v>
      </c>
      <c r="G45" s="3" t="n">
        <v>13.5</v>
      </c>
      <c r="H45" s="3" t="n">
        <v>13.5</v>
      </c>
      <c r="I45" s="3" t="n">
        <v>13.5</v>
      </c>
      <c r="J45" s="3" t="n">
        <v>13.5</v>
      </c>
      <c r="K45" s="3" t="n">
        <v>13.5</v>
      </c>
      <c r="L45" s="3" t="n">
        <v>13.5</v>
      </c>
    </row>
    <row r="46" customFormat="false" ht="15" hidden="false" customHeight="false" outlineLevel="0" collapsed="false">
      <c r="A46" s="0" t="s">
        <v>109</v>
      </c>
      <c r="C46" s="3" t="n">
        <v>25.3</v>
      </c>
      <c r="D46" s="3" t="n">
        <v>23.5</v>
      </c>
      <c r="E46" s="3" t="n">
        <v>19.3</v>
      </c>
      <c r="F46" s="3" t="n">
        <v>16.6</v>
      </c>
      <c r="G46" s="3" t="n">
        <v>16.5</v>
      </c>
      <c r="H46" s="3" t="n">
        <v>16.5</v>
      </c>
      <c r="I46" s="3" t="n">
        <v>16.5</v>
      </c>
      <c r="J46" s="3" t="n">
        <v>16.5</v>
      </c>
      <c r="K46" s="3" t="n">
        <v>16.5</v>
      </c>
      <c r="L46" s="3" t="n">
        <v>16.5</v>
      </c>
    </row>
    <row r="47" customFormat="false" ht="15" hidden="false" customHeight="false" outlineLevel="0" collapsed="false">
      <c r="A47" s="0" t="s">
        <v>110</v>
      </c>
      <c r="C47" s="3" t="n">
        <v>30</v>
      </c>
      <c r="D47" s="3" t="n">
        <v>32</v>
      </c>
      <c r="E47" s="3" t="n">
        <v>34</v>
      </c>
      <c r="F47" s="3" t="n">
        <v>35</v>
      </c>
      <c r="G47" s="3" t="n">
        <v>36</v>
      </c>
      <c r="H47" s="3" t="n">
        <v>36</v>
      </c>
      <c r="I47" s="3" t="n">
        <v>36</v>
      </c>
      <c r="J47" s="3" t="n">
        <v>36</v>
      </c>
      <c r="K47" s="3" t="n">
        <v>36</v>
      </c>
      <c r="L47" s="3" t="n">
        <v>36</v>
      </c>
    </row>
    <row r="48" customFormat="false" ht="15" hidden="false" customHeight="false" outlineLevel="0" collapsed="false">
      <c r="A48" s="0" t="s">
        <v>111</v>
      </c>
      <c r="B48" s="3" t="n">
        <v>9</v>
      </c>
    </row>
    <row r="49" customFormat="false" ht="15" hidden="false" customHeight="false" outlineLevel="0" collapsed="false">
      <c r="A49" s="0" t="s">
        <v>112</v>
      </c>
      <c r="B49" s="3" t="n">
        <v>2.5</v>
      </c>
    </row>
    <row r="50" customFormat="false" ht="15" hidden="false" customHeight="false" outlineLevel="0" collapsed="false">
      <c r="A50" s="0" t="s">
        <v>113</v>
      </c>
      <c r="B50" s="3" t="n">
        <v>13</v>
      </c>
    </row>
    <row r="51" customFormat="false" ht="15" hidden="false" customHeight="false" outlineLevel="0" collapsed="false">
      <c r="A51" s="0" t="s">
        <v>114</v>
      </c>
      <c r="B51" s="3" t="n">
        <v>-15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-26.1</v>
      </c>
      <c r="D5" s="4" t="n">
        <f aca="false">Assumptions!D13</f>
        <v>-14.7</v>
      </c>
      <c r="E5" s="4" t="n">
        <f aca="false">Assumptions!E13</f>
        <v>5.2</v>
      </c>
      <c r="F5" s="4" t="n">
        <f aca="false">Assumptions!F13</f>
        <v>1.4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-10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14150</v>
      </c>
      <c r="C6" s="0" t="n">
        <f aca="false">B6*(1+C5/100)</f>
        <v>10456.85</v>
      </c>
      <c r="D6" s="0" t="n">
        <f aca="false">C6*(1+D5/100)</f>
        <v>8919.69305</v>
      </c>
      <c r="E6" s="0" t="n">
        <f aca="false">D6*(1+E5/100)</f>
        <v>9383.5170886</v>
      </c>
      <c r="F6" s="0" t="n">
        <f aca="false">E6*(1+F5/100)</f>
        <v>9514.8863278404</v>
      </c>
      <c r="G6" s="0" t="n">
        <f aca="false">F6*(1+G5/100)</f>
        <v>9657.60962275801</v>
      </c>
      <c r="H6" s="0" t="n">
        <f aca="false">G6*(1+H5/100)</f>
        <v>9802.47376709938</v>
      </c>
      <c r="I6" s="0" t="n">
        <f aca="false">H6*(1+I5/100)</f>
        <v>8822.22639038944</v>
      </c>
      <c r="J6" s="0" t="n">
        <f aca="false">I6*(1+J5/100)</f>
        <v>8954.55978624528</v>
      </c>
      <c r="K6" s="0" t="n">
        <f aca="false">J6*(1+K5/100)</f>
        <v>9088.87818303896</v>
      </c>
      <c r="L6" s="0" t="n">
        <f aca="false">K6*(1+L5/100)</f>
        <v>9225.21135578454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38.6</v>
      </c>
      <c r="D7" s="4" t="n">
        <f aca="false">Assumptions!D14</f>
        <v>31.5</v>
      </c>
      <c r="E7" s="4" t="n">
        <f aca="false">Assumptions!E14</f>
        <v>33.5</v>
      </c>
      <c r="F7" s="4" t="n">
        <f aca="false">Assumptions!F14</f>
        <v>33.7</v>
      </c>
      <c r="G7" s="4" t="n">
        <f aca="false">Assumptions!G14</f>
        <v>33.7</v>
      </c>
      <c r="H7" s="4" t="n">
        <f aca="false">Assumptions!H14</f>
        <v>33.7</v>
      </c>
      <c r="I7" s="4" t="n">
        <f aca="false">Assumptions!I14</f>
        <v>34</v>
      </c>
      <c r="J7" s="4" t="n">
        <f aca="false">Assumptions!J14</f>
        <v>34</v>
      </c>
      <c r="K7" s="4" t="n">
        <f aca="false">Assumptions!K14</f>
        <v>34</v>
      </c>
      <c r="L7" s="4" t="n">
        <f aca="false">Assumptions!L14</f>
        <v>34</v>
      </c>
    </row>
    <row r="8" customFormat="false" ht="15" hidden="false" customHeight="false" outlineLevel="0" collapsed="false">
      <c r="A8" s="0" t="s">
        <v>43</v>
      </c>
      <c r="C8" s="0" t="n">
        <f aca="false">C6*C7/100</f>
        <v>4036.3441</v>
      </c>
      <c r="D8" s="0" t="n">
        <f aca="false">D6*D7/100</f>
        <v>2809.70331075</v>
      </c>
      <c r="E8" s="0" t="n">
        <f aca="false">E6*E7/100</f>
        <v>3143.478224681</v>
      </c>
      <c r="F8" s="0" t="n">
        <f aca="false">F6*F7/100</f>
        <v>3206.51669248222</v>
      </c>
      <c r="G8" s="0" t="n">
        <f aca="false">G6*G7/100</f>
        <v>3254.61444286945</v>
      </c>
      <c r="H8" s="0" t="n">
        <f aca="false">H6*H7/100</f>
        <v>3303.43365951249</v>
      </c>
      <c r="I8" s="0" t="n">
        <f aca="false">I6*I7/100</f>
        <v>2999.55697273241</v>
      </c>
      <c r="J8" s="0" t="n">
        <f aca="false">J6*J7/100</f>
        <v>3044.5503273234</v>
      </c>
      <c r="K8" s="0" t="n">
        <f aca="false">K6*K7/100</f>
        <v>3090.21858223325</v>
      </c>
      <c r="L8" s="0" t="n">
        <f aca="false">L6*L7/100</f>
        <v>3136.57186096674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-62.7411</v>
      </c>
      <c r="D10" s="0" t="n">
        <f aca="false">-D6*D9/100</f>
        <v>-53.5181583</v>
      </c>
      <c r="E10" s="0" t="n">
        <f aca="false">-E6*E9/100</f>
        <v>-56.3011025316</v>
      </c>
      <c r="F10" s="0" t="n">
        <f aca="false">-F6*F9/100</f>
        <v>-57.0893179670424</v>
      </c>
      <c r="G10" s="0" t="n">
        <f aca="false">-G6*G9/100</f>
        <v>-57.945657736548</v>
      </c>
      <c r="H10" s="0" t="n">
        <f aca="false">-H6*H9/100</f>
        <v>-58.8148426025962</v>
      </c>
      <c r="I10" s="0" t="n">
        <f aca="false">-I6*I9/100</f>
        <v>-52.9333583423366</v>
      </c>
      <c r="J10" s="0" t="n">
        <f aca="false">-J6*J9/100</f>
        <v>-53.7273587174717</v>
      </c>
      <c r="K10" s="0" t="n">
        <f aca="false">-K6*K9/100</f>
        <v>-54.5332690982338</v>
      </c>
      <c r="L10" s="0" t="n">
        <f aca="false">-L6*L9/100</f>
        <v>-55.3512681347073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3837.66395</v>
      </c>
      <c r="D11" s="0" t="n">
        <f aca="false">D8+D10+D24</f>
        <v>2640.2291428</v>
      </c>
      <c r="E11" s="0" t="n">
        <f aca="false">E8+E10+E24</f>
        <v>2965.1913999976</v>
      </c>
      <c r="F11" s="0" t="n">
        <f aca="false">F8+F10+F24</f>
        <v>3025.73385225325</v>
      </c>
      <c r="G11" s="0" t="n">
        <f aca="false">G8+G10+G24</f>
        <v>3071.11986003705</v>
      </c>
      <c r="H11" s="0" t="n">
        <f aca="false">H8+H10+H24</f>
        <v>3117.1866579376</v>
      </c>
      <c r="I11" s="0" t="n">
        <f aca="false">I8+I10+I24</f>
        <v>2831.93467131501</v>
      </c>
      <c r="J11" s="0" t="n">
        <f aca="false">J8+J10+J24</f>
        <v>2874.41369138473</v>
      </c>
      <c r="K11" s="0" t="n">
        <f aca="false">K8+K10+K24</f>
        <v>2917.52989675551</v>
      </c>
      <c r="L11" s="0" t="n">
        <f aca="false">L8+L10+L24</f>
        <v>2961.29284520684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-1798.5782</v>
      </c>
      <c r="D12" s="4" t="n">
        <f aca="false">-D6*Assumptions!D17/100</f>
        <v>-1801.7779961</v>
      </c>
      <c r="E12" s="4" t="n">
        <f aca="false">-E6*Assumptions!E17/100</f>
        <v>-1801.6352810112</v>
      </c>
      <c r="F12" s="4" t="n">
        <f aca="false">-F6*Assumptions!F17/100</f>
        <v>-1798.31351596184</v>
      </c>
      <c r="G12" s="4" t="n">
        <f aca="false">-G6*Assumptions!G17/100</f>
        <v>-1796.31538983299</v>
      </c>
      <c r="H12" s="4" t="n">
        <f aca="false">-H6*Assumptions!H17/100</f>
        <v>-1803.65517314628</v>
      </c>
      <c r="I12" s="4" t="n">
        <f aca="false">-I6*Assumptions!I17/100</f>
        <v>-1632.11188222205</v>
      </c>
      <c r="J12" s="4" t="n">
        <f aca="false">-J6*Assumptions!J17/100</f>
        <v>-1638.68444088289</v>
      </c>
      <c r="K12" s="4" t="n">
        <f aca="false">-K6*Assumptions!K17/100</f>
        <v>-1654.17582931309</v>
      </c>
      <c r="L12" s="4" t="n">
        <f aca="false">-L6*Assumptions!L17/100</f>
        <v>-1660.53804404122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2039.08575</v>
      </c>
      <c r="D13" s="0" t="n">
        <f aca="false">D11+D12</f>
        <v>838.4511467</v>
      </c>
      <c r="E13" s="0" t="n">
        <f aca="false">E11+E12</f>
        <v>1163.5561189864</v>
      </c>
      <c r="F13" s="0" t="n">
        <f aca="false">F11+F12</f>
        <v>1227.42033629141</v>
      </c>
      <c r="G13" s="0" t="n">
        <f aca="false">G11+G12</f>
        <v>1274.80447020406</v>
      </c>
      <c r="H13" s="0" t="n">
        <f aca="false">H11+H12</f>
        <v>1313.53148479132</v>
      </c>
      <c r="I13" s="0" t="n">
        <f aca="false">I11+I12</f>
        <v>1199.82278909296</v>
      </c>
      <c r="J13" s="0" t="n">
        <f aca="false">J11+J12</f>
        <v>1235.72925050185</v>
      </c>
      <c r="K13" s="0" t="n">
        <f aca="false">K11+K12</f>
        <v>1263.35406744242</v>
      </c>
      <c r="L13" s="0" t="n">
        <f aca="false">L11+L12</f>
        <v>1300.75480116562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30</v>
      </c>
      <c r="D14" s="4" t="n">
        <f aca="false">Assumptions!D19</f>
        <v>32</v>
      </c>
      <c r="E14" s="4" t="n">
        <f aca="false">Assumptions!E19</f>
        <v>34</v>
      </c>
      <c r="F14" s="4" t="n">
        <f aca="false">Assumptions!F19</f>
        <v>35</v>
      </c>
      <c r="G14" s="4" t="n">
        <f aca="false">Assumptions!G19</f>
        <v>36</v>
      </c>
      <c r="H14" s="4" t="n">
        <f aca="false">Assumptions!H19</f>
        <v>36</v>
      </c>
      <c r="I14" s="4" t="n">
        <f aca="false">Assumptions!I19</f>
        <v>36</v>
      </c>
      <c r="J14" s="4" t="n">
        <f aca="false">Assumptions!J19</f>
        <v>36</v>
      </c>
      <c r="K14" s="4" t="n">
        <f aca="false">Assumptions!K19</f>
        <v>36</v>
      </c>
      <c r="L14" s="4" t="n">
        <f aca="false">Assumptions!L19</f>
        <v>36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1427.360025</v>
      </c>
      <c r="D15" s="0" t="n">
        <f aca="false">D13-MAX(0,D13)*D14/100</f>
        <v>570.146779756</v>
      </c>
      <c r="E15" s="0" t="n">
        <f aca="false">E13-MAX(0,E13)*E14/100</f>
        <v>767.947038531024</v>
      </c>
      <c r="F15" s="0" t="n">
        <f aca="false">F13-MAX(0,F13)*F14/100</f>
        <v>797.823218589418</v>
      </c>
      <c r="G15" s="0" t="n">
        <f aca="false">G13-MAX(0,G13)*G14/100</f>
        <v>815.874860930596</v>
      </c>
      <c r="H15" s="0" t="n">
        <f aca="false">H13-MAX(0,H13)*H14/100</f>
        <v>840.660150266443</v>
      </c>
      <c r="I15" s="0" t="n">
        <f aca="false">I13-MAX(0,I13)*I14/100</f>
        <v>767.886585019497</v>
      </c>
      <c r="J15" s="0" t="n">
        <f aca="false">J13-MAX(0,J13)*J14/100</f>
        <v>790.866720321183</v>
      </c>
      <c r="K15" s="0" t="n">
        <f aca="false">K13-MAX(0,K13)*K14/100</f>
        <v>808.546603163146</v>
      </c>
      <c r="L15" s="0" t="n">
        <f aca="false">L13-MAX(0,L13)*L14/100</f>
        <v>832.483072745997</v>
      </c>
    </row>
    <row r="16" customFormat="false" ht="15" hidden="false" customHeight="false" outlineLevel="0" collapsed="false">
      <c r="A16" s="0" t="s">
        <v>126</v>
      </c>
      <c r="C16" s="0" t="n">
        <f aca="false">-C12</f>
        <v>1798.5782</v>
      </c>
      <c r="D16" s="0" t="n">
        <f aca="false">-D12</f>
        <v>1801.7779961</v>
      </c>
      <c r="E16" s="0" t="n">
        <f aca="false">-E12</f>
        <v>1801.6352810112</v>
      </c>
      <c r="F16" s="0" t="n">
        <f aca="false">-F12</f>
        <v>1798.31351596184</v>
      </c>
      <c r="G16" s="0" t="n">
        <f aca="false">-G12</f>
        <v>1796.31538983299</v>
      </c>
      <c r="H16" s="0" t="n">
        <f aca="false">-H12</f>
        <v>1803.65517314628</v>
      </c>
      <c r="I16" s="0" t="n">
        <f aca="false">-I12</f>
        <v>1632.11188222205</v>
      </c>
      <c r="J16" s="0" t="n">
        <f aca="false">-J12</f>
        <v>1638.68444088289</v>
      </c>
      <c r="K16" s="0" t="n">
        <f aca="false">-K12</f>
        <v>1654.17582931309</v>
      </c>
      <c r="L16" s="0" t="n">
        <f aca="false">-L12</f>
        <v>1660.53804404122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-3293.90775</v>
      </c>
      <c r="D17" s="4" t="n">
        <f aca="false">-D6*Assumptions!D18/100</f>
        <v>-2595.63067755</v>
      </c>
      <c r="E17" s="4" t="n">
        <f aca="false">-E6*Assumptions!E18/100</f>
        <v>-2148.8254132894</v>
      </c>
      <c r="F17" s="4" t="n">
        <f aca="false">-F6*Assumptions!F18/100</f>
        <v>-1845.88794760104</v>
      </c>
      <c r="G17" s="4" t="n">
        <f aca="false">-G6*Assumptions!G18/100</f>
        <v>-1786.65778021023</v>
      </c>
      <c r="H17" s="4" t="n">
        <f aca="false">-H6*Assumptions!H18/100</f>
        <v>-1813.45764691338</v>
      </c>
      <c r="I17" s="4" t="n">
        <f aca="false">-I6*Assumptions!I18/100</f>
        <v>-1588.0007502701</v>
      </c>
      <c r="J17" s="4" t="n">
        <f aca="false">-J6*Assumptions!J18/100</f>
        <v>-1611.82076152415</v>
      </c>
      <c r="K17" s="4" t="n">
        <f aca="false">-K6*Assumptions!K18/100</f>
        <v>-1635.99807294701</v>
      </c>
      <c r="L17" s="4" t="n">
        <f aca="false">-L6*Assumptions!L18/100</f>
        <v>-1660.53804404122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553.9725</v>
      </c>
      <c r="D18" s="4" t="n">
        <f aca="false">(D6-C6)*Assumptions!$B$23/100</f>
        <v>230.5735425</v>
      </c>
      <c r="E18" s="4" t="n">
        <f aca="false">(E6-D6)*Assumptions!$B$23/100</f>
        <v>-69.57360579</v>
      </c>
      <c r="F18" s="4" t="n">
        <f aca="false">(F6-E6)*Assumptions!$B$23/100</f>
        <v>-19.7053858860601</v>
      </c>
      <c r="G18" s="4" t="n">
        <f aca="false">(G6-F6)*Assumptions!$B$23/100</f>
        <v>-21.4084942376408</v>
      </c>
      <c r="H18" s="4" t="n">
        <f aca="false">(H6-G6)*Assumptions!$B$23/100</f>
        <v>-21.7296216512053</v>
      </c>
      <c r="I18" s="4" t="n">
        <f aca="false">(I6-H6)*Assumptions!$B$23/100</f>
        <v>147.03710650649</v>
      </c>
      <c r="J18" s="4" t="n">
        <f aca="false">(J6-I6)*Assumptions!$B$23/100</f>
        <v>-19.8500093783762</v>
      </c>
      <c r="K18" s="4" t="n">
        <f aca="false">(K6-J6)*Assumptions!$B$23/100</f>
        <v>-20.1477595190518</v>
      </c>
      <c r="L18" s="4" t="n">
        <f aca="false">(L6-K6)*Assumptions!$B$23/100</f>
        <v>-20.4499759118376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486.002975</v>
      </c>
      <c r="D19" s="0" t="n">
        <f aca="false">D15+D16+D17+D18</f>
        <v>6.86764080600079</v>
      </c>
      <c r="E19" s="0" t="n">
        <f aca="false">E15+E16+E17+E18</f>
        <v>351.183300462824</v>
      </c>
      <c r="F19" s="0" t="n">
        <f aca="false">F15+F16+F17+F18</f>
        <v>730.543401064155</v>
      </c>
      <c r="G19" s="0" t="n">
        <f aca="false">G15+G16+G17+G18</f>
        <v>804.123976315714</v>
      </c>
      <c r="H19" s="0" t="n">
        <f aca="false">H15+H16+H17+H18</f>
        <v>809.128054848138</v>
      </c>
      <c r="I19" s="0" t="n">
        <f aca="false">I15+I16+I17+I18</f>
        <v>959.034823477935</v>
      </c>
      <c r="J19" s="0" t="n">
        <f aca="false">J15+J16+J17+J18</f>
        <v>797.880390301543</v>
      </c>
      <c r="K19" s="0" t="n">
        <f aca="false">K15+K16+K17+K18</f>
        <v>806.576600010172</v>
      </c>
      <c r="L19" s="0" t="n">
        <f aca="false">L15+L16+L17+L18</f>
        <v>812.033096834159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445.874288990825</v>
      </c>
      <c r="D21" s="0" t="n">
        <f aca="false">D19*D20</f>
        <v>5.7803558673519</v>
      </c>
      <c r="E21" s="0" t="n">
        <f aca="false">E19*E20</f>
        <v>271.177943090714</v>
      </c>
      <c r="F21" s="0" t="n">
        <f aca="false">F19*F20</f>
        <v>517.535363091161</v>
      </c>
      <c r="G21" s="0" t="n">
        <f aca="false">G19*G20</f>
        <v>522.62541068261</v>
      </c>
      <c r="H21" s="0" t="n">
        <f aca="false">H19*H20</f>
        <v>482.456622367279</v>
      </c>
      <c r="I21" s="0" t="n">
        <f aca="false">I19*I20</f>
        <v>524.624890439696</v>
      </c>
      <c r="J21" s="0" t="n">
        <f aca="false">J19*J20</f>
        <v>400.429263104491</v>
      </c>
      <c r="K21" s="0" t="n">
        <f aca="false">K19*K20</f>
        <v>371.370272952491</v>
      </c>
      <c r="L21" s="0" t="n">
        <f aca="false">L19*L20</f>
        <v>343.011555659722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1.3</v>
      </c>
      <c r="D23" s="4" t="n">
        <f aca="false">Assumptions!D16</f>
        <v>1.3</v>
      </c>
      <c r="E23" s="4" t="n">
        <f aca="false">Assumptions!E16</f>
        <v>1.3</v>
      </c>
      <c r="F23" s="4" t="n">
        <f aca="false">Assumptions!F16</f>
        <v>1.3</v>
      </c>
      <c r="G23" s="4" t="n">
        <f aca="false">Assumptions!G16</f>
        <v>1.3</v>
      </c>
      <c r="H23" s="4" t="n">
        <f aca="false">Assumptions!H16</f>
        <v>1.3</v>
      </c>
      <c r="I23" s="4" t="n">
        <f aca="false">Assumptions!I16</f>
        <v>1.3</v>
      </c>
      <c r="J23" s="4" t="n">
        <f aca="false">Assumptions!J16</f>
        <v>1.3</v>
      </c>
      <c r="K23" s="4" t="n">
        <f aca="false">Assumptions!K16</f>
        <v>1.3</v>
      </c>
      <c r="L23" s="4" t="n">
        <f aca="false">Assumptions!L16</f>
        <v>1.3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-135.93905</v>
      </c>
      <c r="D24" s="0" t="n">
        <f aca="false">-D6*D23/100</f>
        <v>-115.95600965</v>
      </c>
      <c r="E24" s="0" t="n">
        <f aca="false">-E6*E23/100</f>
        <v>-121.9857221518</v>
      </c>
      <c r="F24" s="0" t="n">
        <f aca="false">-F6*F23/100</f>
        <v>-123.693522261925</v>
      </c>
      <c r="G24" s="0" t="n">
        <f aca="false">-G6*G23/100</f>
        <v>-125.548925095854</v>
      </c>
      <c r="H24" s="0" t="n">
        <f aca="false">-H6*H23/100</f>
        <v>-127.432158972292</v>
      </c>
      <c r="I24" s="0" t="n">
        <f aca="false">-I6*I23/100</f>
        <v>-114.688943075063</v>
      </c>
      <c r="J24" s="0" t="n">
        <f aca="false">-J6*J23/100</f>
        <v>-116.409277221189</v>
      </c>
      <c r="K24" s="0" t="n">
        <f aca="false">-K6*K23/100</f>
        <v>-118.155416379506</v>
      </c>
      <c r="L24" s="0" t="n">
        <f aca="false">-L6*L23/100</f>
        <v>-119.927747625199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3884.88596624634</v>
      </c>
    </row>
    <row r="31" customFormat="false" ht="15" hidden="false" customHeight="false" outlineLevel="0" collapsed="false">
      <c r="A31" s="0" t="s">
        <v>135</v>
      </c>
      <c r="B31" s="0" t="n">
        <f aca="false">L19</f>
        <v>812.033096834159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10989.5145771556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10556.4302588441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10556.4302588441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4459.15022357639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8344.03618982273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4471.03618982273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9.087471930534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-0.906411205658764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363.664084556218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316.422512573514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10.4697617620985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6105.28587619757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1.04370671124142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-12.2</v>
      </c>
      <c r="D5" s="4" t="n">
        <f aca="false">Assumptions!D27</f>
        <v>-13.4</v>
      </c>
      <c r="E5" s="4" t="n">
        <f aca="false">Assumptions!E27</f>
        <v>6.2</v>
      </c>
      <c r="F5" s="4" t="n">
        <f aca="false">Assumptions!F27</f>
        <v>2.1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14150</v>
      </c>
      <c r="C6" s="0" t="n">
        <f aca="false">B6*(1+C5/100)</f>
        <v>12423.7</v>
      </c>
      <c r="D6" s="0" t="n">
        <f aca="false">C6*(1+D5/100)</f>
        <v>10758.9242</v>
      </c>
      <c r="E6" s="0" t="n">
        <f aca="false">D6*(1+E5/100)</f>
        <v>11425.9775004</v>
      </c>
      <c r="F6" s="0" t="n">
        <f aca="false">E6*(1+F5/100)</f>
        <v>11665.9230279084</v>
      </c>
      <c r="G6" s="0" t="n">
        <f aca="false">F6*(1+G5/100)</f>
        <v>11899.2414884666</v>
      </c>
      <c r="H6" s="0" t="n">
        <f aca="false">G6*(1+H5/100)</f>
        <v>12137.2263182359</v>
      </c>
      <c r="I6" s="0" t="n">
        <f aca="false">H6*(1+I5/100)</f>
        <v>12379.9708446006</v>
      </c>
      <c r="J6" s="0" t="n">
        <f aca="false">I6*(1+J5/100)</f>
        <v>12627.5702614926</v>
      </c>
      <c r="K6" s="0" t="n">
        <f aca="false">J6*(1+K5/100)</f>
        <v>12880.1216667225</v>
      </c>
      <c r="L6" s="0" t="n">
        <f aca="false">K6*(1+L5/100)</f>
        <v>13137.7241000569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48.2</v>
      </c>
      <c r="D7" s="4" t="n">
        <f aca="false">Assumptions!D28</f>
        <v>42.4</v>
      </c>
      <c r="E7" s="4" t="n">
        <f aca="false">Assumptions!E28</f>
        <v>44.9</v>
      </c>
      <c r="F7" s="4" t="n">
        <f aca="false">Assumptions!F28</f>
        <v>45.2</v>
      </c>
      <c r="G7" s="4" t="n">
        <f aca="false">Assumptions!G28</f>
        <v>45</v>
      </c>
      <c r="H7" s="4" t="n">
        <f aca="false">Assumptions!H28</f>
        <v>45</v>
      </c>
      <c r="I7" s="4" t="n">
        <f aca="false">Assumptions!I28</f>
        <v>45</v>
      </c>
      <c r="J7" s="4" t="n">
        <f aca="false">Assumptions!J28</f>
        <v>45</v>
      </c>
      <c r="K7" s="4" t="n">
        <f aca="false">Assumptions!K28</f>
        <v>45</v>
      </c>
      <c r="L7" s="4" t="n">
        <f aca="false">Assumptions!L28</f>
        <v>45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5988.2234</v>
      </c>
      <c r="D8" s="0" t="n">
        <f aca="false">D6*D7/100</f>
        <v>4561.7838608</v>
      </c>
      <c r="E8" s="0" t="n">
        <f aca="false">E6*E7/100</f>
        <v>5130.2638976796</v>
      </c>
      <c r="F8" s="0" t="n">
        <f aca="false">F6*F7/100</f>
        <v>5272.9972086146</v>
      </c>
      <c r="G8" s="0" t="n">
        <f aca="false">G6*G7/100</f>
        <v>5354.65866980996</v>
      </c>
      <c r="H8" s="0" t="n">
        <f aca="false">H6*H7/100</f>
        <v>5461.75184320616</v>
      </c>
      <c r="I8" s="0" t="n">
        <f aca="false">I6*I7/100</f>
        <v>5570.98688007028</v>
      </c>
      <c r="J8" s="0" t="n">
        <f aca="false">J6*J7/100</f>
        <v>5682.40661767168</v>
      </c>
      <c r="K8" s="0" t="n">
        <f aca="false">K6*K7/100</f>
        <v>5796.05475002512</v>
      </c>
      <c r="L8" s="0" t="n">
        <f aca="false">L6*L7/100</f>
        <v>5911.97584502562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0.6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-74.5422</v>
      </c>
      <c r="D10" s="0" t="n">
        <f aca="false">-D6*D9/100</f>
        <v>-64.5535452</v>
      </c>
      <c r="E10" s="0" t="n">
        <f aca="false">-E6*E9/100</f>
        <v>-68.5558650024</v>
      </c>
      <c r="F10" s="0" t="n">
        <f aca="false">-F6*F9/100</f>
        <v>-69.9955381674504</v>
      </c>
      <c r="G10" s="0" t="n">
        <f aca="false">-G6*G9/100</f>
        <v>-71.3954489307994</v>
      </c>
      <c r="H10" s="0" t="n">
        <f aca="false">-H6*H9/100</f>
        <v>-72.8233579094154</v>
      </c>
      <c r="I10" s="0" t="n">
        <f aca="false">-I6*I9/100</f>
        <v>-74.2798250676037</v>
      </c>
      <c r="J10" s="0" t="n">
        <f aca="false">-J6*J9/100</f>
        <v>-75.7654215689558</v>
      </c>
      <c r="K10" s="0" t="n">
        <f aca="false">-K6*K9/100</f>
        <v>-77.2807300003349</v>
      </c>
      <c r="L10" s="0" t="n">
        <f aca="false">-L6*L9/100</f>
        <v>-78.8263446003416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5752.1731</v>
      </c>
      <c r="D11" s="0" t="n">
        <f aca="false">D8+D10+D24</f>
        <v>4357.364301</v>
      </c>
      <c r="E11" s="0" t="n">
        <f aca="false">E8+E10+E24</f>
        <v>4913.170325172</v>
      </c>
      <c r="F11" s="0" t="n">
        <f aca="false">F8+F10+F24</f>
        <v>5051.34467108434</v>
      </c>
      <c r="G11" s="0" t="n">
        <f aca="false">G8+G10+G24</f>
        <v>5128.57308152909</v>
      </c>
      <c r="H11" s="0" t="n">
        <f aca="false">H8+H10+H24</f>
        <v>5231.14454315967</v>
      </c>
      <c r="I11" s="0" t="n">
        <f aca="false">I8+I10+I24</f>
        <v>5335.76743402287</v>
      </c>
      <c r="J11" s="0" t="n">
        <f aca="false">J8+J10+J24</f>
        <v>5442.48278270333</v>
      </c>
      <c r="K11" s="0" t="n">
        <f aca="false">K8+K10+K24</f>
        <v>5551.33243835739</v>
      </c>
      <c r="L11" s="0" t="n">
        <f aca="false">L8+L10+L24</f>
        <v>5662.35908712454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-1826.2839</v>
      </c>
      <c r="D12" s="4" t="n">
        <f aca="false">-D6*Assumptions!D31/100</f>
        <v>-1829.017114</v>
      </c>
      <c r="E12" s="4" t="n">
        <f aca="false">-E6*Assumptions!E31/100</f>
        <v>-1828.156400064</v>
      </c>
      <c r="F12" s="4" t="n">
        <f aca="false">-F6*Assumptions!F31/100</f>
        <v>-1831.54991538162</v>
      </c>
      <c r="G12" s="4" t="n">
        <f aca="false">-G6*Assumptions!G31/100</f>
        <v>-1844.38243071232</v>
      </c>
      <c r="H12" s="4" t="n">
        <f aca="false">-H6*Assumptions!H31/100</f>
        <v>-1856.99562669009</v>
      </c>
      <c r="I12" s="4" t="n">
        <f aca="false">-I6*Assumptions!I31/100</f>
        <v>-1869.37559753469</v>
      </c>
      <c r="J12" s="4" t="n">
        <f aca="false">-J6*Assumptions!J31/100</f>
        <v>-1894.1355392239</v>
      </c>
      <c r="K12" s="4" t="n">
        <f aca="false">-K6*Assumptions!K31/100</f>
        <v>-1932.01825000837</v>
      </c>
      <c r="L12" s="4" t="n">
        <f aca="false">-L6*Assumptions!L31/100</f>
        <v>-1970.65861500854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3925.8892</v>
      </c>
      <c r="D13" s="0" t="n">
        <f aca="false">D11+D12</f>
        <v>2528.347187</v>
      </c>
      <c r="E13" s="0" t="n">
        <f aca="false">E11+E12</f>
        <v>3085.013925108</v>
      </c>
      <c r="F13" s="0" t="n">
        <f aca="false">F11+F12</f>
        <v>3219.79475570272</v>
      </c>
      <c r="G13" s="0" t="n">
        <f aca="false">G11+G12</f>
        <v>3284.19065081677</v>
      </c>
      <c r="H13" s="0" t="n">
        <f aca="false">H11+H12</f>
        <v>3374.14891646958</v>
      </c>
      <c r="I13" s="0" t="n">
        <f aca="false">I11+I12</f>
        <v>3466.39183648817</v>
      </c>
      <c r="J13" s="0" t="n">
        <f aca="false">J11+J12</f>
        <v>3548.34724347943</v>
      </c>
      <c r="K13" s="0" t="n">
        <f aca="false">K11+K12</f>
        <v>3619.31418834902</v>
      </c>
      <c r="L13" s="0" t="n">
        <f aca="false">L11+L12</f>
        <v>3691.700472116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30</v>
      </c>
      <c r="D14" s="4" t="n">
        <f aca="false">Assumptions!D33</f>
        <v>32</v>
      </c>
      <c r="E14" s="4" t="n">
        <f aca="false">Assumptions!E33</f>
        <v>34</v>
      </c>
      <c r="F14" s="4" t="n">
        <f aca="false">Assumptions!F33</f>
        <v>35</v>
      </c>
      <c r="G14" s="4" t="n">
        <f aca="false">Assumptions!G33</f>
        <v>36</v>
      </c>
      <c r="H14" s="4" t="n">
        <f aca="false">Assumptions!H33</f>
        <v>36</v>
      </c>
      <c r="I14" s="4" t="n">
        <f aca="false">Assumptions!I33</f>
        <v>36</v>
      </c>
      <c r="J14" s="4" t="n">
        <f aca="false">Assumptions!J33</f>
        <v>36</v>
      </c>
      <c r="K14" s="4" t="n">
        <f aca="false">Assumptions!K33</f>
        <v>36</v>
      </c>
      <c r="L14" s="4" t="n">
        <f aca="false">Assumptions!L33</f>
        <v>36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2748.12244</v>
      </c>
      <c r="D15" s="0" t="n">
        <f aca="false">D13-MAX(0,D13)*D14/100</f>
        <v>1719.27608716</v>
      </c>
      <c r="E15" s="0" t="n">
        <f aca="false">E13-MAX(0,E13)*E14/100</f>
        <v>2036.10919057128</v>
      </c>
      <c r="F15" s="0" t="n">
        <f aca="false">F13-MAX(0,F13)*F14/100</f>
        <v>2092.86659120677</v>
      </c>
      <c r="G15" s="0" t="n">
        <f aca="false">G13-MAX(0,G13)*G14/100</f>
        <v>2101.88201652273</v>
      </c>
      <c r="H15" s="0" t="n">
        <f aca="false">H13-MAX(0,H13)*H14/100</f>
        <v>2159.45530654053</v>
      </c>
      <c r="I15" s="0" t="n">
        <f aca="false">I13-MAX(0,I13)*I14/100</f>
        <v>2218.49077535243</v>
      </c>
      <c r="J15" s="0" t="n">
        <f aca="false">J13-MAX(0,J13)*J14/100</f>
        <v>2270.94223582684</v>
      </c>
      <c r="K15" s="0" t="n">
        <f aca="false">K13-MAX(0,K13)*K14/100</f>
        <v>2316.36108054337</v>
      </c>
      <c r="L15" s="0" t="n">
        <f aca="false">L13-MAX(0,L13)*L14/100</f>
        <v>2362.68830215424</v>
      </c>
    </row>
    <row r="16" customFormat="false" ht="15" hidden="false" customHeight="false" outlineLevel="0" collapsed="false">
      <c r="A16" s="0" t="s">
        <v>126</v>
      </c>
      <c r="C16" s="0" t="n">
        <f aca="false">-C12</f>
        <v>1826.2839</v>
      </c>
      <c r="D16" s="0" t="n">
        <f aca="false">-D12</f>
        <v>1829.017114</v>
      </c>
      <c r="E16" s="0" t="n">
        <f aca="false">-E12</f>
        <v>1828.156400064</v>
      </c>
      <c r="F16" s="0" t="n">
        <f aca="false">-F12</f>
        <v>1831.54991538162</v>
      </c>
      <c r="G16" s="0" t="n">
        <f aca="false">-G12</f>
        <v>1844.38243071232</v>
      </c>
      <c r="H16" s="0" t="n">
        <f aca="false">-H12</f>
        <v>1856.99562669009</v>
      </c>
      <c r="I16" s="0" t="n">
        <f aca="false">-I12</f>
        <v>1869.37559753469</v>
      </c>
      <c r="J16" s="0" t="n">
        <f aca="false">-J12</f>
        <v>1894.1355392239</v>
      </c>
      <c r="K16" s="0" t="n">
        <f aca="false">-K12</f>
        <v>1932.01825000837</v>
      </c>
      <c r="L16" s="0" t="n">
        <f aca="false">-L12</f>
        <v>1970.65861500854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-3404.0938</v>
      </c>
      <c r="D17" s="4" t="n">
        <f aca="false">-D6*Assumptions!D32/100</f>
        <v>-2732.7667468</v>
      </c>
      <c r="E17" s="4" t="n">
        <f aca="false">-E6*Assumptions!E32/100</f>
        <v>-2353.7513650824</v>
      </c>
      <c r="F17" s="4" t="n">
        <f aca="false">-F6*Assumptions!F32/100</f>
        <v>-2099.86614502351</v>
      </c>
      <c r="G17" s="4" t="n">
        <f aca="false">-G6*Assumptions!G32/100</f>
        <v>-2082.36726048165</v>
      </c>
      <c r="H17" s="4" t="n">
        <f aca="false">-H6*Assumptions!H32/100</f>
        <v>-2124.01460569128</v>
      </c>
      <c r="I17" s="4" t="n">
        <f aca="false">-I6*Assumptions!I32/100</f>
        <v>-2166.49489780511</v>
      </c>
      <c r="J17" s="4" t="n">
        <f aca="false">-J6*Assumptions!J32/100</f>
        <v>-2209.82479576121</v>
      </c>
      <c r="K17" s="4" t="n">
        <f aca="false">-K6*Assumptions!K32/100</f>
        <v>-2254.02129167644</v>
      </c>
      <c r="L17" s="4" t="n">
        <f aca="false">-L6*Assumptions!L32/100</f>
        <v>-2299.10171750996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258.945</v>
      </c>
      <c r="D18" s="4" t="n">
        <f aca="false">(D6-C6)*Assumptions!$B$37/100</f>
        <v>249.71637</v>
      </c>
      <c r="E18" s="4" t="n">
        <f aca="false">(E6-D6)*Assumptions!$B$37/100</f>
        <v>-100.05799506</v>
      </c>
      <c r="F18" s="4" t="n">
        <f aca="false">(F6-E6)*Assumptions!$B$37/100</f>
        <v>-35.9918291262597</v>
      </c>
      <c r="G18" s="4" t="n">
        <f aca="false">(G6-F6)*Assumptions!$B$37/100</f>
        <v>-34.9977690837252</v>
      </c>
      <c r="H18" s="4" t="n">
        <f aca="false">(H6-G6)*Assumptions!$B$37/100</f>
        <v>-35.6977244653997</v>
      </c>
      <c r="I18" s="4" t="n">
        <f aca="false">(I6-H6)*Assumptions!$B$37/100</f>
        <v>-36.4116789547078</v>
      </c>
      <c r="J18" s="4" t="n">
        <f aca="false">(J6-I6)*Assumptions!$B$37/100</f>
        <v>-37.139912533802</v>
      </c>
      <c r="K18" s="4" t="n">
        <f aca="false">(K6-J6)*Assumptions!$B$37/100</f>
        <v>-37.882710784478</v>
      </c>
      <c r="L18" s="4" t="n">
        <f aca="false">(L6-K6)*Assumptions!$B$37/100</f>
        <v>-38.6403650001676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1429.25754</v>
      </c>
      <c r="D19" s="0" t="n">
        <f aca="false">D15+D16+D17+D18</f>
        <v>1065.24282436</v>
      </c>
      <c r="E19" s="0" t="n">
        <f aca="false">E15+E16+E17+E18</f>
        <v>1410.45623049288</v>
      </c>
      <c r="F19" s="0" t="n">
        <f aca="false">F15+F16+F17+F18</f>
        <v>1788.55853243861</v>
      </c>
      <c r="G19" s="0" t="n">
        <f aca="false">G15+G16+G17+G18</f>
        <v>1828.89941766968</v>
      </c>
      <c r="H19" s="0" t="n">
        <f aca="false">H15+H16+H17+H18</f>
        <v>1856.73860307394</v>
      </c>
      <c r="I19" s="0" t="n">
        <f aca="false">I15+I16+I17+I18</f>
        <v>1884.95979612731</v>
      </c>
      <c r="J19" s="0" t="n">
        <f aca="false">J15+J16+J17+J18</f>
        <v>1918.11306675572</v>
      </c>
      <c r="K19" s="0" t="n">
        <f aca="false">K15+K16+K17+K18</f>
        <v>1956.47532809083</v>
      </c>
      <c r="L19" s="0" t="n">
        <f aca="false">L15+L16+L17+L18</f>
        <v>1995.60483465265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1311.24544954128</v>
      </c>
      <c r="D21" s="0" t="n">
        <f aca="false">D19*D20</f>
        <v>896.593573234576</v>
      </c>
      <c r="E21" s="0" t="n">
        <f aca="false">E19*E20</f>
        <v>1089.1310005358</v>
      </c>
      <c r="F21" s="0" t="n">
        <f aca="false">F19*F20</f>
        <v>1267.05995584528</v>
      </c>
      <c r="G21" s="0" t="n">
        <f aca="false">G19*G20</f>
        <v>1188.65913392629</v>
      </c>
      <c r="H21" s="0" t="n">
        <f aca="false">H19*H20</f>
        <v>1107.11256356835</v>
      </c>
      <c r="I21" s="0" t="n">
        <f aca="false">I19*I20</f>
        <v>1031.13755863452</v>
      </c>
      <c r="J21" s="0" t="n">
        <f aca="false">J19*J20</f>
        <v>962.636268804416</v>
      </c>
      <c r="K21" s="0" t="n">
        <f aca="false">K19*K20</f>
        <v>900.815590991288</v>
      </c>
      <c r="L21" s="0" t="n">
        <f aca="false">L19*L20</f>
        <v>842.965048450562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1.3</v>
      </c>
      <c r="D23" s="4" t="n">
        <f aca="false">Assumptions!D30</f>
        <v>1.3</v>
      </c>
      <c r="E23" s="4" t="n">
        <f aca="false">Assumptions!E30</f>
        <v>1.3</v>
      </c>
      <c r="F23" s="4" t="n">
        <f aca="false">Assumptions!F30</f>
        <v>1.3</v>
      </c>
      <c r="G23" s="4" t="n">
        <f aca="false">Assumptions!G30</f>
        <v>1.3</v>
      </c>
      <c r="H23" s="4" t="n">
        <f aca="false">Assumptions!H30</f>
        <v>1.3</v>
      </c>
      <c r="I23" s="4" t="n">
        <f aca="false">Assumptions!I30</f>
        <v>1.3</v>
      </c>
      <c r="J23" s="4" t="n">
        <f aca="false">Assumptions!J30</f>
        <v>1.3</v>
      </c>
      <c r="K23" s="4" t="n">
        <f aca="false">Assumptions!K30</f>
        <v>1.3</v>
      </c>
      <c r="L23" s="4" t="n">
        <f aca="false">Assumptions!L30</f>
        <v>1.3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-161.5081</v>
      </c>
      <c r="D24" s="0" t="n">
        <f aca="false">-D6*D23/100</f>
        <v>-139.8660146</v>
      </c>
      <c r="E24" s="0" t="n">
        <f aca="false">-E6*E23/100</f>
        <v>-148.5377075052</v>
      </c>
      <c r="F24" s="0" t="n">
        <f aca="false">-F6*F23/100</f>
        <v>-151.656999362809</v>
      </c>
      <c r="G24" s="0" t="n">
        <f aca="false">-G6*G23/100</f>
        <v>-154.690139350065</v>
      </c>
      <c r="H24" s="0" t="n">
        <f aca="false">-H6*H23/100</f>
        <v>-157.783942137067</v>
      </c>
      <c r="I24" s="0" t="n">
        <f aca="false">-I6*I23/100</f>
        <v>-160.939620979808</v>
      </c>
      <c r="J24" s="0" t="n">
        <f aca="false">-J6*J23/100</f>
        <v>-164.158413399404</v>
      </c>
      <c r="K24" s="0" t="n">
        <f aca="false">-K6*K23/100</f>
        <v>-167.441581667392</v>
      </c>
      <c r="L24" s="0" t="n">
        <f aca="false">-L6*L23/100</f>
        <v>-170.79041330074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10597.3561435324</v>
      </c>
    </row>
    <row r="31" customFormat="false" ht="15" hidden="false" customHeight="false" outlineLevel="0" collapsed="false">
      <c r="A31" s="0" t="s">
        <v>135</v>
      </c>
      <c r="B31" s="0" t="n">
        <f aca="false">L19</f>
        <v>1995.60483465265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29078.8133049386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25942.8628504844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25942.8628504844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10958.5456298573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21555.9017733897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17682.9017733897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35.9408572629871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-0.629857288743696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462.606422313182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485.186311768761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37.8672652590887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15657.8225488131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16.4487749506813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-2.4</v>
      </c>
      <c r="D5" s="4" t="n">
        <f aca="false">Assumptions!D41</f>
        <v>-10.5</v>
      </c>
      <c r="E5" s="4" t="n">
        <f aca="false">Assumptions!E41</f>
        <v>9.3</v>
      </c>
      <c r="F5" s="4" t="n">
        <f aca="false">Assumptions!F41</f>
        <v>2.8</v>
      </c>
      <c r="G5" s="4" t="n">
        <f aca="false">Assumptions!G41</f>
        <v>2.5</v>
      </c>
      <c r="H5" s="4" t="n">
        <f aca="false">Assumptions!H41</f>
        <v>2.5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14150</v>
      </c>
      <c r="C6" s="0" t="n">
        <f aca="false">B6*(1+C5/100)</f>
        <v>13810.4</v>
      </c>
      <c r="D6" s="0" t="n">
        <f aca="false">C6*(1+D5/100)</f>
        <v>12360.308</v>
      </c>
      <c r="E6" s="0" t="n">
        <f aca="false">D6*(1+E5/100)</f>
        <v>13509.816644</v>
      </c>
      <c r="F6" s="0" t="n">
        <f aca="false">E6*(1+F5/100)</f>
        <v>13888.091510032</v>
      </c>
      <c r="G6" s="0" t="n">
        <f aca="false">F6*(1+G5/100)</f>
        <v>14235.2937977828</v>
      </c>
      <c r="H6" s="0" t="n">
        <f aca="false">G6*(1+H5/100)</f>
        <v>14591.1761427274</v>
      </c>
      <c r="I6" s="0" t="n">
        <f aca="false">H6*(1+I5/100)</f>
        <v>14955.9555462955</v>
      </c>
      <c r="J6" s="0" t="n">
        <f aca="false">I6*(1+J5/100)</f>
        <v>15329.8544349529</v>
      </c>
      <c r="K6" s="0" t="n">
        <f aca="false">J6*(1+K5/100)</f>
        <v>15713.1007958268</v>
      </c>
      <c r="L6" s="0" t="n">
        <f aca="false">K6*(1+L5/100)</f>
        <v>16105.9283157224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52.7</v>
      </c>
      <c r="D7" s="4" t="n">
        <f aca="false">Assumptions!D42</f>
        <v>48.9</v>
      </c>
      <c r="E7" s="4" t="n">
        <f aca="false">Assumptions!E42</f>
        <v>52</v>
      </c>
      <c r="F7" s="4" t="n">
        <f aca="false">Assumptions!F42</f>
        <v>52.4</v>
      </c>
      <c r="G7" s="4" t="n">
        <f aca="false">Assumptions!G42</f>
        <v>52</v>
      </c>
      <c r="H7" s="4" t="n">
        <f aca="false">Assumptions!H42</f>
        <v>52</v>
      </c>
      <c r="I7" s="4" t="n">
        <f aca="false">Assumptions!I42</f>
        <v>52</v>
      </c>
      <c r="J7" s="4" t="n">
        <f aca="false">Assumptions!J42</f>
        <v>52</v>
      </c>
      <c r="K7" s="4" t="n">
        <f aca="false">Assumptions!K42</f>
        <v>52</v>
      </c>
      <c r="L7" s="4" t="n">
        <f aca="false">Assumptions!L42</f>
        <v>52</v>
      </c>
    </row>
    <row r="8" customFormat="false" ht="15" hidden="false" customHeight="false" outlineLevel="0" collapsed="false">
      <c r="A8" s="0" t="s">
        <v>43</v>
      </c>
      <c r="C8" s="0" t="n">
        <f aca="false">C6*C7/100</f>
        <v>7278.0808</v>
      </c>
      <c r="D8" s="0" t="n">
        <f aca="false">D6*D7/100</f>
        <v>6044.190612</v>
      </c>
      <c r="E8" s="0" t="n">
        <f aca="false">E6*E7/100</f>
        <v>7025.10465488</v>
      </c>
      <c r="F8" s="0" t="n">
        <f aca="false">F6*F7/100</f>
        <v>7277.35995125677</v>
      </c>
      <c r="G8" s="0" t="n">
        <f aca="false">G6*G7/100</f>
        <v>7402.35277484705</v>
      </c>
      <c r="H8" s="0" t="n">
        <f aca="false">H6*H7/100</f>
        <v>7587.41159421823</v>
      </c>
      <c r="I8" s="0" t="n">
        <f aca="false">I6*I7/100</f>
        <v>7777.09688407369</v>
      </c>
      <c r="J8" s="0" t="n">
        <f aca="false">J6*J7/100</f>
        <v>7971.52430617553</v>
      </c>
      <c r="K8" s="0" t="n">
        <f aca="false">K6*K7/100</f>
        <v>8170.81241382991</v>
      </c>
      <c r="L8" s="0" t="n">
        <f aca="false">L6*L7/100</f>
        <v>8375.08272417566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0.6</v>
      </c>
      <c r="F9" s="4" t="n">
        <f aca="false">Assumptions!F43</f>
        <v>0.6</v>
      </c>
      <c r="G9" s="4" t="n">
        <f aca="false">Assumptions!G43</f>
        <v>0.6</v>
      </c>
      <c r="H9" s="4" t="n">
        <f aca="false">Assumptions!H43</f>
        <v>0.6</v>
      </c>
      <c r="I9" s="4" t="n">
        <f aca="false">Assumptions!I43</f>
        <v>0.6</v>
      </c>
      <c r="J9" s="4" t="n">
        <f aca="false">Assumptions!J43</f>
        <v>0.6</v>
      </c>
      <c r="K9" s="4" t="n">
        <f aca="false">Assumptions!K43</f>
        <v>0.6</v>
      </c>
      <c r="L9" s="4" t="n">
        <f aca="false">Assumptions!L43</f>
        <v>0.6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-82.8624</v>
      </c>
      <c r="D10" s="0" t="n">
        <f aca="false">-D6*D9/100</f>
        <v>-74.161848</v>
      </c>
      <c r="E10" s="0" t="n">
        <f aca="false">-E6*E9/100</f>
        <v>-81.058899864</v>
      </c>
      <c r="F10" s="0" t="n">
        <f aca="false">-F6*F9/100</f>
        <v>-83.328549060192</v>
      </c>
      <c r="G10" s="0" t="n">
        <f aca="false">-G6*G9/100</f>
        <v>-85.4117627866968</v>
      </c>
      <c r="H10" s="0" t="n">
        <f aca="false">-H6*H9/100</f>
        <v>-87.5470568563642</v>
      </c>
      <c r="I10" s="0" t="n">
        <f aca="false">-I6*I9/100</f>
        <v>-89.7357332777733</v>
      </c>
      <c r="J10" s="0" t="n">
        <f aca="false">-J6*J9/100</f>
        <v>-91.9791266097176</v>
      </c>
      <c r="K10" s="0" t="n">
        <f aca="false">-K6*K9/100</f>
        <v>-94.2786047749606</v>
      </c>
      <c r="L10" s="0" t="n">
        <f aca="false">-L6*L9/100</f>
        <v>-96.6355698943346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7015.6832</v>
      </c>
      <c r="D11" s="0" t="n">
        <f aca="false">D8+D10+D24</f>
        <v>5809.34476</v>
      </c>
      <c r="E11" s="0" t="n">
        <f aca="false">E8+E10+E24</f>
        <v>6768.418138644</v>
      </c>
      <c r="F11" s="0" t="n">
        <f aca="false">F8+F10+F24</f>
        <v>7013.48621256616</v>
      </c>
      <c r="G11" s="0" t="n">
        <f aca="false">G8+G10+G24</f>
        <v>7131.88219268918</v>
      </c>
      <c r="H11" s="0" t="n">
        <f aca="false">H8+H10+H24</f>
        <v>7310.17924750641</v>
      </c>
      <c r="I11" s="0" t="n">
        <f aca="false">I8+I10+I24</f>
        <v>7492.93372869407</v>
      </c>
      <c r="J11" s="0" t="n">
        <f aca="false">J8+J10+J24</f>
        <v>7680.25707191142</v>
      </c>
      <c r="K11" s="0" t="n">
        <f aca="false">K8+K10+K24</f>
        <v>7872.26349870921</v>
      </c>
      <c r="L11" s="0" t="n">
        <f aca="false">L8+L10+L24</f>
        <v>8069.07008617694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-1905.8352</v>
      </c>
      <c r="D12" s="4" t="n">
        <f aca="false">-D6*Assumptions!D45/100</f>
        <v>-1903.487432</v>
      </c>
      <c r="E12" s="4" t="n">
        <f aca="false">-E6*Assumptions!E45/100</f>
        <v>-1904.884146804</v>
      </c>
      <c r="F12" s="4" t="n">
        <f aca="false">-F6*Assumptions!F45/100</f>
        <v>-1902.66853687438</v>
      </c>
      <c r="G12" s="4" t="n">
        <f aca="false">-G6*Assumptions!G45/100</f>
        <v>-1921.76466270068</v>
      </c>
      <c r="H12" s="4" t="n">
        <f aca="false">-H6*Assumptions!H45/100</f>
        <v>-1969.80877926819</v>
      </c>
      <c r="I12" s="4" t="n">
        <f aca="false">-I6*Assumptions!I45/100</f>
        <v>-2019.0539987499</v>
      </c>
      <c r="J12" s="4" t="n">
        <f aca="false">-J6*Assumptions!J45/100</f>
        <v>-2069.53034871865</v>
      </c>
      <c r="K12" s="4" t="n">
        <f aca="false">-K6*Assumptions!K45/100</f>
        <v>-2121.26860743661</v>
      </c>
      <c r="L12" s="4" t="n">
        <f aca="false">-L6*Assumptions!L45/100</f>
        <v>-2174.30032262253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5109.848</v>
      </c>
      <c r="D13" s="0" t="n">
        <f aca="false">D11+D12</f>
        <v>3905.857328</v>
      </c>
      <c r="E13" s="0" t="n">
        <f aca="false">E11+E12</f>
        <v>4863.53399184</v>
      </c>
      <c r="F13" s="0" t="n">
        <f aca="false">F11+F12</f>
        <v>5110.81767569178</v>
      </c>
      <c r="G13" s="0" t="n">
        <f aca="false">G11+G12</f>
        <v>5210.1175299885</v>
      </c>
      <c r="H13" s="0" t="n">
        <f aca="false">H11+H12</f>
        <v>5340.37046823822</v>
      </c>
      <c r="I13" s="0" t="n">
        <f aca="false">I11+I12</f>
        <v>5473.87972994417</v>
      </c>
      <c r="J13" s="0" t="n">
        <f aca="false">J11+J12</f>
        <v>5610.72672319278</v>
      </c>
      <c r="K13" s="0" t="n">
        <f aca="false">K11+K12</f>
        <v>5750.99489127259</v>
      </c>
      <c r="L13" s="0" t="n">
        <f aca="false">L11+L12</f>
        <v>5894.76976355441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30</v>
      </c>
      <c r="D14" s="4" t="n">
        <f aca="false">Assumptions!D47</f>
        <v>32</v>
      </c>
      <c r="E14" s="4" t="n">
        <f aca="false">Assumptions!E47</f>
        <v>34</v>
      </c>
      <c r="F14" s="4" t="n">
        <f aca="false">Assumptions!F47</f>
        <v>35</v>
      </c>
      <c r="G14" s="4" t="n">
        <f aca="false">Assumptions!G47</f>
        <v>36</v>
      </c>
      <c r="H14" s="4" t="n">
        <f aca="false">Assumptions!H47</f>
        <v>36</v>
      </c>
      <c r="I14" s="4" t="n">
        <f aca="false">Assumptions!I47</f>
        <v>36</v>
      </c>
      <c r="J14" s="4" t="n">
        <f aca="false">Assumptions!J47</f>
        <v>36</v>
      </c>
      <c r="K14" s="4" t="n">
        <f aca="false">Assumptions!K47</f>
        <v>36</v>
      </c>
      <c r="L14" s="4" t="n">
        <f aca="false">Assumptions!L47</f>
        <v>36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3576.8936</v>
      </c>
      <c r="D15" s="0" t="n">
        <f aca="false">D13-MAX(0,D13)*D14/100</f>
        <v>2655.98298304</v>
      </c>
      <c r="E15" s="0" t="n">
        <f aca="false">E13-MAX(0,E13)*E14/100</f>
        <v>3209.9324346144</v>
      </c>
      <c r="F15" s="0" t="n">
        <f aca="false">F13-MAX(0,F13)*F14/100</f>
        <v>3322.03148919965</v>
      </c>
      <c r="G15" s="0" t="n">
        <f aca="false">G13-MAX(0,G13)*G14/100</f>
        <v>3334.47521919264</v>
      </c>
      <c r="H15" s="0" t="n">
        <f aca="false">H13-MAX(0,H13)*H14/100</f>
        <v>3417.83709967246</v>
      </c>
      <c r="I15" s="0" t="n">
        <f aca="false">I13-MAX(0,I13)*I14/100</f>
        <v>3503.28302716427</v>
      </c>
      <c r="J15" s="0" t="n">
        <f aca="false">J13-MAX(0,J13)*J14/100</f>
        <v>3590.86510284338</v>
      </c>
      <c r="K15" s="0" t="n">
        <f aca="false">K13-MAX(0,K13)*K14/100</f>
        <v>3680.63673041446</v>
      </c>
      <c r="L15" s="0" t="n">
        <f aca="false">L13-MAX(0,L13)*L14/100</f>
        <v>3772.65264867482</v>
      </c>
    </row>
    <row r="16" customFormat="false" ht="15" hidden="false" customHeight="false" outlineLevel="0" collapsed="false">
      <c r="A16" s="0" t="s">
        <v>126</v>
      </c>
      <c r="C16" s="0" t="n">
        <f aca="false">-C12</f>
        <v>1905.8352</v>
      </c>
      <c r="D16" s="0" t="n">
        <f aca="false">-D12</f>
        <v>1903.487432</v>
      </c>
      <c r="E16" s="0" t="n">
        <f aca="false">-E12</f>
        <v>1904.884146804</v>
      </c>
      <c r="F16" s="0" t="n">
        <f aca="false">-F12</f>
        <v>1902.66853687438</v>
      </c>
      <c r="G16" s="0" t="n">
        <f aca="false">-G12</f>
        <v>1921.76466270068</v>
      </c>
      <c r="H16" s="0" t="n">
        <f aca="false">-H12</f>
        <v>1969.80877926819</v>
      </c>
      <c r="I16" s="0" t="n">
        <f aca="false">-I12</f>
        <v>2019.0539987499</v>
      </c>
      <c r="J16" s="0" t="n">
        <f aca="false">-J12</f>
        <v>2069.53034871865</v>
      </c>
      <c r="K16" s="0" t="n">
        <f aca="false">-K12</f>
        <v>2121.26860743661</v>
      </c>
      <c r="L16" s="0" t="n">
        <f aca="false">-L12</f>
        <v>2174.30032262253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-3494.0312</v>
      </c>
      <c r="D17" s="4" t="n">
        <f aca="false">-D6*Assumptions!D46/100</f>
        <v>-2904.67238</v>
      </c>
      <c r="E17" s="4" t="n">
        <f aca="false">-E6*Assumptions!E46/100</f>
        <v>-2607.394612292</v>
      </c>
      <c r="F17" s="4" t="n">
        <f aca="false">-F6*Assumptions!F46/100</f>
        <v>-2305.42319066531</v>
      </c>
      <c r="G17" s="4" t="n">
        <f aca="false">-G6*Assumptions!G46/100</f>
        <v>-2348.82347663416</v>
      </c>
      <c r="H17" s="4" t="n">
        <f aca="false">-H6*Assumptions!H46/100</f>
        <v>-2407.54406355002</v>
      </c>
      <c r="I17" s="4" t="n">
        <f aca="false">-I6*Assumptions!I46/100</f>
        <v>-2467.73266513877</v>
      </c>
      <c r="J17" s="4" t="n">
        <f aca="false">-J6*Assumptions!J46/100</f>
        <v>-2529.42598176723</v>
      </c>
      <c r="K17" s="4" t="n">
        <f aca="false">-K6*Assumptions!K46/100</f>
        <v>-2592.66163131142</v>
      </c>
      <c r="L17" s="4" t="n">
        <f aca="false">-L6*Assumptions!L46/100</f>
        <v>-2657.4781720942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50.9400000000001</v>
      </c>
      <c r="D18" s="4" t="n">
        <f aca="false">(D6-C6)*Assumptions!$B$51/100</f>
        <v>217.5138</v>
      </c>
      <c r="E18" s="4" t="n">
        <f aca="false">(E6-D6)*Assumptions!$B$51/100</f>
        <v>-172.4262966</v>
      </c>
      <c r="F18" s="4" t="n">
        <f aca="false">(F6-E6)*Assumptions!$B$51/100</f>
        <v>-56.7412299047999</v>
      </c>
      <c r="G18" s="4" t="n">
        <f aca="false">(G6-F6)*Assumptions!$B$51/100</f>
        <v>-52.0803431626198</v>
      </c>
      <c r="H18" s="4" t="n">
        <f aca="false">(H6-G6)*Assumptions!$B$51/100</f>
        <v>-53.3823517416852</v>
      </c>
      <c r="I18" s="4" t="n">
        <f aca="false">(I6-H6)*Assumptions!$B$51/100</f>
        <v>-54.7169105352275</v>
      </c>
      <c r="J18" s="4" t="n">
        <f aca="false">(J6-I6)*Assumptions!$B$51/100</f>
        <v>-56.0848332986082</v>
      </c>
      <c r="K18" s="4" t="n">
        <f aca="false">(K6-J6)*Assumptions!$B$51/100</f>
        <v>-57.4869541310733</v>
      </c>
      <c r="L18" s="4" t="n">
        <f aca="false">(L6-K6)*Assumptions!$B$51/100</f>
        <v>-58.9241279843501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2039.6376</v>
      </c>
      <c r="D19" s="0" t="n">
        <f aca="false">D15+D16+D17+D18</f>
        <v>1872.31183504</v>
      </c>
      <c r="E19" s="0" t="n">
        <f aca="false">E15+E16+E17+E18</f>
        <v>2334.9956725264</v>
      </c>
      <c r="F19" s="0" t="n">
        <f aca="false">F15+F16+F17+F18</f>
        <v>2862.53560550392</v>
      </c>
      <c r="G19" s="0" t="n">
        <f aca="false">G15+G16+G17+G18</f>
        <v>2855.33606209654</v>
      </c>
      <c r="H19" s="0" t="n">
        <f aca="false">H15+H16+H17+H18</f>
        <v>2926.71946364895</v>
      </c>
      <c r="I19" s="0" t="n">
        <f aca="false">I15+I16+I17+I18</f>
        <v>2999.88745024018</v>
      </c>
      <c r="J19" s="0" t="n">
        <f aca="false">J15+J16+J17+J18</f>
        <v>3074.88463649618</v>
      </c>
      <c r="K19" s="0" t="n">
        <f aca="false">K15+K16+K17+K18</f>
        <v>3151.75675240858</v>
      </c>
      <c r="L19" s="0" t="n">
        <f aca="false">L15+L16+L17+L18</f>
        <v>3230.5506712188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1871.2271559633</v>
      </c>
      <c r="D21" s="0" t="n">
        <f aca="false">D19*D20</f>
        <v>1575.88741270937</v>
      </c>
      <c r="E21" s="0" t="n">
        <f aca="false">E19*E20</f>
        <v>1803.04508433896</v>
      </c>
      <c r="F21" s="0" t="n">
        <f aca="false">F19*F20</f>
        <v>2027.89239051076</v>
      </c>
      <c r="G21" s="0" t="n">
        <f aca="false">G19*G20</f>
        <v>1855.77252518606</v>
      </c>
      <c r="H21" s="0" t="n">
        <f aca="false">H19*H20</f>
        <v>1745.10719111533</v>
      </c>
      <c r="I21" s="0" t="n">
        <f aca="false">I19*I20</f>
        <v>1641.04116595708</v>
      </c>
      <c r="J21" s="0" t="n">
        <f aca="false">J19*J20</f>
        <v>1543.18091294129</v>
      </c>
      <c r="K21" s="0" t="n">
        <f aca="false">K19*K20</f>
        <v>1451.15636308699</v>
      </c>
      <c r="L21" s="0" t="n">
        <f aca="false">L19*L20</f>
        <v>1364.61951574694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1.3</v>
      </c>
      <c r="D23" s="4" t="n">
        <f aca="false">Assumptions!D44</f>
        <v>1.3</v>
      </c>
      <c r="E23" s="4" t="n">
        <f aca="false">Assumptions!E44</f>
        <v>1.3</v>
      </c>
      <c r="F23" s="4" t="n">
        <f aca="false">Assumptions!F44</f>
        <v>1.3</v>
      </c>
      <c r="G23" s="4" t="n">
        <f aca="false">Assumptions!G44</f>
        <v>1.3</v>
      </c>
      <c r="H23" s="4" t="n">
        <f aca="false">Assumptions!H44</f>
        <v>1.3</v>
      </c>
      <c r="I23" s="4" t="n">
        <f aca="false">Assumptions!I44</f>
        <v>1.3</v>
      </c>
      <c r="J23" s="4" t="n">
        <f aca="false">Assumptions!J44</f>
        <v>1.3</v>
      </c>
      <c r="K23" s="4" t="n">
        <f aca="false">Assumptions!K44</f>
        <v>1.3</v>
      </c>
      <c r="L23" s="4" t="n">
        <f aca="false">Assumptions!L44</f>
        <v>1.3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-179.5352</v>
      </c>
      <c r="D24" s="0" t="n">
        <f aca="false">-D6*D23/100</f>
        <v>-160.684004</v>
      </c>
      <c r="E24" s="0" t="n">
        <f aca="false">-E6*E23/100</f>
        <v>-175.627616372</v>
      </c>
      <c r="F24" s="0" t="n">
        <f aca="false">-F6*F23/100</f>
        <v>-180.545189630416</v>
      </c>
      <c r="G24" s="0" t="n">
        <f aca="false">-G6*G23/100</f>
        <v>-185.058819371176</v>
      </c>
      <c r="H24" s="0" t="n">
        <f aca="false">-H6*H23/100</f>
        <v>-189.685289855456</v>
      </c>
      <c r="I24" s="0" t="n">
        <f aca="false">-I6*I23/100</f>
        <v>-194.427422101842</v>
      </c>
      <c r="J24" s="0" t="n">
        <f aca="false">-J6*J23/100</f>
        <v>-199.288107654388</v>
      </c>
      <c r="K24" s="0" t="n">
        <f aca="false">-K6*K23/100</f>
        <v>-204.270310345748</v>
      </c>
      <c r="L24" s="0" t="n">
        <f aca="false">-L6*L23/100</f>
        <v>-209.377068104392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16878.9297175561</v>
      </c>
    </row>
    <row r="31" customFormat="false" ht="15" hidden="false" customHeight="false" outlineLevel="0" collapsed="false">
      <c r="A31" s="0" t="s">
        <v>135</v>
      </c>
      <c r="B31" s="0" t="n">
        <f aca="false">L19</f>
        <v>3230.5506712188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50943.2990461426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41997.1587258444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41997.1587258444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17740.0537047102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34618.9834222663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30745.9834222663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62.4918362241185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-0.356417752583743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547.256856363208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643.698565849813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64.9124773261775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26490.5155039941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31.60300308299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9.087471930534</v>
      </c>
      <c r="C4" s="0" t="n">
        <f aca="false">B4/Assumptions!$B$2-1</f>
        <v>-0.906411205658764</v>
      </c>
      <c r="D4" s="4" t="n">
        <f aca="false">Assumptions!$B$24</f>
        <v>0.25</v>
      </c>
      <c r="E4" s="4" t="n">
        <f aca="false">DCF_Bear!$B$43</f>
        <v>10.4697617620985</v>
      </c>
      <c r="F4" s="4" t="n">
        <f aca="false">DCF_Bear!$B$47</f>
        <v>1.04370671124142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35.9408572629871</v>
      </c>
      <c r="C5" s="0" t="n">
        <f aca="false">B5/Assumptions!$B$2-1</f>
        <v>-0.629857288743696</v>
      </c>
      <c r="D5" s="4" t="n">
        <f aca="false">Assumptions!$B$38</f>
        <v>0.5</v>
      </c>
      <c r="E5" s="4" t="n">
        <f aca="false">DCF_Base!$B$43</f>
        <v>37.8672652590887</v>
      </c>
      <c r="F5" s="4" t="n">
        <f aca="false">DCF_Base!$B$47</f>
        <v>16.4487749506813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62.4918362241185</v>
      </c>
      <c r="C6" s="0" t="n">
        <f aca="false">B6/Assumptions!$B$2-1</f>
        <v>-0.356417752583743</v>
      </c>
      <c r="D6" s="4" t="n">
        <f aca="false">Assumptions!$B$52</f>
        <v>0.25</v>
      </c>
      <c r="E6" s="4" t="n">
        <f aca="false">DCF_Bull!$B$43</f>
        <v>64.9124773261775</v>
      </c>
      <c r="F6" s="4" t="n">
        <f aca="false">DCF_Bull!$B$47</f>
        <v>31.60300308299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35.8652556701567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37.7791924016133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-1.70735557813955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3199.41319498266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16.3860649238985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35.9408572629871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32.6070202140945</v>
      </c>
      <c r="C16" s="3" t="n">
        <v>10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27.9266779431463</v>
      </c>
      <c r="C17" s="3" t="n">
        <v>11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24.1882148899241</v>
      </c>
      <c r="C18" s="3" t="n">
        <v>12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16.4487749506813</v>
      </c>
      <c r="C19" s="3" t="n">
        <v>15</v>
      </c>
    </row>
    <row r="21" customFormat="false" ht="15" hidden="false" customHeight="false" outlineLevel="0" collapsed="false">
      <c r="A21" s="2" t="s">
        <v>171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42.6974151770837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42.6974151770837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42.6974151770837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42.6974151770837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42.6974151770837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39.1637042121895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39.1637042121895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39.1637042121895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39.1637042121895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39.1637042121895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35.2983534150828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35.9408572629871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35.9408572629871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35.9408572629871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35.9408572629871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30.217873710061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31.3421779472532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32.6070202140945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32.997971460209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32.997971460209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26.164863661596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26.9994072686462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27.9266779431463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28.9630392852347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30.1289457950841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2026-10-10T10:57:24Z</dcterms:created>
  <dc:creator>openpyxl</dc:creator>
  <dc:description/>
  <dc:language>en-NZ</dc:language>
  <cp:lastModifiedBy/>
  <dcterms:modified xsi:type="dcterms:W3CDTF">2026-10-10T10:57:24Z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