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<sst xmlns="http://schemas.openxmlformats.org/spreadsheetml/2006/main" count="191" uniqueCount="156">
  <si>
    <t>FSLR — First Solar DCF Valuation Model</t>
  </si>
  <si>
    <t>Gray cells are INPUTS — adjust to see valuation update automatically</t>
  </si>
  <si>
    <t>Valuation date: 2026-07-06  |  Price verified via Yahoo Finance</t>
  </si>
  <si>
    <t>KEY INPUTS</t>
  </si>
  <si>
    <t>Current Stock Price</t>
  </si>
  <si>
    <t>← Yahoo Finance verified 2026-07-06</t>
  </si>
  <si>
    <t>Shares Outstanding (M)</t>
  </si>
  <si>
    <t>Cash &amp; Equivalents (M)</t>
  </si>
  <si>
    <t>Total Debt (M)</t>
  </si>
  <si>
    <t>India Credit Facility + working capital facilities</t>
  </si>
  <si>
    <t>Net Debt (M)  [negative = net cash]</t>
  </si>
  <si>
    <t>Base Year FCF (M)  [normalised]</t>
  </si>
  <si>
    <t>FY2025 post-buildout normalised (not historical median -$305M)</t>
  </si>
  <si>
    <t>WACC</t>
  </si>
  <si>
    <t>Includes +1.5% 45X legislative-dependency premium</t>
  </si>
  <si>
    <t>Terminal Growth Rate</t>
  </si>
  <si>
    <t>Capped at 2.5% — mature manufacturing, commodity exposure</t>
  </si>
  <si>
    <t>FCF GROWTH ASSUMPTIONS (BASE CASE)</t>
  </si>
  <si>
    <t>Year 1</t>
  </si>
  <si>
    <t>Year 2</t>
  </si>
  <si>
    <t>Year 3</t>
  </si>
  <si>
    <t>Year 4</t>
  </si>
  <si>
    <t>Year 5</t>
  </si>
  <si>
    <t>Annual FCF Growth Rate</t>
  </si>
  <si>
    <t>PROJECTIONS</t>
  </si>
  <si>
    <t>Base FCF</t>
  </si>
  <si>
    <t>Free Cash Flow (M)</t>
  </si>
  <si>
    <t>Discount Factor</t>
  </si>
  <si>
    <t>PV of FCF (M)</t>
  </si>
  <si>
    <t>VALUATION</t>
  </si>
  <si>
    <t>Sum of PV of FCF (M)</t>
  </si>
  <si>
    <t>Terminal FCF  [Year5 × (1+g)]</t>
  </si>
  <si>
    <t>Terminal Value (perpetuity)</t>
  </si>
  <si>
    <t>PV of Terminal Value</t>
  </si>
  <si>
    <t>Enterprise Value (M)</t>
  </si>
  <si>
    <t>Less: Net Debt (M)  [debt − cash]</t>
  </si>
  <si>
    <t>Equity Value (M)</t>
  </si>
  <si>
    <t>INTRINSIC VALUE / SHARE</t>
  </si>
  <si>
    <t>Upside / (Downside) to IV</t>
  </si>
  <si>
    <t>ENTRY PRICE — 15% CAGR Target</t>
  </si>
  <si>
    <t>Terminal Value per Share</t>
  </si>
  <si>
    <t>Entry Price (15% CAGR over 5 years)</t>
  </si>
  <si>
    <t>Current Premium to Entry Price</t>
  </si>
  <si>
    <t>SANITY CHECK (vs FY2025 actuals)</t>
  </si>
  <si>
    <t>FY2025 EPS</t>
  </si>
  <si>
    <t>Historical avg P/E ~22x, max ~31x</t>
  </si>
  <si>
    <t>Implied P/E (IV / EPS)</t>
  </si>
  <si>
    <t>PASS if &lt; 44x (2× historical avg). Result: ~16x</t>
  </si>
  <si>
    <t>FY2025 Book Value / Share</t>
  </si>
  <si>
    <t>Historical avg P/B ~1.83x, max ~2.94x</t>
  </si>
  <si>
    <t>Implied P/B (IV / Book)</t>
  </si>
  <si>
    <t>PASS if &lt; 4.4x (1.5× historical max). Result: ~2.6x</t>
  </si>
  <si>
    <t>FY2025 EBITDA est. (M)</t>
  </si>
  <si>
    <t>Operating income $1,597M + D&amp;A ~$350M</t>
  </si>
  <si>
    <t>Implied EV/EBITDA (base EV / EBITDA)</t>
  </si>
  <si>
    <t>~11x on FY2025; ~8x forward FY2026E. Reasonable.</t>
  </si>
  <si>
    <t>FSLR — Scenario Comparison</t>
  </si>
  <si>
    <t>Base / Bull / Bear cases with independent WACC and growth assumptions</t>
  </si>
  <si>
    <t>Metric</t>
  </si>
  <si>
    <t>BASE CASE</t>
  </si>
  <si>
    <t>BULL CASE</t>
  </si>
  <si>
    <t>BEAR CASE</t>
  </si>
  <si>
    <t>11.0%</t>
  </si>
  <si>
    <t>9.0%</t>
  </si>
  <si>
    <t>13.0%</t>
  </si>
  <si>
    <t>2.5%</t>
  </si>
  <si>
    <t>1.5%</t>
  </si>
  <si>
    <t>FCF Growth Y1</t>
  </si>
  <si>
    <t>15.0%</t>
  </si>
  <si>
    <t>25.0%</t>
  </si>
  <si>
    <t>5.0%</t>
  </si>
  <si>
    <t>FCF Growth Y2</t>
  </si>
  <si>
    <t>20.0%</t>
  </si>
  <si>
    <t>28.0%</t>
  </si>
  <si>
    <t>FCF Growth Y3</t>
  </si>
  <si>
    <t>0.0%</t>
  </si>
  <si>
    <t>FCF Growth Y4</t>
  </si>
  <si>
    <t>8.0%</t>
  </si>
  <si>
    <t>12.0%</t>
  </si>
  <si>
    <t>-5.0%</t>
  </si>
  <si>
    <t>FCF Growth Y5</t>
  </si>
  <si>
    <t>Year 1 FCF (M)</t>
  </si>
  <si>
    <t>Year 2 FCF (M)</t>
  </si>
  <si>
    <t>Year 3 FCF (M)</t>
  </si>
  <si>
    <t>Year 4 FCF (M)</t>
  </si>
  <si>
    <t>Year 5 FCF (M)</t>
  </si>
  <si>
    <t>Sum PV of FCF (M)</t>
  </si>
  <si>
    <t>Terminal Value (M)</t>
  </si>
  <si>
    <t>PV of Terminal Value (M)</t>
  </si>
  <si>
    <t>Less: Net Debt (M)</t>
  </si>
  <si>
    <t>Intrinsic Value / Share</t>
  </si>
  <si>
    <t>Upside / (Downside)</t>
  </si>
  <si>
    <t>1.2%</t>
  </si>
  <si>
    <t>63.0%</t>
  </si>
  <si>
    <t>-48.1%</t>
  </si>
  <si>
    <t>Entry Price @ 15% CAGR</t>
  </si>
  <si>
    <t>PROBABILITY WEIGHTS</t>
  </si>
  <si>
    <t>Weight</t>
  </si>
  <si>
    <t>50%</t>
  </si>
  <si>
    <t>25%</t>
  </si>
  <si>
    <t>Probability-Weighted IV</t>
  </si>
  <si>
    <t>Upside from current:</t>
  </si>
  <si>
    <t>4.3%</t>
  </si>
  <si>
    <t>KEY SCENARIO DRIVERS</t>
  </si>
  <si>
    <t>BASE</t>
  </si>
  <si>
    <t>Contracted backlog ramp (14→17.7 GW US), CuRe adders, 45X preserved to 2032. WACC 11% includes +1.5% 45X policy premium.</t>
  </si>
  <si>
    <t>BULL</t>
  </si>
  <si>
    <t>Strong Section 232 tariffs, ITC patent exclusion order, 45X fully intact, SE Asia capacity utilised via SC finishing facility.</t>
  </si>
  <si>
    <t>BEAR</t>
  </si>
  <si>
    <t>45X erosion (20-30% reduction via legislation), weak 232 outcome, SE Asia write-downs, booking pace fails to recover post-2028.</t>
  </si>
  <si>
    <t>FSLR — Sensitivity Analysis: Intrinsic Value by WACC &amp; Terminal Growth</t>
  </si>
  <si>
    <t>Base case FCF growth rates held constant. Net cash ($2,304.7M) added to equity value in all cells.</t>
  </si>
  <si>
    <t>Current price $224.57 shown in gold. Green = premium to current; Red = discount.</t>
  </si>
  <si>
    <t>WACC \ Term-G</t>
  </si>
  <si>
    <t>Legend:</t>
  </si>
  <si>
    <t>&gt; +15% upside</t>
  </si>
  <si>
    <t>Within ±15%</t>
  </si>
  <si>
    <t>Near current price</t>
  </si>
  <si>
    <t>&gt; 15% discount</t>
  </si>
  <si>
    <t>Base case IV: $227.19 (WACC 11%, TG 2.5%)  |  Current: $224.57 — stock appears approximately fairly valued in base case</t>
  </si>
  <si>
    <t>FORMULA REFERENCE (live recalc from DCF Model inputs)</t>
  </si>
  <si>
    <t>Each cell below recomputes IV using live FCF projections from DCF Model sheet and the row/column WACC/TG.</t>
  </si>
  <si>
    <t>LIVE SENSITIVITY (updates with DCF Model inputs)</t>
  </si>
  <si>
    <t>FSLR — Historical Growth Rates &amp; Context</t>
  </si>
  <si>
    <t>3-Year CAGR</t>
  </si>
  <si>
    <t>5-Year CAGR</t>
  </si>
  <si>
    <t>Revenue</t>
  </si>
  <si>
    <t>EPS</t>
  </si>
  <si>
    <t>N/A (see note)</t>
  </si>
  <si>
    <t>Shareholders Equity</t>
  </si>
  <si>
    <t>FCF</t>
  </si>
  <si>
    <t>Selected Growth Rate (DCF anchor):</t>
  </si>
  <si>
    <t>equity_5yr_cagr</t>
  </si>
  <si>
    <t>Divergence warning:</t>
  </si>
  <si>
    <t>None — all within 30pp threshold</t>
  </si>
  <si>
    <t>NOTES</t>
  </si>
  <si>
    <t>• EPS 3yr CAGR not computed: FY2022 EPS was -$0.41 (negative base year).</t>
  </si>
  <si>
    <t>• FCF 3yr and 5yr CAGRs not computed: FCF was negative FY2016-FY2024 during $5B+ capacity buildout.</t>
  </si>
  <si>
    <t>• Historical median FCF is -$305M and is deliberately NOT used as the DCF base year FCF.</t>
  </si>
  <si>
    <t>• DCF base FCF = $1,200M, reflecting FY2025 post-buildout actuals ($1,187M) and forward normalisation.</t>
  </si>
  <si>
    <t>• 45X manufacturing credits (~$1.6B in FY2025, guided $2.1-2.2B in FY2026) are included in FCF as cash received via tax credit transfers.</t>
  </si>
  <si>
    <t>• WACC premium of +1.5% (base) / +2.5% (bear) applied for 45X legislative single-point-of-failure risk.</t>
  </si>
  <si>
    <t>• Net cash position: -$2,304.7M net debt (i.e., $2,304.7M net cash) adds directly to equity value.</t>
  </si>
  <si>
    <t>SANITY CHECK RESULTS</t>
  </si>
  <si>
    <t>Multiple</t>
  </si>
  <si>
    <t>Value</t>
  </si>
  <si>
    <t>Assessment</t>
  </si>
  <si>
    <t>Implied P/E (base IV / FY2025 EPS)</t>
  </si>
  <si>
    <t>16.0x</t>
  </si>
  <si>
    <t>Hist avg ~22x, max ~31x — PASS (&lt; 44x threshold)</t>
  </si>
  <si>
    <t>Implied P/B (base IV / FY2025 Book)</t>
  </si>
  <si>
    <t>2.56x</t>
  </si>
  <si>
    <t>Hist avg 1.83x, max 2.94x — PASS (&lt; 4.4x threshold)</t>
  </si>
  <si>
    <t>Implied EV/EBITDA (base EV / FY2025 EBITDA)</t>
  </si>
  <si>
    <t>11.3x</t>
  </si>
  <si>
    <t>~8x forward — reasonable for contracted backlog business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</si>
</sst>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FAB1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 applyAlignment="1">
      <alignment horizontal="center"/>
    </xf>
    <xf numFmtId="0" fontId="5" fillId="0" borderId="0" xfId="0" applyFont="1"/>
    <xf numFmtId="166" fontId="4" fillId="4" borderId="2" xfId="0" applyNumberFormat="1" applyFont="1" applyFill="1" applyBorder="1"/>
    <xf numFmtId="165" fontId="4" fillId="4" borderId="2" xfId="0" applyNumberFormat="1" applyFont="1" applyFill="1" applyBorder="1"/>
    <xf numFmtId="166" fontId="0" fillId="0" borderId="2" xfId="0" applyNumberFormat="1" applyBorder="1"/>
    <xf numFmtId="165" fontId="0" fillId="0" borderId="2" xfId="0" applyNumberFormat="1" applyBorder="1"/>
    <xf numFmtId="0" fontId="4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166" fontId="5" fillId="7" borderId="2" xfId="0" applyNumberFormat="1" applyFon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5" fillId="8" borderId="2" xfId="0" applyNumberFormat="1" applyFont="1" applyFill="1" applyBorder="1" applyAlignment="1">
      <alignment horizontal="center"/>
    </xf>
    <xf numFmtId="166" fontId="5" fillId="9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cols>
    <col min="1" max="1" width="30.7109375" customWidth="1"/>
    <col min="2" max="2" width="18.7109375" customWidth="1"/>
    <col min="3" max="7" width="14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2" t="s">
        <v>2</v>
      </c>
    </row>
    <row r="5" spans="1:6">
      <c r="A5" s="3" t="s">
        <v>3</v>
      </c>
    </row>
    <row r="6" spans="1:6">
      <c r="A6" t="s">
        <v>4</v>
      </c>
      <c r="B6" s="4">
        <v>224.57</v>
      </c>
      <c r="C6" s="2" t="s">
        <v>5</v>
      </c>
    </row>
    <row r="7" spans="1:6">
      <c r="A7" t="s">
        <v>6</v>
      </c>
      <c r="B7" s="4">
        <v>107.3</v>
      </c>
    </row>
    <row r="8" spans="1:6">
      <c r="A8" t="s">
        <v>7</v>
      </c>
      <c r="B8" s="4">
        <v>2803.5</v>
      </c>
    </row>
    <row r="9" spans="1:6">
      <c r="A9" t="s">
        <v>8</v>
      </c>
      <c r="B9" s="4">
        <v>498.8</v>
      </c>
      <c r="C9" s="2" t="s">
        <v>9</v>
      </c>
    </row>
    <row r="10" spans="1:6">
      <c r="A10" t="s">
        <v>10</v>
      </c>
      <c r="B10" s="5">
        <f>B9-B8</f>
        <v>0</v>
      </c>
    </row>
    <row r="11" spans="1:6">
      <c r="A11" t="s">
        <v>11</v>
      </c>
      <c r="B11" s="4">
        <v>1200</v>
      </c>
      <c r="C11" s="2" t="s">
        <v>12</v>
      </c>
    </row>
    <row r="12" spans="1:6">
      <c r="A12" t="s">
        <v>13</v>
      </c>
      <c r="B12" s="6">
        <v>0.11</v>
      </c>
      <c r="C12" s="2" t="s">
        <v>14</v>
      </c>
    </row>
    <row r="13" spans="1:6">
      <c r="A13" t="s">
        <v>15</v>
      </c>
      <c r="B13" s="6">
        <v>0.025</v>
      </c>
      <c r="C13" s="2" t="s">
        <v>16</v>
      </c>
    </row>
    <row r="15" spans="1:6">
      <c r="A15" s="3" t="s">
        <v>17</v>
      </c>
    </row>
    <row r="16" spans="1:6">
      <c r="B16" s="7" t="s">
        <v>18</v>
      </c>
      <c r="C16" s="7" t="s">
        <v>19</v>
      </c>
      <c r="D16" s="7" t="s">
        <v>20</v>
      </c>
      <c r="E16" s="7" t="s">
        <v>21</v>
      </c>
      <c r="F16" s="7" t="s">
        <v>22</v>
      </c>
    </row>
    <row r="17" spans="1:7">
      <c r="A17" s="8" t="s">
        <v>23</v>
      </c>
      <c r="B17" s="6">
        <v>0.15</v>
      </c>
      <c r="C17" s="6">
        <v>0.2</v>
      </c>
      <c r="D17" s="6">
        <v>0.15</v>
      </c>
      <c r="E17" s="6">
        <v>0.08</v>
      </c>
      <c r="F17" s="6">
        <v>0.05</v>
      </c>
    </row>
    <row r="19" spans="1:7">
      <c r="A19" s="3" t="s">
        <v>24</v>
      </c>
    </row>
    <row r="20" spans="1:7">
      <c r="A20" s="7"/>
      <c r="B20" s="7" t="s">
        <v>25</v>
      </c>
      <c r="C20" s="7" t="s">
        <v>18</v>
      </c>
      <c r="D20" s="7" t="s">
        <v>19</v>
      </c>
      <c r="E20" s="7" t="s">
        <v>20</v>
      </c>
      <c r="F20" s="7" t="s">
        <v>21</v>
      </c>
      <c r="G20" s="7" t="s">
        <v>22</v>
      </c>
    </row>
    <row r="21" spans="1:7">
      <c r="A21" s="8" t="s">
        <v>26</v>
      </c>
      <c r="B21" s="5">
        <f>B11</f>
        <v>0</v>
      </c>
      <c r="C21" s="5">
        <f>B21*(1+B17)</f>
        <v>0</v>
      </c>
      <c r="D21" s="5">
        <f>C21*(1+C17)</f>
        <v>0</v>
      </c>
      <c r="E21" s="5">
        <f>D21*(1+D17)</f>
        <v>0</v>
      </c>
      <c r="F21" s="5">
        <f>E21*(1+E17)</f>
        <v>0</v>
      </c>
      <c r="G21" s="5">
        <f>F21*(1+F17)</f>
        <v>0</v>
      </c>
    </row>
    <row r="22" spans="1:7">
      <c r="A22" s="8" t="s">
        <v>27</v>
      </c>
      <c r="C22" s="5">
        <f>1/(1+$B$12)^1</f>
        <v>0</v>
      </c>
      <c r="D22" s="5">
        <f>1/(1+$B$12)^2</f>
        <v>0</v>
      </c>
      <c r="E22" s="5">
        <f>1/(1+$B$12)^3</f>
        <v>0</v>
      </c>
      <c r="F22" s="5">
        <f>1/(1+$B$12)^4</f>
        <v>0</v>
      </c>
      <c r="G22" s="5">
        <f>1/(1+$B$12)^5</f>
        <v>0</v>
      </c>
    </row>
    <row r="23" spans="1:7">
      <c r="A23" s="8" t="s">
        <v>28</v>
      </c>
      <c r="C23" s="5">
        <f>C21*C22</f>
        <v>0</v>
      </c>
      <c r="D23" s="5">
        <f>D21*D22</f>
        <v>0</v>
      </c>
      <c r="E23" s="5">
        <f>E21*E22</f>
        <v>0</v>
      </c>
      <c r="F23" s="5">
        <f>F21*F22</f>
        <v>0</v>
      </c>
      <c r="G23" s="5">
        <f>G21*G22</f>
        <v>0</v>
      </c>
    </row>
    <row r="25" spans="1:7">
      <c r="A25" s="3" t="s">
        <v>29</v>
      </c>
    </row>
    <row r="26" spans="1:7">
      <c r="A26" t="s">
        <v>30</v>
      </c>
      <c r="B26" s="5">
        <f>SUM(C23:G23)</f>
        <v>0</v>
      </c>
    </row>
    <row r="27" spans="1:7">
      <c r="A27" t="s">
        <v>31</v>
      </c>
      <c r="B27" s="5">
        <f>G21*(1+$B$13)</f>
        <v>0</v>
      </c>
    </row>
    <row r="28" spans="1:7">
      <c r="A28" t="s">
        <v>32</v>
      </c>
      <c r="B28" s="5">
        <f>B27/(  $B$12-$B$13)</f>
        <v>0</v>
      </c>
    </row>
    <row r="29" spans="1:7">
      <c r="A29" t="s">
        <v>33</v>
      </c>
      <c r="B29" s="5">
        <f>B28*G22</f>
        <v>0</v>
      </c>
    </row>
    <row r="30" spans="1:7">
      <c r="A30" t="s">
        <v>34</v>
      </c>
      <c r="B30" s="5">
        <f>B26+B29</f>
        <v>0</v>
      </c>
    </row>
    <row r="31" spans="1:7">
      <c r="A31" t="s">
        <v>35</v>
      </c>
      <c r="B31" s="5">
        <f>B10</f>
        <v>0</v>
      </c>
    </row>
    <row r="32" spans="1:7">
      <c r="A32" t="s">
        <v>36</v>
      </c>
      <c r="B32" s="5">
        <f>B30-B31</f>
        <v>0</v>
      </c>
    </row>
    <row r="33" spans="1:3">
      <c r="A33" s="8" t="s">
        <v>37</v>
      </c>
      <c r="B33" s="9">
        <f>B32/B7</f>
        <v>0</v>
      </c>
    </row>
    <row r="34" spans="1:3">
      <c r="A34" t="s">
        <v>38</v>
      </c>
      <c r="B34" s="10">
        <f>(B33-B6)/B6</f>
        <v>0</v>
      </c>
    </row>
    <row r="36" spans="1:3">
      <c r="A36" s="3" t="s">
        <v>39</v>
      </c>
    </row>
    <row r="37" spans="1:3">
      <c r="A37" t="s">
        <v>40</v>
      </c>
      <c r="B37" s="11">
        <f>B28/B7</f>
        <v>0</v>
      </c>
    </row>
    <row r="38" spans="1:3">
      <c r="A38" t="s">
        <v>41</v>
      </c>
      <c r="B38" s="9">
        <f>B37/(1.15^5)</f>
        <v>0</v>
      </c>
    </row>
    <row r="39" spans="1:3">
      <c r="A39" t="s">
        <v>42</v>
      </c>
      <c r="B39" s="12">
        <f>(B6-B38)/B6</f>
        <v>0</v>
      </c>
    </row>
    <row r="41" spans="1:3">
      <c r="A41" s="3" t="s">
        <v>43</v>
      </c>
    </row>
    <row r="42" spans="1:3">
      <c r="A42" s="8" t="s">
        <v>44</v>
      </c>
      <c r="B42" s="5">
        <v>14.21</v>
      </c>
      <c r="C42" s="2" t="s">
        <v>45</v>
      </c>
    </row>
    <row r="43" spans="1:3">
      <c r="A43" t="s">
        <v>46</v>
      </c>
      <c r="B43" s="5">
        <f>B33/B41</f>
        <v>0</v>
      </c>
      <c r="C43" s="2" t="s">
        <v>47</v>
      </c>
    </row>
    <row r="44" spans="1:3">
      <c r="A44" s="8" t="s">
        <v>48</v>
      </c>
      <c r="B44" s="5">
        <v>88.89</v>
      </c>
      <c r="C44" s="2" t="s">
        <v>49</v>
      </c>
    </row>
    <row r="45" spans="1:3">
      <c r="A45" t="s">
        <v>50</v>
      </c>
      <c r="B45" s="5">
        <f>B33/B43</f>
        <v>0</v>
      </c>
      <c r="C45" s="2" t="s">
        <v>51</v>
      </c>
    </row>
    <row r="46" spans="1:3">
      <c r="A46" s="8" t="s">
        <v>52</v>
      </c>
      <c r="B46" s="5">
        <v>1947</v>
      </c>
      <c r="C46" s="2" t="s">
        <v>53</v>
      </c>
    </row>
    <row r="47" spans="1:3">
      <c r="A47" t="s">
        <v>54</v>
      </c>
      <c r="B47" s="5">
        <f>B30/B45</f>
        <v>0</v>
      </c>
      <c r="C47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30.7109375" customWidth="1"/>
    <col min="2" max="4" width="16.7109375" customWidth="1"/>
  </cols>
  <sheetData>
    <row r="1" spans="1:4">
      <c r="A1" s="1" t="s">
        <v>56</v>
      </c>
    </row>
    <row r="2" spans="1:4">
      <c r="A2" s="2" t="s">
        <v>57</v>
      </c>
    </row>
    <row r="4" spans="1:4">
      <c r="A4" s="7" t="s">
        <v>58</v>
      </c>
      <c r="B4" s="13" t="s">
        <v>59</v>
      </c>
      <c r="C4" s="14" t="s">
        <v>60</v>
      </c>
      <c r="D4" s="15" t="s">
        <v>61</v>
      </c>
    </row>
    <row r="5" spans="1:4">
      <c r="A5" t="s">
        <v>81</v>
      </c>
      <c r="B5" s="5">
        <v>1380</v>
      </c>
      <c r="C5" s="5">
        <v>1500</v>
      </c>
      <c r="D5" s="5">
        <v>1260</v>
      </c>
    </row>
    <row r="6" spans="1:4">
      <c r="A6" t="s">
        <v>82</v>
      </c>
      <c r="B6" s="5">
        <v>1656</v>
      </c>
      <c r="C6" s="5">
        <v>1920</v>
      </c>
      <c r="D6" s="5">
        <v>1323</v>
      </c>
    </row>
    <row r="7" spans="1:4">
      <c r="A7" t="s">
        <v>83</v>
      </c>
      <c r="B7" s="5">
        <v>1904.4</v>
      </c>
      <c r="C7" s="5">
        <v>2304</v>
      </c>
      <c r="D7" s="5">
        <v>1323</v>
      </c>
    </row>
    <row r="8" spans="1:4">
      <c r="A8" t="s">
        <v>84</v>
      </c>
      <c r="B8" s="5">
        <v>2056.8</v>
      </c>
      <c r="C8" s="5">
        <v>2580.5</v>
      </c>
      <c r="D8" s="5">
        <v>1256.9</v>
      </c>
    </row>
    <row r="9" spans="1:4">
      <c r="A9" t="s">
        <v>85</v>
      </c>
      <c r="B9" s="5">
        <v>2159.6</v>
      </c>
      <c r="C9" s="5">
        <v>2786.9</v>
      </c>
      <c r="D9" s="5">
        <v>1194</v>
      </c>
    </row>
    <row r="10" spans="1:4">
      <c r="A10" t="s">
        <v>86</v>
      </c>
      <c r="B10" s="5">
        <v>6616.2</v>
      </c>
      <c r="C10" s="5">
        <v>8410.5</v>
      </c>
      <c r="D10" s="5">
        <v>4487</v>
      </c>
    </row>
    <row r="11" spans="1:4">
      <c r="A11" t="s">
        <v>87</v>
      </c>
      <c r="B11" s="5">
        <v>26042.2</v>
      </c>
      <c r="C11" s="5">
        <v>43947.3</v>
      </c>
      <c r="D11" s="5">
        <v>10538.3</v>
      </c>
    </row>
    <row r="12" spans="1:4">
      <c r="A12" t="s">
        <v>88</v>
      </c>
      <c r="B12" s="5">
        <v>15456.1</v>
      </c>
      <c r="C12" s="5">
        <v>28561.3</v>
      </c>
      <c r="D12" s="5">
        <v>5720.2</v>
      </c>
    </row>
    <row r="13" spans="1:4">
      <c r="A13" t="s">
        <v>34</v>
      </c>
      <c r="B13" s="5">
        <v>22072.3</v>
      </c>
      <c r="C13" s="5">
        <v>36971.8</v>
      </c>
      <c r="D13" s="5">
        <v>10207.2</v>
      </c>
    </row>
    <row r="14" spans="1:4">
      <c r="A14" t="s">
        <v>89</v>
      </c>
      <c r="B14" s="5">
        <v>-2304.7</v>
      </c>
      <c r="C14" s="5">
        <v>-2304.7</v>
      </c>
      <c r="D14" s="5">
        <v>-2304.7</v>
      </c>
    </row>
    <row r="15" spans="1:4">
      <c r="A15" t="s">
        <v>36</v>
      </c>
      <c r="B15" s="5">
        <v>24377</v>
      </c>
      <c r="C15" s="5">
        <v>39276.5</v>
      </c>
      <c r="D15" s="5">
        <v>12511.9</v>
      </c>
    </row>
    <row r="16" spans="1:4">
      <c r="A16" s="8" t="s">
        <v>90</v>
      </c>
      <c r="B16" s="9">
        <v>227.19</v>
      </c>
      <c r="C16" s="9">
        <v>366.04</v>
      </c>
      <c r="D16" s="9">
        <v>116.61</v>
      </c>
    </row>
    <row r="17" spans="1:4">
      <c r="A17" t="s">
        <v>91</v>
      </c>
      <c r="B17" t="s">
        <v>92</v>
      </c>
      <c r="C17" t="s">
        <v>93</v>
      </c>
      <c r="D17" t="s">
        <v>94</v>
      </c>
    </row>
    <row r="18" spans="1:4">
      <c r="A18" t="s">
        <v>95</v>
      </c>
      <c r="B18" s="5">
        <v>120.67</v>
      </c>
      <c r="C18" s="5">
        <v>203.63</v>
      </c>
      <c r="D18" s="5">
        <v>48.83</v>
      </c>
    </row>
    <row r="21" spans="1:4">
      <c r="A21" s="3" t="s">
        <v>96</v>
      </c>
    </row>
    <row r="22" spans="1:4">
      <c r="A22" t="s">
        <v>97</v>
      </c>
      <c r="B22" t="s">
        <v>98</v>
      </c>
      <c r="C22" t="s">
        <v>99</v>
      </c>
      <c r="D22" t="s">
        <v>99</v>
      </c>
    </row>
    <row r="23" spans="1:4">
      <c r="A23" s="8" t="s">
        <v>100</v>
      </c>
      <c r="B23" s="9">
        <v>234.26</v>
      </c>
      <c r="C23" s="8" t="s">
        <v>101</v>
      </c>
      <c r="D23" t="s">
        <v>102</v>
      </c>
    </row>
    <row r="25" spans="1:4">
      <c r="A25" s="3" t="s">
        <v>103</v>
      </c>
    </row>
    <row r="26" spans="1:4">
      <c r="A26" s="8" t="s">
        <v>104</v>
      </c>
      <c r="B26" s="2" t="s">
        <v>105</v>
      </c>
      <c r="C26" s="2"/>
      <c r="D26" s="2"/>
    </row>
    <row r="27" spans="1:4">
      <c r="A27" s="8" t="s">
        <v>106</v>
      </c>
      <c r="B27" s="2" t="s">
        <v>107</v>
      </c>
      <c r="C27" s="2"/>
      <c r="D27" s="2"/>
    </row>
    <row r="28" spans="1:4">
      <c r="A28" s="8" t="s">
        <v>108</v>
      </c>
      <c r="B28" s="2" t="s">
        <v>109</v>
      </c>
      <c r="C28" s="2"/>
      <c r="D28" s="2"/>
    </row>
  </sheetData>
  <mergeCells count="3">
    <mergeCell ref="B26:D26"/>
    <mergeCell ref="B27:D27"/>
    <mergeCell ref="B28:D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6" width="14.7109375" customWidth="1"/>
  </cols>
  <sheetData>
    <row r="1" spans="1:6">
      <c r="A1" s="1" t="s">
        <v>110</v>
      </c>
    </row>
    <row r="2" spans="1:6">
      <c r="A2" s="2" t="s">
        <v>111</v>
      </c>
    </row>
    <row r="3" spans="1:6">
      <c r="A3" s="2" t="s">
        <v>112</v>
      </c>
    </row>
    <row r="5" spans="1:6">
      <c r="A5" s="7" t="s">
        <v>113</v>
      </c>
      <c r="B5" s="16">
        <v>0.015</v>
      </c>
      <c r="C5" s="16">
        <v>0.02</v>
      </c>
      <c r="D5" s="16">
        <v>0.025</v>
      </c>
      <c r="E5" s="16">
        <v>0.03</v>
      </c>
      <c r="F5" s="16">
        <v>0.035</v>
      </c>
    </row>
    <row r="6" spans="1:6">
      <c r="A6" s="16">
        <v>0.08</v>
      </c>
      <c r="B6" s="17">
        <v>302.4</v>
      </c>
      <c r="C6" s="17">
        <v>321.4</v>
      </c>
      <c r="D6" s="17">
        <v>343.8</v>
      </c>
      <c r="E6" s="17">
        <v>370.7</v>
      </c>
      <c r="F6" s="17">
        <v>403.6</v>
      </c>
    </row>
    <row r="7" spans="1:6">
      <c r="A7" s="16">
        <v>0.09</v>
      </c>
      <c r="B7" s="17">
        <v>263.6</v>
      </c>
      <c r="C7" s="17">
        <v>277.2</v>
      </c>
      <c r="D7" s="17">
        <v>292.9</v>
      </c>
      <c r="E7" s="17">
        <v>311.2</v>
      </c>
      <c r="F7" s="17">
        <v>332.8</v>
      </c>
    </row>
    <row r="8" spans="1:6">
      <c r="A8" s="16">
        <v>0.1</v>
      </c>
      <c r="B8" s="18">
        <v>234.1</v>
      </c>
      <c r="C8" s="18">
        <v>244.2</v>
      </c>
      <c r="D8" s="18">
        <v>255.6</v>
      </c>
      <c r="E8" s="17">
        <v>268.7</v>
      </c>
      <c r="F8" s="17">
        <v>283.8</v>
      </c>
    </row>
    <row r="9" spans="1:6">
      <c r="A9" s="16">
        <v>0.11</v>
      </c>
      <c r="B9" s="18">
        <v>210.8</v>
      </c>
      <c r="C9" s="18">
        <v>218.5</v>
      </c>
      <c r="D9" s="19">
        <v>227.2</v>
      </c>
      <c r="E9" s="18">
        <v>236.9</v>
      </c>
      <c r="F9" s="18">
        <v>248</v>
      </c>
    </row>
    <row r="10" spans="1:6">
      <c r="A10" s="16">
        <v>0.12</v>
      </c>
      <c r="B10" s="18">
        <v>191.9</v>
      </c>
      <c r="C10" s="18">
        <v>198</v>
      </c>
      <c r="D10" s="18">
        <v>204.7</v>
      </c>
      <c r="E10" s="18">
        <v>212.2</v>
      </c>
      <c r="F10" s="19">
        <v>220.6</v>
      </c>
    </row>
    <row r="13" spans="1:6">
      <c r="A13" s="8" t="s">
        <v>114</v>
      </c>
      <c r="B13" s="17" t="s">
        <v>115</v>
      </c>
      <c r="C13" s="18" t="s">
        <v>116</v>
      </c>
      <c r="D13" s="19" t="s">
        <v>117</v>
      </c>
      <c r="E13" s="20" t="s">
        <v>118</v>
      </c>
    </row>
    <row r="15" spans="1:6">
      <c r="A15" s="2" t="s">
        <v>119</v>
      </c>
      <c r="B15" s="2"/>
      <c r="C15" s="2"/>
      <c r="D15" s="2"/>
      <c r="E15" s="2"/>
      <c r="F15" s="2"/>
    </row>
    <row r="17" spans="1:6">
      <c r="A17" s="3" t="s">
        <v>120</v>
      </c>
    </row>
    <row r="18" spans="1:6">
      <c r="A18" s="2" t="s">
        <v>121</v>
      </c>
      <c r="B18" s="2"/>
      <c r="C18" s="2"/>
      <c r="D18" s="2"/>
      <c r="E18" s="2"/>
      <c r="F18" s="2"/>
    </row>
    <row r="20" spans="1:6">
      <c r="A20" s="3" t="s">
        <v>122</v>
      </c>
    </row>
    <row r="21" spans="1:6">
      <c r="A21" s="7" t="s">
        <v>113</v>
      </c>
      <c r="B21" s="16">
        <v>0.015</v>
      </c>
      <c r="C21" s="16">
        <v>0.02</v>
      </c>
      <c r="D21" s="16">
        <v>0.025</v>
      </c>
      <c r="E21" s="16">
        <v>0.03</v>
      </c>
      <c r="F21" s="16">
        <v>0.035</v>
      </c>
    </row>
    <row r="22" spans="1:6">
      <c r="A22" s="16">
        <v>0.08</v>
      </c>
      <c r="B22" s="17">
        <f>('DCF Model'!C21/(1+0.08)^1 + 'DCF Model'!D21/(1+0.08)^2 + 'DCF Model'!E21/(1+0.08)^3 + 'DCF Model'!F21/(1+0.08)^4 + 'DCF Model'!G21/(1+0.08)^5 + ('DCF Model'!G21*(1+0.015)/(0.08-0.015))/(1+0.08)^5 - 'DCF Model'!B10) / 'DCF Model'!B7</f>
        <v>0</v>
      </c>
      <c r="C22" s="17">
        <f>('DCF Model'!C21/(1+0.08)^1 + 'DCF Model'!D21/(1+0.08)^2 + 'DCF Model'!E21/(1+0.08)^3 + 'DCF Model'!F21/(1+0.08)^4 + 'DCF Model'!G21/(1+0.08)^5 + ('DCF Model'!G21*(1+0.02)/(0.08-0.02))/(1+0.08)^5 - 'DCF Model'!B10) / 'DCF Model'!B7</f>
        <v>0</v>
      </c>
      <c r="D22" s="17">
        <f>('DCF Model'!C21/(1+0.08)^1 + 'DCF Model'!D21/(1+0.08)^2 + 'DCF Model'!E21/(1+0.08)^3 + 'DCF Model'!F21/(1+0.08)^4 + 'DCF Model'!G21/(1+0.08)^5 + ('DCF Model'!G21*(1+0.025)/(0.08-0.025))/(1+0.08)^5 - 'DCF Model'!B10) / 'DCF Model'!B7</f>
        <v>0</v>
      </c>
      <c r="E22" s="17">
        <f>('DCF Model'!C21/(1+0.08)^1 + 'DCF Model'!D21/(1+0.08)^2 + 'DCF Model'!E21/(1+0.08)^3 + 'DCF Model'!F21/(1+0.08)^4 + 'DCF Model'!G21/(1+0.08)^5 + ('DCF Model'!G21*(1+0.03)/(0.08-0.03))/(1+0.08)^5 - 'DCF Model'!B10) / 'DCF Model'!B7</f>
        <v>0</v>
      </c>
      <c r="F22" s="17">
        <f>('DCF Model'!C21/(1+0.08)^1 + 'DCF Model'!D21/(1+0.08)^2 + 'DCF Model'!E21/(1+0.08)^3 + 'DCF Model'!F21/(1+0.08)^4 + 'DCF Model'!G21/(1+0.08)^5 + ('DCF Model'!G21*(1+0.035)/(0.08-0.035))/(1+0.08)^5 - 'DCF Model'!B10) / 'DCF Model'!B7</f>
        <v>0</v>
      </c>
    </row>
    <row r="23" spans="1:6">
      <c r="A23" s="16">
        <v>0.09</v>
      </c>
      <c r="B23" s="17">
        <f>('DCF Model'!C21/(1+0.09)^1 + 'DCF Model'!D21/(1+0.09)^2 + 'DCF Model'!E21/(1+0.09)^3 + 'DCF Model'!F21/(1+0.09)^4 + 'DCF Model'!G21/(1+0.09)^5 + ('DCF Model'!G21*(1+0.015)/(0.09-0.015))/(1+0.09)^5 - 'DCF Model'!B10) / 'DCF Model'!B7</f>
        <v>0</v>
      </c>
      <c r="C23" s="17">
        <f>('DCF Model'!C21/(1+0.09)^1 + 'DCF Model'!D21/(1+0.09)^2 + 'DCF Model'!E21/(1+0.09)^3 + 'DCF Model'!F21/(1+0.09)^4 + 'DCF Model'!G21/(1+0.09)^5 + ('DCF Model'!G21*(1+0.02)/(0.09-0.02))/(1+0.09)^5 - 'DCF Model'!B10) / 'DCF Model'!B7</f>
        <v>0</v>
      </c>
      <c r="D23" s="17">
        <f>('DCF Model'!C21/(1+0.09)^1 + 'DCF Model'!D21/(1+0.09)^2 + 'DCF Model'!E21/(1+0.09)^3 + 'DCF Model'!F21/(1+0.09)^4 + 'DCF Model'!G21/(1+0.09)^5 + ('DCF Model'!G21*(1+0.025)/(0.09-0.025))/(1+0.09)^5 - 'DCF Model'!B10) / 'DCF Model'!B7</f>
        <v>0</v>
      </c>
      <c r="E23" s="17">
        <f>('DCF Model'!C21/(1+0.09)^1 + 'DCF Model'!D21/(1+0.09)^2 + 'DCF Model'!E21/(1+0.09)^3 + 'DCF Model'!F21/(1+0.09)^4 + 'DCF Model'!G21/(1+0.09)^5 + ('DCF Model'!G21*(1+0.03)/(0.09-0.03))/(1+0.09)^5 - 'DCF Model'!B10) / 'DCF Model'!B7</f>
        <v>0</v>
      </c>
      <c r="F23" s="17">
        <f>('DCF Model'!C21/(1+0.09)^1 + 'DCF Model'!D21/(1+0.09)^2 + 'DCF Model'!E21/(1+0.09)^3 + 'DCF Model'!F21/(1+0.09)^4 + 'DCF Model'!G21/(1+0.09)^5 + ('DCF Model'!G21*(1+0.035)/(0.09-0.035))/(1+0.09)^5 - 'DCF Model'!B10) / 'DCF Model'!B7</f>
        <v>0</v>
      </c>
    </row>
    <row r="24" spans="1:6">
      <c r="A24" s="16">
        <v>0.1</v>
      </c>
      <c r="B24" s="18">
        <f>('DCF Model'!C21/(1+0.1)^1 + 'DCF Model'!D21/(1+0.1)^2 + 'DCF Model'!E21/(1+0.1)^3 + 'DCF Model'!F21/(1+0.1)^4 + 'DCF Model'!G21/(1+0.1)^5 + ('DCF Model'!G21*(1+0.015)/(0.1-0.015))/(1+0.1)^5 - 'DCF Model'!B10) / 'DCF Model'!B7</f>
        <v>0</v>
      </c>
      <c r="C24" s="18">
        <f>('DCF Model'!C21/(1+0.1)^1 + 'DCF Model'!D21/(1+0.1)^2 + 'DCF Model'!E21/(1+0.1)^3 + 'DCF Model'!F21/(1+0.1)^4 + 'DCF Model'!G21/(1+0.1)^5 + ('DCF Model'!G21*(1+0.02)/(0.1-0.02))/(1+0.1)^5 - 'DCF Model'!B10) / 'DCF Model'!B7</f>
        <v>0</v>
      </c>
      <c r="D24" s="18">
        <f>('DCF Model'!C21/(1+0.1)^1 + 'DCF Model'!D21/(1+0.1)^2 + 'DCF Model'!E21/(1+0.1)^3 + 'DCF Model'!F21/(1+0.1)^4 + 'DCF Model'!G21/(1+0.1)^5 + ('DCF Model'!G21*(1+0.025)/(0.1-0.025))/(1+0.1)^5 - 'DCF Model'!B10) / 'DCF Model'!B7</f>
        <v>0</v>
      </c>
      <c r="E24" s="17">
        <f>('DCF Model'!C21/(1+0.1)^1 + 'DCF Model'!D21/(1+0.1)^2 + 'DCF Model'!E21/(1+0.1)^3 + 'DCF Model'!F21/(1+0.1)^4 + 'DCF Model'!G21/(1+0.1)^5 + ('DCF Model'!G21*(1+0.03)/(0.1-0.03))/(1+0.1)^5 - 'DCF Model'!B10) / 'DCF Model'!B7</f>
        <v>0</v>
      </c>
      <c r="F24" s="17">
        <f>('DCF Model'!C21/(1+0.1)^1 + 'DCF Model'!D21/(1+0.1)^2 + 'DCF Model'!E21/(1+0.1)^3 + 'DCF Model'!F21/(1+0.1)^4 + 'DCF Model'!G21/(1+0.1)^5 + ('DCF Model'!G21*(1+0.035)/(0.1-0.035))/(1+0.1)^5 - 'DCF Model'!B10) / 'DCF Model'!B7</f>
        <v>0</v>
      </c>
    </row>
    <row r="25" spans="1:6">
      <c r="A25" s="16">
        <v>0.11</v>
      </c>
      <c r="B25" s="18">
        <f>('DCF Model'!C21/(1+0.11)^1 + 'DCF Model'!D21/(1+0.11)^2 + 'DCF Model'!E21/(1+0.11)^3 + 'DCF Model'!F21/(1+0.11)^4 + 'DCF Model'!G21/(1+0.11)^5 + ('DCF Model'!G21*(1+0.015)/(0.11-0.015))/(1+0.11)^5 - 'DCF Model'!B10) / 'DCF Model'!B7</f>
        <v>0</v>
      </c>
      <c r="C25" s="18">
        <f>('DCF Model'!C21/(1+0.11)^1 + 'DCF Model'!D21/(1+0.11)^2 + 'DCF Model'!E21/(1+0.11)^3 + 'DCF Model'!F21/(1+0.11)^4 + 'DCF Model'!G21/(1+0.11)^5 + ('DCF Model'!G21*(1+0.02)/(0.11-0.02))/(1+0.11)^5 - 'DCF Model'!B10) / 'DCF Model'!B7</f>
        <v>0</v>
      </c>
      <c r="D25" s="19">
        <f>('DCF Model'!C21/(1+0.11)^1 + 'DCF Model'!D21/(1+0.11)^2 + 'DCF Model'!E21/(1+0.11)^3 + 'DCF Model'!F21/(1+0.11)^4 + 'DCF Model'!G21/(1+0.11)^5 + ('DCF Model'!G21*(1+0.025)/(0.11-0.025))/(1+0.11)^5 - 'DCF Model'!B10) / 'DCF Model'!B7</f>
        <v>0</v>
      </c>
      <c r="E25" s="18">
        <f>('DCF Model'!C21/(1+0.11)^1 + 'DCF Model'!D21/(1+0.11)^2 + 'DCF Model'!E21/(1+0.11)^3 + 'DCF Model'!F21/(1+0.11)^4 + 'DCF Model'!G21/(1+0.11)^5 + ('DCF Model'!G21*(1+0.03)/(0.11-0.03))/(1+0.11)^5 - 'DCF Model'!B10) / 'DCF Model'!B7</f>
        <v>0</v>
      </c>
      <c r="F25" s="18">
        <f>('DCF Model'!C21/(1+0.11)^1 + 'DCF Model'!D21/(1+0.11)^2 + 'DCF Model'!E21/(1+0.11)^3 + 'DCF Model'!F21/(1+0.11)^4 + 'DCF Model'!G21/(1+0.11)^5 + ('DCF Model'!G21*(1+0.035)/(0.11-0.035))/(1+0.11)^5 - 'DCF Model'!B10) / 'DCF Model'!B7</f>
        <v>0</v>
      </c>
    </row>
    <row r="26" spans="1:6">
      <c r="A26" s="16">
        <v>0.12</v>
      </c>
      <c r="B26" s="18">
        <f>('DCF Model'!C21/(1+0.12)^1 + 'DCF Model'!D21/(1+0.12)^2 + 'DCF Model'!E21/(1+0.12)^3 + 'DCF Model'!F21/(1+0.12)^4 + 'DCF Model'!G21/(1+0.12)^5 + ('DCF Model'!G21*(1+0.015)/(0.12-0.015))/(1+0.12)^5 - 'DCF Model'!B10) / 'DCF Model'!B7</f>
        <v>0</v>
      </c>
      <c r="C26" s="18">
        <f>('DCF Model'!C21/(1+0.12)^1 + 'DCF Model'!D21/(1+0.12)^2 + 'DCF Model'!E21/(1+0.12)^3 + 'DCF Model'!F21/(1+0.12)^4 + 'DCF Model'!G21/(1+0.12)^5 + ('DCF Model'!G21*(1+0.02)/(0.12-0.02))/(1+0.12)^5 - 'DCF Model'!B10) / 'DCF Model'!B7</f>
        <v>0</v>
      </c>
      <c r="D26" s="18">
        <f>('DCF Model'!C21/(1+0.12)^1 + 'DCF Model'!D21/(1+0.12)^2 + 'DCF Model'!E21/(1+0.12)^3 + 'DCF Model'!F21/(1+0.12)^4 + 'DCF Model'!G21/(1+0.12)^5 + ('DCF Model'!G21*(1+0.025)/(0.12-0.025))/(1+0.12)^5 - 'DCF Model'!B10) / 'DCF Model'!B7</f>
        <v>0</v>
      </c>
      <c r="E26" s="18">
        <f>('DCF Model'!C21/(1+0.12)^1 + 'DCF Model'!D21/(1+0.12)^2 + 'DCF Model'!E21/(1+0.12)^3 + 'DCF Model'!F21/(1+0.12)^4 + 'DCF Model'!G21/(1+0.12)^5 + ('DCF Model'!G21*(1+0.03)/(0.12-0.03))/(1+0.12)^5 - 'DCF Model'!B10) / 'DCF Model'!B7</f>
        <v>0</v>
      </c>
      <c r="F26" s="19">
        <f>('DCF Model'!C21/(1+0.12)^1 + 'DCF Model'!D21/(1+0.12)^2 + 'DCF Model'!E21/(1+0.12)^3 + 'DCF Model'!F21/(1+0.12)^4 + 'DCF Model'!G21/(1+0.12)^5 + ('DCF Model'!G21*(1+0.035)/(0.12-0.035))/(1+0.12)^5 - 'DCF Model'!B10) / 'DCF Model'!B7</f>
        <v>0</v>
      </c>
    </row>
  </sheetData>
  <mergeCells count="2">
    <mergeCell ref="A15:F15"/>
    <mergeCell ref="A18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25.7109375" customWidth="1"/>
    <col min="2" max="3" width="14.7109375" customWidth="1"/>
  </cols>
  <sheetData>
    <row r="1" spans="1:4">
      <c r="A1" s="1" t="s">
        <v>123</v>
      </c>
    </row>
    <row r="3" spans="1:4">
      <c r="A3" s="7" t="s">
        <v>58</v>
      </c>
      <c r="B3" s="7" t="s">
        <v>124</v>
      </c>
      <c r="C3" s="7" t="s">
        <v>125</v>
      </c>
    </row>
    <row r="4" spans="1:4">
      <c r="A4" t="s">
        <v>126</v>
      </c>
      <c r="B4" s="12">
        <v>0.2584</v>
      </c>
      <c r="C4" s="12">
        <v>0.14</v>
      </c>
    </row>
    <row r="5" spans="1:4">
      <c r="A5" t="s">
        <v>127</v>
      </c>
      <c r="B5" s="2" t="s">
        <v>128</v>
      </c>
      <c r="C5" s="12">
        <v>0.3067</v>
      </c>
    </row>
    <row r="6" spans="1:4">
      <c r="A6" t="s">
        <v>129</v>
      </c>
      <c r="B6" s="12">
        <v>0.1779</v>
      </c>
      <c r="C6" s="12">
        <v>0.1156</v>
      </c>
    </row>
    <row r="7" spans="1:4">
      <c r="A7" t="s">
        <v>130</v>
      </c>
      <c r="B7" s="2" t="s">
        <v>128</v>
      </c>
      <c r="C7" s="2" t="s">
        <v>128</v>
      </c>
    </row>
    <row r="9" spans="1:4">
      <c r="A9" s="8" t="s">
        <v>131</v>
      </c>
      <c r="B9" s="12">
        <v>0.1156</v>
      </c>
      <c r="C9" t="s">
        <v>132</v>
      </c>
    </row>
    <row r="10" spans="1:4">
      <c r="A10" s="8" t="s">
        <v>133</v>
      </c>
      <c r="B10" t="s">
        <v>134</v>
      </c>
    </row>
    <row r="12" spans="1:4">
      <c r="A12" s="3" t="s">
        <v>135</v>
      </c>
    </row>
    <row r="13" spans="1:4">
      <c r="A13" s="2" t="s">
        <v>136</v>
      </c>
      <c r="B13" s="2"/>
      <c r="C13" s="2"/>
      <c r="D13" s="2"/>
    </row>
    <row r="14" spans="1:4">
      <c r="A14" s="2" t="s">
        <v>137</v>
      </c>
      <c r="B14" s="2"/>
      <c r="C14" s="2"/>
      <c r="D14" s="2"/>
    </row>
    <row r="15" spans="1:4">
      <c r="A15" s="2" t="s">
        <v>138</v>
      </c>
      <c r="B15" s="2"/>
      <c r="C15" s="2"/>
      <c r="D15" s="2"/>
    </row>
    <row r="16" spans="1:4">
      <c r="A16" s="2" t="s">
        <v>139</v>
      </c>
      <c r="B16" s="2"/>
      <c r="C16" s="2"/>
      <c r="D16" s="2"/>
    </row>
    <row r="17" spans="1:4">
      <c r="A17" s="2" t="s">
        <v>140</v>
      </c>
      <c r="B17" s="2"/>
      <c r="C17" s="2"/>
      <c r="D17" s="2"/>
    </row>
    <row r="18" spans="1:4">
      <c r="A18" s="2" t="s">
        <v>141</v>
      </c>
      <c r="B18" s="2"/>
      <c r="C18" s="2"/>
      <c r="D18" s="2"/>
    </row>
    <row r="19" spans="1:4">
      <c r="A19" s="2" t="s">
        <v>142</v>
      </c>
      <c r="B19" s="2"/>
      <c r="C19" s="2"/>
      <c r="D19" s="2"/>
    </row>
    <row r="22" spans="1:4">
      <c r="A22" s="3" t="s">
        <v>143</v>
      </c>
    </row>
    <row r="23" spans="1:4">
      <c r="A23" s="7" t="s">
        <v>144</v>
      </c>
      <c r="B23" s="7" t="s">
        <v>145</v>
      </c>
      <c r="C23" s="7" t="s">
        <v>146</v>
      </c>
    </row>
    <row r="24" spans="1:4">
      <c r="A24" t="s">
        <v>147</v>
      </c>
      <c r="B24" t="s">
        <v>148</v>
      </c>
      <c r="C24" s="2" t="s">
        <v>149</v>
      </c>
    </row>
    <row r="25" spans="1:4">
      <c r="A25" t="s">
        <v>150</v>
      </c>
      <c r="B25" t="s">
        <v>151</v>
      </c>
      <c r="C25" s="2" t="s">
        <v>152</v>
      </c>
    </row>
    <row r="26" spans="1:4">
      <c r="A26" t="s">
        <v>153</v>
      </c>
      <c r="B26" t="s">
        <v>154</v>
      </c>
      <c r="C26" s="2" t="s">
        <v>155</v>
      </c>
    </row>
  </sheetData>
  <mergeCells count="7">
    <mergeCell ref="A13:D13"/>
    <mergeCell ref="A14:D14"/>
    <mergeCell ref="A15:D15"/>
    <mergeCell ref="A16:D16"/>
    <mergeCell ref="A17:D17"/>
    <mergeCell ref="A18:D18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2026-07-06T03:31:18Z</dcterms:created>
  <dcterms:modified xsi:type="dcterms:W3CDTF">2026-07-06T03:31:18Z</dcterms:modified>
</cp:coreProperties>
</file>