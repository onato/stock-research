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<sst xmlns="http://schemas.openxmlformats.org/spreadsheetml/2006/main" count="369" uniqueCount="169">
  <si>
    <t xml:space="preserve">Ticker</t>
  </si>
  <si>
    <t xml:space="preserve">YUMC</t>
  </si>
  <si>
    <t xml:space="preserve">Company</t>
  </si>
  <si>
    <t xml:space="preserve">Yum China Holdings, Inc.</t>
  </si>
  <si>
    <t xml:space="preserve">Valuation date</t>
  </si>
  <si>
    <t xml:space="preserve">2026-10-04</t>
  </si>
  <si>
    <t xml:space="preserve">Current price</t>
  </si>
  <si>
    <t xml:space="preserve">Price as of</t>
  </si>
  <si>
    <t xml:space="preserve">2026-10-02T20:00:02Z regular close (NYSE, Friday); valuation written Saturday 2026-10-04, no after-hours print involved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</si>
  <si>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</si>
  <si>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</si>
  <si>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</si>
  <si>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</si>
  <si>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</si>
  <si>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</si>
  <si>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</si>
  <si>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</si>
  <si>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</si>
  <si>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</si>
  <si>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</si>
  <si>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</si>
  <si>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2026-10-04T09:40:33Z</t>
  </si>
  <si>
    <t xml:space="preserve">Drivers file</t>
  </si>
  <si>
    <t xml:space="preserve">YUMC_Drivers.json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</si>
  <si>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</si>
  <si>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</si>
  <si>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</si>
  <si>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Yum China is valued as a mature, cash-generative, company-operated restaurant network whose growth is almost entirely new units rather than same-store productivity. The valuation strips SBC and interest income, carries the 2,180 of operating leases as the operating cost they already are in US GAAP, folds the 7.4% minority leakage into a combined tax rate, and holds the share count flat while the 4.5bn capital-return programme funds it. The terminal value is Gordon-bound at 9.5%/2.5% rather than cap-bound, so the result is a fair-value estimate for a 6%-then-fading grower, not a multiple-expansion bet.
key_risks_to_valuation: Same-store sales: the base assumes flat-to-+2%; sustained negative comps would push the outcome toward the bear path because the fixed, company-operated cost base de-levers quickly.; Price competition from Mixue, Luckin, Guming and local chains spreading into KFC/Pizza Hut's core price tiers.; RMB/USD: all flows are RMB; a 5% RMB depreciation lowers every USD figure in the model proportionally.; Lower-tier and franchise expansion economics: capex and D&amp;A paths assume unit growth gets cheaper per dollar of revenue; if lower-tier units underperform, capex stays at 5%+ and margin does not reach 16%.; US-listed China ADR delisting risk (HFCAA, political rhetoric): economic value survives via the Hong Kong listing but a forced migration would be disorderly for US holders.; Food-safety incidents, which have historically produced sharp if temporary traffic losses.; Capital-return discipline: the model credits 1.26bn of net cash; if management keeps returning more than FCF beyond 2026, interest income falls further (already stripped) and the cushion erodes.</t>
  </si>
  <si>
    <t xml:space="preserve">Data sources</t>
  </si>
  <si>
    <t xml:space="preserve">price: Yahoo Finance chart API (query1.finance.yahoo.com v8 chart, YUMC) at inputs.price_as_of; 52-week range 39.72-58.39. Parity check against 9987.HK and USDHKD=X from the same API, see inputs.fx_note.
financials: SEC XBRL companyfacts API (CIK 0001673358): Form 10-K FY2025 and Form 10-Q Q1/Q2 2026 for all balance-sheet anchors, cash-flow components, interest income, NCI, lease liabilities and share counts; research/YUMC/Reports/YUMC_Metrics.csv for the annual history (XBRL-built; no PDFs extracted for this ticker).
qualitative: research/YUMC/Reports/YUMC_Analysis.json (2026-10-04): business model, competitive position, Q2 2026 results and reiterated FY2026 and 2026-28 guidance, bull and bear cases.</t>
  </si>
  <si>
    <t xml:space="preserve">Scenario narrative: bear</t>
  </si>
  <si>
    <t xml:space="preserve">Domestic low-cost chains reprice value perception across QSR, same-store sales go negative, lower-tier units dilute returns and the company-operated cost base de-levers to a 13.5% margin; growth 2-3%. Delisting rhetoric keeps the multiple compressed. Still cash-generative with no balance-sheet stress.</t>
  </si>
  <si>
    <t xml:space="preserve">Scenario narrative: base</t>
  </si>
  <si>
    <t xml:space="preserve">Unit-led growth at mid-single digits with flat-to-slightly-positive same-store sales, a 15.3% to 16.0% pre-SBC EBITDA margin, capex easing as franchising rises, and the FY2026 guidance (high-single-digit operating profit growth, &gt;1,900 net new stores, 1.5bn capital return) met. Value is a 7%-of-revenue owner-FCF stream growing ~6% then fading, plus 1.26bn of net cash.</t>
  </si>
  <si>
    <t xml:space="preserve">Scenario narrative: bull</t>
  </si>
  <si>
    <t xml:space="preserve">Same-store sales recover to +2-3%, coffee becomes a third brand at scale, the 30,000-store target lands on time, RMB appreciation adds to USD growth and margin reaches 17%. Needs several things to go right at once, which is why its weight is trimmed.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</si>
  <si>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</si>
  <si>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</si>
  <si>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</si>
  <si>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</si>
  <si>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</si>
  <si>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</si>
  <si>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</si>
  <si>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</si>
  <si>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</si>
  <si>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</si>
  <si>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</si>
  <si>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</si>
  <si>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</si>
  <si>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</si>
  <si>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</si>
  <si>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</si>
  <si>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</si>
  <si>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</si>
  <si>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</si>
  <si>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</si>
  <si>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</si>
  <si>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</si>
  <si>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</si>
  <si>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</si>
  <si>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</si>
  <si>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</si>
  <si>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</si>
  <si>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</si>
  <si>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</si>
  <si>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</si>
  <si>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</si>
  <si>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</si>
  <si>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</si>
  <si>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</si>
  <si>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</si>
  <si>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</si>
  <si>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</si>
  <si>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</si>
  <si>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</si>
  <si>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</si>
  <si>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</si>
  <si>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</si>
  <si>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</si>
  <si>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</si>
  <si>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</si>
  <si>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</si>
  <si>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</si>
  <si>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</si>
  <si>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</si>
  <si>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TTM Jun-2026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</si>
  <si>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</si>
  <si>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</si>
  <si>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</si>
  <si>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</si>
  <si>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TTM Jun-2027</t>
  </si>
  <si>
    <t xml:space="preserve">TTM Jun-2028</t>
  </si>
  <si>
    <t xml:space="preserve">TTM Jun-2029</t>
  </si>
  <si>
    <t xml:space="preserve">TTM Jun-2030</t>
  </si>
  <si>
    <t xml:space="preserve">TTM Jun-2031</t>
  </si>
  <si>
    <t xml:space="preserve">TTM Jun-2032</t>
  </si>
  <si>
    <t xml:space="preserve">TTM Jun-2033</t>
  </si>
  <si>
    <t xml:space="preserve">TTM Jun-2034</t>
  </si>
  <si>
    <t xml:space="preserve">TTM Jun-2035</t>
  </si>
  <si>
    <t xml:space="preserve">TTM Jun-2036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</si>
  <si>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</si>
  <si>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</si>
  <si>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</si>
  <si>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</si>
  <si>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</si>
  <si>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</si>
  <si>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</si>
  <si>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</si>
  <si>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</si>
  <si>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</si>
  <si>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</si>
  <si>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</si>
  <si>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</si>
  <si>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</si>
  <si>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YUMC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</si>
  <si>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</si>
  <si>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</si>
  <si>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</si>
  <si>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</si>
  <si>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</si>
  <si>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</si>
  <si>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</si>
  <si>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</si>
  <si>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</si>
  <si>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</si>
  <si>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</si>
  <si>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</si>
  <si>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</si>
  <si>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</si>
  <si>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</si>
  <si>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</si>
  <si>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</si>
  <si>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</si>
  <si>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</si>
  <si>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</si>
  <si>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</si>
  <si>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</si>
  <si>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</si>
  <si>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</si>
  <si>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</si>
  <si>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</si>
  <si>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</si>
  <si>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</si>
  <si>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</si>
  <si>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</si>
  <si>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YUMC owner-FCF component DCF: base case (millions, USD)</t>
  </si>
  <si>
    <t xml:space="preserve">YUMC owner-FCF component DCF: bull case (millions, USD)</t>
  </si>
  <si>
    <t xml:space="preserve">YUMC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</si>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</sst>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39.98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S2" s="0" t="n">
        <v>300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6934</v>
      </c>
      <c r="F3" s="0" t="n">
        <v>3</v>
      </c>
      <c r="G3" s="0" t="n">
        <v>0.0432650706662821</v>
      </c>
      <c r="H3" s="0" t="n">
        <v>414</v>
      </c>
      <c r="I3" s="0" t="n">
        <v>-37</v>
      </c>
      <c r="J3" s="0" t="n">
        <v>-0.533602538217479</v>
      </c>
      <c r="K3" s="0" t="n">
        <v>-0.02</v>
      </c>
      <c r="L3" s="0" t="n">
        <v>775</v>
      </c>
      <c r="M3" s="0" t="n">
        <v>525</v>
      </c>
      <c r="N3" s="0" t="n">
        <v>250</v>
      </c>
      <c r="S3" s="0" t="n">
        <v>238</v>
      </c>
      <c r="U3" s="0" t="n">
        <v>13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6909</v>
      </c>
      <c r="F4" s="0" t="n">
        <v>488</v>
      </c>
      <c r="G4" s="0" t="n">
        <v>7.06325083224779</v>
      </c>
      <c r="H4" s="0" t="n">
        <v>913</v>
      </c>
      <c r="I4" s="0" t="n">
        <v>328</v>
      </c>
      <c r="J4" s="0" t="n">
        <v>4.74743088724852</v>
      </c>
      <c r="K4" s="0" t="n">
        <v>0.89</v>
      </c>
      <c r="L4" s="0" t="n">
        <v>913</v>
      </c>
      <c r="M4" s="0" t="n">
        <v>512</v>
      </c>
      <c r="N4" s="0" t="n">
        <v>401</v>
      </c>
      <c r="O4" s="0" t="n">
        <v>1979</v>
      </c>
      <c r="P4" s="0" t="n">
        <v>3201</v>
      </c>
      <c r="Q4" s="0" t="n">
        <v>1216</v>
      </c>
      <c r="S4" s="0" t="n">
        <v>425</v>
      </c>
      <c r="T4" s="0" t="n">
        <v>363.758219</v>
      </c>
      <c r="U4" s="0" t="n">
        <v>14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7075</v>
      </c>
      <c r="F5" s="0" t="n">
        <v>634</v>
      </c>
      <c r="G5" s="0" t="n">
        <v>8.96113074204947</v>
      </c>
      <c r="H5" s="0" t="n">
        <v>1036</v>
      </c>
      <c r="I5" s="0" t="n">
        <v>510</v>
      </c>
      <c r="J5" s="0" t="n">
        <v>7.20848056537102</v>
      </c>
      <c r="K5" s="0" t="n">
        <v>1.35</v>
      </c>
      <c r="L5" s="0" t="n">
        <v>866</v>
      </c>
      <c r="M5" s="0" t="n">
        <v>436</v>
      </c>
      <c r="N5" s="0" t="n">
        <v>430</v>
      </c>
      <c r="O5" s="0" t="n">
        <v>2443</v>
      </c>
      <c r="P5" s="0" t="n">
        <v>3727</v>
      </c>
      <c r="Q5" s="0" t="n">
        <v>1284</v>
      </c>
      <c r="S5" s="0" t="n">
        <v>885</v>
      </c>
      <c r="T5" s="0" t="n">
        <v>383.34483542</v>
      </c>
      <c r="U5" s="0" t="n">
        <v>16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7769</v>
      </c>
      <c r="F6" s="0" t="n">
        <v>778</v>
      </c>
      <c r="G6" s="0" t="n">
        <v>10.0141588364011</v>
      </c>
      <c r="H6" s="0" t="n">
        <v>1187</v>
      </c>
      <c r="I6" s="0" t="n">
        <v>424</v>
      </c>
      <c r="J6" s="0" t="n">
        <v>5.45758784914403</v>
      </c>
      <c r="K6" s="0" t="n">
        <v>1.03</v>
      </c>
      <c r="L6" s="0" t="n">
        <v>884</v>
      </c>
      <c r="M6" s="0" t="n">
        <v>415</v>
      </c>
      <c r="N6" s="0" t="n">
        <v>469</v>
      </c>
      <c r="O6" s="0" t="n">
        <v>2842</v>
      </c>
      <c r="P6" s="0" t="n">
        <v>4287</v>
      </c>
      <c r="Q6" s="0" t="n">
        <v>1440</v>
      </c>
      <c r="S6" s="0" t="n">
        <v>1059</v>
      </c>
      <c r="T6" s="0" t="n">
        <v>398</v>
      </c>
      <c r="U6" s="0" t="n">
        <v>26</v>
      </c>
      <c r="V6" s="0" t="n">
        <v>0.1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8415</v>
      </c>
      <c r="F7" s="0" t="n">
        <v>941</v>
      </c>
      <c r="G7" s="0" t="n">
        <v>11.182412358883</v>
      </c>
      <c r="H7" s="0" t="n">
        <v>1386</v>
      </c>
      <c r="I7" s="0" t="n">
        <v>736</v>
      </c>
      <c r="J7" s="0" t="n">
        <v>8.74628639334522</v>
      </c>
      <c r="K7" s="0" t="n">
        <v>1.84</v>
      </c>
      <c r="L7" s="0" t="n">
        <v>1333</v>
      </c>
      <c r="M7" s="0" t="n">
        <v>470</v>
      </c>
      <c r="N7" s="0" t="n">
        <v>863</v>
      </c>
      <c r="O7" s="0" t="n">
        <v>2976</v>
      </c>
      <c r="P7" s="0" t="n">
        <v>4610</v>
      </c>
      <c r="Q7" s="0" t="n">
        <v>1633</v>
      </c>
      <c r="S7" s="0" t="n">
        <v>1266</v>
      </c>
      <c r="T7" s="0" t="n">
        <v>395</v>
      </c>
      <c r="U7" s="0" t="n">
        <v>24</v>
      </c>
      <c r="V7" s="0" t="n">
        <v>0.42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8776</v>
      </c>
      <c r="F8" s="0" t="n">
        <v>901</v>
      </c>
      <c r="G8" s="0" t="n">
        <v>10.2666362807657</v>
      </c>
      <c r="H8" s="0" t="n">
        <v>1329</v>
      </c>
      <c r="I8" s="0" t="n">
        <v>743</v>
      </c>
      <c r="J8" s="0" t="n">
        <v>8.46627164995442</v>
      </c>
      <c r="K8" s="0" t="n">
        <v>1.89</v>
      </c>
      <c r="L8" s="0" t="n">
        <v>1185</v>
      </c>
      <c r="M8" s="0" t="n">
        <v>435</v>
      </c>
      <c r="N8" s="0" t="n">
        <v>750</v>
      </c>
      <c r="O8" s="0" t="n">
        <v>3175</v>
      </c>
      <c r="P8" s="0" t="n">
        <v>6950</v>
      </c>
      <c r="Q8" s="0" t="n">
        <v>3775</v>
      </c>
      <c r="S8" s="0" t="n">
        <v>1046</v>
      </c>
      <c r="T8" s="0" t="n">
        <v>388</v>
      </c>
      <c r="U8" s="0" t="n">
        <v>26</v>
      </c>
      <c r="V8" s="0" t="n">
        <v>0.48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8263</v>
      </c>
      <c r="F9" s="0" t="n">
        <v>961</v>
      </c>
      <c r="G9" s="0" t="n">
        <v>11.6301585380612</v>
      </c>
      <c r="H9" s="0" t="n">
        <v>1411</v>
      </c>
      <c r="I9" s="0" t="n">
        <v>813</v>
      </c>
      <c r="J9" s="0" t="n">
        <v>9.83904151034733</v>
      </c>
      <c r="K9" s="0" t="n">
        <v>2.01</v>
      </c>
      <c r="L9" s="0" t="n">
        <v>1114</v>
      </c>
      <c r="M9" s="0" t="n">
        <v>419</v>
      </c>
      <c r="N9" s="0" t="n">
        <v>695</v>
      </c>
      <c r="O9" s="0" t="n">
        <v>6459</v>
      </c>
      <c r="P9" s="0" t="n">
        <v>10875</v>
      </c>
      <c r="Q9" s="0" t="n">
        <v>4404</v>
      </c>
      <c r="S9" s="0" t="n">
        <v>1158</v>
      </c>
      <c r="T9" s="0" t="n">
        <v>420</v>
      </c>
      <c r="U9" s="0" t="n">
        <v>36</v>
      </c>
      <c r="V9" s="0" t="n">
        <v>0.24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9853</v>
      </c>
      <c r="F10" s="0" t="n">
        <v>1386</v>
      </c>
      <c r="G10" s="0" t="n">
        <v>14.0667816908556</v>
      </c>
      <c r="H10" s="0" t="n">
        <v>1902</v>
      </c>
      <c r="I10" s="0" t="n">
        <v>1023</v>
      </c>
      <c r="J10" s="0" t="n">
        <v>10.3826245813458</v>
      </c>
      <c r="K10" s="0" t="n">
        <v>2.34</v>
      </c>
      <c r="L10" s="0" t="n">
        <v>1131</v>
      </c>
      <c r="M10" s="0" t="n">
        <v>689</v>
      </c>
      <c r="N10" s="0" t="n">
        <v>442</v>
      </c>
      <c r="O10" s="0" t="n">
        <v>7908</v>
      </c>
      <c r="P10" s="0" t="n">
        <v>13223</v>
      </c>
      <c r="Q10" s="0" t="n">
        <v>5301</v>
      </c>
      <c r="S10" s="0" t="n">
        <v>1136</v>
      </c>
      <c r="T10" s="0" t="n">
        <v>434</v>
      </c>
      <c r="U10" s="0" t="n">
        <v>41</v>
      </c>
      <c r="V10" s="0" t="n">
        <v>0.48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9569</v>
      </c>
      <c r="F11" s="0" t="n">
        <v>629</v>
      </c>
      <c r="G11" s="0" t="n">
        <v>6.57330964573101</v>
      </c>
      <c r="H11" s="0" t="n">
        <v>1231</v>
      </c>
      <c r="I11" s="0" t="n">
        <v>478</v>
      </c>
      <c r="J11" s="0" t="n">
        <v>4.99529731424391</v>
      </c>
      <c r="K11" s="0" t="n">
        <v>1.05</v>
      </c>
      <c r="L11" s="0" t="n">
        <v>1413</v>
      </c>
      <c r="M11" s="0" t="n">
        <v>679</v>
      </c>
      <c r="N11" s="0" t="n">
        <v>734</v>
      </c>
      <c r="O11" s="0" t="n">
        <v>7148</v>
      </c>
      <c r="P11" s="0" t="n">
        <v>11826</v>
      </c>
      <c r="Q11" s="0" t="n">
        <v>4666</v>
      </c>
      <c r="S11" s="0" t="n">
        <v>1130</v>
      </c>
      <c r="T11" s="0" t="n">
        <v>425</v>
      </c>
      <c r="U11" s="0" t="n">
        <v>42</v>
      </c>
      <c r="V11" s="0" t="n">
        <v>0.48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10978</v>
      </c>
      <c r="F12" s="0" t="n">
        <v>1106</v>
      </c>
      <c r="G12" s="0" t="n">
        <v>10.0746948442339</v>
      </c>
      <c r="H12" s="0" t="n">
        <v>1559</v>
      </c>
      <c r="I12" s="0" t="n">
        <v>901</v>
      </c>
      <c r="J12" s="0" t="n">
        <v>8.20732373838586</v>
      </c>
      <c r="K12" s="0" t="n">
        <v>1.99</v>
      </c>
      <c r="L12" s="0" t="n">
        <v>1473</v>
      </c>
      <c r="M12" s="0" t="n">
        <v>710</v>
      </c>
      <c r="N12" s="0" t="n">
        <v>763</v>
      </c>
      <c r="O12" s="0" t="n">
        <v>7106</v>
      </c>
      <c r="P12" s="0" t="n">
        <v>12031</v>
      </c>
      <c r="Q12" s="0" t="n">
        <v>4912</v>
      </c>
      <c r="S12" s="0" t="n">
        <v>1128</v>
      </c>
      <c r="T12" s="0" t="n">
        <v>420</v>
      </c>
      <c r="U12" s="0" t="n">
        <v>64</v>
      </c>
      <c r="V12" s="0" t="n">
        <v>0.52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11303</v>
      </c>
      <c r="F13" s="0" t="n">
        <v>1162</v>
      </c>
      <c r="G13" s="0" t="n">
        <v>10.2804565159692</v>
      </c>
      <c r="H13" s="0" t="n">
        <v>1638</v>
      </c>
      <c r="I13" s="0" t="n">
        <v>980</v>
      </c>
      <c r="J13" s="0" t="n">
        <v>8.6702645315403</v>
      </c>
      <c r="K13" s="0" t="n">
        <v>2.34</v>
      </c>
      <c r="L13" s="0" t="n">
        <v>1419</v>
      </c>
      <c r="M13" s="0" t="n">
        <v>705</v>
      </c>
      <c r="N13" s="0" t="n">
        <v>714</v>
      </c>
      <c r="O13" s="0" t="n">
        <v>6414</v>
      </c>
      <c r="P13" s="0" t="n">
        <v>11121</v>
      </c>
      <c r="Q13" s="0" t="n">
        <v>4694</v>
      </c>
      <c r="S13" s="0" t="n">
        <v>723</v>
      </c>
      <c r="T13" s="0" t="n">
        <v>390</v>
      </c>
      <c r="U13" s="0" t="n">
        <v>41</v>
      </c>
      <c r="V13" s="0" t="n">
        <v>0.64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11797</v>
      </c>
      <c r="F14" s="0" t="n">
        <v>1290</v>
      </c>
      <c r="G14" s="0" t="n">
        <v>10.9349834703738</v>
      </c>
      <c r="H14" s="0" t="n">
        <v>1738</v>
      </c>
      <c r="I14" s="0" t="n">
        <v>1004</v>
      </c>
      <c r="J14" s="0" t="n">
        <v>8.51063829787234</v>
      </c>
      <c r="K14" s="0" t="n">
        <v>2.52</v>
      </c>
      <c r="L14" s="0" t="n">
        <v>1466</v>
      </c>
      <c r="M14" s="0" t="n">
        <v>626</v>
      </c>
      <c r="N14" s="0" t="n">
        <v>840</v>
      </c>
      <c r="O14" s="0" t="n">
        <v>6099</v>
      </c>
      <c r="P14" s="0" t="n">
        <v>10783</v>
      </c>
      <c r="Q14" s="0" t="n">
        <v>4684</v>
      </c>
      <c r="S14" s="0" t="n">
        <v>506</v>
      </c>
      <c r="T14" s="0" t="n">
        <v>371</v>
      </c>
      <c r="U14" s="0" t="n">
        <v>42</v>
      </c>
      <c r="V14" s="0" t="n">
        <v>0.96</v>
      </c>
      <c r="AA14" s="0" t="s">
        <v>17</v>
      </c>
      <c r="AB14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76</v>
      </c>
      <c r="B1" s="2" t="s">
        <v>77</v>
      </c>
    </row>
    <row r="2" customFormat="false" ht="15" hidden="false" customHeight="false" outlineLevel="0" collapsed="false">
      <c r="A2" s="0" t="s">
        <v>78</v>
      </c>
      <c r="B2" s="3" t="n">
        <v>39.98</v>
      </c>
    </row>
    <row r="3" customFormat="false" ht="15" hidden="false" customHeight="false" outlineLevel="0" collapsed="false">
      <c r="A3" s="0" t="s">
        <v>79</v>
      </c>
      <c r="B3" s="3" t="n">
        <v>346</v>
      </c>
    </row>
    <row r="4" customFormat="false" ht="15" hidden="false" customHeight="false" outlineLevel="0" collapsed="false">
      <c r="A4" s="0" t="s">
        <v>80</v>
      </c>
      <c r="B4" s="3" t="n">
        <v>-1264</v>
      </c>
    </row>
    <row r="5" customFormat="false" ht="15" hidden="false" customHeight="false" outlineLevel="0" collapsed="false">
      <c r="A5" s="0" t="s">
        <v>81</v>
      </c>
      <c r="B5" s="3" t="n">
        <v>69</v>
      </c>
    </row>
    <row r="6" customFormat="false" ht="15" hidden="false" customHeight="false" outlineLevel="0" collapsed="false">
      <c r="A6" s="0" t="s">
        <v>82</v>
      </c>
      <c r="B6" s="3" t="n">
        <v>15</v>
      </c>
    </row>
    <row r="7" customFormat="false" ht="15" hidden="false" customHeight="false" outlineLevel="0" collapsed="false">
      <c r="A7" s="0" t="s">
        <v>83</v>
      </c>
      <c r="B7" s="3" t="n">
        <v>12438</v>
      </c>
    </row>
    <row r="8" customFormat="false" ht="15" hidden="false" customHeight="false" outlineLevel="0" collapsed="false">
      <c r="A8" s="0" t="s">
        <v>84</v>
      </c>
      <c r="B8" s="3" t="s">
        <v>85</v>
      </c>
    </row>
    <row r="9" customFormat="false" ht="15" hidden="false" customHeight="false" outlineLevel="0" collapsed="false">
      <c r="A9" s="0" t="s">
        <v>86</v>
      </c>
      <c r="B9" s="3" t="s">
        <v>87</v>
      </c>
    </row>
    <row r="10" customFormat="false" ht="15" hidden="false" customHeight="false" outlineLevel="0" collapsed="false">
      <c r="A10" s="0" t="s">
        <v>88</v>
      </c>
      <c r="B10" s="3" t="n">
        <v>1</v>
      </c>
    </row>
    <row r="12" customFormat="false" ht="15" hidden="false" customHeight="false" outlineLevel="0" collapsed="false">
      <c r="A12" s="2" t="s">
        <v>89</v>
      </c>
      <c r="C12" s="2" t="s">
        <v>90</v>
      </c>
      <c r="D12" s="2" t="s">
        <v>91</v>
      </c>
      <c r="E12" s="2" t="s">
        <v>92</v>
      </c>
      <c r="F12" s="2" t="s">
        <v>93</v>
      </c>
      <c r="G12" s="2" t="s">
        <v>94</v>
      </c>
      <c r="H12" s="2" t="s">
        <v>95</v>
      </c>
      <c r="I12" s="2" t="s">
        <v>96</v>
      </c>
      <c r="J12" s="2" t="s">
        <v>97</v>
      </c>
      <c r="K12" s="2" t="s">
        <v>98</v>
      </c>
      <c r="L12" s="2" t="s">
        <v>99</v>
      </c>
    </row>
    <row r="13" customFormat="false" ht="15" hidden="false" customHeight="false" outlineLevel="0" collapsed="false">
      <c r="A13" s="0" t="s">
        <v>100</v>
      </c>
      <c r="C13" s="3" t="n">
        <v>4</v>
      </c>
      <c r="D13" s="3" t="n">
        <v>3</v>
      </c>
      <c r="E13" s="3" t="n">
        <v>3</v>
      </c>
      <c r="F13" s="3" t="n">
        <v>2.5</v>
      </c>
      <c r="G13" s="3" t="n">
        <v>2.5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101</v>
      </c>
      <c r="C14" s="3" t="n">
        <v>15</v>
      </c>
      <c r="D14" s="3" t="n">
        <v>14.6</v>
      </c>
      <c r="E14" s="3" t="n">
        <v>14.3</v>
      </c>
      <c r="F14" s="3" t="n">
        <v>14</v>
      </c>
      <c r="G14" s="3" t="n">
        <v>13.8</v>
      </c>
      <c r="H14" s="3" t="n">
        <v>13.6</v>
      </c>
      <c r="I14" s="3" t="n">
        <v>13.5</v>
      </c>
      <c r="J14" s="3" t="n">
        <v>13.5</v>
      </c>
      <c r="K14" s="3" t="n">
        <v>13.5</v>
      </c>
      <c r="L14" s="3" t="n">
        <v>13.5</v>
      </c>
    </row>
    <row r="15" customFormat="false" ht="15" hidden="false" customHeight="false" outlineLevel="0" collapsed="false">
      <c r="A15" s="0" t="s">
        <v>102</v>
      </c>
      <c r="C15" s="3" t="n">
        <v>0.35</v>
      </c>
      <c r="D15" s="3" t="n">
        <v>0.35</v>
      </c>
      <c r="E15" s="3" t="n">
        <v>0.34</v>
      </c>
      <c r="F15" s="3" t="n">
        <v>0.34</v>
      </c>
      <c r="G15" s="3" t="n">
        <v>0.33</v>
      </c>
      <c r="H15" s="3" t="n">
        <v>0.33</v>
      </c>
      <c r="I15" s="3" t="n">
        <v>0.32</v>
      </c>
      <c r="J15" s="3" t="n">
        <v>0.32</v>
      </c>
      <c r="K15" s="3" t="n">
        <v>0.31</v>
      </c>
      <c r="L15" s="3" t="n">
        <v>0.3</v>
      </c>
    </row>
    <row r="16" customFormat="false" ht="15" hidden="false" customHeight="false" outlineLevel="0" collapsed="false">
      <c r="A16" s="0" t="s">
        <v>103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104</v>
      </c>
      <c r="C17" s="3" t="n">
        <v>3.75</v>
      </c>
      <c r="D17" s="3" t="n">
        <v>3.8</v>
      </c>
      <c r="E17" s="3" t="n">
        <v>3.8</v>
      </c>
      <c r="F17" s="3" t="n">
        <v>3.85</v>
      </c>
      <c r="G17" s="3" t="n">
        <v>3.85</v>
      </c>
      <c r="H17" s="3" t="n">
        <v>3.9</v>
      </c>
      <c r="I17" s="3" t="n">
        <v>3.9</v>
      </c>
      <c r="J17" s="3" t="n">
        <v>3.9</v>
      </c>
      <c r="K17" s="3" t="n">
        <v>3.9</v>
      </c>
      <c r="L17" s="3" t="n">
        <v>3.9</v>
      </c>
    </row>
    <row r="18" customFormat="false" ht="15" hidden="false" customHeight="false" outlineLevel="0" collapsed="false">
      <c r="A18" s="0" t="s">
        <v>105</v>
      </c>
      <c r="C18" s="3" t="n">
        <v>5</v>
      </c>
      <c r="D18" s="3" t="n">
        <v>4.9</v>
      </c>
      <c r="E18" s="3" t="n">
        <v>4.8</v>
      </c>
      <c r="F18" s="3" t="n">
        <v>4.7</v>
      </c>
      <c r="G18" s="3" t="n">
        <v>4.6</v>
      </c>
      <c r="H18" s="3" t="n">
        <v>4.5</v>
      </c>
      <c r="I18" s="3" t="n">
        <v>4.5</v>
      </c>
      <c r="J18" s="3" t="n">
        <v>4.4</v>
      </c>
      <c r="K18" s="3" t="n">
        <v>4.4</v>
      </c>
      <c r="L18" s="3" t="n">
        <v>4.4</v>
      </c>
    </row>
    <row r="19" customFormat="false" ht="15" hidden="false" customHeight="false" outlineLevel="0" collapsed="false">
      <c r="A19" s="0" t="s">
        <v>106</v>
      </c>
      <c r="C19" s="3" t="n">
        <v>33</v>
      </c>
      <c r="D19" s="3" t="n">
        <v>33</v>
      </c>
      <c r="E19" s="3" t="n">
        <v>33</v>
      </c>
      <c r="F19" s="3" t="n">
        <v>33</v>
      </c>
      <c r="G19" s="3" t="n">
        <v>33</v>
      </c>
      <c r="H19" s="3" t="n">
        <v>33</v>
      </c>
      <c r="I19" s="3" t="n">
        <v>33</v>
      </c>
      <c r="J19" s="3" t="n">
        <v>33</v>
      </c>
      <c r="K19" s="3" t="n">
        <v>33</v>
      </c>
      <c r="L19" s="3" t="n">
        <v>33</v>
      </c>
    </row>
    <row r="20" customFormat="false" ht="15" hidden="false" customHeight="false" outlineLevel="0" collapsed="false">
      <c r="A20" s="0" t="s">
        <v>107</v>
      </c>
      <c r="B20" s="3" t="n">
        <v>9.5</v>
      </c>
    </row>
    <row r="21" customFormat="false" ht="15" hidden="false" customHeight="false" outlineLevel="0" collapsed="false">
      <c r="A21" s="0" t="s">
        <v>108</v>
      </c>
      <c r="B21" s="3" t="n">
        <v>2</v>
      </c>
    </row>
    <row r="22" customFormat="false" ht="15" hidden="false" customHeight="false" outlineLevel="0" collapsed="false">
      <c r="A22" s="0" t="s">
        <v>109</v>
      </c>
      <c r="B22" s="3" t="n">
        <v>15</v>
      </c>
    </row>
    <row r="23" customFormat="false" ht="15" hidden="false" customHeight="false" outlineLevel="0" collapsed="false">
      <c r="A23" s="0" t="s">
        <v>110</v>
      </c>
      <c r="B23" s="3" t="n">
        <v>0</v>
      </c>
    </row>
    <row r="24" customFormat="false" ht="15" hidden="false" customHeight="false" outlineLevel="0" collapsed="false">
      <c r="A24" s="0" t="s">
        <v>111</v>
      </c>
      <c r="B24" s="3" t="n">
        <v>0.25</v>
      </c>
    </row>
    <row r="26" customFormat="false" ht="15" hidden="false" customHeight="false" outlineLevel="0" collapsed="false">
      <c r="A26" s="2" t="s">
        <v>112</v>
      </c>
      <c r="C26" s="2" t="s">
        <v>90</v>
      </c>
      <c r="D26" s="2" t="s">
        <v>91</v>
      </c>
      <c r="E26" s="2" t="s">
        <v>92</v>
      </c>
      <c r="F26" s="2" t="s">
        <v>93</v>
      </c>
      <c r="G26" s="2" t="s">
        <v>94</v>
      </c>
      <c r="H26" s="2" t="s">
        <v>95</v>
      </c>
      <c r="I26" s="2" t="s">
        <v>96</v>
      </c>
      <c r="J26" s="2" t="s">
        <v>97</v>
      </c>
      <c r="K26" s="2" t="s">
        <v>98</v>
      </c>
      <c r="L26" s="2" t="s">
        <v>99</v>
      </c>
    </row>
    <row r="27" customFormat="false" ht="15" hidden="false" customHeight="false" outlineLevel="0" collapsed="false">
      <c r="A27" s="0" t="s">
        <v>100</v>
      </c>
      <c r="C27" s="3" t="n">
        <v>7</v>
      </c>
      <c r="D27" s="3" t="n">
        <v>6</v>
      </c>
      <c r="E27" s="3" t="n">
        <v>6</v>
      </c>
      <c r="F27" s="3" t="n">
        <v>5.5</v>
      </c>
      <c r="G27" s="3" t="n">
        <v>5</v>
      </c>
      <c r="H27" s="3" t="n">
        <v>4.5</v>
      </c>
      <c r="I27" s="3" t="n">
        <v>4</v>
      </c>
      <c r="J27" s="3" t="n">
        <v>3.5</v>
      </c>
      <c r="K27" s="3" t="n">
        <v>3</v>
      </c>
      <c r="L27" s="3" t="n">
        <v>2.5</v>
      </c>
    </row>
    <row r="28" customFormat="false" ht="15" hidden="false" customHeight="false" outlineLevel="0" collapsed="false">
      <c r="A28" s="0" t="s">
        <v>101</v>
      </c>
      <c r="C28" s="3" t="n">
        <v>15.3</v>
      </c>
      <c r="D28" s="3" t="n">
        <v>15.4</v>
      </c>
      <c r="E28" s="3" t="n">
        <v>15.5</v>
      </c>
      <c r="F28" s="3" t="n">
        <v>15.6</v>
      </c>
      <c r="G28" s="3" t="n">
        <v>15.7</v>
      </c>
      <c r="H28" s="3" t="n">
        <v>15.8</v>
      </c>
      <c r="I28" s="3" t="n">
        <v>15.9</v>
      </c>
      <c r="J28" s="3" t="n">
        <v>16</v>
      </c>
      <c r="K28" s="3" t="n">
        <v>16</v>
      </c>
      <c r="L28" s="3" t="n">
        <v>16</v>
      </c>
    </row>
    <row r="29" customFormat="false" ht="15" hidden="false" customHeight="false" outlineLevel="0" collapsed="false">
      <c r="A29" s="0" t="s">
        <v>102</v>
      </c>
      <c r="C29" s="3" t="n">
        <v>0.35</v>
      </c>
      <c r="D29" s="3" t="n">
        <v>0.35</v>
      </c>
      <c r="E29" s="3" t="n">
        <v>0.34</v>
      </c>
      <c r="F29" s="3" t="n">
        <v>0.34</v>
      </c>
      <c r="G29" s="3" t="n">
        <v>0.33</v>
      </c>
      <c r="H29" s="3" t="n">
        <v>0.33</v>
      </c>
      <c r="I29" s="3" t="n">
        <v>0.32</v>
      </c>
      <c r="J29" s="3" t="n">
        <v>0.32</v>
      </c>
      <c r="K29" s="3" t="n">
        <v>0.31</v>
      </c>
      <c r="L29" s="3" t="n">
        <v>0.3</v>
      </c>
    </row>
    <row r="30" customFormat="false" ht="15" hidden="false" customHeight="false" outlineLevel="0" collapsed="false">
      <c r="A30" s="0" t="s">
        <v>103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104</v>
      </c>
      <c r="C31" s="3" t="n">
        <v>3.75</v>
      </c>
      <c r="D31" s="3" t="n">
        <v>3.75</v>
      </c>
      <c r="E31" s="3" t="n">
        <v>3.7</v>
      </c>
      <c r="F31" s="3" t="n">
        <v>3.7</v>
      </c>
      <c r="G31" s="3" t="n">
        <v>3.65</v>
      </c>
      <c r="H31" s="3" t="n">
        <v>3.65</v>
      </c>
      <c r="I31" s="3" t="n">
        <v>3.6</v>
      </c>
      <c r="J31" s="3" t="n">
        <v>3.6</v>
      </c>
      <c r="K31" s="3" t="n">
        <v>3.6</v>
      </c>
      <c r="L31" s="3" t="n">
        <v>3.6</v>
      </c>
    </row>
    <row r="32" customFormat="false" ht="15" hidden="false" customHeight="false" outlineLevel="0" collapsed="false">
      <c r="A32" s="0" t="s">
        <v>105</v>
      </c>
      <c r="C32" s="3" t="n">
        <v>5.1</v>
      </c>
      <c r="D32" s="3" t="n">
        <v>5</v>
      </c>
      <c r="E32" s="3" t="n">
        <v>4.9</v>
      </c>
      <c r="F32" s="3" t="n">
        <v>4.8</v>
      </c>
      <c r="G32" s="3" t="n">
        <v>4.8</v>
      </c>
      <c r="H32" s="3" t="n">
        <v>4.7</v>
      </c>
      <c r="I32" s="3" t="n">
        <v>4.7</v>
      </c>
      <c r="J32" s="3" t="n">
        <v>4.6</v>
      </c>
      <c r="K32" s="3" t="n">
        <v>4.6</v>
      </c>
      <c r="L32" s="3" t="n">
        <v>4.6</v>
      </c>
    </row>
    <row r="33" customFormat="false" ht="15" hidden="false" customHeight="false" outlineLevel="0" collapsed="false">
      <c r="A33" s="0" t="s">
        <v>106</v>
      </c>
      <c r="C33" s="3" t="n">
        <v>33</v>
      </c>
      <c r="D33" s="3" t="n">
        <v>33</v>
      </c>
      <c r="E33" s="3" t="n">
        <v>33</v>
      </c>
      <c r="F33" s="3" t="n">
        <v>33</v>
      </c>
      <c r="G33" s="3" t="n">
        <v>33</v>
      </c>
      <c r="H33" s="3" t="n">
        <v>33</v>
      </c>
      <c r="I33" s="3" t="n">
        <v>33</v>
      </c>
      <c r="J33" s="3" t="n">
        <v>33</v>
      </c>
      <c r="K33" s="3" t="n">
        <v>33</v>
      </c>
      <c r="L33" s="3" t="n">
        <v>33</v>
      </c>
    </row>
    <row r="34" customFormat="false" ht="15" hidden="false" customHeight="false" outlineLevel="0" collapsed="false">
      <c r="A34" s="0" t="s">
        <v>107</v>
      </c>
      <c r="B34" s="3" t="n">
        <v>9.5</v>
      </c>
    </row>
    <row r="35" customFormat="false" ht="15" hidden="false" customHeight="false" outlineLevel="0" collapsed="false">
      <c r="A35" s="0" t="s">
        <v>108</v>
      </c>
      <c r="B35" s="3" t="n">
        <v>2.5</v>
      </c>
    </row>
    <row r="36" customFormat="false" ht="15" hidden="false" customHeight="false" outlineLevel="0" collapsed="false">
      <c r="A36" s="0" t="s">
        <v>109</v>
      </c>
      <c r="B36" s="3" t="n">
        <v>15</v>
      </c>
    </row>
    <row r="37" customFormat="false" ht="15" hidden="false" customHeight="false" outlineLevel="0" collapsed="false">
      <c r="A37" s="0" t="s">
        <v>110</v>
      </c>
      <c r="B37" s="3" t="n">
        <v>0</v>
      </c>
    </row>
    <row r="38" customFormat="false" ht="15" hidden="false" customHeight="false" outlineLevel="0" collapsed="false">
      <c r="A38" s="0" t="s">
        <v>111</v>
      </c>
      <c r="B38" s="3" t="n">
        <v>0.5</v>
      </c>
    </row>
    <row r="40" customFormat="false" ht="15" hidden="false" customHeight="false" outlineLevel="0" collapsed="false">
      <c r="A40" s="2" t="s">
        <v>113</v>
      </c>
      <c r="C40" s="2" t="s">
        <v>90</v>
      </c>
      <c r="D40" s="2" t="s">
        <v>91</v>
      </c>
      <c r="E40" s="2" t="s">
        <v>92</v>
      </c>
      <c r="F40" s="2" t="s">
        <v>93</v>
      </c>
      <c r="G40" s="2" t="s">
        <v>94</v>
      </c>
      <c r="H40" s="2" t="s">
        <v>95</v>
      </c>
      <c r="I40" s="2" t="s">
        <v>96</v>
      </c>
      <c r="J40" s="2" t="s">
        <v>97</v>
      </c>
      <c r="K40" s="2" t="s">
        <v>98</v>
      </c>
      <c r="L40" s="2" t="s">
        <v>99</v>
      </c>
    </row>
    <row r="41" customFormat="false" ht="15" hidden="false" customHeight="false" outlineLevel="0" collapsed="false">
      <c r="A41" s="0" t="s">
        <v>100</v>
      </c>
      <c r="C41" s="3" t="n">
        <v>9</v>
      </c>
      <c r="D41" s="3" t="n">
        <v>8</v>
      </c>
      <c r="E41" s="3" t="n">
        <v>7.5</v>
      </c>
      <c r="F41" s="3" t="n">
        <v>7</v>
      </c>
      <c r="G41" s="3" t="n">
        <v>6.5</v>
      </c>
      <c r="H41" s="3" t="n">
        <v>6</v>
      </c>
      <c r="I41" s="3" t="n">
        <v>5</v>
      </c>
      <c r="J41" s="3" t="n">
        <v>4.5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101</v>
      </c>
      <c r="C42" s="3" t="n">
        <v>15.4</v>
      </c>
      <c r="D42" s="3" t="n">
        <v>15.7</v>
      </c>
      <c r="E42" s="3" t="n">
        <v>16</v>
      </c>
      <c r="F42" s="3" t="n">
        <v>16.3</v>
      </c>
      <c r="G42" s="3" t="n">
        <v>16.5</v>
      </c>
      <c r="H42" s="3" t="n">
        <v>16.7</v>
      </c>
      <c r="I42" s="3" t="n">
        <v>16.9</v>
      </c>
      <c r="J42" s="3" t="n">
        <v>17</v>
      </c>
      <c r="K42" s="3" t="n">
        <v>17</v>
      </c>
      <c r="L42" s="3" t="n">
        <v>17</v>
      </c>
    </row>
    <row r="43" customFormat="false" ht="15" hidden="false" customHeight="false" outlineLevel="0" collapsed="false">
      <c r="A43" s="0" t="s">
        <v>102</v>
      </c>
      <c r="C43" s="3" t="n">
        <v>0.35</v>
      </c>
      <c r="D43" s="3" t="n">
        <v>0.35</v>
      </c>
      <c r="E43" s="3" t="n">
        <v>0.34</v>
      </c>
      <c r="F43" s="3" t="n">
        <v>0.34</v>
      </c>
      <c r="G43" s="3" t="n">
        <v>0.33</v>
      </c>
      <c r="H43" s="3" t="n">
        <v>0.33</v>
      </c>
      <c r="I43" s="3" t="n">
        <v>0.32</v>
      </c>
      <c r="J43" s="3" t="n">
        <v>0.32</v>
      </c>
      <c r="K43" s="3" t="n">
        <v>0.31</v>
      </c>
      <c r="L43" s="3" t="n">
        <v>0.3</v>
      </c>
    </row>
    <row r="44" customFormat="false" ht="15" hidden="false" customHeight="false" outlineLevel="0" collapsed="false">
      <c r="A44" s="0" t="s">
        <v>103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104</v>
      </c>
      <c r="C45" s="3" t="n">
        <v>3.75</v>
      </c>
      <c r="D45" s="3" t="n">
        <v>3.75</v>
      </c>
      <c r="E45" s="3" t="n">
        <v>3.7</v>
      </c>
      <c r="F45" s="3" t="n">
        <v>3.7</v>
      </c>
      <c r="G45" s="3" t="n">
        <v>3.65</v>
      </c>
      <c r="H45" s="3" t="n">
        <v>3.65</v>
      </c>
      <c r="I45" s="3" t="n">
        <v>3.6</v>
      </c>
      <c r="J45" s="3" t="n">
        <v>3.6</v>
      </c>
      <c r="K45" s="3" t="n">
        <v>3.6</v>
      </c>
      <c r="L45" s="3" t="n">
        <v>3.6</v>
      </c>
    </row>
    <row r="46" customFormat="false" ht="15" hidden="false" customHeight="false" outlineLevel="0" collapsed="false">
      <c r="A46" s="0" t="s">
        <v>105</v>
      </c>
      <c r="C46" s="3" t="n">
        <v>5.1</v>
      </c>
      <c r="D46" s="3" t="n">
        <v>5</v>
      </c>
      <c r="E46" s="3" t="n">
        <v>4.9</v>
      </c>
      <c r="F46" s="3" t="n">
        <v>4.8</v>
      </c>
      <c r="G46" s="3" t="n">
        <v>4.7</v>
      </c>
      <c r="H46" s="3" t="n">
        <v>4.6</v>
      </c>
      <c r="I46" s="3" t="n">
        <v>4.5</v>
      </c>
      <c r="J46" s="3" t="n">
        <v>4.5</v>
      </c>
      <c r="K46" s="3" t="n">
        <v>4.5</v>
      </c>
      <c r="L46" s="3" t="n">
        <v>4.5</v>
      </c>
    </row>
    <row r="47" customFormat="false" ht="15" hidden="false" customHeight="false" outlineLevel="0" collapsed="false">
      <c r="A47" s="0" t="s">
        <v>106</v>
      </c>
      <c r="C47" s="3" t="n">
        <v>33</v>
      </c>
      <c r="D47" s="3" t="n">
        <v>33</v>
      </c>
      <c r="E47" s="3" t="n">
        <v>33</v>
      </c>
      <c r="F47" s="3" t="n">
        <v>33</v>
      </c>
      <c r="G47" s="3" t="n">
        <v>33</v>
      </c>
      <c r="H47" s="3" t="n">
        <v>33</v>
      </c>
      <c r="I47" s="3" t="n">
        <v>33</v>
      </c>
      <c r="J47" s="3" t="n">
        <v>33</v>
      </c>
      <c r="K47" s="3" t="n">
        <v>33</v>
      </c>
      <c r="L47" s="3" t="n">
        <v>33</v>
      </c>
    </row>
    <row r="48" customFormat="false" ht="15" hidden="false" customHeight="false" outlineLevel="0" collapsed="false">
      <c r="A48" s="0" t="s">
        <v>107</v>
      </c>
      <c r="B48" s="3" t="n">
        <v>9.5</v>
      </c>
    </row>
    <row r="49" customFormat="false" ht="15" hidden="false" customHeight="false" outlineLevel="0" collapsed="false">
      <c r="A49" s="0" t="s">
        <v>108</v>
      </c>
      <c r="B49" s="3" t="n">
        <v>3</v>
      </c>
    </row>
    <row r="50" customFormat="false" ht="15" hidden="false" customHeight="false" outlineLevel="0" collapsed="false">
      <c r="A50" s="0" t="s">
        <v>109</v>
      </c>
      <c r="B50" s="3" t="n">
        <v>15</v>
      </c>
    </row>
    <row r="51" customFormat="false" ht="15" hidden="false" customHeight="false" outlineLevel="0" collapsed="false">
      <c r="A51" s="0" t="s">
        <v>110</v>
      </c>
      <c r="B51" s="3" t="n">
        <v>0</v>
      </c>
    </row>
    <row r="52" customFormat="false" ht="15" hidden="false" customHeight="false" outlineLevel="0" collapsed="false">
      <c r="A52" s="0" t="s">
        <v>111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114</v>
      </c>
    </row>
    <row r="3" customFormat="false" ht="15" hidden="false" customHeight="false" outlineLevel="0" collapsed="false">
      <c r="A3" s="0" t="s">
        <v>115</v>
      </c>
      <c r="B3" s="0" t="s">
        <v>85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Assumptions!C13</f>
        <v>4</v>
      </c>
      <c r="D5" s="4" t="n">
        <f aca="false">Assumptions!D13</f>
        <v>3</v>
      </c>
      <c r="E5" s="4" t="n">
        <f aca="false">Assumptions!E13</f>
        <v>3</v>
      </c>
      <c r="F5" s="4" t="n">
        <f aca="false">Assumptions!F13</f>
        <v>2.5</v>
      </c>
      <c r="G5" s="4" t="n">
        <f aca="false">Assumptions!G13</f>
        <v>2.5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12438</v>
      </c>
      <c r="C6" s="0" t="n">
        <f aca="false">B6*(1+C5/100)</f>
        <v>12935.52</v>
      </c>
      <c r="D6" s="0" t="n">
        <f aca="false">C6*(1+D5/100)</f>
        <v>13323.5856</v>
      </c>
      <c r="E6" s="0" t="n">
        <f aca="false">D6*(1+E5/100)</f>
        <v>13723.293168</v>
      </c>
      <c r="F6" s="0" t="n">
        <f aca="false">E6*(1+F5/100)</f>
        <v>14066.3754972</v>
      </c>
      <c r="G6" s="0" t="n">
        <f aca="false">F6*(1+G5/100)</f>
        <v>14418.03488463</v>
      </c>
      <c r="H6" s="0" t="n">
        <f aca="false">G6*(1+H5/100)</f>
        <v>14706.3955823226</v>
      </c>
      <c r="I6" s="0" t="n">
        <f aca="false">H6*(1+I5/100)</f>
        <v>15000.523493969</v>
      </c>
      <c r="J6" s="0" t="n">
        <f aca="false">I6*(1+J5/100)</f>
        <v>15300.5339638484</v>
      </c>
      <c r="K6" s="0" t="n">
        <f aca="false">J6*(1+K5/100)</f>
        <v>15606.5446431254</v>
      </c>
      <c r="L6" s="0" t="n">
        <f aca="false">K6*(1+L5/100)</f>
        <v>15918.6755359879</v>
      </c>
    </row>
    <row r="7" customFormat="false" ht="15" hidden="false" customHeight="false" outlineLevel="0" collapsed="false">
      <c r="A7" s="0" t="s">
        <v>101</v>
      </c>
      <c r="C7" s="4" t="n">
        <f aca="false">Assumptions!C14</f>
        <v>15</v>
      </c>
      <c r="D7" s="4" t="n">
        <f aca="false">Assumptions!D14</f>
        <v>14.6</v>
      </c>
      <c r="E7" s="4" t="n">
        <f aca="false">Assumptions!E14</f>
        <v>14.3</v>
      </c>
      <c r="F7" s="4" t="n">
        <f aca="false">Assumptions!F14</f>
        <v>14</v>
      </c>
      <c r="G7" s="4" t="n">
        <f aca="false">Assumptions!G14</f>
        <v>13.8</v>
      </c>
      <c r="H7" s="4" t="n">
        <f aca="false">Assumptions!H14</f>
        <v>13.6</v>
      </c>
      <c r="I7" s="4" t="n">
        <f aca="false">Assumptions!I14</f>
        <v>13.5</v>
      </c>
      <c r="J7" s="4" t="n">
        <f aca="false">Assumptions!J14</f>
        <v>13.5</v>
      </c>
      <c r="K7" s="4" t="n">
        <f aca="false">Assumptions!K14</f>
        <v>13.5</v>
      </c>
      <c r="L7" s="4" t="n">
        <f aca="false">Assumptions!L14</f>
        <v>13.5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1940.328</v>
      </c>
      <c r="D8" s="0" t="n">
        <f aca="false">D6*D7/100</f>
        <v>1945.2434976</v>
      </c>
      <c r="E8" s="0" t="n">
        <f aca="false">E6*E7/100</f>
        <v>1962.430923024</v>
      </c>
      <c r="F8" s="0" t="n">
        <f aca="false">F6*F7/100</f>
        <v>1969.292569608</v>
      </c>
      <c r="G8" s="0" t="n">
        <f aca="false">G6*G7/100</f>
        <v>1989.68881407894</v>
      </c>
      <c r="H8" s="0" t="n">
        <f aca="false">H6*H7/100</f>
        <v>2000.06979919587</v>
      </c>
      <c r="I8" s="0" t="n">
        <f aca="false">I6*I7/100</f>
        <v>2025.07067168582</v>
      </c>
      <c r="J8" s="0" t="n">
        <f aca="false">J6*J7/100</f>
        <v>2065.57208511954</v>
      </c>
      <c r="K8" s="0" t="n">
        <f aca="false">K6*K7/100</f>
        <v>2106.88352682193</v>
      </c>
      <c r="L8" s="0" t="n">
        <f aca="false">L6*L7/100</f>
        <v>2149.02119735837</v>
      </c>
    </row>
    <row r="9" customFormat="false" ht="15" hidden="false" customHeight="false" outlineLevel="0" collapsed="false">
      <c r="A9" s="0" t="s">
        <v>102</v>
      </c>
      <c r="C9" s="4" t="n">
        <f aca="false">Assumptions!C15</f>
        <v>0.35</v>
      </c>
      <c r="D9" s="4" t="n">
        <f aca="false">Assumptions!D15</f>
        <v>0.35</v>
      </c>
      <c r="E9" s="4" t="n">
        <f aca="false">Assumptions!E15</f>
        <v>0.34</v>
      </c>
      <c r="F9" s="4" t="n">
        <f aca="false">Assumptions!F15</f>
        <v>0.34</v>
      </c>
      <c r="G9" s="4" t="n">
        <f aca="false">Assumptions!G15</f>
        <v>0.33</v>
      </c>
      <c r="H9" s="4" t="n">
        <f aca="false">Assumptions!H15</f>
        <v>0.33</v>
      </c>
      <c r="I9" s="4" t="n">
        <f aca="false">Assumptions!I15</f>
        <v>0.32</v>
      </c>
      <c r="J9" s="4" t="n">
        <f aca="false">Assumptions!J15</f>
        <v>0.32</v>
      </c>
      <c r="K9" s="4" t="n">
        <f aca="false">Assumptions!K15</f>
        <v>0.31</v>
      </c>
      <c r="L9" s="4" t="n">
        <f aca="false">Assumptions!L15</f>
        <v>0.3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-45.27432</v>
      </c>
      <c r="D10" s="0" t="n">
        <f aca="false">-D6*D9/100</f>
        <v>-46.6325496</v>
      </c>
      <c r="E10" s="0" t="n">
        <f aca="false">-E6*E9/100</f>
        <v>-46.6591967712</v>
      </c>
      <c r="F10" s="0" t="n">
        <f aca="false">-F6*F9/100</f>
        <v>-47.82567669048</v>
      </c>
      <c r="G10" s="0" t="n">
        <f aca="false">-G6*G9/100</f>
        <v>-47.579515119279</v>
      </c>
      <c r="H10" s="0" t="n">
        <f aca="false">-H6*H9/100</f>
        <v>-48.5311054216646</v>
      </c>
      <c r="I10" s="0" t="n">
        <f aca="false">-I6*I9/100</f>
        <v>-48.001675180701</v>
      </c>
      <c r="J10" s="0" t="n">
        <f aca="false">-J6*J9/100</f>
        <v>-48.961708684315</v>
      </c>
      <c r="K10" s="0" t="n">
        <f aca="false">-K6*K9/100</f>
        <v>-48.3802883936887</v>
      </c>
      <c r="L10" s="0" t="n">
        <f aca="false">-L6*L9/100</f>
        <v>-47.7560266079637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1895.05368</v>
      </c>
      <c r="D11" s="0" t="n">
        <f aca="false">D8+D10+D24</f>
        <v>1898.610948</v>
      </c>
      <c r="E11" s="0" t="n">
        <f aca="false">E8+E10+E24</f>
        <v>1915.7717262528</v>
      </c>
      <c r="F11" s="0" t="n">
        <f aca="false">F8+F10+F24</f>
        <v>1921.46689291752</v>
      </c>
      <c r="G11" s="0" t="n">
        <f aca="false">G8+G10+G24</f>
        <v>1942.10929895966</v>
      </c>
      <c r="H11" s="0" t="n">
        <f aca="false">H8+H10+H24</f>
        <v>1951.53869377421</v>
      </c>
      <c r="I11" s="0" t="n">
        <f aca="false">I8+I10+I24</f>
        <v>1977.06899650512</v>
      </c>
      <c r="J11" s="0" t="n">
        <f aca="false">J8+J10+J24</f>
        <v>2016.61037643522</v>
      </c>
      <c r="K11" s="0" t="n">
        <f aca="false">K8+K10+K24</f>
        <v>2058.50323842824</v>
      </c>
      <c r="L11" s="0" t="n">
        <f aca="false">L8+L10+L24</f>
        <v>2101.2651707504</v>
      </c>
    </row>
    <row r="12" customFormat="false" ht="15" hidden="false" customHeight="false" outlineLevel="0" collapsed="false">
      <c r="A12" s="0" t="s">
        <v>119</v>
      </c>
      <c r="C12" s="4" t="n">
        <f aca="false">-C6*Assumptions!C17/100</f>
        <v>-485.082</v>
      </c>
      <c r="D12" s="4" t="n">
        <f aca="false">-D6*Assumptions!D17/100</f>
        <v>-506.2962528</v>
      </c>
      <c r="E12" s="4" t="n">
        <f aca="false">-E6*Assumptions!E17/100</f>
        <v>-521.485140384</v>
      </c>
      <c r="F12" s="4" t="n">
        <f aca="false">-F6*Assumptions!F17/100</f>
        <v>-541.5554566422</v>
      </c>
      <c r="G12" s="4" t="n">
        <f aca="false">-G6*Assumptions!G17/100</f>
        <v>-555.094343058255</v>
      </c>
      <c r="H12" s="4" t="n">
        <f aca="false">-H6*Assumptions!H17/100</f>
        <v>-573.549427710581</v>
      </c>
      <c r="I12" s="4" t="n">
        <f aca="false">-I6*Assumptions!I17/100</f>
        <v>-585.020416264793</v>
      </c>
      <c r="J12" s="4" t="n">
        <f aca="false">-J6*Assumptions!J17/100</f>
        <v>-596.720824590089</v>
      </c>
      <c r="K12" s="4" t="n">
        <f aca="false">-K6*Assumptions!K17/100</f>
        <v>-608.655241081891</v>
      </c>
      <c r="L12" s="4" t="n">
        <f aca="false">-L6*Assumptions!L17/100</f>
        <v>-620.828345903528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1409.97168</v>
      </c>
      <c r="D13" s="0" t="n">
        <f aca="false">D11+D12</f>
        <v>1392.3146952</v>
      </c>
      <c r="E13" s="0" t="n">
        <f aca="false">E11+E12</f>
        <v>1394.2865858688</v>
      </c>
      <c r="F13" s="0" t="n">
        <f aca="false">F11+F12</f>
        <v>1379.91143627532</v>
      </c>
      <c r="G13" s="0" t="n">
        <f aca="false">G11+G12</f>
        <v>1387.01495590141</v>
      </c>
      <c r="H13" s="0" t="n">
        <f aca="false">H11+H12</f>
        <v>1377.98926606363</v>
      </c>
      <c r="I13" s="0" t="n">
        <f aca="false">I11+I12</f>
        <v>1392.04858024033</v>
      </c>
      <c r="J13" s="0" t="n">
        <f aca="false">J11+J12</f>
        <v>1419.88955184513</v>
      </c>
      <c r="K13" s="0" t="n">
        <f aca="false">K11+K12</f>
        <v>1449.84799734635</v>
      </c>
      <c r="L13" s="0" t="n">
        <f aca="false">L11+L12</f>
        <v>1480.43682484688</v>
      </c>
    </row>
    <row r="14" customFormat="false" ht="15" hidden="false" customHeight="false" outlineLevel="0" collapsed="false">
      <c r="A14" s="0" t="s">
        <v>106</v>
      </c>
      <c r="C14" s="4" t="n">
        <f aca="false">Assumptions!C19</f>
        <v>33</v>
      </c>
      <c r="D14" s="4" t="n">
        <f aca="false">Assumptions!D19</f>
        <v>33</v>
      </c>
      <c r="E14" s="4" t="n">
        <f aca="false">Assumptions!E19</f>
        <v>33</v>
      </c>
      <c r="F14" s="4" t="n">
        <f aca="false">Assumptions!F19</f>
        <v>33</v>
      </c>
      <c r="G14" s="4" t="n">
        <f aca="false">Assumptions!G19</f>
        <v>33</v>
      </c>
      <c r="H14" s="4" t="n">
        <f aca="false">Assumptions!H19</f>
        <v>33</v>
      </c>
      <c r="I14" s="4" t="n">
        <f aca="false">Assumptions!I19</f>
        <v>33</v>
      </c>
      <c r="J14" s="4" t="n">
        <f aca="false">Assumptions!J19</f>
        <v>33</v>
      </c>
      <c r="K14" s="4" t="n">
        <f aca="false">Assumptions!K19</f>
        <v>33</v>
      </c>
      <c r="L14" s="4" t="n">
        <f aca="false">Assumptions!L19</f>
        <v>33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944.6810256</v>
      </c>
      <c r="D15" s="0" t="n">
        <f aca="false">D13-MAX(0,D13)*D14/100</f>
        <v>932.850845784</v>
      </c>
      <c r="E15" s="0" t="n">
        <f aca="false">E13-MAX(0,E13)*E14/100</f>
        <v>934.172012532096</v>
      </c>
      <c r="F15" s="0" t="n">
        <f aca="false">F13-MAX(0,F13)*F14/100</f>
        <v>924.540662304464</v>
      </c>
      <c r="G15" s="0" t="n">
        <f aca="false">G13-MAX(0,G13)*G14/100</f>
        <v>929.300020453942</v>
      </c>
      <c r="H15" s="0" t="n">
        <f aca="false">H13-MAX(0,H13)*H14/100</f>
        <v>923.25280826263</v>
      </c>
      <c r="I15" s="0" t="n">
        <f aca="false">I13-MAX(0,I13)*I14/100</f>
        <v>932.67254876102</v>
      </c>
      <c r="J15" s="0" t="n">
        <f aca="false">J13-MAX(0,J13)*J14/100</f>
        <v>951.32599973624</v>
      </c>
      <c r="K15" s="0" t="n">
        <f aca="false">K13-MAX(0,K13)*K14/100</f>
        <v>971.398158222054</v>
      </c>
      <c r="L15" s="0" t="n">
        <f aca="false">L13-MAX(0,L13)*L14/100</f>
        <v>991.892672647407</v>
      </c>
    </row>
    <row r="16" customFormat="false" ht="15" hidden="false" customHeight="false" outlineLevel="0" collapsed="false">
      <c r="A16" s="0" t="s">
        <v>122</v>
      </c>
      <c r="C16" s="0" t="n">
        <f aca="false">-C12</f>
        <v>485.082</v>
      </c>
      <c r="D16" s="0" t="n">
        <f aca="false">-D12</f>
        <v>506.2962528</v>
      </c>
      <c r="E16" s="0" t="n">
        <f aca="false">-E12</f>
        <v>521.485140384</v>
      </c>
      <c r="F16" s="0" t="n">
        <f aca="false">-F12</f>
        <v>541.5554566422</v>
      </c>
      <c r="G16" s="0" t="n">
        <f aca="false">-G12</f>
        <v>555.094343058255</v>
      </c>
      <c r="H16" s="0" t="n">
        <f aca="false">-H12</f>
        <v>573.549427710581</v>
      </c>
      <c r="I16" s="0" t="n">
        <f aca="false">-I12</f>
        <v>585.020416264793</v>
      </c>
      <c r="J16" s="0" t="n">
        <f aca="false">-J12</f>
        <v>596.720824590089</v>
      </c>
      <c r="K16" s="0" t="n">
        <f aca="false">-K12</f>
        <v>608.655241081891</v>
      </c>
      <c r="L16" s="0" t="n">
        <f aca="false">-L12</f>
        <v>620.828345903528</v>
      </c>
    </row>
    <row r="17" customFormat="false" ht="15" hidden="false" customHeight="false" outlineLevel="0" collapsed="false">
      <c r="A17" s="0" t="s">
        <v>123</v>
      </c>
      <c r="C17" s="4" t="n">
        <f aca="false">-C6*Assumptions!C18/100</f>
        <v>-646.776</v>
      </c>
      <c r="D17" s="4" t="n">
        <f aca="false">-D6*Assumptions!D18/100</f>
        <v>-652.8556944</v>
      </c>
      <c r="E17" s="4" t="n">
        <f aca="false">-E6*Assumptions!E18/100</f>
        <v>-658.718072064</v>
      </c>
      <c r="F17" s="4" t="n">
        <f aca="false">-F6*Assumptions!F18/100</f>
        <v>-661.1196483684</v>
      </c>
      <c r="G17" s="4" t="n">
        <f aca="false">-G6*Assumptions!G18/100</f>
        <v>-663.22960469298</v>
      </c>
      <c r="H17" s="4" t="n">
        <f aca="false">-H6*Assumptions!H18/100</f>
        <v>-661.787801204517</v>
      </c>
      <c r="I17" s="4" t="n">
        <f aca="false">-I6*Assumptions!I18/100</f>
        <v>-675.023557228607</v>
      </c>
      <c r="J17" s="4" t="n">
        <f aca="false">-J6*Assumptions!J18/100</f>
        <v>-673.223494409331</v>
      </c>
      <c r="K17" s="4" t="n">
        <f aca="false">-K6*Assumptions!K18/100</f>
        <v>-686.687964297518</v>
      </c>
      <c r="L17" s="4" t="n">
        <f aca="false">-L6*Assumptions!L18/100</f>
        <v>-700.421723583468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782.9870256</v>
      </c>
      <c r="D19" s="0" t="n">
        <f aca="false">D15+D16+D17+D18</f>
        <v>786.291404184</v>
      </c>
      <c r="E19" s="0" t="n">
        <f aca="false">E15+E16+E17+E18</f>
        <v>796.939080852096</v>
      </c>
      <c r="F19" s="0" t="n">
        <f aca="false">F15+F16+F17+F18</f>
        <v>804.976470578264</v>
      </c>
      <c r="G19" s="0" t="n">
        <f aca="false">G15+G16+G17+G18</f>
        <v>821.164758819217</v>
      </c>
      <c r="H19" s="0" t="n">
        <f aca="false">H15+H16+H17+H18</f>
        <v>835.014434768695</v>
      </c>
      <c r="I19" s="0" t="n">
        <f aca="false">I15+I16+I17+I18</f>
        <v>842.669407797205</v>
      </c>
      <c r="J19" s="0" t="n">
        <f aca="false">J15+J16+J17+J18</f>
        <v>874.823329916998</v>
      </c>
      <c r="K19" s="0" t="n">
        <f aca="false">K15+K16+K17+K18</f>
        <v>893.365435006427</v>
      </c>
      <c r="L19" s="0" t="n">
        <f aca="false">L15+L16+L17+L18</f>
        <v>912.299294967467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715.056644383562</v>
      </c>
      <c r="D21" s="0" t="n">
        <f aca="false">D19*D20</f>
        <v>655.775654539313</v>
      </c>
      <c r="E21" s="0" t="n">
        <f aca="false">E19*E20</f>
        <v>606.99172023395</v>
      </c>
      <c r="F21" s="0" t="n">
        <f aca="false">F19*F20</f>
        <v>559.920939793429</v>
      </c>
      <c r="G21" s="0" t="n">
        <f aca="false">G19*G20</f>
        <v>521.626572556474</v>
      </c>
      <c r="H21" s="0" t="n">
        <f aca="false">H19*H20</f>
        <v>484.405725913033</v>
      </c>
      <c r="I21" s="0" t="n">
        <f aca="false">I19*I20</f>
        <v>446.435162335621</v>
      </c>
      <c r="J21" s="0" t="n">
        <f aca="false">J19*J20</f>
        <v>423.260170880681</v>
      </c>
      <c r="K21" s="0" t="n">
        <f aca="false">K19*K20</f>
        <v>394.731761529685</v>
      </c>
      <c r="L21" s="0" t="n">
        <f aca="false">L19*L20</f>
        <v>368.125708071766</v>
      </c>
    </row>
    <row r="23" customFormat="false" ht="15" hidden="false" customHeight="false" outlineLevel="0" collapsed="false">
      <c r="A23" s="0" t="s">
        <v>103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108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109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5176.33006023751</v>
      </c>
    </row>
    <row r="31" customFormat="false" ht="15" hidden="false" customHeight="false" outlineLevel="0" collapsed="false">
      <c r="A31" s="0" t="s">
        <v>131</v>
      </c>
      <c r="B31" s="0" t="n">
        <f aca="false">L19</f>
        <v>912.299294967467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12407.2704115575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13684.489424512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12407.2704115575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5006.50962977602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10182.8396900135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11515.8396900135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33.2827736705593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-0.167514415443738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297.186916016677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262.075185645229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34.8991381262296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7158.04062205243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20.8482843726962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115</v>
      </c>
      <c r="B3" s="0" t="s">
        <v>85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Assumptions!C27</f>
        <v>7</v>
      </c>
      <c r="D5" s="4" t="n">
        <f aca="false">Assumptions!D27</f>
        <v>6</v>
      </c>
      <c r="E5" s="4" t="n">
        <f aca="false">Assumptions!E27</f>
        <v>6</v>
      </c>
      <c r="F5" s="4" t="n">
        <f aca="false">Assumptions!F27</f>
        <v>5.5</v>
      </c>
      <c r="G5" s="4" t="n">
        <f aca="false">Assumptions!G27</f>
        <v>5</v>
      </c>
      <c r="H5" s="4" t="n">
        <f aca="false">Assumptions!H27</f>
        <v>4.5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12438</v>
      </c>
      <c r="C6" s="0" t="n">
        <f aca="false">B6*(1+C5/100)</f>
        <v>13308.66</v>
      </c>
      <c r="D6" s="0" t="n">
        <f aca="false">C6*(1+D5/100)</f>
        <v>14107.1796</v>
      </c>
      <c r="E6" s="0" t="n">
        <f aca="false">D6*(1+E5/100)</f>
        <v>14953.610376</v>
      </c>
      <c r="F6" s="0" t="n">
        <f aca="false">E6*(1+F5/100)</f>
        <v>15776.05894668</v>
      </c>
      <c r="G6" s="0" t="n">
        <f aca="false">F6*(1+G5/100)</f>
        <v>16564.861894014</v>
      </c>
      <c r="H6" s="0" t="n">
        <f aca="false">G6*(1+H5/100)</f>
        <v>17310.2806792446</v>
      </c>
      <c r="I6" s="0" t="n">
        <f aca="false">H6*(1+I5/100)</f>
        <v>18002.6919064144</v>
      </c>
      <c r="J6" s="0" t="n">
        <f aca="false">I6*(1+J5/100)</f>
        <v>18632.7861231389</v>
      </c>
      <c r="K6" s="0" t="n">
        <f aca="false">J6*(1+K5/100)</f>
        <v>19191.7697068331</v>
      </c>
      <c r="L6" s="0" t="n">
        <f aca="false">K6*(1+L5/100)</f>
        <v>19671.5639495039</v>
      </c>
    </row>
    <row r="7" customFormat="false" ht="15" hidden="false" customHeight="false" outlineLevel="0" collapsed="false">
      <c r="A7" s="0" t="s">
        <v>101</v>
      </c>
      <c r="C7" s="4" t="n">
        <f aca="false">Assumptions!C28</f>
        <v>15.3</v>
      </c>
      <c r="D7" s="4" t="n">
        <f aca="false">Assumptions!D28</f>
        <v>15.4</v>
      </c>
      <c r="E7" s="4" t="n">
        <f aca="false">Assumptions!E28</f>
        <v>15.5</v>
      </c>
      <c r="F7" s="4" t="n">
        <f aca="false">Assumptions!F28</f>
        <v>15.6</v>
      </c>
      <c r="G7" s="4" t="n">
        <f aca="false">Assumptions!G28</f>
        <v>15.7</v>
      </c>
      <c r="H7" s="4" t="n">
        <f aca="false">Assumptions!H28</f>
        <v>15.8</v>
      </c>
      <c r="I7" s="4" t="n">
        <f aca="false">Assumptions!I28</f>
        <v>15.9</v>
      </c>
      <c r="J7" s="4" t="n">
        <f aca="false">Assumptions!J28</f>
        <v>16</v>
      </c>
      <c r="K7" s="4" t="n">
        <f aca="false">Assumptions!K28</f>
        <v>16</v>
      </c>
      <c r="L7" s="4" t="n">
        <f aca="false">Assumptions!L28</f>
        <v>16</v>
      </c>
    </row>
    <row r="8" customFormat="false" ht="15" hidden="false" customHeight="false" outlineLevel="0" collapsed="false">
      <c r="A8" s="0" t="s">
        <v>43</v>
      </c>
      <c r="C8" s="0" t="n">
        <f aca="false">C6*C7/100</f>
        <v>2036.22498</v>
      </c>
      <c r="D8" s="0" t="n">
        <f aca="false">D6*D7/100</f>
        <v>2172.5056584</v>
      </c>
      <c r="E8" s="0" t="n">
        <f aca="false">E6*E7/100</f>
        <v>2317.80960828</v>
      </c>
      <c r="F8" s="0" t="n">
        <f aca="false">F6*F7/100</f>
        <v>2461.06519568208</v>
      </c>
      <c r="G8" s="0" t="n">
        <f aca="false">G6*G7/100</f>
        <v>2600.6833173602</v>
      </c>
      <c r="H8" s="0" t="n">
        <f aca="false">H6*H7/100</f>
        <v>2735.02434732065</v>
      </c>
      <c r="I8" s="0" t="n">
        <f aca="false">I6*I7/100</f>
        <v>2862.42801311989</v>
      </c>
      <c r="J8" s="0" t="n">
        <f aca="false">J6*J7/100</f>
        <v>2981.24577970223</v>
      </c>
      <c r="K8" s="0" t="n">
        <f aca="false">K6*K7/100</f>
        <v>3070.68315309329</v>
      </c>
      <c r="L8" s="0" t="n">
        <f aca="false">L6*L7/100</f>
        <v>3147.45023192063</v>
      </c>
    </row>
    <row r="9" customFormat="false" ht="15" hidden="false" customHeight="false" outlineLevel="0" collapsed="false">
      <c r="A9" s="0" t="s">
        <v>102</v>
      </c>
      <c r="C9" s="4" t="n">
        <f aca="false">Assumptions!C29</f>
        <v>0.35</v>
      </c>
      <c r="D9" s="4" t="n">
        <f aca="false">Assumptions!D29</f>
        <v>0.35</v>
      </c>
      <c r="E9" s="4" t="n">
        <f aca="false">Assumptions!E29</f>
        <v>0.34</v>
      </c>
      <c r="F9" s="4" t="n">
        <f aca="false">Assumptions!F29</f>
        <v>0.34</v>
      </c>
      <c r="G9" s="4" t="n">
        <f aca="false">Assumptions!G29</f>
        <v>0.33</v>
      </c>
      <c r="H9" s="4" t="n">
        <f aca="false">Assumptions!H29</f>
        <v>0.33</v>
      </c>
      <c r="I9" s="4" t="n">
        <f aca="false">Assumptions!I29</f>
        <v>0.32</v>
      </c>
      <c r="J9" s="4" t="n">
        <f aca="false">Assumptions!J29</f>
        <v>0.32</v>
      </c>
      <c r="K9" s="4" t="n">
        <f aca="false">Assumptions!K29</f>
        <v>0.31</v>
      </c>
      <c r="L9" s="4" t="n">
        <f aca="false">Assumptions!L29</f>
        <v>0.3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-46.58031</v>
      </c>
      <c r="D10" s="0" t="n">
        <f aca="false">-D6*D9/100</f>
        <v>-49.3751286</v>
      </c>
      <c r="E10" s="0" t="n">
        <f aca="false">-E6*E9/100</f>
        <v>-50.8422752784</v>
      </c>
      <c r="F10" s="0" t="n">
        <f aca="false">-F6*F9/100</f>
        <v>-53.638600418712</v>
      </c>
      <c r="G10" s="0" t="n">
        <f aca="false">-G6*G9/100</f>
        <v>-54.6640442502462</v>
      </c>
      <c r="H10" s="0" t="n">
        <f aca="false">-H6*H9/100</f>
        <v>-57.1239262415073</v>
      </c>
      <c r="I10" s="0" t="n">
        <f aca="false">-I6*I9/100</f>
        <v>-57.6086141005261</v>
      </c>
      <c r="J10" s="0" t="n">
        <f aca="false">-J6*J9/100</f>
        <v>-59.6249155940446</v>
      </c>
      <c r="K10" s="0" t="n">
        <f aca="false">-K6*K9/100</f>
        <v>-59.4944860911826</v>
      </c>
      <c r="L10" s="0" t="n">
        <f aca="false">-L6*L9/100</f>
        <v>-59.0146918485117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1989.64467</v>
      </c>
      <c r="D11" s="0" t="n">
        <f aca="false">D8+D10+D24</f>
        <v>2123.1305298</v>
      </c>
      <c r="E11" s="0" t="n">
        <f aca="false">E8+E10+E24</f>
        <v>2266.9673330016</v>
      </c>
      <c r="F11" s="0" t="n">
        <f aca="false">F8+F10+F24</f>
        <v>2407.42659526337</v>
      </c>
      <c r="G11" s="0" t="n">
        <f aca="false">G8+G10+G24</f>
        <v>2546.01927310995</v>
      </c>
      <c r="H11" s="0" t="n">
        <f aca="false">H8+H10+H24</f>
        <v>2677.90042107914</v>
      </c>
      <c r="I11" s="0" t="n">
        <f aca="false">I8+I10+I24</f>
        <v>2804.81939901937</v>
      </c>
      <c r="J11" s="0" t="n">
        <f aca="false">J8+J10+J24</f>
        <v>2921.62086410818</v>
      </c>
      <c r="K11" s="0" t="n">
        <f aca="false">K8+K10+K24</f>
        <v>3011.18866700211</v>
      </c>
      <c r="L11" s="0" t="n">
        <f aca="false">L8+L10+L24</f>
        <v>3088.43554007211</v>
      </c>
    </row>
    <row r="12" customFormat="false" ht="15" hidden="false" customHeight="false" outlineLevel="0" collapsed="false">
      <c r="A12" s="0" t="s">
        <v>119</v>
      </c>
      <c r="C12" s="4" t="n">
        <f aca="false">-C6*Assumptions!C31/100</f>
        <v>-499.07475</v>
      </c>
      <c r="D12" s="4" t="n">
        <f aca="false">-D6*Assumptions!D31/100</f>
        <v>-529.019235</v>
      </c>
      <c r="E12" s="4" t="n">
        <f aca="false">-E6*Assumptions!E31/100</f>
        <v>-553.283583912</v>
      </c>
      <c r="F12" s="4" t="n">
        <f aca="false">-F6*Assumptions!F31/100</f>
        <v>-583.71418102716</v>
      </c>
      <c r="G12" s="4" t="n">
        <f aca="false">-G6*Assumptions!G31/100</f>
        <v>-604.617459131511</v>
      </c>
      <c r="H12" s="4" t="n">
        <f aca="false">-H6*Assumptions!H31/100</f>
        <v>-631.825244792429</v>
      </c>
      <c r="I12" s="4" t="n">
        <f aca="false">-I6*Assumptions!I31/100</f>
        <v>-648.096908630919</v>
      </c>
      <c r="J12" s="4" t="n">
        <f aca="false">-J6*Assumptions!J31/100</f>
        <v>-670.780300433001</v>
      </c>
      <c r="K12" s="4" t="n">
        <f aca="false">-K6*Assumptions!K31/100</f>
        <v>-690.903709445991</v>
      </c>
      <c r="L12" s="4" t="n">
        <f aca="false">-L6*Assumptions!L31/100</f>
        <v>-708.176302182141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1490.56992</v>
      </c>
      <c r="D13" s="0" t="n">
        <f aca="false">D11+D12</f>
        <v>1594.1112948</v>
      </c>
      <c r="E13" s="0" t="n">
        <f aca="false">E11+E12</f>
        <v>1713.6837490896</v>
      </c>
      <c r="F13" s="0" t="n">
        <f aca="false">F11+F12</f>
        <v>1823.71241423621</v>
      </c>
      <c r="G13" s="0" t="n">
        <f aca="false">G11+G12</f>
        <v>1941.40181397844</v>
      </c>
      <c r="H13" s="0" t="n">
        <f aca="false">H11+H12</f>
        <v>2046.07517628672</v>
      </c>
      <c r="I13" s="0" t="n">
        <f aca="false">I11+I12</f>
        <v>2156.72249038845</v>
      </c>
      <c r="J13" s="0" t="n">
        <f aca="false">J11+J12</f>
        <v>2250.84056367518</v>
      </c>
      <c r="K13" s="0" t="n">
        <f aca="false">K11+K12</f>
        <v>2320.28495755612</v>
      </c>
      <c r="L13" s="0" t="n">
        <f aca="false">L11+L12</f>
        <v>2380.25923788997</v>
      </c>
    </row>
    <row r="14" customFormat="false" ht="15" hidden="false" customHeight="false" outlineLevel="0" collapsed="false">
      <c r="A14" s="0" t="s">
        <v>106</v>
      </c>
      <c r="C14" s="4" t="n">
        <f aca="false">Assumptions!C33</f>
        <v>33</v>
      </c>
      <c r="D14" s="4" t="n">
        <f aca="false">Assumptions!D33</f>
        <v>33</v>
      </c>
      <c r="E14" s="4" t="n">
        <f aca="false">Assumptions!E33</f>
        <v>33</v>
      </c>
      <c r="F14" s="4" t="n">
        <f aca="false">Assumptions!F33</f>
        <v>33</v>
      </c>
      <c r="G14" s="4" t="n">
        <f aca="false">Assumptions!G33</f>
        <v>33</v>
      </c>
      <c r="H14" s="4" t="n">
        <f aca="false">Assumptions!H33</f>
        <v>33</v>
      </c>
      <c r="I14" s="4" t="n">
        <f aca="false">Assumptions!I33</f>
        <v>33</v>
      </c>
      <c r="J14" s="4" t="n">
        <f aca="false">Assumptions!J33</f>
        <v>33</v>
      </c>
      <c r="K14" s="4" t="n">
        <f aca="false">Assumptions!K33</f>
        <v>33</v>
      </c>
      <c r="L14" s="4" t="n">
        <f aca="false">Assumptions!L33</f>
        <v>33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998.6818464</v>
      </c>
      <c r="D15" s="0" t="n">
        <f aca="false">D13-MAX(0,D13)*D14/100</f>
        <v>1068.054567516</v>
      </c>
      <c r="E15" s="0" t="n">
        <f aca="false">E13-MAX(0,E13)*E14/100</f>
        <v>1148.16811189003</v>
      </c>
      <c r="F15" s="0" t="n">
        <f aca="false">F13-MAX(0,F13)*F14/100</f>
        <v>1221.88731753826</v>
      </c>
      <c r="G15" s="0" t="n">
        <f aca="false">G13-MAX(0,G13)*G14/100</f>
        <v>1300.73921536556</v>
      </c>
      <c r="H15" s="0" t="n">
        <f aca="false">H13-MAX(0,H13)*H14/100</f>
        <v>1370.8703681121</v>
      </c>
      <c r="I15" s="0" t="n">
        <f aca="false">I13-MAX(0,I13)*I14/100</f>
        <v>1445.00406856026</v>
      </c>
      <c r="J15" s="0" t="n">
        <f aca="false">J13-MAX(0,J13)*J14/100</f>
        <v>1508.06317766237</v>
      </c>
      <c r="K15" s="0" t="n">
        <f aca="false">K13-MAX(0,K13)*K14/100</f>
        <v>1554.5909215626</v>
      </c>
      <c r="L15" s="0" t="n">
        <f aca="false">L13-MAX(0,L13)*L14/100</f>
        <v>1594.77368938628</v>
      </c>
    </row>
    <row r="16" customFormat="false" ht="15" hidden="false" customHeight="false" outlineLevel="0" collapsed="false">
      <c r="A16" s="0" t="s">
        <v>122</v>
      </c>
      <c r="C16" s="0" t="n">
        <f aca="false">-C12</f>
        <v>499.07475</v>
      </c>
      <c r="D16" s="0" t="n">
        <f aca="false">-D12</f>
        <v>529.019235</v>
      </c>
      <c r="E16" s="0" t="n">
        <f aca="false">-E12</f>
        <v>553.283583912</v>
      </c>
      <c r="F16" s="0" t="n">
        <f aca="false">-F12</f>
        <v>583.71418102716</v>
      </c>
      <c r="G16" s="0" t="n">
        <f aca="false">-G12</f>
        <v>604.617459131511</v>
      </c>
      <c r="H16" s="0" t="n">
        <f aca="false">-H12</f>
        <v>631.825244792429</v>
      </c>
      <c r="I16" s="0" t="n">
        <f aca="false">-I12</f>
        <v>648.096908630919</v>
      </c>
      <c r="J16" s="0" t="n">
        <f aca="false">-J12</f>
        <v>670.780300433001</v>
      </c>
      <c r="K16" s="0" t="n">
        <f aca="false">-K12</f>
        <v>690.903709445991</v>
      </c>
      <c r="L16" s="0" t="n">
        <f aca="false">-L12</f>
        <v>708.176302182141</v>
      </c>
    </row>
    <row r="17" customFormat="false" ht="15" hidden="false" customHeight="false" outlineLevel="0" collapsed="false">
      <c r="A17" s="0" t="s">
        <v>123</v>
      </c>
      <c r="C17" s="4" t="n">
        <f aca="false">-C6*Assumptions!C32/100</f>
        <v>-678.74166</v>
      </c>
      <c r="D17" s="4" t="n">
        <f aca="false">-D6*Assumptions!D32/100</f>
        <v>-705.35898</v>
      </c>
      <c r="E17" s="4" t="n">
        <f aca="false">-E6*Assumptions!E32/100</f>
        <v>-732.726908424</v>
      </c>
      <c r="F17" s="4" t="n">
        <f aca="false">-F6*Assumptions!F32/100</f>
        <v>-757.25082944064</v>
      </c>
      <c r="G17" s="4" t="n">
        <f aca="false">-G6*Assumptions!G32/100</f>
        <v>-795.113370912672</v>
      </c>
      <c r="H17" s="4" t="n">
        <f aca="false">-H6*Assumptions!H32/100</f>
        <v>-813.583191924498</v>
      </c>
      <c r="I17" s="4" t="n">
        <f aca="false">-I6*Assumptions!I32/100</f>
        <v>-846.126519601478</v>
      </c>
      <c r="J17" s="4" t="n">
        <f aca="false">-J6*Assumptions!J32/100</f>
        <v>-857.10816166439</v>
      </c>
      <c r="K17" s="4" t="n">
        <f aca="false">-K6*Assumptions!K32/100</f>
        <v>-882.821406514322</v>
      </c>
      <c r="L17" s="4" t="n">
        <f aca="false">-L6*Assumptions!L32/100</f>
        <v>-904.89194167718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819.0149364</v>
      </c>
      <c r="D19" s="0" t="n">
        <f aca="false">D15+D16+D17+D18</f>
        <v>891.714822516</v>
      </c>
      <c r="E19" s="0" t="n">
        <f aca="false">E15+E16+E17+E18</f>
        <v>968.724787378032</v>
      </c>
      <c r="F19" s="0" t="n">
        <f aca="false">F15+F16+F17+F18</f>
        <v>1048.35066912478</v>
      </c>
      <c r="G19" s="0" t="n">
        <f aca="false">G15+G16+G17+G18</f>
        <v>1110.24330358439</v>
      </c>
      <c r="H19" s="0" t="n">
        <f aca="false">H15+H16+H17+H18</f>
        <v>1189.11242098003</v>
      </c>
      <c r="I19" s="0" t="n">
        <f aca="false">I15+I16+I17+I18</f>
        <v>1246.9744575897</v>
      </c>
      <c r="J19" s="0" t="n">
        <f aca="false">J15+J16+J17+J18</f>
        <v>1321.73531643098</v>
      </c>
      <c r="K19" s="0" t="n">
        <f aca="false">K15+K16+K17+K18</f>
        <v>1362.67322449427</v>
      </c>
      <c r="L19" s="0" t="n">
        <f aca="false">L15+L16+L17+L18</f>
        <v>1398.05804989124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747.958846027397</v>
      </c>
      <c r="D21" s="0" t="n">
        <f aca="false">D19*D20</f>
        <v>743.699941632577</v>
      </c>
      <c r="E21" s="0" t="n">
        <f aca="false">E19*E20</f>
        <v>737.832965218816</v>
      </c>
      <c r="F21" s="0" t="n">
        <f aca="false">F19*F20</f>
        <v>729.205775999568</v>
      </c>
      <c r="G21" s="0" t="n">
        <f aca="false">G19*G20</f>
        <v>705.257261630736</v>
      </c>
      <c r="H21" s="0" t="n">
        <f aca="false">H19*H20</f>
        <v>689.823841951422</v>
      </c>
      <c r="I21" s="0" t="n">
        <f aca="false">I19*I20</f>
        <v>660.630656876063</v>
      </c>
      <c r="J21" s="0" t="n">
        <f aca="false">J19*J20</f>
        <v>639.486736075828</v>
      </c>
      <c r="K21" s="0" t="n">
        <f aca="false">K19*K20</f>
        <v>602.094485880897</v>
      </c>
      <c r="L21" s="0" t="n">
        <f aca="false">L19*L20</f>
        <v>564.136257016399</v>
      </c>
    </row>
    <row r="23" customFormat="false" ht="15" hidden="false" customHeight="false" outlineLevel="0" collapsed="false">
      <c r="A23" s="0" t="s">
        <v>103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108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109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6820.1267683097</v>
      </c>
    </row>
    <row r="31" customFormat="false" ht="15" hidden="false" customHeight="false" outlineLevel="0" collapsed="false">
      <c r="A31" s="0" t="s">
        <v>131</v>
      </c>
      <c r="B31" s="0" t="n">
        <f aca="false">L19</f>
        <v>1398.05804989124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20471.5643019789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20970.8707483687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20471.5643019789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8260.56662059727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15080.693388907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16413.693388907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47.4384201991531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0.186553781869762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337.084005384021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348.694243165777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49.4204382585456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11464.0760091082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27.426057669586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115</v>
      </c>
      <c r="B3" s="0" t="s">
        <v>85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Assumptions!C41</f>
        <v>9</v>
      </c>
      <c r="D5" s="4" t="n">
        <f aca="false">Assumptions!D41</f>
        <v>8</v>
      </c>
      <c r="E5" s="4" t="n">
        <f aca="false">Assumptions!E41</f>
        <v>7.5</v>
      </c>
      <c r="F5" s="4" t="n">
        <f aca="false">Assumptions!F41</f>
        <v>7</v>
      </c>
      <c r="G5" s="4" t="n">
        <f aca="false">Assumptions!G41</f>
        <v>6.5</v>
      </c>
      <c r="H5" s="4" t="n">
        <f aca="false">Assumptions!H41</f>
        <v>6</v>
      </c>
      <c r="I5" s="4" t="n">
        <f aca="false">Assumptions!I41</f>
        <v>5</v>
      </c>
      <c r="J5" s="4" t="n">
        <f aca="false">Assumptions!J41</f>
        <v>4.5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12438</v>
      </c>
      <c r="C6" s="0" t="n">
        <f aca="false">B6*(1+C5/100)</f>
        <v>13557.42</v>
      </c>
      <c r="D6" s="0" t="n">
        <f aca="false">C6*(1+D5/100)</f>
        <v>14642.0136</v>
      </c>
      <c r="E6" s="0" t="n">
        <f aca="false">D6*(1+E5/100)</f>
        <v>15740.16462</v>
      </c>
      <c r="F6" s="0" t="n">
        <f aca="false">E6*(1+F5/100)</f>
        <v>16841.9761434</v>
      </c>
      <c r="G6" s="0" t="n">
        <f aca="false">F6*(1+G5/100)</f>
        <v>17936.704592721</v>
      </c>
      <c r="H6" s="0" t="n">
        <f aca="false">G6*(1+H5/100)</f>
        <v>19012.9068682843</v>
      </c>
      <c r="I6" s="0" t="n">
        <f aca="false">H6*(1+I5/100)</f>
        <v>19963.5522116985</v>
      </c>
      <c r="J6" s="0" t="n">
        <f aca="false">I6*(1+J5/100)</f>
        <v>20861.9120612249</v>
      </c>
      <c r="K6" s="0" t="n">
        <f aca="false">J6*(1+K5/100)</f>
        <v>21696.3885436739</v>
      </c>
      <c r="L6" s="0" t="n">
        <f aca="false">K6*(1+L5/100)</f>
        <v>22455.7621427025</v>
      </c>
    </row>
    <row r="7" customFormat="false" ht="15" hidden="false" customHeight="false" outlineLevel="0" collapsed="false">
      <c r="A7" s="0" t="s">
        <v>101</v>
      </c>
      <c r="C7" s="4" t="n">
        <f aca="false">Assumptions!C42</f>
        <v>15.4</v>
      </c>
      <c r="D7" s="4" t="n">
        <f aca="false">Assumptions!D42</f>
        <v>15.7</v>
      </c>
      <c r="E7" s="4" t="n">
        <f aca="false">Assumptions!E42</f>
        <v>16</v>
      </c>
      <c r="F7" s="4" t="n">
        <f aca="false">Assumptions!F42</f>
        <v>16.3</v>
      </c>
      <c r="G7" s="4" t="n">
        <f aca="false">Assumptions!G42</f>
        <v>16.5</v>
      </c>
      <c r="H7" s="4" t="n">
        <f aca="false">Assumptions!H42</f>
        <v>16.7</v>
      </c>
      <c r="I7" s="4" t="n">
        <f aca="false">Assumptions!I42</f>
        <v>16.9</v>
      </c>
      <c r="J7" s="4" t="n">
        <f aca="false">Assumptions!J42</f>
        <v>17</v>
      </c>
      <c r="K7" s="4" t="n">
        <f aca="false">Assumptions!K42</f>
        <v>17</v>
      </c>
      <c r="L7" s="4" t="n">
        <f aca="false">Assumptions!L42</f>
        <v>17</v>
      </c>
    </row>
    <row r="8" customFormat="false" ht="15" hidden="false" customHeight="false" outlineLevel="0" collapsed="false">
      <c r="A8" s="0" t="s">
        <v>43</v>
      </c>
      <c r="C8" s="0" t="n">
        <f aca="false">C6*C7/100</f>
        <v>2087.84268</v>
      </c>
      <c r="D8" s="0" t="n">
        <f aca="false">D6*D7/100</f>
        <v>2298.7961352</v>
      </c>
      <c r="E8" s="0" t="n">
        <f aca="false">E6*E7/100</f>
        <v>2518.4263392</v>
      </c>
      <c r="F8" s="0" t="n">
        <f aca="false">F6*F7/100</f>
        <v>2745.2421113742</v>
      </c>
      <c r="G8" s="0" t="n">
        <f aca="false">G6*G7/100</f>
        <v>2959.55625779897</v>
      </c>
      <c r="H8" s="0" t="n">
        <f aca="false">H6*H7/100</f>
        <v>3175.15544700347</v>
      </c>
      <c r="I8" s="0" t="n">
        <f aca="false">I6*I7/100</f>
        <v>3373.84032377704</v>
      </c>
      <c r="J8" s="0" t="n">
        <f aca="false">J6*J7/100</f>
        <v>3546.52505040823</v>
      </c>
      <c r="K8" s="0" t="n">
        <f aca="false">K6*K7/100</f>
        <v>3688.38605242456</v>
      </c>
      <c r="L8" s="0" t="n">
        <f aca="false">L6*L7/100</f>
        <v>3817.47956425942</v>
      </c>
    </row>
    <row r="9" customFormat="false" ht="15" hidden="false" customHeight="false" outlineLevel="0" collapsed="false">
      <c r="A9" s="0" t="s">
        <v>102</v>
      </c>
      <c r="C9" s="4" t="n">
        <f aca="false">Assumptions!C43</f>
        <v>0.35</v>
      </c>
      <c r="D9" s="4" t="n">
        <f aca="false">Assumptions!D43</f>
        <v>0.35</v>
      </c>
      <c r="E9" s="4" t="n">
        <f aca="false">Assumptions!E43</f>
        <v>0.34</v>
      </c>
      <c r="F9" s="4" t="n">
        <f aca="false">Assumptions!F43</f>
        <v>0.34</v>
      </c>
      <c r="G9" s="4" t="n">
        <f aca="false">Assumptions!G43</f>
        <v>0.33</v>
      </c>
      <c r="H9" s="4" t="n">
        <f aca="false">Assumptions!H43</f>
        <v>0.33</v>
      </c>
      <c r="I9" s="4" t="n">
        <f aca="false">Assumptions!I43</f>
        <v>0.32</v>
      </c>
      <c r="J9" s="4" t="n">
        <f aca="false">Assumptions!J43</f>
        <v>0.32</v>
      </c>
      <c r="K9" s="4" t="n">
        <f aca="false">Assumptions!K43</f>
        <v>0.31</v>
      </c>
      <c r="L9" s="4" t="n">
        <f aca="false">Assumptions!L43</f>
        <v>0.3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-47.45097</v>
      </c>
      <c r="D10" s="0" t="n">
        <f aca="false">-D6*D9/100</f>
        <v>-51.2470476</v>
      </c>
      <c r="E10" s="0" t="n">
        <f aca="false">-E6*E9/100</f>
        <v>-53.516559708</v>
      </c>
      <c r="F10" s="0" t="n">
        <f aca="false">-F6*F9/100</f>
        <v>-57.26271888756</v>
      </c>
      <c r="G10" s="0" t="n">
        <f aca="false">-G6*G9/100</f>
        <v>-59.1911251559793</v>
      </c>
      <c r="H10" s="0" t="n">
        <f aca="false">-H6*H9/100</f>
        <v>-62.7425926653381</v>
      </c>
      <c r="I10" s="0" t="n">
        <f aca="false">-I6*I9/100</f>
        <v>-63.8833670774351</v>
      </c>
      <c r="J10" s="0" t="n">
        <f aca="false">-J6*J9/100</f>
        <v>-66.7581185959197</v>
      </c>
      <c r="K10" s="0" t="n">
        <f aca="false">-K6*K9/100</f>
        <v>-67.2588044853891</v>
      </c>
      <c r="L10" s="0" t="n">
        <f aca="false">-L6*L9/100</f>
        <v>-67.3672864281075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2040.39171</v>
      </c>
      <c r="D11" s="0" t="n">
        <f aca="false">D8+D10+D24</f>
        <v>2247.5490876</v>
      </c>
      <c r="E11" s="0" t="n">
        <f aca="false">E8+E10+E24</f>
        <v>2464.909779492</v>
      </c>
      <c r="F11" s="0" t="n">
        <f aca="false">F8+F10+F24</f>
        <v>2687.97939248664</v>
      </c>
      <c r="G11" s="0" t="n">
        <f aca="false">G8+G10+G24</f>
        <v>2900.36513264299</v>
      </c>
      <c r="H11" s="0" t="n">
        <f aca="false">H8+H10+H24</f>
        <v>3112.41285433813</v>
      </c>
      <c r="I11" s="0" t="n">
        <f aca="false">I8+I10+I24</f>
        <v>3309.95695669961</v>
      </c>
      <c r="J11" s="0" t="n">
        <f aca="false">J8+J10+J24</f>
        <v>3479.76693181231</v>
      </c>
      <c r="K11" s="0" t="n">
        <f aca="false">K8+K10+K24</f>
        <v>3621.12724793917</v>
      </c>
      <c r="L11" s="0" t="n">
        <f aca="false">L8+L10+L24</f>
        <v>3750.11227783132</v>
      </c>
    </row>
    <row r="12" customFormat="false" ht="15" hidden="false" customHeight="false" outlineLevel="0" collapsed="false">
      <c r="A12" s="0" t="s">
        <v>119</v>
      </c>
      <c r="C12" s="4" t="n">
        <f aca="false">-C6*Assumptions!C45/100</f>
        <v>-508.40325</v>
      </c>
      <c r="D12" s="4" t="n">
        <f aca="false">-D6*Assumptions!D45/100</f>
        <v>-549.07551</v>
      </c>
      <c r="E12" s="4" t="n">
        <f aca="false">-E6*Assumptions!E45/100</f>
        <v>-582.38609094</v>
      </c>
      <c r="F12" s="4" t="n">
        <f aca="false">-F6*Assumptions!F45/100</f>
        <v>-623.1531173058</v>
      </c>
      <c r="G12" s="4" t="n">
        <f aca="false">-G6*Assumptions!G45/100</f>
        <v>-654.689717634317</v>
      </c>
      <c r="H12" s="4" t="n">
        <f aca="false">-H6*Assumptions!H45/100</f>
        <v>-693.971100692376</v>
      </c>
      <c r="I12" s="4" t="n">
        <f aca="false">-I6*Assumptions!I45/100</f>
        <v>-718.687879621145</v>
      </c>
      <c r="J12" s="4" t="n">
        <f aca="false">-J6*Assumptions!J45/100</f>
        <v>-751.028834204097</v>
      </c>
      <c r="K12" s="4" t="n">
        <f aca="false">-K6*Assumptions!K45/100</f>
        <v>-781.069987572261</v>
      </c>
      <c r="L12" s="4" t="n">
        <f aca="false">-L6*Assumptions!L45/100</f>
        <v>-808.40743713729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1531.98846</v>
      </c>
      <c r="D13" s="0" t="n">
        <f aca="false">D11+D12</f>
        <v>1698.4735776</v>
      </c>
      <c r="E13" s="0" t="n">
        <f aca="false">E11+E12</f>
        <v>1882.523688552</v>
      </c>
      <c r="F13" s="0" t="n">
        <f aca="false">F11+F12</f>
        <v>2064.82627518084</v>
      </c>
      <c r="G13" s="0" t="n">
        <f aca="false">G11+G12</f>
        <v>2245.67541500867</v>
      </c>
      <c r="H13" s="0" t="n">
        <f aca="false">H11+H12</f>
        <v>2418.44175364576</v>
      </c>
      <c r="I13" s="0" t="n">
        <f aca="false">I11+I12</f>
        <v>2591.26907707846</v>
      </c>
      <c r="J13" s="0" t="n">
        <f aca="false">J11+J12</f>
        <v>2728.73809760822</v>
      </c>
      <c r="K13" s="0" t="n">
        <f aca="false">K11+K12</f>
        <v>2840.05726036691</v>
      </c>
      <c r="L13" s="0" t="n">
        <f aca="false">L11+L12</f>
        <v>2941.70484069403</v>
      </c>
    </row>
    <row r="14" customFormat="false" ht="15" hidden="false" customHeight="false" outlineLevel="0" collapsed="false">
      <c r="A14" s="0" t="s">
        <v>106</v>
      </c>
      <c r="C14" s="4" t="n">
        <f aca="false">Assumptions!C47</f>
        <v>33</v>
      </c>
      <c r="D14" s="4" t="n">
        <f aca="false">Assumptions!D47</f>
        <v>33</v>
      </c>
      <c r="E14" s="4" t="n">
        <f aca="false">Assumptions!E47</f>
        <v>33</v>
      </c>
      <c r="F14" s="4" t="n">
        <f aca="false">Assumptions!F47</f>
        <v>33</v>
      </c>
      <c r="G14" s="4" t="n">
        <f aca="false">Assumptions!G47</f>
        <v>33</v>
      </c>
      <c r="H14" s="4" t="n">
        <f aca="false">Assumptions!H47</f>
        <v>33</v>
      </c>
      <c r="I14" s="4" t="n">
        <f aca="false">Assumptions!I47</f>
        <v>33</v>
      </c>
      <c r="J14" s="4" t="n">
        <f aca="false">Assumptions!J47</f>
        <v>33</v>
      </c>
      <c r="K14" s="4" t="n">
        <f aca="false">Assumptions!K47</f>
        <v>33</v>
      </c>
      <c r="L14" s="4" t="n">
        <f aca="false">Assumptions!L47</f>
        <v>33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1026.4322682</v>
      </c>
      <c r="D15" s="0" t="n">
        <f aca="false">D13-MAX(0,D13)*D14/100</f>
        <v>1137.977296992</v>
      </c>
      <c r="E15" s="0" t="n">
        <f aca="false">E13-MAX(0,E13)*E14/100</f>
        <v>1261.29087132984</v>
      </c>
      <c r="F15" s="0" t="n">
        <f aca="false">F13-MAX(0,F13)*F14/100</f>
        <v>1383.43360437116</v>
      </c>
      <c r="G15" s="0" t="n">
        <f aca="false">G13-MAX(0,G13)*G14/100</f>
        <v>1504.60252805581</v>
      </c>
      <c r="H15" s="0" t="n">
        <f aca="false">H13-MAX(0,H13)*H14/100</f>
        <v>1620.35597494266</v>
      </c>
      <c r="I15" s="0" t="n">
        <f aca="false">I13-MAX(0,I13)*I14/100</f>
        <v>1736.15028164257</v>
      </c>
      <c r="J15" s="0" t="n">
        <f aca="false">J13-MAX(0,J13)*J14/100</f>
        <v>1828.25452539751</v>
      </c>
      <c r="K15" s="0" t="n">
        <f aca="false">K13-MAX(0,K13)*K14/100</f>
        <v>1902.83836444583</v>
      </c>
      <c r="L15" s="0" t="n">
        <f aca="false">L13-MAX(0,L13)*L14/100</f>
        <v>1970.942243265</v>
      </c>
    </row>
    <row r="16" customFormat="false" ht="15" hidden="false" customHeight="false" outlineLevel="0" collapsed="false">
      <c r="A16" s="0" t="s">
        <v>122</v>
      </c>
      <c r="C16" s="0" t="n">
        <f aca="false">-C12</f>
        <v>508.40325</v>
      </c>
      <c r="D16" s="0" t="n">
        <f aca="false">-D12</f>
        <v>549.07551</v>
      </c>
      <c r="E16" s="0" t="n">
        <f aca="false">-E12</f>
        <v>582.38609094</v>
      </c>
      <c r="F16" s="0" t="n">
        <f aca="false">-F12</f>
        <v>623.1531173058</v>
      </c>
      <c r="G16" s="0" t="n">
        <f aca="false">-G12</f>
        <v>654.689717634317</v>
      </c>
      <c r="H16" s="0" t="n">
        <f aca="false">-H12</f>
        <v>693.971100692376</v>
      </c>
      <c r="I16" s="0" t="n">
        <f aca="false">-I12</f>
        <v>718.687879621145</v>
      </c>
      <c r="J16" s="0" t="n">
        <f aca="false">-J12</f>
        <v>751.028834204097</v>
      </c>
      <c r="K16" s="0" t="n">
        <f aca="false">-K12</f>
        <v>781.069987572261</v>
      </c>
      <c r="L16" s="0" t="n">
        <f aca="false">-L12</f>
        <v>808.40743713729</v>
      </c>
    </row>
    <row r="17" customFormat="false" ht="15" hidden="false" customHeight="false" outlineLevel="0" collapsed="false">
      <c r="A17" s="0" t="s">
        <v>123</v>
      </c>
      <c r="C17" s="4" t="n">
        <f aca="false">-C6*Assumptions!C46/100</f>
        <v>-691.42842</v>
      </c>
      <c r="D17" s="4" t="n">
        <f aca="false">-D6*Assumptions!D46/100</f>
        <v>-732.10068</v>
      </c>
      <c r="E17" s="4" t="n">
        <f aca="false">-E6*Assumptions!E46/100</f>
        <v>-771.26806638</v>
      </c>
      <c r="F17" s="4" t="n">
        <f aca="false">-F6*Assumptions!F46/100</f>
        <v>-808.4148548832</v>
      </c>
      <c r="G17" s="4" t="n">
        <f aca="false">-G6*Assumptions!G46/100</f>
        <v>-843.025115857887</v>
      </c>
      <c r="H17" s="4" t="n">
        <f aca="false">-H6*Assumptions!H46/100</f>
        <v>-874.593715941076</v>
      </c>
      <c r="I17" s="4" t="n">
        <f aca="false">-I6*Assumptions!I46/100</f>
        <v>-898.359849526431</v>
      </c>
      <c r="J17" s="4" t="n">
        <f aca="false">-J6*Assumptions!J46/100</f>
        <v>-938.786042755121</v>
      </c>
      <c r="K17" s="4" t="n">
        <f aca="false">-K6*Assumptions!K46/100</f>
        <v>-976.337484465326</v>
      </c>
      <c r="L17" s="4" t="n">
        <f aca="false">-L6*Assumptions!L46/100</f>
        <v>-1010.50929642161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843.4070982</v>
      </c>
      <c r="D19" s="0" t="n">
        <f aca="false">D15+D16+D17+D18</f>
        <v>954.952126992</v>
      </c>
      <c r="E19" s="0" t="n">
        <f aca="false">E15+E16+E17+E18</f>
        <v>1072.40889588984</v>
      </c>
      <c r="F19" s="0" t="n">
        <f aca="false">F15+F16+F17+F18</f>
        <v>1198.17186679376</v>
      </c>
      <c r="G19" s="0" t="n">
        <f aca="false">G15+G16+G17+G18</f>
        <v>1316.26712983224</v>
      </c>
      <c r="H19" s="0" t="n">
        <f aca="false">H15+H16+H17+H18</f>
        <v>1439.73335969396</v>
      </c>
      <c r="I19" s="0" t="n">
        <f aca="false">I15+I16+I17+I18</f>
        <v>1556.47831173728</v>
      </c>
      <c r="J19" s="0" t="n">
        <f aca="false">J15+J16+J17+J18</f>
        <v>1640.49731684648</v>
      </c>
      <c r="K19" s="0" t="n">
        <f aca="false">K15+K16+K17+K18</f>
        <v>1707.57086755277</v>
      </c>
      <c r="L19" s="0" t="n">
        <f aca="false">L15+L16+L17+L18</f>
        <v>1768.84038398068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770.234792876712</v>
      </c>
      <c r="D21" s="0" t="n">
        <f aca="false">D19*D20</f>
        <v>796.440547104523</v>
      </c>
      <c r="E21" s="0" t="n">
        <f aca="false">E19*E20</f>
        <v>816.804365792138</v>
      </c>
      <c r="F21" s="0" t="n">
        <f aca="false">F19*F20</f>
        <v>833.417549717044</v>
      </c>
      <c r="G21" s="0" t="n">
        <f aca="false">G19*G20</f>
        <v>836.129295770589</v>
      </c>
      <c r="H21" s="0" t="n">
        <f aca="false">H19*H20</f>
        <v>835.213206124934</v>
      </c>
      <c r="I21" s="0" t="n">
        <f aca="false">I19*I20</f>
        <v>824.601725590983</v>
      </c>
      <c r="J21" s="0" t="n">
        <f aca="false">J19*J20</f>
        <v>793.71131394452</v>
      </c>
      <c r="K21" s="0" t="n">
        <f aca="false">K19*K20</f>
        <v>754.486831562972</v>
      </c>
      <c r="L21" s="0" t="n">
        <f aca="false">L19*L20</f>
        <v>713.752189013849</v>
      </c>
    </row>
    <row r="23" customFormat="false" ht="15" hidden="false" customHeight="false" outlineLevel="0" collapsed="false">
      <c r="A23" s="0" t="s">
        <v>103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108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109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7974.79181749826</v>
      </c>
    </row>
    <row r="31" customFormat="false" ht="15" hidden="false" customHeight="false" outlineLevel="0" collapsed="false">
      <c r="A31" s="0" t="s">
        <v>131</v>
      </c>
      <c r="B31" s="0" t="n">
        <f aca="false">L19</f>
        <v>1768.84038398068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28029.3168538476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26532.6057597101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26532.6057597101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10706.2828352077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18681.074652706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20014.074652706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57.844146395104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0.446827073414308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363.709793681828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430.756391842422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60.1402914399718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15182.5466291675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32.5215560980681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2" t="s">
        <v>148</v>
      </c>
      <c r="B3" s="2" t="s">
        <v>149</v>
      </c>
      <c r="C3" s="2" t="s">
        <v>139</v>
      </c>
      <c r="D3" s="2" t="s">
        <v>150</v>
      </c>
      <c r="E3" s="2" t="s">
        <v>142</v>
      </c>
      <c r="F3" s="2" t="s">
        <v>151</v>
      </c>
    </row>
    <row r="4" customFormat="false" ht="15" hidden="false" customHeight="false" outlineLevel="0" collapsed="false">
      <c r="A4" s="0" t="s">
        <v>152</v>
      </c>
      <c r="B4" s="4" t="n">
        <f aca="false">DCF_Bear!$B$38</f>
        <v>33.2827736705593</v>
      </c>
      <c r="C4" s="0" t="n">
        <f aca="false">B4/Assumptions!$B$2-1</f>
        <v>-0.167514415443738</v>
      </c>
      <c r="D4" s="4" t="n">
        <f aca="false">Assumptions!$B$24</f>
        <v>0.25</v>
      </c>
      <c r="E4" s="4" t="n">
        <f aca="false">DCF_Bear!$B$43</f>
        <v>34.8991381262296</v>
      </c>
      <c r="F4" s="4" t="n">
        <f aca="false">DCF_Bear!$B$47</f>
        <v>20.8482843726962</v>
      </c>
    </row>
    <row r="5" customFormat="false" ht="15" hidden="false" customHeight="false" outlineLevel="0" collapsed="false">
      <c r="A5" s="0" t="s">
        <v>153</v>
      </c>
      <c r="B5" s="4" t="n">
        <f aca="false">DCF_Base!$B$38</f>
        <v>47.4384201991531</v>
      </c>
      <c r="C5" s="0" t="n">
        <f aca="false">B5/Assumptions!$B$2-1</f>
        <v>0.186553781869762</v>
      </c>
      <c r="D5" s="4" t="n">
        <f aca="false">Assumptions!$B$38</f>
        <v>0.5</v>
      </c>
      <c r="E5" s="4" t="n">
        <f aca="false">DCF_Base!$B$43</f>
        <v>49.4204382585456</v>
      </c>
      <c r="F5" s="4" t="n">
        <f aca="false">DCF_Base!$B$47</f>
        <v>27.426057669586</v>
      </c>
    </row>
    <row r="6" customFormat="false" ht="15" hidden="false" customHeight="false" outlineLevel="0" collapsed="false">
      <c r="A6" s="0" t="s">
        <v>154</v>
      </c>
      <c r="B6" s="4" t="n">
        <f aca="false">DCF_Bull!$B$38</f>
        <v>57.844146395104</v>
      </c>
      <c r="C6" s="0" t="n">
        <f aca="false">B6/Assumptions!$B$2-1</f>
        <v>0.446827073414308</v>
      </c>
      <c r="D6" s="4" t="n">
        <f aca="false">Assumptions!$B$52</f>
        <v>0.25</v>
      </c>
      <c r="E6" s="4" t="n">
        <f aca="false">DCF_Bull!$B$43</f>
        <v>60.1402914399718</v>
      </c>
      <c r="F6" s="4" t="n">
        <f aca="false">DCF_Bull!$B$47</f>
        <v>32.5215560980681</v>
      </c>
    </row>
    <row r="8" customFormat="false" ht="15" hidden="false" customHeight="false" outlineLevel="0" collapsed="false">
      <c r="A8" s="0" t="s">
        <v>155</v>
      </c>
      <c r="B8" s="0" t="n">
        <f aca="false">SUMPRODUCT(B4:B6,D4:D6)</f>
        <v>46.5009401159924</v>
      </c>
    </row>
    <row r="9" customFormat="false" ht="15" hidden="false" customHeight="false" outlineLevel="0" collapsed="false">
      <c r="A9" s="0" t="s">
        <v>156</v>
      </c>
      <c r="B9" s="0" t="n">
        <f aca="false">SUMPRODUCT(E4:E6,D4:D6)</f>
        <v>48.4700765208231</v>
      </c>
    </row>
    <row r="10" customFormat="false" ht="15" hidden="false" customHeight="false" outlineLevel="0" collapsed="false">
      <c r="A10" s="0" t="s">
        <v>157</v>
      </c>
      <c r="B10" s="0" t="n">
        <f aca="false">1-Assumptions!$B$2/B8</f>
        <v>0.140232436155624</v>
      </c>
    </row>
    <row r="11" customFormat="false" ht="15" hidden="false" customHeight="false" outlineLevel="0" collapsed="false">
      <c r="A11" s="0" t="s">
        <v>158</v>
      </c>
      <c r="B11" s="0" t="n">
        <f aca="false">IF(ABS(B9-B8)&gt;0.01*ABS(B8),(Assumptions!$B$2-B8)/(B9-B8)*100,"n/a")</f>
        <v>-331.157359134443</v>
      </c>
    </row>
    <row r="12" customFormat="false" ht="15" hidden="false" customHeight="false" outlineLevel="0" collapsed="false">
      <c r="A12" s="0" t="s">
        <v>159</v>
      </c>
      <c r="B12" s="0" t="n">
        <f aca="false">SUMPRODUCT(F4:F6,D4:D6)</f>
        <v>27.0554889524841</v>
      </c>
    </row>
    <row r="14" customFormat="false" ht="15" hidden="false" customHeight="false" outlineLevel="0" collapsed="false">
      <c r="A14" s="2" t="s">
        <v>160</v>
      </c>
      <c r="C14" s="0" t="s">
        <v>161</v>
      </c>
    </row>
    <row r="15" customFormat="false" ht="15" hidden="false" customHeight="false" outlineLevel="0" collapsed="false">
      <c r="A15" s="0" t="s">
        <v>162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49.6474350811796</v>
      </c>
      <c r="C15" s="3" t="n">
        <v>9</v>
      </c>
    </row>
    <row r="16" customFormat="false" ht="15" hidden="false" customHeight="false" outlineLevel="0" collapsed="false">
      <c r="A16" s="0" t="s">
        <v>163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47.4384201991531</v>
      </c>
      <c r="C16" s="3" t="n">
        <v>9.5</v>
      </c>
    </row>
    <row r="17" customFormat="false" ht="15" hidden="false" customHeight="false" outlineLevel="0" collapsed="false">
      <c r="A17" s="0" t="s">
        <v>164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44.3898083542505</v>
      </c>
      <c r="C17" s="3" t="n">
        <v>10</v>
      </c>
    </row>
    <row r="18" customFormat="false" ht="15" hidden="false" customHeight="false" outlineLevel="0" collapsed="false">
      <c r="A18" s="0" t="s">
        <v>165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39.3780313926506</v>
      </c>
      <c r="C18" s="3" t="n">
        <v>11</v>
      </c>
    </row>
    <row r="19" customFormat="false" ht="15" hidden="false" customHeight="false" outlineLevel="0" collapsed="false">
      <c r="A19" s="0" t="s">
        <v>166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35.4320548007587</v>
      </c>
      <c r="C19" s="3" t="n">
        <v>12</v>
      </c>
    </row>
    <row r="20" customFormat="false" ht="15" hidden="false" customHeight="false" outlineLevel="0" collapsed="false">
      <c r="A20" s="0" t="s">
        <v>167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27.426057669586</v>
      </c>
      <c r="C20" s="3" t="n">
        <v>15</v>
      </c>
    </row>
    <row r="22" customFormat="false" ht="15" hidden="false" customHeight="false" outlineLevel="0" collapsed="false">
      <c r="A22" s="2" t="s">
        <v>168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55.0054332199143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55.0054332199143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55.0054332199143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55.0054332199143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55.0054332199143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50.4574227924845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51.3509786954351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51.3509786954351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51.3509786954351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51.3509786954351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44.2503049977031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45.7380920917131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47.4384201991531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48.0207243455367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48.0207243455367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39.4408208027018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40.5160404032203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41.7256624538037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43.0965674444648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44.6633160052204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35.6085524836201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36.4069546345166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37.2940681355127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38.2855479307437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39.4009627003786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2026-10-04T09:40:33Z</dcterms:created>
  <dc:creator>openpyxl</dc:creator>
  <dc:description/>
  <dc:language>en-NZ</dc:language>
  <cp:lastModifiedBy/>
  <dcterms:modified xsi:type="dcterms:W3CDTF">2026-10-04T09:40:33Z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