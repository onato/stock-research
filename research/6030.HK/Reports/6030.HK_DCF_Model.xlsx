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<sst xmlns="http://schemas.openxmlformats.org/spreadsheetml/2006/main" count="361" uniqueCount="169">
  <si>
    <t xml:space="preserve">Ticker</t>
  </si>
  <si>
    <t xml:space="preserve">6030.HK</t>
  </si>
  <si>
    <t xml:space="preserve">Company</t>
  </si>
  <si>
    <t xml:space="preserve">CITIC Securities Company Limited</t>
  </si>
  <si>
    <t xml:space="preserve">Valuation date</t>
  </si>
  <si>
    <t xml:space="preserve">2026-10-23</t>
  </si>
  <si>
    <t xml:space="preserve">Current price</t>
  </si>
  <si>
    <t xml:space="preserve">Price as of</t>
  </si>
  <si>
    <t xml:space="preserve">2026-10-23T08:08:08Z (HKEX regular session; 52-week range 20.04-32.50)</t>
  </si>
  <si>
    <t xml:space="preserve">Balance sheet date</t>
  </si>
  <si>
    <t xml:space="preserve">2026-06-30</t>
  </si>
  <si>
    <t xml:space="preserve">Model</t>
  </si>
  <si>
    <t xml:space="preserve">Broker FCFE capitalisation at cost of equity (bank-style, net debt held at zero, 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</si>
  <si>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</si>
  <si>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</si>
  <si>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</si>
  <si>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</si>
  <si>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</si>
  <si>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</si>
  <si>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</si>
  <si>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</si>
  <si>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</si>
  <si>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2026-10-23T10:40:05Z</t>
  </si>
  <si>
    <t xml:space="preserve">Drivers file</t>
  </si>
  <si>
    <t xml:space="preserve">6030.HK_Drivers.json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</si>
  <si>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</si>
  <si>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</si>
  <si>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</si>
  <si>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broker's value is its through-cycle return on equity against its cost of equity, not a snapshot of a boom year. CITIC Securities is the scale leader and state champion of a sector Beijing wants to consolidate, and it has earned ~9.5% on equity across the last cycle - about its cost of equity - so fair value is close to book. FY2026 earnings (likely ~RMB44bn, ROE ~12-13%) are a cycle high built on +70% A-share turnover, and the model fades them rather than capitalising them. The H-share at ~0.77x pro-forma book and ~6.5x FY2026E earnings prices a cycle reversal; the A-share at ~1.1x book prices the reform story. The valuation sits between, nearer the H.
key_risks_to_valuation: Cycle reversal: 37% of FY2025 revenue was mark-to-market investment income on a RMB770bn FVTPL book; a market fall reverses it (bear case -20% revenue in FY2027).; Policy: CSRC levers on IPO pace, margin rules, stamp duty and fund fee-rate reform can cut brokerage, IB and AM revenue abruptly.; Retention earning below cost of equity: actual payout ~30-35% means the company keeps compounding book at 8-9%/yr; if the retained capital (including the RMB16bn CLSA injection) earns 7% rather than 9.5-10%, value falls toward the bear case regardless of the cycle.; Consolidation: a CITIC-CSC Financial tie-up (speculative, unconfirmed) would bring dilution and integration risk; merged rivals could take underwriting share.; Currency: value is built in CNY and bridged at 1.1747 HKD/CNY; CNY depreciation lowers the HKD value one-for-one.; A/H discount: the H-share may stay at a ~40% discount to the A-share indefinitely; the model does not assume the discount closes.</t>
  </si>
  <si>
    <t xml:space="preserve">Data sources</t>
  </si>
  <si>
    <t xml:space="preserve">price: Yahoo Finance chart API for 6030.HK at inputs.price_as_of; 52-week range 20.04-32.50. CNYHKD=X and 600030.SS from the same API at the same time.
financials: 6030.HK_Metrics.csv / core_metrics (FY2017-FY2025 annual, H1 FY2023-FY2026 interims; RMB millions). Share count, placement terms, H1 2026 P&amp;L and equity from 6030.HK_HalfYear_H1-2026.txt (lines 4076-4092, 4300-4310, 4654-4663, 1445). ROE, net capital, DPS and tax from 6030.HK_Annual_FY2025.txt (lines 1133-1136, 1069, 2380-2386, 10441-10456).
qualitative: 6030.HK_Analysis.json (2026-10-23).</t>
  </si>
  <si>
    <t xml:space="preserve">Scenario narrative: bear</t>
  </si>
  <si>
    <t xml:space="preserve">The boom reverses: a policy move to cool speculative turnover, or a market fall that flips the RMB770bn FVTPL book's marks. Revenue -20% in FY2027 and -8% in FY2028 (a harsher replay of FY2022-23), pre-tax margin 32-33%, fee-rate reform and the merged rivals (Guotai Haitong, CICC+Dongxing+Cinda) cap the recovery at 2.5% growth. ROE ~7% against a 10.5% cost of equity: the FCFE stream is ~RMB12-17bn and the equity is worth ~0.5x book, the 2023-24 trough rating for the sector.</t>
  </si>
  <si>
    <t xml:space="preserve">Scenario narrative: base</t>
  </si>
  <si>
    <t xml:space="preserve">FY2026 is the cycle peak: revenue +27% to ~RMB134bn on H1's +44%, pre-tax margin 43%, attributable profit ~RMB44bn (ROE ~12-13% on the enlarged base). FY2027-28 give back 11% of revenue as A-share turnover and investment-income marks normalise, the margin settles at 37% (top of the FY2021-25 range, held by the fee-mix shift to ChinaAMC/wealth management and scale), and growth fades to 3% nominal. Through-cycle ROE ~9.5% versus a 10.5% cost of equity, so fair value sits a little under pro-forma book (RMB23.5/sh): the FCFE stream of ~RMB24-29bn/yr capitalised at 7.5% (10.5% - 3%) plus the placement cash. The business compounds book at 5-6% while paying out ~55% of earnings in capacity terms; actual payout is lower (~30-35%) and the surplus is credited as value-neutral retention.</t>
  </si>
  <si>
    <t xml:space="preserve">Scenario narrative: bull</t>
  </si>
  <si>
    <t xml:space="preserve">The 2025-26 upswing is the start of the structural re-rating Beijing is engineering: consolidation toward ~10 leading institutions, pension pillars past RMB1tn, Stock Connect flows, and the RMB16bn CLSA recapitalisation lift international revenue past a quarter of the group. Revenue +38% in FY2026 with only a shallow FY2027 dip, a 40% pre-tax margin, ROE ~12%, terminal growth 3.5%. CITIC Securities earns above its cost of equity, so the value moves above book (~1.2x) - where the A-share already trades.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</si>
  <si>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</si>
  <si>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</si>
  <si>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</si>
  <si>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</si>
  <si>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</si>
  <si>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</si>
  <si>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</si>
  <si>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</si>
  <si>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</si>
  <si>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</si>
  <si>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</si>
  <si>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</si>
  <si>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</si>
  <si>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</si>
  <si>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</si>
  <si>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</si>
  <si>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</si>
  <si>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</si>
  <si>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</si>
  <si>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</si>
  <si>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</si>
  <si>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</si>
  <si>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</si>
  <si>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</si>
  <si>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</si>
  <si>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</si>
  <si>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</si>
  <si>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FeeAndCommissionIncome</t>
  </si>
  <si>
    <t xml:space="preserve">MarginAccountsReceivable</t>
  </si>
  <si>
    <t xml:space="preserve">TotalEquity</t>
  </si>
  <si>
    <t xml:space="preserve">TotalRevenueAndOtherIncome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</si>
  <si>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</si>
  <si>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</si>
  <si>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</si>
  <si>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</si>
  <si>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</si>
  <si>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</si>
  <si>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</si>
  <si>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</si>
  <si>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</si>
  <si>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</si>
  <si>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</si>
  <si>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</si>
  <si>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</si>
  <si>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</si>
  <si>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</si>
  <si>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</si>
  <si>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</si>
  <si>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</si>
  <si>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</si>
  <si>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</si>
  <si>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</si>
  <si>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</si>
  <si>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</si>
  <si>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</si>
  <si>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</si>
  <si>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</si>
  <si>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</si>
  <si>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</si>
  <si>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</si>
  <si>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</si>
  <si>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</si>
  <si>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</si>
  <si>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</si>
  <si>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</si>
  <si>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</si>
  <si>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</si>
  <si>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</si>
  <si>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</si>
  <si>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</si>
  <si>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</si>
  <si>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</si>
  <si>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</si>
  <si>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</si>
  <si>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</si>
  <si>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</si>
  <si>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</si>
  <si>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6030.HK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</si>
  <si>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</si>
  <si>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</si>
  <si>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</si>
  <si>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</si>
  <si>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</si>
  <si>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</si>
  <si>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</si>
  <si>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</si>
  <si>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</si>
  <si>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</si>
  <si>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</si>
  <si>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</si>
  <si>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</si>
  <si>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</si>
  <si>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</si>
  <si>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</si>
  <si>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</si>
  <si>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</si>
  <si>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</si>
  <si>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</si>
  <si>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</si>
  <si>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</si>
  <si>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</si>
  <si>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</si>
  <si>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</si>
  <si>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</si>
  <si>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</si>
  <si>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</si>
  <si>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</si>
  <si>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</si>
  <si>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6030.HK owner-FCF component DCF: base case (millions, CNY)</t>
  </si>
  <si>
    <t xml:space="preserve">6030.HK owner-FCF component DCF: bull case (millions, CNY)</t>
  </si>
  <si>
    <t xml:space="preserve">6030.HK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</si>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</sst>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21.24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48184.511</v>
      </c>
      <c r="F2" s="0" t="n">
        <v>15569.732</v>
      </c>
      <c r="G2" s="0" t="n">
        <v>32.3</v>
      </c>
      <c r="I2" s="0" t="n">
        <v>11433.265</v>
      </c>
      <c r="J2" s="0" t="n">
        <v>23.7</v>
      </c>
      <c r="K2" s="0" t="n">
        <v>0.94</v>
      </c>
      <c r="L2" s="0" t="n">
        <v>-66702.613</v>
      </c>
      <c r="M2" s="0" t="n">
        <v>391.818</v>
      </c>
      <c r="N2" s="0" t="n">
        <v>-67094.431</v>
      </c>
      <c r="O2" s="0" t="n">
        <v>149799.046</v>
      </c>
      <c r="R2" s="0" t="n">
        <v>118255.823</v>
      </c>
      <c r="S2" s="0" t="n">
        <v>30938.955</v>
      </c>
      <c r="T2" s="0" t="n">
        <v>12116.908</v>
      </c>
      <c r="AA2" s="0" t="s">
        <v>18</v>
      </c>
      <c r="AB2" s="0" t="s">
        <v>14</v>
      </c>
      <c r="AC2" s="0" t="n">
        <v>22664.65</v>
      </c>
      <c r="AD2" s="0" t="n">
        <v>73982.611</v>
      </c>
      <c r="AE2" s="0" t="n">
        <v>153142.559</v>
      </c>
      <c r="AF2" s="0" t="n">
        <v>56959.719</v>
      </c>
    </row>
    <row r="3" customFormat="false" ht="15" hidden="false" customHeight="false" outlineLevel="0" collapsed="false">
      <c r="A3" s="0" t="s">
        <v>69</v>
      </c>
      <c r="B3" s="0" t="n">
        <v>41995.093</v>
      </c>
      <c r="F3" s="0" t="n">
        <v>11733.916</v>
      </c>
      <c r="G3" s="0" t="n">
        <v>27.9</v>
      </c>
      <c r="I3" s="0" t="n">
        <v>9389.896</v>
      </c>
      <c r="J3" s="0" t="n">
        <v>22.4</v>
      </c>
      <c r="K3" s="0" t="n">
        <v>0.77</v>
      </c>
      <c r="L3" s="0" t="n">
        <v>57618.87</v>
      </c>
      <c r="M3" s="0" t="n">
        <v>449.868</v>
      </c>
      <c r="N3" s="0" t="n">
        <v>57169.002</v>
      </c>
      <c r="O3" s="0" t="n">
        <v>153140.769</v>
      </c>
      <c r="P3" s="0" t="n">
        <v>653133</v>
      </c>
      <c r="Q3" s="0" t="n">
        <v>496301</v>
      </c>
      <c r="R3" s="0" t="n">
        <v>112726.654</v>
      </c>
      <c r="S3" s="0" t="n">
        <v>47575.304</v>
      </c>
      <c r="T3" s="0" t="n">
        <v>12116.908</v>
      </c>
      <c r="AA3" s="0" t="s">
        <v>18</v>
      </c>
      <c r="AB3" s="0" t="s">
        <v>14</v>
      </c>
      <c r="AC3" s="0" t="n">
        <v>20294.821</v>
      </c>
      <c r="AD3" s="0" t="n">
        <v>57197.814</v>
      </c>
      <c r="AE3" s="0" t="n">
        <v>156831.496</v>
      </c>
      <c r="AF3" s="0" t="n">
        <v>51061.019</v>
      </c>
    </row>
    <row r="4" customFormat="false" ht="15" hidden="false" customHeight="false" outlineLevel="0" collapsed="false">
      <c r="A4" s="0" t="s">
        <v>70</v>
      </c>
      <c r="B4" s="0" t="n">
        <v>50663.468</v>
      </c>
      <c r="F4" s="0" t="n">
        <v>16193.515</v>
      </c>
      <c r="G4" s="0" t="n">
        <v>32</v>
      </c>
      <c r="I4" s="0" t="n">
        <v>12228.61</v>
      </c>
      <c r="J4" s="0" t="n">
        <v>24.1</v>
      </c>
      <c r="K4" s="0" t="n">
        <v>1.01</v>
      </c>
      <c r="L4" s="0" t="n">
        <v>-4004.045</v>
      </c>
      <c r="M4" s="0" t="n">
        <v>422.701</v>
      </c>
      <c r="N4" s="0" t="n">
        <v>-4426.746</v>
      </c>
      <c r="O4" s="0" t="n">
        <v>161625.209</v>
      </c>
      <c r="P4" s="0" t="n">
        <v>791722</v>
      </c>
      <c r="Q4" s="0" t="n">
        <v>626272</v>
      </c>
      <c r="R4" s="0" t="n">
        <v>117346.365</v>
      </c>
      <c r="S4" s="0" t="n">
        <v>59421.482</v>
      </c>
      <c r="T4" s="0" t="n">
        <v>12116.908</v>
      </c>
      <c r="AA4" s="0" t="s">
        <v>18</v>
      </c>
      <c r="AB4" s="0" t="s">
        <v>14</v>
      </c>
      <c r="AC4" s="0" t="n">
        <v>21515.042</v>
      </c>
      <c r="AD4" s="0" t="n">
        <v>70673.845</v>
      </c>
      <c r="AE4" s="0" t="n">
        <v>165449.792</v>
      </c>
      <c r="AF4" s="0" t="n">
        <v>57080.362</v>
      </c>
    </row>
    <row r="5" customFormat="false" ht="15" hidden="false" customHeight="false" outlineLevel="0" collapsed="false">
      <c r="A5" s="0" t="s">
        <v>71</v>
      </c>
      <c r="B5" s="0" t="n">
        <v>65250.76</v>
      </c>
      <c r="F5" s="0" t="n">
        <v>19884.701</v>
      </c>
      <c r="G5" s="0" t="n">
        <v>30.5</v>
      </c>
      <c r="I5" s="0" t="n">
        <v>14902.324</v>
      </c>
      <c r="J5" s="0" t="n">
        <v>22.8</v>
      </c>
      <c r="K5" s="0" t="n">
        <v>1.16</v>
      </c>
      <c r="L5" s="0" t="n">
        <v>20708.84</v>
      </c>
      <c r="M5" s="0" t="n">
        <v>609.264</v>
      </c>
      <c r="N5" s="0" t="n">
        <v>20099.576</v>
      </c>
      <c r="O5" s="0" t="n">
        <v>181712.069</v>
      </c>
      <c r="P5" s="0" t="n">
        <v>1052962</v>
      </c>
      <c r="Q5" s="0" t="n">
        <v>867080</v>
      </c>
      <c r="R5" s="0" t="n">
        <v>150177.205</v>
      </c>
      <c r="S5" s="0" t="n">
        <v>83339.178</v>
      </c>
      <c r="T5" s="0" t="n">
        <v>12926.776</v>
      </c>
      <c r="AA5" s="0" t="s">
        <v>18</v>
      </c>
      <c r="AB5" s="0" t="s">
        <v>14</v>
      </c>
      <c r="AC5" s="0" t="n">
        <v>31816.338</v>
      </c>
      <c r="AD5" s="0" t="n">
        <v>116741.432</v>
      </c>
      <c r="AE5" s="0" t="n">
        <v>185882.736</v>
      </c>
      <c r="AF5" s="0" t="n">
        <v>71868.885</v>
      </c>
    </row>
    <row r="6" customFormat="false" ht="15" hidden="false" customHeight="false" outlineLevel="0" collapsed="false">
      <c r="A6" s="0" t="s">
        <v>72</v>
      </c>
      <c r="B6" s="0" t="n">
        <v>84188.512</v>
      </c>
      <c r="F6" s="0" t="n">
        <v>31004.071</v>
      </c>
      <c r="G6" s="0" t="n">
        <v>36.8</v>
      </c>
      <c r="I6" s="0" t="n">
        <v>23099.625</v>
      </c>
      <c r="J6" s="0" t="n">
        <v>27.4</v>
      </c>
      <c r="K6" s="0" t="n">
        <v>1.77</v>
      </c>
      <c r="L6" s="0" t="n">
        <v>5516.792</v>
      </c>
      <c r="M6" s="0" t="n">
        <v>719.738</v>
      </c>
      <c r="N6" s="0" t="n">
        <v>4797.054</v>
      </c>
      <c r="O6" s="0" t="n">
        <v>209171.333</v>
      </c>
      <c r="P6" s="0" t="n">
        <v>1278665</v>
      </c>
      <c r="Q6" s="0" t="n">
        <v>1064857</v>
      </c>
      <c r="R6" s="0" t="n">
        <v>140425.82</v>
      </c>
      <c r="S6" s="0" t="n">
        <v>90064.626</v>
      </c>
      <c r="T6" s="0" t="n">
        <v>12926.776</v>
      </c>
      <c r="AA6" s="0" t="s">
        <v>18</v>
      </c>
      <c r="AB6" s="0" t="s">
        <v>14</v>
      </c>
      <c r="AC6" s="0" t="n">
        <v>40930.909</v>
      </c>
      <c r="AD6" s="0" t="n">
        <v>129119.054</v>
      </c>
      <c r="AE6" s="0" t="n">
        <v>213807.786</v>
      </c>
      <c r="AF6" s="0" t="n">
        <v>97324.169</v>
      </c>
    </row>
    <row r="7" customFormat="false" ht="15" hidden="false" customHeight="false" outlineLevel="0" collapsed="false">
      <c r="A7" s="0" t="s">
        <v>73</v>
      </c>
      <c r="B7" s="0" t="n">
        <v>76605.331</v>
      </c>
      <c r="F7" s="0" t="n">
        <v>28276.814</v>
      </c>
      <c r="G7" s="0" t="n">
        <v>36.9</v>
      </c>
      <c r="I7" s="0" t="n">
        <v>21317.422</v>
      </c>
      <c r="J7" s="0" t="n">
        <v>27.8</v>
      </c>
      <c r="K7" s="0" t="n">
        <v>1.42</v>
      </c>
      <c r="L7" s="0" t="n">
        <v>55258.35</v>
      </c>
      <c r="M7" s="0" t="n">
        <v>1304.02</v>
      </c>
      <c r="N7" s="0" t="n">
        <v>53954.33</v>
      </c>
      <c r="O7" s="0" t="n">
        <v>253118.088</v>
      </c>
      <c r="P7" s="0" t="n">
        <v>1308289</v>
      </c>
      <c r="Q7" s="0" t="n">
        <v>1049917</v>
      </c>
      <c r="R7" s="0" t="n">
        <v>96692.306</v>
      </c>
      <c r="S7" s="0" t="n">
        <v>103228.271</v>
      </c>
      <c r="T7" s="0" t="n">
        <v>14820.547</v>
      </c>
      <c r="AA7" s="0" t="s">
        <v>18</v>
      </c>
      <c r="AB7" s="0" t="s">
        <v>14</v>
      </c>
      <c r="AC7" s="0" t="n">
        <v>37945.213</v>
      </c>
      <c r="AD7" s="0" t="n">
        <v>106976.333</v>
      </c>
      <c r="AE7" s="0" t="n">
        <v>258372.039</v>
      </c>
      <c r="AF7" s="0" t="n">
        <v>85941.26</v>
      </c>
    </row>
    <row r="8" customFormat="false" ht="15" hidden="false" customHeight="false" outlineLevel="0" collapsed="false">
      <c r="A8" s="0" t="s">
        <v>74</v>
      </c>
      <c r="B8" s="0" t="n">
        <v>77201.749</v>
      </c>
      <c r="F8" s="0" t="n">
        <v>25543.992</v>
      </c>
      <c r="G8" s="0" t="n">
        <v>33.1</v>
      </c>
      <c r="I8" s="0" t="n">
        <v>19720.547</v>
      </c>
      <c r="J8" s="0" t="n">
        <v>25.5</v>
      </c>
      <c r="K8" s="0" t="n">
        <v>1.3</v>
      </c>
      <c r="L8" s="0" t="n">
        <v>-34132.713</v>
      </c>
      <c r="M8" s="0" t="n">
        <v>1579.773</v>
      </c>
      <c r="N8" s="0" t="n">
        <v>-35712.486</v>
      </c>
      <c r="O8" s="0" t="n">
        <v>268839.608</v>
      </c>
      <c r="P8" s="0" t="n">
        <v>1453359</v>
      </c>
      <c r="Q8" s="0" t="n">
        <v>1179160</v>
      </c>
      <c r="R8" s="0" t="n">
        <v>173919.553</v>
      </c>
      <c r="S8" s="0" t="n">
        <v>99577.734</v>
      </c>
      <c r="T8" s="0" t="n">
        <v>14820.547</v>
      </c>
      <c r="AA8" s="0" t="s">
        <v>18</v>
      </c>
      <c r="AB8" s="0" t="s">
        <v>14</v>
      </c>
      <c r="AC8" s="0" t="n">
        <v>33747.014</v>
      </c>
      <c r="AD8" s="0" t="n">
        <v>118745.73</v>
      </c>
      <c r="AE8" s="0" t="n">
        <v>274199.208</v>
      </c>
      <c r="AF8" s="0" t="n">
        <v>83725.04</v>
      </c>
    </row>
    <row r="9" customFormat="false" ht="15" hidden="false" customHeight="false" outlineLevel="0" collapsed="false">
      <c r="A9" s="0" t="s">
        <v>75</v>
      </c>
      <c r="B9" s="0" t="n">
        <v>81163.134</v>
      </c>
      <c r="F9" s="0" t="n">
        <v>28300.906</v>
      </c>
      <c r="G9" s="0" t="n">
        <v>34.9</v>
      </c>
      <c r="I9" s="0" t="n">
        <v>21703.697</v>
      </c>
      <c r="J9" s="0" t="n">
        <v>26.7</v>
      </c>
      <c r="K9" s="0" t="n">
        <v>1.41</v>
      </c>
      <c r="L9" s="0" t="n">
        <v>95820.747</v>
      </c>
      <c r="M9" s="0" t="n">
        <v>1293.351</v>
      </c>
      <c r="N9" s="0" t="n">
        <v>94527.396</v>
      </c>
      <c r="O9" s="0" t="n">
        <v>293108.726</v>
      </c>
      <c r="P9" s="0" t="n">
        <v>1710711</v>
      </c>
      <c r="Q9" s="0" t="n">
        <v>1411944</v>
      </c>
      <c r="R9" s="0" t="n">
        <v>152722.731</v>
      </c>
      <c r="S9" s="0" t="n">
        <v>106017.477</v>
      </c>
      <c r="T9" s="0" t="n">
        <v>14820.547</v>
      </c>
      <c r="AA9" s="0" t="s">
        <v>18</v>
      </c>
      <c r="AB9" s="0" t="s">
        <v>14</v>
      </c>
      <c r="AC9" s="0" t="n">
        <v>34876.612</v>
      </c>
      <c r="AD9" s="0" t="n">
        <v>138331.662</v>
      </c>
      <c r="AE9" s="0" t="n">
        <v>298766.672</v>
      </c>
      <c r="AF9" s="0" t="n">
        <v>91560.464</v>
      </c>
    </row>
    <row r="10" customFormat="false" ht="15" hidden="false" customHeight="false" outlineLevel="0" collapsed="false">
      <c r="A10" s="0" t="s">
        <v>76</v>
      </c>
      <c r="B10" s="0" t="n">
        <v>105333.364</v>
      </c>
      <c r="F10" s="0" t="n">
        <v>39313.284</v>
      </c>
      <c r="G10" s="0" t="n">
        <v>37.3</v>
      </c>
      <c r="I10" s="0" t="n">
        <v>30076.101</v>
      </c>
      <c r="J10" s="0" t="n">
        <v>28.6</v>
      </c>
      <c r="K10" s="0" t="n">
        <v>1.96</v>
      </c>
      <c r="L10" s="0" t="n">
        <v>-43966.46</v>
      </c>
      <c r="M10" s="0" t="n">
        <v>1494.547</v>
      </c>
      <c r="N10" s="0" t="n">
        <v>-45461.007</v>
      </c>
      <c r="O10" s="0" t="n">
        <v>319930.442</v>
      </c>
      <c r="P10" s="0" t="n">
        <v>2081903</v>
      </c>
      <c r="Q10" s="0" t="n">
        <v>1756080</v>
      </c>
      <c r="R10" s="0" t="n">
        <v>204818.71</v>
      </c>
      <c r="S10" s="0" t="n">
        <v>109527.379</v>
      </c>
      <c r="T10" s="0" t="n">
        <v>14820.547</v>
      </c>
      <c r="AA10" s="0" t="s">
        <v>18</v>
      </c>
      <c r="AB10" s="0" t="s">
        <v>14</v>
      </c>
      <c r="AC10" s="0" t="n">
        <v>46493.527</v>
      </c>
      <c r="AD10" s="0" t="n">
        <v>207651.675</v>
      </c>
      <c r="AE10" s="0" t="n">
        <v>325822.384</v>
      </c>
      <c r="AF10" s="0" t="n">
        <v>104681.538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21.24</v>
      </c>
    </row>
    <row r="3" customFormat="false" ht="15" hidden="false" customHeight="false" outlineLevel="0" collapsed="false">
      <c r="A3" s="0" t="s">
        <v>80</v>
      </c>
      <c r="B3" s="3" t="n">
        <v>15624.272</v>
      </c>
    </row>
    <row r="4" customFormat="false" ht="15" hidden="false" customHeight="false" outlineLevel="0" collapsed="false">
      <c r="A4" s="0" t="s">
        <v>81</v>
      </c>
      <c r="B4" s="3" t="n">
        <v>0</v>
      </c>
    </row>
    <row r="5" customFormat="false" ht="15" hidden="false" customHeight="false" outlineLevel="0" collapsed="false">
      <c r="A5" s="0" t="s">
        <v>82</v>
      </c>
      <c r="B5" s="3" t="n">
        <v>15848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105333.364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1.1747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15</v>
      </c>
      <c r="D13" s="3" t="n">
        <v>-20</v>
      </c>
      <c r="E13" s="3" t="n">
        <v>-8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101</v>
      </c>
      <c r="C14" s="3" t="n">
        <v>40</v>
      </c>
      <c r="D14" s="3" t="n">
        <v>33</v>
      </c>
      <c r="E14" s="3" t="n">
        <v>32</v>
      </c>
      <c r="F14" s="3" t="n">
        <v>33</v>
      </c>
      <c r="G14" s="3" t="n">
        <v>33</v>
      </c>
      <c r="H14" s="3" t="n">
        <v>33</v>
      </c>
      <c r="I14" s="3" t="n">
        <v>33</v>
      </c>
      <c r="J14" s="3" t="n">
        <v>33</v>
      </c>
      <c r="K14" s="3" t="n">
        <v>33</v>
      </c>
      <c r="L14" s="3" t="n">
        <v>33</v>
      </c>
    </row>
    <row r="15" customFormat="false" ht="15" hidden="false" customHeight="false" outlineLevel="0" collapsed="false">
      <c r="A15" s="0" t="s">
        <v>102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105</v>
      </c>
      <c r="C18" s="3" t="n">
        <v>15</v>
      </c>
      <c r="D18" s="3" t="n">
        <v>12</v>
      </c>
      <c r="E18" s="3" t="n">
        <v>10</v>
      </c>
      <c r="F18" s="3" t="n">
        <v>9</v>
      </c>
      <c r="G18" s="3" t="n">
        <v>8.7</v>
      </c>
      <c r="H18" s="3" t="n">
        <v>8.7</v>
      </c>
      <c r="I18" s="3" t="n">
        <v>8.7</v>
      </c>
      <c r="J18" s="3" t="n">
        <v>8.7</v>
      </c>
      <c r="K18" s="3" t="n">
        <v>8.7</v>
      </c>
      <c r="L18" s="3" t="n">
        <v>8.7</v>
      </c>
    </row>
    <row r="19" customFormat="false" ht="15" hidden="false" customHeight="false" outlineLevel="0" collapsed="false">
      <c r="A19" s="0" t="s">
        <v>106</v>
      </c>
      <c r="C19" s="3" t="n">
        <v>24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107</v>
      </c>
      <c r="B20" s="3" t="n">
        <v>10.5</v>
      </c>
    </row>
    <row r="21" customFormat="false" ht="15" hidden="false" customHeight="false" outlineLevel="0" collapsed="false">
      <c r="A21" s="0" t="s">
        <v>108</v>
      </c>
      <c r="B21" s="3" t="n">
        <v>2.5</v>
      </c>
    </row>
    <row r="22" customFormat="false" ht="15" hidden="false" customHeight="false" outlineLevel="0" collapsed="false">
      <c r="A22" s="0" t="s">
        <v>109</v>
      </c>
      <c r="B22" s="3" t="n">
        <v>15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27</v>
      </c>
      <c r="D27" s="3" t="n">
        <v>-8</v>
      </c>
      <c r="E27" s="3" t="n">
        <v>-3</v>
      </c>
      <c r="F27" s="3" t="n">
        <v>4</v>
      </c>
      <c r="G27" s="3" t="n">
        <v>4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101</v>
      </c>
      <c r="C28" s="3" t="n">
        <v>43</v>
      </c>
      <c r="D28" s="3" t="n">
        <v>39</v>
      </c>
      <c r="E28" s="3" t="n">
        <v>37</v>
      </c>
      <c r="F28" s="3" t="n">
        <v>37</v>
      </c>
      <c r="G28" s="3" t="n">
        <v>37</v>
      </c>
      <c r="H28" s="3" t="n">
        <v>37</v>
      </c>
      <c r="I28" s="3" t="n">
        <v>37</v>
      </c>
      <c r="J28" s="3" t="n">
        <v>37</v>
      </c>
      <c r="K28" s="3" t="n">
        <v>37</v>
      </c>
      <c r="L28" s="3" t="n">
        <v>37</v>
      </c>
    </row>
    <row r="29" customFormat="false" ht="15" hidden="false" customHeight="false" outlineLevel="0" collapsed="false">
      <c r="A29" s="0" t="s">
        <v>102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105</v>
      </c>
      <c r="C32" s="3" t="n">
        <v>14.5</v>
      </c>
      <c r="D32" s="3" t="n">
        <v>12</v>
      </c>
      <c r="E32" s="3" t="n">
        <v>10.5</v>
      </c>
      <c r="F32" s="3" t="n">
        <v>9.5</v>
      </c>
      <c r="G32" s="3" t="n">
        <v>9.2</v>
      </c>
      <c r="H32" s="3" t="n">
        <v>9</v>
      </c>
      <c r="I32" s="3" t="n">
        <v>8.9</v>
      </c>
      <c r="J32" s="3" t="n">
        <v>8.9</v>
      </c>
      <c r="K32" s="3" t="n">
        <v>8.9</v>
      </c>
      <c r="L32" s="3" t="n">
        <v>8.9</v>
      </c>
    </row>
    <row r="33" customFormat="false" ht="15" hidden="false" customHeight="false" outlineLevel="0" collapsed="false">
      <c r="A33" s="0" t="s">
        <v>106</v>
      </c>
      <c r="C33" s="3" t="n">
        <v>23.5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107</v>
      </c>
      <c r="B34" s="3" t="n">
        <v>10.5</v>
      </c>
    </row>
    <row r="35" customFormat="false" ht="15" hidden="false" customHeight="false" outlineLevel="0" collapsed="false">
      <c r="A35" s="0" t="s">
        <v>108</v>
      </c>
      <c r="B35" s="3" t="n">
        <v>3</v>
      </c>
    </row>
    <row r="36" customFormat="false" ht="15" hidden="false" customHeight="false" outlineLevel="0" collapsed="false">
      <c r="A36" s="0" t="s">
        <v>109</v>
      </c>
      <c r="B36" s="3" t="n">
        <v>15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38</v>
      </c>
      <c r="D41" s="3" t="n">
        <v>-3</v>
      </c>
      <c r="E41" s="3" t="n">
        <v>3</v>
      </c>
      <c r="F41" s="3" t="n">
        <v>5</v>
      </c>
      <c r="G41" s="3" t="n">
        <v>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101</v>
      </c>
      <c r="C42" s="3" t="n">
        <v>45</v>
      </c>
      <c r="D42" s="3" t="n">
        <v>41</v>
      </c>
      <c r="E42" s="3" t="n">
        <v>40</v>
      </c>
      <c r="F42" s="3" t="n">
        <v>40</v>
      </c>
      <c r="G42" s="3" t="n">
        <v>40</v>
      </c>
      <c r="H42" s="3" t="n">
        <v>40</v>
      </c>
      <c r="I42" s="3" t="n">
        <v>40</v>
      </c>
      <c r="J42" s="3" t="n">
        <v>40</v>
      </c>
      <c r="K42" s="3" t="n">
        <v>40</v>
      </c>
      <c r="L42" s="3" t="n">
        <v>40</v>
      </c>
    </row>
    <row r="43" customFormat="false" ht="15" hidden="false" customHeight="false" outlineLevel="0" collapsed="false">
      <c r="A43" s="0" t="s">
        <v>102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105</v>
      </c>
      <c r="C46" s="3" t="n">
        <v>13.5</v>
      </c>
      <c r="D46" s="3" t="n">
        <v>11</v>
      </c>
      <c r="E46" s="3" t="n">
        <v>9.5</v>
      </c>
      <c r="F46" s="3" t="n">
        <v>9</v>
      </c>
      <c r="G46" s="3" t="n">
        <v>8.8</v>
      </c>
      <c r="H46" s="3" t="n">
        <v>8.8</v>
      </c>
      <c r="I46" s="3" t="n">
        <v>8.8</v>
      </c>
      <c r="J46" s="3" t="n">
        <v>8.8</v>
      </c>
      <c r="K46" s="3" t="n">
        <v>8.8</v>
      </c>
      <c r="L46" s="3" t="n">
        <v>8.8</v>
      </c>
    </row>
    <row r="47" customFormat="false" ht="15" hidden="false" customHeight="false" outlineLevel="0" collapsed="false">
      <c r="A47" s="0" t="s">
        <v>106</v>
      </c>
      <c r="C47" s="3" t="n">
        <v>23.5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107</v>
      </c>
      <c r="B48" s="3" t="n">
        <v>10.5</v>
      </c>
    </row>
    <row r="49" customFormat="false" ht="15" hidden="false" customHeight="false" outlineLevel="0" collapsed="false">
      <c r="A49" s="0" t="s">
        <v>108</v>
      </c>
      <c r="B49" s="3" t="n">
        <v>3.5</v>
      </c>
    </row>
    <row r="50" customFormat="false" ht="15" hidden="false" customHeight="false" outlineLevel="0" collapsed="false">
      <c r="A50" s="0" t="s">
        <v>109</v>
      </c>
      <c r="B50" s="3" t="n">
        <v>15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15</v>
      </c>
      <c r="D5" s="4" t="n">
        <f aca="false">Assumptions!D13</f>
        <v>-20</v>
      </c>
      <c r="E5" s="4" t="n">
        <f aca="false">Assumptions!E13</f>
        <v>-8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105333.364</v>
      </c>
      <c r="C6" s="0" t="n">
        <f aca="false">B6*(1+C5/100)</f>
        <v>121133.3686</v>
      </c>
      <c r="D6" s="0" t="n">
        <f aca="false">C6*(1+D5/100)</f>
        <v>96906.69488</v>
      </c>
      <c r="E6" s="0" t="n">
        <f aca="false">D6*(1+E5/100)</f>
        <v>89154.1592896</v>
      </c>
      <c r="F6" s="0" t="n">
        <f aca="false">E6*(1+F5/100)</f>
        <v>90937.242475392</v>
      </c>
      <c r="G6" s="0" t="n">
        <f aca="false">F6*(1+G5/100)</f>
        <v>93665.3597496538</v>
      </c>
      <c r="H6" s="0" t="n">
        <f aca="false">G6*(1+H5/100)</f>
        <v>96475.3205421434</v>
      </c>
      <c r="I6" s="0" t="n">
        <f aca="false">H6*(1+I5/100)</f>
        <v>99369.5801584077</v>
      </c>
      <c r="J6" s="0" t="n">
        <f aca="false">I6*(1+J5/100)</f>
        <v>101853.819662368</v>
      </c>
      <c r="K6" s="0" t="n">
        <f aca="false">J6*(1+K5/100)</f>
        <v>104400.165153927</v>
      </c>
      <c r="L6" s="0" t="n">
        <f aca="false">K6*(1+L5/100)</f>
        <v>107010.169282775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40</v>
      </c>
      <c r="D7" s="4" t="n">
        <f aca="false">Assumptions!D14</f>
        <v>33</v>
      </c>
      <c r="E7" s="4" t="n">
        <f aca="false">Assumptions!E14</f>
        <v>32</v>
      </c>
      <c r="F7" s="4" t="n">
        <f aca="false">Assumptions!F14</f>
        <v>33</v>
      </c>
      <c r="G7" s="4" t="n">
        <f aca="false">Assumptions!G14</f>
        <v>33</v>
      </c>
      <c r="H7" s="4" t="n">
        <f aca="false">Assumptions!H14</f>
        <v>33</v>
      </c>
      <c r="I7" s="4" t="n">
        <f aca="false">Assumptions!I14</f>
        <v>33</v>
      </c>
      <c r="J7" s="4" t="n">
        <f aca="false">Assumptions!J14</f>
        <v>33</v>
      </c>
      <c r="K7" s="4" t="n">
        <f aca="false">Assumptions!K14</f>
        <v>33</v>
      </c>
      <c r="L7" s="4" t="n">
        <f aca="false">Assumptions!L14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48453.34744</v>
      </c>
      <c r="D8" s="0" t="n">
        <f aca="false">D6*D7/100</f>
        <v>31979.2093104</v>
      </c>
      <c r="E8" s="0" t="n">
        <f aca="false">E6*E7/100</f>
        <v>28529.330972672</v>
      </c>
      <c r="F8" s="0" t="n">
        <f aca="false">F6*F7/100</f>
        <v>30009.2900168794</v>
      </c>
      <c r="G8" s="0" t="n">
        <f aca="false">G6*G7/100</f>
        <v>30909.5687173857</v>
      </c>
      <c r="H8" s="0" t="n">
        <f aca="false">H6*H7/100</f>
        <v>31836.8557789073</v>
      </c>
      <c r="I8" s="0" t="n">
        <f aca="false">I6*I7/100</f>
        <v>32791.9614522745</v>
      </c>
      <c r="J8" s="0" t="n">
        <f aca="false">J6*J7/100</f>
        <v>33611.7604885814</v>
      </c>
      <c r="K8" s="0" t="n">
        <f aca="false">K6*K7/100</f>
        <v>34452.0545007959</v>
      </c>
      <c r="L8" s="0" t="n">
        <f aca="false">L6*L7/100</f>
        <v>35313.3558633158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48453.34744</v>
      </c>
      <c r="D11" s="0" t="n">
        <f aca="false">D8+D10+D24</f>
        <v>31979.2093104</v>
      </c>
      <c r="E11" s="0" t="n">
        <f aca="false">E8+E10+E24</f>
        <v>28529.330972672</v>
      </c>
      <c r="F11" s="0" t="n">
        <f aca="false">F8+F10+F24</f>
        <v>30009.2900168794</v>
      </c>
      <c r="G11" s="0" t="n">
        <f aca="false">G8+G10+G24</f>
        <v>30909.5687173857</v>
      </c>
      <c r="H11" s="0" t="n">
        <f aca="false">H8+H10+H24</f>
        <v>31836.8557789073</v>
      </c>
      <c r="I11" s="0" t="n">
        <f aca="false">I8+I10+I24</f>
        <v>32791.9614522745</v>
      </c>
      <c r="J11" s="0" t="n">
        <f aca="false">J8+J10+J24</f>
        <v>33611.7604885814</v>
      </c>
      <c r="K11" s="0" t="n">
        <f aca="false">K8+K10+K24</f>
        <v>34452.0545007959</v>
      </c>
      <c r="L11" s="0" t="n">
        <f aca="false">L8+L10+L24</f>
        <v>35313.3558633158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48453.34744</v>
      </c>
      <c r="D13" s="0" t="n">
        <f aca="false">D11+D12</f>
        <v>31979.2093104</v>
      </c>
      <c r="E13" s="0" t="n">
        <f aca="false">E11+E12</f>
        <v>28529.330972672</v>
      </c>
      <c r="F13" s="0" t="n">
        <f aca="false">F11+F12</f>
        <v>30009.2900168794</v>
      </c>
      <c r="G13" s="0" t="n">
        <f aca="false">G11+G12</f>
        <v>30909.5687173857</v>
      </c>
      <c r="H13" s="0" t="n">
        <f aca="false">H11+H12</f>
        <v>31836.8557789073</v>
      </c>
      <c r="I13" s="0" t="n">
        <f aca="false">I11+I12</f>
        <v>32791.9614522745</v>
      </c>
      <c r="J13" s="0" t="n">
        <f aca="false">J11+J12</f>
        <v>33611.7604885814</v>
      </c>
      <c r="K13" s="0" t="n">
        <f aca="false">K11+K12</f>
        <v>34452.0545007959</v>
      </c>
      <c r="L13" s="0" t="n">
        <f aca="false">L11+L12</f>
        <v>35313.3558633158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24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36824.5440544</v>
      </c>
      <c r="D15" s="0" t="n">
        <f aca="false">D13-MAX(0,D13)*D14/100</f>
        <v>24144.303029352</v>
      </c>
      <c r="E15" s="0" t="n">
        <f aca="false">E13-MAX(0,E13)*E14/100</f>
        <v>21539.6448843674</v>
      </c>
      <c r="F15" s="0" t="n">
        <f aca="false">F13-MAX(0,F13)*F14/100</f>
        <v>22657.0139627439</v>
      </c>
      <c r="G15" s="0" t="n">
        <f aca="false">G13-MAX(0,G13)*G14/100</f>
        <v>23336.7243816262</v>
      </c>
      <c r="H15" s="0" t="n">
        <f aca="false">H13-MAX(0,H13)*H14/100</f>
        <v>24036.826113075</v>
      </c>
      <c r="I15" s="0" t="n">
        <f aca="false">I13-MAX(0,I13)*I14/100</f>
        <v>24757.9308964673</v>
      </c>
      <c r="J15" s="0" t="n">
        <f aca="false">J13-MAX(0,J13)*J14/100</f>
        <v>25376.879168879</v>
      </c>
      <c r="K15" s="0" t="n">
        <f aca="false">K13-MAX(0,K13)*K14/100</f>
        <v>26011.3011481009</v>
      </c>
      <c r="L15" s="0" t="n">
        <f aca="false">L13-MAX(0,L13)*L14/100</f>
        <v>26661.5836768035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-18170.00529</v>
      </c>
      <c r="D17" s="4" t="n">
        <f aca="false">-D6*Assumptions!D18/100</f>
        <v>-11628.8033856</v>
      </c>
      <c r="E17" s="4" t="n">
        <f aca="false">-E6*Assumptions!E18/100</f>
        <v>-8915.41592896</v>
      </c>
      <c r="F17" s="4" t="n">
        <f aca="false">-F6*Assumptions!F18/100</f>
        <v>-8184.35182278528</v>
      </c>
      <c r="G17" s="4" t="n">
        <f aca="false">-G6*Assumptions!G18/100</f>
        <v>-8148.88629821988</v>
      </c>
      <c r="H17" s="4" t="n">
        <f aca="false">-H6*Assumptions!H18/100</f>
        <v>-8393.35288716647</v>
      </c>
      <c r="I17" s="4" t="n">
        <f aca="false">-I6*Assumptions!I18/100</f>
        <v>-8645.15347378147</v>
      </c>
      <c r="J17" s="4" t="n">
        <f aca="false">-J6*Assumptions!J18/100</f>
        <v>-8861.282310626</v>
      </c>
      <c r="K17" s="4" t="n">
        <f aca="false">-K6*Assumptions!K18/100</f>
        <v>-9082.81436839165</v>
      </c>
      <c r="L17" s="4" t="n">
        <f aca="false">-L6*Assumptions!L18/100</f>
        <v>-9309.88472760144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18654.5387644</v>
      </c>
      <c r="D19" s="0" t="n">
        <f aca="false">D15+D16+D17+D18</f>
        <v>12515.499643752</v>
      </c>
      <c r="E19" s="0" t="n">
        <f aca="false">E15+E16+E17+E18</f>
        <v>12624.2289554074</v>
      </c>
      <c r="F19" s="0" t="n">
        <f aca="false">F15+F16+F17+F18</f>
        <v>14472.6621399586</v>
      </c>
      <c r="G19" s="0" t="n">
        <f aca="false">G15+G16+G17+G18</f>
        <v>15187.8380834064</v>
      </c>
      <c r="H19" s="0" t="n">
        <f aca="false">H15+H16+H17+H18</f>
        <v>15643.4732259085</v>
      </c>
      <c r="I19" s="0" t="n">
        <f aca="false">I15+I16+I17+I18</f>
        <v>16112.7774226858</v>
      </c>
      <c r="J19" s="0" t="n">
        <f aca="false">J15+J16+J17+J18</f>
        <v>16515.5968582529</v>
      </c>
      <c r="K19" s="0" t="n">
        <f aca="false">K15+K16+K17+K18</f>
        <v>16928.4867797093</v>
      </c>
      <c r="L19" s="0" t="n">
        <f aca="false">L15+L16+L17+L18</f>
        <v>17351.698949202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16881.9355333937</v>
      </c>
      <c r="D21" s="0" t="n">
        <f aca="false">D19*D20</f>
        <v>10249.9945895883</v>
      </c>
      <c r="E21" s="0" t="n">
        <f aca="false">E19*E20</f>
        <v>9356.59924129641</v>
      </c>
      <c r="F21" s="0" t="n">
        <f aca="false">F19*F20</f>
        <v>9707.3192258952</v>
      </c>
      <c r="G21" s="0" t="n">
        <f aca="false">G19*G20</f>
        <v>9219.01599335425</v>
      </c>
      <c r="H21" s="0" t="n">
        <f aca="false">H19*H20</f>
        <v>8593.29092593202</v>
      </c>
      <c r="I21" s="0" t="n">
        <f aca="false">I19*I20</f>
        <v>8010.03588571039</v>
      </c>
      <c r="J21" s="0" t="n">
        <f aca="false">J19*J20</f>
        <v>7430.12378538746</v>
      </c>
      <c r="K21" s="0" t="n">
        <f aca="false">K19*K20</f>
        <v>6892.19627151326</v>
      </c>
      <c r="L21" s="0" t="n">
        <f aca="false">L19*L20</f>
        <v>6393.21373601909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92733.72518809</v>
      </c>
    </row>
    <row r="31" customFormat="false" ht="15" hidden="false" customHeight="false" outlineLevel="0" collapsed="false">
      <c r="A31" s="0" t="s">
        <v>131</v>
      </c>
      <c r="B31" s="0" t="n">
        <f aca="false">L19</f>
        <v>17351.698949202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222318.642786651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260275.48423803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222318.642786651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81913.0509927445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174646.776180835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190494.776180835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14.3222169698291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-0.325695999537234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14.3222169698291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142283.931383456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9.63489943413935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27</v>
      </c>
      <c r="D5" s="4" t="n">
        <f aca="false">Assumptions!D27</f>
        <v>-8</v>
      </c>
      <c r="E5" s="4" t="n">
        <f aca="false">Assumptions!E27</f>
        <v>-3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105333.364</v>
      </c>
      <c r="C6" s="0" t="n">
        <f aca="false">B6*(1+C5/100)</f>
        <v>133773.37228</v>
      </c>
      <c r="D6" s="0" t="n">
        <f aca="false">C6*(1+D5/100)</f>
        <v>123071.5024976</v>
      </c>
      <c r="E6" s="0" t="n">
        <f aca="false">D6*(1+E5/100)</f>
        <v>119379.357422672</v>
      </c>
      <c r="F6" s="0" t="n">
        <f aca="false">E6*(1+F5/100)</f>
        <v>124154.531719579</v>
      </c>
      <c r="G6" s="0" t="n">
        <f aca="false">F6*(1+G5/100)</f>
        <v>129120.712988362</v>
      </c>
      <c r="H6" s="0" t="n">
        <f aca="false">G6*(1+H5/100)</f>
        <v>134285.541507897</v>
      </c>
      <c r="I6" s="0" t="n">
        <f aca="false">H6*(1+I5/100)</f>
        <v>138985.535460673</v>
      </c>
      <c r="J6" s="0" t="n">
        <f aca="false">I6*(1+J5/100)</f>
        <v>143155.101524493</v>
      </c>
      <c r="K6" s="0" t="n">
        <f aca="false">J6*(1+K5/100)</f>
        <v>147449.754570228</v>
      </c>
      <c r="L6" s="0" t="n">
        <f aca="false">K6*(1+L5/100)</f>
        <v>151873.247207335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43</v>
      </c>
      <c r="D7" s="4" t="n">
        <f aca="false">Assumptions!D28</f>
        <v>39</v>
      </c>
      <c r="E7" s="4" t="n">
        <f aca="false">Assumptions!E28</f>
        <v>37</v>
      </c>
      <c r="F7" s="4" t="n">
        <f aca="false">Assumptions!F28</f>
        <v>37</v>
      </c>
      <c r="G7" s="4" t="n">
        <f aca="false">Assumptions!G28</f>
        <v>37</v>
      </c>
      <c r="H7" s="4" t="n">
        <f aca="false">Assumptions!H28</f>
        <v>37</v>
      </c>
      <c r="I7" s="4" t="n">
        <f aca="false">Assumptions!I28</f>
        <v>37</v>
      </c>
      <c r="J7" s="4" t="n">
        <f aca="false">Assumptions!J28</f>
        <v>37</v>
      </c>
      <c r="K7" s="4" t="n">
        <f aca="false">Assumptions!K28</f>
        <v>37</v>
      </c>
      <c r="L7" s="4" t="n">
        <f aca="false">Assumptions!L28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57522.5500804</v>
      </c>
      <c r="D8" s="0" t="n">
        <f aca="false">D6*D7/100</f>
        <v>47997.885974064</v>
      </c>
      <c r="E8" s="0" t="n">
        <f aca="false">E6*E7/100</f>
        <v>44170.3622463886</v>
      </c>
      <c r="F8" s="0" t="n">
        <f aca="false">F6*F7/100</f>
        <v>45937.1767362442</v>
      </c>
      <c r="G8" s="0" t="n">
        <f aca="false">G6*G7/100</f>
        <v>47774.663805694</v>
      </c>
      <c r="H8" s="0" t="n">
        <f aca="false">H6*H7/100</f>
        <v>49685.6503579217</v>
      </c>
      <c r="I8" s="0" t="n">
        <f aca="false">I6*I7/100</f>
        <v>51424.648120449</v>
      </c>
      <c r="J8" s="0" t="n">
        <f aca="false">J6*J7/100</f>
        <v>52967.3875640624</v>
      </c>
      <c r="K8" s="0" t="n">
        <f aca="false">K6*K7/100</f>
        <v>54556.4091909843</v>
      </c>
      <c r="L8" s="0" t="n">
        <f aca="false">L6*L7/100</f>
        <v>56193.1014667138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57522.5500804</v>
      </c>
      <c r="D11" s="0" t="n">
        <f aca="false">D8+D10+D24</f>
        <v>47997.885974064</v>
      </c>
      <c r="E11" s="0" t="n">
        <f aca="false">E8+E10+E24</f>
        <v>44170.3622463886</v>
      </c>
      <c r="F11" s="0" t="n">
        <f aca="false">F8+F10+F24</f>
        <v>45937.1767362442</v>
      </c>
      <c r="G11" s="0" t="n">
        <f aca="false">G8+G10+G24</f>
        <v>47774.663805694</v>
      </c>
      <c r="H11" s="0" t="n">
        <f aca="false">H8+H10+H24</f>
        <v>49685.6503579217</v>
      </c>
      <c r="I11" s="0" t="n">
        <f aca="false">I8+I10+I24</f>
        <v>51424.648120449</v>
      </c>
      <c r="J11" s="0" t="n">
        <f aca="false">J8+J10+J24</f>
        <v>52967.3875640624</v>
      </c>
      <c r="K11" s="0" t="n">
        <f aca="false">K8+K10+K24</f>
        <v>54556.4091909843</v>
      </c>
      <c r="L11" s="0" t="n">
        <f aca="false">L8+L10+L24</f>
        <v>56193.1014667138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57522.5500804</v>
      </c>
      <c r="D13" s="0" t="n">
        <f aca="false">D11+D12</f>
        <v>47997.885974064</v>
      </c>
      <c r="E13" s="0" t="n">
        <f aca="false">E11+E12</f>
        <v>44170.3622463886</v>
      </c>
      <c r="F13" s="0" t="n">
        <f aca="false">F11+F12</f>
        <v>45937.1767362442</v>
      </c>
      <c r="G13" s="0" t="n">
        <f aca="false">G11+G12</f>
        <v>47774.663805694</v>
      </c>
      <c r="H13" s="0" t="n">
        <f aca="false">H11+H12</f>
        <v>49685.6503579217</v>
      </c>
      <c r="I13" s="0" t="n">
        <f aca="false">I11+I12</f>
        <v>51424.648120449</v>
      </c>
      <c r="J13" s="0" t="n">
        <f aca="false">J11+J12</f>
        <v>52967.3875640624</v>
      </c>
      <c r="K13" s="0" t="n">
        <f aca="false">K11+K12</f>
        <v>54556.4091909843</v>
      </c>
      <c r="L13" s="0" t="n">
        <f aca="false">L11+L12</f>
        <v>56193.1014667138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23.5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44004.750811506</v>
      </c>
      <c r="D15" s="0" t="n">
        <f aca="false">D13-MAX(0,D13)*D14/100</f>
        <v>36478.3933402887</v>
      </c>
      <c r="E15" s="0" t="n">
        <f aca="false">E13-MAX(0,E13)*E14/100</f>
        <v>33569.4753072554</v>
      </c>
      <c r="F15" s="0" t="n">
        <f aca="false">F13-MAX(0,F13)*F14/100</f>
        <v>34912.2543195456</v>
      </c>
      <c r="G15" s="0" t="n">
        <f aca="false">G13-MAX(0,G13)*G14/100</f>
        <v>36308.7444923274</v>
      </c>
      <c r="H15" s="0" t="n">
        <f aca="false">H13-MAX(0,H13)*H14/100</f>
        <v>37761.0942720205</v>
      </c>
      <c r="I15" s="0" t="n">
        <f aca="false">I13-MAX(0,I13)*I14/100</f>
        <v>39082.7325715412</v>
      </c>
      <c r="J15" s="0" t="n">
        <f aca="false">J13-MAX(0,J13)*J14/100</f>
        <v>40255.2145486875</v>
      </c>
      <c r="K15" s="0" t="n">
        <f aca="false">K13-MAX(0,K13)*K14/100</f>
        <v>41462.8709851481</v>
      </c>
      <c r="L15" s="0" t="n">
        <f aca="false">L13-MAX(0,L13)*L14/100</f>
        <v>42706.7571147025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-19397.1389806</v>
      </c>
      <c r="D17" s="4" t="n">
        <f aca="false">-D6*Assumptions!D32/100</f>
        <v>-14768.580299712</v>
      </c>
      <c r="E17" s="4" t="n">
        <f aca="false">-E6*Assumptions!E32/100</f>
        <v>-12534.8325293806</v>
      </c>
      <c r="F17" s="4" t="n">
        <f aca="false">-F6*Assumptions!F32/100</f>
        <v>-11794.68051336</v>
      </c>
      <c r="G17" s="4" t="n">
        <f aca="false">-G6*Assumptions!G32/100</f>
        <v>-11879.1055949293</v>
      </c>
      <c r="H17" s="4" t="n">
        <f aca="false">-H6*Assumptions!H32/100</f>
        <v>-12085.6987357107</v>
      </c>
      <c r="I17" s="4" t="n">
        <f aca="false">-I6*Assumptions!I32/100</f>
        <v>-12369.7126559999</v>
      </c>
      <c r="J17" s="4" t="n">
        <f aca="false">-J6*Assumptions!J32/100</f>
        <v>-12740.8040356799</v>
      </c>
      <c r="K17" s="4" t="n">
        <f aca="false">-K6*Assumptions!K32/100</f>
        <v>-13123.0281567503</v>
      </c>
      <c r="L17" s="4" t="n">
        <f aca="false">-L6*Assumptions!L32/100</f>
        <v>-13516.7190014528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24607.611830906</v>
      </c>
      <c r="D19" s="0" t="n">
        <f aca="false">D15+D16+D17+D18</f>
        <v>21709.8130405766</v>
      </c>
      <c r="E19" s="0" t="n">
        <f aca="false">E15+E16+E17+E18</f>
        <v>21034.6427778748</v>
      </c>
      <c r="F19" s="0" t="n">
        <f aca="false">F15+F16+F17+F18</f>
        <v>23117.5738061856</v>
      </c>
      <c r="G19" s="0" t="n">
        <f aca="false">G15+G16+G17+G18</f>
        <v>24429.6388973981</v>
      </c>
      <c r="H19" s="0" t="n">
        <f aca="false">H15+H16+H17+H18</f>
        <v>25675.3955363098</v>
      </c>
      <c r="I19" s="0" t="n">
        <f aca="false">I15+I16+I17+I18</f>
        <v>26713.0199155413</v>
      </c>
      <c r="J19" s="0" t="n">
        <f aca="false">J15+J16+J17+J18</f>
        <v>27514.4105130076</v>
      </c>
      <c r="K19" s="0" t="n">
        <f aca="false">K15+K16+K17+K18</f>
        <v>28339.8428283978</v>
      </c>
      <c r="L19" s="0" t="n">
        <f aca="false">L15+L16+L17+L18</f>
        <v>29190.0381132497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22269.3319736706</v>
      </c>
      <c r="D21" s="0" t="n">
        <f aca="false">D19*D20</f>
        <v>17779.9906149151</v>
      </c>
      <c r="E21" s="0" t="n">
        <f aca="false">E19*E20</f>
        <v>15590.0786774073</v>
      </c>
      <c r="F21" s="0" t="n">
        <f aca="false">F19*F20</f>
        <v>15505.7629684623</v>
      </c>
      <c r="G21" s="0" t="n">
        <f aca="false">G19*G20</f>
        <v>14828.7880388352</v>
      </c>
      <c r="H21" s="0" t="n">
        <f aca="false">H19*H20</f>
        <v>14104.0381695077</v>
      </c>
      <c r="I21" s="0" t="n">
        <f aca="false">I19*I20</f>
        <v>13279.6626258812</v>
      </c>
      <c r="J21" s="0" t="n">
        <f aca="false">J19*J20</f>
        <v>12378.3280585137</v>
      </c>
      <c r="K21" s="0" t="n">
        <f aca="false">K19*K20</f>
        <v>11538.1700454924</v>
      </c>
      <c r="L21" s="0" t="n">
        <f aca="false">L19*L20</f>
        <v>10755.0363319974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148029.187504683</v>
      </c>
    </row>
    <row r="31" customFormat="false" ht="15" hidden="false" customHeight="false" outlineLevel="0" collapsed="false">
      <c r="A31" s="0" t="s">
        <v>131</v>
      </c>
      <c r="B31" s="0" t="n">
        <f aca="false">L19</f>
        <v>29190.0381132497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400876.523421963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437850.571698746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400876.523421963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147702.498959431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295731.686464114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311579.686464114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23.4259015517263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0.102914385674498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23.4259015517263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250547.827138727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15.051570810167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38</v>
      </c>
      <c r="D5" s="4" t="n">
        <f aca="false">Assumptions!D41</f>
        <v>-3</v>
      </c>
      <c r="E5" s="4" t="n">
        <f aca="false">Assumptions!E41</f>
        <v>3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105333.364</v>
      </c>
      <c r="C6" s="0" t="n">
        <f aca="false">B6*(1+C5/100)</f>
        <v>145360.04232</v>
      </c>
      <c r="D6" s="0" t="n">
        <f aca="false">C6*(1+D5/100)</f>
        <v>140999.2410504</v>
      </c>
      <c r="E6" s="0" t="n">
        <f aca="false">D6*(1+E5/100)</f>
        <v>145229.218281912</v>
      </c>
      <c r="F6" s="0" t="n">
        <f aca="false">E6*(1+F5/100)</f>
        <v>152490.679196008</v>
      </c>
      <c r="G6" s="0" t="n">
        <f aca="false">F6*(1+G5/100)</f>
        <v>160115.213155808</v>
      </c>
      <c r="H6" s="0" t="n">
        <f aca="false">G6*(1+H5/100)</f>
        <v>168120.973813598</v>
      </c>
      <c r="I6" s="0" t="n">
        <f aca="false">H6*(1+I5/100)</f>
        <v>175686.41763521</v>
      </c>
      <c r="J6" s="0" t="n">
        <f aca="false">I6*(1+J5/100)</f>
        <v>182713.874340619</v>
      </c>
      <c r="K6" s="0" t="n">
        <f aca="false">J6*(1+K5/100)</f>
        <v>189108.85994254</v>
      </c>
      <c r="L6" s="0" t="n">
        <f aca="false">K6*(1+L5/100)</f>
        <v>195727.670040529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45</v>
      </c>
      <c r="D7" s="4" t="n">
        <f aca="false">Assumptions!D42</f>
        <v>41</v>
      </c>
      <c r="E7" s="4" t="n">
        <f aca="false">Assumptions!E42</f>
        <v>40</v>
      </c>
      <c r="F7" s="4" t="n">
        <f aca="false">Assumptions!F42</f>
        <v>40</v>
      </c>
      <c r="G7" s="4" t="n">
        <f aca="false">Assumptions!G42</f>
        <v>40</v>
      </c>
      <c r="H7" s="4" t="n">
        <f aca="false">Assumptions!H42</f>
        <v>40</v>
      </c>
      <c r="I7" s="4" t="n">
        <f aca="false">Assumptions!I42</f>
        <v>40</v>
      </c>
      <c r="J7" s="4" t="n">
        <f aca="false">Assumptions!J42</f>
        <v>40</v>
      </c>
      <c r="K7" s="4" t="n">
        <f aca="false">Assumptions!K42</f>
        <v>40</v>
      </c>
      <c r="L7" s="4" t="n">
        <f aca="false">Assumptions!L42</f>
        <v>40</v>
      </c>
    </row>
    <row r="8" customFormat="false" ht="15" hidden="false" customHeight="false" outlineLevel="0" collapsed="false">
      <c r="A8" s="0" t="s">
        <v>44</v>
      </c>
      <c r="C8" s="0" t="n">
        <f aca="false">C6*C7/100</f>
        <v>65412.019044</v>
      </c>
      <c r="D8" s="0" t="n">
        <f aca="false">D6*D7/100</f>
        <v>57809.688830664</v>
      </c>
      <c r="E8" s="0" t="n">
        <f aca="false">E6*E7/100</f>
        <v>58091.6873127648</v>
      </c>
      <c r="F8" s="0" t="n">
        <f aca="false">F6*F7/100</f>
        <v>60996.271678403</v>
      </c>
      <c r="G8" s="0" t="n">
        <f aca="false">G6*G7/100</f>
        <v>64046.0852623232</v>
      </c>
      <c r="H8" s="0" t="n">
        <f aca="false">H6*H7/100</f>
        <v>67248.3895254393</v>
      </c>
      <c r="I8" s="0" t="n">
        <f aca="false">I6*I7/100</f>
        <v>70274.5670540841</v>
      </c>
      <c r="J8" s="0" t="n">
        <f aca="false">J6*J7/100</f>
        <v>73085.5497362475</v>
      </c>
      <c r="K8" s="0" t="n">
        <f aca="false">K6*K7/100</f>
        <v>75643.5439770161</v>
      </c>
      <c r="L8" s="0" t="n">
        <f aca="false">L6*L7/100</f>
        <v>78291.0680162117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65412.019044</v>
      </c>
      <c r="D11" s="0" t="n">
        <f aca="false">D8+D10+D24</f>
        <v>57809.688830664</v>
      </c>
      <c r="E11" s="0" t="n">
        <f aca="false">E8+E10+E24</f>
        <v>58091.6873127648</v>
      </c>
      <c r="F11" s="0" t="n">
        <f aca="false">F8+F10+F24</f>
        <v>60996.271678403</v>
      </c>
      <c r="G11" s="0" t="n">
        <f aca="false">G8+G10+G24</f>
        <v>64046.0852623232</v>
      </c>
      <c r="H11" s="0" t="n">
        <f aca="false">H8+H10+H24</f>
        <v>67248.3895254393</v>
      </c>
      <c r="I11" s="0" t="n">
        <f aca="false">I8+I10+I24</f>
        <v>70274.5670540841</v>
      </c>
      <c r="J11" s="0" t="n">
        <f aca="false">J8+J10+J24</f>
        <v>73085.5497362475</v>
      </c>
      <c r="K11" s="0" t="n">
        <f aca="false">K8+K10+K24</f>
        <v>75643.5439770161</v>
      </c>
      <c r="L11" s="0" t="n">
        <f aca="false">L8+L10+L24</f>
        <v>78291.0680162117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65412.019044</v>
      </c>
      <c r="D13" s="0" t="n">
        <f aca="false">D11+D12</f>
        <v>57809.688830664</v>
      </c>
      <c r="E13" s="0" t="n">
        <f aca="false">E11+E12</f>
        <v>58091.6873127648</v>
      </c>
      <c r="F13" s="0" t="n">
        <f aca="false">F11+F12</f>
        <v>60996.271678403</v>
      </c>
      <c r="G13" s="0" t="n">
        <f aca="false">G11+G12</f>
        <v>64046.0852623232</v>
      </c>
      <c r="H13" s="0" t="n">
        <f aca="false">H11+H12</f>
        <v>67248.3895254393</v>
      </c>
      <c r="I13" s="0" t="n">
        <f aca="false">I11+I12</f>
        <v>70274.5670540841</v>
      </c>
      <c r="J13" s="0" t="n">
        <f aca="false">J11+J12</f>
        <v>73085.5497362475</v>
      </c>
      <c r="K13" s="0" t="n">
        <f aca="false">K11+K12</f>
        <v>75643.5439770161</v>
      </c>
      <c r="L13" s="0" t="n">
        <f aca="false">L11+L12</f>
        <v>78291.0680162117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23.5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50040.19456866</v>
      </c>
      <c r="D15" s="0" t="n">
        <f aca="false">D13-MAX(0,D13)*D14/100</f>
        <v>43935.3635113046</v>
      </c>
      <c r="E15" s="0" t="n">
        <f aca="false">E13-MAX(0,E13)*E14/100</f>
        <v>44149.6823577012</v>
      </c>
      <c r="F15" s="0" t="n">
        <f aca="false">F13-MAX(0,F13)*F14/100</f>
        <v>46357.1664755863</v>
      </c>
      <c r="G15" s="0" t="n">
        <f aca="false">G13-MAX(0,G13)*G14/100</f>
        <v>48675.0247993656</v>
      </c>
      <c r="H15" s="0" t="n">
        <f aca="false">H13-MAX(0,H13)*H14/100</f>
        <v>51108.7760393339</v>
      </c>
      <c r="I15" s="0" t="n">
        <f aca="false">I13-MAX(0,I13)*I14/100</f>
        <v>53408.6709611039</v>
      </c>
      <c r="J15" s="0" t="n">
        <f aca="false">J13-MAX(0,J13)*J14/100</f>
        <v>55545.0177995481</v>
      </c>
      <c r="K15" s="0" t="n">
        <f aca="false">K13-MAX(0,K13)*K14/100</f>
        <v>57489.0934225323</v>
      </c>
      <c r="L15" s="0" t="n">
        <f aca="false">L13-MAX(0,L13)*L14/100</f>
        <v>59501.2116923209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-19623.6057132</v>
      </c>
      <c r="D17" s="4" t="n">
        <f aca="false">-D6*Assumptions!D46/100</f>
        <v>-15509.916515544</v>
      </c>
      <c r="E17" s="4" t="n">
        <f aca="false">-E6*Assumptions!E46/100</f>
        <v>-13796.7757367816</v>
      </c>
      <c r="F17" s="4" t="n">
        <f aca="false">-F6*Assumptions!F46/100</f>
        <v>-13724.1611276407</v>
      </c>
      <c r="G17" s="4" t="n">
        <f aca="false">-G6*Assumptions!G46/100</f>
        <v>-14090.1387577111</v>
      </c>
      <c r="H17" s="4" t="n">
        <f aca="false">-H6*Assumptions!H46/100</f>
        <v>-14794.6456955967</v>
      </c>
      <c r="I17" s="4" t="n">
        <f aca="false">-I6*Assumptions!I46/100</f>
        <v>-15460.4047518985</v>
      </c>
      <c r="J17" s="4" t="n">
        <f aca="false">-J6*Assumptions!J46/100</f>
        <v>-16078.8209419744</v>
      </c>
      <c r="K17" s="4" t="n">
        <f aca="false">-K6*Assumptions!K46/100</f>
        <v>-16641.5796749436</v>
      </c>
      <c r="L17" s="4" t="n">
        <f aca="false">-L6*Assumptions!L46/100</f>
        <v>-17224.0349635666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-0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30416.58885546</v>
      </c>
      <c r="D19" s="0" t="n">
        <f aca="false">D15+D16+D17+D18</f>
        <v>28425.4469957606</v>
      </c>
      <c r="E19" s="0" t="n">
        <f aca="false">E15+E16+E17+E18</f>
        <v>30352.9066209196</v>
      </c>
      <c r="F19" s="0" t="n">
        <f aca="false">F15+F16+F17+F18</f>
        <v>32633.0053479456</v>
      </c>
      <c r="G19" s="0" t="n">
        <f aca="false">G15+G16+G17+G18</f>
        <v>34584.8860416545</v>
      </c>
      <c r="H19" s="0" t="n">
        <f aca="false">H15+H16+H17+H18</f>
        <v>36314.1303437372</v>
      </c>
      <c r="I19" s="0" t="n">
        <f aca="false">I15+I16+I17+I18</f>
        <v>37948.2662092054</v>
      </c>
      <c r="J19" s="0" t="n">
        <f aca="false">J15+J16+J17+J18</f>
        <v>39466.1968575736</v>
      </c>
      <c r="K19" s="0" t="n">
        <f aca="false">K15+K16+K17+K18</f>
        <v>40847.5137475887</v>
      </c>
      <c r="L19" s="0" t="n">
        <f aca="false">L15+L16+L17+L18</f>
        <v>42277.1767287543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27526.3247560724</v>
      </c>
      <c r="D21" s="0" t="n">
        <f aca="false">D19*D20</f>
        <v>23279.9877117673</v>
      </c>
      <c r="E21" s="0" t="n">
        <f aca="false">E19*E20</f>
        <v>22496.4220835674</v>
      </c>
      <c r="F21" s="0" t="n">
        <f aca="false">F19*F20</f>
        <v>21888.0947506012</v>
      </c>
      <c r="G21" s="0" t="n">
        <f aca="false">G19*G20</f>
        <v>20993.0219031435</v>
      </c>
      <c r="H21" s="0" t="n">
        <f aca="false">H19*H20</f>
        <v>19948.1203604531</v>
      </c>
      <c r="I21" s="0" t="n">
        <f aca="false">I19*I20</f>
        <v>18864.9645037769</v>
      </c>
      <c r="J21" s="0" t="n">
        <f aca="false">J19*J20</f>
        <v>17755.2607094371</v>
      </c>
      <c r="K21" s="0" t="n">
        <f aca="false">K19*K20</f>
        <v>16630.4930626854</v>
      </c>
      <c r="L21" s="0" t="n">
        <f aca="false">L19*L20</f>
        <v>15576.9776650493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204959.667506554</v>
      </c>
    </row>
    <row r="31" customFormat="false" ht="15" hidden="false" customHeight="false" outlineLevel="0" collapsed="false">
      <c r="A31" s="0" t="s">
        <v>131</v>
      </c>
      <c r="B31" s="0" t="n">
        <f aca="false">L19</f>
        <v>42277.1767287543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625098.25591801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634157.650931315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625098.25591801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230316.741190371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435276.408696925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451124.408696925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33.917474228321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0.596867901521705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33.917474228321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380494.590558789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20.9450493439021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14.3222169698291</v>
      </c>
      <c r="C4" s="0" t="n">
        <f aca="false">B4/Assumptions!$B$2-1</f>
        <v>-0.325695999537234</v>
      </c>
      <c r="D4" s="4" t="n">
        <f aca="false">Assumptions!$B$24</f>
        <v>0.25</v>
      </c>
      <c r="E4" s="4" t="n">
        <f aca="false">DCF_Bear!$B$43</f>
        <v>14.3222169698291</v>
      </c>
      <c r="F4" s="4" t="n">
        <f aca="false">DCF_Bear!$B$47</f>
        <v>9.63489943413935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23.4259015517263</v>
      </c>
      <c r="C5" s="0" t="n">
        <f aca="false">B5/Assumptions!$B$2-1</f>
        <v>0.102914385674498</v>
      </c>
      <c r="D5" s="4" t="n">
        <f aca="false">Assumptions!$B$38</f>
        <v>0.5</v>
      </c>
      <c r="E5" s="4" t="n">
        <f aca="false">DCF_Base!$B$43</f>
        <v>23.4259015517263</v>
      </c>
      <c r="F5" s="4" t="n">
        <f aca="false">DCF_Base!$B$47</f>
        <v>15.051570810167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33.917474228321</v>
      </c>
      <c r="C6" s="0" t="n">
        <f aca="false">B6/Assumptions!$B$2-1</f>
        <v>0.596867901521705</v>
      </c>
      <c r="D6" s="4" t="n">
        <f aca="false">Assumptions!$B$52</f>
        <v>0.25</v>
      </c>
      <c r="E6" s="4" t="n">
        <f aca="false">DCF_Bull!$B$43</f>
        <v>33.917474228321</v>
      </c>
      <c r="F6" s="4" t="n">
        <f aca="false">DCF_Bull!$B$47</f>
        <v>20.9450493439021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23.7728735754007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23.7728735754007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0.10654469546423</v>
      </c>
    </row>
    <row r="11" customFormat="false" ht="15" hidden="false" customHeight="false" outlineLevel="0" collapsed="false">
      <c r="A11" s="0" t="s">
        <v>158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15.1707725995939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27.0104204899892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25.0233851238589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23.4259015517263</v>
      </c>
      <c r="C17" s="3" t="n">
        <v>10.5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22.028557957272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19.700808844957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15.051570810167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27.9448607002201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27.9448607002201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27.9448607002201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27.9448607002201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27.9448607002201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24.8780986628495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25.8016168833412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26.1178902465233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26.1178902465233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26.1178902465233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22.0243110406756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22.6813065927307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23.4259015517263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24.27686721915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24.4501407713403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19.7756793888349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20.2575072656013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20.7960207749285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21.4018484729216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22.0884531973138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17.9590141792913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18.3210652558057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18.7212269719533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19.1658511010062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19.6627839511241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2026-10-23T10:40:05Z</dcterms:created>
  <dc:creator>openpyxl</dc:creator>
  <dc:description/>
  <dc:language>en-NZ</dc:language>
  <cp:lastModifiedBy/>
  <dcterms:modified xsi:type="dcterms:W3CDTF">2026-10-23T10:40:05Z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