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<sst xmlns="http://schemas.openxmlformats.org/spreadsheetml/2006/main" count="388" uniqueCount="177">
  <si>
    <t xml:space="preserve">Ticker</t>
  </si>
  <si>
    <t xml:space="preserve">4568.T</t>
  </si>
  <si>
    <t xml:space="preserve">Company</t>
  </si>
  <si>
    <t xml:space="preserve">Daiichi Sankyo Company, Limited</t>
  </si>
  <si>
    <t xml:space="preserve">Valuation date</t>
  </si>
  <si>
    <t xml:space="preserve">2026-10-31</t>
  </si>
  <si>
    <t xml:space="preserve">Current price</t>
  </si>
  <si>
    <t xml:space="preserve">Price as of</t>
  </si>
  <si>
    <t xml:space="preserve">2026-10-30T06:30:00Z (TSE regular close, first session after Q2 FY2026 results released 30 Oct 2026)</t>
  </si>
  <si>
    <t xml:space="preserve">Balance sheet date</t>
  </si>
  <si>
    <t xml:space="preserve">2026-09-30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</si>
  <si>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</si>
  <si>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</si>
  <si>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</si>
  <si>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</si>
  <si>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</si>
  <si>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</si>
  <si>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</si>
  <si>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</si>
  <si>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</si>
  <si>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</si>
  <si>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2026-10-31T04:22:45Z</t>
  </si>
  <si>
    <t xml:space="preserve">Drivers file</t>
  </si>
  <si>
    <t xml:space="preserve">4568.T_Drivers.json</t>
  </si>
  <si>
    <t xml:space="preserve">Convention</t>
  </si>
  <si>
    <t xml:space="preserve">Percents stored as percents; formulas divide by 100. Blue = input, green = link, black = formula.</t>
  </si>
  <si>
    <t xml:space="preserve">Methodology</t>
  </si>
  <si>
    <t xml:space="preserve">summary: Value the DXd ADC franchise as a cash-flow stream on the component build, charging every real cost once: the 50% AstraZeneca profit share and R&amp;D inside the margin, CMO compensation as an operating cost rather than a one-off, leases as operating cost, in-licensing inside capex, working-capital build as a negative capture on growth, and the elevated cash-tax rate until the upfront-tax prepayment unwinds. Interest and dividend income are stripped and their source assets added back, net cash and the contracted Suntory proceeds are bridged. The horizon runs 10 years because the FCF margin is still ramping at year 5 and because ENHERTU's exclusivity cliff falls inside the decade and must be visible in the fade, not hidden in the terminal value.
key_risks_to_valuation: Product concentration: ENHERTU (~39% of revenue) and DATROWAY drive essentially all growth; a safety (ILD) or competitive setback moves every scenario; FX: reported JPY revenue is &gt;60% USD/EUR; 10 yen on USD/JPY is roughly 5% of revenue; Working-capital and cash-tax normalisation is assumed, not demonstrated: two consecutive years of negative owner FCF on 280-296bn of net income; Pipeline binary events: HER3-DXd, I-DXd, R-DXd each already carry a regulatory setback; bull weight depends on them; ENHERTU exclusivity (~2031 US) and ADC biosimilar/competitor timing set the terminal value; Internal controls: FY2026 results required correction; CMO minimum-purchase obligations have produced 88bn + 80bn of charges in two years; Equity bridge judgments: 50% haircut on 216bn non-current financial assets and PV of the staged Suntory consideration are estimates, ~140 yen/share combined</t>
  </si>
  <si>
    <t xml:space="preserve">Data sources</t>
  </si>
  <si>
    <t xml:space="preserve">price: Yahoo Finance chart API at inputs.price_as_of; 52-week range 2,390-3,945 JPY
financials: 4568.T_Metrics.csv / core_metrics (FY2014-H1 FY2027, IFRS, JPY millions); FY2026 corrected tanshin (4568.T_Quarterly_Q4-2026_Corrected.txt) for the cash flow statement, diluted-share note and capex split; H1 FY2027 tanshin (4568.T_HalfYear_H1-2027.txt) for the 30-Sep-2026 balance sheet, share counts and FY2027 forecast; Q2 FY2026 presentation (4568.T_Presentation_H1-2027.txt) for the core-OP build, CMO compensation and FX assumptions; FY2025 integrated report for cross-shareholding policy
qualitative: 4568.T_Analysis.json (2026-10-31): 5-year plan, Suntory divestiture, pipeline setbacks, alliance economics</t>
  </si>
  <si>
    <t xml:space="preserve">Scenario narrative: bear</t>
  </si>
  <si>
    <t xml:space="preserve">JPY strengthening removes the translation tailwind, Lixiana and American Regent erode as scheduled, ENHERTU growth stalls against ADC competition and US pricing policy, HER3-DXd and I-DXd fail to reach the US market, CMO compensation keeps recurring, and ENHERTU's exclusivity cliff from ~2031 turns revenue negative in Y7-Y10. Adjusted EBITDA stuck at 16-18%, cash tax elevated longer. Terminal 14x, 1% growth.</t>
  </si>
  <si>
    <t xml:space="preserve">Scenario narrative: base</t>
  </si>
  <si>
    <t xml:space="preserve">Daiichi Sankyo delivers roughly its FY2026-FY2030 plan: revenue ~3.2tn by repo FY2031 on ENHERTU label expansion (earlier lines, pan-tumor, early breast cancer) and DATROWAY's NSCLC/TNBC build, net of Lixiana loss of exclusivity, American Regent decline and Japan NHI price cuts. Adjusted EBITDA climbs from the guidance-implied ~18.5% to 25% as the CMO compensation charges roll off and Operational Excellence savings land, capped structurally by the 50% ex-Japan gross-profit share to AstraZeneca and ~21% R&amp;D. Working-capital intensity (inventory 1.7x COGS) and the 33% cash-tax rate normalise gradually, so owner FCF margin rises from ~3% to ~12% over the decade. Growth fades to 2.5% by Y10 as ENHERTU's US exclusivity ends ~2031 and the next-wave ADCs replace only part of it.</t>
  </si>
  <si>
    <t xml:space="preserve">Scenario narrative: bull</t>
  </si>
  <si>
    <t xml:space="preserve">Multiple pipeline successes stack: ENHERTU reaches 1L/adjuvant across markets, DATROWAY wins TNBC 1L and the ivonescimab combinations, and two of HER3-DXd/I-DXd/R-DXd launch by FY2030, taking revenue above plan (3.5tn by FY2031) and sustaining high-single-digit growth into the 2030s. Margin reaches 29% on full Operational Excellence delivery and scale; working-capital drag halves as the inventory build stabilises; JPY stays weak. Terminal 20x, 2.5% growth.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</si>
  <si>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</si>
  <si>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</si>
  <si>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</si>
  <si>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</si>
  <si>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</si>
  <si>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</si>
  <si>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</si>
  <si>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</si>
  <si>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</si>
  <si>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</si>
  <si>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</si>
  <si>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</si>
  <si>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</si>
  <si>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</si>
  <si>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</si>
  <si>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</si>
  <si>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</si>
  <si>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</si>
  <si>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</si>
  <si>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</si>
  <si>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</si>
  <si>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</si>
  <si>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</si>
  <si>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</si>
  <si>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</si>
  <si>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</si>
  <si>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</si>
  <si>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CapexIntangibles</t>
  </si>
  <si>
    <t xml:space="preserve">CapexPPE</t>
  </si>
  <si>
    <t xml:space="preserve">EPSBasic</t>
  </si>
  <si>
    <t xml:space="preserve">RnDExpense</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</si>
  <si>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</si>
  <si>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</si>
  <si>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</si>
  <si>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</si>
  <si>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</si>
  <si>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</si>
  <si>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</si>
  <si>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</si>
  <si>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</si>
  <si>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</si>
  <si>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</si>
  <si>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</si>
  <si>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</si>
  <si>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</si>
  <si>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</si>
  <si>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</si>
  <si>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</si>
  <si>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</si>
  <si>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</si>
  <si>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</si>
  <si>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</si>
  <si>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</si>
  <si>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</si>
  <si>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</si>
  <si>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</si>
  <si>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</si>
  <si>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</si>
  <si>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</si>
  <si>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</si>
  <si>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</si>
  <si>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</si>
  <si>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</si>
  <si>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</si>
  <si>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</si>
  <si>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</si>
  <si>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</si>
  <si>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</si>
  <si>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</si>
  <si>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</si>
  <si>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</si>
  <si>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</si>
  <si>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</si>
  <si>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</si>
  <si>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</si>
  <si>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</si>
  <si>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</si>
  <si>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</si>
  <si>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</si>
  <si>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</si>
  <si>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</si>
  <si>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</si>
  <si>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</si>
  <si>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</si>
  <si>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</si>
  <si>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</si>
  <si>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4568.T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</si>
  <si>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</si>
  <si>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</si>
  <si>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</si>
  <si>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</si>
  <si>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</si>
  <si>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</si>
  <si>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</si>
  <si>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</si>
  <si>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</si>
  <si>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</si>
  <si>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</si>
  <si>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</si>
  <si>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</si>
  <si>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</si>
  <si>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</si>
  <si>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</si>
  <si>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</si>
  <si>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</si>
  <si>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</si>
  <si>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</si>
  <si>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</si>
  <si>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</si>
  <si>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</si>
  <si>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</si>
  <si>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</si>
  <si>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</si>
  <si>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</si>
  <si>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</si>
  <si>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</si>
  <si>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</si>
  <si>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4568.T owner-FCF component DCF: base case (millions, JPY)</t>
  </si>
  <si>
    <t xml:space="preserve">4568.T owner-FCF component DCF: bull case (millions, JPY)</t>
  </si>
  <si>
    <t xml:space="preserve">4568.T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</si>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</sst>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2754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row>
    <row r="2" customFormat="false" ht="15" hidden="false" customHeight="false" outlineLevel="0" collapsed="false">
      <c r="A2" s="0" t="s">
        <v>67</v>
      </c>
      <c r="B2" s="0" t="n">
        <v>842147</v>
      </c>
      <c r="F2" s="0" t="n">
        <v>88870</v>
      </c>
      <c r="G2" s="0" t="n">
        <v>10.6</v>
      </c>
      <c r="H2" s="0" t="n">
        <v>129452</v>
      </c>
      <c r="I2" s="0" t="n">
        <v>-215499</v>
      </c>
      <c r="J2" s="0" t="n">
        <v>-25.6</v>
      </c>
      <c r="K2" s="0" t="n">
        <v>-101.41</v>
      </c>
      <c r="P2" s="0" t="n">
        <v>1494599</v>
      </c>
      <c r="V2" s="0" t="n">
        <v>26.67</v>
      </c>
      <c r="AA2" s="0" t="s">
        <v>17</v>
      </c>
      <c r="AB2" s="0" t="s">
        <v>14</v>
      </c>
      <c r="AF2" s="0" t="n">
        <v>184539</v>
      </c>
    </row>
    <row r="3" customFormat="false" ht="15" hidden="false" customHeight="false" outlineLevel="0" collapsed="false">
      <c r="A3" s="0" t="s">
        <v>68</v>
      </c>
      <c r="B3" s="0" t="n">
        <v>952105</v>
      </c>
      <c r="F3" s="0" t="n">
        <v>95509</v>
      </c>
      <c r="G3" s="0" t="n">
        <v>10</v>
      </c>
      <c r="H3" s="0" t="n">
        <v>141451</v>
      </c>
      <c r="I3" s="0" t="n">
        <v>41852</v>
      </c>
      <c r="J3" s="0" t="n">
        <v>4.4</v>
      </c>
      <c r="K3" s="0" t="n">
        <v>19.82</v>
      </c>
      <c r="P3" s="0" t="n">
        <v>1489510</v>
      </c>
      <c r="V3" s="0" t="n">
        <v>20</v>
      </c>
      <c r="AA3" s="0" t="s">
        <v>17</v>
      </c>
      <c r="AB3" s="0" t="s">
        <v>14</v>
      </c>
      <c r="AF3" s="0" t="n">
        <v>196802</v>
      </c>
    </row>
    <row r="4" customFormat="false" ht="15" hidden="false" customHeight="false" outlineLevel="0" collapsed="false">
      <c r="A4" s="0" t="s">
        <v>69</v>
      </c>
      <c r="B4" s="0" t="n">
        <v>967365</v>
      </c>
      <c r="F4" s="0" t="n">
        <v>122143</v>
      </c>
      <c r="G4" s="0" t="n">
        <v>12.6</v>
      </c>
      <c r="H4" s="0" t="n">
        <v>166088</v>
      </c>
      <c r="I4" s="0" t="n">
        <v>70121</v>
      </c>
      <c r="J4" s="0" t="n">
        <v>7.2</v>
      </c>
      <c r="K4" s="0" t="n">
        <v>33.21</v>
      </c>
      <c r="P4" s="0" t="n">
        <v>1480240</v>
      </c>
      <c r="V4" s="0" t="n">
        <v>20</v>
      </c>
      <c r="AA4" s="0" t="s">
        <v>17</v>
      </c>
      <c r="AB4" s="0" t="s">
        <v>14</v>
      </c>
      <c r="AF4" s="0" t="n">
        <v>194330</v>
      </c>
    </row>
    <row r="5" customFormat="false" ht="15" hidden="false" customHeight="false" outlineLevel="0" collapsed="false">
      <c r="A5" s="0" t="s">
        <v>70</v>
      </c>
      <c r="B5" s="0" t="n">
        <v>938677</v>
      </c>
      <c r="F5" s="0" t="n">
        <v>98202</v>
      </c>
      <c r="G5" s="0" t="n">
        <v>10.5</v>
      </c>
      <c r="H5" s="0" t="n">
        <v>144507</v>
      </c>
      <c r="I5" s="0" t="n">
        <v>10383</v>
      </c>
      <c r="J5" s="0" t="n">
        <v>1.1</v>
      </c>
      <c r="K5" s="0" t="n">
        <v>4.92</v>
      </c>
      <c r="P5" s="0" t="n">
        <v>1518479</v>
      </c>
      <c r="V5" s="0" t="n">
        <v>20</v>
      </c>
      <c r="AA5" s="0" t="s">
        <v>17</v>
      </c>
      <c r="AB5" s="0" t="s">
        <v>14</v>
      </c>
      <c r="AF5" s="0" t="n">
        <v>185052</v>
      </c>
    </row>
    <row r="6" customFormat="false" ht="15" hidden="false" customHeight="false" outlineLevel="0" collapsed="false">
      <c r="A6" s="0" t="s">
        <v>71</v>
      </c>
      <c r="B6" s="0" t="n">
        <v>997852</v>
      </c>
      <c r="F6" s="0" t="n">
        <v>100516</v>
      </c>
      <c r="G6" s="0" t="n">
        <v>10.1</v>
      </c>
      <c r="H6" s="0" t="n">
        <v>141939</v>
      </c>
      <c r="I6" s="0" t="n">
        <v>66621</v>
      </c>
      <c r="J6" s="0" t="n">
        <v>6.7</v>
      </c>
      <c r="K6" s="0" t="n">
        <v>31.55</v>
      </c>
      <c r="P6" s="0" t="n">
        <v>1644071</v>
      </c>
      <c r="V6" s="0" t="n">
        <v>20</v>
      </c>
      <c r="AA6" s="0" t="s">
        <v>17</v>
      </c>
      <c r="AB6" s="0" t="s">
        <v>14</v>
      </c>
      <c r="AF6" s="0" t="n">
        <v>183047</v>
      </c>
    </row>
    <row r="7" customFormat="false" ht="15" hidden="false" customHeight="false" outlineLevel="0" collapsed="false">
      <c r="A7" s="0" t="s">
        <v>72</v>
      </c>
      <c r="B7" s="0" t="n">
        <v>899126</v>
      </c>
      <c r="C7" s="0" t="n">
        <v>282851</v>
      </c>
      <c r="D7" s="0" t="n">
        <v>616274</v>
      </c>
      <c r="E7" s="0" t="n">
        <v>68.5</v>
      </c>
      <c r="F7" s="0" t="n">
        <v>112922</v>
      </c>
      <c r="G7" s="0" t="n">
        <v>12.6</v>
      </c>
      <c r="H7" s="0" t="n">
        <v>151286</v>
      </c>
      <c r="I7" s="0" t="n">
        <v>60943</v>
      </c>
      <c r="J7" s="0" t="n">
        <v>6.8</v>
      </c>
      <c r="K7" s="0" t="n">
        <v>28.8033</v>
      </c>
      <c r="L7" s="0" t="n">
        <v>37304</v>
      </c>
      <c r="M7" s="0" t="n">
        <v>41092</v>
      </c>
      <c r="N7" s="0" t="n">
        <v>-3788</v>
      </c>
      <c r="O7" s="0" t="n">
        <v>979933</v>
      </c>
      <c r="P7" s="0" t="n">
        <v>1854037</v>
      </c>
      <c r="Q7" s="0" t="n">
        <v>846509</v>
      </c>
      <c r="R7" s="0" t="n">
        <v>423615</v>
      </c>
      <c r="S7" s="0" t="n">
        <v>183070</v>
      </c>
      <c r="T7" s="0" t="n">
        <v>2115.876</v>
      </c>
      <c r="U7" s="0" t="n">
        <v>2175</v>
      </c>
      <c r="AA7" s="0" t="s">
        <v>17</v>
      </c>
      <c r="AB7" s="0" t="s">
        <v>14</v>
      </c>
      <c r="AC7" s="0" t="n">
        <v>4704</v>
      </c>
      <c r="AD7" s="0" t="n">
        <v>36388</v>
      </c>
      <c r="AE7" s="0" t="n">
        <v>28.86</v>
      </c>
      <c r="AF7" s="0" t="n">
        <v>180664</v>
      </c>
    </row>
    <row r="8" customFormat="false" ht="15" hidden="false" customHeight="false" outlineLevel="0" collapsed="false">
      <c r="A8" s="0" t="s">
        <v>73</v>
      </c>
      <c r="B8" s="0" t="n">
        <v>919372</v>
      </c>
      <c r="C8" s="0" t="n">
        <v>323087</v>
      </c>
      <c r="D8" s="0" t="n">
        <v>596284</v>
      </c>
      <c r="E8" s="0" t="n">
        <v>64.9</v>
      </c>
      <c r="F8" s="0" t="n">
        <v>74422</v>
      </c>
      <c r="G8" s="0" t="n">
        <v>8.1</v>
      </c>
      <c r="H8" s="0" t="n">
        <v>116445</v>
      </c>
      <c r="I8" s="0" t="n">
        <v>322119</v>
      </c>
      <c r="J8" s="0" t="n">
        <v>35</v>
      </c>
      <c r="K8" s="0" t="n">
        <v>152.2067</v>
      </c>
      <c r="L8" s="0" t="n">
        <v>142776</v>
      </c>
      <c r="M8" s="0" t="n">
        <v>94630</v>
      </c>
      <c r="N8" s="0" t="n">
        <v>48146</v>
      </c>
      <c r="O8" s="0" t="n">
        <v>1304057</v>
      </c>
      <c r="P8" s="0" t="n">
        <v>1982286</v>
      </c>
      <c r="Q8" s="0" t="n">
        <v>675244</v>
      </c>
      <c r="R8" s="0" t="n">
        <v>221000</v>
      </c>
      <c r="S8" s="0" t="n">
        <v>189372</v>
      </c>
      <c r="T8" s="0" t="n">
        <v>2116.305</v>
      </c>
      <c r="U8" s="0" t="n">
        <v>3489</v>
      </c>
      <c r="AA8" s="0" t="s">
        <v>17</v>
      </c>
      <c r="AB8" s="0" t="s">
        <v>14</v>
      </c>
      <c r="AC8" s="0" t="n">
        <v>56130</v>
      </c>
      <c r="AD8" s="0" t="n">
        <v>38500</v>
      </c>
      <c r="AE8" s="0" t="n">
        <v>152.52</v>
      </c>
      <c r="AF8" s="0" t="n">
        <v>190666</v>
      </c>
    </row>
    <row r="9" customFormat="false" ht="15" hidden="false" customHeight="false" outlineLevel="0" collapsed="false">
      <c r="A9" s="0" t="s">
        <v>74</v>
      </c>
      <c r="B9" s="0" t="n">
        <v>986446</v>
      </c>
      <c r="C9" s="0" t="n">
        <v>318622</v>
      </c>
      <c r="D9" s="0" t="n">
        <v>667823</v>
      </c>
      <c r="E9" s="0" t="n">
        <v>67.7</v>
      </c>
      <c r="F9" s="0" t="n">
        <v>130412</v>
      </c>
      <c r="G9" s="0" t="n">
        <v>13.2</v>
      </c>
      <c r="H9" s="0" t="n">
        <v>174718</v>
      </c>
      <c r="I9" s="0" t="n">
        <v>82282</v>
      </c>
      <c r="J9" s="0" t="n">
        <v>8.3</v>
      </c>
      <c r="K9" s="0" t="n">
        <v>39.7033</v>
      </c>
      <c r="L9" s="0" t="n">
        <v>174281</v>
      </c>
      <c r="M9" s="0" t="n">
        <v>69397</v>
      </c>
      <c r="N9" s="0" t="n">
        <v>104884</v>
      </c>
      <c r="O9" s="0" t="n">
        <v>1231406</v>
      </c>
      <c r="P9" s="0" t="n">
        <v>1900522</v>
      </c>
      <c r="Q9" s="0" t="n">
        <v>667000</v>
      </c>
      <c r="R9" s="0" t="n">
        <v>201000</v>
      </c>
      <c r="S9" s="0" t="n">
        <v>222159</v>
      </c>
      <c r="T9" s="0" t="n">
        <v>2072.457</v>
      </c>
      <c r="U9" s="0" t="n">
        <v>6813</v>
      </c>
      <c r="AA9" s="0" t="s">
        <v>17</v>
      </c>
      <c r="AB9" s="0" t="s">
        <v>14</v>
      </c>
      <c r="AC9" s="0" t="n">
        <v>42261</v>
      </c>
      <c r="AD9" s="0" t="n">
        <v>27136</v>
      </c>
      <c r="AE9" s="0" t="n">
        <v>39.79</v>
      </c>
      <c r="AF9" s="0" t="n">
        <v>208656</v>
      </c>
    </row>
    <row r="10" customFormat="false" ht="15" hidden="false" customHeight="false" outlineLevel="0" collapsed="false">
      <c r="A10" s="0" t="s">
        <v>75</v>
      </c>
      <c r="B10" s="0" t="n">
        <v>955124</v>
      </c>
      <c r="C10" s="0" t="n">
        <v>349373</v>
      </c>
      <c r="D10" s="0" t="n">
        <v>605751</v>
      </c>
      <c r="E10" s="0" t="n">
        <v>63.4</v>
      </c>
      <c r="F10" s="0" t="n">
        <v>88929</v>
      </c>
      <c r="G10" s="0" t="n">
        <v>9.3</v>
      </c>
      <c r="H10" s="0" t="n">
        <v>136302</v>
      </c>
      <c r="I10" s="0" t="n">
        <v>53466</v>
      </c>
      <c r="J10" s="0" t="n">
        <v>5.6</v>
      </c>
      <c r="K10" s="0" t="n">
        <v>26.48</v>
      </c>
      <c r="L10" s="0" t="n">
        <v>136234</v>
      </c>
      <c r="M10" s="0" t="n">
        <v>52962</v>
      </c>
      <c r="N10" s="0" t="n">
        <v>83272</v>
      </c>
      <c r="O10" s="0" t="n">
        <v>1175897</v>
      </c>
      <c r="P10" s="0" t="n">
        <v>1914979</v>
      </c>
      <c r="Q10" s="0" t="n">
        <v>743550</v>
      </c>
      <c r="R10" s="0" t="n">
        <v>300543</v>
      </c>
      <c r="S10" s="0" t="n">
        <v>246050</v>
      </c>
      <c r="T10" s="0" t="n">
        <v>2019.099</v>
      </c>
      <c r="U10" s="0" t="n">
        <v>3880</v>
      </c>
      <c r="AA10" s="0" t="s">
        <v>17</v>
      </c>
      <c r="AB10" s="0" t="s">
        <v>14</v>
      </c>
      <c r="AC10" s="0" t="n">
        <v>28196</v>
      </c>
      <c r="AD10" s="0" t="n">
        <v>24766</v>
      </c>
      <c r="AE10" s="0" t="n">
        <v>26.54</v>
      </c>
      <c r="AF10" s="0" t="n">
        <v>214347</v>
      </c>
    </row>
    <row r="11" customFormat="false" ht="15" hidden="false" customHeight="false" outlineLevel="0" collapsed="false">
      <c r="A11" s="0" t="s">
        <v>76</v>
      </c>
      <c r="B11" s="0" t="n">
        <v>960195</v>
      </c>
      <c r="C11" s="0" t="n">
        <v>346021</v>
      </c>
      <c r="D11" s="0" t="n">
        <v>614173</v>
      </c>
      <c r="E11" s="0" t="n">
        <v>64</v>
      </c>
      <c r="F11" s="0" t="n">
        <v>76282</v>
      </c>
      <c r="G11" s="0" t="n">
        <v>7.9</v>
      </c>
      <c r="H11" s="0" t="n">
        <v>122962</v>
      </c>
      <c r="I11" s="0" t="n">
        <v>60282</v>
      </c>
      <c r="J11" s="0" t="n">
        <v>6.3</v>
      </c>
      <c r="K11" s="0" t="n">
        <v>30.3667</v>
      </c>
      <c r="L11" s="0" t="n">
        <v>108439</v>
      </c>
      <c r="M11" s="0" t="n">
        <v>38008</v>
      </c>
      <c r="N11" s="0" t="n">
        <v>70431</v>
      </c>
      <c r="O11" s="0" t="n">
        <v>1132982</v>
      </c>
      <c r="P11" s="0" t="n">
        <v>1897754</v>
      </c>
      <c r="Q11" s="0" t="n">
        <v>764713</v>
      </c>
      <c r="R11" s="0" t="n">
        <v>280564</v>
      </c>
      <c r="S11" s="0" t="n">
        <v>357702</v>
      </c>
      <c r="T11" s="0" t="n">
        <v>1985.136</v>
      </c>
      <c r="U11" s="0" t="n">
        <v>6012</v>
      </c>
      <c r="AA11" s="0" t="s">
        <v>17</v>
      </c>
      <c r="AB11" s="0" t="s">
        <v>14</v>
      </c>
      <c r="AC11" s="0" t="n">
        <v>14609</v>
      </c>
      <c r="AD11" s="0" t="n">
        <v>23399</v>
      </c>
      <c r="AE11" s="0" t="n">
        <v>30.44</v>
      </c>
      <c r="AF11" s="0" t="n">
        <v>236046</v>
      </c>
    </row>
    <row r="12" customFormat="false" ht="15" hidden="false" customHeight="false" outlineLevel="0" collapsed="false">
      <c r="A12" s="0" t="s">
        <v>77</v>
      </c>
      <c r="B12" s="0" t="n">
        <v>929717</v>
      </c>
      <c r="C12" s="0" t="n">
        <v>364605</v>
      </c>
      <c r="D12" s="0" t="n">
        <v>565112</v>
      </c>
      <c r="E12" s="0" t="n">
        <v>60.8</v>
      </c>
      <c r="F12" s="0" t="n">
        <v>83705</v>
      </c>
      <c r="G12" s="0" t="n">
        <v>9</v>
      </c>
      <c r="H12" s="0" t="n">
        <v>129874</v>
      </c>
      <c r="I12" s="0" t="n">
        <v>93409</v>
      </c>
      <c r="J12" s="0" t="n">
        <v>10</v>
      </c>
      <c r="K12" s="0" t="n">
        <v>47.96</v>
      </c>
      <c r="L12" s="0" t="n">
        <v>92033</v>
      </c>
      <c r="M12" s="0" t="n">
        <v>66613</v>
      </c>
      <c r="N12" s="0" t="n">
        <v>25420</v>
      </c>
      <c r="O12" s="0" t="n">
        <v>1249642</v>
      </c>
      <c r="P12" s="0" t="n">
        <v>2088051</v>
      </c>
      <c r="Q12" s="0" t="n">
        <v>838346</v>
      </c>
      <c r="R12" s="0" t="n">
        <v>260585</v>
      </c>
      <c r="S12" s="0" t="n">
        <v>243155</v>
      </c>
      <c r="T12" s="0" t="n">
        <v>1947.684</v>
      </c>
      <c r="U12" s="0" t="n">
        <v>7360</v>
      </c>
      <c r="AA12" s="0" t="s">
        <v>17</v>
      </c>
      <c r="AB12" s="0" t="s">
        <v>14</v>
      </c>
      <c r="AC12" s="0" t="n">
        <v>30505</v>
      </c>
      <c r="AD12" s="0" t="n">
        <v>36108</v>
      </c>
      <c r="AE12" s="0" t="n">
        <v>48.07</v>
      </c>
      <c r="AF12" s="0" t="n">
        <v>203711</v>
      </c>
    </row>
    <row r="13" customFormat="false" ht="15" hidden="false" customHeight="false" outlineLevel="0" collapsed="false">
      <c r="A13" s="0" t="s">
        <v>78</v>
      </c>
      <c r="B13" s="0" t="n">
        <v>981793</v>
      </c>
      <c r="C13" s="0" t="n">
        <v>343206</v>
      </c>
      <c r="D13" s="0" t="n">
        <v>638586</v>
      </c>
      <c r="E13" s="0" t="n">
        <v>65</v>
      </c>
      <c r="F13" s="0" t="n">
        <v>138800</v>
      </c>
      <c r="G13" s="0" t="n">
        <v>14.1</v>
      </c>
      <c r="H13" s="0" t="n">
        <v>191411</v>
      </c>
      <c r="I13" s="0" t="n">
        <v>129074</v>
      </c>
      <c r="J13" s="0" t="n">
        <v>13.1</v>
      </c>
      <c r="K13" s="0" t="n">
        <v>66.2667</v>
      </c>
      <c r="L13" s="0" t="n">
        <v>196601</v>
      </c>
      <c r="M13" s="0" t="n">
        <v>52565</v>
      </c>
      <c r="N13" s="0" t="n">
        <v>144036</v>
      </c>
      <c r="O13" s="0" t="n">
        <v>1305809</v>
      </c>
      <c r="P13" s="0" t="n">
        <v>2105619</v>
      </c>
      <c r="Q13" s="0" t="n">
        <v>799344</v>
      </c>
      <c r="R13" s="0" t="n">
        <v>224200</v>
      </c>
      <c r="S13" s="0" t="n">
        <v>424184</v>
      </c>
      <c r="T13" s="0" t="n">
        <v>1947.807</v>
      </c>
      <c r="U13" s="0" t="n">
        <v>12706</v>
      </c>
      <c r="AA13" s="0" t="s">
        <v>17</v>
      </c>
      <c r="AB13" s="0" t="s">
        <v>14</v>
      </c>
      <c r="AC13" s="0" t="n">
        <v>20629</v>
      </c>
      <c r="AD13" s="0" t="n">
        <v>31936</v>
      </c>
      <c r="AE13" s="0" t="n">
        <v>66.4</v>
      </c>
      <c r="AF13" s="0" t="n">
        <v>197465</v>
      </c>
    </row>
    <row r="14" customFormat="false" ht="15" hidden="false" customHeight="false" outlineLevel="0" collapsed="false">
      <c r="A14" s="0" t="s">
        <v>79</v>
      </c>
      <c r="B14" s="0" t="n">
        <v>962516</v>
      </c>
      <c r="C14" s="0" t="n">
        <v>338289</v>
      </c>
      <c r="D14" s="0" t="n">
        <v>624227</v>
      </c>
      <c r="E14" s="0" t="n">
        <v>64.9</v>
      </c>
      <c r="F14" s="0" t="n">
        <v>63795</v>
      </c>
      <c r="G14" s="0" t="n">
        <v>6.6</v>
      </c>
      <c r="H14" s="0" t="n">
        <v>121177</v>
      </c>
      <c r="I14" s="0" t="n">
        <v>75958</v>
      </c>
      <c r="J14" s="0" t="n">
        <v>7.9</v>
      </c>
      <c r="K14" s="0" t="n">
        <v>39.11</v>
      </c>
      <c r="L14" s="0" t="n">
        <v>192207</v>
      </c>
      <c r="M14" s="0" t="n">
        <v>64093</v>
      </c>
      <c r="N14" s="0" t="n">
        <v>128114</v>
      </c>
      <c r="O14" s="0" t="n">
        <v>1272053</v>
      </c>
      <c r="P14" s="0" t="n">
        <v>2085178</v>
      </c>
      <c r="Q14" s="0" t="n">
        <v>813125</v>
      </c>
      <c r="R14" s="0" t="n">
        <v>183832</v>
      </c>
      <c r="S14" s="0" t="n">
        <v>380547</v>
      </c>
      <c r="T14" s="0" t="n">
        <v>1941.975</v>
      </c>
      <c r="U14" s="0" t="n">
        <v>12037</v>
      </c>
      <c r="AA14" s="0" t="s">
        <v>17</v>
      </c>
      <c r="AB14" s="0" t="s">
        <v>14</v>
      </c>
      <c r="AC14" s="0" t="n">
        <v>32848</v>
      </c>
      <c r="AD14" s="0" t="n">
        <v>31245</v>
      </c>
      <c r="AE14" s="0" t="n">
        <v>39.17</v>
      </c>
      <c r="AF14" s="0" t="n">
        <v>227353</v>
      </c>
    </row>
    <row r="15" customFormat="false" ht="15" hidden="false" customHeight="false" outlineLevel="0" collapsed="false">
      <c r="A15" s="0" t="s">
        <v>80</v>
      </c>
      <c r="B15" s="0" t="n">
        <v>1044892</v>
      </c>
      <c r="C15" s="0" t="n">
        <v>353328</v>
      </c>
      <c r="D15" s="0" t="n">
        <v>691563</v>
      </c>
      <c r="E15" s="0" t="n">
        <v>66.2</v>
      </c>
      <c r="F15" s="0" t="n">
        <v>73025</v>
      </c>
      <c r="G15" s="0" t="n">
        <v>7</v>
      </c>
      <c r="H15" s="0" t="n">
        <v>131270</v>
      </c>
      <c r="I15" s="0" t="n">
        <v>66972</v>
      </c>
      <c r="J15" s="0" t="n">
        <v>6.4</v>
      </c>
      <c r="K15" s="0" t="n">
        <v>34.91</v>
      </c>
      <c r="L15" s="0" t="n">
        <v>139226</v>
      </c>
      <c r="M15" s="0" t="n">
        <v>76682</v>
      </c>
      <c r="N15" s="0" t="n">
        <v>62544</v>
      </c>
      <c r="O15" s="0" t="n">
        <v>1350872</v>
      </c>
      <c r="P15" s="0" t="n">
        <v>2221402</v>
      </c>
      <c r="Q15" s="0" t="n">
        <v>870530</v>
      </c>
      <c r="R15" s="0" t="n">
        <v>163461</v>
      </c>
      <c r="S15" s="0" t="n">
        <v>662477</v>
      </c>
      <c r="T15" s="0" t="n">
        <v>1918.499</v>
      </c>
      <c r="U15" s="0" t="n">
        <v>1133</v>
      </c>
      <c r="AA15" s="0" t="s">
        <v>17</v>
      </c>
      <c r="AB15" s="0" t="s">
        <v>14</v>
      </c>
      <c r="AC15" s="0" t="n">
        <v>13946</v>
      </c>
      <c r="AD15" s="0" t="n">
        <v>62736</v>
      </c>
      <c r="AE15" s="0" t="n">
        <v>34.94</v>
      </c>
      <c r="AF15" s="0" t="n">
        <v>260228</v>
      </c>
    </row>
    <row r="16" customFormat="false" ht="15" hidden="false" customHeight="false" outlineLevel="0" collapsed="false">
      <c r="A16" s="0" t="s">
        <v>81</v>
      </c>
      <c r="B16" s="0" t="n">
        <v>1278478</v>
      </c>
      <c r="C16" s="0" t="n">
        <v>363525</v>
      </c>
      <c r="D16" s="0" t="n">
        <v>914952</v>
      </c>
      <c r="E16" s="0" t="n">
        <v>71.6</v>
      </c>
      <c r="F16" s="0" t="n">
        <v>120580</v>
      </c>
      <c r="G16" s="0" t="n">
        <v>9.4</v>
      </c>
      <c r="H16" s="0" t="n">
        <v>188369</v>
      </c>
      <c r="I16" s="0" t="n">
        <v>109188</v>
      </c>
      <c r="J16" s="0" t="n">
        <v>8.5</v>
      </c>
      <c r="K16" s="0" t="n">
        <v>56.91</v>
      </c>
      <c r="L16" s="0" t="n">
        <v>114514</v>
      </c>
      <c r="M16" s="0" t="n">
        <v>67366</v>
      </c>
      <c r="N16" s="0" t="n">
        <v>47148</v>
      </c>
      <c r="O16" s="0" t="n">
        <v>1445854</v>
      </c>
      <c r="P16" s="0" t="n">
        <v>2508889</v>
      </c>
      <c r="Q16" s="0" t="n">
        <v>1063034</v>
      </c>
      <c r="R16" s="0" t="n">
        <v>143088</v>
      </c>
      <c r="S16" s="0" t="n">
        <v>441921</v>
      </c>
      <c r="T16" s="0" t="n">
        <v>1918.587</v>
      </c>
      <c r="U16" s="0" t="n">
        <v>21811</v>
      </c>
      <c r="AA16" s="0" t="s">
        <v>17</v>
      </c>
      <c r="AB16" s="0" t="s">
        <v>14</v>
      </c>
      <c r="AC16" s="0" t="n">
        <v>6617</v>
      </c>
      <c r="AD16" s="0" t="n">
        <v>60749</v>
      </c>
      <c r="AE16" s="0" t="n">
        <v>56.96</v>
      </c>
      <c r="AF16" s="0" t="n">
        <v>341570</v>
      </c>
    </row>
    <row r="17" customFormat="false" ht="15" hidden="false" customHeight="false" outlineLevel="0" collapsed="false">
      <c r="A17" s="0" t="s">
        <v>82</v>
      </c>
      <c r="B17" s="0" t="n">
        <v>1601688</v>
      </c>
      <c r="C17" s="0" t="n">
        <v>415322</v>
      </c>
      <c r="D17" s="0" t="n">
        <v>1186366</v>
      </c>
      <c r="E17" s="0" t="n">
        <v>74.1</v>
      </c>
      <c r="F17" s="0" t="n">
        <v>211588</v>
      </c>
      <c r="G17" s="0" t="n">
        <v>13.2</v>
      </c>
      <c r="H17" s="0" t="n">
        <v>271234</v>
      </c>
      <c r="I17" s="0" t="n">
        <v>200731</v>
      </c>
      <c r="J17" s="0" t="n">
        <v>12.5</v>
      </c>
      <c r="K17" s="0" t="n">
        <v>104.62</v>
      </c>
      <c r="L17" s="0" t="n">
        <v>599258</v>
      </c>
      <c r="M17" s="0" t="n">
        <v>122791</v>
      </c>
      <c r="N17" s="0" t="n">
        <v>476467</v>
      </c>
      <c r="O17" s="0" t="n">
        <v>1688173</v>
      </c>
      <c r="P17" s="0" t="n">
        <v>3461135</v>
      </c>
      <c r="Q17" s="0" t="n">
        <v>1772532</v>
      </c>
      <c r="R17" s="0" t="n">
        <v>101713</v>
      </c>
      <c r="S17" s="0" t="n">
        <v>647180</v>
      </c>
      <c r="T17" s="0" t="n">
        <v>1918.655</v>
      </c>
      <c r="U17" s="0" t="n">
        <v>5501</v>
      </c>
      <c r="AA17" s="0" t="s">
        <v>17</v>
      </c>
      <c r="AB17" s="0" t="s">
        <v>14</v>
      </c>
      <c r="AC17" s="0" t="n">
        <v>34470</v>
      </c>
      <c r="AD17" s="0" t="n">
        <v>88321</v>
      </c>
      <c r="AE17" s="0" t="n">
        <v>104.69</v>
      </c>
      <c r="AF17" s="0" t="n">
        <v>365169</v>
      </c>
    </row>
    <row r="18" customFormat="false" ht="15" hidden="false" customHeight="false" outlineLevel="0" collapsed="false">
      <c r="A18" s="0" t="s">
        <v>83</v>
      </c>
      <c r="B18" s="0" t="n">
        <v>1886256</v>
      </c>
      <c r="C18" s="0" t="n">
        <v>415797</v>
      </c>
      <c r="D18" s="0" t="n">
        <v>1470458</v>
      </c>
      <c r="E18" s="0" t="n">
        <v>78</v>
      </c>
      <c r="F18" s="0" t="n">
        <v>331925</v>
      </c>
      <c r="G18" s="0" t="n">
        <v>17.6</v>
      </c>
      <c r="H18" s="0" t="n">
        <v>400574</v>
      </c>
      <c r="I18" s="0" t="n">
        <v>295756</v>
      </c>
      <c r="J18" s="0" t="n">
        <v>15.7</v>
      </c>
      <c r="K18" s="0" t="n">
        <v>155.87</v>
      </c>
      <c r="L18" s="0" t="n">
        <v>53842</v>
      </c>
      <c r="M18" s="0" t="n">
        <v>187872</v>
      </c>
      <c r="N18" s="0" t="n">
        <v>-134030</v>
      </c>
      <c r="O18" s="0" t="n">
        <v>1623416</v>
      </c>
      <c r="P18" s="0" t="n">
        <v>3456119</v>
      </c>
      <c r="Q18" s="0" t="n">
        <v>1832703</v>
      </c>
      <c r="R18" s="0" t="n">
        <v>101332</v>
      </c>
      <c r="S18" s="0" t="n">
        <v>639838</v>
      </c>
      <c r="T18" s="0" t="n">
        <v>1897.481</v>
      </c>
      <c r="U18" s="0" t="n">
        <v>2927</v>
      </c>
      <c r="AA18" s="0" t="s">
        <v>17</v>
      </c>
      <c r="AB18" s="0" t="s">
        <v>14</v>
      </c>
      <c r="AC18" s="0" t="n">
        <v>71613</v>
      </c>
      <c r="AD18" s="0" t="n">
        <v>116259</v>
      </c>
      <c r="AE18" s="0" t="n">
        <v>155.96</v>
      </c>
      <c r="AF18" s="0" t="n">
        <v>435965</v>
      </c>
    </row>
    <row r="19" customFormat="false" ht="15" hidden="false" customHeight="false" outlineLevel="0" collapsed="false">
      <c r="A19" s="0" t="s">
        <v>84</v>
      </c>
      <c r="B19" s="0" t="n">
        <v>2123045</v>
      </c>
      <c r="C19" s="0" t="n">
        <v>669045</v>
      </c>
      <c r="D19" s="0" t="n">
        <v>1454000</v>
      </c>
      <c r="E19" s="0" t="n">
        <v>68.5</v>
      </c>
      <c r="F19" s="0" t="n">
        <v>258047</v>
      </c>
      <c r="G19" s="0" t="n">
        <v>12.2</v>
      </c>
      <c r="H19" s="0" t="n">
        <v>335507</v>
      </c>
      <c r="I19" s="0" t="n">
        <v>279728</v>
      </c>
      <c r="J19" s="0" t="n">
        <v>13.2</v>
      </c>
      <c r="K19" s="0" t="n">
        <v>151.1</v>
      </c>
      <c r="L19" s="0" t="n">
        <v>77655</v>
      </c>
      <c r="M19" s="0" t="n">
        <v>149002</v>
      </c>
      <c r="N19" s="0" t="n">
        <v>-71347</v>
      </c>
      <c r="O19" s="0" t="n">
        <v>1684033</v>
      </c>
      <c r="P19" s="0" t="n">
        <v>3996285</v>
      </c>
      <c r="Q19" s="0" t="n">
        <v>2312252</v>
      </c>
      <c r="R19" s="0" t="n">
        <v>300481</v>
      </c>
      <c r="S19" s="0" t="n">
        <v>449807</v>
      </c>
      <c r="T19" s="0" t="n">
        <v>1851.288</v>
      </c>
      <c r="U19" s="0" t="n">
        <v>7035</v>
      </c>
      <c r="AA19" s="0" t="s">
        <v>17</v>
      </c>
      <c r="AB19" s="0" t="s">
        <v>14</v>
      </c>
      <c r="AC19" s="0" t="n">
        <v>20637</v>
      </c>
      <c r="AD19" s="0" t="n">
        <v>128365</v>
      </c>
      <c r="AE19" s="0" t="n">
        <v>151.17</v>
      </c>
      <c r="AF19" s="0" t="n">
        <v>466005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85</v>
      </c>
      <c r="B1" s="2" t="s">
        <v>86</v>
      </c>
    </row>
    <row r="2" customFormat="false" ht="15" hidden="false" customHeight="false" outlineLevel="0" collapsed="false">
      <c r="A2" s="0" t="s">
        <v>87</v>
      </c>
      <c r="B2" s="3" t="n">
        <v>2754</v>
      </c>
    </row>
    <row r="3" customFormat="false" ht="15" hidden="false" customHeight="false" outlineLevel="0" collapsed="false">
      <c r="A3" s="0" t="s">
        <v>88</v>
      </c>
      <c r="B3" s="3" t="n">
        <v>1823</v>
      </c>
    </row>
    <row r="4" customFormat="false" ht="15" hidden="false" customHeight="false" outlineLevel="0" collapsed="false">
      <c r="A4" s="0" t="s">
        <v>89</v>
      </c>
      <c r="B4" s="3" t="n">
        <v>-180510</v>
      </c>
    </row>
    <row r="5" customFormat="false" ht="15" hidden="false" customHeight="false" outlineLevel="0" collapsed="false">
      <c r="A5" s="0" t="s">
        <v>90</v>
      </c>
      <c r="B5" s="3" t="n">
        <v>306624</v>
      </c>
    </row>
    <row r="6" customFormat="false" ht="15" hidden="false" customHeight="false" outlineLevel="0" collapsed="false">
      <c r="A6" s="0" t="s">
        <v>91</v>
      </c>
      <c r="B6" s="3" t="n">
        <v>15</v>
      </c>
    </row>
    <row r="7" customFormat="false" ht="15" hidden="false" customHeight="false" outlineLevel="0" collapsed="false">
      <c r="A7" s="0" t="s">
        <v>92</v>
      </c>
      <c r="B7" s="3" t="n">
        <v>2123045</v>
      </c>
    </row>
    <row r="8" customFormat="false" ht="15" hidden="false" customHeight="false" outlineLevel="0" collapsed="false">
      <c r="A8" s="0" t="s">
        <v>93</v>
      </c>
      <c r="B8" s="3" t="s">
        <v>84</v>
      </c>
    </row>
    <row r="9" customFormat="false" ht="15" hidden="false" customHeight="false" outlineLevel="0" collapsed="false">
      <c r="A9" s="0" t="s">
        <v>94</v>
      </c>
      <c r="B9" s="3" t="s">
        <v>95</v>
      </c>
    </row>
    <row r="10" customFormat="false" ht="15" hidden="false" customHeight="false" outlineLevel="0" collapsed="false">
      <c r="A10" s="0" t="s">
        <v>96</v>
      </c>
      <c r="B10" s="3" t="n">
        <v>1</v>
      </c>
    </row>
    <row r="12" customFormat="false" ht="15" hidden="false" customHeight="false" outlineLevel="0" collapsed="false">
      <c r="A12" s="2" t="s">
        <v>97</v>
      </c>
      <c r="C12" s="2" t="s">
        <v>98</v>
      </c>
      <c r="D12" s="2" t="s">
        <v>99</v>
      </c>
      <c r="E12" s="2" t="s">
        <v>100</v>
      </c>
      <c r="F12" s="2" t="s">
        <v>101</v>
      </c>
      <c r="G12" s="2" t="s">
        <v>102</v>
      </c>
      <c r="H12" s="2" t="s">
        <v>103</v>
      </c>
      <c r="I12" s="2" t="s">
        <v>104</v>
      </c>
      <c r="J12" s="2" t="s">
        <v>105</v>
      </c>
      <c r="K12" s="2" t="s">
        <v>106</v>
      </c>
      <c r="L12" s="2" t="s">
        <v>107</v>
      </c>
    </row>
    <row r="13" customFormat="false" ht="15" hidden="false" customHeight="false" outlineLevel="0" collapsed="false">
      <c r="A13" s="0" t="s">
        <v>108</v>
      </c>
      <c r="C13" s="3" t="n">
        <v>7</v>
      </c>
      <c r="D13" s="3" t="n">
        <v>4</v>
      </c>
      <c r="E13" s="3" t="n">
        <v>3</v>
      </c>
      <c r="F13" s="3" t="n">
        <v>2</v>
      </c>
      <c r="G13" s="3" t="n">
        <v>1</v>
      </c>
      <c r="H13" s="3" t="n">
        <v>0</v>
      </c>
      <c r="I13" s="3" t="n">
        <v>-1</v>
      </c>
      <c r="J13" s="3" t="n">
        <v>-2</v>
      </c>
      <c r="K13" s="3" t="n">
        <v>-3</v>
      </c>
      <c r="L13" s="3" t="n">
        <v>-3</v>
      </c>
    </row>
    <row r="14" customFormat="false" ht="15" hidden="false" customHeight="false" outlineLevel="0" collapsed="false">
      <c r="A14" s="0" t="s">
        <v>109</v>
      </c>
      <c r="C14" s="3" t="n">
        <v>17</v>
      </c>
      <c r="D14" s="3" t="n">
        <v>17.5</v>
      </c>
      <c r="E14" s="3" t="n">
        <v>18</v>
      </c>
      <c r="F14" s="3" t="n">
        <v>18</v>
      </c>
      <c r="G14" s="3" t="n">
        <v>18</v>
      </c>
      <c r="H14" s="3" t="n">
        <v>17.5</v>
      </c>
      <c r="I14" s="3" t="n">
        <v>17</v>
      </c>
      <c r="J14" s="3" t="n">
        <v>16.5</v>
      </c>
      <c r="K14" s="3" t="n">
        <v>16</v>
      </c>
      <c r="L14" s="3" t="n">
        <v>16</v>
      </c>
    </row>
    <row r="15" customFormat="false" ht="15" hidden="false" customHeight="false" outlineLevel="0" collapsed="false">
      <c r="A15" s="0" t="s">
        <v>110</v>
      </c>
      <c r="C15" s="3" t="n">
        <v>0.33</v>
      </c>
      <c r="D15" s="3" t="n">
        <v>0.33</v>
      </c>
      <c r="E15" s="3" t="n">
        <v>0.33</v>
      </c>
      <c r="F15" s="3" t="n">
        <v>0.33</v>
      </c>
      <c r="G15" s="3" t="n">
        <v>0.33</v>
      </c>
      <c r="H15" s="3" t="n">
        <v>0.33</v>
      </c>
      <c r="I15" s="3" t="n">
        <v>0.33</v>
      </c>
      <c r="J15" s="3" t="n">
        <v>0.33</v>
      </c>
      <c r="K15" s="3" t="n">
        <v>0.33</v>
      </c>
      <c r="L15" s="3" t="n">
        <v>0.33</v>
      </c>
    </row>
    <row r="16" customFormat="false" ht="15" hidden="false" customHeight="false" outlineLevel="0" collapsed="false">
      <c r="A16" s="0" t="s">
        <v>111</v>
      </c>
      <c r="C16" s="3" t="n">
        <v>0.9</v>
      </c>
      <c r="D16" s="3" t="n">
        <v>0.9</v>
      </c>
      <c r="E16" s="3" t="n">
        <v>0.9</v>
      </c>
      <c r="F16" s="3" t="n">
        <v>0.9</v>
      </c>
      <c r="G16" s="3" t="n">
        <v>0.9</v>
      </c>
      <c r="H16" s="3" t="n">
        <v>0.9</v>
      </c>
      <c r="I16" s="3" t="n">
        <v>0.9</v>
      </c>
      <c r="J16" s="3" t="n">
        <v>0.9</v>
      </c>
      <c r="K16" s="3" t="n">
        <v>0.9</v>
      </c>
      <c r="L16" s="3" t="n">
        <v>0.9</v>
      </c>
    </row>
    <row r="17" customFormat="false" ht="15" hidden="false" customHeight="false" outlineLevel="0" collapsed="false">
      <c r="A17" s="0" t="s">
        <v>112</v>
      </c>
      <c r="C17" s="3" t="n">
        <v>2.9</v>
      </c>
      <c r="D17" s="3" t="n">
        <v>3</v>
      </c>
      <c r="E17" s="3" t="n">
        <v>3.1</v>
      </c>
      <c r="F17" s="3" t="n">
        <v>3.2</v>
      </c>
      <c r="G17" s="3" t="n">
        <v>3.3</v>
      </c>
      <c r="H17" s="3" t="n">
        <v>3.4</v>
      </c>
      <c r="I17" s="3" t="n">
        <v>3.5</v>
      </c>
      <c r="J17" s="3" t="n">
        <v>3.5</v>
      </c>
      <c r="K17" s="3" t="n">
        <v>3.5</v>
      </c>
      <c r="L17" s="3" t="n">
        <v>3.5</v>
      </c>
    </row>
    <row r="18" customFormat="false" ht="15" hidden="false" customHeight="false" outlineLevel="0" collapsed="false">
      <c r="A18" s="0" t="s">
        <v>113</v>
      </c>
      <c r="C18" s="3" t="n">
        <v>6.5</v>
      </c>
      <c r="D18" s="3" t="n">
        <v>6</v>
      </c>
      <c r="E18" s="3" t="n">
        <v>5.5</v>
      </c>
      <c r="F18" s="3" t="n">
        <v>5</v>
      </c>
      <c r="G18" s="3" t="n">
        <v>4.5</v>
      </c>
      <c r="H18" s="3" t="n">
        <v>4.5</v>
      </c>
      <c r="I18" s="3" t="n">
        <v>4</v>
      </c>
      <c r="J18" s="3" t="n">
        <v>4</v>
      </c>
      <c r="K18" s="3" t="n">
        <v>4</v>
      </c>
      <c r="L18" s="3" t="n">
        <v>4</v>
      </c>
    </row>
    <row r="19" customFormat="false" ht="15" hidden="false" customHeight="false" outlineLevel="0" collapsed="false">
      <c r="A19" s="0" t="s">
        <v>114</v>
      </c>
      <c r="C19" s="3" t="n">
        <v>34</v>
      </c>
      <c r="D19" s="3" t="n">
        <v>33</v>
      </c>
      <c r="E19" s="3" t="n">
        <v>32</v>
      </c>
      <c r="F19" s="3" t="n">
        <v>31</v>
      </c>
      <c r="G19" s="3" t="n">
        <v>30</v>
      </c>
      <c r="H19" s="3" t="n">
        <v>30</v>
      </c>
      <c r="I19" s="3" t="n">
        <v>30</v>
      </c>
      <c r="J19" s="3" t="n">
        <v>30</v>
      </c>
      <c r="K19" s="3" t="n">
        <v>30</v>
      </c>
      <c r="L19" s="3" t="n">
        <v>30</v>
      </c>
    </row>
    <row r="20" customFormat="false" ht="15" hidden="false" customHeight="false" outlineLevel="0" collapsed="false">
      <c r="A20" s="0" t="s">
        <v>115</v>
      </c>
      <c r="B20" s="3" t="n">
        <v>7</v>
      </c>
    </row>
    <row r="21" customFormat="false" ht="15" hidden="false" customHeight="false" outlineLevel="0" collapsed="false">
      <c r="A21" s="0" t="s">
        <v>116</v>
      </c>
      <c r="B21" s="3" t="n">
        <v>1</v>
      </c>
    </row>
    <row r="22" customFormat="false" ht="15" hidden="false" customHeight="false" outlineLevel="0" collapsed="false">
      <c r="A22" s="0" t="s">
        <v>117</v>
      </c>
      <c r="B22" s="3" t="n">
        <v>14</v>
      </c>
    </row>
    <row r="23" customFormat="false" ht="15" hidden="false" customHeight="false" outlineLevel="0" collapsed="false">
      <c r="A23" s="0" t="s">
        <v>118</v>
      </c>
      <c r="B23" s="3" t="n">
        <v>-30</v>
      </c>
    </row>
    <row r="24" customFormat="false" ht="15" hidden="false" customHeight="false" outlineLevel="0" collapsed="false">
      <c r="A24" s="0" t="s">
        <v>119</v>
      </c>
      <c r="B24" s="3" t="n">
        <v>0.25</v>
      </c>
    </row>
    <row r="26" customFormat="false" ht="15" hidden="false" customHeight="false" outlineLevel="0" collapsed="false">
      <c r="A26" s="2" t="s">
        <v>120</v>
      </c>
      <c r="C26" s="2" t="s">
        <v>98</v>
      </c>
      <c r="D26" s="2" t="s">
        <v>99</v>
      </c>
      <c r="E26" s="2" t="s">
        <v>100</v>
      </c>
      <c r="F26" s="2" t="s">
        <v>101</v>
      </c>
      <c r="G26" s="2" t="s">
        <v>102</v>
      </c>
      <c r="H26" s="2" t="s">
        <v>103</v>
      </c>
      <c r="I26" s="2" t="s">
        <v>104</v>
      </c>
      <c r="J26" s="2" t="s">
        <v>105</v>
      </c>
      <c r="K26" s="2" t="s">
        <v>106</v>
      </c>
      <c r="L26" s="2" t="s">
        <v>107</v>
      </c>
    </row>
    <row r="27" customFormat="false" ht="15" hidden="false" customHeight="false" outlineLevel="0" collapsed="false">
      <c r="A27" s="0" t="s">
        <v>108</v>
      </c>
      <c r="C27" s="3" t="n">
        <v>11</v>
      </c>
      <c r="D27" s="3" t="n">
        <v>10</v>
      </c>
      <c r="E27" s="3" t="n">
        <v>8</v>
      </c>
      <c r="F27" s="3" t="n">
        <v>7</v>
      </c>
      <c r="G27" s="3" t="n">
        <v>6</v>
      </c>
      <c r="H27" s="3" t="n">
        <v>5</v>
      </c>
      <c r="I27" s="3" t="n">
        <v>4</v>
      </c>
      <c r="J27" s="3" t="n">
        <v>3</v>
      </c>
      <c r="K27" s="3" t="n">
        <v>3</v>
      </c>
      <c r="L27" s="3" t="n">
        <v>2.5</v>
      </c>
    </row>
    <row r="28" customFormat="false" ht="15" hidden="false" customHeight="false" outlineLevel="0" collapsed="false">
      <c r="A28" s="0" t="s">
        <v>109</v>
      </c>
      <c r="C28" s="3" t="n">
        <v>18.5</v>
      </c>
      <c r="D28" s="3" t="n">
        <v>20</v>
      </c>
      <c r="E28" s="3" t="n">
        <v>21.5</v>
      </c>
      <c r="F28" s="3" t="n">
        <v>23</v>
      </c>
      <c r="G28" s="3" t="n">
        <v>24</v>
      </c>
      <c r="H28" s="3" t="n">
        <v>24.5</v>
      </c>
      <c r="I28" s="3" t="n">
        <v>25</v>
      </c>
      <c r="J28" s="3" t="n">
        <v>25</v>
      </c>
      <c r="K28" s="3" t="n">
        <v>25</v>
      </c>
      <c r="L28" s="3" t="n">
        <v>25</v>
      </c>
    </row>
    <row r="29" customFormat="false" ht="15" hidden="false" customHeight="false" outlineLevel="0" collapsed="false">
      <c r="A29" s="0" t="s">
        <v>110</v>
      </c>
      <c r="C29" s="3" t="n">
        <v>0.33</v>
      </c>
      <c r="D29" s="3" t="n">
        <v>0.33</v>
      </c>
      <c r="E29" s="3" t="n">
        <v>0.33</v>
      </c>
      <c r="F29" s="3" t="n">
        <v>0.33</v>
      </c>
      <c r="G29" s="3" t="n">
        <v>0.33</v>
      </c>
      <c r="H29" s="3" t="n">
        <v>0.33</v>
      </c>
      <c r="I29" s="3" t="n">
        <v>0.33</v>
      </c>
      <c r="J29" s="3" t="n">
        <v>0.33</v>
      </c>
      <c r="K29" s="3" t="n">
        <v>0.33</v>
      </c>
      <c r="L29" s="3" t="n">
        <v>0.33</v>
      </c>
    </row>
    <row r="30" customFormat="false" ht="15" hidden="false" customHeight="false" outlineLevel="0" collapsed="false">
      <c r="A30" s="0" t="s">
        <v>111</v>
      </c>
      <c r="C30" s="3" t="n">
        <v>0.9</v>
      </c>
      <c r="D30" s="3" t="n">
        <v>0.9</v>
      </c>
      <c r="E30" s="3" t="n">
        <v>0.9</v>
      </c>
      <c r="F30" s="3" t="n">
        <v>0.9</v>
      </c>
      <c r="G30" s="3" t="n">
        <v>0.9</v>
      </c>
      <c r="H30" s="3" t="n">
        <v>0.9</v>
      </c>
      <c r="I30" s="3" t="n">
        <v>0.9</v>
      </c>
      <c r="J30" s="3" t="n">
        <v>0.9</v>
      </c>
      <c r="K30" s="3" t="n">
        <v>0.9</v>
      </c>
      <c r="L30" s="3" t="n">
        <v>0.9</v>
      </c>
    </row>
    <row r="31" customFormat="false" ht="15" hidden="false" customHeight="false" outlineLevel="0" collapsed="false">
      <c r="A31" s="0" t="s">
        <v>112</v>
      </c>
      <c r="C31" s="3" t="n">
        <v>2.9</v>
      </c>
      <c r="D31" s="3" t="n">
        <v>3</v>
      </c>
      <c r="E31" s="3" t="n">
        <v>3.1</v>
      </c>
      <c r="F31" s="3" t="n">
        <v>3.2</v>
      </c>
      <c r="G31" s="3" t="n">
        <v>3.3</v>
      </c>
      <c r="H31" s="3" t="n">
        <v>3.4</v>
      </c>
      <c r="I31" s="3" t="n">
        <v>3.5</v>
      </c>
      <c r="J31" s="3" t="n">
        <v>3.5</v>
      </c>
      <c r="K31" s="3" t="n">
        <v>3.5</v>
      </c>
      <c r="L31" s="3" t="n">
        <v>3.5</v>
      </c>
    </row>
    <row r="32" customFormat="false" ht="15" hidden="false" customHeight="false" outlineLevel="0" collapsed="false">
      <c r="A32" s="0" t="s">
        <v>113</v>
      </c>
      <c r="C32" s="3" t="n">
        <v>6.5</v>
      </c>
      <c r="D32" s="3" t="n">
        <v>6.5</v>
      </c>
      <c r="E32" s="3" t="n">
        <v>6</v>
      </c>
      <c r="F32" s="3" t="n">
        <v>5.5</v>
      </c>
      <c r="G32" s="3" t="n">
        <v>5</v>
      </c>
      <c r="H32" s="3" t="n">
        <v>5</v>
      </c>
      <c r="I32" s="3" t="n">
        <v>4.5</v>
      </c>
      <c r="J32" s="3" t="n">
        <v>4.5</v>
      </c>
      <c r="K32" s="3" t="n">
        <v>4.5</v>
      </c>
      <c r="L32" s="3" t="n">
        <v>4.5</v>
      </c>
    </row>
    <row r="33" customFormat="false" ht="15" hidden="false" customHeight="false" outlineLevel="0" collapsed="false">
      <c r="A33" s="0" t="s">
        <v>114</v>
      </c>
      <c r="C33" s="3" t="n">
        <v>33</v>
      </c>
      <c r="D33" s="3" t="n">
        <v>32</v>
      </c>
      <c r="E33" s="3" t="n">
        <v>31</v>
      </c>
      <c r="F33" s="3" t="n">
        <v>30</v>
      </c>
      <c r="G33" s="3" t="n">
        <v>29</v>
      </c>
      <c r="H33" s="3" t="n">
        <v>29</v>
      </c>
      <c r="I33" s="3" t="n">
        <v>29</v>
      </c>
      <c r="J33" s="3" t="n">
        <v>29</v>
      </c>
      <c r="K33" s="3" t="n">
        <v>29</v>
      </c>
      <c r="L33" s="3" t="n">
        <v>29</v>
      </c>
    </row>
    <row r="34" customFormat="false" ht="15" hidden="false" customHeight="false" outlineLevel="0" collapsed="false">
      <c r="A34" s="0" t="s">
        <v>115</v>
      </c>
      <c r="B34" s="3" t="n">
        <v>7</v>
      </c>
    </row>
    <row r="35" customFormat="false" ht="15" hidden="false" customHeight="false" outlineLevel="0" collapsed="false">
      <c r="A35" s="0" t="s">
        <v>116</v>
      </c>
      <c r="B35" s="3" t="n">
        <v>2</v>
      </c>
    </row>
    <row r="36" customFormat="false" ht="15" hidden="false" customHeight="false" outlineLevel="0" collapsed="false">
      <c r="A36" s="0" t="s">
        <v>117</v>
      </c>
      <c r="B36" s="3" t="n">
        <v>18</v>
      </c>
    </row>
    <row r="37" customFormat="false" ht="15" hidden="false" customHeight="false" outlineLevel="0" collapsed="false">
      <c r="A37" s="0" t="s">
        <v>118</v>
      </c>
      <c r="B37" s="3" t="n">
        <v>-30</v>
      </c>
    </row>
    <row r="38" customFormat="false" ht="15" hidden="false" customHeight="false" outlineLevel="0" collapsed="false">
      <c r="A38" s="0" t="s">
        <v>119</v>
      </c>
      <c r="B38" s="3" t="n">
        <v>0.5</v>
      </c>
    </row>
    <row r="40" customFormat="false" ht="15" hidden="false" customHeight="false" outlineLevel="0" collapsed="false">
      <c r="A40" s="2" t="s">
        <v>121</v>
      </c>
      <c r="C40" s="2" t="s">
        <v>98</v>
      </c>
      <c r="D40" s="2" t="s">
        <v>99</v>
      </c>
      <c r="E40" s="2" t="s">
        <v>100</v>
      </c>
      <c r="F40" s="2" t="s">
        <v>101</v>
      </c>
      <c r="G40" s="2" t="s">
        <v>102</v>
      </c>
      <c r="H40" s="2" t="s">
        <v>103</v>
      </c>
      <c r="I40" s="2" t="s">
        <v>104</v>
      </c>
      <c r="J40" s="2" t="s">
        <v>105</v>
      </c>
      <c r="K40" s="2" t="s">
        <v>106</v>
      </c>
      <c r="L40" s="2" t="s">
        <v>107</v>
      </c>
    </row>
    <row r="41" customFormat="false" ht="15" hidden="false" customHeight="false" outlineLevel="0" collapsed="false">
      <c r="A41" s="0" t="s">
        <v>108</v>
      </c>
      <c r="C41" s="3" t="n">
        <v>13</v>
      </c>
      <c r="D41" s="3" t="n">
        <v>12</v>
      </c>
      <c r="E41" s="3" t="n">
        <v>11</v>
      </c>
      <c r="F41" s="3" t="n">
        <v>10</v>
      </c>
      <c r="G41" s="3" t="n">
        <v>9</v>
      </c>
      <c r="H41" s="3" t="n">
        <v>8</v>
      </c>
      <c r="I41" s="3" t="n">
        <v>7</v>
      </c>
      <c r="J41" s="3" t="n">
        <v>6</v>
      </c>
      <c r="K41" s="3" t="n">
        <v>5</v>
      </c>
      <c r="L41" s="3" t="n">
        <v>4</v>
      </c>
    </row>
    <row r="42" customFormat="false" ht="15" hidden="false" customHeight="false" outlineLevel="0" collapsed="false">
      <c r="A42" s="0" t="s">
        <v>109</v>
      </c>
      <c r="C42" s="3" t="n">
        <v>19</v>
      </c>
      <c r="D42" s="3" t="n">
        <v>21</v>
      </c>
      <c r="E42" s="3" t="n">
        <v>23</v>
      </c>
      <c r="F42" s="3" t="n">
        <v>25</v>
      </c>
      <c r="G42" s="3" t="n">
        <v>26.5</v>
      </c>
      <c r="H42" s="3" t="n">
        <v>27.5</v>
      </c>
      <c r="I42" s="3" t="n">
        <v>28.5</v>
      </c>
      <c r="J42" s="3" t="n">
        <v>29</v>
      </c>
      <c r="K42" s="3" t="n">
        <v>29</v>
      </c>
      <c r="L42" s="3" t="n">
        <v>29</v>
      </c>
    </row>
    <row r="43" customFormat="false" ht="15" hidden="false" customHeight="false" outlineLevel="0" collapsed="false">
      <c r="A43" s="0" t="s">
        <v>110</v>
      </c>
      <c r="C43" s="3" t="n">
        <v>0.33</v>
      </c>
      <c r="D43" s="3" t="n">
        <v>0.33</v>
      </c>
      <c r="E43" s="3" t="n">
        <v>0.33</v>
      </c>
      <c r="F43" s="3" t="n">
        <v>0.33</v>
      </c>
      <c r="G43" s="3" t="n">
        <v>0.33</v>
      </c>
      <c r="H43" s="3" t="n">
        <v>0.33</v>
      </c>
      <c r="I43" s="3" t="n">
        <v>0.33</v>
      </c>
      <c r="J43" s="3" t="n">
        <v>0.33</v>
      </c>
      <c r="K43" s="3" t="n">
        <v>0.33</v>
      </c>
      <c r="L43" s="3" t="n">
        <v>0.33</v>
      </c>
    </row>
    <row r="44" customFormat="false" ht="15" hidden="false" customHeight="false" outlineLevel="0" collapsed="false">
      <c r="A44" s="0" t="s">
        <v>111</v>
      </c>
      <c r="C44" s="3" t="n">
        <v>0.9</v>
      </c>
      <c r="D44" s="3" t="n">
        <v>0.9</v>
      </c>
      <c r="E44" s="3" t="n">
        <v>0.9</v>
      </c>
      <c r="F44" s="3" t="n">
        <v>0.9</v>
      </c>
      <c r="G44" s="3" t="n">
        <v>0.9</v>
      </c>
      <c r="H44" s="3" t="n">
        <v>0.9</v>
      </c>
      <c r="I44" s="3" t="n">
        <v>0.9</v>
      </c>
      <c r="J44" s="3" t="n">
        <v>0.9</v>
      </c>
      <c r="K44" s="3" t="n">
        <v>0.9</v>
      </c>
      <c r="L44" s="3" t="n">
        <v>0.9</v>
      </c>
    </row>
    <row r="45" customFormat="false" ht="15" hidden="false" customHeight="false" outlineLevel="0" collapsed="false">
      <c r="A45" s="0" t="s">
        <v>112</v>
      </c>
      <c r="C45" s="3" t="n">
        <v>2.9</v>
      </c>
      <c r="D45" s="3" t="n">
        <v>3</v>
      </c>
      <c r="E45" s="3" t="n">
        <v>3.1</v>
      </c>
      <c r="F45" s="3" t="n">
        <v>3.2</v>
      </c>
      <c r="G45" s="3" t="n">
        <v>3.3</v>
      </c>
      <c r="H45" s="3" t="n">
        <v>3.4</v>
      </c>
      <c r="I45" s="3" t="n">
        <v>3.5</v>
      </c>
      <c r="J45" s="3" t="n">
        <v>3.5</v>
      </c>
      <c r="K45" s="3" t="n">
        <v>3.5</v>
      </c>
      <c r="L45" s="3" t="n">
        <v>3.5</v>
      </c>
    </row>
    <row r="46" customFormat="false" ht="15" hidden="false" customHeight="false" outlineLevel="0" collapsed="false">
      <c r="A46" s="0" t="s">
        <v>113</v>
      </c>
      <c r="C46" s="3" t="n">
        <v>6.5</v>
      </c>
      <c r="D46" s="3" t="n">
        <v>6.5</v>
      </c>
      <c r="E46" s="3" t="n">
        <v>6</v>
      </c>
      <c r="F46" s="3" t="n">
        <v>5.5</v>
      </c>
      <c r="G46" s="3" t="n">
        <v>5</v>
      </c>
      <c r="H46" s="3" t="n">
        <v>5</v>
      </c>
      <c r="I46" s="3" t="n">
        <v>4.5</v>
      </c>
      <c r="J46" s="3" t="n">
        <v>4.5</v>
      </c>
      <c r="K46" s="3" t="n">
        <v>4.5</v>
      </c>
      <c r="L46" s="3" t="n">
        <v>4.5</v>
      </c>
    </row>
    <row r="47" customFormat="false" ht="15" hidden="false" customHeight="false" outlineLevel="0" collapsed="false">
      <c r="A47" s="0" t="s">
        <v>114</v>
      </c>
      <c r="C47" s="3" t="n">
        <v>33</v>
      </c>
      <c r="D47" s="3" t="n">
        <v>32</v>
      </c>
      <c r="E47" s="3" t="n">
        <v>31</v>
      </c>
      <c r="F47" s="3" t="n">
        <v>30</v>
      </c>
      <c r="G47" s="3" t="n">
        <v>29</v>
      </c>
      <c r="H47" s="3" t="n">
        <v>29</v>
      </c>
      <c r="I47" s="3" t="n">
        <v>29</v>
      </c>
      <c r="J47" s="3" t="n">
        <v>29</v>
      </c>
      <c r="K47" s="3" t="n">
        <v>29</v>
      </c>
      <c r="L47" s="3" t="n">
        <v>29</v>
      </c>
    </row>
    <row r="48" customFormat="false" ht="15" hidden="false" customHeight="false" outlineLevel="0" collapsed="false">
      <c r="A48" s="0" t="s">
        <v>115</v>
      </c>
      <c r="B48" s="3" t="n">
        <v>7</v>
      </c>
    </row>
    <row r="49" customFormat="false" ht="15" hidden="false" customHeight="false" outlineLevel="0" collapsed="false">
      <c r="A49" s="0" t="s">
        <v>116</v>
      </c>
      <c r="B49" s="3" t="n">
        <v>2.5</v>
      </c>
    </row>
    <row r="50" customFormat="false" ht="15" hidden="false" customHeight="false" outlineLevel="0" collapsed="false">
      <c r="A50" s="0" t="s">
        <v>117</v>
      </c>
      <c r="B50" s="3" t="n">
        <v>20</v>
      </c>
    </row>
    <row r="51" customFormat="false" ht="15" hidden="false" customHeight="false" outlineLevel="0" collapsed="false">
      <c r="A51" s="0" t="s">
        <v>118</v>
      </c>
      <c r="B51" s="3" t="n">
        <v>-25</v>
      </c>
    </row>
    <row r="52" customFormat="false" ht="15" hidden="false" customHeight="false" outlineLevel="0" collapsed="false">
      <c r="A52" s="0" t="s">
        <v>119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122</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Assumptions!C13</f>
        <v>7</v>
      </c>
      <c r="D5" s="4" t="n">
        <f aca="false">Assumptions!D13</f>
        <v>4</v>
      </c>
      <c r="E5" s="4" t="n">
        <f aca="false">Assumptions!E13</f>
        <v>3</v>
      </c>
      <c r="F5" s="4" t="n">
        <f aca="false">Assumptions!F13</f>
        <v>2</v>
      </c>
      <c r="G5" s="4" t="n">
        <f aca="false">Assumptions!G13</f>
        <v>1</v>
      </c>
      <c r="H5" s="4" t="n">
        <f aca="false">Assumptions!H13</f>
        <v>0</v>
      </c>
      <c r="I5" s="4" t="n">
        <f aca="false">Assumptions!I13</f>
        <v>-1</v>
      </c>
      <c r="J5" s="4" t="n">
        <f aca="false">Assumptions!J13</f>
        <v>-2</v>
      </c>
      <c r="K5" s="4" t="n">
        <f aca="false">Assumptions!K13</f>
        <v>-3</v>
      </c>
      <c r="L5" s="4" t="n">
        <f aca="false">Assumptions!L13</f>
        <v>-3</v>
      </c>
    </row>
    <row r="6" customFormat="false" ht="15" hidden="false" customHeight="false" outlineLevel="0" collapsed="false">
      <c r="A6" s="0" t="s">
        <v>37</v>
      </c>
      <c r="B6" s="3" t="n">
        <v>2123045</v>
      </c>
      <c r="C6" s="0" t="n">
        <f aca="false">B6*(1+C5/100)</f>
        <v>2271658.15</v>
      </c>
      <c r="D6" s="0" t="n">
        <f aca="false">C6*(1+D5/100)</f>
        <v>2362524.476</v>
      </c>
      <c r="E6" s="0" t="n">
        <f aca="false">D6*(1+E5/100)</f>
        <v>2433400.21028</v>
      </c>
      <c r="F6" s="0" t="n">
        <f aca="false">E6*(1+F5/100)</f>
        <v>2482068.2144856</v>
      </c>
      <c r="G6" s="0" t="n">
        <f aca="false">F6*(1+G5/100)</f>
        <v>2506888.89663046</v>
      </c>
      <c r="H6" s="0" t="n">
        <f aca="false">G6*(1+H5/100)</f>
        <v>2506888.89663046</v>
      </c>
      <c r="I6" s="0" t="n">
        <f aca="false">H6*(1+I5/100)</f>
        <v>2481820.00766415</v>
      </c>
      <c r="J6" s="0" t="n">
        <f aca="false">I6*(1+J5/100)</f>
        <v>2432183.60751087</v>
      </c>
      <c r="K6" s="0" t="n">
        <f aca="false">J6*(1+K5/100)</f>
        <v>2359218.09928554</v>
      </c>
      <c r="L6" s="0" t="n">
        <f aca="false">K6*(1+L5/100)</f>
        <v>2288441.55630698</v>
      </c>
    </row>
    <row r="7" customFormat="false" ht="15" hidden="false" customHeight="false" outlineLevel="0" collapsed="false">
      <c r="A7" s="0" t="s">
        <v>109</v>
      </c>
      <c r="C7" s="4" t="n">
        <f aca="false">Assumptions!C14</f>
        <v>17</v>
      </c>
      <c r="D7" s="4" t="n">
        <f aca="false">Assumptions!D14</f>
        <v>17.5</v>
      </c>
      <c r="E7" s="4" t="n">
        <f aca="false">Assumptions!E14</f>
        <v>18</v>
      </c>
      <c r="F7" s="4" t="n">
        <f aca="false">Assumptions!F14</f>
        <v>18</v>
      </c>
      <c r="G7" s="4" t="n">
        <f aca="false">Assumptions!G14</f>
        <v>18</v>
      </c>
      <c r="H7" s="4" t="n">
        <f aca="false">Assumptions!H14</f>
        <v>17.5</v>
      </c>
      <c r="I7" s="4" t="n">
        <f aca="false">Assumptions!I14</f>
        <v>17</v>
      </c>
      <c r="J7" s="4" t="n">
        <f aca="false">Assumptions!J14</f>
        <v>16.5</v>
      </c>
      <c r="K7" s="4" t="n">
        <f aca="false">Assumptions!K14</f>
        <v>16</v>
      </c>
      <c r="L7" s="4" t="n">
        <f aca="false">Assumptions!L14</f>
        <v>16</v>
      </c>
    </row>
    <row r="8" customFormat="false" ht="15" hidden="false" customHeight="false" outlineLevel="0" collapsed="false">
      <c r="A8" s="0" t="s">
        <v>43</v>
      </c>
      <c r="C8" s="0" t="n">
        <f aca="false">C6*C7/100</f>
        <v>386181.8855</v>
      </c>
      <c r="D8" s="0" t="n">
        <f aca="false">D6*D7/100</f>
        <v>413441.7833</v>
      </c>
      <c r="E8" s="0" t="n">
        <f aca="false">E6*E7/100</f>
        <v>438012.0378504</v>
      </c>
      <c r="F8" s="0" t="n">
        <f aca="false">F6*F7/100</f>
        <v>446772.278607408</v>
      </c>
      <c r="G8" s="0" t="n">
        <f aca="false">G6*G7/100</f>
        <v>451240.001393482</v>
      </c>
      <c r="H8" s="0" t="n">
        <f aca="false">H6*H7/100</f>
        <v>438705.55691033</v>
      </c>
      <c r="I8" s="0" t="n">
        <f aca="false">I6*I7/100</f>
        <v>421909.401302906</v>
      </c>
      <c r="J8" s="0" t="n">
        <f aca="false">J6*J7/100</f>
        <v>401310.295239293</v>
      </c>
      <c r="K8" s="0" t="n">
        <f aca="false">K6*K7/100</f>
        <v>377474.895885687</v>
      </c>
      <c r="L8" s="0" t="n">
        <f aca="false">L6*L7/100</f>
        <v>366150.649009116</v>
      </c>
    </row>
    <row r="9" customFormat="false" ht="15" hidden="false" customHeight="false" outlineLevel="0" collapsed="false">
      <c r="A9" s="0" t="s">
        <v>110</v>
      </c>
      <c r="C9" s="4" t="n">
        <f aca="false">Assumptions!C15</f>
        <v>0.33</v>
      </c>
      <c r="D9" s="4" t="n">
        <f aca="false">Assumptions!D15</f>
        <v>0.33</v>
      </c>
      <c r="E9" s="4" t="n">
        <f aca="false">Assumptions!E15</f>
        <v>0.33</v>
      </c>
      <c r="F9" s="4" t="n">
        <f aca="false">Assumptions!F15</f>
        <v>0.33</v>
      </c>
      <c r="G9" s="4" t="n">
        <f aca="false">Assumptions!G15</f>
        <v>0.33</v>
      </c>
      <c r="H9" s="4" t="n">
        <f aca="false">Assumptions!H15</f>
        <v>0.33</v>
      </c>
      <c r="I9" s="4" t="n">
        <f aca="false">Assumptions!I15</f>
        <v>0.33</v>
      </c>
      <c r="J9" s="4" t="n">
        <f aca="false">Assumptions!J15</f>
        <v>0.33</v>
      </c>
      <c r="K9" s="4" t="n">
        <f aca="false">Assumptions!K15</f>
        <v>0.33</v>
      </c>
      <c r="L9" s="4" t="n">
        <f aca="false">Assumptions!L15</f>
        <v>0.33</v>
      </c>
    </row>
    <row r="10" customFormat="false" ht="15" hidden="false" customHeight="false" outlineLevel="0" collapsed="false">
      <c r="A10" s="0" t="s">
        <v>125</v>
      </c>
      <c r="C10" s="0" t="n">
        <f aca="false">-C6*C9/100</f>
        <v>-7496.471895</v>
      </c>
      <c r="D10" s="0" t="n">
        <f aca="false">-D6*D9/100</f>
        <v>-7796.3307708</v>
      </c>
      <c r="E10" s="0" t="n">
        <f aca="false">-E6*E9/100</f>
        <v>-8030.220693924</v>
      </c>
      <c r="F10" s="0" t="n">
        <f aca="false">-F6*F9/100</f>
        <v>-8190.82510780248</v>
      </c>
      <c r="G10" s="0" t="n">
        <f aca="false">-G6*G9/100</f>
        <v>-8272.7333588805</v>
      </c>
      <c r="H10" s="0" t="n">
        <f aca="false">-H6*H9/100</f>
        <v>-8272.7333588805</v>
      </c>
      <c r="I10" s="0" t="n">
        <f aca="false">-I6*I9/100</f>
        <v>-8190.0060252917</v>
      </c>
      <c r="J10" s="0" t="n">
        <f aca="false">-J6*J9/100</f>
        <v>-8026.20590478587</v>
      </c>
      <c r="K10" s="0" t="n">
        <f aca="false">-K6*K9/100</f>
        <v>-7785.41972764229</v>
      </c>
      <c r="L10" s="0" t="n">
        <f aca="false">-L6*L9/100</f>
        <v>-7551.85713581302</v>
      </c>
    </row>
    <row r="11" customFormat="false" ht="15" hidden="false" customHeight="false" outlineLevel="0" collapsed="false">
      <c r="A11" s="0" t="s">
        <v>126</v>
      </c>
      <c r="C11" s="0" t="n">
        <f aca="false">C8+C10+C24</f>
        <v>358240.490255</v>
      </c>
      <c r="D11" s="0" t="n">
        <f aca="false">D8+D10+D24</f>
        <v>384382.7322452</v>
      </c>
      <c r="E11" s="0" t="n">
        <f aca="false">E8+E10+E24</f>
        <v>408081.215263956</v>
      </c>
      <c r="F11" s="0" t="n">
        <f aca="false">F8+F10+F24</f>
        <v>416242.839569235</v>
      </c>
      <c r="G11" s="0" t="n">
        <f aca="false">G8+G10+G24</f>
        <v>420405.267964927</v>
      </c>
      <c r="H11" s="0" t="n">
        <f aca="false">H8+H10+H24</f>
        <v>407870.823481775</v>
      </c>
      <c r="I11" s="0" t="n">
        <f aca="false">I8+I10+I24</f>
        <v>391383.015208637</v>
      </c>
      <c r="J11" s="0" t="n">
        <f aca="false">J8+J10+J24</f>
        <v>371394.43686691</v>
      </c>
      <c r="K11" s="0" t="n">
        <f aca="false">K8+K10+K24</f>
        <v>348456.513264475</v>
      </c>
      <c r="L11" s="0" t="n">
        <f aca="false">L8+L10+L24</f>
        <v>338002.81786654</v>
      </c>
    </row>
    <row r="12" customFormat="false" ht="15" hidden="false" customHeight="false" outlineLevel="0" collapsed="false">
      <c r="A12" s="0" t="s">
        <v>127</v>
      </c>
      <c r="C12" s="4" t="n">
        <f aca="false">-C6*Assumptions!C17/100</f>
        <v>-65878.08635</v>
      </c>
      <c r="D12" s="4" t="n">
        <f aca="false">-D6*Assumptions!D17/100</f>
        <v>-70875.73428</v>
      </c>
      <c r="E12" s="4" t="n">
        <f aca="false">-E6*Assumptions!E17/100</f>
        <v>-75435.40651868</v>
      </c>
      <c r="F12" s="4" t="n">
        <f aca="false">-F6*Assumptions!F17/100</f>
        <v>-79426.1828635392</v>
      </c>
      <c r="G12" s="4" t="n">
        <f aca="false">-G6*Assumptions!G17/100</f>
        <v>-82727.333588805</v>
      </c>
      <c r="H12" s="4" t="n">
        <f aca="false">-H6*Assumptions!H17/100</f>
        <v>-85234.2224854355</v>
      </c>
      <c r="I12" s="4" t="n">
        <f aca="false">-I6*Assumptions!I17/100</f>
        <v>-86863.7002682453</v>
      </c>
      <c r="J12" s="4" t="n">
        <f aca="false">-J6*Assumptions!J17/100</f>
        <v>-85126.4262628804</v>
      </c>
      <c r="K12" s="4" t="n">
        <f aca="false">-K6*Assumptions!K17/100</f>
        <v>-82572.633474994</v>
      </c>
      <c r="L12" s="4" t="n">
        <f aca="false">-L6*Assumptions!L17/100</f>
        <v>-80095.4544707442</v>
      </c>
    </row>
    <row r="13" customFormat="false" ht="15" hidden="false" customHeight="false" outlineLevel="0" collapsed="false">
      <c r="A13" s="0" t="s">
        <v>128</v>
      </c>
      <c r="C13" s="0" t="n">
        <f aca="false">C11+C12</f>
        <v>292362.403905</v>
      </c>
      <c r="D13" s="0" t="n">
        <f aca="false">D11+D12</f>
        <v>313506.9979652</v>
      </c>
      <c r="E13" s="0" t="n">
        <f aca="false">E11+E12</f>
        <v>332645.808745276</v>
      </c>
      <c r="F13" s="0" t="n">
        <f aca="false">F11+F12</f>
        <v>336816.656705696</v>
      </c>
      <c r="G13" s="0" t="n">
        <f aca="false">G11+G12</f>
        <v>337677.934376122</v>
      </c>
      <c r="H13" s="0" t="n">
        <f aca="false">H11+H12</f>
        <v>322636.60099634</v>
      </c>
      <c r="I13" s="0" t="n">
        <f aca="false">I11+I12</f>
        <v>304519.314940391</v>
      </c>
      <c r="J13" s="0" t="n">
        <f aca="false">J11+J12</f>
        <v>286268.010604029</v>
      </c>
      <c r="K13" s="0" t="n">
        <f aca="false">K11+K12</f>
        <v>265883.879789481</v>
      </c>
      <c r="L13" s="0" t="n">
        <f aca="false">L11+L12</f>
        <v>257907.363395796</v>
      </c>
    </row>
    <row r="14" customFormat="false" ht="15" hidden="false" customHeight="false" outlineLevel="0" collapsed="false">
      <c r="A14" s="0" t="s">
        <v>114</v>
      </c>
      <c r="C14" s="4" t="n">
        <f aca="false">Assumptions!C19</f>
        <v>34</v>
      </c>
      <c r="D14" s="4" t="n">
        <f aca="false">Assumptions!D19</f>
        <v>33</v>
      </c>
      <c r="E14" s="4" t="n">
        <f aca="false">Assumptions!E19</f>
        <v>32</v>
      </c>
      <c r="F14" s="4" t="n">
        <f aca="false">Assumptions!F19</f>
        <v>31</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129</v>
      </c>
      <c r="C15" s="0" t="n">
        <f aca="false">C13-MAX(0,C13)*C14/100</f>
        <v>192959.1865773</v>
      </c>
      <c r="D15" s="0" t="n">
        <f aca="false">D13-MAX(0,D13)*D14/100</f>
        <v>210049.688636684</v>
      </c>
      <c r="E15" s="0" t="n">
        <f aca="false">E13-MAX(0,E13)*E14/100</f>
        <v>226199.149946788</v>
      </c>
      <c r="F15" s="0" t="n">
        <f aca="false">F13-MAX(0,F13)*F14/100</f>
        <v>232403.49312693</v>
      </c>
      <c r="G15" s="0" t="n">
        <f aca="false">G13-MAX(0,G13)*G14/100</f>
        <v>236374.554063286</v>
      </c>
      <c r="H15" s="0" t="n">
        <f aca="false">H13-MAX(0,H13)*H14/100</f>
        <v>225845.620697438</v>
      </c>
      <c r="I15" s="0" t="n">
        <f aca="false">I13-MAX(0,I13)*I14/100</f>
        <v>213163.520458274</v>
      </c>
      <c r="J15" s="0" t="n">
        <f aca="false">J13-MAX(0,J13)*J14/100</f>
        <v>200387.60742282</v>
      </c>
      <c r="K15" s="0" t="n">
        <f aca="false">K13-MAX(0,K13)*K14/100</f>
        <v>186118.715852636</v>
      </c>
      <c r="L15" s="0" t="n">
        <f aca="false">L13-MAX(0,L13)*L14/100</f>
        <v>180535.154377057</v>
      </c>
    </row>
    <row r="16" customFormat="false" ht="15" hidden="false" customHeight="false" outlineLevel="0" collapsed="false">
      <c r="A16" s="0" t="s">
        <v>130</v>
      </c>
      <c r="C16" s="0" t="n">
        <f aca="false">-C12</f>
        <v>65878.08635</v>
      </c>
      <c r="D16" s="0" t="n">
        <f aca="false">-D12</f>
        <v>70875.73428</v>
      </c>
      <c r="E16" s="0" t="n">
        <f aca="false">-E12</f>
        <v>75435.40651868</v>
      </c>
      <c r="F16" s="0" t="n">
        <f aca="false">-F12</f>
        <v>79426.1828635392</v>
      </c>
      <c r="G16" s="0" t="n">
        <f aca="false">-G12</f>
        <v>82727.333588805</v>
      </c>
      <c r="H16" s="0" t="n">
        <f aca="false">-H12</f>
        <v>85234.2224854355</v>
      </c>
      <c r="I16" s="0" t="n">
        <f aca="false">-I12</f>
        <v>86863.7002682453</v>
      </c>
      <c r="J16" s="0" t="n">
        <f aca="false">-J12</f>
        <v>85126.4262628804</v>
      </c>
      <c r="K16" s="0" t="n">
        <f aca="false">-K12</f>
        <v>82572.633474994</v>
      </c>
      <c r="L16" s="0" t="n">
        <f aca="false">-L12</f>
        <v>80095.4544707442</v>
      </c>
    </row>
    <row r="17" customFormat="false" ht="15" hidden="false" customHeight="false" outlineLevel="0" collapsed="false">
      <c r="A17" s="0" t="s">
        <v>131</v>
      </c>
      <c r="C17" s="4" t="n">
        <f aca="false">-C6*Assumptions!C18/100</f>
        <v>-147657.77975</v>
      </c>
      <c r="D17" s="4" t="n">
        <f aca="false">-D6*Assumptions!D18/100</f>
        <v>-141751.46856</v>
      </c>
      <c r="E17" s="4" t="n">
        <f aca="false">-E6*Assumptions!E18/100</f>
        <v>-133837.0115654</v>
      </c>
      <c r="F17" s="4" t="n">
        <f aca="false">-F6*Assumptions!F18/100</f>
        <v>-124103.41072428</v>
      </c>
      <c r="G17" s="4" t="n">
        <f aca="false">-G6*Assumptions!G18/100</f>
        <v>-112810.000348371</v>
      </c>
      <c r="H17" s="4" t="n">
        <f aca="false">-H6*Assumptions!H18/100</f>
        <v>-112810.000348371</v>
      </c>
      <c r="I17" s="4" t="n">
        <f aca="false">-I6*Assumptions!I18/100</f>
        <v>-99272.8003065661</v>
      </c>
      <c r="J17" s="4" t="n">
        <f aca="false">-J6*Assumptions!J18/100</f>
        <v>-97287.3443004347</v>
      </c>
      <c r="K17" s="4" t="n">
        <f aca="false">-K6*Assumptions!K18/100</f>
        <v>-94368.7239714217</v>
      </c>
      <c r="L17" s="4" t="n">
        <f aca="false">-L6*Assumptions!L18/100</f>
        <v>-91537.662252279</v>
      </c>
    </row>
    <row r="18" customFormat="false" ht="15" hidden="false" customHeight="false" outlineLevel="0" collapsed="false">
      <c r="A18" s="0" t="s">
        <v>132</v>
      </c>
      <c r="C18" s="4" t="n">
        <f aca="false">(C6-B6)*Assumptions!$B$23/100</f>
        <v>-44583.945</v>
      </c>
      <c r="D18" s="4" t="n">
        <f aca="false">(D6-C6)*Assumptions!$B$23/100</f>
        <v>-27259.8978</v>
      </c>
      <c r="E18" s="4" t="n">
        <f aca="false">(E6-D6)*Assumptions!$B$23/100</f>
        <v>-21262.720284</v>
      </c>
      <c r="F18" s="4" t="n">
        <f aca="false">(F6-E6)*Assumptions!$B$23/100</f>
        <v>-14600.40126168</v>
      </c>
      <c r="G18" s="4" t="n">
        <f aca="false">(G6-F6)*Assumptions!$B$23/100</f>
        <v>-7446.20464345682</v>
      </c>
      <c r="H18" s="4" t="n">
        <f aca="false">(H6-G6)*Assumptions!$B$23/100</f>
        <v>-0</v>
      </c>
      <c r="I18" s="4" t="n">
        <f aca="false">(I6-H6)*Assumptions!$B$23/100</f>
        <v>7520.66668989141</v>
      </c>
      <c r="J18" s="4" t="n">
        <f aca="false">(J6-I6)*Assumptions!$B$23/100</f>
        <v>14890.9200459849</v>
      </c>
      <c r="K18" s="4" t="n">
        <f aca="false">(K6-J6)*Assumptions!$B$23/100</f>
        <v>21889.6524675978</v>
      </c>
      <c r="L18" s="4" t="n">
        <f aca="false">(L6-K6)*Assumptions!$B$23/100</f>
        <v>21232.9628935698</v>
      </c>
    </row>
    <row r="19" customFormat="false" ht="15" hidden="false" customHeight="false" outlineLevel="0" collapsed="false">
      <c r="A19" s="0" t="s">
        <v>133</v>
      </c>
      <c r="C19" s="0" t="n">
        <f aca="false">C15+C16+C17+C18</f>
        <v>66595.5481773</v>
      </c>
      <c r="D19" s="0" t="n">
        <f aca="false">D15+D16+D17+D18</f>
        <v>111914.056556684</v>
      </c>
      <c r="E19" s="0" t="n">
        <f aca="false">E15+E16+E17+E18</f>
        <v>146534.824616068</v>
      </c>
      <c r="F19" s="0" t="n">
        <f aca="false">F15+F16+F17+F18</f>
        <v>173125.864004509</v>
      </c>
      <c r="G19" s="0" t="n">
        <f aca="false">G15+G16+G17+G18</f>
        <v>198845.682660263</v>
      </c>
      <c r="H19" s="0" t="n">
        <f aca="false">H15+H16+H17+H18</f>
        <v>198269.842834503</v>
      </c>
      <c r="I19" s="0" t="n">
        <f aca="false">I15+I16+I17+I18</f>
        <v>208275.087109845</v>
      </c>
      <c r="J19" s="0" t="n">
        <f aca="false">J15+J16+J17+J18</f>
        <v>203117.609431251</v>
      </c>
      <c r="K19" s="0" t="n">
        <f aca="false">K15+K16+K17+K18</f>
        <v>196212.277823806</v>
      </c>
      <c r="L19" s="0" t="n">
        <f aca="false">L15+L16+L17+L18</f>
        <v>190325.909489092</v>
      </c>
    </row>
    <row r="20" customFormat="false" ht="15" hidden="false" customHeight="false" outlineLevel="0" collapsed="false">
      <c r="A20" s="0" t="s">
        <v>134</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135</v>
      </c>
      <c r="C21" s="0" t="n">
        <f aca="false">C19*C20</f>
        <v>62238.830072243</v>
      </c>
      <c r="D21" s="0" t="n">
        <f aca="false">D19*D20</f>
        <v>97750.0712347664</v>
      </c>
      <c r="E21" s="0" t="n">
        <f aca="false">E19*E20</f>
        <v>119616.066224669</v>
      </c>
      <c r="F21" s="0" t="n">
        <f aca="false">F19*F20</f>
        <v>132076.892730631</v>
      </c>
      <c r="G21" s="0" t="n">
        <f aca="false">G19*G20</f>
        <v>141774.223586763</v>
      </c>
      <c r="H21" s="0" t="n">
        <f aca="false">H19*H20</f>
        <v>132115.567990093</v>
      </c>
      <c r="I21" s="0" t="n">
        <f aca="false">I19*I20</f>
        <v>129703.256738646</v>
      </c>
      <c r="J21" s="0" t="n">
        <f aca="false">J19*J20</f>
        <v>118216.297986474</v>
      </c>
      <c r="K21" s="0" t="n">
        <f aca="false">K19*K20</f>
        <v>106726.478617664</v>
      </c>
      <c r="L21" s="0" t="n">
        <f aca="false">L19*L20</f>
        <v>96752.0413636764</v>
      </c>
    </row>
    <row r="23" customFormat="false" ht="15" hidden="false" customHeight="false" outlineLevel="0" collapsed="false">
      <c r="A23" s="0" t="s">
        <v>111</v>
      </c>
      <c r="C23" s="4" t="n">
        <f aca="false">Assumptions!C16</f>
        <v>0.9</v>
      </c>
      <c r="D23" s="4" t="n">
        <f aca="false">Assumptions!D16</f>
        <v>0.9</v>
      </c>
      <c r="E23" s="4" t="n">
        <f aca="false">Assumptions!E16</f>
        <v>0.9</v>
      </c>
      <c r="F23" s="4" t="n">
        <f aca="false">Assumptions!F16</f>
        <v>0.9</v>
      </c>
      <c r="G23" s="4" t="n">
        <f aca="false">Assumptions!G16</f>
        <v>0.9</v>
      </c>
      <c r="H23" s="4" t="n">
        <f aca="false">Assumptions!H16</f>
        <v>0.9</v>
      </c>
      <c r="I23" s="4" t="n">
        <f aca="false">Assumptions!I16</f>
        <v>0.9</v>
      </c>
      <c r="J23" s="4" t="n">
        <f aca="false">Assumptions!J16</f>
        <v>0.9</v>
      </c>
      <c r="K23" s="4" t="n">
        <f aca="false">Assumptions!K16</f>
        <v>0.9</v>
      </c>
      <c r="L23" s="4" t="n">
        <f aca="false">Assumptions!L16</f>
        <v>0.9</v>
      </c>
    </row>
    <row r="24" customFormat="false" ht="15" hidden="false" customHeight="false" outlineLevel="0" collapsed="false">
      <c r="A24" s="0" t="s">
        <v>136</v>
      </c>
      <c r="C24" s="0" t="n">
        <f aca="false">-C6*C23/100</f>
        <v>-20444.92335</v>
      </c>
      <c r="D24" s="0" t="n">
        <f aca="false">-D6*D23/100</f>
        <v>-21262.720284</v>
      </c>
      <c r="E24" s="0" t="n">
        <f aca="false">-E6*E23/100</f>
        <v>-21900.60189252</v>
      </c>
      <c r="F24" s="0" t="n">
        <f aca="false">-F6*F23/100</f>
        <v>-22338.6139303704</v>
      </c>
      <c r="G24" s="0" t="n">
        <f aca="false">-G6*G23/100</f>
        <v>-22562.0000696741</v>
      </c>
      <c r="H24" s="0" t="n">
        <f aca="false">-H6*H23/100</f>
        <v>-22562.0000696741</v>
      </c>
      <c r="I24" s="0" t="n">
        <f aca="false">-I6*I23/100</f>
        <v>-22336.3800689774</v>
      </c>
      <c r="J24" s="0" t="n">
        <f aca="false">-J6*J23/100</f>
        <v>-21889.6524675978</v>
      </c>
      <c r="K24" s="0" t="n">
        <f aca="false">-K6*K23/100</f>
        <v>-21232.9628935699</v>
      </c>
      <c r="L24" s="0" t="n">
        <f aca="false">-L6*L23/100</f>
        <v>-20595.9740067628</v>
      </c>
    </row>
    <row r="26" customFormat="false" ht="15" hidden="false" customHeight="false" outlineLevel="0" collapsed="false">
      <c r="A26" s="2" t="s">
        <v>137</v>
      </c>
    </row>
    <row r="27" customFormat="false" ht="15" hidden="false" customHeight="false" outlineLevel="0" collapsed="false">
      <c r="A27" s="0" t="s">
        <v>115</v>
      </c>
      <c r="B27" s="4" t="n">
        <f aca="false">Assumptions!$B$20</f>
        <v>7</v>
      </c>
    </row>
    <row r="28" customFormat="false" ht="15" hidden="false" customHeight="false" outlineLevel="0" collapsed="false">
      <c r="A28" s="0" t="s">
        <v>116</v>
      </c>
      <c r="B28" s="4" t="n">
        <f aca="false">Assumptions!$B$21</f>
        <v>1</v>
      </c>
    </row>
    <row r="29" customFormat="false" ht="15" hidden="false" customHeight="false" outlineLevel="0" collapsed="false">
      <c r="A29" s="0" t="s">
        <v>117</v>
      </c>
      <c r="B29" s="4" t="n">
        <f aca="false">Assumptions!$B$22</f>
        <v>14</v>
      </c>
    </row>
    <row r="30" customFormat="false" ht="15" hidden="false" customHeight="false" outlineLevel="0" collapsed="false">
      <c r="A30" s="0" t="s">
        <v>138</v>
      </c>
      <c r="B30" s="0" t="n">
        <f aca="false">SUM(C21:L21)</f>
        <v>1136969.72654563</v>
      </c>
    </row>
    <row r="31" customFormat="false" ht="15" hidden="false" customHeight="false" outlineLevel="0" collapsed="false">
      <c r="A31" s="0" t="s">
        <v>139</v>
      </c>
      <c r="B31" s="0" t="n">
        <f aca="false">L19</f>
        <v>190325.909489092</v>
      </c>
    </row>
    <row r="32" customFormat="false" ht="15" hidden="false" customHeight="false" outlineLevel="0" collapsed="false">
      <c r="A32" s="0" t="s">
        <v>140</v>
      </c>
      <c r="B32" s="0" t="n">
        <f aca="false">IF(B27&gt;B28,B31*(1+B28/100)/((B27-B28)/100),B31*B29)</f>
        <v>3203819.47639972</v>
      </c>
    </row>
    <row r="33" customFormat="false" ht="15" hidden="false" customHeight="false" outlineLevel="0" collapsed="false">
      <c r="A33" s="0" t="s">
        <v>141</v>
      </c>
      <c r="B33" s="0" t="n">
        <f aca="false">B31*B29</f>
        <v>2664562.73284729</v>
      </c>
    </row>
    <row r="34" customFormat="false" ht="15" hidden="false" customHeight="false" outlineLevel="0" collapsed="false">
      <c r="A34" s="0" t="s">
        <v>142</v>
      </c>
      <c r="B34" s="0" t="n">
        <f aca="false">MAX(0,MIN(B32,B33))</f>
        <v>2664562.73284729</v>
      </c>
    </row>
    <row r="35" customFormat="false" ht="15" hidden="false" customHeight="false" outlineLevel="0" collapsed="false">
      <c r="A35" s="0" t="s">
        <v>143</v>
      </c>
      <c r="B35" s="0" t="n">
        <f aca="false">B34/(1+B27/100)^L4</f>
        <v>1354528.57909147</v>
      </c>
    </row>
    <row r="36" customFormat="false" ht="15" hidden="false" customHeight="false" outlineLevel="0" collapsed="false">
      <c r="A36" s="0" t="s">
        <v>144</v>
      </c>
      <c r="B36" s="0" t="n">
        <f aca="false">B30+B35</f>
        <v>2491498.3056371</v>
      </c>
    </row>
    <row r="37" customFormat="false" ht="15" hidden="false" customHeight="false" outlineLevel="0" collapsed="false">
      <c r="A37" s="0" t="s">
        <v>145</v>
      </c>
      <c r="B37" s="0" t="n">
        <f aca="false">B36+Assumptions!$B$5-Assumptions!$B$4</f>
        <v>2978632.3056371</v>
      </c>
    </row>
    <row r="38" customFormat="false" ht="15" hidden="false" customHeight="false" outlineLevel="0" collapsed="false">
      <c r="A38" s="0" t="s">
        <v>146</v>
      </c>
      <c r="B38" s="0" t="n">
        <f aca="false">B37/Assumptions!$B$3*Assumptions!$B$10</f>
        <v>1633.91788570329</v>
      </c>
    </row>
    <row r="39" customFormat="false" ht="15" hidden="false" customHeight="false" outlineLevel="0" collapsed="false">
      <c r="A39" s="0" t="s">
        <v>147</v>
      </c>
      <c r="B39" s="4" t="n">
        <f aca="false">B38/Assumptions!$B$2-1</f>
        <v>-0.406711007369902</v>
      </c>
    </row>
    <row r="41" customFormat="false" ht="15" hidden="false" customHeight="false" outlineLevel="0" collapsed="false">
      <c r="A41" s="0" t="s">
        <v>148</v>
      </c>
      <c r="B41" s="0" t="n">
        <f aca="false">SUMPRODUCT(-C10:L10/(1+$B$27/100)^C4:L4)</f>
        <v>55875.6579586746</v>
      </c>
    </row>
    <row r="42" customFormat="false" ht="15" hidden="false" customHeight="false" outlineLevel="0" collapsed="false">
      <c r="A42" s="0" t="s">
        <v>149</v>
      </c>
      <c r="B42" s="0" t="n">
        <f aca="false">IF(B27&gt;B28,-L10*(1+B28/100)/((B27-B28)/100),-L10*20)/(1+B27/100)^L4</f>
        <v>64622.8506930999</v>
      </c>
    </row>
    <row r="43" customFormat="false" ht="15" hidden="false" customHeight="false" outlineLevel="0" collapsed="false">
      <c r="A43" s="0" t="s">
        <v>150</v>
      </c>
      <c r="B43" s="0" t="n">
        <f aca="false">(B37+B41+B42)/Assumptions!$B$3*Assumptions!$B$10</f>
        <v>1700.01690306575</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1373065.48988559</v>
      </c>
    </row>
    <row r="47" customFormat="false" ht="15" hidden="false" customHeight="false" outlineLevel="0" collapsed="false">
      <c r="A47" s="0" t="s">
        <v>152</v>
      </c>
      <c r="B47" s="0" t="n">
        <f aca="false">(SUMPRODUCT(C19:L19/(1+B45/100)^C4:L4)+B46/(1+B45/100)^L4+Assumptions!$B$5-Assumptions!$B$4)/Assumptions!$B$3*Assumptions!$B$10</f>
        <v>875.754029226037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Assumptions!C27</f>
        <v>11</v>
      </c>
      <c r="D5" s="4" t="n">
        <f aca="false">Assumptions!D27</f>
        <v>10</v>
      </c>
      <c r="E5" s="4" t="n">
        <f aca="false">Assumptions!E27</f>
        <v>8</v>
      </c>
      <c r="F5" s="4" t="n">
        <f aca="false">Assumptions!F27</f>
        <v>7</v>
      </c>
      <c r="G5" s="4" t="n">
        <f aca="false">Assumptions!G27</f>
        <v>6</v>
      </c>
      <c r="H5" s="4" t="n">
        <f aca="false">Assumptions!H27</f>
        <v>5</v>
      </c>
      <c r="I5" s="4" t="n">
        <f aca="false">Assumptions!I27</f>
        <v>4</v>
      </c>
      <c r="J5" s="4" t="n">
        <f aca="false">Assumptions!J27</f>
        <v>3</v>
      </c>
      <c r="K5" s="4" t="n">
        <f aca="false">Assumptions!K27</f>
        <v>3</v>
      </c>
      <c r="L5" s="4" t="n">
        <f aca="false">Assumptions!L27</f>
        <v>2.5</v>
      </c>
    </row>
    <row r="6" customFormat="false" ht="15" hidden="false" customHeight="false" outlineLevel="0" collapsed="false">
      <c r="A6" s="0" t="s">
        <v>37</v>
      </c>
      <c r="B6" s="3" t="n">
        <v>2123045</v>
      </c>
      <c r="C6" s="0" t="n">
        <f aca="false">B6*(1+C5/100)</f>
        <v>2356579.95</v>
      </c>
      <c r="D6" s="0" t="n">
        <f aca="false">C6*(1+D5/100)</f>
        <v>2592237.945</v>
      </c>
      <c r="E6" s="0" t="n">
        <f aca="false">D6*(1+E5/100)</f>
        <v>2799616.9806</v>
      </c>
      <c r="F6" s="0" t="n">
        <f aca="false">E6*(1+F5/100)</f>
        <v>2995590.169242</v>
      </c>
      <c r="G6" s="0" t="n">
        <f aca="false">F6*(1+G5/100)</f>
        <v>3175325.57939652</v>
      </c>
      <c r="H6" s="0" t="n">
        <f aca="false">G6*(1+H5/100)</f>
        <v>3334091.85836635</v>
      </c>
      <c r="I6" s="0" t="n">
        <f aca="false">H6*(1+I5/100)</f>
        <v>3467455.532701</v>
      </c>
      <c r="J6" s="0" t="n">
        <f aca="false">I6*(1+J5/100)</f>
        <v>3571479.19868203</v>
      </c>
      <c r="K6" s="0" t="n">
        <f aca="false">J6*(1+K5/100)</f>
        <v>3678623.57464249</v>
      </c>
      <c r="L6" s="0" t="n">
        <f aca="false">K6*(1+L5/100)</f>
        <v>3770589.16400855</v>
      </c>
    </row>
    <row r="7" customFormat="false" ht="15" hidden="false" customHeight="false" outlineLevel="0" collapsed="false">
      <c r="A7" s="0" t="s">
        <v>109</v>
      </c>
      <c r="C7" s="4" t="n">
        <f aca="false">Assumptions!C28</f>
        <v>18.5</v>
      </c>
      <c r="D7" s="4" t="n">
        <f aca="false">Assumptions!D28</f>
        <v>20</v>
      </c>
      <c r="E7" s="4" t="n">
        <f aca="false">Assumptions!E28</f>
        <v>21.5</v>
      </c>
      <c r="F7" s="4" t="n">
        <f aca="false">Assumptions!F28</f>
        <v>23</v>
      </c>
      <c r="G7" s="4" t="n">
        <f aca="false">Assumptions!G28</f>
        <v>24</v>
      </c>
      <c r="H7" s="4" t="n">
        <f aca="false">Assumptions!H28</f>
        <v>24.5</v>
      </c>
      <c r="I7" s="4" t="n">
        <f aca="false">Assumptions!I28</f>
        <v>25</v>
      </c>
      <c r="J7" s="4" t="n">
        <f aca="false">Assumptions!J28</f>
        <v>25</v>
      </c>
      <c r="K7" s="4" t="n">
        <f aca="false">Assumptions!K28</f>
        <v>25</v>
      </c>
      <c r="L7" s="4" t="n">
        <f aca="false">Assumptions!L28</f>
        <v>25</v>
      </c>
    </row>
    <row r="8" customFormat="false" ht="15" hidden="false" customHeight="false" outlineLevel="0" collapsed="false">
      <c r="A8" s="0" t="s">
        <v>43</v>
      </c>
      <c r="C8" s="0" t="n">
        <f aca="false">C6*C7/100</f>
        <v>435967.29075</v>
      </c>
      <c r="D8" s="0" t="n">
        <f aca="false">D6*D7/100</f>
        <v>518447.589</v>
      </c>
      <c r="E8" s="0" t="n">
        <f aca="false">E6*E7/100</f>
        <v>601917.650829</v>
      </c>
      <c r="F8" s="0" t="n">
        <f aca="false">F6*F7/100</f>
        <v>688985.73892566</v>
      </c>
      <c r="G8" s="0" t="n">
        <f aca="false">G6*G7/100</f>
        <v>762078.139055165</v>
      </c>
      <c r="H8" s="0" t="n">
        <f aca="false">H6*H7/100</f>
        <v>816852.505299755</v>
      </c>
      <c r="I8" s="0" t="n">
        <f aca="false">I6*I7/100</f>
        <v>866863.88317525</v>
      </c>
      <c r="J8" s="0" t="n">
        <f aca="false">J6*J7/100</f>
        <v>892869.799670508</v>
      </c>
      <c r="K8" s="0" t="n">
        <f aca="false">K6*K7/100</f>
        <v>919655.893660623</v>
      </c>
      <c r="L8" s="0" t="n">
        <f aca="false">L6*L7/100</f>
        <v>942647.291002139</v>
      </c>
    </row>
    <row r="9" customFormat="false" ht="15" hidden="false" customHeight="false" outlineLevel="0" collapsed="false">
      <c r="A9" s="0" t="s">
        <v>110</v>
      </c>
      <c r="C9" s="4" t="n">
        <f aca="false">Assumptions!C29</f>
        <v>0.33</v>
      </c>
      <c r="D9" s="4" t="n">
        <f aca="false">Assumptions!D29</f>
        <v>0.33</v>
      </c>
      <c r="E9" s="4" t="n">
        <f aca="false">Assumptions!E29</f>
        <v>0.33</v>
      </c>
      <c r="F9" s="4" t="n">
        <f aca="false">Assumptions!F29</f>
        <v>0.33</v>
      </c>
      <c r="G9" s="4" t="n">
        <f aca="false">Assumptions!G29</f>
        <v>0.33</v>
      </c>
      <c r="H9" s="4" t="n">
        <f aca="false">Assumptions!H29</f>
        <v>0.33</v>
      </c>
      <c r="I9" s="4" t="n">
        <f aca="false">Assumptions!I29</f>
        <v>0.33</v>
      </c>
      <c r="J9" s="4" t="n">
        <f aca="false">Assumptions!J29</f>
        <v>0.33</v>
      </c>
      <c r="K9" s="4" t="n">
        <f aca="false">Assumptions!K29</f>
        <v>0.33</v>
      </c>
      <c r="L9" s="4" t="n">
        <f aca="false">Assumptions!L29</f>
        <v>0.33</v>
      </c>
    </row>
    <row r="10" customFormat="false" ht="15" hidden="false" customHeight="false" outlineLevel="0" collapsed="false">
      <c r="A10" s="0" t="s">
        <v>125</v>
      </c>
      <c r="C10" s="0" t="n">
        <f aca="false">-C6*C9/100</f>
        <v>-7776.713835</v>
      </c>
      <c r="D10" s="0" t="n">
        <f aca="false">-D6*D9/100</f>
        <v>-8554.3852185</v>
      </c>
      <c r="E10" s="0" t="n">
        <f aca="false">-E6*E9/100</f>
        <v>-9238.73603598</v>
      </c>
      <c r="F10" s="0" t="n">
        <f aca="false">-F6*F9/100</f>
        <v>-9885.4475584986</v>
      </c>
      <c r="G10" s="0" t="n">
        <f aca="false">-G6*G9/100</f>
        <v>-10478.5744120085</v>
      </c>
      <c r="H10" s="0" t="n">
        <f aca="false">-H6*H9/100</f>
        <v>-11002.5031326089</v>
      </c>
      <c r="I10" s="0" t="n">
        <f aca="false">-I6*I9/100</f>
        <v>-11442.6032579133</v>
      </c>
      <c r="J10" s="0" t="n">
        <f aca="false">-J6*J9/100</f>
        <v>-11785.8813556507</v>
      </c>
      <c r="K10" s="0" t="n">
        <f aca="false">-K6*K9/100</f>
        <v>-12139.4577963202</v>
      </c>
      <c r="L10" s="0" t="n">
        <f aca="false">-L6*L9/100</f>
        <v>-12442.9442412282</v>
      </c>
    </row>
    <row r="11" customFormat="false" ht="15" hidden="false" customHeight="false" outlineLevel="0" collapsed="false">
      <c r="A11" s="0" t="s">
        <v>126</v>
      </c>
      <c r="C11" s="0" t="n">
        <f aca="false">C8+C10+C24</f>
        <v>406981.357365</v>
      </c>
      <c r="D11" s="0" t="n">
        <f aca="false">D8+D10+D24</f>
        <v>486563.0622765</v>
      </c>
      <c r="E11" s="0" t="n">
        <f aca="false">E8+E10+E24</f>
        <v>567482.36196762</v>
      </c>
      <c r="F11" s="0" t="n">
        <f aca="false">F8+F10+F24</f>
        <v>652139.979843984</v>
      </c>
      <c r="G11" s="0" t="n">
        <f aca="false">G8+G10+G24</f>
        <v>723021.634428588</v>
      </c>
      <c r="H11" s="0" t="n">
        <f aca="false">H8+H10+H24</f>
        <v>775843.175441849</v>
      </c>
      <c r="I11" s="0" t="n">
        <f aca="false">I8+I10+I24</f>
        <v>824214.180123028</v>
      </c>
      <c r="J11" s="0" t="n">
        <f aca="false">J8+J10+J24</f>
        <v>848940.605526719</v>
      </c>
      <c r="K11" s="0" t="n">
        <f aca="false">K8+K10+K24</f>
        <v>874408.82369252</v>
      </c>
      <c r="L11" s="0" t="n">
        <f aca="false">L8+L10+L24</f>
        <v>896269.044284833</v>
      </c>
    </row>
    <row r="12" customFormat="false" ht="15" hidden="false" customHeight="false" outlineLevel="0" collapsed="false">
      <c r="A12" s="0" t="s">
        <v>127</v>
      </c>
      <c r="C12" s="4" t="n">
        <f aca="false">-C6*Assumptions!C31/100</f>
        <v>-68340.81855</v>
      </c>
      <c r="D12" s="4" t="n">
        <f aca="false">-D6*Assumptions!D31/100</f>
        <v>-77767.13835</v>
      </c>
      <c r="E12" s="4" t="n">
        <f aca="false">-E6*Assumptions!E31/100</f>
        <v>-86788.1263986</v>
      </c>
      <c r="F12" s="4" t="n">
        <f aca="false">-F6*Assumptions!F31/100</f>
        <v>-95858.885415744</v>
      </c>
      <c r="G12" s="4" t="n">
        <f aca="false">-G6*Assumptions!G31/100</f>
        <v>-104785.744120085</v>
      </c>
      <c r="H12" s="4" t="n">
        <f aca="false">-H6*Assumptions!H31/100</f>
        <v>-113359.123184456</v>
      </c>
      <c r="I12" s="4" t="n">
        <f aca="false">-I6*Assumptions!I31/100</f>
        <v>-121360.943644535</v>
      </c>
      <c r="J12" s="4" t="n">
        <f aca="false">-J6*Assumptions!J31/100</f>
        <v>-125001.771953871</v>
      </c>
      <c r="K12" s="4" t="n">
        <f aca="false">-K6*Assumptions!K31/100</f>
        <v>-128751.825112487</v>
      </c>
      <c r="L12" s="4" t="n">
        <f aca="false">-L6*Assumptions!L31/100</f>
        <v>-131970.620740299</v>
      </c>
    </row>
    <row r="13" customFormat="false" ht="15" hidden="false" customHeight="false" outlineLevel="0" collapsed="false">
      <c r="A13" s="0" t="s">
        <v>128</v>
      </c>
      <c r="C13" s="0" t="n">
        <f aca="false">C11+C12</f>
        <v>338640.538815</v>
      </c>
      <c r="D13" s="0" t="n">
        <f aca="false">D11+D12</f>
        <v>408795.9239265</v>
      </c>
      <c r="E13" s="0" t="n">
        <f aca="false">E11+E12</f>
        <v>480694.23556902</v>
      </c>
      <c r="F13" s="0" t="n">
        <f aca="false">F11+F12</f>
        <v>556281.09442824</v>
      </c>
      <c r="G13" s="0" t="n">
        <f aca="false">G11+G12</f>
        <v>618235.890308503</v>
      </c>
      <c r="H13" s="0" t="n">
        <f aca="false">H11+H12</f>
        <v>662484.052257393</v>
      </c>
      <c r="I13" s="0" t="n">
        <f aca="false">I11+I12</f>
        <v>702853.236478493</v>
      </c>
      <c r="J13" s="0" t="n">
        <f aca="false">J11+J12</f>
        <v>723938.833572848</v>
      </c>
      <c r="K13" s="0" t="n">
        <f aca="false">K11+K12</f>
        <v>745656.998580033</v>
      </c>
      <c r="L13" s="0" t="n">
        <f aca="false">L11+L12</f>
        <v>764298.423544534</v>
      </c>
    </row>
    <row r="14" customFormat="false" ht="15" hidden="false" customHeight="false" outlineLevel="0" collapsed="false">
      <c r="A14" s="0" t="s">
        <v>114</v>
      </c>
      <c r="C14" s="4" t="n">
        <f aca="false">Assumptions!C33</f>
        <v>33</v>
      </c>
      <c r="D14" s="4" t="n">
        <f aca="false">Assumptions!D33</f>
        <v>32</v>
      </c>
      <c r="E14" s="4" t="n">
        <f aca="false">Assumptions!E33</f>
        <v>31</v>
      </c>
      <c r="F14" s="4" t="n">
        <f aca="false">Assumptions!F33</f>
        <v>30</v>
      </c>
      <c r="G14" s="4" t="n">
        <f aca="false">Assumptions!G33</f>
        <v>29</v>
      </c>
      <c r="H14" s="4" t="n">
        <f aca="false">Assumptions!H33</f>
        <v>29</v>
      </c>
      <c r="I14" s="4" t="n">
        <f aca="false">Assumptions!I33</f>
        <v>29</v>
      </c>
      <c r="J14" s="4" t="n">
        <f aca="false">Assumptions!J33</f>
        <v>29</v>
      </c>
      <c r="K14" s="4" t="n">
        <f aca="false">Assumptions!K33</f>
        <v>29</v>
      </c>
      <c r="L14" s="4" t="n">
        <f aca="false">Assumptions!L33</f>
        <v>29</v>
      </c>
    </row>
    <row r="15" customFormat="false" ht="15" hidden="false" customHeight="false" outlineLevel="0" collapsed="false">
      <c r="A15" s="0" t="s">
        <v>129</v>
      </c>
      <c r="C15" s="0" t="n">
        <f aca="false">C13-MAX(0,C13)*C14/100</f>
        <v>226889.16100605</v>
      </c>
      <c r="D15" s="0" t="n">
        <f aca="false">D13-MAX(0,D13)*D14/100</f>
        <v>277981.22827002</v>
      </c>
      <c r="E15" s="0" t="n">
        <f aca="false">E13-MAX(0,E13)*E14/100</f>
        <v>331679.022542624</v>
      </c>
      <c r="F15" s="0" t="n">
        <f aca="false">F13-MAX(0,F13)*F14/100</f>
        <v>389396.766099768</v>
      </c>
      <c r="G15" s="0" t="n">
        <f aca="false">G13-MAX(0,G13)*G14/100</f>
        <v>438947.482119037</v>
      </c>
      <c r="H15" s="0" t="n">
        <f aca="false">H13-MAX(0,H13)*H14/100</f>
        <v>470363.677102749</v>
      </c>
      <c r="I15" s="0" t="n">
        <f aca="false">I13-MAX(0,I13)*I14/100</f>
        <v>499025.79789973</v>
      </c>
      <c r="J15" s="0" t="n">
        <f aca="false">J13-MAX(0,J13)*J14/100</f>
        <v>513996.571836722</v>
      </c>
      <c r="K15" s="0" t="n">
        <f aca="false">K13-MAX(0,K13)*K14/100</f>
        <v>529416.468991824</v>
      </c>
      <c r="L15" s="0" t="n">
        <f aca="false">L13-MAX(0,L13)*L14/100</f>
        <v>542651.880716619</v>
      </c>
    </row>
    <row r="16" customFormat="false" ht="15" hidden="false" customHeight="false" outlineLevel="0" collapsed="false">
      <c r="A16" s="0" t="s">
        <v>130</v>
      </c>
      <c r="C16" s="0" t="n">
        <f aca="false">-C12</f>
        <v>68340.81855</v>
      </c>
      <c r="D16" s="0" t="n">
        <f aca="false">-D12</f>
        <v>77767.13835</v>
      </c>
      <c r="E16" s="0" t="n">
        <f aca="false">-E12</f>
        <v>86788.1263986</v>
      </c>
      <c r="F16" s="0" t="n">
        <f aca="false">-F12</f>
        <v>95858.885415744</v>
      </c>
      <c r="G16" s="0" t="n">
        <f aca="false">-G12</f>
        <v>104785.744120085</v>
      </c>
      <c r="H16" s="0" t="n">
        <f aca="false">-H12</f>
        <v>113359.123184456</v>
      </c>
      <c r="I16" s="0" t="n">
        <f aca="false">-I12</f>
        <v>121360.943644535</v>
      </c>
      <c r="J16" s="0" t="n">
        <f aca="false">-J12</f>
        <v>125001.771953871</v>
      </c>
      <c r="K16" s="0" t="n">
        <f aca="false">-K12</f>
        <v>128751.825112487</v>
      </c>
      <c r="L16" s="0" t="n">
        <f aca="false">-L12</f>
        <v>131970.620740299</v>
      </c>
    </row>
    <row r="17" customFormat="false" ht="15" hidden="false" customHeight="false" outlineLevel="0" collapsed="false">
      <c r="A17" s="0" t="s">
        <v>131</v>
      </c>
      <c r="C17" s="4" t="n">
        <f aca="false">-C6*Assumptions!C32/100</f>
        <v>-153177.69675</v>
      </c>
      <c r="D17" s="4" t="n">
        <f aca="false">-D6*Assumptions!D32/100</f>
        <v>-168495.466425</v>
      </c>
      <c r="E17" s="4" t="n">
        <f aca="false">-E6*Assumptions!E32/100</f>
        <v>-167977.018836</v>
      </c>
      <c r="F17" s="4" t="n">
        <f aca="false">-F6*Assumptions!F32/100</f>
        <v>-164757.45930831</v>
      </c>
      <c r="G17" s="4" t="n">
        <f aca="false">-G6*Assumptions!G32/100</f>
        <v>-158766.278969826</v>
      </c>
      <c r="H17" s="4" t="n">
        <f aca="false">-H6*Assumptions!H32/100</f>
        <v>-166704.592918317</v>
      </c>
      <c r="I17" s="4" t="n">
        <f aca="false">-I6*Assumptions!I32/100</f>
        <v>-156035.498971545</v>
      </c>
      <c r="J17" s="4" t="n">
        <f aca="false">-J6*Assumptions!J32/100</f>
        <v>-160716.563940691</v>
      </c>
      <c r="K17" s="4" t="n">
        <f aca="false">-K6*Assumptions!K32/100</f>
        <v>-165538.060858912</v>
      </c>
      <c r="L17" s="4" t="n">
        <f aca="false">-L6*Assumptions!L32/100</f>
        <v>-169676.512380385</v>
      </c>
    </row>
    <row r="18" customFormat="false" ht="15" hidden="false" customHeight="false" outlineLevel="0" collapsed="false">
      <c r="A18" s="0" t="s">
        <v>132</v>
      </c>
      <c r="C18" s="4" t="n">
        <f aca="false">(C6-B6)*Assumptions!$B$37/100</f>
        <v>-70060.4850000001</v>
      </c>
      <c r="D18" s="4" t="n">
        <f aca="false">(D6-C6)*Assumptions!$B$37/100</f>
        <v>-70697.3985</v>
      </c>
      <c r="E18" s="4" t="n">
        <f aca="false">(E6-D6)*Assumptions!$B$37/100</f>
        <v>-62213.71068</v>
      </c>
      <c r="F18" s="4" t="n">
        <f aca="false">(F6-E6)*Assumptions!$B$37/100</f>
        <v>-58791.9565926001</v>
      </c>
      <c r="G18" s="4" t="n">
        <f aca="false">(G6-F6)*Assumptions!$B$37/100</f>
        <v>-53920.623046356</v>
      </c>
      <c r="H18" s="4" t="n">
        <f aca="false">(H6-G6)*Assumptions!$B$37/100</f>
        <v>-47629.8836909479</v>
      </c>
      <c r="I18" s="4" t="n">
        <f aca="false">(I6-H6)*Assumptions!$B$37/100</f>
        <v>-40009.1023003962</v>
      </c>
      <c r="J18" s="4" t="n">
        <f aca="false">(J6-I6)*Assumptions!$B$37/100</f>
        <v>-31207.099794309</v>
      </c>
      <c r="K18" s="4" t="n">
        <f aca="false">(K6-J6)*Assumptions!$B$37/100</f>
        <v>-32143.3127881383</v>
      </c>
      <c r="L18" s="4" t="n">
        <f aca="false">(L6-K6)*Assumptions!$B$37/100</f>
        <v>-27589.6768098186</v>
      </c>
    </row>
    <row r="19" customFormat="false" ht="15" hidden="false" customHeight="false" outlineLevel="0" collapsed="false">
      <c r="A19" s="0" t="s">
        <v>133</v>
      </c>
      <c r="C19" s="0" t="n">
        <f aca="false">C15+C16+C17+C18</f>
        <v>71991.79780605</v>
      </c>
      <c r="D19" s="0" t="n">
        <f aca="false">D15+D16+D17+D18</f>
        <v>116555.50169502</v>
      </c>
      <c r="E19" s="0" t="n">
        <f aca="false">E15+E16+E17+E18</f>
        <v>188276.419425224</v>
      </c>
      <c r="F19" s="0" t="n">
        <f aca="false">F15+F16+F17+F18</f>
        <v>261706.235614602</v>
      </c>
      <c r="G19" s="0" t="n">
        <f aca="false">G15+G16+G17+G18</f>
        <v>331046.32422294</v>
      </c>
      <c r="H19" s="0" t="n">
        <f aca="false">H15+H16+H17+H18</f>
        <v>369388.32367794</v>
      </c>
      <c r="I19" s="0" t="n">
        <f aca="false">I15+I16+I17+I18</f>
        <v>424342.140272324</v>
      </c>
      <c r="J19" s="0" t="n">
        <f aca="false">J15+J16+J17+J18</f>
        <v>447074.680055593</v>
      </c>
      <c r="K19" s="0" t="n">
        <f aca="false">K15+K16+K17+K18</f>
        <v>460486.92045726</v>
      </c>
      <c r="L19" s="0" t="n">
        <f aca="false">L15+L16+L17+L18</f>
        <v>477356.312266715</v>
      </c>
    </row>
    <row r="20" customFormat="false" ht="15" hidden="false" customHeight="false" outlineLevel="0" collapsed="false">
      <c r="A20" s="0" t="s">
        <v>134</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135</v>
      </c>
      <c r="C21" s="0" t="n">
        <f aca="false">C19*C20</f>
        <v>67282.0540243458</v>
      </c>
      <c r="D21" s="0" t="n">
        <f aca="false">D19*D20</f>
        <v>101804.089173744</v>
      </c>
      <c r="E21" s="0" t="n">
        <f aca="false">E19*E20</f>
        <v>153689.641445422</v>
      </c>
      <c r="F21" s="0" t="n">
        <f aca="false">F19*F20</f>
        <v>199654.434113361</v>
      </c>
      <c r="G21" s="0" t="n">
        <f aca="false">G19*G20</f>
        <v>236031.453939826</v>
      </c>
      <c r="H21" s="0" t="n">
        <f aca="false">H19*H20</f>
        <v>246139.037051412</v>
      </c>
      <c r="I21" s="0" t="n">
        <f aca="false">I19*I20</f>
        <v>264258.958325345</v>
      </c>
      <c r="J21" s="0" t="n">
        <f aca="false">J19*J20</f>
        <v>260201.534212856</v>
      </c>
      <c r="K21" s="0" t="n">
        <f aca="false">K19*K20</f>
        <v>250474.374055366</v>
      </c>
      <c r="L21" s="0" t="n">
        <f aca="false">L19*L20</f>
        <v>242663.743436824</v>
      </c>
    </row>
    <row r="23" customFormat="false" ht="15" hidden="false" customHeight="false" outlineLevel="0" collapsed="false">
      <c r="A23" s="0" t="s">
        <v>111</v>
      </c>
      <c r="C23" s="4" t="n">
        <f aca="false">Assumptions!C30</f>
        <v>0.9</v>
      </c>
      <c r="D23" s="4" t="n">
        <f aca="false">Assumptions!D30</f>
        <v>0.9</v>
      </c>
      <c r="E23" s="4" t="n">
        <f aca="false">Assumptions!E30</f>
        <v>0.9</v>
      </c>
      <c r="F23" s="4" t="n">
        <f aca="false">Assumptions!F30</f>
        <v>0.9</v>
      </c>
      <c r="G23" s="4" t="n">
        <f aca="false">Assumptions!G30</f>
        <v>0.9</v>
      </c>
      <c r="H23" s="4" t="n">
        <f aca="false">Assumptions!H30</f>
        <v>0.9</v>
      </c>
      <c r="I23" s="4" t="n">
        <f aca="false">Assumptions!I30</f>
        <v>0.9</v>
      </c>
      <c r="J23" s="4" t="n">
        <f aca="false">Assumptions!J30</f>
        <v>0.9</v>
      </c>
      <c r="K23" s="4" t="n">
        <f aca="false">Assumptions!K30</f>
        <v>0.9</v>
      </c>
      <c r="L23" s="4" t="n">
        <f aca="false">Assumptions!L30</f>
        <v>0.9</v>
      </c>
    </row>
    <row r="24" customFormat="false" ht="15" hidden="false" customHeight="false" outlineLevel="0" collapsed="false">
      <c r="A24" s="0" t="s">
        <v>136</v>
      </c>
      <c r="C24" s="0" t="n">
        <f aca="false">-C6*C23/100</f>
        <v>-21209.21955</v>
      </c>
      <c r="D24" s="0" t="n">
        <f aca="false">-D6*D23/100</f>
        <v>-23330.141505</v>
      </c>
      <c r="E24" s="0" t="n">
        <f aca="false">-E6*E23/100</f>
        <v>-25196.5528254</v>
      </c>
      <c r="F24" s="0" t="n">
        <f aca="false">-F6*F23/100</f>
        <v>-26960.311523178</v>
      </c>
      <c r="G24" s="0" t="n">
        <f aca="false">-G6*G23/100</f>
        <v>-28577.9302145687</v>
      </c>
      <c r="H24" s="0" t="n">
        <f aca="false">-H6*H23/100</f>
        <v>-30006.8267252971</v>
      </c>
      <c r="I24" s="0" t="n">
        <f aca="false">-I6*I23/100</f>
        <v>-31207.099794309</v>
      </c>
      <c r="J24" s="0" t="n">
        <f aca="false">-J6*J23/100</f>
        <v>-32143.3127881383</v>
      </c>
      <c r="K24" s="0" t="n">
        <f aca="false">-K6*K23/100</f>
        <v>-33107.6121717824</v>
      </c>
      <c r="L24" s="0" t="n">
        <f aca="false">-L6*L23/100</f>
        <v>-33935.302476077</v>
      </c>
    </row>
    <row r="26" customFormat="false" ht="15" hidden="false" customHeight="false" outlineLevel="0" collapsed="false">
      <c r="A26" s="2" t="s">
        <v>137</v>
      </c>
    </row>
    <row r="27" customFormat="false" ht="15" hidden="false" customHeight="false" outlineLevel="0" collapsed="false">
      <c r="A27" s="0" t="s">
        <v>115</v>
      </c>
      <c r="B27" s="4" t="n">
        <f aca="false">Assumptions!$B$34</f>
        <v>7</v>
      </c>
    </row>
    <row r="28" customFormat="false" ht="15" hidden="false" customHeight="false" outlineLevel="0" collapsed="false">
      <c r="A28" s="0" t="s">
        <v>116</v>
      </c>
      <c r="B28" s="4" t="n">
        <f aca="false">Assumptions!$B$35</f>
        <v>2</v>
      </c>
    </row>
    <row r="29" customFormat="false" ht="15" hidden="false" customHeight="false" outlineLevel="0" collapsed="false">
      <c r="A29" s="0" t="s">
        <v>117</v>
      </c>
      <c r="B29" s="4" t="n">
        <f aca="false">Assumptions!$B$36</f>
        <v>18</v>
      </c>
    </row>
    <row r="30" customFormat="false" ht="15" hidden="false" customHeight="false" outlineLevel="0" collapsed="false">
      <c r="A30" s="0" t="s">
        <v>138</v>
      </c>
      <c r="B30" s="0" t="n">
        <f aca="false">SUM(C21:L21)</f>
        <v>2022199.3197785</v>
      </c>
    </row>
    <row r="31" customFormat="false" ht="15" hidden="false" customHeight="false" outlineLevel="0" collapsed="false">
      <c r="A31" s="0" t="s">
        <v>139</v>
      </c>
      <c r="B31" s="0" t="n">
        <f aca="false">L19</f>
        <v>477356.312266715</v>
      </c>
    </row>
    <row r="32" customFormat="false" ht="15" hidden="false" customHeight="false" outlineLevel="0" collapsed="false">
      <c r="A32" s="0" t="s">
        <v>140</v>
      </c>
      <c r="B32" s="0" t="n">
        <f aca="false">IF(B27&gt;B28,B31*(1+B28/100)/((B27-B28)/100),B31*B29)</f>
        <v>9738068.77024098</v>
      </c>
    </row>
    <row r="33" customFormat="false" ht="15" hidden="false" customHeight="false" outlineLevel="0" collapsed="false">
      <c r="A33" s="0" t="s">
        <v>141</v>
      </c>
      <c r="B33" s="0" t="n">
        <f aca="false">B31*B29</f>
        <v>8592413.62080087</v>
      </c>
    </row>
    <row r="34" customFormat="false" ht="15" hidden="false" customHeight="false" outlineLevel="0" collapsed="false">
      <c r="A34" s="0" t="s">
        <v>142</v>
      </c>
      <c r="B34" s="0" t="n">
        <f aca="false">MAX(0,MIN(B32,B33))</f>
        <v>8592413.62080087</v>
      </c>
    </row>
    <row r="35" customFormat="false" ht="15" hidden="false" customHeight="false" outlineLevel="0" collapsed="false">
      <c r="A35" s="0" t="s">
        <v>143</v>
      </c>
      <c r="B35" s="0" t="n">
        <f aca="false">B34/(1+B27/100)^L4</f>
        <v>4367947.38186283</v>
      </c>
    </row>
    <row r="36" customFormat="false" ht="15" hidden="false" customHeight="false" outlineLevel="0" collapsed="false">
      <c r="A36" s="0" t="s">
        <v>144</v>
      </c>
      <c r="B36" s="0" t="n">
        <f aca="false">B30+B35</f>
        <v>6390146.70164133</v>
      </c>
    </row>
    <row r="37" customFormat="false" ht="15" hidden="false" customHeight="false" outlineLevel="0" collapsed="false">
      <c r="A37" s="0" t="s">
        <v>145</v>
      </c>
      <c r="B37" s="0" t="n">
        <f aca="false">B36+Assumptions!$B$5-Assumptions!$B$4</f>
        <v>6877280.70164133</v>
      </c>
    </row>
    <row r="38" customFormat="false" ht="15" hidden="false" customHeight="false" outlineLevel="0" collapsed="false">
      <c r="A38" s="0" t="s">
        <v>146</v>
      </c>
      <c r="B38" s="0" t="n">
        <f aca="false">B37/Assumptions!$B$3*Assumptions!$B$10</f>
        <v>3772.50724171219</v>
      </c>
    </row>
    <row r="39" customFormat="false" ht="15" hidden="false" customHeight="false" outlineLevel="0" collapsed="false">
      <c r="A39" s="0" t="s">
        <v>147</v>
      </c>
      <c r="B39" s="4" t="n">
        <f aca="false">B38/Assumptions!$B$2-1</f>
        <v>0.369828337586127</v>
      </c>
    </row>
    <row r="41" customFormat="false" ht="15" hidden="false" customHeight="false" outlineLevel="0" collapsed="false">
      <c r="A41" s="0" t="s">
        <v>148</v>
      </c>
      <c r="B41" s="0" t="n">
        <f aca="false">SUMPRODUCT(-C10:L10/(1+$B$27/100)^C4:L4)</f>
        <v>71539.1116544413</v>
      </c>
    </row>
    <row r="42" customFormat="false" ht="15" hidden="false" customHeight="false" outlineLevel="0" collapsed="false">
      <c r="A42" s="0" t="s">
        <v>149</v>
      </c>
      <c r="B42" s="0" t="n">
        <f aca="false">IF(B27&gt;B28,-L10*(1+B28/100)/((B27-B28)/100),-L10*20)/(1+B27/100)^L4</f>
        <v>129037.382700843</v>
      </c>
    </row>
    <row r="43" customFormat="false" ht="15" hidden="false" customHeight="false" outlineLevel="0" collapsed="false">
      <c r="A43" s="0" t="s">
        <v>150</v>
      </c>
      <c r="B43" s="0" t="n">
        <f aca="false">(B37+B41+B42)/Assumptions!$B$3*Assumptions!$B$10</f>
        <v>3882.53274602118</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3745411.0654773</v>
      </c>
    </row>
    <row r="47" customFormat="false" ht="15" hidden="false" customHeight="false" outlineLevel="0" collapsed="false">
      <c r="A47" s="0" t="s">
        <v>152</v>
      </c>
      <c r="B47" s="0" t="n">
        <f aca="false">(SUMPRODUCT(C19:L19/(1+B45/100)^C4:L4)+B46/(1+B45/100)^L4+Assumptions!$B$5-Assumptions!$B$4)/Assumptions!$B$3*Assumptions!$B$10</f>
        <v>1489.82875814599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154</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Assumptions!C41</f>
        <v>13</v>
      </c>
      <c r="D5" s="4" t="n">
        <f aca="false">Assumptions!D41</f>
        <v>12</v>
      </c>
      <c r="E5" s="4" t="n">
        <f aca="false">Assumptions!E41</f>
        <v>11</v>
      </c>
      <c r="F5" s="4" t="n">
        <f aca="false">Assumptions!F41</f>
        <v>10</v>
      </c>
      <c r="G5" s="4" t="n">
        <f aca="false">Assumptions!G41</f>
        <v>9</v>
      </c>
      <c r="H5" s="4" t="n">
        <f aca="false">Assumptions!H41</f>
        <v>8</v>
      </c>
      <c r="I5" s="4" t="n">
        <f aca="false">Assumptions!I41</f>
        <v>7</v>
      </c>
      <c r="J5" s="4" t="n">
        <f aca="false">Assumptions!J41</f>
        <v>6</v>
      </c>
      <c r="K5" s="4" t="n">
        <f aca="false">Assumptions!K41</f>
        <v>5</v>
      </c>
      <c r="L5" s="4" t="n">
        <f aca="false">Assumptions!L41</f>
        <v>4</v>
      </c>
    </row>
    <row r="6" customFormat="false" ht="15" hidden="false" customHeight="false" outlineLevel="0" collapsed="false">
      <c r="A6" s="0" t="s">
        <v>37</v>
      </c>
      <c r="B6" s="3" t="n">
        <v>2123045</v>
      </c>
      <c r="C6" s="0" t="n">
        <f aca="false">B6*(1+C5/100)</f>
        <v>2399040.85</v>
      </c>
      <c r="D6" s="0" t="n">
        <f aca="false">C6*(1+D5/100)</f>
        <v>2686925.752</v>
      </c>
      <c r="E6" s="0" t="n">
        <f aca="false">D6*(1+E5/100)</f>
        <v>2982487.58472</v>
      </c>
      <c r="F6" s="0" t="n">
        <f aca="false">E6*(1+F5/100)</f>
        <v>3280736.343192</v>
      </c>
      <c r="G6" s="0" t="n">
        <f aca="false">F6*(1+G5/100)</f>
        <v>3576002.61407928</v>
      </c>
      <c r="H6" s="0" t="n">
        <f aca="false">G6*(1+H5/100)</f>
        <v>3862082.82320562</v>
      </c>
      <c r="I6" s="0" t="n">
        <f aca="false">H6*(1+I5/100)</f>
        <v>4132428.62083002</v>
      </c>
      <c r="J6" s="0" t="n">
        <f aca="false">I6*(1+J5/100)</f>
        <v>4380374.33807982</v>
      </c>
      <c r="K6" s="0" t="n">
        <f aca="false">J6*(1+K5/100)</f>
        <v>4599393.05498381</v>
      </c>
      <c r="L6" s="0" t="n">
        <f aca="false">K6*(1+L5/100)</f>
        <v>4783368.77718316</v>
      </c>
    </row>
    <row r="7" customFormat="false" ht="15" hidden="false" customHeight="false" outlineLevel="0" collapsed="false">
      <c r="A7" s="0" t="s">
        <v>109</v>
      </c>
      <c r="C7" s="4" t="n">
        <f aca="false">Assumptions!C42</f>
        <v>19</v>
      </c>
      <c r="D7" s="4" t="n">
        <f aca="false">Assumptions!D42</f>
        <v>21</v>
      </c>
      <c r="E7" s="4" t="n">
        <f aca="false">Assumptions!E42</f>
        <v>23</v>
      </c>
      <c r="F7" s="4" t="n">
        <f aca="false">Assumptions!F42</f>
        <v>25</v>
      </c>
      <c r="G7" s="4" t="n">
        <f aca="false">Assumptions!G42</f>
        <v>26.5</v>
      </c>
      <c r="H7" s="4" t="n">
        <f aca="false">Assumptions!H42</f>
        <v>27.5</v>
      </c>
      <c r="I7" s="4" t="n">
        <f aca="false">Assumptions!I42</f>
        <v>28.5</v>
      </c>
      <c r="J7" s="4" t="n">
        <f aca="false">Assumptions!J42</f>
        <v>29</v>
      </c>
      <c r="K7" s="4" t="n">
        <f aca="false">Assumptions!K42</f>
        <v>29</v>
      </c>
      <c r="L7" s="4" t="n">
        <f aca="false">Assumptions!L42</f>
        <v>29</v>
      </c>
    </row>
    <row r="8" customFormat="false" ht="15" hidden="false" customHeight="false" outlineLevel="0" collapsed="false">
      <c r="A8" s="0" t="s">
        <v>43</v>
      </c>
      <c r="C8" s="0" t="n">
        <f aca="false">C6*C7/100</f>
        <v>455817.7615</v>
      </c>
      <c r="D8" s="0" t="n">
        <f aca="false">D6*D7/100</f>
        <v>564254.40792</v>
      </c>
      <c r="E8" s="0" t="n">
        <f aca="false">E6*E7/100</f>
        <v>685972.1444856</v>
      </c>
      <c r="F8" s="0" t="n">
        <f aca="false">F6*F7/100</f>
        <v>820184.085798</v>
      </c>
      <c r="G8" s="0" t="n">
        <f aca="false">G6*G7/100</f>
        <v>947640.692731009</v>
      </c>
      <c r="H8" s="0" t="n">
        <f aca="false">H6*H7/100</f>
        <v>1062072.77638155</v>
      </c>
      <c r="I8" s="0" t="n">
        <f aca="false">I6*I7/100</f>
        <v>1177742.15693656</v>
      </c>
      <c r="J8" s="0" t="n">
        <f aca="false">J6*J7/100</f>
        <v>1270308.55804315</v>
      </c>
      <c r="K8" s="0" t="n">
        <f aca="false">K6*K7/100</f>
        <v>1333823.9859453</v>
      </c>
      <c r="L8" s="0" t="n">
        <f aca="false">L6*L7/100</f>
        <v>1387176.94538312</v>
      </c>
    </row>
    <row r="9" customFormat="false" ht="15" hidden="false" customHeight="false" outlineLevel="0" collapsed="false">
      <c r="A9" s="0" t="s">
        <v>110</v>
      </c>
      <c r="C9" s="4" t="n">
        <f aca="false">Assumptions!C43</f>
        <v>0.33</v>
      </c>
      <c r="D9" s="4" t="n">
        <f aca="false">Assumptions!D43</f>
        <v>0.33</v>
      </c>
      <c r="E9" s="4" t="n">
        <f aca="false">Assumptions!E43</f>
        <v>0.33</v>
      </c>
      <c r="F9" s="4" t="n">
        <f aca="false">Assumptions!F43</f>
        <v>0.33</v>
      </c>
      <c r="G9" s="4" t="n">
        <f aca="false">Assumptions!G43</f>
        <v>0.33</v>
      </c>
      <c r="H9" s="4" t="n">
        <f aca="false">Assumptions!H43</f>
        <v>0.33</v>
      </c>
      <c r="I9" s="4" t="n">
        <f aca="false">Assumptions!I43</f>
        <v>0.33</v>
      </c>
      <c r="J9" s="4" t="n">
        <f aca="false">Assumptions!J43</f>
        <v>0.33</v>
      </c>
      <c r="K9" s="4" t="n">
        <f aca="false">Assumptions!K43</f>
        <v>0.33</v>
      </c>
      <c r="L9" s="4" t="n">
        <f aca="false">Assumptions!L43</f>
        <v>0.33</v>
      </c>
    </row>
    <row r="10" customFormat="false" ht="15" hidden="false" customHeight="false" outlineLevel="0" collapsed="false">
      <c r="A10" s="0" t="s">
        <v>125</v>
      </c>
      <c r="C10" s="0" t="n">
        <f aca="false">-C6*C9/100</f>
        <v>-7916.834805</v>
      </c>
      <c r="D10" s="0" t="n">
        <f aca="false">-D6*D9/100</f>
        <v>-8866.8549816</v>
      </c>
      <c r="E10" s="0" t="n">
        <f aca="false">-E6*E9/100</f>
        <v>-9842.209029576</v>
      </c>
      <c r="F10" s="0" t="n">
        <f aca="false">-F6*F9/100</f>
        <v>-10826.4299325336</v>
      </c>
      <c r="G10" s="0" t="n">
        <f aca="false">-G6*G9/100</f>
        <v>-11800.8086264616</v>
      </c>
      <c r="H10" s="0" t="n">
        <f aca="false">-H6*H9/100</f>
        <v>-12744.8733165786</v>
      </c>
      <c r="I10" s="0" t="n">
        <f aca="false">-I6*I9/100</f>
        <v>-13637.0144487391</v>
      </c>
      <c r="J10" s="0" t="n">
        <f aca="false">-J6*J9/100</f>
        <v>-14455.2353156634</v>
      </c>
      <c r="K10" s="0" t="n">
        <f aca="false">-K6*K9/100</f>
        <v>-15177.9970814466</v>
      </c>
      <c r="L10" s="0" t="n">
        <f aca="false">-L6*L9/100</f>
        <v>-15785.1169647044</v>
      </c>
    </row>
    <row r="11" customFormat="false" ht="15" hidden="false" customHeight="false" outlineLevel="0" collapsed="false">
      <c r="A11" s="0" t="s">
        <v>126</v>
      </c>
      <c r="C11" s="0" t="n">
        <f aca="false">C8+C10+C24</f>
        <v>426309.559045</v>
      </c>
      <c r="D11" s="0" t="n">
        <f aca="false">D8+D10+D24</f>
        <v>531205.2211704</v>
      </c>
      <c r="E11" s="0" t="n">
        <f aca="false">E8+E10+E24</f>
        <v>649287.547193544</v>
      </c>
      <c r="F11" s="0" t="n">
        <f aca="false">F8+F10+F24</f>
        <v>779831.028776738</v>
      </c>
      <c r="G11" s="0" t="n">
        <f aca="false">G8+G10+G24</f>
        <v>903655.860577834</v>
      </c>
      <c r="H11" s="0" t="n">
        <f aca="false">H8+H10+H24</f>
        <v>1014569.15765612</v>
      </c>
      <c r="I11" s="0" t="n">
        <f aca="false">I8+I10+I24</f>
        <v>1126913.28490035</v>
      </c>
      <c r="J11" s="0" t="n">
        <f aca="false">J8+J10+J24</f>
        <v>1216429.95368477</v>
      </c>
      <c r="K11" s="0" t="n">
        <f aca="false">K8+K10+K24</f>
        <v>1277251.451369</v>
      </c>
      <c r="L11" s="0" t="n">
        <f aca="false">L8+L10+L24</f>
        <v>1328341.50942376</v>
      </c>
    </row>
    <row r="12" customFormat="false" ht="15" hidden="false" customHeight="false" outlineLevel="0" collapsed="false">
      <c r="A12" s="0" t="s">
        <v>127</v>
      </c>
      <c r="C12" s="4" t="n">
        <f aca="false">-C6*Assumptions!C45/100</f>
        <v>-69572.18465</v>
      </c>
      <c r="D12" s="4" t="n">
        <f aca="false">-D6*Assumptions!D45/100</f>
        <v>-80607.77256</v>
      </c>
      <c r="E12" s="4" t="n">
        <f aca="false">-E6*Assumptions!E45/100</f>
        <v>-92457.11512632</v>
      </c>
      <c r="F12" s="4" t="n">
        <f aca="false">-F6*Assumptions!F45/100</f>
        <v>-104983.562982144</v>
      </c>
      <c r="G12" s="4" t="n">
        <f aca="false">-G6*Assumptions!G45/100</f>
        <v>-118008.086264616</v>
      </c>
      <c r="H12" s="4" t="n">
        <f aca="false">-H6*Assumptions!H45/100</f>
        <v>-131310.815988991</v>
      </c>
      <c r="I12" s="4" t="n">
        <f aca="false">-I6*Assumptions!I45/100</f>
        <v>-144635.001729051</v>
      </c>
      <c r="J12" s="4" t="n">
        <f aca="false">-J6*Assumptions!J45/100</f>
        <v>-153313.101832794</v>
      </c>
      <c r="K12" s="4" t="n">
        <f aca="false">-K6*Assumptions!K45/100</f>
        <v>-160978.756924433</v>
      </c>
      <c r="L12" s="4" t="n">
        <f aca="false">-L6*Assumptions!L45/100</f>
        <v>-167417.907201411</v>
      </c>
    </row>
    <row r="13" customFormat="false" ht="15" hidden="false" customHeight="false" outlineLevel="0" collapsed="false">
      <c r="A13" s="0" t="s">
        <v>128</v>
      </c>
      <c r="C13" s="0" t="n">
        <f aca="false">C11+C12</f>
        <v>356737.374395</v>
      </c>
      <c r="D13" s="0" t="n">
        <f aca="false">D11+D12</f>
        <v>450597.4486104</v>
      </c>
      <c r="E13" s="0" t="n">
        <f aca="false">E11+E12</f>
        <v>556830.432067224</v>
      </c>
      <c r="F13" s="0" t="n">
        <f aca="false">F11+F12</f>
        <v>674847.465794594</v>
      </c>
      <c r="G13" s="0" t="n">
        <f aca="false">G11+G12</f>
        <v>785647.774313218</v>
      </c>
      <c r="H13" s="0" t="n">
        <f aca="false">H11+H12</f>
        <v>883258.341667126</v>
      </c>
      <c r="I13" s="0" t="n">
        <f aca="false">I11+I12</f>
        <v>982278.283171295</v>
      </c>
      <c r="J13" s="0" t="n">
        <f aca="false">J11+J12</f>
        <v>1063116.85185197</v>
      </c>
      <c r="K13" s="0" t="n">
        <f aca="false">K11+K12</f>
        <v>1116272.69444457</v>
      </c>
      <c r="L13" s="0" t="n">
        <f aca="false">L11+L12</f>
        <v>1160923.60222235</v>
      </c>
    </row>
    <row r="14" customFormat="false" ht="15" hidden="false" customHeight="false" outlineLevel="0" collapsed="false">
      <c r="A14" s="0" t="s">
        <v>114</v>
      </c>
      <c r="C14" s="4" t="n">
        <f aca="false">Assumptions!C47</f>
        <v>33</v>
      </c>
      <c r="D14" s="4" t="n">
        <f aca="false">Assumptions!D47</f>
        <v>32</v>
      </c>
      <c r="E14" s="4" t="n">
        <f aca="false">Assumptions!E47</f>
        <v>31</v>
      </c>
      <c r="F14" s="4" t="n">
        <f aca="false">Assumptions!F47</f>
        <v>30</v>
      </c>
      <c r="G14" s="4" t="n">
        <f aca="false">Assumptions!G47</f>
        <v>29</v>
      </c>
      <c r="H14" s="4" t="n">
        <f aca="false">Assumptions!H47</f>
        <v>29</v>
      </c>
      <c r="I14" s="4" t="n">
        <f aca="false">Assumptions!I47</f>
        <v>29</v>
      </c>
      <c r="J14" s="4" t="n">
        <f aca="false">Assumptions!J47</f>
        <v>29</v>
      </c>
      <c r="K14" s="4" t="n">
        <f aca="false">Assumptions!K47</f>
        <v>29</v>
      </c>
      <c r="L14" s="4" t="n">
        <f aca="false">Assumptions!L47</f>
        <v>29</v>
      </c>
    </row>
    <row r="15" customFormat="false" ht="15" hidden="false" customHeight="false" outlineLevel="0" collapsed="false">
      <c r="A15" s="0" t="s">
        <v>129</v>
      </c>
      <c r="C15" s="0" t="n">
        <f aca="false">C13-MAX(0,C13)*C14/100</f>
        <v>239014.04084465</v>
      </c>
      <c r="D15" s="0" t="n">
        <f aca="false">D13-MAX(0,D13)*D14/100</f>
        <v>306406.265055072</v>
      </c>
      <c r="E15" s="0" t="n">
        <f aca="false">E13-MAX(0,E13)*E14/100</f>
        <v>384212.998126384</v>
      </c>
      <c r="F15" s="0" t="n">
        <f aca="false">F13-MAX(0,F13)*F14/100</f>
        <v>472393.226056216</v>
      </c>
      <c r="G15" s="0" t="n">
        <f aca="false">G13-MAX(0,G13)*G14/100</f>
        <v>557809.919762385</v>
      </c>
      <c r="H15" s="0" t="n">
        <f aca="false">H13-MAX(0,H13)*H14/100</f>
        <v>627113.422583659</v>
      </c>
      <c r="I15" s="0" t="n">
        <f aca="false">I13-MAX(0,I13)*I14/100</f>
        <v>697417.58105162</v>
      </c>
      <c r="J15" s="0" t="n">
        <f aca="false">J13-MAX(0,J13)*J14/100</f>
        <v>754812.9648149</v>
      </c>
      <c r="K15" s="0" t="n">
        <f aca="false">K13-MAX(0,K13)*K14/100</f>
        <v>792553.613055645</v>
      </c>
      <c r="L15" s="0" t="n">
        <f aca="false">L13-MAX(0,L13)*L14/100</f>
        <v>824255.757577871</v>
      </c>
    </row>
    <row r="16" customFormat="false" ht="15" hidden="false" customHeight="false" outlineLevel="0" collapsed="false">
      <c r="A16" s="0" t="s">
        <v>130</v>
      </c>
      <c r="C16" s="0" t="n">
        <f aca="false">-C12</f>
        <v>69572.18465</v>
      </c>
      <c r="D16" s="0" t="n">
        <f aca="false">-D12</f>
        <v>80607.77256</v>
      </c>
      <c r="E16" s="0" t="n">
        <f aca="false">-E12</f>
        <v>92457.11512632</v>
      </c>
      <c r="F16" s="0" t="n">
        <f aca="false">-F12</f>
        <v>104983.562982144</v>
      </c>
      <c r="G16" s="0" t="n">
        <f aca="false">-G12</f>
        <v>118008.086264616</v>
      </c>
      <c r="H16" s="0" t="n">
        <f aca="false">-H12</f>
        <v>131310.815988991</v>
      </c>
      <c r="I16" s="0" t="n">
        <f aca="false">-I12</f>
        <v>144635.001729051</v>
      </c>
      <c r="J16" s="0" t="n">
        <f aca="false">-J12</f>
        <v>153313.101832794</v>
      </c>
      <c r="K16" s="0" t="n">
        <f aca="false">-K12</f>
        <v>160978.756924433</v>
      </c>
      <c r="L16" s="0" t="n">
        <f aca="false">-L12</f>
        <v>167417.907201411</v>
      </c>
    </row>
    <row r="17" customFormat="false" ht="15" hidden="false" customHeight="false" outlineLevel="0" collapsed="false">
      <c r="A17" s="0" t="s">
        <v>131</v>
      </c>
      <c r="C17" s="4" t="n">
        <f aca="false">-C6*Assumptions!C46/100</f>
        <v>-155937.65525</v>
      </c>
      <c r="D17" s="4" t="n">
        <f aca="false">-D6*Assumptions!D46/100</f>
        <v>-174650.17388</v>
      </c>
      <c r="E17" s="4" t="n">
        <f aca="false">-E6*Assumptions!E46/100</f>
        <v>-178949.2550832</v>
      </c>
      <c r="F17" s="4" t="n">
        <f aca="false">-F6*Assumptions!F46/100</f>
        <v>-180440.49887556</v>
      </c>
      <c r="G17" s="4" t="n">
        <f aca="false">-G6*Assumptions!G46/100</f>
        <v>-178800.130703964</v>
      </c>
      <c r="H17" s="4" t="n">
        <f aca="false">-H6*Assumptions!H46/100</f>
        <v>-193104.141160281</v>
      </c>
      <c r="I17" s="4" t="n">
        <f aca="false">-I6*Assumptions!I46/100</f>
        <v>-185959.287937351</v>
      </c>
      <c r="J17" s="4" t="n">
        <f aca="false">-J6*Assumptions!J46/100</f>
        <v>-197116.845213592</v>
      </c>
      <c r="K17" s="4" t="n">
        <f aca="false">-K6*Assumptions!K46/100</f>
        <v>-206972.687474271</v>
      </c>
      <c r="L17" s="4" t="n">
        <f aca="false">-L6*Assumptions!L46/100</f>
        <v>-215251.594973242</v>
      </c>
    </row>
    <row r="18" customFormat="false" ht="15" hidden="false" customHeight="false" outlineLevel="0" collapsed="false">
      <c r="A18" s="0" t="s">
        <v>132</v>
      </c>
      <c r="C18" s="4" t="n">
        <f aca="false">(C6-B6)*Assumptions!$B$51/100</f>
        <v>-68998.9624999999</v>
      </c>
      <c r="D18" s="4" t="n">
        <f aca="false">(D6-C6)*Assumptions!$B$51/100</f>
        <v>-71971.2255000001</v>
      </c>
      <c r="E18" s="4" t="n">
        <f aca="false">(E6-D6)*Assumptions!$B$51/100</f>
        <v>-73890.4581800001</v>
      </c>
      <c r="F18" s="4" t="n">
        <f aca="false">(F6-E6)*Assumptions!$B$51/100</f>
        <v>-74562.1896180001</v>
      </c>
      <c r="G18" s="4" t="n">
        <f aca="false">(G6-F6)*Assumptions!$B$51/100</f>
        <v>-73816.5677218201</v>
      </c>
      <c r="H18" s="4" t="n">
        <f aca="false">(H6-G6)*Assumptions!$B$51/100</f>
        <v>-71520.0522815856</v>
      </c>
      <c r="I18" s="4" t="n">
        <f aca="false">(I6-H6)*Assumptions!$B$51/100</f>
        <v>-67586.4494060985</v>
      </c>
      <c r="J18" s="4" t="n">
        <f aca="false">(J6-I6)*Assumptions!$B$51/100</f>
        <v>-61986.4293124503</v>
      </c>
      <c r="K18" s="4" t="n">
        <f aca="false">(K6-J6)*Assumptions!$B$51/100</f>
        <v>-54754.6792259978</v>
      </c>
      <c r="L18" s="4" t="n">
        <f aca="false">(L6-K6)*Assumptions!$B$51/100</f>
        <v>-45993.9305498381</v>
      </c>
    </row>
    <row r="19" customFormat="false" ht="15" hidden="false" customHeight="false" outlineLevel="0" collapsed="false">
      <c r="A19" s="0" t="s">
        <v>133</v>
      </c>
      <c r="C19" s="0" t="n">
        <f aca="false">C15+C16+C17+C18</f>
        <v>83649.6077446501</v>
      </c>
      <c r="D19" s="0" t="n">
        <f aca="false">D15+D16+D17+D18</f>
        <v>140392.638235072</v>
      </c>
      <c r="E19" s="0" t="n">
        <f aca="false">E15+E16+E17+E18</f>
        <v>223830.399989504</v>
      </c>
      <c r="F19" s="0" t="n">
        <f aca="false">F15+F16+F17+F18</f>
        <v>322374.1005448</v>
      </c>
      <c r="G19" s="0" t="n">
        <f aca="false">G15+G16+G17+G18</f>
        <v>423201.307601217</v>
      </c>
      <c r="H19" s="0" t="n">
        <f aca="false">H15+H16+H17+H18</f>
        <v>493800.045130784</v>
      </c>
      <c r="I19" s="0" t="n">
        <f aca="false">I15+I16+I17+I18</f>
        <v>588506.845437221</v>
      </c>
      <c r="J19" s="0" t="n">
        <f aca="false">J15+J16+J17+J18</f>
        <v>649022.792121652</v>
      </c>
      <c r="K19" s="0" t="n">
        <f aca="false">K15+K16+K17+K18</f>
        <v>691805.00327981</v>
      </c>
      <c r="L19" s="0" t="n">
        <f aca="false">L15+L16+L17+L18</f>
        <v>730428.139256201</v>
      </c>
    </row>
    <row r="20" customFormat="false" ht="15" hidden="false" customHeight="false" outlineLevel="0" collapsed="false">
      <c r="A20" s="0" t="s">
        <v>134</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135</v>
      </c>
      <c r="C21" s="0" t="n">
        <f aca="false">C19*C20</f>
        <v>78177.203499673</v>
      </c>
      <c r="D21" s="0" t="n">
        <f aca="false">D19*D20</f>
        <v>122624.367398962</v>
      </c>
      <c r="E21" s="0" t="n">
        <f aca="false">E19*E20</f>
        <v>182712.280295063</v>
      </c>
      <c r="F21" s="0" t="n">
        <f aca="false">F19*F20</f>
        <v>245937.657793755</v>
      </c>
      <c r="G21" s="0" t="n">
        <f aca="false">G19*G20</f>
        <v>301736.683459084</v>
      </c>
      <c r="H21" s="0" t="n">
        <f aca="false">H19*H20</f>
        <v>329039.820193141</v>
      </c>
      <c r="I21" s="0" t="n">
        <f aca="false">I19*I20</f>
        <v>366492.486093344</v>
      </c>
      <c r="J21" s="0" t="n">
        <f aca="false">J19*J20</f>
        <v>377737.174085023</v>
      </c>
      <c r="K21" s="0" t="n">
        <f aca="false">K19*K20</f>
        <v>376296.084572425</v>
      </c>
      <c r="L21" s="0" t="n">
        <f aca="false">L19*L20</f>
        <v>371312.627546169</v>
      </c>
    </row>
    <row r="23" customFormat="false" ht="15" hidden="false" customHeight="false" outlineLevel="0" collapsed="false">
      <c r="A23" s="0" t="s">
        <v>111</v>
      </c>
      <c r="C23" s="4" t="n">
        <f aca="false">Assumptions!C44</f>
        <v>0.9</v>
      </c>
      <c r="D23" s="4" t="n">
        <f aca="false">Assumptions!D44</f>
        <v>0.9</v>
      </c>
      <c r="E23" s="4" t="n">
        <f aca="false">Assumptions!E44</f>
        <v>0.9</v>
      </c>
      <c r="F23" s="4" t="n">
        <f aca="false">Assumptions!F44</f>
        <v>0.9</v>
      </c>
      <c r="G23" s="4" t="n">
        <f aca="false">Assumptions!G44</f>
        <v>0.9</v>
      </c>
      <c r="H23" s="4" t="n">
        <f aca="false">Assumptions!H44</f>
        <v>0.9</v>
      </c>
      <c r="I23" s="4" t="n">
        <f aca="false">Assumptions!I44</f>
        <v>0.9</v>
      </c>
      <c r="J23" s="4" t="n">
        <f aca="false">Assumptions!J44</f>
        <v>0.9</v>
      </c>
      <c r="K23" s="4" t="n">
        <f aca="false">Assumptions!K44</f>
        <v>0.9</v>
      </c>
      <c r="L23" s="4" t="n">
        <f aca="false">Assumptions!L44</f>
        <v>0.9</v>
      </c>
    </row>
    <row r="24" customFormat="false" ht="15" hidden="false" customHeight="false" outlineLevel="0" collapsed="false">
      <c r="A24" s="0" t="s">
        <v>136</v>
      </c>
      <c r="C24" s="0" t="n">
        <f aca="false">-C6*C23/100</f>
        <v>-21591.36765</v>
      </c>
      <c r="D24" s="0" t="n">
        <f aca="false">-D6*D23/100</f>
        <v>-24182.331768</v>
      </c>
      <c r="E24" s="0" t="n">
        <f aca="false">-E6*E23/100</f>
        <v>-26842.38826248</v>
      </c>
      <c r="F24" s="0" t="n">
        <f aca="false">-F6*F23/100</f>
        <v>-29526.627088728</v>
      </c>
      <c r="G24" s="0" t="n">
        <f aca="false">-G6*G23/100</f>
        <v>-32184.0235267135</v>
      </c>
      <c r="H24" s="0" t="n">
        <f aca="false">-H6*H23/100</f>
        <v>-34758.7454088506</v>
      </c>
      <c r="I24" s="0" t="n">
        <f aca="false">-I6*I23/100</f>
        <v>-37191.8575874702</v>
      </c>
      <c r="J24" s="0" t="n">
        <f aca="false">-J6*J23/100</f>
        <v>-39423.3690427184</v>
      </c>
      <c r="K24" s="0" t="n">
        <f aca="false">-K6*K23/100</f>
        <v>-41394.5374948543</v>
      </c>
      <c r="L24" s="0" t="n">
        <f aca="false">-L6*L23/100</f>
        <v>-43050.3189946485</v>
      </c>
    </row>
    <row r="26" customFormat="false" ht="15" hidden="false" customHeight="false" outlineLevel="0" collapsed="false">
      <c r="A26" s="2" t="s">
        <v>137</v>
      </c>
    </row>
    <row r="27" customFormat="false" ht="15" hidden="false" customHeight="false" outlineLevel="0" collapsed="false">
      <c r="A27" s="0" t="s">
        <v>115</v>
      </c>
      <c r="B27" s="4" t="n">
        <f aca="false">Assumptions!$B$48</f>
        <v>7</v>
      </c>
    </row>
    <row r="28" customFormat="false" ht="15" hidden="false" customHeight="false" outlineLevel="0" collapsed="false">
      <c r="A28" s="0" t="s">
        <v>116</v>
      </c>
      <c r="B28" s="4" t="n">
        <f aca="false">Assumptions!$B$49</f>
        <v>2.5</v>
      </c>
    </row>
    <row r="29" customFormat="false" ht="15" hidden="false" customHeight="false" outlineLevel="0" collapsed="false">
      <c r="A29" s="0" t="s">
        <v>117</v>
      </c>
      <c r="B29" s="4" t="n">
        <f aca="false">Assumptions!$B$50</f>
        <v>20</v>
      </c>
    </row>
    <row r="30" customFormat="false" ht="15" hidden="false" customHeight="false" outlineLevel="0" collapsed="false">
      <c r="A30" s="0" t="s">
        <v>138</v>
      </c>
      <c r="B30" s="0" t="n">
        <f aca="false">SUM(C21:L21)</f>
        <v>2752066.38493664</v>
      </c>
    </row>
    <row r="31" customFormat="false" ht="15" hidden="false" customHeight="false" outlineLevel="0" collapsed="false">
      <c r="A31" s="0" t="s">
        <v>139</v>
      </c>
      <c r="B31" s="0" t="n">
        <f aca="false">L19</f>
        <v>730428.139256201</v>
      </c>
    </row>
    <row r="32" customFormat="false" ht="15" hidden="false" customHeight="false" outlineLevel="0" collapsed="false">
      <c r="A32" s="0" t="s">
        <v>140</v>
      </c>
      <c r="B32" s="0" t="n">
        <f aca="false">IF(B27&gt;B28,B31*(1+B28/100)/((B27-B28)/100),B31*B29)</f>
        <v>16637529.8386135</v>
      </c>
    </row>
    <row r="33" customFormat="false" ht="15" hidden="false" customHeight="false" outlineLevel="0" collapsed="false">
      <c r="A33" s="0" t="s">
        <v>141</v>
      </c>
      <c r="B33" s="0" t="n">
        <f aca="false">B31*B29</f>
        <v>14608562.785124</v>
      </c>
    </row>
    <row r="34" customFormat="false" ht="15" hidden="false" customHeight="false" outlineLevel="0" collapsed="false">
      <c r="A34" s="0" t="s">
        <v>142</v>
      </c>
      <c r="B34" s="0" t="n">
        <f aca="false">MAX(0,MIN(B32,B33))</f>
        <v>14608562.785124</v>
      </c>
    </row>
    <row r="35" customFormat="false" ht="15" hidden="false" customHeight="false" outlineLevel="0" collapsed="false">
      <c r="A35" s="0" t="s">
        <v>143</v>
      </c>
      <c r="B35" s="0" t="n">
        <f aca="false">B34/(1+B27/100)^L4</f>
        <v>7426252.55092338</v>
      </c>
    </row>
    <row r="36" customFormat="false" ht="15" hidden="false" customHeight="false" outlineLevel="0" collapsed="false">
      <c r="A36" s="0" t="s">
        <v>144</v>
      </c>
      <c r="B36" s="0" t="n">
        <f aca="false">B30+B35</f>
        <v>10178318.93586</v>
      </c>
    </row>
    <row r="37" customFormat="false" ht="15" hidden="false" customHeight="false" outlineLevel="0" collapsed="false">
      <c r="A37" s="0" t="s">
        <v>145</v>
      </c>
      <c r="B37" s="0" t="n">
        <f aca="false">B36+Assumptions!$B$5-Assumptions!$B$4</f>
        <v>10665452.93586</v>
      </c>
    </row>
    <row r="38" customFormat="false" ht="15" hidden="false" customHeight="false" outlineLevel="0" collapsed="false">
      <c r="A38" s="0" t="s">
        <v>146</v>
      </c>
      <c r="B38" s="0" t="n">
        <f aca="false">B37/Assumptions!$B$3*Assumptions!$B$10</f>
        <v>5850.49530217225</v>
      </c>
    </row>
    <row r="39" customFormat="false" ht="15" hidden="false" customHeight="false" outlineLevel="0" collapsed="false">
      <c r="A39" s="0" t="s">
        <v>147</v>
      </c>
      <c r="B39" s="4" t="n">
        <f aca="false">B38/Assumptions!$B$2-1</f>
        <v>1.12436285481926</v>
      </c>
    </row>
    <row r="41" customFormat="false" ht="15" hidden="false" customHeight="false" outlineLevel="0" collapsed="false">
      <c r="A41" s="0" t="s">
        <v>148</v>
      </c>
      <c r="B41" s="0" t="n">
        <f aca="false">SUMPRODUCT(-C10:L10/(1+$B$27/100)^C4:L4)</f>
        <v>81529.1357339948</v>
      </c>
    </row>
    <row r="42" customFormat="false" ht="15" hidden="false" customHeight="false" outlineLevel="0" collapsed="false">
      <c r="A42" s="0" t="s">
        <v>149</v>
      </c>
      <c r="B42" s="0" t="n">
        <f aca="false">IF(B27&gt;B28,-L10*(1+B28/100)/((B27-B28)/100),-L10*20)/(1+B27/100)^L4</f>
        <v>182776.930247845</v>
      </c>
    </row>
    <row r="43" customFormat="false" ht="15" hidden="false" customHeight="false" outlineLevel="0" collapsed="false">
      <c r="A43" s="0" t="s">
        <v>150</v>
      </c>
      <c r="B43" s="0" t="n">
        <f aca="false">(B37+B41+B42)/Assumptions!$B$3*Assumptions!$B$10</f>
        <v>5995.47943052214</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5989510.74190085</v>
      </c>
    </row>
    <row r="47" customFormat="false" ht="15" hidden="false" customHeight="false" outlineLevel="0" collapsed="false">
      <c r="A47" s="0" t="s">
        <v>152</v>
      </c>
      <c r="B47" s="0" t="n">
        <f aca="false">(SUMPRODUCT(C19:L19/(1+B45/100)^C4:L4)+B46/(1+B45/100)^L4+Assumptions!$B$5-Assumptions!$B$4)/Assumptions!$B$3*Assumptions!$B$10</f>
        <v>2036.49922324438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155</v>
      </c>
    </row>
    <row r="3" customFormat="false" ht="15" hidden="false" customHeight="false" outlineLevel="0" collapsed="false">
      <c r="A3" s="2" t="s">
        <v>156</v>
      </c>
      <c r="B3" s="2" t="s">
        <v>157</v>
      </c>
      <c r="C3" s="2" t="s">
        <v>147</v>
      </c>
      <c r="D3" s="2" t="s">
        <v>158</v>
      </c>
      <c r="E3" s="2" t="s">
        <v>150</v>
      </c>
      <c r="F3" s="2" t="s">
        <v>159</v>
      </c>
    </row>
    <row r="4" customFormat="false" ht="15" hidden="false" customHeight="false" outlineLevel="0" collapsed="false">
      <c r="A4" s="0" t="s">
        <v>160</v>
      </c>
      <c r="B4" s="4" t="n">
        <f aca="false">DCF_Bear!$B$38</f>
        <v>1633.91788570329</v>
      </c>
      <c r="C4" s="0" t="n">
        <f aca="false">B4/Assumptions!$B$2-1</f>
        <v>-0.406711007369902</v>
      </c>
      <c r="D4" s="4" t="n">
        <f aca="false">Assumptions!$B$24</f>
        <v>0.25</v>
      </c>
      <c r="E4" s="4" t="n">
        <f aca="false">DCF_Bear!$B$43</f>
        <v>1700.01690306575</v>
      </c>
      <c r="F4" s="4" t="n">
        <f aca="false">DCF_Bear!$B$47</f>
        <v>875.754029226037</v>
      </c>
    </row>
    <row r="5" customFormat="false" ht="15" hidden="false" customHeight="false" outlineLevel="0" collapsed="false">
      <c r="A5" s="0" t="s">
        <v>161</v>
      </c>
      <c r="B5" s="4" t="n">
        <f aca="false">DCF_Base!$B$38</f>
        <v>3772.50724171219</v>
      </c>
      <c r="C5" s="0" t="n">
        <f aca="false">B5/Assumptions!$B$2-1</f>
        <v>0.369828337586127</v>
      </c>
      <c r="D5" s="4" t="n">
        <f aca="false">Assumptions!$B$38</f>
        <v>0.5</v>
      </c>
      <c r="E5" s="4" t="n">
        <f aca="false">DCF_Base!$B$43</f>
        <v>3882.53274602118</v>
      </c>
      <c r="F5" s="4" t="n">
        <f aca="false">DCF_Base!$B$47</f>
        <v>1489.82875814599</v>
      </c>
    </row>
    <row r="6" customFormat="false" ht="15" hidden="false" customHeight="false" outlineLevel="0" collapsed="false">
      <c r="A6" s="0" t="s">
        <v>162</v>
      </c>
      <c r="B6" s="4" t="n">
        <f aca="false">DCF_Bull!$B$38</f>
        <v>5850.49530217225</v>
      </c>
      <c r="C6" s="0" t="n">
        <f aca="false">B6/Assumptions!$B$2-1</f>
        <v>1.12436285481926</v>
      </c>
      <c r="D6" s="4" t="n">
        <f aca="false">Assumptions!$B$52</f>
        <v>0.25</v>
      </c>
      <c r="E6" s="4" t="n">
        <f aca="false">DCF_Bull!$B$43</f>
        <v>5995.47943052214</v>
      </c>
      <c r="F6" s="4" t="n">
        <f aca="false">DCF_Bull!$B$47</f>
        <v>2036.49922324438</v>
      </c>
    </row>
    <row r="8" customFormat="false" ht="15" hidden="false" customHeight="false" outlineLevel="0" collapsed="false">
      <c r="A8" s="0" t="s">
        <v>163</v>
      </c>
      <c r="B8" s="0" t="n">
        <f aca="false">SUMPRODUCT(B4:B6,D4:D6)</f>
        <v>3757.35691782498</v>
      </c>
    </row>
    <row r="9" customFormat="false" ht="15" hidden="false" customHeight="false" outlineLevel="0" collapsed="false">
      <c r="A9" s="0" t="s">
        <v>164</v>
      </c>
      <c r="B9" s="0" t="n">
        <f aca="false">SUMPRODUCT(E4:E6,D4:D6)</f>
        <v>3865.14045640756</v>
      </c>
    </row>
    <row r="10" customFormat="false" ht="15" hidden="false" customHeight="false" outlineLevel="0" collapsed="false">
      <c r="A10" s="0" t="s">
        <v>165</v>
      </c>
      <c r="B10" s="0" t="n">
        <f aca="false">1-Assumptions!$B$2/B8</f>
        <v>0.267037957737003</v>
      </c>
    </row>
    <row r="11" customFormat="false" ht="15" hidden="false" customHeight="false" outlineLevel="0" collapsed="false">
      <c r="A11" s="0" t="s">
        <v>166</v>
      </c>
      <c r="B11" s="0" t="n">
        <f aca="false">IF(ABS(B9-B8)&gt;0.01*ABS(B8),(Assumptions!$B$2-B8)/(B9-B8)*100,"n/a")</f>
        <v>-930.899960253421</v>
      </c>
    </row>
    <row r="12" customFormat="false" ht="15" hidden="false" customHeight="false" outlineLevel="0" collapsed="false">
      <c r="A12" s="0" t="s">
        <v>167</v>
      </c>
      <c r="B12" s="0" t="n">
        <f aca="false">SUMPRODUCT(F4:F6,D4:D6)</f>
        <v>1472.9776921906</v>
      </c>
    </row>
    <row r="14" customFormat="false" ht="15" hidden="false" customHeight="false" outlineLevel="0" collapsed="false">
      <c r="A14" s="2" t="s">
        <v>168</v>
      </c>
      <c r="C14" s="0" t="s">
        <v>169</v>
      </c>
    </row>
    <row r="15" customFormat="false" ht="15" hidden="false" customHeight="false" outlineLevel="0" collapsed="false">
      <c r="A15" s="0" t="s">
        <v>170</v>
      </c>
      <c r="B15" s="0" t="n">
        <f aca="false">(SUMPRODUCT(DCF_Base!$C$19:$L$19/(1+$C$15/100)^DCF_Base!$C$4:$L$4)+MAX(0,MIN(IF($C$15&gt;DCF_Base!$B$28,DCF_Base!$L$19*(1+DCF_Base!$B$28/100)/(($C$15-DCF_Base!$B$28)/100),DCF_Base!$L$19*DCF_Base!$B$29),DCF_Base!$L$19*DCF_Base!$B$29))/(1+$C$15/100)^DCF_Base!$L$4+Assumptions!$B$5-Assumptions!$B$4)/Assumptions!$B$3*Assumptions!$B$10</f>
        <v>3772.50724171219</v>
      </c>
      <c r="C15" s="3" t="n">
        <v>7</v>
      </c>
    </row>
    <row r="16" customFormat="false" ht="15" hidden="false" customHeight="false" outlineLevel="0" collapsed="false">
      <c r="A16" s="0" t="s">
        <v>171</v>
      </c>
      <c r="B16" s="0" t="n">
        <f aca="false">(SUMPRODUCT(DCF_Base!$C$19:$L$19/(1+$C$16/100)^DCF_Base!$C$4:$L$4)+MAX(0,MIN(IF($C$16&gt;DCF_Base!$B$28,DCF_Base!$L$19*(1+DCF_Base!$B$28/100)/(($C$16-DCF_Base!$B$28)/100),DCF_Base!$L$19*DCF_Base!$B$29),DCF_Base!$L$19*DCF_Base!$B$29))/(1+$C$16/100)^DCF_Base!$L$4+Assumptions!$B$5-Assumptions!$B$4)/Assumptions!$B$3*Assumptions!$B$10</f>
        <v>2866.61065990185</v>
      </c>
      <c r="C16" s="3" t="n">
        <v>9</v>
      </c>
    </row>
    <row r="17" customFormat="false" ht="15" hidden="false" customHeight="false" outlineLevel="0" collapsed="false">
      <c r="A17" s="0" t="s">
        <v>172</v>
      </c>
      <c r="B17" s="0" t="n">
        <f aca="false">(SUMPRODUCT(DCF_Base!$C$19:$L$19/(1+$C$17/100)^DCF_Base!$C$4:$L$4)+MAX(0,MIN(IF($C$17&gt;DCF_Base!$B$28,DCF_Base!$L$19*(1+DCF_Base!$B$28/100)/(($C$17-DCF_Base!$B$28)/100),DCF_Base!$L$19*DCF_Base!$B$29),DCF_Base!$L$19*DCF_Base!$B$29))/(1+$C$17/100)^DCF_Base!$L$4+Assumptions!$B$5-Assumptions!$B$4)/Assumptions!$B$3*Assumptions!$B$10</f>
        <v>2487.85303819196</v>
      </c>
      <c r="C17" s="3" t="n">
        <v>10</v>
      </c>
    </row>
    <row r="18" customFormat="false" ht="15" hidden="false" customHeight="false" outlineLevel="0" collapsed="false">
      <c r="A18" s="0" t="s">
        <v>173</v>
      </c>
      <c r="B18" s="0" t="n">
        <f aca="false">(SUMPRODUCT(DCF_Base!$C$19:$L$19/(1+$C$18/100)^DCF_Base!$C$4:$L$4)+MAX(0,MIN(IF($C$18&gt;DCF_Base!$B$28,DCF_Base!$L$19*(1+DCF_Base!$B$28/100)/(($C$18-DCF_Base!$B$28)/100),DCF_Base!$L$19*DCF_Base!$B$29),DCF_Base!$L$19*DCF_Base!$B$29))/(1+$C$18/100)^DCF_Base!$L$4+Assumptions!$B$5-Assumptions!$B$4)/Assumptions!$B$3*Assumptions!$B$10</f>
        <v>2195.52979775799</v>
      </c>
      <c r="C18" s="3" t="n">
        <v>11</v>
      </c>
    </row>
    <row r="19" customFormat="false" ht="15" hidden="false" customHeight="false" outlineLevel="0" collapsed="false">
      <c r="A19" s="0" t="s">
        <v>174</v>
      </c>
      <c r="B19" s="0" t="n">
        <f aca="false">(SUMPRODUCT(DCF_Base!$C$19:$L$19/(1+$C$19/100)^DCF_Base!$C$4:$L$4)+MAX(0,MIN(IF($C$19&gt;DCF_Base!$B$28,DCF_Base!$L$19*(1+DCF_Base!$B$28/100)/(($C$19-DCF_Base!$B$28)/100),DCF_Base!$L$19*DCF_Base!$B$29),DCF_Base!$L$19*DCF_Base!$B$29))/(1+$C$19/100)^DCF_Base!$L$4+Assumptions!$B$5-Assumptions!$B$4)/Assumptions!$B$3*Assumptions!$B$10</f>
        <v>1963.58536205796</v>
      </c>
      <c r="C19" s="3" t="n">
        <v>12</v>
      </c>
    </row>
    <row r="20" customFormat="false" ht="15" hidden="false" customHeight="false" outlineLevel="0" collapsed="false">
      <c r="A20" s="0" t="s">
        <v>175</v>
      </c>
      <c r="B20" s="0" t="n">
        <f aca="false">(SUMPRODUCT(DCF_Base!$C$19:$L$19/(1+$C$20/100)^DCF_Base!$C$4:$L$4)+MAX(0,MIN(IF($C$20&gt;DCF_Base!$B$28,DCF_Base!$L$19*(1+DCF_Base!$B$28/100)/(($C$20-DCF_Base!$B$28)/100),DCF_Base!$L$19*DCF_Base!$B$29),DCF_Base!$L$19*DCF_Base!$B$29))/(1+$C$20/100)^DCF_Base!$L$4+Assumptions!$B$5-Assumptions!$B$4)/Assumptions!$B$3*Assumptions!$B$10</f>
        <v>1489.82875814599</v>
      </c>
      <c r="C20" s="3" t="n">
        <v>15</v>
      </c>
    </row>
    <row r="22" customFormat="false" ht="15" hidden="false" customHeight="false" outlineLevel="0" collapsed="false">
      <c r="A22" s="2" t="s">
        <v>176</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4412.20293116634</v>
      </c>
      <c r="C24" s="0" t="n">
        <f aca="false">(SUMPRODUCT(DCF_Base!$C$19:$L$19/(1+$A$24/100)^DCF_Base!$C$4:$L$4)+MAX(0,MIN(IF($A$24&gt;$C$23,DCF_Base!$L$19*(1+$C$23/100)/(($A$24-$C$23)/100),DCF_Base!$L$19*DCF_Base!$B$29),DCF_Base!$L$19*DCF_Base!$B$29))/(1+$A$24/100)^DCF_Base!$L$4+Assumptions!$B$5-Assumptions!$B$4)/Assumptions!$B$3*Assumptions!$B$10</f>
        <v>4412.20293116634</v>
      </c>
      <c r="D24" s="0" t="n">
        <f aca="false">(SUMPRODUCT(DCF_Base!$C$19:$L$19/(1+$A$24/100)^DCF_Base!$C$4:$L$4)+MAX(0,MIN(IF($A$24&gt;$D$23,DCF_Base!$L$19*(1+$D$23/100)/(($A$24-$D$23)/100),DCF_Base!$L$19*DCF_Base!$B$29),DCF_Base!$L$19*DCF_Base!$B$29))/(1+$A$24/100)^DCF_Base!$L$4+Assumptions!$B$5-Assumptions!$B$4)/Assumptions!$B$3*Assumptions!$B$10</f>
        <v>4412.20293116634</v>
      </c>
      <c r="E24" s="0" t="n">
        <f aca="false">(SUMPRODUCT(DCF_Base!$C$19:$L$19/(1+$A$24/100)^DCF_Base!$C$4:$L$4)+MAX(0,MIN(IF($A$24&gt;$E$23,DCF_Base!$L$19*(1+$E$23/100)/(($A$24-$E$23)/100),DCF_Base!$L$19*DCF_Base!$B$29),DCF_Base!$L$19*DCF_Base!$B$29))/(1+$A$24/100)^DCF_Base!$L$4+Assumptions!$B$5-Assumptions!$B$4)/Assumptions!$B$3*Assumptions!$B$10</f>
        <v>4412.20293116634</v>
      </c>
      <c r="F24" s="0" t="n">
        <f aca="false">(SUMPRODUCT(DCF_Base!$C$19:$L$19/(1+$A$24/100)^DCF_Base!$C$4:$L$4)+MAX(0,MIN(IF($A$24&gt;$F$23,DCF_Base!$L$19*(1+$F$23/100)/(($A$24-$F$23)/100),DCF_Base!$L$19*DCF_Base!$B$29),DCF_Base!$L$19*DCF_Base!$B$29))/(1+$A$24/100)^DCF_Base!$L$4+Assumptions!$B$5-Assumptions!$B$4)/Assumptions!$B$3*Assumptions!$B$10</f>
        <v>4412.20293116634</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4076.64728584203</v>
      </c>
      <c r="C25" s="0" t="n">
        <f aca="false">(SUMPRODUCT(DCF_Base!$C$19:$L$19/(1+$A$25/100)^DCF_Base!$C$4:$L$4)+MAX(0,MIN(IF($A$25&gt;$C$23,DCF_Base!$L$19*(1+$C$23/100)/(($A$25-$C$23)/100),DCF_Base!$L$19*DCF_Base!$B$29),DCF_Base!$L$19*DCF_Base!$B$29))/(1+$A$25/100)^DCF_Base!$L$4+Assumptions!$B$5-Assumptions!$B$4)/Assumptions!$B$3*Assumptions!$B$10</f>
        <v>4076.64728584203</v>
      </c>
      <c r="D25" s="0" t="n">
        <f aca="false">(SUMPRODUCT(DCF_Base!$C$19:$L$19/(1+$A$25/100)^DCF_Base!$C$4:$L$4)+MAX(0,MIN(IF($A$25&gt;$D$23,DCF_Base!$L$19*(1+$D$23/100)/(($A$25-$D$23)/100),DCF_Base!$L$19*DCF_Base!$B$29),DCF_Base!$L$19*DCF_Base!$B$29))/(1+$A$25/100)^DCF_Base!$L$4+Assumptions!$B$5-Assumptions!$B$4)/Assumptions!$B$3*Assumptions!$B$10</f>
        <v>4076.64728584203</v>
      </c>
      <c r="E25" s="0" t="n">
        <f aca="false">(SUMPRODUCT(DCF_Base!$C$19:$L$19/(1+$A$25/100)^DCF_Base!$C$4:$L$4)+MAX(0,MIN(IF($A$25&gt;$E$23,DCF_Base!$L$19*(1+$E$23/100)/(($A$25-$E$23)/100),DCF_Base!$L$19*DCF_Base!$B$29),DCF_Base!$L$19*DCF_Base!$B$29))/(1+$A$25/100)^DCF_Base!$L$4+Assumptions!$B$5-Assumptions!$B$4)/Assumptions!$B$3*Assumptions!$B$10</f>
        <v>4076.64728584203</v>
      </c>
      <c r="F25" s="0" t="n">
        <f aca="false">(SUMPRODUCT(DCF_Base!$C$19:$L$19/(1+$A$25/100)^DCF_Base!$C$4:$L$4)+MAX(0,MIN(IF($A$25&gt;$F$23,DCF_Base!$L$19*(1+$F$23/100)/(($A$25-$F$23)/100),DCF_Base!$L$19*DCF_Base!$B$29),DCF_Base!$L$19*DCF_Base!$B$29))/(1+$A$25/100)^DCF_Base!$L$4+Assumptions!$B$5-Assumptions!$B$4)/Assumptions!$B$3*Assumptions!$B$10</f>
        <v>4076.64728584203</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3617.20954523589</v>
      </c>
      <c r="C26" s="0" t="n">
        <f aca="false">(SUMPRODUCT(DCF_Base!$C$19:$L$19/(1+$A$26/100)^DCF_Base!$C$4:$L$4)+MAX(0,MIN(IF($A$26&gt;$C$23,DCF_Base!$L$19*(1+$C$23/100)/(($A$26-$C$23)/100),DCF_Base!$L$19*DCF_Base!$B$29),DCF_Base!$L$19*DCF_Base!$B$29))/(1+$A$26/100)^DCF_Base!$L$4+Assumptions!$B$5-Assumptions!$B$4)/Assumptions!$B$3*Assumptions!$B$10</f>
        <v>3772.50724171219</v>
      </c>
      <c r="D26" s="0" t="n">
        <f aca="false">(SUMPRODUCT(DCF_Base!$C$19:$L$19/(1+$A$26/100)^DCF_Base!$C$4:$L$4)+MAX(0,MIN(IF($A$26&gt;$D$23,DCF_Base!$L$19*(1+$D$23/100)/(($A$26-$D$23)/100),DCF_Base!$L$19*DCF_Base!$B$29),DCF_Base!$L$19*DCF_Base!$B$29))/(1+$A$26/100)^DCF_Base!$L$4+Assumptions!$B$5-Assumptions!$B$4)/Assumptions!$B$3*Assumptions!$B$10</f>
        <v>3772.50724171219</v>
      </c>
      <c r="E26" s="0" t="n">
        <f aca="false">(SUMPRODUCT(DCF_Base!$C$19:$L$19/(1+$A$26/100)^DCF_Base!$C$4:$L$4)+MAX(0,MIN(IF($A$26&gt;$E$23,DCF_Base!$L$19*(1+$E$23/100)/(($A$26-$E$23)/100),DCF_Base!$L$19*DCF_Base!$B$29),DCF_Base!$L$19*DCF_Base!$B$29))/(1+$A$26/100)^DCF_Base!$L$4+Assumptions!$B$5-Assumptions!$B$4)/Assumptions!$B$3*Assumptions!$B$10</f>
        <v>3772.50724171219</v>
      </c>
      <c r="F26" s="0" t="n">
        <f aca="false">(SUMPRODUCT(DCF_Base!$C$19:$L$19/(1+$A$26/100)^DCF_Base!$C$4:$L$4)+MAX(0,MIN(IF($A$26&gt;$F$23,DCF_Base!$L$19*(1+$F$23/100)/(($A$26-$F$23)/100),DCF_Base!$L$19*DCF_Base!$B$29),DCF_Base!$L$19*DCF_Base!$B$29))/(1+$A$26/100)^DCF_Base!$L$4+Assumptions!$B$5-Assumptions!$B$4)/Assumptions!$B$3*Assumptions!$B$10</f>
        <v>3772.50724171219</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3063.36162225482</v>
      </c>
      <c r="C27" s="0" t="n">
        <f aca="false">(SUMPRODUCT(DCF_Base!$C$19:$L$19/(1+$A$27/100)^DCF_Base!$C$4:$L$4)+MAX(0,MIN(IF($A$27&gt;$C$23,DCF_Base!$L$19*(1+$C$23/100)/(($A$27-$C$23)/100),DCF_Base!$L$19*DCF_Base!$B$29),DCF_Base!$L$19*DCF_Base!$B$29))/(1+$A$27/100)^DCF_Base!$L$4+Assumptions!$B$5-Assumptions!$B$4)/Assumptions!$B$3*Assumptions!$B$10</f>
        <v>3207.30802274496</v>
      </c>
      <c r="D27" s="0" t="n">
        <f aca="false">(SUMPRODUCT(DCF_Base!$C$19:$L$19/(1+$A$27/100)^DCF_Base!$C$4:$L$4)+MAX(0,MIN(IF($A$27&gt;$D$23,DCF_Base!$L$19*(1+$D$23/100)/(($A$27-$D$23)/100),DCF_Base!$L$19*DCF_Base!$B$29),DCF_Base!$L$19*DCF_Base!$B$29))/(1+$A$27/100)^DCF_Base!$L$4+Assumptions!$B$5-Assumptions!$B$4)/Assumptions!$B$3*Assumptions!$B$10</f>
        <v>3375.24548998345</v>
      </c>
      <c r="E27" s="0" t="n">
        <f aca="false">(SUMPRODUCT(DCF_Base!$C$19:$L$19/(1+$A$27/100)^DCF_Base!$C$4:$L$4)+MAX(0,MIN(IF($A$27&gt;$E$23,DCF_Base!$L$19*(1+$E$23/100)/(($A$27-$E$23)/100),DCF_Base!$L$19*DCF_Base!$B$29),DCF_Base!$L$19*DCF_Base!$B$29))/(1+$A$27/100)^DCF_Base!$L$4+Assumptions!$B$5-Assumptions!$B$4)/Assumptions!$B$3*Assumptions!$B$10</f>
        <v>3496.53366076681</v>
      </c>
      <c r="F27" s="0" t="n">
        <f aca="false">(SUMPRODUCT(DCF_Base!$C$19:$L$19/(1+$A$27/100)^DCF_Base!$C$4:$L$4)+MAX(0,MIN(IF($A$27&gt;$F$23,DCF_Base!$L$19*(1+$F$23/100)/(($A$27-$F$23)/100),DCF_Base!$L$19*DCF_Base!$B$29),DCF_Base!$L$19*DCF_Base!$B$29))/(1+$A$27/100)^DCF_Base!$L$4+Assumptions!$B$5-Assumptions!$B$4)/Assumptions!$B$3*Assumptions!$B$10</f>
        <v>3496.53366076681</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2651.31786653235</v>
      </c>
      <c r="C28" s="0" t="n">
        <f aca="false">(SUMPRODUCT(DCF_Base!$C$19:$L$19/(1+$A$28/100)^DCF_Base!$C$4:$L$4)+MAX(0,MIN(IF($A$28&gt;$C$23,DCF_Base!$L$19*(1+$C$23/100)/(($A$28-$C$23)/100),DCF_Base!$L$19*DCF_Base!$B$29),DCF_Base!$L$19*DCF_Base!$B$29))/(1+$A$28/100)^DCF_Base!$L$4+Assumptions!$B$5-Assumptions!$B$4)/Assumptions!$B$3*Assumptions!$B$10</f>
        <v>2751.78783677145</v>
      </c>
      <c r="D28" s="0" t="n">
        <f aca="false">(SUMPRODUCT(DCF_Base!$C$19:$L$19/(1+$A$28/100)^DCF_Base!$C$4:$L$4)+MAX(0,MIN(IF($A$28&gt;$D$23,DCF_Base!$L$19*(1+$D$23/100)/(($A$28-$D$23)/100),DCF_Base!$L$19*DCF_Base!$B$29),DCF_Base!$L$19*DCF_Base!$B$29))/(1+$A$28/100)^DCF_Base!$L$4+Assumptions!$B$5-Assumptions!$B$4)/Assumptions!$B$3*Assumptions!$B$10</f>
        <v>2866.61065990185</v>
      </c>
      <c r="E28" s="0" t="n">
        <f aca="false">(SUMPRODUCT(DCF_Base!$C$19:$L$19/(1+$A$28/100)^DCF_Base!$C$4:$L$4)+MAX(0,MIN(IF($A$28&gt;$E$23,DCF_Base!$L$19*(1+$E$23/100)/(($A$28-$E$23)/100),DCF_Base!$L$19*DCF_Base!$B$29),DCF_Base!$L$19*DCF_Base!$B$29))/(1+$A$28/100)^DCF_Base!$L$4+Assumptions!$B$5-Assumptions!$B$4)/Assumptions!$B$3*Assumptions!$B$10</f>
        <v>2999.09853274462</v>
      </c>
      <c r="F28" s="0" t="n">
        <f aca="false">(SUMPRODUCT(DCF_Base!$C$19:$L$19/(1+$A$28/100)^DCF_Base!$C$4:$L$4)+MAX(0,MIN(IF($A$28&gt;$F$23,DCF_Base!$L$19*(1+$F$23/100)/(($A$28-$F$23)/100),DCF_Base!$L$19*DCF_Base!$B$29),DCF_Base!$L$19*DCF_Base!$B$29))/(1+$A$28/100)^DCF_Base!$L$4+Assumptions!$B$5-Assumptions!$B$4)/Assumptions!$B$3*Assumptions!$B$10</f>
        <v>3153.66771772785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2026-10-31T04:22:45Z</dcterms:created>
  <dc:creator>openpyxl</dc:creator>
  <dc:description/>
  <dc:language>en-NZ</dc:language>
  <cp:lastModifiedBy/>
  <dcterms:modified xsi:type="dcterms:W3CDTF">2026-10-31T04:22:45Z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