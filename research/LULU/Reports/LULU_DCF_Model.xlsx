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s" sheetId="2" r:id="rId2"/>
    <sheet name="Sensitivity" sheetId="3" r:id="rId3"/>
    <sheet name="Historical" sheetId="4" r:id="rId4"/>
    <sheet name="Sanity Check" sheetId="5" r:id="rId5"/>
  </sheets>
  <calcPr calcId="124519" fullCalcOnLoad="1"/>
</workbook>
</file>

<file path=xl/sharedStrings.xml><?xml version="1.0" encoding="utf-8"?>
<sst xmlns="http://schemas.openxmlformats.org/spreadsheetml/2006/main" count="123" uniqueCount="107">
  <si>
    <t>LULU DCF Valuation Model - Base Case</t>
  </si>
  <si>
    <t>Gray cells are INPUTS - adjust to see valuation change</t>
  </si>
  <si>
    <t>KEY INPUTS</t>
  </si>
  <si>
    <t>Current Stock Price</t>
  </si>
  <si>
    <t>Shares Outstanding (M, diluted)</t>
  </si>
  <si>
    <t>Cash &amp; Equivalents (M)</t>
  </si>
  <si>
    <t>Total Debt (M)</t>
  </si>
  <si>
    <t>Net Debt (M)</t>
  </si>
  <si>
    <t>Base Year FCF (FY2025, M)</t>
  </si>
  <si>
    <t>WACC</t>
  </si>
  <si>
    <t>Terminal Growth Rate</t>
  </si>
  <si>
    <t>GROWTH ASSUMPTIONS (Base Case FCF growth)</t>
  </si>
  <si>
    <t>Y1 FY2026</t>
  </si>
  <si>
    <t>Y2 FY2027</t>
  </si>
  <si>
    <t>Y3 FY2028</t>
  </si>
  <si>
    <t>Y4 FY2029</t>
  </si>
  <si>
    <t>Y5 FY2030</t>
  </si>
  <si>
    <t>FCF Growth Rate</t>
  </si>
  <si>
    <t>PROJECTIONS</t>
  </si>
  <si>
    <t>Base FY25</t>
  </si>
  <si>
    <t>Free Cash Flow</t>
  </si>
  <si>
    <t>Discount Factor</t>
  </si>
  <si>
    <t>PV of FCF</t>
  </si>
  <si>
    <t>VALUATION</t>
  </si>
  <si>
    <t>Sum of PV of FCF</t>
  </si>
  <si>
    <t>Terminal FCF (Year 5 x (1+g))</t>
  </si>
  <si>
    <t>Terminal Value</t>
  </si>
  <si>
    <t>PV of Terminal Value</t>
  </si>
  <si>
    <t>Enterprise Value</t>
  </si>
  <si>
    <t>Less: Net Debt</t>
  </si>
  <si>
    <t>Equity Value</t>
  </si>
  <si>
    <t>INTRINSIC VALUE/SHARE</t>
  </si>
  <si>
    <t>Terminal Value % of EV</t>
  </si>
  <si>
    <t>Implied Exit Multiple (TV/FCF Y5)</t>
  </si>
  <si>
    <t>ENTRY PRICE (15% IRR Target)</t>
  </si>
  <si>
    <t>PV of Yrs 1-5 FCF @15%</t>
  </si>
  <si>
    <t>PV of Terminal Value @15%</t>
  </si>
  <si>
    <t>Entry Price (15% CAGR)</t>
  </si>
  <si>
    <t>Upside to Intrinsic Value</t>
  </si>
  <si>
    <t>Upside(+)/Discount(-) vs Entry Price</t>
  </si>
  <si>
    <t>LULU Scenario Comparison</t>
  </si>
  <si>
    <t>Metric</t>
  </si>
  <si>
    <t>Bear</t>
  </si>
  <si>
    <t>Base</t>
  </si>
  <si>
    <t>Bull</t>
  </si>
  <si>
    <t>Growth Rates (Y1-Y5)</t>
  </si>
  <si>
    <t>[-20, 0, 3, 4, 4]</t>
  </si>
  <si>
    <t>[-8, 8, 10, 8, 6]</t>
  </si>
  <si>
    <t>[2, 20, 18, 14, 10]</t>
  </si>
  <si>
    <t>Terminal Growth</t>
  </si>
  <si>
    <t>Y5 FCF ($M)</t>
  </si>
  <si>
    <t>Terminal Value ($M)</t>
  </si>
  <si>
    <t>Enterprise Value ($M)</t>
  </si>
  <si>
    <t>Intrinsic Value/Share</t>
  </si>
  <si>
    <t>Upside/Downside</t>
  </si>
  <si>
    <t>Entry Price (15% IRR)</t>
  </si>
  <si>
    <t>Terminal % of EV</t>
  </si>
  <si>
    <t>Implied Exit Multiple</t>
  </si>
  <si>
    <t>Probability Weights</t>
  </si>
  <si>
    <t>Weighted IV</t>
  </si>
  <si>
    <t>Weighted Upside</t>
  </si>
  <si>
    <t>Sensitivity Analysis (Base Case Growth Path)</t>
  </si>
  <si>
    <t>Intrinsic Value by WACC &amp; Terminal Growth</t>
  </si>
  <si>
    <t>WACC \ Term G</t>
  </si>
  <si>
    <t>Current Price:</t>
  </si>
  <si>
    <t>Implied WACC (approx)</t>
  </si>
  <si>
    <t>Implied Terminal Growth (approx)</t>
  </si>
  <si>
    <t>Historical Growth Rates</t>
  </si>
  <si>
    <t>3-Year CAGR</t>
  </si>
  <si>
    <t>5-Year CAGR</t>
  </si>
  <si>
    <t>Revenue</t>
  </si>
  <si>
    <t>EPS</t>
  </si>
  <si>
    <t>Equity</t>
  </si>
  <si>
    <t>FCF</t>
  </si>
  <si>
    <t>Revenue 2yr CAGR (FY23-FY25)</t>
  </si>
  <si>
    <t>Growth Rate Source:</t>
  </si>
  <si>
    <t>revenue_2yr_cagr_fy23_fy25_anchored_to_fy2026_guidance</t>
  </si>
  <si>
    <t>Historical FCF Series ($M)</t>
  </si>
  <si>
    <t>FY2020</t>
  </si>
  <si>
    <t>FY2021</t>
  </si>
  <si>
    <t>FY2022</t>
  </si>
  <si>
    <t>FY2023</t>
  </si>
  <si>
    <t>FY2024</t>
  </si>
  <si>
    <t>FY2025</t>
  </si>
  <si>
    <t>Sanity Check: Implied Multiples</t>
  </si>
  <si>
    <t>Scenario</t>
  </si>
  <si>
    <t>Price</t>
  </si>
  <si>
    <t>TTM P/E</t>
  </si>
  <si>
    <t>Fwd P/E (FY26 guide)</t>
  </si>
  <si>
    <t>P/B</t>
  </si>
  <si>
    <t>Weighted</t>
  </si>
  <si>
    <t>Current Market Multiples</t>
  </si>
  <si>
    <t>Trailing P/E (TTM)</t>
  </si>
  <si>
    <t>Forward P/E (FY26 guide)</t>
  </si>
  <si>
    <t>EV/FCF (FY2025)</t>
  </si>
  <si>
    <t>EV/EBIT (FY2025)</t>
  </si>
  <si>
    <t>Historical Ranges</t>
  </si>
  <si>
    <t>P/E Hypergrowth (excluded)</t>
  </si>
  <si>
    <t>37-73x (FY2018-FY2022, COVID/hypergrowth era -- excluded as DCF anchor)</t>
  </si>
  <si>
    <t>P/E Modern Range</t>
  </si>
  <si>
    <t>13.2-28.3x (FY2024 28.3x, FY2025 13.2x -- the relevant comparison range)</t>
  </si>
  <si>
    <t>P/B Modern Range</t>
  </si>
  <si>
    <t>4.2-11.9x (FY2024/FY2025, understated by aggressive buybacks reducing book value)</t>
  </si>
  <si>
    <t>EV/EBIT Modern Range</t>
  </si>
  <si>
    <t>8.6-19.7x (FY2024/FY2025)</t>
  </si>
  <si>
    <t>Verdict</t>
  </si>
  <si>
    <t>PASS. Base case IV of $130.37 implies a TTM P/E of 10.6x and forward (FY26 guide) P/E of 11.8x -- both BELOW the FY2025 trough multiple of 13.2x and far below the FY2024 modern-range multiple of 28.3x. This means the base case is not assuming any re-rating at all; it is assuming the stock stays at a depressed multiple while FCF modestly recovers, and even so land at a 15% upside. The bull case (17.6-19.7x P/E, 5.2x P/B) implies a partial re-rating toward the low end of the FY2024 modern range -- plausible if the CEO transition succeeds, but explicitly does NOT reach the FY2024 28.3x level, let alone the hypergrowth-era 40-73x range. The bear case (6.6-7.4x P/E) implies further multiple compression below even today's 9.2x TTM level, consistent with a scenario where fundamentals keep deteriorating. Given the stock trades in the lower half of its 10-year range and multiples have already collapsed to multi-year lows, the base case's modest (+15%) upside without any multiple expansion is a conservative, credible result -- not an artifact of unrealistic re-rating assumptions.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</si>
</sst>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0" fillId="0" borderId="2" xfId="0" applyNumberFormat="1" applyBorder="1"/>
    <xf numFmtId="165" fontId="4" fillId="3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width="28.7109375" customWidth="1"/>
    <col min="2" max="8" width="14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t="s">
        <v>3</v>
      </c>
      <c r="B5" s="4">
        <v>113.37</v>
      </c>
    </row>
    <row r="6" spans="1:6">
      <c r="A6" t="s">
        <v>4</v>
      </c>
      <c r="B6" s="4">
        <v>115.4</v>
      </c>
    </row>
    <row r="7" spans="1:6">
      <c r="A7" t="s">
        <v>5</v>
      </c>
      <c r="B7" s="4">
        <v>1514.7</v>
      </c>
    </row>
    <row r="8" spans="1:6">
      <c r="A8" t="s">
        <v>6</v>
      </c>
      <c r="B8" s="4">
        <v>0</v>
      </c>
    </row>
    <row r="9" spans="1:6">
      <c r="A9" t="s">
        <v>7</v>
      </c>
      <c r="B9" s="5">
        <f>B8-B7</f>
        <v>0</v>
      </c>
    </row>
    <row r="10" spans="1:6">
      <c r="A10" t="s">
        <v>8</v>
      </c>
      <c r="B10" s="4">
        <v>921.7</v>
      </c>
    </row>
    <row r="12" spans="1:6">
      <c r="A12" t="s">
        <v>9</v>
      </c>
      <c r="B12" s="6">
        <v>0.1</v>
      </c>
    </row>
    <row r="13" spans="1:6">
      <c r="A13" t="s">
        <v>10</v>
      </c>
      <c r="B13" s="6">
        <v>0.025</v>
      </c>
    </row>
    <row r="15" spans="1:6">
      <c r="A15" s="3" t="s">
        <v>11</v>
      </c>
      <c r="B15" s="7" t="s">
        <v>12</v>
      </c>
      <c r="C15" s="7" t="s">
        <v>13</v>
      </c>
      <c r="D15" s="7" t="s">
        <v>14</v>
      </c>
      <c r="E15" s="7" t="s">
        <v>15</v>
      </c>
      <c r="F15" s="7" t="s">
        <v>16</v>
      </c>
    </row>
    <row r="16" spans="1:6">
      <c r="A16" t="s">
        <v>17</v>
      </c>
      <c r="B16" s="6">
        <v>-0.08</v>
      </c>
      <c r="C16" s="6">
        <v>0.08</v>
      </c>
      <c r="D16" s="6">
        <v>0.1</v>
      </c>
      <c r="E16" s="6">
        <v>0.08</v>
      </c>
      <c r="F16" s="6">
        <v>0.06</v>
      </c>
    </row>
    <row r="18" spans="1:7">
      <c r="A18" s="3" t="s">
        <v>18</v>
      </c>
    </row>
    <row r="19" spans="1:7">
      <c r="A19" s="7"/>
      <c r="B19" s="7" t="s">
        <v>19</v>
      </c>
      <c r="C19" s="7" t="s">
        <v>12</v>
      </c>
      <c r="D19" s="7" t="s">
        <v>13</v>
      </c>
      <c r="E19" s="7" t="s">
        <v>14</v>
      </c>
      <c r="F19" s="7" t="s">
        <v>15</v>
      </c>
      <c r="G19" s="7" t="s">
        <v>16</v>
      </c>
    </row>
    <row r="20" spans="1:7">
      <c r="A20" t="s">
        <v>20</v>
      </c>
      <c r="B20" s="5">
        <f>B10</f>
        <v>0</v>
      </c>
      <c r="C20" s="5">
        <f>B20*(1+B16)</f>
        <v>0</v>
      </c>
      <c r="D20" s="5">
        <f>C20*(1+C16)</f>
        <v>0</v>
      </c>
      <c r="E20" s="5">
        <f>D20*(1+D16)</f>
        <v>0</v>
      </c>
      <c r="F20" s="5">
        <f>E20*(1+E16)</f>
        <v>0</v>
      </c>
      <c r="G20" s="5">
        <f>F20*(1+F16)</f>
        <v>0</v>
      </c>
    </row>
    <row r="21" spans="1:7">
      <c r="A21" t="s">
        <v>21</v>
      </c>
      <c r="C21" s="5">
        <f>1/(1+$B$12)^1</f>
        <v>0</v>
      </c>
      <c r="D21" s="5">
        <f>1/(1+$B$12)^2</f>
        <v>0</v>
      </c>
      <c r="E21" s="5">
        <f>1/(1+$B$12)^3</f>
        <v>0</v>
      </c>
      <c r="F21" s="5">
        <f>1/(1+$B$12)^4</f>
        <v>0</v>
      </c>
      <c r="G21" s="5">
        <f>1/(1+$B$12)^5</f>
        <v>0</v>
      </c>
    </row>
    <row r="22" spans="1:7">
      <c r="A22" t="s">
        <v>22</v>
      </c>
      <c r="C22" s="5">
        <f>C20*C21</f>
        <v>0</v>
      </c>
      <c r="D22" s="5">
        <f>D20*D21</f>
        <v>0</v>
      </c>
      <c r="E22" s="5">
        <f>E20*E21</f>
        <v>0</v>
      </c>
      <c r="F22" s="5">
        <f>F20*F21</f>
        <v>0</v>
      </c>
      <c r="G22" s="5">
        <f>G20*G21</f>
        <v>0</v>
      </c>
    </row>
    <row r="24" spans="1:7">
      <c r="A24" s="3" t="s">
        <v>23</v>
      </c>
    </row>
    <row r="25" spans="1:7">
      <c r="A25" t="s">
        <v>24</v>
      </c>
      <c r="B25" s="5">
        <f>SUM(C22:G22)</f>
        <v>0</v>
      </c>
    </row>
    <row r="26" spans="1:7">
      <c r="A26" t="s">
        <v>25</v>
      </c>
      <c r="B26" s="5">
        <f>G20*(1+$B$13)</f>
        <v>0</v>
      </c>
    </row>
    <row r="27" spans="1:7">
      <c r="A27" t="s">
        <v>26</v>
      </c>
      <c r="B27" s="5">
        <f>B26/($B$12-$B$13)</f>
        <v>0</v>
      </c>
    </row>
    <row r="28" spans="1:7">
      <c r="A28" t="s">
        <v>27</v>
      </c>
      <c r="B28" s="5">
        <f>B27*G21</f>
        <v>0</v>
      </c>
    </row>
    <row r="29" spans="1:7">
      <c r="A29" t="s">
        <v>28</v>
      </c>
      <c r="B29" s="5">
        <f>B25+B28</f>
        <v>0</v>
      </c>
    </row>
    <row r="30" spans="1:7">
      <c r="A30" t="s">
        <v>29</v>
      </c>
      <c r="B30" s="5">
        <f>B9</f>
        <v>0</v>
      </c>
    </row>
    <row r="31" spans="1:7">
      <c r="A31" t="s">
        <v>30</v>
      </c>
      <c r="B31" s="5">
        <f>B29-B30</f>
        <v>0</v>
      </c>
    </row>
    <row r="32" spans="1:7">
      <c r="A32" s="8" t="s">
        <v>31</v>
      </c>
      <c r="B32" s="9">
        <f>B31/B6</f>
        <v>0</v>
      </c>
    </row>
    <row r="33" spans="1:2">
      <c r="A33" t="s">
        <v>32</v>
      </c>
      <c r="B33" s="10">
        <f>B28/B29</f>
        <v>0</v>
      </c>
    </row>
    <row r="34" spans="1:2">
      <c r="A34" t="s">
        <v>33</v>
      </c>
      <c r="B34" s="5">
        <f>B27/G20</f>
        <v>0</v>
      </c>
    </row>
    <row r="36" spans="1:2">
      <c r="A36" s="3" t="s">
        <v>34</v>
      </c>
    </row>
    <row r="37" spans="1:2">
      <c r="A37" t="s">
        <v>35</v>
      </c>
      <c r="B37" s="5">
        <f>NPV(0.15,C20:G20)</f>
        <v>0</v>
      </c>
    </row>
    <row r="38" spans="1:2">
      <c r="A38" t="s">
        <v>36</v>
      </c>
      <c r="B38" s="5">
        <f>B27/(1.15^5)</f>
        <v>0</v>
      </c>
    </row>
    <row r="39" spans="1:2">
      <c r="A39" t="s">
        <v>29</v>
      </c>
      <c r="B39" s="5">
        <f>B9</f>
        <v>0</v>
      </c>
    </row>
    <row r="40" spans="1:2">
      <c r="A40" t="s">
        <v>37</v>
      </c>
      <c r="B40" s="9">
        <f>(B37+B38-B39)/B6</f>
        <v>0</v>
      </c>
    </row>
    <row r="42" spans="1:2">
      <c r="A42" t="s">
        <v>38</v>
      </c>
      <c r="B42" s="10">
        <f>(B32-B5)/B5</f>
        <v>0</v>
      </c>
    </row>
    <row r="43" spans="1:2">
      <c r="A43" t="s">
        <v>39</v>
      </c>
      <c r="B43" s="10">
        <f>(B5-B40)/B5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40</v>
      </c>
    </row>
    <row r="3" spans="1:4">
      <c r="A3" s="7" t="s">
        <v>41</v>
      </c>
      <c r="B3" s="7" t="s">
        <v>42</v>
      </c>
      <c r="C3" s="7" t="s">
        <v>43</v>
      </c>
      <c r="D3" s="7" t="s">
        <v>44</v>
      </c>
    </row>
    <row r="4" spans="1:4">
      <c r="A4" t="s">
        <v>45</v>
      </c>
      <c r="B4" t="s">
        <v>46</v>
      </c>
      <c r="C4" t="s">
        <v>47</v>
      </c>
      <c r="D4" t="s">
        <v>48</v>
      </c>
    </row>
    <row r="5" spans="1:4">
      <c r="A5" t="s">
        <v>9</v>
      </c>
      <c r="B5" s="10">
        <v>0.115</v>
      </c>
      <c r="C5" s="10">
        <v>0.1</v>
      </c>
      <c r="D5" s="10">
        <v>0.09</v>
      </c>
    </row>
    <row r="6" spans="1:4">
      <c r="A6" t="s">
        <v>49</v>
      </c>
      <c r="B6" s="10">
        <v>0.02</v>
      </c>
      <c r="C6" s="10">
        <v>0.025</v>
      </c>
      <c r="D6" s="10">
        <v>0.03</v>
      </c>
    </row>
    <row r="7" spans="1:4">
      <c r="A7" t="s">
        <v>50</v>
      </c>
      <c r="B7" s="5">
        <v>821.5</v>
      </c>
      <c r="C7" s="5">
        <v>1153.3</v>
      </c>
      <c r="D7" s="5">
        <v>1669.4</v>
      </c>
    </row>
    <row r="8" spans="1:4">
      <c r="A8" t="s">
        <v>51</v>
      </c>
      <c r="B8" s="5">
        <v>8819.799999999999</v>
      </c>
      <c r="C8" s="5">
        <v>15761.1</v>
      </c>
      <c r="D8" s="5">
        <v>28657.4</v>
      </c>
    </row>
    <row r="9" spans="1:4">
      <c r="A9" t="s">
        <v>52</v>
      </c>
      <c r="B9" s="5">
        <v>7907.8</v>
      </c>
      <c r="C9" s="5">
        <v>13530.2</v>
      </c>
      <c r="D9" s="5">
        <v>23625.4</v>
      </c>
    </row>
    <row r="10" spans="1:4">
      <c r="A10" t="s">
        <v>53</v>
      </c>
      <c r="B10" s="11">
        <v>81.65000000000001</v>
      </c>
      <c r="C10" s="11">
        <v>130.37</v>
      </c>
      <c r="D10" s="11">
        <v>217.85</v>
      </c>
    </row>
    <row r="11" spans="1:4">
      <c r="A11" t="s">
        <v>54</v>
      </c>
      <c r="B11" s="10">
        <v>-0.28</v>
      </c>
      <c r="C11" s="10">
        <v>0.15</v>
      </c>
      <c r="D11" s="10">
        <v>0.922</v>
      </c>
    </row>
    <row r="12" spans="1:4">
      <c r="A12" t="s">
        <v>55</v>
      </c>
      <c r="B12" s="11">
        <v>73.29000000000001</v>
      </c>
      <c r="C12" s="11">
        <v>109.52</v>
      </c>
      <c r="D12" s="11">
        <v>173.36</v>
      </c>
    </row>
    <row r="13" spans="1:4">
      <c r="A13" t="s">
        <v>56</v>
      </c>
      <c r="B13" s="10">
        <v>0.647</v>
      </c>
      <c r="C13" s="10">
        <v>0.723</v>
      </c>
      <c r="D13" s="10">
        <v>0.7879999999999999</v>
      </c>
    </row>
    <row r="14" spans="1:4">
      <c r="A14" t="s">
        <v>57</v>
      </c>
      <c r="B14" s="5">
        <v>10.7</v>
      </c>
      <c r="C14" s="5">
        <v>13.7</v>
      </c>
      <c r="D14" s="5">
        <v>17.2</v>
      </c>
    </row>
    <row r="16" spans="1:4">
      <c r="A16" s="8" t="s">
        <v>58</v>
      </c>
    </row>
    <row r="17" spans="1:2">
      <c r="A17" t="s">
        <v>42</v>
      </c>
      <c r="B17" s="10">
        <v>0.25</v>
      </c>
    </row>
    <row r="18" spans="1:2">
      <c r="A18" t="s">
        <v>43</v>
      </c>
      <c r="B18" s="10">
        <v>0.5</v>
      </c>
    </row>
    <row r="19" spans="1:2">
      <c r="A19" t="s">
        <v>44</v>
      </c>
      <c r="B19" s="10">
        <v>0.25</v>
      </c>
    </row>
    <row r="20" spans="1:2">
      <c r="A20" s="8" t="s">
        <v>59</v>
      </c>
      <c r="B20" s="11">
        <v>140.06</v>
      </c>
    </row>
    <row r="21" spans="1:2">
      <c r="A21" t="s">
        <v>60</v>
      </c>
      <c r="B21" s="10">
        <v>0.235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61</v>
      </c>
    </row>
    <row r="2" spans="1:6">
      <c r="A2" t="s">
        <v>62</v>
      </c>
    </row>
    <row r="4" spans="1:6">
      <c r="A4" s="7" t="s">
        <v>63</v>
      </c>
      <c r="B4" s="12">
        <v>0.015</v>
      </c>
      <c r="C4" s="12">
        <v>0.02</v>
      </c>
      <c r="D4" s="12">
        <v>0.025</v>
      </c>
      <c r="E4" s="12">
        <v>0.03</v>
      </c>
      <c r="F4" s="12">
        <v>0.035</v>
      </c>
    </row>
    <row r="5" spans="1:6">
      <c r="A5" s="12">
        <v>0.08</v>
      </c>
      <c r="B5" s="11">
        <f>((('DCF Model'!$B$10*(1+'DCF Model'!$B$16)*(1+'DCF Model'!$C$16)*(1+'DCF Model'!$D$16)*(1+'DCF Model'!$E$16)*(1+'DCF Model'!$F$16)*(1+0.015)/(0.08-0.015))/(1+0.08)^5 + NPV(0.08,'DCF Model'!$C$20:'DCF Model'!$G$20) - 'DCF Model'!$B$9)/'DCF Model'!$B$6)</f>
        <v>0</v>
      </c>
      <c r="C5" s="11">
        <f>((('DCF Model'!$B$10*(1+'DCF Model'!$B$16)*(1+'DCF Model'!$C$16)*(1+'DCF Model'!$D$16)*(1+'DCF Model'!$E$16)*(1+'DCF Model'!$F$16)*(1+0.02)/(0.08-0.02))/(1+0.08)^5 + NPV(0.08,'DCF Model'!$C$20:'DCF Model'!$G$20) - 'DCF Model'!$B$9)/'DCF Model'!$B$6)</f>
        <v>0</v>
      </c>
      <c r="D5" s="11">
        <f>((('DCF Model'!$B$10*(1+'DCF Model'!$B$16)*(1+'DCF Model'!$C$16)*(1+'DCF Model'!$D$16)*(1+'DCF Model'!$E$16)*(1+'DCF Model'!$F$16)*(1+0.025)/(0.08-0.025))/(1+0.08)^5 + NPV(0.08,'DCF Model'!$C$20:'DCF Model'!$G$20) - 'DCF Model'!$B$9)/'DCF Model'!$B$6)</f>
        <v>0</v>
      </c>
      <c r="E5" s="11">
        <f>((('DCF Model'!$B$10*(1+'DCF Model'!$B$16)*(1+'DCF Model'!$C$16)*(1+'DCF Model'!$D$16)*(1+'DCF Model'!$E$16)*(1+'DCF Model'!$F$16)*(1+0.03)/(0.08-0.03))/(1+0.08)^5 + NPV(0.08,'DCF Model'!$C$20:'DCF Model'!$G$20) - 'DCF Model'!$B$9)/'DCF Model'!$B$6)</f>
        <v>0</v>
      </c>
      <c r="F5" s="11">
        <f>((('DCF Model'!$B$10*(1+'DCF Model'!$B$16)*(1+'DCF Model'!$C$16)*(1+'DCF Model'!$D$16)*(1+'DCF Model'!$E$16)*(1+'DCF Model'!$F$16)*(1+0.035)/(0.08-0.035))/(1+0.08)^5 + NPV(0.08,'DCF Model'!$C$20:'DCF Model'!$G$20) - 'DCF Model'!$B$9)/'DCF Model'!$B$6)</f>
        <v>0</v>
      </c>
    </row>
    <row r="6" spans="1:6">
      <c r="A6" s="12">
        <v>0.09</v>
      </c>
      <c r="B6" s="11">
        <f>((('DCF Model'!$B$10*(1+'DCF Model'!$B$16)*(1+'DCF Model'!$C$16)*(1+'DCF Model'!$D$16)*(1+'DCF Model'!$E$16)*(1+'DCF Model'!$F$16)*(1+0.015)/(0.09-0.015))/(1+0.09)^5 + NPV(0.09,'DCF Model'!$C$20:'DCF Model'!$G$20) - 'DCF Model'!$B$9)/'DCF Model'!$B$6)</f>
        <v>0</v>
      </c>
      <c r="C6" s="11">
        <f>((('DCF Model'!$B$10*(1+'DCF Model'!$B$16)*(1+'DCF Model'!$C$16)*(1+'DCF Model'!$D$16)*(1+'DCF Model'!$E$16)*(1+'DCF Model'!$F$16)*(1+0.02)/(0.09-0.02))/(1+0.09)^5 + NPV(0.09,'DCF Model'!$C$20:'DCF Model'!$G$20) - 'DCF Model'!$B$9)/'DCF Model'!$B$6)</f>
        <v>0</v>
      </c>
      <c r="D6" s="11">
        <f>((('DCF Model'!$B$10*(1+'DCF Model'!$B$16)*(1+'DCF Model'!$C$16)*(1+'DCF Model'!$D$16)*(1+'DCF Model'!$E$16)*(1+'DCF Model'!$F$16)*(1+0.025)/(0.09-0.025))/(1+0.09)^5 + NPV(0.09,'DCF Model'!$C$20:'DCF Model'!$G$20) - 'DCF Model'!$B$9)/'DCF Model'!$B$6)</f>
        <v>0</v>
      </c>
      <c r="E6" s="11">
        <f>((('DCF Model'!$B$10*(1+'DCF Model'!$B$16)*(1+'DCF Model'!$C$16)*(1+'DCF Model'!$D$16)*(1+'DCF Model'!$E$16)*(1+'DCF Model'!$F$16)*(1+0.03)/(0.09-0.03))/(1+0.09)^5 + NPV(0.09,'DCF Model'!$C$20:'DCF Model'!$G$20) - 'DCF Model'!$B$9)/'DCF Model'!$B$6)</f>
        <v>0</v>
      </c>
      <c r="F6" s="11">
        <f>((('DCF Model'!$B$10*(1+'DCF Model'!$B$16)*(1+'DCF Model'!$C$16)*(1+'DCF Model'!$D$16)*(1+'DCF Model'!$E$16)*(1+'DCF Model'!$F$16)*(1+0.035)/(0.09-0.035))/(1+0.09)^5 + NPV(0.09,'DCF Model'!$C$20:'DCF Model'!$G$20) - 'DCF Model'!$B$9)/'DCF Model'!$B$6)</f>
        <v>0</v>
      </c>
    </row>
    <row r="7" spans="1:6">
      <c r="A7" s="12">
        <v>0.1</v>
      </c>
      <c r="B7" s="11">
        <f>((('DCF Model'!$B$10*(1+'DCF Model'!$B$16)*(1+'DCF Model'!$C$16)*(1+'DCF Model'!$D$16)*(1+'DCF Model'!$E$16)*(1+'DCF Model'!$F$16)*(1+0.015)/(0.1-0.015))/(1+0.1)^5 + NPV(0.1,'DCF Model'!$C$20:'DCF Model'!$G$20) - 'DCF Model'!$B$9)/'DCF Model'!$B$6)</f>
        <v>0</v>
      </c>
      <c r="C7" s="11">
        <f>((('DCF Model'!$B$10*(1+'DCF Model'!$B$16)*(1+'DCF Model'!$C$16)*(1+'DCF Model'!$D$16)*(1+'DCF Model'!$E$16)*(1+'DCF Model'!$F$16)*(1+0.02)/(0.1-0.02))/(1+0.1)^5 + NPV(0.1,'DCF Model'!$C$20:'DCF Model'!$G$20) - 'DCF Model'!$B$9)/'DCF Model'!$B$6)</f>
        <v>0</v>
      </c>
      <c r="D7" s="11">
        <f>((('DCF Model'!$B$10*(1+'DCF Model'!$B$16)*(1+'DCF Model'!$C$16)*(1+'DCF Model'!$D$16)*(1+'DCF Model'!$E$16)*(1+'DCF Model'!$F$16)*(1+0.025)/(0.1-0.025))/(1+0.1)^5 + NPV(0.1,'DCF Model'!$C$20:'DCF Model'!$G$20) - 'DCF Model'!$B$9)/'DCF Model'!$B$6)</f>
        <v>0</v>
      </c>
      <c r="E7" s="11">
        <f>((('DCF Model'!$B$10*(1+'DCF Model'!$B$16)*(1+'DCF Model'!$C$16)*(1+'DCF Model'!$D$16)*(1+'DCF Model'!$E$16)*(1+'DCF Model'!$F$16)*(1+0.03)/(0.1-0.03))/(1+0.1)^5 + NPV(0.1,'DCF Model'!$C$20:'DCF Model'!$G$20) - 'DCF Model'!$B$9)/'DCF Model'!$B$6)</f>
        <v>0</v>
      </c>
      <c r="F7" s="11">
        <f>((('DCF Model'!$B$10*(1+'DCF Model'!$B$16)*(1+'DCF Model'!$C$16)*(1+'DCF Model'!$D$16)*(1+'DCF Model'!$E$16)*(1+'DCF Model'!$F$16)*(1+0.035)/(0.1-0.035))/(1+0.1)^5 + NPV(0.1,'DCF Model'!$C$20:'DCF Model'!$G$20) - 'DCF Model'!$B$9)/'DCF Model'!$B$6)</f>
        <v>0</v>
      </c>
    </row>
    <row r="8" spans="1:6">
      <c r="A8" s="12">
        <v>0.11</v>
      </c>
      <c r="B8" s="11">
        <f>((('DCF Model'!$B$10*(1+'DCF Model'!$B$16)*(1+'DCF Model'!$C$16)*(1+'DCF Model'!$D$16)*(1+'DCF Model'!$E$16)*(1+'DCF Model'!$F$16)*(1+0.015)/(0.11-0.015))/(1+0.11)^5 + NPV(0.11,'DCF Model'!$C$20:'DCF Model'!$G$20) - 'DCF Model'!$B$9)/'DCF Model'!$B$6)</f>
        <v>0</v>
      </c>
      <c r="C8" s="11">
        <f>((('DCF Model'!$B$10*(1+'DCF Model'!$B$16)*(1+'DCF Model'!$C$16)*(1+'DCF Model'!$D$16)*(1+'DCF Model'!$E$16)*(1+'DCF Model'!$F$16)*(1+0.02)/(0.11-0.02))/(1+0.11)^5 + NPV(0.11,'DCF Model'!$C$20:'DCF Model'!$G$20) - 'DCF Model'!$B$9)/'DCF Model'!$B$6)</f>
        <v>0</v>
      </c>
      <c r="D8" s="11">
        <f>((('DCF Model'!$B$10*(1+'DCF Model'!$B$16)*(1+'DCF Model'!$C$16)*(1+'DCF Model'!$D$16)*(1+'DCF Model'!$E$16)*(1+'DCF Model'!$F$16)*(1+0.025)/(0.11-0.025))/(1+0.11)^5 + NPV(0.11,'DCF Model'!$C$20:'DCF Model'!$G$20) - 'DCF Model'!$B$9)/'DCF Model'!$B$6)</f>
        <v>0</v>
      </c>
      <c r="E8" s="11">
        <f>((('DCF Model'!$B$10*(1+'DCF Model'!$B$16)*(1+'DCF Model'!$C$16)*(1+'DCF Model'!$D$16)*(1+'DCF Model'!$E$16)*(1+'DCF Model'!$F$16)*(1+0.03)/(0.11-0.03))/(1+0.11)^5 + NPV(0.11,'DCF Model'!$C$20:'DCF Model'!$G$20) - 'DCF Model'!$B$9)/'DCF Model'!$B$6)</f>
        <v>0</v>
      </c>
      <c r="F8" s="11">
        <f>((('DCF Model'!$B$10*(1+'DCF Model'!$B$16)*(1+'DCF Model'!$C$16)*(1+'DCF Model'!$D$16)*(1+'DCF Model'!$E$16)*(1+'DCF Model'!$F$16)*(1+0.035)/(0.11-0.035))/(1+0.11)^5 + NPV(0.11,'DCF Model'!$C$20:'DCF Model'!$G$20) - 'DCF Model'!$B$9)/'DCF Model'!$B$6)</f>
        <v>0</v>
      </c>
    </row>
    <row r="9" spans="1:6">
      <c r="A9" s="12">
        <v>0.12</v>
      </c>
      <c r="B9" s="11">
        <f>((('DCF Model'!$B$10*(1+'DCF Model'!$B$16)*(1+'DCF Model'!$C$16)*(1+'DCF Model'!$D$16)*(1+'DCF Model'!$E$16)*(1+'DCF Model'!$F$16)*(1+0.015)/(0.12-0.015))/(1+0.12)^5 + NPV(0.12,'DCF Model'!$C$20:'DCF Model'!$G$20) - 'DCF Model'!$B$9)/'DCF Model'!$B$6)</f>
        <v>0</v>
      </c>
      <c r="C9" s="11">
        <f>((('DCF Model'!$B$10*(1+'DCF Model'!$B$16)*(1+'DCF Model'!$C$16)*(1+'DCF Model'!$D$16)*(1+'DCF Model'!$E$16)*(1+'DCF Model'!$F$16)*(1+0.02)/(0.12-0.02))/(1+0.12)^5 + NPV(0.12,'DCF Model'!$C$20:'DCF Model'!$G$20) - 'DCF Model'!$B$9)/'DCF Model'!$B$6)</f>
        <v>0</v>
      </c>
      <c r="D9" s="11">
        <f>((('DCF Model'!$B$10*(1+'DCF Model'!$B$16)*(1+'DCF Model'!$C$16)*(1+'DCF Model'!$D$16)*(1+'DCF Model'!$E$16)*(1+'DCF Model'!$F$16)*(1+0.025)/(0.12-0.025))/(1+0.12)^5 + NPV(0.12,'DCF Model'!$C$20:'DCF Model'!$G$20) - 'DCF Model'!$B$9)/'DCF Model'!$B$6)</f>
        <v>0</v>
      </c>
      <c r="E9" s="11">
        <f>((('DCF Model'!$B$10*(1+'DCF Model'!$B$16)*(1+'DCF Model'!$C$16)*(1+'DCF Model'!$D$16)*(1+'DCF Model'!$E$16)*(1+'DCF Model'!$F$16)*(1+0.03)/(0.12-0.03))/(1+0.12)^5 + NPV(0.12,'DCF Model'!$C$20:'DCF Model'!$G$20) - 'DCF Model'!$B$9)/'DCF Model'!$B$6)</f>
        <v>0</v>
      </c>
      <c r="F9" s="11">
        <f>((('DCF Model'!$B$10*(1+'DCF Model'!$B$16)*(1+'DCF Model'!$C$16)*(1+'DCF Model'!$D$16)*(1+'DCF Model'!$E$16)*(1+'DCF Model'!$F$16)*(1+0.035)/(0.12-0.035))/(1+0.12)^5 + NPV(0.12,'DCF Model'!$C$20:'DCF Model'!$G$20) - 'DCF Model'!$B$9)/'DCF Model'!$B$6)</f>
        <v>0</v>
      </c>
    </row>
    <row r="11" spans="1:6">
      <c r="A11" s="8" t="s">
        <v>64</v>
      </c>
      <c r="B11" s="11">
        <v>113.37</v>
      </c>
    </row>
    <row r="12" spans="1:6">
      <c r="A12" t="s">
        <v>65</v>
      </c>
      <c r="B12" s="10">
        <v>0.107</v>
      </c>
    </row>
    <row r="13" spans="1:6">
      <c r="A13" t="s">
        <v>66</v>
      </c>
      <c r="B13" s="10">
        <v>0.023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24.7109375" customWidth="1"/>
    <col min="2" max="3" width="15.7109375" customWidth="1"/>
  </cols>
  <sheetData>
    <row r="1" spans="1:3">
      <c r="A1" s="1" t="s">
        <v>67</v>
      </c>
    </row>
    <row r="3" spans="1:3">
      <c r="A3" s="7" t="s">
        <v>41</v>
      </c>
      <c r="B3" s="7" t="s">
        <v>68</v>
      </c>
      <c r="C3" s="7" t="s">
        <v>69</v>
      </c>
    </row>
    <row r="4" spans="1:3">
      <c r="A4" t="s">
        <v>70</v>
      </c>
      <c r="B4" s="10">
        <v>0.11</v>
      </c>
      <c r="C4" s="10">
        <v>0.203</v>
      </c>
    </row>
    <row r="5" spans="1:3">
      <c r="A5" t="s">
        <v>71</v>
      </c>
      <c r="B5" s="10">
        <v>0.257</v>
      </c>
      <c r="C5" s="10">
        <v>0.241</v>
      </c>
    </row>
    <row r="6" spans="1:3">
      <c r="A6" t="s">
        <v>72</v>
      </c>
      <c r="B6" s="10">
        <v>0.164</v>
      </c>
      <c r="C6" s="10">
        <v>0.142</v>
      </c>
    </row>
    <row r="7" spans="1:3">
      <c r="A7" t="s">
        <v>73</v>
      </c>
      <c r="B7" s="10">
        <v>0.411</v>
      </c>
      <c r="C7" s="10">
        <v>0.099</v>
      </c>
    </row>
    <row r="8" spans="1:3">
      <c r="A8" t="s">
        <v>74</v>
      </c>
      <c r="B8" s="10">
        <v>0.07400000000000001</v>
      </c>
    </row>
    <row r="10" spans="1:3">
      <c r="A10" s="8" t="s">
        <v>75</v>
      </c>
      <c r="B10" t="s">
        <v>76</v>
      </c>
    </row>
    <row r="12" spans="1:3">
      <c r="A12" s="3" t="s">
        <v>77</v>
      </c>
    </row>
    <row r="13" spans="1:3">
      <c r="A13" t="s">
        <v>78</v>
      </c>
      <c r="B13" s="5">
        <v>574.1</v>
      </c>
    </row>
    <row r="14" spans="1:3">
      <c r="A14" t="s">
        <v>79</v>
      </c>
      <c r="B14" s="5">
        <v>994.6</v>
      </c>
    </row>
    <row r="15" spans="1:3">
      <c r="A15" t="s">
        <v>80</v>
      </c>
      <c r="B15" s="5">
        <v>327.8</v>
      </c>
    </row>
    <row r="16" spans="1:3">
      <c r="A16" t="s">
        <v>81</v>
      </c>
      <c r="B16" s="5">
        <v>1644.3</v>
      </c>
    </row>
    <row r="17" spans="1:2">
      <c r="A17" t="s">
        <v>82</v>
      </c>
      <c r="B17" s="5">
        <v>1583.5</v>
      </c>
    </row>
    <row r="18" spans="1:2">
      <c r="A18" t="s">
        <v>83</v>
      </c>
      <c r="B18" s="5">
        <v>921.7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0.7109375" customWidth="1"/>
    <col min="2" max="5" width="14.7109375" customWidth="1"/>
  </cols>
  <sheetData>
    <row r="1" spans="1:5">
      <c r="A1" s="1" t="s">
        <v>84</v>
      </c>
    </row>
    <row r="3" spans="1:5">
      <c r="A3" s="7" t="s">
        <v>85</v>
      </c>
      <c r="B3" s="7" t="s">
        <v>86</v>
      </c>
      <c r="C3" s="7" t="s">
        <v>87</v>
      </c>
      <c r="D3" s="7" t="s">
        <v>88</v>
      </c>
      <c r="E3" s="7" t="s">
        <v>89</v>
      </c>
    </row>
    <row r="5" spans="1:5">
      <c r="A5" t="s">
        <v>42</v>
      </c>
      <c r="B5" s="11">
        <v>81.65000000000001</v>
      </c>
      <c r="C5" s="5">
        <v>6.61</v>
      </c>
      <c r="D5" s="5">
        <v>7.39</v>
      </c>
      <c r="E5" s="5">
        <v>1.95</v>
      </c>
    </row>
    <row r="6" spans="1:5">
      <c r="A6" t="s">
        <v>43</v>
      </c>
      <c r="B6" s="11">
        <v>130.37</v>
      </c>
      <c r="C6" s="5">
        <v>10.56</v>
      </c>
      <c r="D6" s="5">
        <v>11.8</v>
      </c>
      <c r="E6" s="5">
        <v>3.12</v>
      </c>
    </row>
    <row r="7" spans="1:5">
      <c r="A7" t="s">
        <v>44</v>
      </c>
      <c r="B7" s="11">
        <v>217.85</v>
      </c>
      <c r="C7" s="5">
        <v>17.64</v>
      </c>
      <c r="D7" s="5">
        <v>19.72</v>
      </c>
      <c r="E7" s="5">
        <v>5.21</v>
      </c>
    </row>
    <row r="8" spans="1:5">
      <c r="A8" t="s">
        <v>90</v>
      </c>
      <c r="B8" s="11">
        <v>140.06</v>
      </c>
      <c r="C8" s="5">
        <v>11.34</v>
      </c>
      <c r="D8" s="5">
        <v>12.68</v>
      </c>
      <c r="E8" s="5">
        <v>3.35</v>
      </c>
    </row>
    <row r="10" spans="1:5">
      <c r="A10" s="8" t="s">
        <v>91</v>
      </c>
    </row>
    <row r="11" spans="1:5">
      <c r="A11" t="s">
        <v>92</v>
      </c>
      <c r="B11" s="5">
        <v>9.18</v>
      </c>
    </row>
    <row r="12" spans="1:5">
      <c r="A12" t="s">
        <v>93</v>
      </c>
      <c r="B12" s="5">
        <v>10.26</v>
      </c>
    </row>
    <row r="13" spans="1:5">
      <c r="A13" t="s">
        <v>89</v>
      </c>
      <c r="B13" s="5">
        <v>2.71</v>
      </c>
    </row>
    <row r="14" spans="1:5">
      <c r="A14" t="s">
        <v>94</v>
      </c>
      <c r="B14" s="5">
        <v>12.55</v>
      </c>
    </row>
    <row r="15" spans="1:5">
      <c r="A15" t="s">
        <v>95</v>
      </c>
      <c r="B15" s="5">
        <v>5.23</v>
      </c>
    </row>
    <row r="17" spans="1:2">
      <c r="A17" s="8" t="s">
        <v>96</v>
      </c>
    </row>
    <row r="18" spans="1:2">
      <c r="A18" t="s">
        <v>97</v>
      </c>
      <c r="B18" t="s">
        <v>98</v>
      </c>
    </row>
    <row r="19" spans="1:2">
      <c r="A19" t="s">
        <v>99</v>
      </c>
      <c r="B19" t="s">
        <v>100</v>
      </c>
    </row>
    <row r="20" spans="1:2">
      <c r="A20" t="s">
        <v>101</v>
      </c>
      <c r="B20" t="s">
        <v>102</v>
      </c>
    </row>
    <row r="21" spans="1:2">
      <c r="A21" t="s">
        <v>103</v>
      </c>
      <c r="B21" t="s">
        <v>104</v>
      </c>
    </row>
    <row r="23" spans="1:2">
      <c r="A23" s="8" t="s">
        <v>105</v>
      </c>
    </row>
    <row r="24" spans="1:2" ht="120" customHeight="1">
      <c r="A24" s="1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Scenarios</vt:lpstr>
      <vt:lpstr>Sensitivity</vt:lpstr>
      <vt:lpstr>Historical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2026-07-23T05:19:04Z</dcterms:created>
  <dcterms:modified xsi:type="dcterms:W3CDTF">2026-07-23T05:19:04Z</dcterms:modified>
</cp:coreProperties>
</file>