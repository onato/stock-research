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<sst xmlns="http://schemas.openxmlformats.org/spreadsheetml/2006/main" count="369" uniqueCount="172">
  <si>
    <t xml:space="preserve">Ticker</t>
  </si>
  <si>
    <t xml:space="preserve">UMC</t>
  </si>
  <si>
    <t xml:space="preserve">Company</t>
  </si>
  <si>
    <t xml:space="preserve">United Microelectronics Corporation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</si>
  <si>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</si>
  <si>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</si>
  <si>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</si>
  <si>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</si>
  <si>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(Friday; valuation written Sunday 2026-10-04, no after-hours print)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</si>
  <si>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</si>
  <si>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</si>
  <si>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</si>
  <si>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</si>
  <si>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</si>
  <si>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TWD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</si>
  <si>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</si>
  <si>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</si>
  <si>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</si>
  <si>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</si>
  <si>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</si>
  <si>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</si>
  <si>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</si>
  <si>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2026-10-04T09:14:26Z</t>
  </si>
  <si>
    <t xml:space="preserve">Drivers file</t>
  </si>
  <si>
    <t xml:space="preserve">UMC_Drivers.json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</si>
  <si>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</si>
  <si>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</si>
  <si>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</si>
  <si>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capital-intensive, cyclical, trailing-edge foundry valued on mid-cycle owner FCF, not on the current up-cycle quarter. The operating business is worth its normalised ~NT$55-65bn of mature FCF capitalised at a cyclical 12-16x; on top sits a large non-operating balance -- ~NT$147bn of cash and time deposits, ~NT$51bn of securities and ~NT$275bn (pre-tax, filed June fair value) of quoted associate stakes dominated by UNIMICRON -- which is credited once in the bridge, at fair value less tax, and whose income is stripped from the flows. FCF is built from components (EBITDA margin, D&amp;A, capex, cash tax, working capital) over 10 years because the FY2027 capex spike means the Y1-Y3 margin is not a steady state. SBC is immaterial (&lt;0.5% of revenue) so house and street values nearly coincide. Risk is charged once, in the scenario flows and weights, with a single TWD-built 8% WACC.
key_risks_to_valuation: Chinese mature-node (28-90nm) overcapacity: SMIC/Hua Hong price discounts of 30-40% have already forced UMC to seek ~15% supplier cost cuts; a renewed price war is the bear case and the single largest driver of the bear/base gap.; Capex timing and returns: ~US$5bn committed for 2026-27 (Singapore 12i P3/P4, Tainan advanced packaging) ahead of demand; if the AI-adjacent specialty ramp (&gt;US$1bn by ~FY2029) disappoints, depreciation rises into a soft market and the FY2028-30 margins fall below the base path.; UNIMICRON stake volatility: ~NT$208bn after-tax in the bridge (~NT$16.6 per common share, ~US$2.6 per ADS, ~10% of the price). A 50% drawdown in 3037.TW removes ~US$1.3/ADS of value; it is a real but non-operating and illiquid asset.; Currency: &gt;50% of revenue is USD-priced against mostly TWD costs; a stronger TWD compresses TWD margins (partially hedged), and the ADS value also moves 1:1 with USD/TWD.; Customer concentration (top-10 ~57%, largest ~12%) and limited backlog visibility make single-quarter revenue swings of 10-20% normal.; US-China export controls on the Xiamen (USC) and Suzhou (HJTC) fabs and cross-strait geopolitical risk are tail risks sitting outside the three scenarios.; Terminal-value dependence: ~55% of operating EV is the terminal; the 14x cap binds in the base case (Gordon at 8%/2% would be ~17x), so the value is a judgment about what a buyer pays for mature-node capacity in 2036, not a growth story.</t>
  </si>
  <si>
    <t xml:space="preserve">Data sources</t>
  </si>
  <si>
    <t xml:space="preserve">price: Yahoo Finance chart API at inputs.price_as_of; 52-week range 6.97-28.96 USD per ADS. Home listing 2303.TW used for the FX parity check in inputs.fx_note.
financials: UMC_Metrics.csv / UMC.duckdb core_metrics (20-F FY2016-FY2025 annual, 6-K quarterly to Q2 2026, IFRS, NT$ millions); 30-Jun-2026 balance sheet, share count, lease, investment and dividend lines read directly from UMC_Quarterly_Q2-2026.txt; FX from Yahoo TWD=X.
qualitative: UMC_Analysis.json (2026-10-04): Q2 2026 earnings call guidance (29-Jul-2026), capex programme, node/end-market mix, Chinese foundry pricing, GlobalFoundries approach reports.</t>
  </si>
  <si>
    <t xml:space="preserve">Scenario narrative: bear</t>
  </si>
  <si>
    <t xml:space="preserve">FY2028 downcycle meets Chinese 28-90nm overcapacity; margin troughs at 37% while new fabs depreciate; pricing never recovers above 41% EBITDA; capex cut to 22%; 12x terminal on 1.5% growth.</t>
  </si>
  <si>
    <t xml:space="preserve">Scenario narrative: base</t>
  </si>
  <si>
    <t xml:space="preserve">Cycle recovery into FY2027 with modest pricing uplift, then mean reversion to UMC's through-cycle ~44% EBITDA margin and ~3% growth; capex normalises to roughly D&amp;A by Y7; FCF margin matures at ~16%. Value is dominated by the terminal (14x cap) and the NT$380bn+ of net cash, time deposits, securities and the UNIMICRON/FARADAY associate stakes outside the operating model.</t>
  </si>
  <si>
    <t xml:space="preserve">Scenario narrative: bull</t>
  </si>
  <si>
    <t xml:space="preserve">Structural re-rating of mature-node foundry: pricing power from 22/28nm scarcity and AI-adjacent specialty (&gt;US$1bn by FY2029), Chinese capacity absorbed, margin settles 2pp above the old cycle average with continued growth capex; 16x terminal on 2.5% growth.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</si>
  <si>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</si>
  <si>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</si>
  <si>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</si>
  <si>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</si>
  <si>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</si>
  <si>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</si>
  <si>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</si>
  <si>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</si>
  <si>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</si>
  <si>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</si>
  <si>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</si>
  <si>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</si>
  <si>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</si>
  <si>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</si>
  <si>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</si>
  <si>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</si>
  <si>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</si>
  <si>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</si>
  <si>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</si>
  <si>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</si>
  <si>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</si>
  <si>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</si>
  <si>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</si>
  <si>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</si>
  <si>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</si>
  <si>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</si>
  <si>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</si>
  <si>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Amortisation</t>
  </si>
  <si>
    <t xml:space="preserve">CapexIntangibles</t>
  </si>
  <si>
    <t xml:space="preserve">CapexPPE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</si>
  <si>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</si>
  <si>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</si>
  <si>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</si>
  <si>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</si>
  <si>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</si>
  <si>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</si>
  <si>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</si>
  <si>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</si>
  <si>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</si>
  <si>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</si>
  <si>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</si>
  <si>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</si>
  <si>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</si>
  <si>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</si>
  <si>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</si>
  <si>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</si>
  <si>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</si>
  <si>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</si>
  <si>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</si>
  <si>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</si>
  <si>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</si>
  <si>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</si>
  <si>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</si>
  <si>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TWD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</si>
  <si>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</si>
  <si>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</si>
  <si>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</si>
  <si>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</si>
  <si>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</si>
  <si>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</si>
  <si>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</si>
  <si>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</si>
  <si>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</si>
  <si>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</si>
  <si>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</si>
  <si>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</si>
  <si>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</si>
  <si>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</si>
  <si>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</si>
  <si>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</si>
  <si>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</si>
  <si>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</si>
  <si>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</si>
  <si>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</si>
  <si>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</si>
  <si>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</si>
  <si>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</si>
  <si>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</si>
  <si>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</si>
  <si>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</si>
  <si>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UMC owner-FCF component DCF: bear case (millions, TWD)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</si>
  <si>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</si>
  <si>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</si>
  <si>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</si>
  <si>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</si>
  <si>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</si>
  <si>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</si>
  <si>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</si>
  <si>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</si>
  <si>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</si>
  <si>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</si>
  <si>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</si>
  <si>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</si>
  <si>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</si>
  <si>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</si>
  <si>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</si>
  <si>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</si>
  <si>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</si>
  <si>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</si>
  <si>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</si>
  <si>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</si>
  <si>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</si>
  <si>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</si>
  <si>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</si>
  <si>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</si>
  <si>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</si>
  <si>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</si>
  <si>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</si>
  <si>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</si>
  <si>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</si>
  <si>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</si>
  <si>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UMC owner-FCF component DCF: base case (millions, TWD)</t>
  </si>
  <si>
    <t xml:space="preserve">UMC owner-FCF component DCF: bull case (millions, TWD)</t>
  </si>
  <si>
    <t xml:space="preserve">UMC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</si>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</sst>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26.27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140012.076</v>
      </c>
      <c r="C2" s="0" t="n">
        <v>108159.398</v>
      </c>
      <c r="D2" s="0" t="n">
        <v>31852.678</v>
      </c>
      <c r="E2" s="0" t="n">
        <v>22.7</v>
      </c>
      <c r="F2" s="0" t="n">
        <v>10076.332</v>
      </c>
      <c r="G2" s="0" t="n">
        <v>7.2</v>
      </c>
      <c r="H2" s="0" t="n">
        <v>50733.686</v>
      </c>
      <c r="I2" s="0" t="n">
        <v>11108.94</v>
      </c>
      <c r="J2" s="0" t="n">
        <v>7.9</v>
      </c>
      <c r="K2" s="0" t="n">
        <v>0.89</v>
      </c>
      <c r="L2" s="0" t="n">
        <v>44766.224</v>
      </c>
      <c r="M2" s="0" t="n">
        <v>44390.363</v>
      </c>
      <c r="N2" s="0" t="n">
        <v>375.861</v>
      </c>
      <c r="S2" s="0" t="n">
        <v>46212.423</v>
      </c>
      <c r="T2" s="0" t="n">
        <v>12482</v>
      </c>
      <c r="U2" s="0" t="n">
        <v>24.382</v>
      </c>
      <c r="AA2" s="0" t="s">
        <v>18</v>
      </c>
      <c r="AB2" s="0" t="s">
        <v>14</v>
      </c>
      <c r="AC2" s="0" t="n">
        <v>1871.778</v>
      </c>
      <c r="AD2" s="0" t="n">
        <v>1153.356</v>
      </c>
      <c r="AE2" s="0" t="n">
        <v>43237.007</v>
      </c>
    </row>
    <row r="3" customFormat="false" ht="15" hidden="false" customHeight="false" outlineLevel="0" collapsed="false">
      <c r="A3" s="0" t="s">
        <v>68</v>
      </c>
      <c r="B3" s="0" t="n">
        <v>144830.421</v>
      </c>
      <c r="C3" s="0" t="n">
        <v>113061.894</v>
      </c>
      <c r="D3" s="0" t="n">
        <v>31768.527</v>
      </c>
      <c r="E3" s="0" t="n">
        <v>21.9</v>
      </c>
      <c r="F3" s="0" t="n">
        <v>10835.657</v>
      </c>
      <c r="G3" s="0" t="n">
        <v>7.5</v>
      </c>
      <c r="H3" s="0" t="n">
        <v>56307.766</v>
      </c>
      <c r="I3" s="0" t="n">
        <v>13254.071</v>
      </c>
      <c r="J3" s="0" t="n">
        <v>9.2</v>
      </c>
      <c r="K3" s="0" t="n">
        <v>1.02</v>
      </c>
      <c r="L3" s="0" t="n">
        <v>59788.234</v>
      </c>
      <c r="M3" s="0" t="n">
        <v>61592.462</v>
      </c>
      <c r="N3" s="0" t="n">
        <v>-1804.228</v>
      </c>
      <c r="O3" s="0" t="n">
        <v>222825.582</v>
      </c>
      <c r="P3" s="0" t="n">
        <v>335354.293</v>
      </c>
      <c r="Q3" s="0" t="n">
        <v>110501.646</v>
      </c>
      <c r="R3" s="0" t="n">
        <v>59631.177</v>
      </c>
      <c r="S3" s="0" t="n">
        <v>53290.433</v>
      </c>
      <c r="T3" s="0" t="n">
        <v>12994.2</v>
      </c>
      <c r="U3" s="0" t="n">
        <v>0.838</v>
      </c>
      <c r="AA3" s="0" t="s">
        <v>18</v>
      </c>
      <c r="AB3" s="0" t="s">
        <v>14</v>
      </c>
      <c r="AC3" s="0" t="n">
        <v>1999.101</v>
      </c>
      <c r="AD3" s="0" t="n">
        <v>1088.313</v>
      </c>
      <c r="AE3" s="0" t="n">
        <v>60504.149</v>
      </c>
    </row>
    <row r="4" customFormat="false" ht="15" hidden="false" customHeight="false" outlineLevel="0" collapsed="false">
      <c r="A4" s="0" t="s">
        <v>69</v>
      </c>
      <c r="B4" s="0" t="n">
        <v>147870.124</v>
      </c>
      <c r="C4" s="0" t="n">
        <v>117490.694</v>
      </c>
      <c r="D4" s="0" t="n">
        <v>30379.43</v>
      </c>
      <c r="E4" s="0" t="n">
        <v>20.5</v>
      </c>
      <c r="F4" s="0" t="n">
        <v>6193.576</v>
      </c>
      <c r="G4" s="0" t="n">
        <v>4.2</v>
      </c>
      <c r="H4" s="0" t="n">
        <v>58177.177</v>
      </c>
      <c r="I4" s="0" t="n">
        <v>8621.147</v>
      </c>
      <c r="J4" s="0" t="n">
        <v>5.8</v>
      </c>
      <c r="K4" s="0" t="n">
        <v>0.67</v>
      </c>
      <c r="L4" s="0" t="n">
        <v>46450.497</v>
      </c>
      <c r="M4" s="0" t="n">
        <v>93114.89</v>
      </c>
      <c r="N4" s="0" t="n">
        <v>-46664.393</v>
      </c>
      <c r="O4" s="0" t="n">
        <v>212784.645</v>
      </c>
      <c r="P4" s="0" t="n">
        <v>384226.715</v>
      </c>
      <c r="Q4" s="0" t="n">
        <v>169280.341</v>
      </c>
      <c r="R4" s="0" t="n">
        <v>91780.422</v>
      </c>
      <c r="S4" s="0" t="n">
        <v>57578.981</v>
      </c>
      <c r="T4" s="0" t="n">
        <v>12867.4</v>
      </c>
      <c r="U4" s="0" t="n">
        <v>0</v>
      </c>
      <c r="AA4" s="0" t="s">
        <v>18</v>
      </c>
      <c r="AB4" s="0" t="s">
        <v>14</v>
      </c>
      <c r="AC4" s="0" t="n">
        <v>2292.566</v>
      </c>
      <c r="AD4" s="0" t="n">
        <v>1554.251</v>
      </c>
      <c r="AE4" s="0" t="n">
        <v>91560.639</v>
      </c>
    </row>
    <row r="5" customFormat="false" ht="15" hidden="false" customHeight="false" outlineLevel="0" collapsed="false">
      <c r="A5" s="0" t="s">
        <v>70</v>
      </c>
      <c r="B5" s="0" t="n">
        <v>149284.706</v>
      </c>
      <c r="C5" s="0" t="n">
        <v>122226.948</v>
      </c>
      <c r="D5" s="0" t="n">
        <v>27057.758</v>
      </c>
      <c r="E5" s="0" t="n">
        <v>18.1</v>
      </c>
      <c r="F5" s="0" t="n">
        <v>6568.321</v>
      </c>
      <c r="G5" s="0" t="n">
        <v>4.4</v>
      </c>
      <c r="H5" s="0" t="n">
        <v>59667.167</v>
      </c>
      <c r="I5" s="0" t="n">
        <v>9676.698</v>
      </c>
      <c r="J5" s="0" t="n">
        <v>6.5</v>
      </c>
      <c r="K5" s="0" t="n">
        <v>0.75</v>
      </c>
      <c r="L5" s="0" t="n">
        <v>52474.395</v>
      </c>
      <c r="M5" s="0" t="n">
        <v>45520.214</v>
      </c>
      <c r="N5" s="0" t="n">
        <v>6954.181</v>
      </c>
      <c r="O5" s="0" t="n">
        <v>208664.19</v>
      </c>
      <c r="P5" s="0" t="n">
        <v>391132.22</v>
      </c>
      <c r="Q5" s="0" t="n">
        <v>181511.222</v>
      </c>
      <c r="R5" s="0" t="n">
        <v>106128.507</v>
      </c>
      <c r="S5" s="0" t="n">
        <v>81674.572</v>
      </c>
      <c r="T5" s="0" t="n">
        <v>12902.3</v>
      </c>
      <c r="U5" s="0" t="n">
        <v>0</v>
      </c>
      <c r="AA5" s="0" t="s">
        <v>18</v>
      </c>
      <c r="AB5" s="0" t="s">
        <v>14</v>
      </c>
      <c r="AC5" s="0" t="n">
        <v>2133.726</v>
      </c>
      <c r="AD5" s="0" t="n">
        <v>1283.938</v>
      </c>
      <c r="AE5" s="0" t="n">
        <v>44236.276</v>
      </c>
    </row>
    <row r="6" customFormat="false" ht="15" hidden="false" customHeight="false" outlineLevel="0" collapsed="false">
      <c r="A6" s="0" t="s">
        <v>71</v>
      </c>
      <c r="B6" s="0" t="n">
        <v>151252.571</v>
      </c>
      <c r="C6" s="0" t="n">
        <v>128412.544</v>
      </c>
      <c r="D6" s="0" t="n">
        <v>22840.027</v>
      </c>
      <c r="E6" s="0" t="n">
        <v>15.1</v>
      </c>
      <c r="F6" s="0" t="n">
        <v>5679.717</v>
      </c>
      <c r="G6" s="0" t="n">
        <v>3.8</v>
      </c>
      <c r="H6" s="0" t="n">
        <v>57728.436</v>
      </c>
      <c r="I6" s="0" t="n">
        <v>7677.735</v>
      </c>
      <c r="J6" s="0" t="n">
        <v>5.1</v>
      </c>
      <c r="K6" s="0" t="n">
        <v>0.6</v>
      </c>
      <c r="L6" s="0" t="n">
        <v>50934.976</v>
      </c>
      <c r="M6" s="0" t="n">
        <v>20428.75</v>
      </c>
      <c r="N6" s="0" t="n">
        <v>30506.226</v>
      </c>
      <c r="O6" s="0" t="n">
        <v>203930.715</v>
      </c>
      <c r="P6" s="0" t="n">
        <v>362597.229</v>
      </c>
      <c r="Q6" s="0" t="n">
        <v>158199.746</v>
      </c>
      <c r="R6" s="0" t="n">
        <v>85308.205</v>
      </c>
      <c r="S6" s="0" t="n">
        <v>83661.739</v>
      </c>
      <c r="T6" s="0" t="n">
        <v>12796.2</v>
      </c>
      <c r="U6" s="0" t="n">
        <v>695.669</v>
      </c>
      <c r="AA6" s="0" t="s">
        <v>18</v>
      </c>
      <c r="AB6" s="0" t="s">
        <v>14</v>
      </c>
      <c r="AC6" s="0" t="n">
        <v>2100.13</v>
      </c>
      <c r="AD6" s="0" t="n">
        <v>838.675</v>
      </c>
      <c r="AE6" s="0" t="n">
        <v>19590.075</v>
      </c>
    </row>
    <row r="7" customFormat="false" ht="15" hidden="false" customHeight="false" outlineLevel="0" collapsed="false">
      <c r="A7" s="0" t="s">
        <v>72</v>
      </c>
      <c r="B7" s="0" t="n">
        <v>148201.641</v>
      </c>
      <c r="C7" s="0" t="n">
        <v>126886.669</v>
      </c>
      <c r="D7" s="0" t="n">
        <v>21314.972</v>
      </c>
      <c r="E7" s="0" t="n">
        <v>14.4</v>
      </c>
      <c r="F7" s="0" t="n">
        <v>4883.545</v>
      </c>
      <c r="G7" s="0" t="n">
        <v>3.3</v>
      </c>
      <c r="H7" s="0" t="n">
        <v>54273.08</v>
      </c>
      <c r="I7" s="0" t="n">
        <v>8155.097</v>
      </c>
      <c r="J7" s="0" t="n">
        <v>5.5</v>
      </c>
      <c r="K7" s="0" t="n">
        <v>0.65</v>
      </c>
      <c r="L7" s="0" t="n">
        <v>54904.148</v>
      </c>
      <c r="M7" s="0" t="n">
        <v>18962.076</v>
      </c>
      <c r="N7" s="0" t="n">
        <v>35942.072</v>
      </c>
      <c r="O7" s="0" t="n">
        <v>202503.85</v>
      </c>
      <c r="P7" s="0" t="n">
        <v>366261.693</v>
      </c>
      <c r="Q7" s="0" t="n">
        <v>163347.778</v>
      </c>
      <c r="R7" s="0" t="n">
        <v>84698.696</v>
      </c>
      <c r="S7" s="0" t="n">
        <v>95492.477</v>
      </c>
      <c r="T7" s="0" t="n">
        <v>12546.3</v>
      </c>
      <c r="U7" s="0" t="n">
        <v>366.186</v>
      </c>
      <c r="AA7" s="0" t="s">
        <v>18</v>
      </c>
      <c r="AB7" s="0" t="s">
        <v>14</v>
      </c>
      <c r="AC7" s="0" t="n">
        <v>2216.654</v>
      </c>
      <c r="AD7" s="0" t="n">
        <v>2443.593</v>
      </c>
      <c r="AE7" s="0" t="n">
        <v>16518.483</v>
      </c>
    </row>
    <row r="8" customFormat="false" ht="15" hidden="false" customHeight="false" outlineLevel="0" collapsed="false">
      <c r="A8" s="0" t="s">
        <v>73</v>
      </c>
      <c r="B8" s="0" t="n">
        <v>176820.914</v>
      </c>
      <c r="C8" s="0" t="n">
        <v>137823.813</v>
      </c>
      <c r="D8" s="0" t="n">
        <v>38997.101</v>
      </c>
      <c r="E8" s="0" t="n">
        <v>22.1</v>
      </c>
      <c r="F8" s="0" t="n">
        <v>21931.227</v>
      </c>
      <c r="G8" s="0" t="n">
        <v>12.4</v>
      </c>
      <c r="H8" s="0" t="n">
        <v>70839.303</v>
      </c>
      <c r="I8" s="0" t="n">
        <v>22860.744</v>
      </c>
      <c r="J8" s="0" t="n">
        <v>12.9</v>
      </c>
      <c r="K8" s="0" t="n">
        <v>1.87</v>
      </c>
      <c r="L8" s="0" t="n">
        <v>65745.192</v>
      </c>
      <c r="M8" s="0" t="n">
        <v>28354.333</v>
      </c>
      <c r="N8" s="0" t="n">
        <v>37390.859</v>
      </c>
      <c r="O8" s="0" t="n">
        <v>223026.206</v>
      </c>
      <c r="P8" s="0" t="n">
        <v>366454.101</v>
      </c>
      <c r="Q8" s="0" t="n">
        <v>143314.539</v>
      </c>
      <c r="R8" s="0" t="n">
        <v>62813.622</v>
      </c>
      <c r="S8" s="0" t="n">
        <v>94048.036</v>
      </c>
      <c r="T8" s="0" t="n">
        <v>12225</v>
      </c>
      <c r="U8" s="0" t="n">
        <v>959.219</v>
      </c>
      <c r="AA8" s="0" t="s">
        <v>18</v>
      </c>
      <c r="AB8" s="0" t="s">
        <v>14</v>
      </c>
      <c r="AC8" s="0" t="n">
        <v>2744.383</v>
      </c>
      <c r="AD8" s="0" t="n">
        <v>2009.031</v>
      </c>
      <c r="AE8" s="0" t="n">
        <v>26345.302</v>
      </c>
    </row>
    <row r="9" customFormat="false" ht="15" hidden="false" customHeight="false" outlineLevel="0" collapsed="false">
      <c r="A9" s="0" t="s">
        <v>74</v>
      </c>
      <c r="B9" s="0" t="n">
        <v>213011.018</v>
      </c>
      <c r="C9" s="0" t="n">
        <v>140961.389</v>
      </c>
      <c r="D9" s="0" t="n">
        <v>72049.629</v>
      </c>
      <c r="E9" s="0" t="n">
        <v>33.8</v>
      </c>
      <c r="F9" s="0" t="n">
        <v>51686.286</v>
      </c>
      <c r="G9" s="0" t="n">
        <v>24.3</v>
      </c>
      <c r="H9" s="0" t="n">
        <v>98760.86</v>
      </c>
      <c r="I9" s="0" t="n">
        <v>51246.425</v>
      </c>
      <c r="J9" s="0" t="n">
        <v>24.1</v>
      </c>
      <c r="K9" s="0" t="n">
        <v>4.19</v>
      </c>
      <c r="L9" s="0" t="n">
        <v>90351.891</v>
      </c>
      <c r="M9" s="0" t="n">
        <v>49959.557</v>
      </c>
      <c r="N9" s="0" t="n">
        <v>40392.334</v>
      </c>
      <c r="O9" s="0" t="n">
        <v>264151.866</v>
      </c>
      <c r="P9" s="0" t="n">
        <v>450955.341</v>
      </c>
      <c r="Q9" s="0" t="n">
        <v>186580.294</v>
      </c>
      <c r="R9" s="0" t="n">
        <v>79085.689</v>
      </c>
      <c r="S9" s="0" t="n">
        <v>132622.131</v>
      </c>
      <c r="T9" s="0" t="n">
        <v>12230.7</v>
      </c>
      <c r="U9" s="0" t="n">
        <v>1745.745</v>
      </c>
      <c r="AA9" s="0" t="s">
        <v>18</v>
      </c>
      <c r="AB9" s="0" t="s">
        <v>14</v>
      </c>
      <c r="AC9" s="0" t="n">
        <v>2894.942</v>
      </c>
      <c r="AD9" s="0" t="n">
        <v>1924.924</v>
      </c>
      <c r="AE9" s="0" t="n">
        <v>48034.633</v>
      </c>
    </row>
    <row r="10" customFormat="false" ht="15" hidden="false" customHeight="false" outlineLevel="0" collapsed="false">
      <c r="A10" s="0" t="s">
        <v>75</v>
      </c>
      <c r="B10" s="0" t="n">
        <v>278705.264</v>
      </c>
      <c r="C10" s="0" t="n">
        <v>152940.887</v>
      </c>
      <c r="D10" s="0" t="n">
        <v>125764.377</v>
      </c>
      <c r="E10" s="0" t="n">
        <v>45.1</v>
      </c>
      <c r="F10" s="0" t="n">
        <v>104292.225</v>
      </c>
      <c r="G10" s="0" t="n">
        <v>37.4</v>
      </c>
      <c r="H10" s="0" t="n">
        <v>148461.933</v>
      </c>
      <c r="I10" s="0" t="n">
        <v>89478.805</v>
      </c>
      <c r="J10" s="0" t="n">
        <v>32.1</v>
      </c>
      <c r="K10" s="0" t="n">
        <v>7.16</v>
      </c>
      <c r="L10" s="0" t="n">
        <v>145860.529</v>
      </c>
      <c r="M10" s="0" t="n">
        <v>82883.783</v>
      </c>
      <c r="N10" s="0" t="n">
        <v>62976.746</v>
      </c>
      <c r="O10" s="0" t="n">
        <v>322467.269</v>
      </c>
      <c r="P10" s="0" t="n">
        <v>524645.583</v>
      </c>
      <c r="Q10" s="0" t="n">
        <v>201834.635</v>
      </c>
      <c r="R10" s="0" t="n">
        <v>47464.029</v>
      </c>
      <c r="S10" s="0" t="n">
        <v>173818.777</v>
      </c>
      <c r="T10" s="0" t="n">
        <v>12497</v>
      </c>
      <c r="U10" s="0" t="n">
        <v>1351.738</v>
      </c>
      <c r="AA10" s="0" t="s">
        <v>18</v>
      </c>
      <c r="AB10" s="0" t="s">
        <v>14</v>
      </c>
      <c r="AC10" s="0" t="n">
        <v>2841.334</v>
      </c>
      <c r="AD10" s="0" t="n">
        <v>2756.155</v>
      </c>
      <c r="AE10" s="0" t="n">
        <v>80127.628</v>
      </c>
    </row>
    <row r="11" customFormat="false" ht="15" hidden="false" customHeight="false" outlineLevel="0" collapsed="false">
      <c r="A11" s="0" t="s">
        <v>76</v>
      </c>
      <c r="B11" s="0" t="n">
        <v>222533</v>
      </c>
      <c r="C11" s="0" t="n">
        <v>144789.162</v>
      </c>
      <c r="D11" s="0" t="n">
        <v>77743.838</v>
      </c>
      <c r="E11" s="0" t="n">
        <v>34.9</v>
      </c>
      <c r="F11" s="0" t="n">
        <v>57890.661</v>
      </c>
      <c r="G11" s="0" t="n">
        <v>26</v>
      </c>
      <c r="H11" s="0" t="n">
        <v>98374.698</v>
      </c>
      <c r="I11" s="0" t="n">
        <v>59688.95</v>
      </c>
      <c r="J11" s="0" t="n">
        <v>26.8</v>
      </c>
      <c r="K11" s="0" t="n">
        <v>4.82</v>
      </c>
      <c r="L11" s="0" t="n">
        <v>85999.709</v>
      </c>
      <c r="M11" s="0" t="n">
        <v>94020.184</v>
      </c>
      <c r="N11" s="0" t="n">
        <v>-8020.475</v>
      </c>
      <c r="O11" s="0" t="n">
        <v>343376.109</v>
      </c>
      <c r="P11" s="0" t="n">
        <v>546576.832</v>
      </c>
      <c r="Q11" s="0" t="n">
        <v>202859.864</v>
      </c>
      <c r="R11" s="0" t="n">
        <v>74772.696</v>
      </c>
      <c r="S11" s="0" t="n">
        <v>132553.615</v>
      </c>
      <c r="T11" s="0" t="n">
        <v>12383.6</v>
      </c>
      <c r="U11" s="0" t="n">
        <v>1031.896</v>
      </c>
      <c r="AA11" s="0" t="s">
        <v>18</v>
      </c>
      <c r="AB11" s="0" t="s">
        <v>14</v>
      </c>
      <c r="AC11" s="0" t="n">
        <v>2726.481</v>
      </c>
      <c r="AD11" s="0" t="n">
        <v>2546.516</v>
      </c>
      <c r="AE11" s="0" t="n">
        <v>91473.668</v>
      </c>
    </row>
    <row r="12" customFormat="false" ht="15" hidden="false" customHeight="false" outlineLevel="0" collapsed="false">
      <c r="A12" s="0" t="s">
        <v>77</v>
      </c>
      <c r="B12" s="0" t="n">
        <v>232302.584</v>
      </c>
      <c r="C12" s="0" t="n">
        <v>156648.504</v>
      </c>
      <c r="D12" s="0" t="n">
        <v>75654.08</v>
      </c>
      <c r="E12" s="0" t="n">
        <v>32.6</v>
      </c>
      <c r="F12" s="0" t="n">
        <v>51612.57</v>
      </c>
      <c r="G12" s="0" t="n">
        <v>22.2</v>
      </c>
      <c r="H12" s="0" t="n">
        <v>99780.236</v>
      </c>
      <c r="I12" s="0" t="n">
        <v>48779.3</v>
      </c>
      <c r="J12" s="0" t="n">
        <v>21</v>
      </c>
      <c r="K12" s="0" t="n">
        <v>3.94</v>
      </c>
      <c r="L12" s="0" t="n">
        <v>93872.042</v>
      </c>
      <c r="M12" s="0" t="n">
        <v>91343.015</v>
      </c>
      <c r="N12" s="0" t="n">
        <v>2529.027</v>
      </c>
      <c r="O12" s="0" t="n">
        <v>365450.098</v>
      </c>
      <c r="P12" s="0" t="n">
        <v>560168.955</v>
      </c>
      <c r="Q12" s="0" t="n">
        <v>194462.244</v>
      </c>
      <c r="R12" s="0" t="n">
        <v>75043.477</v>
      </c>
      <c r="S12" s="0" t="n">
        <v>105000.226</v>
      </c>
      <c r="T12" s="0" t="n">
        <v>12380.5</v>
      </c>
      <c r="U12" s="0" t="n">
        <v>788.849</v>
      </c>
      <c r="AA12" s="0" t="s">
        <v>18</v>
      </c>
      <c r="AB12" s="0" t="s">
        <v>14</v>
      </c>
      <c r="AC12" s="0" t="n">
        <v>2695.564</v>
      </c>
      <c r="AD12" s="0" t="n">
        <v>2799.42</v>
      </c>
      <c r="AE12" s="0" t="n">
        <v>88543.595</v>
      </c>
    </row>
    <row r="13" customFormat="false" ht="15" hidden="false" customHeight="false" outlineLevel="0" collapsed="false">
      <c r="A13" s="0" t="s">
        <v>78</v>
      </c>
      <c r="B13" s="0" t="n">
        <v>237553.199</v>
      </c>
      <c r="C13" s="0" t="n">
        <v>168646.7</v>
      </c>
      <c r="D13" s="0" t="n">
        <v>68906.499</v>
      </c>
      <c r="E13" s="0" t="n">
        <v>29</v>
      </c>
      <c r="F13" s="0" t="n">
        <v>43948.688</v>
      </c>
      <c r="G13" s="0" t="n">
        <v>18.5</v>
      </c>
      <c r="H13" s="0" t="n">
        <v>103207.605</v>
      </c>
      <c r="I13" s="0" t="n">
        <v>40360.314</v>
      </c>
      <c r="J13" s="0" t="n">
        <v>17</v>
      </c>
      <c r="K13" s="0" t="n">
        <v>3.27</v>
      </c>
      <c r="L13" s="0" t="n">
        <v>99864.187</v>
      </c>
      <c r="M13" s="0" t="n">
        <v>50733.647</v>
      </c>
      <c r="N13" s="0" t="n">
        <v>49130.54</v>
      </c>
      <c r="O13" s="0" t="n">
        <v>365824.997</v>
      </c>
      <c r="P13" s="0" t="n">
        <v>567274.863</v>
      </c>
      <c r="Q13" s="0" t="n">
        <v>201362.691</v>
      </c>
      <c r="R13" s="0" t="n">
        <v>72968.867</v>
      </c>
      <c r="S13" s="0" t="n">
        <v>110660.052</v>
      </c>
      <c r="T13" s="0" t="n">
        <v>12342.6</v>
      </c>
      <c r="U13" s="0" t="n">
        <v>491.28</v>
      </c>
      <c r="AA13" s="0" t="s">
        <v>18</v>
      </c>
      <c r="AB13" s="0" t="s">
        <v>14</v>
      </c>
      <c r="AC13" s="0" t="n">
        <v>2831.54</v>
      </c>
      <c r="AD13" s="0" t="n">
        <v>2988.751</v>
      </c>
      <c r="AE13" s="0" t="n">
        <v>47744.896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26.27</v>
      </c>
    </row>
    <row r="3" customFormat="false" ht="15" hidden="false" customHeight="false" outlineLevel="0" collapsed="false">
      <c r="A3" s="0" t="s">
        <v>82</v>
      </c>
      <c r="B3" s="3" t="n">
        <v>2508.33</v>
      </c>
    </row>
    <row r="4" customFormat="false" ht="15" hidden="false" customHeight="false" outlineLevel="0" collapsed="false">
      <c r="A4" s="0" t="s">
        <v>83</v>
      </c>
      <c r="B4" s="3" t="n">
        <v>-67174</v>
      </c>
    </row>
    <row r="5" customFormat="false" ht="15" hidden="false" customHeight="false" outlineLevel="0" collapsed="false">
      <c r="A5" s="0" t="s">
        <v>84</v>
      </c>
      <c r="B5" s="3" t="n">
        <v>315172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276000</v>
      </c>
    </row>
    <row r="8" customFormat="false" ht="15" hidden="false" customHeight="false" outlineLevel="0" collapsed="false">
      <c r="A8" s="0" t="s">
        <v>87</v>
      </c>
      <c r="B8" s="3" t="s">
        <v>88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0.03145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3</v>
      </c>
      <c r="D13" s="3" t="n">
        <v>-8</v>
      </c>
      <c r="E13" s="3" t="n">
        <v>-2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44</v>
      </c>
      <c r="D14" s="3" t="n">
        <v>38</v>
      </c>
      <c r="E14" s="3" t="n">
        <v>37</v>
      </c>
      <c r="F14" s="3" t="n">
        <v>39</v>
      </c>
      <c r="G14" s="3" t="n">
        <v>40</v>
      </c>
      <c r="H14" s="3" t="n">
        <v>41</v>
      </c>
      <c r="I14" s="3" t="n">
        <v>41</v>
      </c>
      <c r="J14" s="3" t="n">
        <v>41</v>
      </c>
      <c r="K14" s="3" t="n">
        <v>41</v>
      </c>
      <c r="L14" s="3" t="n">
        <v>41</v>
      </c>
    </row>
    <row r="15" customFormat="false" ht="15" hidden="false" customHeight="false" outlineLevel="0" collapsed="false">
      <c r="A15" s="0" t="s">
        <v>105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106</v>
      </c>
      <c r="C16" s="3" t="n">
        <v>0.35</v>
      </c>
      <c r="D16" s="3" t="n">
        <v>0.35</v>
      </c>
      <c r="E16" s="3" t="n">
        <v>0.35</v>
      </c>
      <c r="F16" s="3" t="n">
        <v>0.35</v>
      </c>
      <c r="G16" s="3" t="n">
        <v>0.35</v>
      </c>
      <c r="H16" s="3" t="n">
        <v>0.35</v>
      </c>
      <c r="I16" s="3" t="n">
        <v>0.35</v>
      </c>
      <c r="J16" s="3" t="n">
        <v>0.35</v>
      </c>
      <c r="K16" s="3" t="n">
        <v>0.35</v>
      </c>
      <c r="L16" s="3" t="n">
        <v>0.35</v>
      </c>
    </row>
    <row r="17" customFormat="false" ht="15" hidden="false" customHeight="false" outlineLevel="0" collapsed="false">
      <c r="A17" s="0" t="s">
        <v>107</v>
      </c>
      <c r="C17" s="3" t="n">
        <v>23</v>
      </c>
      <c r="D17" s="3" t="n">
        <v>25</v>
      </c>
      <c r="E17" s="3" t="n">
        <v>25.5</v>
      </c>
      <c r="F17" s="3" t="n">
        <v>25</v>
      </c>
      <c r="G17" s="3" t="n">
        <v>24.5</v>
      </c>
      <c r="H17" s="3" t="n">
        <v>24</v>
      </c>
      <c r="I17" s="3" t="n">
        <v>23.5</v>
      </c>
      <c r="J17" s="3" t="n">
        <v>23</v>
      </c>
      <c r="K17" s="3" t="n">
        <v>22.5</v>
      </c>
      <c r="L17" s="3" t="n">
        <v>22</v>
      </c>
    </row>
    <row r="18" customFormat="false" ht="15" hidden="false" customHeight="false" outlineLevel="0" collapsed="false">
      <c r="A18" s="0" t="s">
        <v>108</v>
      </c>
      <c r="C18" s="3" t="n">
        <v>33</v>
      </c>
      <c r="D18" s="3" t="n">
        <v>25</v>
      </c>
      <c r="E18" s="3" t="n">
        <v>22</v>
      </c>
      <c r="F18" s="3" t="n">
        <v>22</v>
      </c>
      <c r="G18" s="3" t="n">
        <v>22</v>
      </c>
      <c r="H18" s="3" t="n">
        <v>22</v>
      </c>
      <c r="I18" s="3" t="n">
        <v>22</v>
      </c>
      <c r="J18" s="3" t="n">
        <v>22</v>
      </c>
      <c r="K18" s="3" t="n">
        <v>22</v>
      </c>
      <c r="L18" s="3" t="n">
        <v>22</v>
      </c>
    </row>
    <row r="19" customFormat="false" ht="15" hidden="false" customHeight="false" outlineLevel="0" collapsed="false">
      <c r="A19" s="0" t="s">
        <v>109</v>
      </c>
      <c r="C19" s="3" t="n">
        <v>17</v>
      </c>
      <c r="D19" s="3" t="n">
        <v>17</v>
      </c>
      <c r="E19" s="3" t="n">
        <v>18</v>
      </c>
      <c r="F19" s="3" t="n">
        <v>18</v>
      </c>
      <c r="G19" s="3" t="n">
        <v>18</v>
      </c>
      <c r="H19" s="3" t="n">
        <v>18</v>
      </c>
      <c r="I19" s="3" t="n">
        <v>18</v>
      </c>
      <c r="J19" s="3" t="n">
        <v>18</v>
      </c>
      <c r="K19" s="3" t="n">
        <v>18</v>
      </c>
      <c r="L19" s="3" t="n">
        <v>18</v>
      </c>
    </row>
    <row r="20" customFormat="false" ht="15" hidden="false" customHeight="false" outlineLevel="0" collapsed="false">
      <c r="A20" s="0" t="s">
        <v>110</v>
      </c>
      <c r="B20" s="3" t="n">
        <v>8</v>
      </c>
    </row>
    <row r="21" customFormat="false" ht="15" hidden="false" customHeight="false" outlineLevel="0" collapsed="false">
      <c r="A21" s="0" t="s">
        <v>111</v>
      </c>
      <c r="B21" s="3" t="n">
        <v>1.5</v>
      </c>
    </row>
    <row r="22" customFormat="false" ht="15" hidden="false" customHeight="false" outlineLevel="0" collapsed="false">
      <c r="A22" s="0" t="s">
        <v>112</v>
      </c>
      <c r="B22" s="3" t="n">
        <v>12</v>
      </c>
    </row>
    <row r="23" customFormat="false" ht="15" hidden="false" customHeight="false" outlineLevel="0" collapsed="false">
      <c r="A23" s="0" t="s">
        <v>113</v>
      </c>
      <c r="B23" s="3" t="n">
        <v>-5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8</v>
      </c>
      <c r="D27" s="3" t="n">
        <v>6</v>
      </c>
      <c r="E27" s="3" t="n">
        <v>4</v>
      </c>
      <c r="F27" s="3" t="n">
        <v>3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104</v>
      </c>
      <c r="C28" s="3" t="n">
        <v>47</v>
      </c>
      <c r="D28" s="3" t="n">
        <v>46</v>
      </c>
      <c r="E28" s="3" t="n">
        <v>45</v>
      </c>
      <c r="F28" s="3" t="n">
        <v>44.5</v>
      </c>
      <c r="G28" s="3" t="n">
        <v>44</v>
      </c>
      <c r="H28" s="3" t="n">
        <v>44</v>
      </c>
      <c r="I28" s="3" t="n">
        <v>44</v>
      </c>
      <c r="J28" s="3" t="n">
        <v>44</v>
      </c>
      <c r="K28" s="3" t="n">
        <v>44</v>
      </c>
      <c r="L28" s="3" t="n">
        <v>44</v>
      </c>
    </row>
    <row r="29" customFormat="false" ht="15" hidden="false" customHeight="false" outlineLevel="0" collapsed="false">
      <c r="A29" s="0" t="s">
        <v>105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106</v>
      </c>
      <c r="C30" s="3" t="n">
        <v>0.35</v>
      </c>
      <c r="D30" s="3" t="n">
        <v>0.35</v>
      </c>
      <c r="E30" s="3" t="n">
        <v>0.35</v>
      </c>
      <c r="F30" s="3" t="n">
        <v>0.35</v>
      </c>
      <c r="G30" s="3" t="n">
        <v>0.35</v>
      </c>
      <c r="H30" s="3" t="n">
        <v>0.35</v>
      </c>
      <c r="I30" s="3" t="n">
        <v>0.35</v>
      </c>
      <c r="J30" s="3" t="n">
        <v>0.35</v>
      </c>
      <c r="K30" s="3" t="n">
        <v>0.35</v>
      </c>
      <c r="L30" s="3" t="n">
        <v>0.35</v>
      </c>
    </row>
    <row r="31" customFormat="false" ht="15" hidden="false" customHeight="false" outlineLevel="0" collapsed="false">
      <c r="A31" s="0" t="s">
        <v>107</v>
      </c>
      <c r="C31" s="3" t="n">
        <v>23</v>
      </c>
      <c r="D31" s="3" t="n">
        <v>24</v>
      </c>
      <c r="E31" s="3" t="n">
        <v>24.5</v>
      </c>
      <c r="F31" s="3" t="n">
        <v>24.5</v>
      </c>
      <c r="G31" s="3" t="n">
        <v>24</v>
      </c>
      <c r="H31" s="3" t="n">
        <v>23.5</v>
      </c>
      <c r="I31" s="3" t="n">
        <v>23</v>
      </c>
      <c r="J31" s="3" t="n">
        <v>22.5</v>
      </c>
      <c r="K31" s="3" t="n">
        <v>22</v>
      </c>
      <c r="L31" s="3" t="n">
        <v>22</v>
      </c>
    </row>
    <row r="32" customFormat="false" ht="15" hidden="false" customHeight="false" outlineLevel="0" collapsed="false">
      <c r="A32" s="0" t="s">
        <v>108</v>
      </c>
      <c r="C32" s="3" t="n">
        <v>33</v>
      </c>
      <c r="D32" s="3" t="n">
        <v>28</v>
      </c>
      <c r="E32" s="3" t="n">
        <v>26</v>
      </c>
      <c r="F32" s="3" t="n">
        <v>25</v>
      </c>
      <c r="G32" s="3" t="n">
        <v>24</v>
      </c>
      <c r="H32" s="3" t="n">
        <v>23.5</v>
      </c>
      <c r="I32" s="3" t="n">
        <v>23</v>
      </c>
      <c r="J32" s="3" t="n">
        <v>23</v>
      </c>
      <c r="K32" s="3" t="n">
        <v>23</v>
      </c>
      <c r="L32" s="3" t="n">
        <v>23</v>
      </c>
    </row>
    <row r="33" customFormat="false" ht="15" hidden="false" customHeight="false" outlineLevel="0" collapsed="false">
      <c r="A33" s="0" t="s">
        <v>109</v>
      </c>
      <c r="C33" s="3" t="n">
        <v>17</v>
      </c>
      <c r="D33" s="3" t="n">
        <v>17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110</v>
      </c>
      <c r="B34" s="3" t="n">
        <v>8</v>
      </c>
    </row>
    <row r="35" customFormat="false" ht="15" hidden="false" customHeight="false" outlineLevel="0" collapsed="false">
      <c r="A35" s="0" t="s">
        <v>111</v>
      </c>
      <c r="B35" s="3" t="n">
        <v>2</v>
      </c>
    </row>
    <row r="36" customFormat="false" ht="15" hidden="false" customHeight="false" outlineLevel="0" collapsed="false">
      <c r="A36" s="0" t="s">
        <v>112</v>
      </c>
      <c r="B36" s="3" t="n">
        <v>14</v>
      </c>
    </row>
    <row r="37" customFormat="false" ht="15" hidden="false" customHeight="false" outlineLevel="0" collapsed="false">
      <c r="A37" s="0" t="s">
        <v>113</v>
      </c>
      <c r="B37" s="3" t="n">
        <v>-5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12</v>
      </c>
      <c r="D41" s="3" t="n">
        <v>10</v>
      </c>
      <c r="E41" s="3" t="n">
        <v>7</v>
      </c>
      <c r="F41" s="3" t="n">
        <v>5</v>
      </c>
      <c r="G41" s="3" t="n">
        <v>4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104</v>
      </c>
      <c r="C42" s="3" t="n">
        <v>49</v>
      </c>
      <c r="D42" s="3" t="n">
        <v>50</v>
      </c>
      <c r="E42" s="3" t="n">
        <v>49</v>
      </c>
      <c r="F42" s="3" t="n">
        <v>48</v>
      </c>
      <c r="G42" s="3" t="n">
        <v>47</v>
      </c>
      <c r="H42" s="3" t="n">
        <v>47</v>
      </c>
      <c r="I42" s="3" t="n">
        <v>46</v>
      </c>
      <c r="J42" s="3" t="n">
        <v>46</v>
      </c>
      <c r="K42" s="3" t="n">
        <v>46</v>
      </c>
      <c r="L42" s="3" t="n">
        <v>46</v>
      </c>
    </row>
    <row r="43" customFormat="false" ht="15" hidden="false" customHeight="false" outlineLevel="0" collapsed="false">
      <c r="A43" s="0" t="s">
        <v>105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106</v>
      </c>
      <c r="C44" s="3" t="n">
        <v>0.35</v>
      </c>
      <c r="D44" s="3" t="n">
        <v>0.35</v>
      </c>
      <c r="E44" s="3" t="n">
        <v>0.35</v>
      </c>
      <c r="F44" s="3" t="n">
        <v>0.35</v>
      </c>
      <c r="G44" s="3" t="n">
        <v>0.35</v>
      </c>
      <c r="H44" s="3" t="n">
        <v>0.35</v>
      </c>
      <c r="I44" s="3" t="n">
        <v>0.35</v>
      </c>
      <c r="J44" s="3" t="n">
        <v>0.35</v>
      </c>
      <c r="K44" s="3" t="n">
        <v>0.35</v>
      </c>
      <c r="L44" s="3" t="n">
        <v>0.35</v>
      </c>
    </row>
    <row r="45" customFormat="false" ht="15" hidden="false" customHeight="false" outlineLevel="0" collapsed="false">
      <c r="A45" s="0" t="s">
        <v>107</v>
      </c>
      <c r="C45" s="3" t="n">
        <v>23</v>
      </c>
      <c r="D45" s="3" t="n">
        <v>24</v>
      </c>
      <c r="E45" s="3" t="n">
        <v>25</v>
      </c>
      <c r="F45" s="3" t="n">
        <v>25</v>
      </c>
      <c r="G45" s="3" t="n">
        <v>24.5</v>
      </c>
      <c r="H45" s="3" t="n">
        <v>24</v>
      </c>
      <c r="I45" s="3" t="n">
        <v>23.5</v>
      </c>
      <c r="J45" s="3" t="n">
        <v>23</v>
      </c>
      <c r="K45" s="3" t="n">
        <v>22.5</v>
      </c>
      <c r="L45" s="3" t="n">
        <v>22.5</v>
      </c>
    </row>
    <row r="46" customFormat="false" ht="15" hidden="false" customHeight="false" outlineLevel="0" collapsed="false">
      <c r="A46" s="0" t="s">
        <v>108</v>
      </c>
      <c r="C46" s="3" t="n">
        <v>33</v>
      </c>
      <c r="D46" s="3" t="n">
        <v>30</v>
      </c>
      <c r="E46" s="3" t="n">
        <v>28</v>
      </c>
      <c r="F46" s="3" t="n">
        <v>26</v>
      </c>
      <c r="G46" s="3" t="n">
        <v>25</v>
      </c>
      <c r="H46" s="3" t="n">
        <v>24</v>
      </c>
      <c r="I46" s="3" t="n">
        <v>23.5</v>
      </c>
      <c r="J46" s="3" t="n">
        <v>23</v>
      </c>
      <c r="K46" s="3" t="n">
        <v>23</v>
      </c>
      <c r="L46" s="3" t="n">
        <v>23</v>
      </c>
    </row>
    <row r="47" customFormat="false" ht="15" hidden="false" customHeight="false" outlineLevel="0" collapsed="false">
      <c r="A47" s="0" t="s">
        <v>109</v>
      </c>
      <c r="C47" s="3" t="n">
        <v>17</v>
      </c>
      <c r="D47" s="3" t="n">
        <v>17</v>
      </c>
      <c r="E47" s="3" t="n">
        <v>18</v>
      </c>
      <c r="F47" s="3" t="n">
        <v>18</v>
      </c>
      <c r="G47" s="3" t="n">
        <v>18</v>
      </c>
      <c r="H47" s="3" t="n">
        <v>18</v>
      </c>
      <c r="I47" s="3" t="n">
        <v>18</v>
      </c>
      <c r="J47" s="3" t="n">
        <v>18</v>
      </c>
      <c r="K47" s="3" t="n">
        <v>18</v>
      </c>
      <c r="L47" s="3" t="n">
        <v>18</v>
      </c>
    </row>
    <row r="48" customFormat="false" ht="15" hidden="false" customHeight="false" outlineLevel="0" collapsed="false">
      <c r="A48" s="0" t="s">
        <v>110</v>
      </c>
      <c r="B48" s="3" t="n">
        <v>8</v>
      </c>
    </row>
    <row r="49" customFormat="false" ht="15" hidden="false" customHeight="false" outlineLevel="0" collapsed="false">
      <c r="A49" s="0" t="s">
        <v>111</v>
      </c>
      <c r="B49" s="3" t="n">
        <v>2.5</v>
      </c>
    </row>
    <row r="50" customFormat="false" ht="15" hidden="false" customHeight="false" outlineLevel="0" collapsed="false">
      <c r="A50" s="0" t="s">
        <v>112</v>
      </c>
      <c r="B50" s="3" t="n">
        <v>16</v>
      </c>
    </row>
    <row r="51" customFormat="false" ht="15" hidden="false" customHeight="false" outlineLevel="0" collapsed="false">
      <c r="A51" s="0" t="s">
        <v>113</v>
      </c>
      <c r="B51" s="3" t="n">
        <v>-5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88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3</v>
      </c>
      <c r="D5" s="4" t="n">
        <f aca="false">Assumptions!D13</f>
        <v>-8</v>
      </c>
      <c r="E5" s="4" t="n">
        <f aca="false">Assumptions!E13</f>
        <v>-2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276000</v>
      </c>
      <c r="C6" s="0" t="n">
        <f aca="false">B6*(1+C5/100)</f>
        <v>284280</v>
      </c>
      <c r="D6" s="0" t="n">
        <f aca="false">C6*(1+D5/100)</f>
        <v>261537.6</v>
      </c>
      <c r="E6" s="0" t="n">
        <f aca="false">D6*(1+E5/100)</f>
        <v>256306.848</v>
      </c>
      <c r="F6" s="0" t="n">
        <f aca="false">E6*(1+F5/100)</f>
        <v>263996.05344</v>
      </c>
      <c r="G6" s="0" t="n">
        <f aca="false">F6*(1+G5/100)</f>
        <v>271915.9350432</v>
      </c>
      <c r="H6" s="0" t="n">
        <f aca="false">G6*(1+H5/100)</f>
        <v>280073.413094496</v>
      </c>
      <c r="I6" s="0" t="n">
        <f aca="false">H6*(1+I5/100)</f>
        <v>287075.248421858</v>
      </c>
      <c r="J6" s="0" t="n">
        <f aca="false">I6*(1+J5/100)</f>
        <v>292816.753390296</v>
      </c>
      <c r="K6" s="0" t="n">
        <f aca="false">J6*(1+K5/100)</f>
        <v>298673.088458101</v>
      </c>
      <c r="L6" s="0" t="n">
        <f aca="false">K6*(1+L5/100)</f>
        <v>304646.550227264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44</v>
      </c>
      <c r="D7" s="4" t="n">
        <f aca="false">Assumptions!D14</f>
        <v>38</v>
      </c>
      <c r="E7" s="4" t="n">
        <f aca="false">Assumptions!E14</f>
        <v>37</v>
      </c>
      <c r="F7" s="4" t="n">
        <f aca="false">Assumptions!F14</f>
        <v>39</v>
      </c>
      <c r="G7" s="4" t="n">
        <f aca="false">Assumptions!G14</f>
        <v>40</v>
      </c>
      <c r="H7" s="4" t="n">
        <f aca="false">Assumptions!H14</f>
        <v>41</v>
      </c>
      <c r="I7" s="4" t="n">
        <f aca="false">Assumptions!I14</f>
        <v>41</v>
      </c>
      <c r="J7" s="4" t="n">
        <f aca="false">Assumptions!J14</f>
        <v>41</v>
      </c>
      <c r="K7" s="4" t="n">
        <f aca="false">Assumptions!K14</f>
        <v>41</v>
      </c>
      <c r="L7" s="4" t="n">
        <f aca="false">Assumptions!L14</f>
        <v>41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125083.2</v>
      </c>
      <c r="D8" s="0" t="n">
        <f aca="false">D6*D7/100</f>
        <v>99384.288</v>
      </c>
      <c r="E8" s="0" t="n">
        <f aca="false">E6*E7/100</f>
        <v>94833.53376</v>
      </c>
      <c r="F8" s="0" t="n">
        <f aca="false">F6*F7/100</f>
        <v>102958.4608416</v>
      </c>
      <c r="G8" s="0" t="n">
        <f aca="false">G6*G7/100</f>
        <v>108766.37401728</v>
      </c>
      <c r="H8" s="0" t="n">
        <f aca="false">H6*H7/100</f>
        <v>114830.099368743</v>
      </c>
      <c r="I8" s="0" t="n">
        <f aca="false">I6*I7/100</f>
        <v>117700.851852962</v>
      </c>
      <c r="J8" s="0" t="n">
        <f aca="false">J6*J7/100</f>
        <v>120054.868890021</v>
      </c>
      <c r="K8" s="0" t="n">
        <f aca="false">K6*K7/100</f>
        <v>122455.966267822</v>
      </c>
      <c r="L8" s="0" t="n">
        <f aca="false">L6*L7/100</f>
        <v>124905.085593178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-852.84</v>
      </c>
      <c r="D10" s="0" t="n">
        <f aca="false">-D6*D9/100</f>
        <v>-784.6128</v>
      </c>
      <c r="E10" s="0" t="n">
        <f aca="false">-E6*E9/100</f>
        <v>-768.920544</v>
      </c>
      <c r="F10" s="0" t="n">
        <f aca="false">-F6*F9/100</f>
        <v>-791.98816032</v>
      </c>
      <c r="G10" s="0" t="n">
        <f aca="false">-G6*G9/100</f>
        <v>-815.7478051296</v>
      </c>
      <c r="H10" s="0" t="n">
        <f aca="false">-H6*H9/100</f>
        <v>-840.220239283488</v>
      </c>
      <c r="I10" s="0" t="n">
        <f aca="false">-I6*I9/100</f>
        <v>-861.225745265575</v>
      </c>
      <c r="J10" s="0" t="n">
        <f aca="false">-J6*J9/100</f>
        <v>-878.450260170887</v>
      </c>
      <c r="K10" s="0" t="n">
        <f aca="false">-K6*K9/100</f>
        <v>-896.019265374304</v>
      </c>
      <c r="L10" s="0" t="n">
        <f aca="false">-L6*L9/100</f>
        <v>-913.93965068179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123235.38</v>
      </c>
      <c r="D11" s="0" t="n">
        <f aca="false">D8+D10+D24</f>
        <v>97684.2936</v>
      </c>
      <c r="E11" s="0" t="n">
        <f aca="false">E8+E10+E24</f>
        <v>93167.539248</v>
      </c>
      <c r="F11" s="0" t="n">
        <f aca="false">F8+F10+F24</f>
        <v>101242.48649424</v>
      </c>
      <c r="G11" s="0" t="n">
        <f aca="false">G8+G10+G24</f>
        <v>106998.920439499</v>
      </c>
      <c r="H11" s="0" t="n">
        <f aca="false">H8+H10+H24</f>
        <v>113009.622183629</v>
      </c>
      <c r="I11" s="0" t="n">
        <f aca="false">I8+I10+I24</f>
        <v>115834.86273822</v>
      </c>
      <c r="J11" s="0" t="n">
        <f aca="false">J8+J10+J24</f>
        <v>118151.559992984</v>
      </c>
      <c r="K11" s="0" t="n">
        <f aca="false">K8+K10+K24</f>
        <v>120514.591192844</v>
      </c>
      <c r="L11" s="0" t="n">
        <f aca="false">L8+L10+L24</f>
        <v>122924.883016701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-65384.4</v>
      </c>
      <c r="D12" s="4" t="n">
        <f aca="false">-D6*Assumptions!D17/100</f>
        <v>-65384.4</v>
      </c>
      <c r="E12" s="4" t="n">
        <f aca="false">-E6*Assumptions!E17/100</f>
        <v>-65358.24624</v>
      </c>
      <c r="F12" s="4" t="n">
        <f aca="false">-F6*Assumptions!F17/100</f>
        <v>-65999.01336</v>
      </c>
      <c r="G12" s="4" t="n">
        <f aca="false">-G6*Assumptions!G17/100</f>
        <v>-66619.404085584</v>
      </c>
      <c r="H12" s="4" t="n">
        <f aca="false">-H6*Assumptions!H17/100</f>
        <v>-67217.6191426791</v>
      </c>
      <c r="I12" s="4" t="n">
        <f aca="false">-I6*Assumptions!I17/100</f>
        <v>-67462.6833791367</v>
      </c>
      <c r="J12" s="4" t="n">
        <f aca="false">-J6*Assumptions!J17/100</f>
        <v>-67347.853279768</v>
      </c>
      <c r="K12" s="4" t="n">
        <f aca="false">-K6*Assumptions!K17/100</f>
        <v>-67201.4449030728</v>
      </c>
      <c r="L12" s="4" t="n">
        <f aca="false">-L6*Assumptions!L17/100</f>
        <v>-67022.241049998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57850.98</v>
      </c>
      <c r="D13" s="0" t="n">
        <f aca="false">D11+D12</f>
        <v>32299.8936</v>
      </c>
      <c r="E13" s="0" t="n">
        <f aca="false">E11+E12</f>
        <v>27809.293008</v>
      </c>
      <c r="F13" s="0" t="n">
        <f aca="false">F11+F12</f>
        <v>35243.47313424</v>
      </c>
      <c r="G13" s="0" t="n">
        <f aca="false">G11+G12</f>
        <v>40379.5163539152</v>
      </c>
      <c r="H13" s="0" t="n">
        <f aca="false">H11+H12</f>
        <v>45792.0030409501</v>
      </c>
      <c r="I13" s="0" t="n">
        <f aca="false">I11+I12</f>
        <v>48372.1793590831</v>
      </c>
      <c r="J13" s="0" t="n">
        <f aca="false">J11+J12</f>
        <v>50803.7067132163</v>
      </c>
      <c r="K13" s="0" t="n">
        <f aca="false">K11+K12</f>
        <v>53313.1462897711</v>
      </c>
      <c r="L13" s="0" t="n">
        <f aca="false">L11+L12</f>
        <v>55902.6419667029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17</v>
      </c>
      <c r="D14" s="4" t="n">
        <f aca="false">Assumptions!D19</f>
        <v>17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</v>
      </c>
      <c r="H14" s="4" t="n">
        <f aca="false">Assumptions!H19</f>
        <v>18</v>
      </c>
      <c r="I14" s="4" t="n">
        <f aca="false">Assumptions!I19</f>
        <v>18</v>
      </c>
      <c r="J14" s="4" t="n">
        <f aca="false">Assumptions!J19</f>
        <v>18</v>
      </c>
      <c r="K14" s="4" t="n">
        <f aca="false">Assumptions!K19</f>
        <v>18</v>
      </c>
      <c r="L14" s="4" t="n">
        <f aca="false">Assumptions!L19</f>
        <v>18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48016.3134</v>
      </c>
      <c r="D15" s="0" t="n">
        <f aca="false">D13-MAX(0,D13)*D14/100</f>
        <v>26808.911688</v>
      </c>
      <c r="E15" s="0" t="n">
        <f aca="false">E13-MAX(0,E13)*E14/100</f>
        <v>22803.62026656</v>
      </c>
      <c r="F15" s="0" t="n">
        <f aca="false">F13-MAX(0,F13)*F14/100</f>
        <v>28899.6479700768</v>
      </c>
      <c r="G15" s="0" t="n">
        <f aca="false">G13-MAX(0,G13)*G14/100</f>
        <v>33111.2034102105</v>
      </c>
      <c r="H15" s="0" t="n">
        <f aca="false">H13-MAX(0,H13)*H14/100</f>
        <v>37549.4424935791</v>
      </c>
      <c r="I15" s="0" t="n">
        <f aca="false">I13-MAX(0,I13)*I14/100</f>
        <v>39665.1870744482</v>
      </c>
      <c r="J15" s="0" t="n">
        <f aca="false">J13-MAX(0,J13)*J14/100</f>
        <v>41659.0395048374</v>
      </c>
      <c r="K15" s="0" t="n">
        <f aca="false">K13-MAX(0,K13)*K14/100</f>
        <v>43716.7799576123</v>
      </c>
      <c r="L15" s="0" t="n">
        <f aca="false">L13-MAX(0,L13)*L14/100</f>
        <v>45840.1664126963</v>
      </c>
    </row>
    <row r="16" customFormat="false" ht="15" hidden="false" customHeight="false" outlineLevel="0" collapsed="false">
      <c r="A16" s="0" t="s">
        <v>125</v>
      </c>
      <c r="C16" s="0" t="n">
        <f aca="false">-C12</f>
        <v>65384.4</v>
      </c>
      <c r="D16" s="0" t="n">
        <f aca="false">-D12</f>
        <v>65384.4</v>
      </c>
      <c r="E16" s="0" t="n">
        <f aca="false">-E12</f>
        <v>65358.24624</v>
      </c>
      <c r="F16" s="0" t="n">
        <f aca="false">-F12</f>
        <v>65999.01336</v>
      </c>
      <c r="G16" s="0" t="n">
        <f aca="false">-G12</f>
        <v>66619.404085584</v>
      </c>
      <c r="H16" s="0" t="n">
        <f aca="false">-H12</f>
        <v>67217.6191426791</v>
      </c>
      <c r="I16" s="0" t="n">
        <f aca="false">-I12</f>
        <v>67462.6833791367</v>
      </c>
      <c r="J16" s="0" t="n">
        <f aca="false">-J12</f>
        <v>67347.853279768</v>
      </c>
      <c r="K16" s="0" t="n">
        <f aca="false">-K12</f>
        <v>67201.4449030728</v>
      </c>
      <c r="L16" s="0" t="n">
        <f aca="false">-L12</f>
        <v>67022.241049998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-93812.4</v>
      </c>
      <c r="D17" s="4" t="n">
        <f aca="false">-D6*Assumptions!D18/100</f>
        <v>-65384.4</v>
      </c>
      <c r="E17" s="4" t="n">
        <f aca="false">-E6*Assumptions!E18/100</f>
        <v>-56387.50656</v>
      </c>
      <c r="F17" s="4" t="n">
        <f aca="false">-F6*Assumptions!F18/100</f>
        <v>-58079.1317568</v>
      </c>
      <c r="G17" s="4" t="n">
        <f aca="false">-G6*Assumptions!G18/100</f>
        <v>-59821.505709504</v>
      </c>
      <c r="H17" s="4" t="n">
        <f aca="false">-H6*Assumptions!H18/100</f>
        <v>-61616.1508807891</v>
      </c>
      <c r="I17" s="4" t="n">
        <f aca="false">-I6*Assumptions!I18/100</f>
        <v>-63156.5546528088</v>
      </c>
      <c r="J17" s="4" t="n">
        <f aca="false">-J6*Assumptions!J18/100</f>
        <v>-64419.685745865</v>
      </c>
      <c r="K17" s="4" t="n">
        <f aca="false">-K6*Assumptions!K18/100</f>
        <v>-65708.0794607823</v>
      </c>
      <c r="L17" s="4" t="n">
        <f aca="false">-L6*Assumptions!L18/100</f>
        <v>-67022.241049998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-414</v>
      </c>
      <c r="D18" s="4" t="n">
        <f aca="false">(D6-C6)*Assumptions!$B$23/100</f>
        <v>1137.12</v>
      </c>
      <c r="E18" s="4" t="n">
        <f aca="false">(E6-D6)*Assumptions!$B$23/100</f>
        <v>261.5376</v>
      </c>
      <c r="F18" s="4" t="n">
        <f aca="false">(F6-E6)*Assumptions!$B$23/100</f>
        <v>-384.460272</v>
      </c>
      <c r="G18" s="4" t="n">
        <f aca="false">(G6-F6)*Assumptions!$B$23/100</f>
        <v>-395.994080159999</v>
      </c>
      <c r="H18" s="4" t="n">
        <f aca="false">(H6-G6)*Assumptions!$B$23/100</f>
        <v>-407.873902564801</v>
      </c>
      <c r="I18" s="4" t="n">
        <f aca="false">(I6-H6)*Assumptions!$B$23/100</f>
        <v>-350.091766368118</v>
      </c>
      <c r="J18" s="4" t="n">
        <f aca="false">(J6-I6)*Assumptions!$B$23/100</f>
        <v>-287.07524842186</v>
      </c>
      <c r="K18" s="4" t="n">
        <f aca="false">(K6-J6)*Assumptions!$B$23/100</f>
        <v>-292.816753390295</v>
      </c>
      <c r="L18" s="4" t="n">
        <f aca="false">(L6-K6)*Assumptions!$B$23/100</f>
        <v>-298.673088458102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19174.3134</v>
      </c>
      <c r="D19" s="0" t="n">
        <f aca="false">D15+D16+D17+D18</f>
        <v>27946.031688</v>
      </c>
      <c r="E19" s="0" t="n">
        <f aca="false">E15+E16+E17+E18</f>
        <v>32035.89754656</v>
      </c>
      <c r="F19" s="0" t="n">
        <f aca="false">F15+F16+F17+F18</f>
        <v>36435.0693012768</v>
      </c>
      <c r="G19" s="0" t="n">
        <f aca="false">G15+G16+G17+G18</f>
        <v>39513.1077061305</v>
      </c>
      <c r="H19" s="0" t="n">
        <f aca="false">H15+H16+H17+H18</f>
        <v>42743.0368529042</v>
      </c>
      <c r="I19" s="0" t="n">
        <f aca="false">I15+I16+I17+I18</f>
        <v>43621.2240344079</v>
      </c>
      <c r="J19" s="0" t="n">
        <f aca="false">J15+J16+J17+J18</f>
        <v>44300.1317903185</v>
      </c>
      <c r="K19" s="0" t="n">
        <f aca="false">K15+K16+K17+K18</f>
        <v>44917.3286465125</v>
      </c>
      <c r="L19" s="0" t="n">
        <f aca="false">L15+L16+L17+L18</f>
        <v>45541.4933242382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17753.9938888889</v>
      </c>
      <c r="D21" s="0" t="n">
        <f aca="false">D19*D20</f>
        <v>23959.2178395062</v>
      </c>
      <c r="E21" s="0" t="n">
        <f aca="false">E19*E20</f>
        <v>25431.1283424783</v>
      </c>
      <c r="F21" s="0" t="n">
        <f aca="false">F19*F20</f>
        <v>26780.8636251461</v>
      </c>
      <c r="G21" s="0" t="n">
        <f aca="false">G19*G20</f>
        <v>26891.9571673773</v>
      </c>
      <c r="H21" s="0" t="n">
        <f aca="false">H19*H20</f>
        <v>26935.3635854454</v>
      </c>
      <c r="I21" s="0" t="n">
        <f aca="false">I19*I20</f>
        <v>25452.5652536548</v>
      </c>
      <c r="J21" s="0" t="n">
        <f aca="false">J19*J20</f>
        <v>23933.9827856459</v>
      </c>
      <c r="K21" s="0" t="n">
        <f aca="false">K19*K20</f>
        <v>22469.8472617222</v>
      </c>
      <c r="L21" s="0" t="n">
        <f aca="false">L19*L20</f>
        <v>21094.5231454393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0.35</v>
      </c>
      <c r="D23" s="4" t="n">
        <f aca="false">Assumptions!D16</f>
        <v>0.35</v>
      </c>
      <c r="E23" s="4" t="n">
        <f aca="false">Assumptions!E16</f>
        <v>0.35</v>
      </c>
      <c r="F23" s="4" t="n">
        <f aca="false">Assumptions!F16</f>
        <v>0.35</v>
      </c>
      <c r="G23" s="4" t="n">
        <f aca="false">Assumptions!G16</f>
        <v>0.35</v>
      </c>
      <c r="H23" s="4" t="n">
        <f aca="false">Assumptions!H16</f>
        <v>0.35</v>
      </c>
      <c r="I23" s="4" t="n">
        <f aca="false">Assumptions!I16</f>
        <v>0.35</v>
      </c>
      <c r="J23" s="4" t="n">
        <f aca="false">Assumptions!J16</f>
        <v>0.35</v>
      </c>
      <c r="K23" s="4" t="n">
        <f aca="false">Assumptions!K16</f>
        <v>0.35</v>
      </c>
      <c r="L23" s="4" t="n">
        <f aca="false">Assumptions!L16</f>
        <v>0.35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-994.98</v>
      </c>
      <c r="D24" s="0" t="n">
        <f aca="false">-D6*D23/100</f>
        <v>-915.3816</v>
      </c>
      <c r="E24" s="0" t="n">
        <f aca="false">-E6*E23/100</f>
        <v>-897.073968</v>
      </c>
      <c r="F24" s="0" t="n">
        <f aca="false">-F6*F23/100</f>
        <v>-923.98618704</v>
      </c>
      <c r="G24" s="0" t="n">
        <f aca="false">-G6*G23/100</f>
        <v>-951.7057726512</v>
      </c>
      <c r="H24" s="0" t="n">
        <f aca="false">-H6*H23/100</f>
        <v>-980.256945830736</v>
      </c>
      <c r="I24" s="0" t="n">
        <f aca="false">-I6*I23/100</f>
        <v>-1004.7633694765</v>
      </c>
      <c r="J24" s="0" t="n">
        <f aca="false">-J6*J23/100</f>
        <v>-1024.85863686603</v>
      </c>
      <c r="K24" s="0" t="n">
        <f aca="false">-K6*K23/100</f>
        <v>-1045.35580960336</v>
      </c>
      <c r="L24" s="0" t="n">
        <f aca="false">-L6*L23/100</f>
        <v>-1066.26292579542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240703.442895304</v>
      </c>
    </row>
    <row r="31" customFormat="false" ht="15" hidden="false" customHeight="false" outlineLevel="0" collapsed="false">
      <c r="A31" s="0" t="s">
        <v>134</v>
      </c>
      <c r="B31" s="0" t="n">
        <f aca="false">L19</f>
        <v>45541.4933242382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711147.934216951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546497.919890859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546497.919890859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253134.277745271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493837.720640575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876183.720640576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10.9857865648244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-0.581812464224422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5588.21996179565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6610.47474028722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11.1387365149429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342404.560919273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8.02087380119793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88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8</v>
      </c>
      <c r="D5" s="4" t="n">
        <f aca="false">Assumptions!D27</f>
        <v>6</v>
      </c>
      <c r="E5" s="4" t="n">
        <f aca="false">Assumptions!E27</f>
        <v>4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276000</v>
      </c>
      <c r="C6" s="0" t="n">
        <f aca="false">B6*(1+C5/100)</f>
        <v>298080</v>
      </c>
      <c r="D6" s="0" t="n">
        <f aca="false">C6*(1+D5/100)</f>
        <v>315964.8</v>
      </c>
      <c r="E6" s="0" t="n">
        <f aca="false">D6*(1+E5/100)</f>
        <v>328603.392</v>
      </c>
      <c r="F6" s="0" t="n">
        <f aca="false">E6*(1+F5/100)</f>
        <v>338461.49376</v>
      </c>
      <c r="G6" s="0" t="n">
        <f aca="false">F6*(1+G5/100)</f>
        <v>348615.3385728</v>
      </c>
      <c r="H6" s="0" t="n">
        <f aca="false">G6*(1+H5/100)</f>
        <v>359073.798729984</v>
      </c>
      <c r="I6" s="0" t="n">
        <f aca="false">H6*(1+I5/100)</f>
        <v>369846.012691884</v>
      </c>
      <c r="J6" s="0" t="n">
        <f aca="false">I6*(1+J5/100)</f>
        <v>379092.163009181</v>
      </c>
      <c r="K6" s="0" t="n">
        <f aca="false">J6*(1+K5/100)</f>
        <v>388569.46708441</v>
      </c>
      <c r="L6" s="0" t="n">
        <f aca="false">K6*(1+L5/100)</f>
        <v>398283.70376152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47</v>
      </c>
      <c r="D7" s="4" t="n">
        <f aca="false">Assumptions!D28</f>
        <v>46</v>
      </c>
      <c r="E7" s="4" t="n">
        <f aca="false">Assumptions!E28</f>
        <v>45</v>
      </c>
      <c r="F7" s="4" t="n">
        <f aca="false">Assumptions!F28</f>
        <v>44.5</v>
      </c>
      <c r="G7" s="4" t="n">
        <f aca="false">Assumptions!G28</f>
        <v>44</v>
      </c>
      <c r="H7" s="4" t="n">
        <f aca="false">Assumptions!H28</f>
        <v>44</v>
      </c>
      <c r="I7" s="4" t="n">
        <f aca="false">Assumptions!I28</f>
        <v>44</v>
      </c>
      <c r="J7" s="4" t="n">
        <f aca="false">Assumptions!J28</f>
        <v>44</v>
      </c>
      <c r="K7" s="4" t="n">
        <f aca="false">Assumptions!K28</f>
        <v>44</v>
      </c>
      <c r="L7" s="4" t="n">
        <f aca="false">Assumptions!L28</f>
        <v>44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140097.6</v>
      </c>
      <c r="D8" s="0" t="n">
        <f aca="false">D6*D7/100</f>
        <v>145343.808</v>
      </c>
      <c r="E8" s="0" t="n">
        <f aca="false">E6*E7/100</f>
        <v>147871.5264</v>
      </c>
      <c r="F8" s="0" t="n">
        <f aca="false">F6*F7/100</f>
        <v>150615.3647232</v>
      </c>
      <c r="G8" s="0" t="n">
        <f aca="false">G6*G7/100</f>
        <v>153390.748972032</v>
      </c>
      <c r="H8" s="0" t="n">
        <f aca="false">H6*H7/100</f>
        <v>157992.471441193</v>
      </c>
      <c r="I8" s="0" t="n">
        <f aca="false">I6*I7/100</f>
        <v>162732.245584429</v>
      </c>
      <c r="J8" s="0" t="n">
        <f aca="false">J6*J7/100</f>
        <v>166800.551724039</v>
      </c>
      <c r="K8" s="0" t="n">
        <f aca="false">K6*K7/100</f>
        <v>170970.56551714</v>
      </c>
      <c r="L8" s="0" t="n">
        <f aca="false">L6*L7/100</f>
        <v>175244.829655069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-894.24</v>
      </c>
      <c r="D10" s="0" t="n">
        <f aca="false">-D6*D9/100</f>
        <v>-947.8944</v>
      </c>
      <c r="E10" s="0" t="n">
        <f aca="false">-E6*E9/100</f>
        <v>-985.810176</v>
      </c>
      <c r="F10" s="0" t="n">
        <f aca="false">-F6*F9/100</f>
        <v>-1015.38448128</v>
      </c>
      <c r="G10" s="0" t="n">
        <f aca="false">-G6*G9/100</f>
        <v>-1045.8460157184</v>
      </c>
      <c r="H10" s="0" t="n">
        <f aca="false">-H6*H9/100</f>
        <v>-1077.22139618995</v>
      </c>
      <c r="I10" s="0" t="n">
        <f aca="false">-I6*I9/100</f>
        <v>-1109.53803807565</v>
      </c>
      <c r="J10" s="0" t="n">
        <f aca="false">-J6*J9/100</f>
        <v>-1137.27648902754</v>
      </c>
      <c r="K10" s="0" t="n">
        <f aca="false">-K6*K9/100</f>
        <v>-1165.70840125323</v>
      </c>
      <c r="L10" s="0" t="n">
        <f aca="false">-L6*L9/100</f>
        <v>-1194.85111128456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138160.08</v>
      </c>
      <c r="D11" s="0" t="n">
        <f aca="false">D8+D10+D24</f>
        <v>143290.0368</v>
      </c>
      <c r="E11" s="0" t="n">
        <f aca="false">E8+E10+E24</f>
        <v>145735.604352</v>
      </c>
      <c r="F11" s="0" t="n">
        <f aca="false">F8+F10+F24</f>
        <v>148415.36501376</v>
      </c>
      <c r="G11" s="0" t="n">
        <f aca="false">G8+G10+G24</f>
        <v>151124.749271309</v>
      </c>
      <c r="H11" s="0" t="n">
        <f aca="false">H8+H10+H24</f>
        <v>155658.491749448</v>
      </c>
      <c r="I11" s="0" t="n">
        <f aca="false">I8+I10+I24</f>
        <v>160328.246501932</v>
      </c>
      <c r="J11" s="0" t="n">
        <f aca="false">J8+J10+J24</f>
        <v>164336.45266448</v>
      </c>
      <c r="K11" s="0" t="n">
        <f aca="false">K8+K10+K24</f>
        <v>168444.863981092</v>
      </c>
      <c r="L11" s="0" t="n">
        <f aca="false">L8+L10+L24</f>
        <v>172655.985580619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-68558.4</v>
      </c>
      <c r="D12" s="4" t="n">
        <f aca="false">-D6*Assumptions!D31/100</f>
        <v>-75831.552</v>
      </c>
      <c r="E12" s="4" t="n">
        <f aca="false">-E6*Assumptions!E31/100</f>
        <v>-80507.83104</v>
      </c>
      <c r="F12" s="4" t="n">
        <f aca="false">-F6*Assumptions!F31/100</f>
        <v>-82923.0659712</v>
      </c>
      <c r="G12" s="4" t="n">
        <f aca="false">-G6*Assumptions!G31/100</f>
        <v>-83667.681257472</v>
      </c>
      <c r="H12" s="4" t="n">
        <f aca="false">-H6*Assumptions!H31/100</f>
        <v>-84382.3427015462</v>
      </c>
      <c r="I12" s="4" t="n">
        <f aca="false">-I6*Assumptions!I31/100</f>
        <v>-85064.5829191332</v>
      </c>
      <c r="J12" s="4" t="n">
        <f aca="false">-J6*Assumptions!J31/100</f>
        <v>-85295.7366770656</v>
      </c>
      <c r="K12" s="4" t="n">
        <f aca="false">-K6*Assumptions!K31/100</f>
        <v>-85485.2827585702</v>
      </c>
      <c r="L12" s="4" t="n">
        <f aca="false">-L6*Assumptions!L31/100</f>
        <v>-87622.4148275345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69601.68</v>
      </c>
      <c r="D13" s="0" t="n">
        <f aca="false">D11+D12</f>
        <v>67458.4848</v>
      </c>
      <c r="E13" s="0" t="n">
        <f aca="false">E11+E12</f>
        <v>65227.773312</v>
      </c>
      <c r="F13" s="0" t="n">
        <f aca="false">F11+F12</f>
        <v>65492.29904256</v>
      </c>
      <c r="G13" s="0" t="n">
        <f aca="false">G11+G12</f>
        <v>67457.0680138368</v>
      </c>
      <c r="H13" s="0" t="n">
        <f aca="false">H11+H12</f>
        <v>71276.1490479018</v>
      </c>
      <c r="I13" s="0" t="n">
        <f aca="false">I11+I12</f>
        <v>75263.6635827983</v>
      </c>
      <c r="J13" s="0" t="n">
        <f aca="false">J11+J12</f>
        <v>79040.7159874141</v>
      </c>
      <c r="K13" s="0" t="n">
        <f aca="false">K11+K12</f>
        <v>82959.5812225215</v>
      </c>
      <c r="L13" s="0" t="n">
        <f aca="false">L11+L12</f>
        <v>85033.5707530846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17</v>
      </c>
      <c r="D14" s="4" t="n">
        <f aca="false">Assumptions!D33</f>
        <v>17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57769.3944</v>
      </c>
      <c r="D15" s="0" t="n">
        <f aca="false">D13-MAX(0,D13)*D14/100</f>
        <v>55990.542384</v>
      </c>
      <c r="E15" s="0" t="n">
        <f aca="false">E13-MAX(0,E13)*E14/100</f>
        <v>53486.77411584</v>
      </c>
      <c r="F15" s="0" t="n">
        <f aca="false">F13-MAX(0,F13)*F14/100</f>
        <v>53703.6852148992</v>
      </c>
      <c r="G15" s="0" t="n">
        <f aca="false">G13-MAX(0,G13)*G14/100</f>
        <v>55314.7957713462</v>
      </c>
      <c r="H15" s="0" t="n">
        <f aca="false">H13-MAX(0,H13)*H14/100</f>
        <v>58446.4422192795</v>
      </c>
      <c r="I15" s="0" t="n">
        <f aca="false">I13-MAX(0,I13)*I14/100</f>
        <v>61716.2041378946</v>
      </c>
      <c r="J15" s="0" t="n">
        <f aca="false">J13-MAX(0,J13)*J14/100</f>
        <v>64813.3871096796</v>
      </c>
      <c r="K15" s="0" t="n">
        <f aca="false">K13-MAX(0,K13)*K14/100</f>
        <v>68026.8566024677</v>
      </c>
      <c r="L15" s="0" t="n">
        <f aca="false">L13-MAX(0,L13)*L14/100</f>
        <v>69727.5280175293</v>
      </c>
    </row>
    <row r="16" customFormat="false" ht="15" hidden="false" customHeight="false" outlineLevel="0" collapsed="false">
      <c r="A16" s="0" t="s">
        <v>125</v>
      </c>
      <c r="C16" s="0" t="n">
        <f aca="false">-C12</f>
        <v>68558.4</v>
      </c>
      <c r="D16" s="0" t="n">
        <f aca="false">-D12</f>
        <v>75831.552</v>
      </c>
      <c r="E16" s="0" t="n">
        <f aca="false">-E12</f>
        <v>80507.83104</v>
      </c>
      <c r="F16" s="0" t="n">
        <f aca="false">-F12</f>
        <v>82923.0659712</v>
      </c>
      <c r="G16" s="0" t="n">
        <f aca="false">-G12</f>
        <v>83667.681257472</v>
      </c>
      <c r="H16" s="0" t="n">
        <f aca="false">-H12</f>
        <v>84382.3427015462</v>
      </c>
      <c r="I16" s="0" t="n">
        <f aca="false">-I12</f>
        <v>85064.5829191332</v>
      </c>
      <c r="J16" s="0" t="n">
        <f aca="false">-J12</f>
        <v>85295.7366770656</v>
      </c>
      <c r="K16" s="0" t="n">
        <f aca="false">-K12</f>
        <v>85485.2827585702</v>
      </c>
      <c r="L16" s="0" t="n">
        <f aca="false">-L12</f>
        <v>87622.4148275345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-98366.4</v>
      </c>
      <c r="D17" s="4" t="n">
        <f aca="false">-D6*Assumptions!D32/100</f>
        <v>-88470.144</v>
      </c>
      <c r="E17" s="4" t="n">
        <f aca="false">-E6*Assumptions!E32/100</f>
        <v>-85436.88192</v>
      </c>
      <c r="F17" s="4" t="n">
        <f aca="false">-F6*Assumptions!F32/100</f>
        <v>-84615.37344</v>
      </c>
      <c r="G17" s="4" t="n">
        <f aca="false">-G6*Assumptions!G32/100</f>
        <v>-83667.681257472</v>
      </c>
      <c r="H17" s="4" t="n">
        <f aca="false">-H6*Assumptions!H32/100</f>
        <v>-84382.3427015462</v>
      </c>
      <c r="I17" s="4" t="n">
        <f aca="false">-I6*Assumptions!I32/100</f>
        <v>-85064.5829191332</v>
      </c>
      <c r="J17" s="4" t="n">
        <f aca="false">-J6*Assumptions!J32/100</f>
        <v>-87191.1974921115</v>
      </c>
      <c r="K17" s="4" t="n">
        <f aca="false">-K6*Assumptions!K32/100</f>
        <v>-89370.9774294143</v>
      </c>
      <c r="L17" s="4" t="n">
        <f aca="false">-L6*Assumptions!L32/100</f>
        <v>-91605.2518651497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-1104</v>
      </c>
      <c r="D18" s="4" t="n">
        <f aca="false">(D6-C6)*Assumptions!$B$37/100</f>
        <v>-894.239999999999</v>
      </c>
      <c r="E18" s="4" t="n">
        <f aca="false">(E6-D6)*Assumptions!$B$37/100</f>
        <v>-631.9296</v>
      </c>
      <c r="F18" s="4" t="n">
        <f aca="false">(F6-E6)*Assumptions!$B$37/100</f>
        <v>-492.905088</v>
      </c>
      <c r="G18" s="4" t="n">
        <f aca="false">(G6-F6)*Assumptions!$B$37/100</f>
        <v>-507.69224064</v>
      </c>
      <c r="H18" s="4" t="n">
        <f aca="false">(H6-G6)*Assumptions!$B$37/100</f>
        <v>-522.923007859199</v>
      </c>
      <c r="I18" s="4" t="n">
        <f aca="false">(I6-H6)*Assumptions!$B$37/100</f>
        <v>-538.610698094976</v>
      </c>
      <c r="J18" s="4" t="n">
        <f aca="false">(J6-I6)*Assumptions!$B$37/100</f>
        <v>-462.307515864851</v>
      </c>
      <c r="K18" s="4" t="n">
        <f aca="false">(K6-J6)*Assumptions!$B$37/100</f>
        <v>-473.865203761475</v>
      </c>
      <c r="L18" s="4" t="n">
        <f aca="false">(L6-K6)*Assumptions!$B$37/100</f>
        <v>-485.71183385551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26857.3944</v>
      </c>
      <c r="D19" s="0" t="n">
        <f aca="false">D15+D16+D17+D18</f>
        <v>42457.710384</v>
      </c>
      <c r="E19" s="0" t="n">
        <f aca="false">E15+E16+E17+E18</f>
        <v>47925.79363584</v>
      </c>
      <c r="F19" s="0" t="n">
        <f aca="false">F15+F16+F17+F18</f>
        <v>51518.4726580992</v>
      </c>
      <c r="G19" s="0" t="n">
        <f aca="false">G15+G16+G17+G18</f>
        <v>54807.1035307062</v>
      </c>
      <c r="H19" s="0" t="n">
        <f aca="false">H15+H16+H17+H18</f>
        <v>57923.5192114203</v>
      </c>
      <c r="I19" s="0" t="n">
        <f aca="false">I15+I16+I17+I18</f>
        <v>61177.5934397996</v>
      </c>
      <c r="J19" s="0" t="n">
        <f aca="false">J15+J16+J17+J18</f>
        <v>62455.6187787689</v>
      </c>
      <c r="K19" s="0" t="n">
        <f aca="false">K15+K16+K17+K18</f>
        <v>63667.2967278621</v>
      </c>
      <c r="L19" s="0" t="n">
        <f aca="false">L15+L16+L17+L18</f>
        <v>65258.9791460587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24867.9577777778</v>
      </c>
      <c r="D21" s="0" t="n">
        <f aca="false">D19*D20</f>
        <v>36400.6433333333</v>
      </c>
      <c r="E21" s="0" t="n">
        <f aca="false">E19*E20</f>
        <v>38045.040164609</v>
      </c>
      <c r="F21" s="0" t="n">
        <f aca="false">F19*F20</f>
        <v>37867.6153741808</v>
      </c>
      <c r="G21" s="0" t="n">
        <f aca="false">G19*G20</f>
        <v>37300.7937410879</v>
      </c>
      <c r="H21" s="0" t="n">
        <f aca="false">H19*H20</f>
        <v>36501.6424892171</v>
      </c>
      <c r="I21" s="0" t="n">
        <f aca="false">I19*I20</f>
        <v>35696.5381773748</v>
      </c>
      <c r="J21" s="0" t="n">
        <f aca="false">J19*J20</f>
        <v>33742.8274884861</v>
      </c>
      <c r="K21" s="0" t="n">
        <f aca="false">K19*K20</f>
        <v>31849.4994281651</v>
      </c>
      <c r="L21" s="0" t="n">
        <f aca="false">L19*L20</f>
        <v>30227.5341795086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0.35</v>
      </c>
      <c r="D23" s="4" t="n">
        <f aca="false">Assumptions!D30</f>
        <v>0.35</v>
      </c>
      <c r="E23" s="4" t="n">
        <f aca="false">Assumptions!E30</f>
        <v>0.35</v>
      </c>
      <c r="F23" s="4" t="n">
        <f aca="false">Assumptions!F30</f>
        <v>0.35</v>
      </c>
      <c r="G23" s="4" t="n">
        <f aca="false">Assumptions!G30</f>
        <v>0.35</v>
      </c>
      <c r="H23" s="4" t="n">
        <f aca="false">Assumptions!H30</f>
        <v>0.35</v>
      </c>
      <c r="I23" s="4" t="n">
        <f aca="false">Assumptions!I30</f>
        <v>0.35</v>
      </c>
      <c r="J23" s="4" t="n">
        <f aca="false">Assumptions!J30</f>
        <v>0.35</v>
      </c>
      <c r="K23" s="4" t="n">
        <f aca="false">Assumptions!K30</f>
        <v>0.35</v>
      </c>
      <c r="L23" s="4" t="n">
        <f aca="false">Assumptions!L30</f>
        <v>0.35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-1043.28</v>
      </c>
      <c r="D24" s="0" t="n">
        <f aca="false">-D6*D23/100</f>
        <v>-1105.8768</v>
      </c>
      <c r="E24" s="0" t="n">
        <f aca="false">-E6*E23/100</f>
        <v>-1150.111872</v>
      </c>
      <c r="F24" s="0" t="n">
        <f aca="false">-F6*F23/100</f>
        <v>-1184.61522816</v>
      </c>
      <c r="G24" s="0" t="n">
        <f aca="false">-G6*G23/100</f>
        <v>-1220.1536850048</v>
      </c>
      <c r="H24" s="0" t="n">
        <f aca="false">-H6*H23/100</f>
        <v>-1256.75829555494</v>
      </c>
      <c r="I24" s="0" t="n">
        <f aca="false">-I6*I23/100</f>
        <v>-1294.46104442159</v>
      </c>
      <c r="J24" s="0" t="n">
        <f aca="false">-J6*J23/100</f>
        <v>-1326.82257053213</v>
      </c>
      <c r="K24" s="0" t="n">
        <f aca="false">-K6*K23/100</f>
        <v>-1359.99313479543</v>
      </c>
      <c r="L24" s="0" t="n">
        <f aca="false">-L6*L23/100</f>
        <v>-1393.99296316532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342500.09215374</v>
      </c>
    </row>
    <row r="31" customFormat="false" ht="15" hidden="false" customHeight="false" outlineLevel="0" collapsed="false">
      <c r="A31" s="0" t="s">
        <v>134</v>
      </c>
      <c r="B31" s="0" t="n">
        <f aca="false">L19</f>
        <v>65258.9791460587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1109402.645483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913625.708044821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913625.708044821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423185.47851312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765685.57066686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1148031.57066686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14.3942754332455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-0.452064125114369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6958.62147017195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9408.60331762187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14.5994913416691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512031.990222922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9.46979949294202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88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12</v>
      </c>
      <c r="D5" s="4" t="n">
        <f aca="false">Assumptions!D41</f>
        <v>10</v>
      </c>
      <c r="E5" s="4" t="n">
        <f aca="false">Assumptions!E41</f>
        <v>7</v>
      </c>
      <c r="F5" s="4" t="n">
        <f aca="false">Assumptions!F41</f>
        <v>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276000</v>
      </c>
      <c r="C6" s="0" t="n">
        <f aca="false">B6*(1+C5/100)</f>
        <v>309120</v>
      </c>
      <c r="D6" s="0" t="n">
        <f aca="false">C6*(1+D5/100)</f>
        <v>340032</v>
      </c>
      <c r="E6" s="0" t="n">
        <f aca="false">D6*(1+E5/100)</f>
        <v>363834.24</v>
      </c>
      <c r="F6" s="0" t="n">
        <f aca="false">E6*(1+F5/100)</f>
        <v>382025.952</v>
      </c>
      <c r="G6" s="0" t="n">
        <f aca="false">F6*(1+G5/100)</f>
        <v>397306.99008</v>
      </c>
      <c r="H6" s="0" t="n">
        <f aca="false">G6*(1+H5/100)</f>
        <v>413199.2696832</v>
      </c>
      <c r="I6" s="0" t="n">
        <f aca="false">H6*(1+I5/100)</f>
        <v>427661.244122112</v>
      </c>
      <c r="J6" s="0" t="n">
        <f aca="false">I6*(1+J5/100)</f>
        <v>440491.081445776</v>
      </c>
      <c r="K6" s="0" t="n">
        <f aca="false">J6*(1+K5/100)</f>
        <v>453705.813889149</v>
      </c>
      <c r="L6" s="0" t="n">
        <f aca="false">K6*(1+L5/100)</f>
        <v>467316.988305823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49</v>
      </c>
      <c r="D7" s="4" t="n">
        <f aca="false">Assumptions!D42</f>
        <v>50</v>
      </c>
      <c r="E7" s="4" t="n">
        <f aca="false">Assumptions!E42</f>
        <v>49</v>
      </c>
      <c r="F7" s="4" t="n">
        <f aca="false">Assumptions!F42</f>
        <v>48</v>
      </c>
      <c r="G7" s="4" t="n">
        <f aca="false">Assumptions!G42</f>
        <v>47</v>
      </c>
      <c r="H7" s="4" t="n">
        <f aca="false">Assumptions!H42</f>
        <v>47</v>
      </c>
      <c r="I7" s="4" t="n">
        <f aca="false">Assumptions!I42</f>
        <v>46</v>
      </c>
      <c r="J7" s="4" t="n">
        <f aca="false">Assumptions!J42</f>
        <v>46</v>
      </c>
      <c r="K7" s="4" t="n">
        <f aca="false">Assumptions!K42</f>
        <v>46</v>
      </c>
      <c r="L7" s="4" t="n">
        <f aca="false">Assumptions!L42</f>
        <v>46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151468.8</v>
      </c>
      <c r="D8" s="0" t="n">
        <f aca="false">D6*D7/100</f>
        <v>170016</v>
      </c>
      <c r="E8" s="0" t="n">
        <f aca="false">E6*E7/100</f>
        <v>178278.7776</v>
      </c>
      <c r="F8" s="0" t="n">
        <f aca="false">F6*F7/100</f>
        <v>183372.45696</v>
      </c>
      <c r="G8" s="0" t="n">
        <f aca="false">G6*G7/100</f>
        <v>186734.2853376</v>
      </c>
      <c r="H8" s="0" t="n">
        <f aca="false">H6*H7/100</f>
        <v>194203.656751104</v>
      </c>
      <c r="I8" s="0" t="n">
        <f aca="false">I6*I7/100</f>
        <v>196724.172296172</v>
      </c>
      <c r="J8" s="0" t="n">
        <f aca="false">J6*J7/100</f>
        <v>202625.897465057</v>
      </c>
      <c r="K8" s="0" t="n">
        <f aca="false">K6*K7/100</f>
        <v>208704.674389009</v>
      </c>
      <c r="L8" s="0" t="n">
        <f aca="false">L6*L7/100</f>
        <v>214965.814620679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-927.36</v>
      </c>
      <c r="D10" s="0" t="n">
        <f aca="false">-D6*D9/100</f>
        <v>-1020.096</v>
      </c>
      <c r="E10" s="0" t="n">
        <f aca="false">-E6*E9/100</f>
        <v>-1091.50272</v>
      </c>
      <c r="F10" s="0" t="n">
        <f aca="false">-F6*F9/100</f>
        <v>-1146.077856</v>
      </c>
      <c r="G10" s="0" t="n">
        <f aca="false">-G6*G9/100</f>
        <v>-1191.92097024</v>
      </c>
      <c r="H10" s="0" t="n">
        <f aca="false">-H6*H9/100</f>
        <v>-1239.5978090496</v>
      </c>
      <c r="I10" s="0" t="n">
        <f aca="false">-I6*I9/100</f>
        <v>-1282.98373236634</v>
      </c>
      <c r="J10" s="0" t="n">
        <f aca="false">-J6*J9/100</f>
        <v>-1321.47324433733</v>
      </c>
      <c r="K10" s="0" t="n">
        <f aca="false">-K6*K9/100</f>
        <v>-1361.11744166745</v>
      </c>
      <c r="L10" s="0" t="n">
        <f aca="false">-L6*L9/100</f>
        <v>-1401.95096491747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149459.52</v>
      </c>
      <c r="D11" s="0" t="n">
        <f aca="false">D8+D10+D24</f>
        <v>167805.792</v>
      </c>
      <c r="E11" s="0" t="n">
        <f aca="false">E8+E10+E24</f>
        <v>175913.85504</v>
      </c>
      <c r="F11" s="0" t="n">
        <f aca="false">F8+F10+F24</f>
        <v>180889.288272</v>
      </c>
      <c r="G11" s="0" t="n">
        <f aca="false">G8+G10+G24</f>
        <v>184151.78990208</v>
      </c>
      <c r="H11" s="0" t="n">
        <f aca="false">H8+H10+H24</f>
        <v>191517.861498163</v>
      </c>
      <c r="I11" s="0" t="n">
        <f aca="false">I8+I10+I24</f>
        <v>193944.374209378</v>
      </c>
      <c r="J11" s="0" t="n">
        <f aca="false">J8+J10+J24</f>
        <v>199762.705435659</v>
      </c>
      <c r="K11" s="0" t="n">
        <f aca="false">K8+K10+K24</f>
        <v>205755.586598729</v>
      </c>
      <c r="L11" s="0" t="n">
        <f aca="false">L8+L10+L24</f>
        <v>211928.254196691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-71097.6</v>
      </c>
      <c r="D12" s="4" t="n">
        <f aca="false">-D6*Assumptions!D45/100</f>
        <v>-81607.68</v>
      </c>
      <c r="E12" s="4" t="n">
        <f aca="false">-E6*Assumptions!E45/100</f>
        <v>-90958.56</v>
      </c>
      <c r="F12" s="4" t="n">
        <f aca="false">-F6*Assumptions!F45/100</f>
        <v>-95506.488</v>
      </c>
      <c r="G12" s="4" t="n">
        <f aca="false">-G6*Assumptions!G45/100</f>
        <v>-97340.2125696</v>
      </c>
      <c r="H12" s="4" t="n">
        <f aca="false">-H6*Assumptions!H45/100</f>
        <v>-99167.8247239681</v>
      </c>
      <c r="I12" s="4" t="n">
        <f aca="false">-I6*Assumptions!I45/100</f>
        <v>-100500.392368696</v>
      </c>
      <c r="J12" s="4" t="n">
        <f aca="false">-J6*Assumptions!J45/100</f>
        <v>-101312.948732528</v>
      </c>
      <c r="K12" s="4" t="n">
        <f aca="false">-K6*Assumptions!K45/100</f>
        <v>-102083.808125059</v>
      </c>
      <c r="L12" s="4" t="n">
        <f aca="false">-L6*Assumptions!L45/100</f>
        <v>-105146.32236881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78361.92</v>
      </c>
      <c r="D13" s="0" t="n">
        <f aca="false">D11+D12</f>
        <v>86198.1120000001</v>
      </c>
      <c r="E13" s="0" t="n">
        <f aca="false">E11+E12</f>
        <v>84955.2950400001</v>
      </c>
      <c r="F13" s="0" t="n">
        <f aca="false">F11+F12</f>
        <v>85382.8002720001</v>
      </c>
      <c r="G13" s="0" t="n">
        <f aca="false">G11+G12</f>
        <v>86811.57733248</v>
      </c>
      <c r="H13" s="0" t="n">
        <f aca="false">H11+H12</f>
        <v>92350.0367741953</v>
      </c>
      <c r="I13" s="0" t="n">
        <f aca="false">I11+I12</f>
        <v>93443.9818406816</v>
      </c>
      <c r="J13" s="0" t="n">
        <f aca="false">J11+J12</f>
        <v>98449.7567031308</v>
      </c>
      <c r="K13" s="0" t="n">
        <f aca="false">K11+K12</f>
        <v>103671.778473671</v>
      </c>
      <c r="L13" s="0" t="n">
        <f aca="false">L11+L12</f>
        <v>106781.931827881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17</v>
      </c>
      <c r="D14" s="4" t="n">
        <f aca="false">Assumptions!D47</f>
        <v>17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</v>
      </c>
      <c r="H14" s="4" t="n">
        <f aca="false">Assumptions!H47</f>
        <v>18</v>
      </c>
      <c r="I14" s="4" t="n">
        <f aca="false">Assumptions!I47</f>
        <v>18</v>
      </c>
      <c r="J14" s="4" t="n">
        <f aca="false">Assumptions!J47</f>
        <v>18</v>
      </c>
      <c r="K14" s="4" t="n">
        <f aca="false">Assumptions!K47</f>
        <v>18</v>
      </c>
      <c r="L14" s="4" t="n">
        <f aca="false">Assumptions!L47</f>
        <v>18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65040.3936</v>
      </c>
      <c r="D15" s="0" t="n">
        <f aca="false">D13-MAX(0,D13)*D14/100</f>
        <v>71544.4329600001</v>
      </c>
      <c r="E15" s="0" t="n">
        <f aca="false">E13-MAX(0,E13)*E14/100</f>
        <v>69663.3419328001</v>
      </c>
      <c r="F15" s="0" t="n">
        <f aca="false">F13-MAX(0,F13)*F14/100</f>
        <v>70013.8962230401</v>
      </c>
      <c r="G15" s="0" t="n">
        <f aca="false">G13-MAX(0,G13)*G14/100</f>
        <v>71185.4934126336</v>
      </c>
      <c r="H15" s="0" t="n">
        <f aca="false">H13-MAX(0,H13)*H14/100</f>
        <v>75727.0301548401</v>
      </c>
      <c r="I15" s="0" t="n">
        <f aca="false">I13-MAX(0,I13)*I14/100</f>
        <v>76624.0651093589</v>
      </c>
      <c r="J15" s="0" t="n">
        <f aca="false">J13-MAX(0,J13)*J14/100</f>
        <v>80728.8004965673</v>
      </c>
      <c r="K15" s="0" t="n">
        <f aca="false">K13-MAX(0,K13)*K14/100</f>
        <v>85010.8583484098</v>
      </c>
      <c r="L15" s="0" t="n">
        <f aca="false">L13-MAX(0,L13)*L14/100</f>
        <v>87561.1840988621</v>
      </c>
    </row>
    <row r="16" customFormat="false" ht="15" hidden="false" customHeight="false" outlineLevel="0" collapsed="false">
      <c r="A16" s="0" t="s">
        <v>125</v>
      </c>
      <c r="C16" s="0" t="n">
        <f aca="false">-C12</f>
        <v>71097.6</v>
      </c>
      <c r="D16" s="0" t="n">
        <f aca="false">-D12</f>
        <v>81607.68</v>
      </c>
      <c r="E16" s="0" t="n">
        <f aca="false">-E12</f>
        <v>90958.56</v>
      </c>
      <c r="F16" s="0" t="n">
        <f aca="false">-F12</f>
        <v>95506.488</v>
      </c>
      <c r="G16" s="0" t="n">
        <f aca="false">-G12</f>
        <v>97340.2125696</v>
      </c>
      <c r="H16" s="0" t="n">
        <f aca="false">-H12</f>
        <v>99167.8247239681</v>
      </c>
      <c r="I16" s="0" t="n">
        <f aca="false">-I12</f>
        <v>100500.392368696</v>
      </c>
      <c r="J16" s="0" t="n">
        <f aca="false">-J12</f>
        <v>101312.948732528</v>
      </c>
      <c r="K16" s="0" t="n">
        <f aca="false">-K12</f>
        <v>102083.808125059</v>
      </c>
      <c r="L16" s="0" t="n">
        <f aca="false">-L12</f>
        <v>105146.32236881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-102009.6</v>
      </c>
      <c r="D17" s="4" t="n">
        <f aca="false">-D6*Assumptions!D46/100</f>
        <v>-102009.6</v>
      </c>
      <c r="E17" s="4" t="n">
        <f aca="false">-E6*Assumptions!E46/100</f>
        <v>-101873.5872</v>
      </c>
      <c r="F17" s="4" t="n">
        <f aca="false">-F6*Assumptions!F46/100</f>
        <v>-99326.74752</v>
      </c>
      <c r="G17" s="4" t="n">
        <f aca="false">-G6*Assumptions!G46/100</f>
        <v>-99326.74752</v>
      </c>
      <c r="H17" s="4" t="n">
        <f aca="false">-H6*Assumptions!H46/100</f>
        <v>-99167.8247239681</v>
      </c>
      <c r="I17" s="4" t="n">
        <f aca="false">-I6*Assumptions!I46/100</f>
        <v>-100500.392368696</v>
      </c>
      <c r="J17" s="4" t="n">
        <f aca="false">-J6*Assumptions!J46/100</f>
        <v>-101312.948732528</v>
      </c>
      <c r="K17" s="4" t="n">
        <f aca="false">-K6*Assumptions!K46/100</f>
        <v>-104352.337194504</v>
      </c>
      <c r="L17" s="4" t="n">
        <f aca="false">-L6*Assumptions!L46/100</f>
        <v>-107482.907310339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-1656</v>
      </c>
      <c r="D18" s="4" t="n">
        <f aca="false">(D6-C6)*Assumptions!$B$51/100</f>
        <v>-1545.6</v>
      </c>
      <c r="E18" s="4" t="n">
        <f aca="false">(E6-D6)*Assumptions!$B$51/100</f>
        <v>-1190.112</v>
      </c>
      <c r="F18" s="4" t="n">
        <f aca="false">(F6-E6)*Assumptions!$B$51/100</f>
        <v>-909.5856</v>
      </c>
      <c r="G18" s="4" t="n">
        <f aca="false">(G6-F6)*Assumptions!$B$51/100</f>
        <v>-764.051904000001</v>
      </c>
      <c r="H18" s="4" t="n">
        <f aca="false">(H6-G6)*Assumptions!$B$51/100</f>
        <v>-794.613980160002</v>
      </c>
      <c r="I18" s="4" t="n">
        <f aca="false">(I6-H6)*Assumptions!$B$51/100</f>
        <v>-723.0987219456</v>
      </c>
      <c r="J18" s="4" t="n">
        <f aca="false">(J6-I6)*Assumptions!$B$51/100</f>
        <v>-641.49186618317</v>
      </c>
      <c r="K18" s="4" t="n">
        <f aca="false">(K6-J6)*Assumptions!$B$51/100</f>
        <v>-660.736622168665</v>
      </c>
      <c r="L18" s="4" t="n">
        <f aca="false">(L6-K6)*Assumptions!$B$51/100</f>
        <v>-680.558720833724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32472.3936</v>
      </c>
      <c r="D19" s="0" t="n">
        <f aca="false">D15+D16+D17+D18</f>
        <v>49596.91296</v>
      </c>
      <c r="E19" s="0" t="n">
        <f aca="false">E15+E16+E17+E18</f>
        <v>57558.2027328001</v>
      </c>
      <c r="F19" s="0" t="n">
        <f aca="false">F15+F16+F17+F18</f>
        <v>65284.0511030401</v>
      </c>
      <c r="G19" s="0" t="n">
        <f aca="false">G15+G16+G17+G18</f>
        <v>68434.9065582337</v>
      </c>
      <c r="H19" s="0" t="n">
        <f aca="false">H15+H16+H17+H18</f>
        <v>74932.4161746801</v>
      </c>
      <c r="I19" s="0" t="n">
        <f aca="false">I15+I16+I17+I18</f>
        <v>75900.9663874133</v>
      </c>
      <c r="J19" s="0" t="n">
        <f aca="false">J15+J16+J17+J18</f>
        <v>80087.3086303841</v>
      </c>
      <c r="K19" s="0" t="n">
        <f aca="false">K15+K16+K17+K18</f>
        <v>82081.5926567954</v>
      </c>
      <c r="L19" s="0" t="n">
        <f aca="false">L15+L16+L17+L18</f>
        <v>84544.0404364993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30067.0311111111</v>
      </c>
      <c r="D21" s="0" t="n">
        <f aca="false">D19*D20</f>
        <v>42521.3588477367</v>
      </c>
      <c r="E21" s="0" t="n">
        <f aca="false">E19*E20</f>
        <v>45691.5570644719</v>
      </c>
      <c r="F21" s="0" t="n">
        <f aca="false">F19*F20</f>
        <v>47985.7264722237</v>
      </c>
      <c r="G21" s="0" t="n">
        <f aca="false">G19*G20</f>
        <v>46575.6474941088</v>
      </c>
      <c r="H21" s="0" t="n">
        <f aca="false">H19*H20</f>
        <v>47220.1327422477</v>
      </c>
      <c r="I21" s="0" t="n">
        <f aca="false">I19*I20</f>
        <v>44287.4848781697</v>
      </c>
      <c r="J21" s="0" t="n">
        <f aca="false">J19*J20</f>
        <v>43268.6808965031</v>
      </c>
      <c r="K21" s="0" t="n">
        <f aca="false">K19*K20</f>
        <v>41061.2319470671</v>
      </c>
      <c r="L21" s="0" t="n">
        <f aca="false">L19*L20</f>
        <v>39160.2489865547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0.35</v>
      </c>
      <c r="D23" s="4" t="n">
        <f aca="false">Assumptions!D44</f>
        <v>0.35</v>
      </c>
      <c r="E23" s="4" t="n">
        <f aca="false">Assumptions!E44</f>
        <v>0.35</v>
      </c>
      <c r="F23" s="4" t="n">
        <f aca="false">Assumptions!F44</f>
        <v>0.35</v>
      </c>
      <c r="G23" s="4" t="n">
        <f aca="false">Assumptions!G44</f>
        <v>0.35</v>
      </c>
      <c r="H23" s="4" t="n">
        <f aca="false">Assumptions!H44</f>
        <v>0.35</v>
      </c>
      <c r="I23" s="4" t="n">
        <f aca="false">Assumptions!I44</f>
        <v>0.35</v>
      </c>
      <c r="J23" s="4" t="n">
        <f aca="false">Assumptions!J44</f>
        <v>0.35</v>
      </c>
      <c r="K23" s="4" t="n">
        <f aca="false">Assumptions!K44</f>
        <v>0.35</v>
      </c>
      <c r="L23" s="4" t="n">
        <f aca="false">Assumptions!L44</f>
        <v>0.35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-1081.92</v>
      </c>
      <c r="D24" s="0" t="n">
        <f aca="false">-D6*D23/100</f>
        <v>-1190.112</v>
      </c>
      <c r="E24" s="0" t="n">
        <f aca="false">-E6*E23/100</f>
        <v>-1273.41984</v>
      </c>
      <c r="F24" s="0" t="n">
        <f aca="false">-F6*F23/100</f>
        <v>-1337.090832</v>
      </c>
      <c r="G24" s="0" t="n">
        <f aca="false">-G6*G23/100</f>
        <v>-1390.57446528</v>
      </c>
      <c r="H24" s="0" t="n">
        <f aca="false">-H6*H23/100</f>
        <v>-1446.1974438912</v>
      </c>
      <c r="I24" s="0" t="n">
        <f aca="false">-I6*I23/100</f>
        <v>-1496.81435442739</v>
      </c>
      <c r="J24" s="0" t="n">
        <f aca="false">-J6*J23/100</f>
        <v>-1541.71878506021</v>
      </c>
      <c r="K24" s="0" t="n">
        <f aca="false">-K6*K23/100</f>
        <v>-1587.97034861202</v>
      </c>
      <c r="L24" s="0" t="n">
        <f aca="false">-L6*L23/100</f>
        <v>-1635.60945907038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427839.100440194</v>
      </c>
    </row>
    <row r="31" customFormat="false" ht="15" hidden="false" customHeight="false" outlineLevel="0" collapsed="false">
      <c r="A31" s="0" t="s">
        <v>134</v>
      </c>
      <c r="B31" s="0" t="n">
        <f aca="false">L19</f>
        <v>84544.0404364993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1575593.48086203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1352704.64698399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1352704.64698399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626563.983784875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1054403.08422507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1436749.08422507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18.0142798989282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-0.314264183520055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7827.29604197204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12101.9803909619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18.2641576039414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693261.131579294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10.782690838949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10.9857865648244</v>
      </c>
      <c r="C4" s="0" t="n">
        <f aca="false">B4/Assumptions!$B$2-1</f>
        <v>-0.581812464224422</v>
      </c>
      <c r="D4" s="4" t="n">
        <f aca="false">Assumptions!$B$24</f>
        <v>0.25</v>
      </c>
      <c r="E4" s="4" t="n">
        <f aca="false">DCF_Bear!$B$43</f>
        <v>11.1387365149429</v>
      </c>
      <c r="F4" s="4" t="n">
        <f aca="false">DCF_Bear!$B$47</f>
        <v>8.02087380119793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14.3942754332455</v>
      </c>
      <c r="C5" s="0" t="n">
        <f aca="false">B5/Assumptions!$B$2-1</f>
        <v>-0.452064125114369</v>
      </c>
      <c r="D5" s="4" t="n">
        <f aca="false">Assumptions!$B$38</f>
        <v>0.5</v>
      </c>
      <c r="E5" s="4" t="n">
        <f aca="false">DCF_Base!$B$43</f>
        <v>14.5994913416691</v>
      </c>
      <c r="F5" s="4" t="n">
        <f aca="false">DCF_Base!$B$47</f>
        <v>9.46979949294202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18.0142798989282</v>
      </c>
      <c r="C6" s="0" t="n">
        <f aca="false">B6/Assumptions!$B$2-1</f>
        <v>-0.314264183520055</v>
      </c>
      <c r="D6" s="4" t="n">
        <f aca="false">Assumptions!$B$52</f>
        <v>0.25</v>
      </c>
      <c r="E6" s="4" t="n">
        <f aca="false">DCF_Bull!$B$43</f>
        <v>18.2641576039414</v>
      </c>
      <c r="F6" s="4" t="n">
        <f aca="false">DCF_Bull!$B$47</f>
        <v>10.782690838949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14.4471543325609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14.6504692005556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-0.818351171122525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5815.04234493454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9.43579090650775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14.3942754332455</v>
      </c>
      <c r="C15" s="3" t="n">
        <v>8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13.7168298238673</v>
      </c>
      <c r="C16" s="3" t="n">
        <v>9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12.7044339479148</v>
      </c>
      <c r="C17" s="3" t="n">
        <v>10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11.7657588436196</v>
      </c>
      <c r="C18" s="3" t="n">
        <v>11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11.0168243865185</v>
      </c>
      <c r="C19" s="3" t="n">
        <v>12</v>
      </c>
    </row>
    <row r="20" customFormat="false" ht="15" hidden="false" customHeight="false" outlineLevel="0" collapsed="false">
      <c r="A20" s="0" t="s">
        <v>170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9.46979949294202</v>
      </c>
      <c r="C20" s="3" t="n">
        <v>15</v>
      </c>
    </row>
    <row r="22" customFormat="false" ht="15" hidden="false" customHeight="false" outlineLevel="0" collapsed="false">
      <c r="A22" s="2" t="s">
        <v>171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15.9544719996385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15.9544719996385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15.9544719996385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15.9544719996385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15.9544719996385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15.1376881975848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15.1376881975848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15.1376881975848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15.1376881975848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15.1376881975848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14.3942754332455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14.3942754332455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14.3942754332455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14.3942754332455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14.3942754332455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13.2415887463206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13.5555358823969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13.7168298238673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13.7168298238673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13.7168298238673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12.2224755075679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12.4492794794958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12.7044339479148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12.9936090121229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13.0987635809258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2026-10-04T09:14:26Z</dcterms:created>
  <dc:creator>openpyxl</dc:creator>
  <dc:description/>
  <dc:language>en-NZ</dc:language>
  <cp:lastModifiedBy/>
  <dcterms:modified xsi:type="dcterms:W3CDTF">2026-10-04T09:14:26Z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