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<sst xmlns="http://schemas.openxmlformats.org/spreadsheetml/2006/main" count="389" uniqueCount="175">
  <si>
    <t xml:space="preserve">Ticker</t>
  </si>
  <si>
    <t xml:space="preserve">WFC</t>
  </si>
  <si>
    <t xml:space="preserve">Company</t>
  </si>
  <si>
    <t xml:space="preserve">Wells Fargo &amp; Company</t>
  </si>
  <si>
    <t xml:space="preserve">Valuation date</t>
  </si>
  <si>
    <t xml:space="preserve">2026-10-03</t>
  </si>
  <si>
    <t xml:space="preserve">Current price</t>
  </si>
  <si>
    <t xml:space="preserve">Price as of</t>
  </si>
  <si>
    <t xml:space="preserve">2026-10-02T20:02:10Z regular close (Yahoo Finance chart API)</t>
  </si>
  <si>
    <t xml:space="preserve">Balance sheet date</t>
  </si>
  <si>
    <t xml:space="preserve">2026-06-30</t>
  </si>
  <si>
    <t xml:space="preserve">Model</t>
  </si>
  <si>
    <t xml:space="preserve">Bank FCFE at cost of equity (engine route): NI to common less CET1 retention, net debt zero</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</si>
  <si>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</si>
  <si>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</si>
  <si>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</si>
  <si>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</si>
  <si>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</si>
  <si>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</si>
  <si>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</si>
  <si>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</si>
  <si>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2026-10-02T21:53:39Z</t>
  </si>
  <si>
    <t xml:space="preserve">Drivers file</t>
  </si>
  <si>
    <t xml:space="preserve">WFC_Drivers.json</t>
  </si>
  <si>
    <t xml:space="preserve">Convention</t>
  </si>
  <si>
    <t xml:space="preserve">Percents stored as percents; formulas divide by 100. Blue = input, green = link, black = formula.</t>
  </si>
  <si>
    <t xml:space="preserve">Methodology</t>
  </si>
  <si>
    <t xml:space="preserve">summary: A bank is valued on what it can pay its common shareholders after funding the capital its growth requires: NI to common less the CET1 retention that keeps the ratio constant, discounted at the cost of equity. Deposits are funding, not debt, so nothing is deducted for net debt. Preferred dividends and NCI are taken out inside the flow. The value is therefore TCE plus the PV of returns above the 10% cost of equity. At a through-cycle ROTCE of ~16% WFC earns a ~6pt spread, which justifies roughly 1.8-1.9x tangible book. The stock trades at 1.74x TBVPS of $46.13.
key_risks_to_valuation: Credit: base assumes provisions normalise to ~0.5% of loans; a CRE- or consumer-led cycle at 1%+ for two years is the bear path.; NIM: every 10bp on ~$2.0T of earning assets is ~$2B of pre-tax income, about 2.3pts of margin.; Capital rules: final eSLR and Basel III endgame calibration set the CET1 the growth has to carry. Retention is modelled at today's 10.26%; a 50bp higher requirement costs ~$6.7B up front.; Tax: the ~17-18% ETR depends on tax-credit investments; the path ramps to 20% but a faster loss of credits would cut about 1% of value per point.; Execution and governance: CIB expansion risk, and the chance of a renewed regulatory constraint after the consent orders were lifted.</t>
  </si>
  <si>
    <t xml:space="preserve">Data sources</t>
  </si>
  <si>
    <t xml:space="preserve">price: Yahoo Finance chart API at inputs.price_as_of; 52-week range 72.78-97.76
financials: SEC XBRL companyfacts CIK 72971 (InterestIncomeExpenseNet, NoninterestIncome, pre-tax income, NI to common, NCI, ShareBasedCompensation, repurchases, dividends); Q2-2026 10-Q (accession 0000072971-26-000302) for CET1 $137,698M / 10.26% standardized, RWA $1,342.3B, TCE $139,703M, TBVPS $46.13, diluted share table, SBC in the statement of equity, ETR; cover share count 3,023,999,336 at 2026-07-17
qualitative: WFC_Analysis.json (2026-10): FY26 guidance NII ~$50B, noninterest expense ~$55.7B, ROTCE target 17-18%, asset cap lifted 2025-06-03, last consent order terminated 2026-03</t>
  </si>
  <si>
    <t xml:space="preserve">Scenario narrative: bear</t>
  </si>
  <si>
    <t xml:space="preserve">NIM keeps compressing as deposit costs stay sticky into rate cuts, and the CIB push adds risk faster than it adds returns. A credit cycle concentrated in CRE (nonperforming apartment loans are rising, plus office) and in consumer cards drives provisions to ~1% of loans in year 2. Revenue growth stalls at 2-3%, the tax shelter from renewable credits disappears, and ROTCE settles at ~14%. A renewed compliance lapse, the residual governance risk, would also put a cap back on growth.</t>
  </si>
  <si>
    <t xml:space="preserve">Scenario narrative: base</t>
  </si>
  <si>
    <t xml:space="preserve">The post-asset-cap growth phase runs for two to three years and then fades. Loans grow mid-to-high single digits as WFC re-levers its balance sheet into a deposit franchise that holds ~10% of US deposits, and NIM settles in the low-2.4s. Expenses stay near $56-57B, so the efficiency ratio drifts toward the high 50s. Credit normalises from today's 0.37% charge toward ~0.5% through the cycle. ROTCE runs ~16-17%, just below management's 17-18% target, and roughly two-thirds of earnings are distributed while the rest funds CET1 to keep the ratio at 10.3%.</t>
  </si>
  <si>
    <t xml:space="preserve">Scenario narrative: bull</t>
  </si>
  <si>
    <t xml:space="preserve">With the asset cap gone and the consent orders cleared, WFC becomes a share-gainer. CIB and Markets close part of the gap to the bulge bracket (record IB fees, markets revenue +24% in Q2-26), loans compound at 7-8% for two years, and NIM stabilises in H2-26 as management guided. Final 2026-27 capital rules (eSLR and Basel endgame re-proposal) are benign, so retention stays modest. The efficiency ratio falls into the mid-50s and ROTCE holds at 17.5-18.5%.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</si>
  <si>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</si>
  <si>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</si>
  <si>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</si>
  <si>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</si>
  <si>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</si>
  <si>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</si>
  <si>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</si>
  <si>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</si>
  <si>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</si>
  <si>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</si>
  <si>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</si>
  <si>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</si>
  <si>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</si>
  <si>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</si>
  <si>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</si>
  <si>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</si>
  <si>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</si>
  <si>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</si>
  <si>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</si>
  <si>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</si>
  <si>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</si>
  <si>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</si>
  <si>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</si>
  <si>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</si>
  <si>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</si>
  <si>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</si>
  <si>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</si>
  <si>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</si>
  <si>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</si>
  <si>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</si>
  <si>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</si>
  <si>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</si>
  <si>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</si>
  <si>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</si>
  <si>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</si>
  <si>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</si>
  <si>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</si>
  <si>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</si>
  <si>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</si>
  <si>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</si>
  <si>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</si>
  <si>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</si>
  <si>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</si>
  <si>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</si>
  <si>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</si>
  <si>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</si>
  <si>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</si>
  <si>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</si>
  <si>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</si>
  <si>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</si>
  <si>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</si>
  <si>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</si>
  <si>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</si>
  <si>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</si>
  <si>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</si>
  <si>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</si>
  <si>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t>
  </si>
  <si>
    <t xml:space="preserve">Currency / units</t>
  </si>
  <si>
    <t xml:space="preserve">USD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</si>
  <si>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</si>
  <si>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</si>
  <si>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</si>
  <si>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</si>
  <si>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</si>
  <si>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</si>
  <si>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</si>
  <si>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</si>
  <si>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</si>
  <si>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</si>
  <si>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</si>
  <si>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</si>
  <si>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</si>
  <si>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</si>
  <si>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</si>
  <si>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</si>
  <si>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</si>
  <si>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</si>
  <si>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</si>
  <si>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</si>
  <si>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</si>
  <si>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</si>
  <si>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</si>
  <si>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</si>
  <si>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</si>
  <si>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</si>
  <si>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WFC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</si>
  <si>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</si>
  <si>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</si>
  <si>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</si>
  <si>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</si>
  <si>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</si>
  <si>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</si>
  <si>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</si>
  <si>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</si>
  <si>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</si>
  <si>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</si>
  <si>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</si>
  <si>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</si>
  <si>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</si>
  <si>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</si>
  <si>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</si>
  <si>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</si>
  <si>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</si>
  <si>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</si>
  <si>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</si>
  <si>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</si>
  <si>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</si>
  <si>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</si>
  <si>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</si>
  <si>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</si>
  <si>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</si>
  <si>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</si>
  <si>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</si>
  <si>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</si>
  <si>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</si>
  <si>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</si>
  <si>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WFC owner-FCF component DCF: base case (millions, USD)</t>
  </si>
  <si>
    <t xml:space="preserve">WFC owner-FCF component DCF: bull case (millions, USD)</t>
  </si>
  <si>
    <t xml:space="preserve">WFC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</si>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</sst>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80.45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45997</v>
      </c>
      <c r="AA2" s="0" t="s">
        <v>17</v>
      </c>
      <c r="AB2" s="0" t="s">
        <v>14</v>
      </c>
    </row>
    <row r="3" customFormat="false" ht="15" hidden="false" customHeight="false" outlineLevel="0" collapsed="false">
      <c r="A3" s="0" t="s">
        <v>64</v>
      </c>
      <c r="I3" s="0" t="n">
        <v>8265</v>
      </c>
      <c r="K3" s="0" t="n">
        <v>2.41</v>
      </c>
      <c r="L3" s="0" t="n">
        <v>9286</v>
      </c>
      <c r="O3" s="0" t="n">
        <v>47886</v>
      </c>
      <c r="T3" s="0" t="n">
        <v>3382.8</v>
      </c>
      <c r="V3" s="0" t="n">
        <v>1.18</v>
      </c>
      <c r="AA3" s="0" t="s">
        <v>17</v>
      </c>
      <c r="AB3" s="0" t="s">
        <v>14</v>
      </c>
    </row>
    <row r="4" customFormat="false" ht="15" hidden="false" customHeight="false" outlineLevel="0" collapsed="false">
      <c r="A4" s="0" t="s">
        <v>65</v>
      </c>
      <c r="I4" s="0" t="n">
        <v>2698</v>
      </c>
      <c r="K4" s="0" t="n">
        <v>0.7</v>
      </c>
      <c r="L4" s="0" t="n">
        <v>-4788</v>
      </c>
      <c r="O4" s="0" t="n">
        <v>102316</v>
      </c>
      <c r="P4" s="0" t="n">
        <v>1309639</v>
      </c>
      <c r="Q4" s="0" t="n">
        <v>1207323</v>
      </c>
      <c r="R4" s="0" t="n">
        <v>267158</v>
      </c>
      <c r="T4" s="0" t="n">
        <v>3391.3</v>
      </c>
      <c r="U4" s="0" t="n">
        <v>177</v>
      </c>
      <c r="V4" s="0" t="n">
        <v>1.3</v>
      </c>
      <c r="AA4" s="0" t="s">
        <v>17</v>
      </c>
      <c r="AB4" s="0" t="s">
        <v>14</v>
      </c>
    </row>
    <row r="5" customFormat="false" ht="15" hidden="false" customHeight="false" outlineLevel="0" collapsed="false">
      <c r="A5" s="0" t="s">
        <v>66</v>
      </c>
      <c r="I5" s="0" t="n">
        <v>12667</v>
      </c>
      <c r="K5" s="0" t="n">
        <v>1.76</v>
      </c>
      <c r="L5" s="0" t="n">
        <v>28613</v>
      </c>
      <c r="O5" s="0" t="n">
        <v>114359</v>
      </c>
      <c r="P5" s="0" t="n">
        <v>1243646</v>
      </c>
      <c r="Q5" s="0" t="n">
        <v>1129287</v>
      </c>
      <c r="R5" s="0" t="n">
        <v>203861</v>
      </c>
      <c r="T5" s="0" t="n">
        <v>4562.7</v>
      </c>
      <c r="U5" s="0" t="n">
        <v>245</v>
      </c>
      <c r="V5" s="0" t="n">
        <v>0.49</v>
      </c>
      <c r="AA5" s="0" t="s">
        <v>17</v>
      </c>
      <c r="AB5" s="0" t="s">
        <v>14</v>
      </c>
    </row>
    <row r="6" customFormat="false" ht="15" hidden="false" customHeight="false" outlineLevel="0" collapsed="false">
      <c r="A6" s="0" t="s">
        <v>67</v>
      </c>
      <c r="I6" s="0" t="n">
        <v>12362</v>
      </c>
      <c r="K6" s="0" t="n">
        <v>2.23</v>
      </c>
      <c r="L6" s="0" t="n">
        <v>18772</v>
      </c>
      <c r="O6" s="0" t="n">
        <v>127889</v>
      </c>
      <c r="P6" s="0" t="n">
        <v>1258128</v>
      </c>
      <c r="Q6" s="0" t="n">
        <v>1130239</v>
      </c>
      <c r="R6" s="0" t="n">
        <v>156983</v>
      </c>
      <c r="T6" s="0" t="n">
        <v>5263.1</v>
      </c>
      <c r="U6" s="0" t="n">
        <v>436</v>
      </c>
      <c r="V6" s="0" t="n">
        <v>0.2</v>
      </c>
      <c r="AA6" s="0" t="s">
        <v>17</v>
      </c>
      <c r="AB6" s="0" t="s">
        <v>14</v>
      </c>
    </row>
    <row r="7" customFormat="false" ht="15" hidden="false" customHeight="false" outlineLevel="0" collapsed="false">
      <c r="A7" s="0" t="s">
        <v>68</v>
      </c>
      <c r="I7" s="0" t="n">
        <v>15869</v>
      </c>
      <c r="K7" s="0" t="n">
        <v>2.85</v>
      </c>
      <c r="L7" s="0" t="n">
        <v>13665</v>
      </c>
      <c r="O7" s="0" t="n">
        <v>141687</v>
      </c>
      <c r="P7" s="0" t="n">
        <v>1313867</v>
      </c>
      <c r="Q7" s="0" t="n">
        <v>1172180</v>
      </c>
      <c r="R7" s="0" t="n">
        <v>125354</v>
      </c>
      <c r="T7" s="0" t="n">
        <v>5323.4</v>
      </c>
      <c r="U7" s="0" t="n">
        <v>529</v>
      </c>
      <c r="V7" s="0" t="n">
        <v>0.48</v>
      </c>
      <c r="AA7" s="0" t="s">
        <v>17</v>
      </c>
      <c r="AB7" s="0" t="s">
        <v>14</v>
      </c>
    </row>
    <row r="8" customFormat="false" ht="15" hidden="false" customHeight="false" outlineLevel="0" collapsed="false">
      <c r="A8" s="0" t="s">
        <v>69</v>
      </c>
      <c r="I8" s="0" t="n">
        <v>18897</v>
      </c>
      <c r="K8" s="0" t="n">
        <v>3.4</v>
      </c>
      <c r="L8" s="0" t="n">
        <v>58540</v>
      </c>
      <c r="O8" s="0" t="n">
        <v>158911</v>
      </c>
      <c r="P8" s="0" t="n">
        <v>1422968</v>
      </c>
      <c r="Q8" s="0" t="n">
        <v>1264057</v>
      </c>
      <c r="R8" s="0" t="n">
        <v>127379</v>
      </c>
      <c r="T8" s="0" t="n">
        <v>5351.5</v>
      </c>
      <c r="U8" s="0" t="n">
        <v>560</v>
      </c>
      <c r="V8" s="0" t="n">
        <v>0.88</v>
      </c>
      <c r="AA8" s="0" t="s">
        <v>17</v>
      </c>
      <c r="AB8" s="0" t="s">
        <v>14</v>
      </c>
    </row>
    <row r="9" customFormat="false" ht="15" hidden="false" customHeight="false" outlineLevel="0" collapsed="false">
      <c r="A9" s="0" t="s">
        <v>70</v>
      </c>
      <c r="I9" s="0" t="n">
        <v>21878</v>
      </c>
      <c r="K9" s="0" t="n">
        <v>3.95</v>
      </c>
      <c r="L9" s="0" t="n">
        <v>57641</v>
      </c>
      <c r="O9" s="0" t="n">
        <v>171008</v>
      </c>
      <c r="P9" s="0" t="n">
        <v>1523502</v>
      </c>
      <c r="Q9" s="0" t="n">
        <v>1352494</v>
      </c>
      <c r="R9" s="0" t="n">
        <v>152998</v>
      </c>
      <c r="T9" s="0" t="n">
        <v>5371.2</v>
      </c>
      <c r="U9" s="0" t="n">
        <v>725</v>
      </c>
      <c r="V9" s="0" t="n">
        <v>1.15</v>
      </c>
      <c r="AA9" s="0" t="s">
        <v>17</v>
      </c>
      <c r="AB9" s="0" t="s">
        <v>14</v>
      </c>
    </row>
    <row r="10" customFormat="false" ht="15" hidden="false" customHeight="false" outlineLevel="0" collapsed="false">
      <c r="A10" s="0" t="s">
        <v>71</v>
      </c>
      <c r="I10" s="0" t="n">
        <v>23057</v>
      </c>
      <c r="K10" s="0" t="n">
        <v>4.17</v>
      </c>
      <c r="O10" s="0" t="n">
        <v>185262</v>
      </c>
      <c r="P10" s="0" t="n">
        <v>1687155</v>
      </c>
      <c r="Q10" s="0" t="n">
        <v>1501893</v>
      </c>
      <c r="R10" s="0" t="n">
        <v>183943</v>
      </c>
      <c r="T10" s="0" t="n">
        <v>5324.4</v>
      </c>
      <c r="U10" s="0" t="n">
        <v>858</v>
      </c>
      <c r="V10" s="0" t="n">
        <v>1.35</v>
      </c>
      <c r="AA10" s="0" t="s">
        <v>17</v>
      </c>
      <c r="AB10" s="0" t="s">
        <v>14</v>
      </c>
    </row>
    <row r="11" customFormat="false" ht="15" hidden="false" customHeight="false" outlineLevel="0" collapsed="false">
      <c r="A11" s="0" t="s">
        <v>72</v>
      </c>
      <c r="I11" s="0" t="n">
        <v>22894</v>
      </c>
      <c r="K11" s="0" t="n">
        <v>4.18</v>
      </c>
      <c r="O11" s="0" t="n">
        <v>193891</v>
      </c>
      <c r="P11" s="0" t="n">
        <v>1787632</v>
      </c>
      <c r="Q11" s="0" t="n">
        <v>1593741</v>
      </c>
      <c r="R11" s="0" t="n">
        <v>199536</v>
      </c>
      <c r="T11" s="0" t="n">
        <v>5209.8</v>
      </c>
      <c r="U11" s="0" t="n">
        <v>779</v>
      </c>
      <c r="V11" s="0" t="n">
        <v>1.475</v>
      </c>
      <c r="AA11" s="0" t="s">
        <v>17</v>
      </c>
      <c r="AB11" s="0" t="s">
        <v>14</v>
      </c>
    </row>
    <row r="12" customFormat="false" ht="15" hidden="false" customHeight="false" outlineLevel="0" collapsed="false">
      <c r="A12" s="0" t="s">
        <v>73</v>
      </c>
      <c r="B12" s="0" t="n">
        <v>88267</v>
      </c>
      <c r="I12" s="0" t="n">
        <v>21938</v>
      </c>
      <c r="J12" s="0" t="n">
        <v>24.8541357472215</v>
      </c>
      <c r="K12" s="0" t="n">
        <v>4.03</v>
      </c>
      <c r="O12" s="0" t="n">
        <v>200497</v>
      </c>
      <c r="P12" s="0" t="n">
        <v>1930115</v>
      </c>
      <c r="Q12" s="0" t="n">
        <v>1729618</v>
      </c>
      <c r="R12" s="0" t="n">
        <v>255077</v>
      </c>
      <c r="T12" s="0" t="n">
        <v>5108.3</v>
      </c>
      <c r="U12" s="0" t="n">
        <v>779</v>
      </c>
      <c r="V12" s="0" t="n">
        <v>1.515</v>
      </c>
      <c r="AA12" s="0" t="s">
        <v>17</v>
      </c>
      <c r="AB12" s="0" t="s">
        <v>14</v>
      </c>
    </row>
    <row r="13" customFormat="false" ht="15" hidden="false" customHeight="false" outlineLevel="0" collapsed="false">
      <c r="A13" s="0" t="s">
        <v>74</v>
      </c>
      <c r="B13" s="0" t="n">
        <v>88389</v>
      </c>
      <c r="I13" s="0" t="n">
        <v>22183</v>
      </c>
      <c r="J13" s="0" t="n">
        <v>25.0970143343629</v>
      </c>
      <c r="K13" s="0" t="n">
        <v>4.14</v>
      </c>
      <c r="L13" s="0" t="n">
        <v>18619</v>
      </c>
      <c r="O13" s="0" t="n">
        <v>208079</v>
      </c>
      <c r="P13" s="0" t="n">
        <v>1951757</v>
      </c>
      <c r="Q13" s="0" t="n">
        <v>1743678</v>
      </c>
      <c r="R13" s="0" t="n">
        <v>225020</v>
      </c>
      <c r="T13" s="0" t="n">
        <v>5017.3</v>
      </c>
      <c r="U13" s="0" t="n">
        <v>849</v>
      </c>
      <c r="V13" s="0" t="n">
        <v>1.54</v>
      </c>
      <c r="AA13" s="0" t="s">
        <v>17</v>
      </c>
      <c r="AB13" s="0" t="s">
        <v>14</v>
      </c>
    </row>
    <row r="14" customFormat="false" ht="15" hidden="false" customHeight="false" outlineLevel="0" collapsed="false">
      <c r="A14" s="0" t="s">
        <v>75</v>
      </c>
      <c r="B14" s="0" t="n">
        <v>86408</v>
      </c>
      <c r="I14" s="0" t="n">
        <v>22876</v>
      </c>
      <c r="J14" s="0" t="n">
        <v>26.4744005184705</v>
      </c>
      <c r="K14" s="0" t="n">
        <v>4.31</v>
      </c>
      <c r="L14" s="0" t="n">
        <v>36073</v>
      </c>
      <c r="O14" s="0" t="n">
        <v>197066</v>
      </c>
      <c r="P14" s="0" t="n">
        <v>1895883</v>
      </c>
      <c r="Q14" s="0" t="n">
        <v>1698817</v>
      </c>
      <c r="R14" s="0" t="n">
        <v>229044</v>
      </c>
      <c r="T14" s="0" t="n">
        <v>4838.4</v>
      </c>
      <c r="U14" s="0" t="n">
        <v>1022</v>
      </c>
      <c r="V14" s="0" t="n">
        <v>1.64</v>
      </c>
      <c r="AA14" s="0" t="s">
        <v>17</v>
      </c>
      <c r="AB14" s="0" t="s">
        <v>14</v>
      </c>
    </row>
    <row r="15" customFormat="false" ht="15" hidden="false" customHeight="false" outlineLevel="0" collapsed="false">
      <c r="A15" s="0" t="s">
        <v>76</v>
      </c>
      <c r="B15" s="0" t="n">
        <v>85063</v>
      </c>
      <c r="I15" s="0" t="n">
        <v>20041</v>
      </c>
      <c r="J15" s="0" t="n">
        <v>23.5601848042039</v>
      </c>
      <c r="K15" s="0" t="n">
        <v>4.12</v>
      </c>
      <c r="L15" s="0" t="n">
        <v>6730</v>
      </c>
      <c r="O15" s="0" t="n">
        <v>187702</v>
      </c>
      <c r="P15" s="0" t="n">
        <v>1927555</v>
      </c>
      <c r="Q15" s="0" t="n">
        <v>1739571</v>
      </c>
      <c r="R15" s="0" t="n">
        <v>228191</v>
      </c>
      <c r="T15" s="0" t="n">
        <v>4425.4</v>
      </c>
      <c r="U15" s="0" t="n">
        <v>1217</v>
      </c>
      <c r="V15" s="0" t="n">
        <v>1.92</v>
      </c>
      <c r="AA15" s="0" t="s">
        <v>17</v>
      </c>
      <c r="AB15" s="0" t="s">
        <v>14</v>
      </c>
    </row>
    <row r="16" customFormat="false" ht="15" hidden="false" customHeight="false" outlineLevel="0" collapsed="false">
      <c r="A16" s="0" t="s">
        <v>77</v>
      </c>
      <c r="I16" s="0" t="n">
        <v>3662</v>
      </c>
      <c r="K16" s="0" t="n">
        <v>0.42</v>
      </c>
      <c r="L16" s="0" t="n">
        <v>2051</v>
      </c>
      <c r="O16" s="0" t="n">
        <v>184994</v>
      </c>
      <c r="P16" s="0" t="n">
        <v>1952911</v>
      </c>
      <c r="Q16" s="0" t="n">
        <v>1767199</v>
      </c>
      <c r="R16" s="0" t="n">
        <v>212950</v>
      </c>
      <c r="T16" s="0" t="n">
        <v>4134.2</v>
      </c>
      <c r="U16" s="0" t="n">
        <v>622</v>
      </c>
      <c r="V16" s="0" t="n">
        <v>1.22</v>
      </c>
      <c r="AA16" s="0" t="s">
        <v>17</v>
      </c>
      <c r="AB16" s="0" t="s">
        <v>14</v>
      </c>
    </row>
    <row r="17" customFormat="false" ht="15" hidden="false" customHeight="false" outlineLevel="0" collapsed="false">
      <c r="A17" s="0" t="s">
        <v>78</v>
      </c>
      <c r="I17" s="0" t="n">
        <v>23799</v>
      </c>
      <c r="K17" s="0" t="n">
        <v>5.13</v>
      </c>
      <c r="L17" s="0" t="n">
        <v>-11525</v>
      </c>
      <c r="O17" s="0" t="n">
        <v>189889</v>
      </c>
      <c r="P17" s="0" t="n">
        <v>1948068</v>
      </c>
      <c r="Q17" s="0" t="n">
        <v>1757958</v>
      </c>
      <c r="R17" s="0" t="n">
        <v>160689</v>
      </c>
      <c r="T17" s="0" t="n">
        <v>4096.2</v>
      </c>
      <c r="U17" s="0" t="n">
        <v>1005</v>
      </c>
      <c r="V17" s="0" t="n">
        <v>0.6</v>
      </c>
      <c r="AA17" s="0" t="s">
        <v>17</v>
      </c>
      <c r="AB17" s="0" t="s">
        <v>14</v>
      </c>
    </row>
    <row r="18" customFormat="false" ht="15" hidden="false" customHeight="false" outlineLevel="0" collapsed="false">
      <c r="A18" s="0" t="s">
        <v>79</v>
      </c>
      <c r="I18" s="0" t="n">
        <v>13677</v>
      </c>
      <c r="K18" s="0" t="n">
        <v>3.3</v>
      </c>
      <c r="L18" s="0" t="n">
        <v>27048</v>
      </c>
      <c r="O18" s="0" t="n">
        <v>182213</v>
      </c>
      <c r="P18" s="0" t="n">
        <v>1881020</v>
      </c>
      <c r="Q18" s="0" t="n">
        <v>1698807</v>
      </c>
      <c r="R18" s="0" t="n">
        <v>174870</v>
      </c>
      <c r="T18" s="0" t="n">
        <v>3833.8</v>
      </c>
      <c r="U18" s="0" t="n">
        <v>978</v>
      </c>
      <c r="V18" s="0" t="n">
        <v>1.1</v>
      </c>
      <c r="AA18" s="0" t="s">
        <v>17</v>
      </c>
      <c r="AB18" s="0" t="s">
        <v>14</v>
      </c>
    </row>
    <row r="19" customFormat="false" ht="15" hidden="false" customHeight="false" outlineLevel="0" collapsed="false">
      <c r="A19" s="0" t="s">
        <v>80</v>
      </c>
      <c r="B19" s="0" t="n">
        <v>1011</v>
      </c>
      <c r="I19" s="0" t="n">
        <v>19142</v>
      </c>
      <c r="J19" s="0" t="n">
        <v>1893.37289812067</v>
      </c>
      <c r="K19" s="0" t="n">
        <v>4.88</v>
      </c>
      <c r="L19" s="0" t="n">
        <v>40358</v>
      </c>
      <c r="O19" s="0" t="n">
        <v>187443</v>
      </c>
      <c r="P19" s="0" t="n">
        <v>1932468</v>
      </c>
      <c r="Q19" s="0" t="n">
        <v>1745025</v>
      </c>
      <c r="R19" s="0" t="n">
        <v>207588</v>
      </c>
      <c r="T19" s="0" t="n">
        <v>3720.4</v>
      </c>
      <c r="U19" s="0" t="n">
        <v>1122</v>
      </c>
      <c r="V19" s="0" t="n">
        <v>1.3</v>
      </c>
      <c r="AA19" s="0" t="s">
        <v>17</v>
      </c>
      <c r="AB19" s="0" t="s">
        <v>14</v>
      </c>
    </row>
    <row r="20" customFormat="false" ht="15" hidden="false" customHeight="false" outlineLevel="0" collapsed="false">
      <c r="A20" s="0" t="s">
        <v>81</v>
      </c>
      <c r="B20" s="0" t="n">
        <v>961</v>
      </c>
      <c r="I20" s="0" t="n">
        <v>19722</v>
      </c>
      <c r="J20" s="0" t="n">
        <v>2052.2372528616</v>
      </c>
      <c r="K20" s="0" t="n">
        <v>5.43</v>
      </c>
      <c r="L20" s="0" t="n">
        <v>3035</v>
      </c>
      <c r="O20" s="0" t="n">
        <v>181066</v>
      </c>
      <c r="P20" s="0" t="n">
        <v>1929845</v>
      </c>
      <c r="Q20" s="0" t="n">
        <v>1748779</v>
      </c>
      <c r="R20" s="0" t="n">
        <v>173078</v>
      </c>
      <c r="T20" s="0" t="n">
        <v>3467.6</v>
      </c>
      <c r="U20" s="0" t="n">
        <v>1281</v>
      </c>
      <c r="V20" s="0" t="n">
        <v>1.5</v>
      </c>
      <c r="AA20" s="0" t="s">
        <v>17</v>
      </c>
      <c r="AB20" s="0" t="s">
        <v>14</v>
      </c>
    </row>
    <row r="21" customFormat="false" ht="15" hidden="false" customHeight="false" outlineLevel="0" collapsed="false">
      <c r="A21" s="0" t="s">
        <v>82</v>
      </c>
      <c r="B21" s="0" t="n">
        <v>917</v>
      </c>
      <c r="I21" s="0" t="n">
        <v>21338</v>
      </c>
      <c r="J21" s="0" t="n">
        <v>2326.93565976009</v>
      </c>
      <c r="K21" s="0" t="n">
        <v>6.34</v>
      </c>
      <c r="L21" s="0" t="n">
        <v>-19001</v>
      </c>
      <c r="O21" s="0" t="n">
        <v>183038</v>
      </c>
      <c r="P21" s="0" t="n">
        <v>2148631</v>
      </c>
      <c r="Q21" s="0" t="n">
        <v>1965593</v>
      </c>
      <c r="R21" s="0" t="n">
        <v>174712</v>
      </c>
      <c r="T21" s="0" t="n">
        <v>3242.3</v>
      </c>
      <c r="U21" s="0" t="n">
        <v>1476</v>
      </c>
      <c r="V21" s="0" t="n">
        <v>1.7</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80.45</v>
      </c>
    </row>
    <row r="3" customFormat="false" ht="15" hidden="false" customHeight="false" outlineLevel="0" collapsed="false">
      <c r="A3" s="0" t="s">
        <v>86</v>
      </c>
      <c r="B3" s="3" t="n">
        <v>3054.6</v>
      </c>
    </row>
    <row r="4" customFormat="false" ht="15" hidden="false" customHeight="false" outlineLevel="0" collapsed="false">
      <c r="A4" s="0" t="s">
        <v>87</v>
      </c>
      <c r="B4" s="3" t="n">
        <v>0</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86796</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3</v>
      </c>
      <c r="D13" s="3" t="n">
        <v>2</v>
      </c>
      <c r="E13" s="3" t="n">
        <v>2</v>
      </c>
      <c r="F13" s="3" t="n">
        <v>3</v>
      </c>
      <c r="G13" s="3" t="n">
        <v>3.5</v>
      </c>
      <c r="H13" s="3" t="n">
        <v>3.5</v>
      </c>
      <c r="I13" s="3" t="n">
        <v>3</v>
      </c>
      <c r="J13" s="3" t="n">
        <v>3</v>
      </c>
      <c r="K13" s="3" t="n">
        <v>2.5</v>
      </c>
      <c r="L13" s="3" t="n">
        <v>2.5</v>
      </c>
    </row>
    <row r="14" customFormat="false" ht="15" hidden="false" customHeight="false" outlineLevel="0" collapsed="false">
      <c r="A14" s="0" t="s">
        <v>108</v>
      </c>
      <c r="C14" s="3" t="n">
        <v>31</v>
      </c>
      <c r="D14" s="3" t="n">
        <v>27</v>
      </c>
      <c r="E14" s="3" t="n">
        <v>28</v>
      </c>
      <c r="F14" s="3" t="n">
        <v>30</v>
      </c>
      <c r="G14" s="3" t="n">
        <v>30.5</v>
      </c>
      <c r="H14" s="3" t="n">
        <v>30.5</v>
      </c>
      <c r="I14" s="3" t="n">
        <v>30.5</v>
      </c>
      <c r="J14" s="3" t="n">
        <v>30.5</v>
      </c>
      <c r="K14" s="3" t="n">
        <v>30.5</v>
      </c>
      <c r="L14" s="3" t="n">
        <v>30.5</v>
      </c>
    </row>
    <row r="15" customFormat="false" ht="15" hidden="false" customHeight="false" outlineLevel="0" collapsed="false">
      <c r="A15" s="0" t="s">
        <v>109</v>
      </c>
      <c r="C15" s="3" t="n">
        <v>1.78</v>
      </c>
      <c r="D15" s="3" t="n">
        <v>1.75</v>
      </c>
      <c r="E15" s="3" t="n">
        <v>1.72</v>
      </c>
      <c r="F15" s="3" t="n">
        <v>1.7</v>
      </c>
      <c r="G15" s="3" t="n">
        <v>1.68</v>
      </c>
      <c r="H15" s="3" t="n">
        <v>1.65</v>
      </c>
      <c r="I15" s="3" t="n">
        <v>1.63</v>
      </c>
      <c r="J15" s="3" t="n">
        <v>1.6</v>
      </c>
      <c r="K15" s="3" t="n">
        <v>1.6</v>
      </c>
      <c r="L15" s="3" t="n">
        <v>1.6</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4.62</v>
      </c>
      <c r="D18" s="3" t="n">
        <v>3.11</v>
      </c>
      <c r="E18" s="3" t="n">
        <v>3.11</v>
      </c>
      <c r="F18" s="3" t="n">
        <v>4.62</v>
      </c>
      <c r="G18" s="3" t="n">
        <v>5.36</v>
      </c>
      <c r="H18" s="3" t="n">
        <v>5.36</v>
      </c>
      <c r="I18" s="3" t="n">
        <v>4.62</v>
      </c>
      <c r="J18" s="3" t="n">
        <v>4.62</v>
      </c>
      <c r="K18" s="3" t="n">
        <v>3.87</v>
      </c>
      <c r="L18" s="3" t="n">
        <v>3.87</v>
      </c>
    </row>
    <row r="19" customFormat="false" ht="15" hidden="false" customHeight="false" outlineLevel="0" collapsed="false">
      <c r="A19" s="0" t="s">
        <v>113</v>
      </c>
      <c r="C19" s="3" t="n">
        <v>19</v>
      </c>
      <c r="D19" s="3" t="n">
        <v>20</v>
      </c>
      <c r="E19" s="3" t="n">
        <v>21</v>
      </c>
      <c r="F19" s="3" t="n">
        <v>21</v>
      </c>
      <c r="G19" s="3" t="n">
        <v>21</v>
      </c>
      <c r="H19" s="3" t="n">
        <v>21</v>
      </c>
      <c r="I19" s="3" t="n">
        <v>21</v>
      </c>
      <c r="J19" s="3" t="n">
        <v>21</v>
      </c>
      <c r="K19" s="3" t="n">
        <v>21</v>
      </c>
      <c r="L19" s="3" t="n">
        <v>21</v>
      </c>
    </row>
    <row r="20" customFormat="false" ht="15" hidden="false" customHeight="false" outlineLevel="0" collapsed="false">
      <c r="A20" s="0" t="s">
        <v>114</v>
      </c>
      <c r="B20" s="3" t="n">
        <v>10</v>
      </c>
    </row>
    <row r="21" customFormat="false" ht="15" hidden="false" customHeight="false" outlineLevel="0" collapsed="false">
      <c r="A21" s="0" t="s">
        <v>115</v>
      </c>
      <c r="B21" s="3" t="n">
        <v>2.5</v>
      </c>
    </row>
    <row r="22" customFormat="false" ht="15" hidden="false" customHeight="false" outlineLevel="0" collapsed="false">
      <c r="A22" s="0" t="s">
        <v>116</v>
      </c>
      <c r="B22" s="3" t="n">
        <v>13</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6</v>
      </c>
      <c r="D27" s="3" t="n">
        <v>6</v>
      </c>
      <c r="E27" s="3" t="n">
        <v>5.5</v>
      </c>
      <c r="F27" s="3" t="n">
        <v>5</v>
      </c>
      <c r="G27" s="3" t="n">
        <v>4.5</v>
      </c>
      <c r="H27" s="3" t="n">
        <v>4</v>
      </c>
      <c r="I27" s="3" t="n">
        <v>3.5</v>
      </c>
      <c r="J27" s="3" t="n">
        <v>3.5</v>
      </c>
      <c r="K27" s="3" t="n">
        <v>3</v>
      </c>
      <c r="L27" s="3" t="n">
        <v>3</v>
      </c>
    </row>
    <row r="28" customFormat="false" ht="15" hidden="false" customHeight="false" outlineLevel="0" collapsed="false">
      <c r="A28" s="0" t="s">
        <v>108</v>
      </c>
      <c r="C28" s="3" t="n">
        <v>34</v>
      </c>
      <c r="D28" s="3" t="n">
        <v>34.5</v>
      </c>
      <c r="E28" s="3" t="n">
        <v>34.5</v>
      </c>
      <c r="F28" s="3" t="n">
        <v>34.2</v>
      </c>
      <c r="G28" s="3" t="n">
        <v>33.8</v>
      </c>
      <c r="H28" s="3" t="n">
        <v>33.5</v>
      </c>
      <c r="I28" s="3" t="n">
        <v>33.3</v>
      </c>
      <c r="J28" s="3" t="n">
        <v>33.3</v>
      </c>
      <c r="K28" s="3" t="n">
        <v>33.3</v>
      </c>
      <c r="L28" s="3" t="n">
        <v>33.3</v>
      </c>
    </row>
    <row r="29" customFormat="false" ht="15" hidden="false" customHeight="false" outlineLevel="0" collapsed="false">
      <c r="A29" s="0" t="s">
        <v>109</v>
      </c>
      <c r="C29" s="3" t="n">
        <v>1.78</v>
      </c>
      <c r="D29" s="3" t="n">
        <v>1.75</v>
      </c>
      <c r="E29" s="3" t="n">
        <v>1.72</v>
      </c>
      <c r="F29" s="3" t="n">
        <v>1.7</v>
      </c>
      <c r="G29" s="3" t="n">
        <v>1.68</v>
      </c>
      <c r="H29" s="3" t="n">
        <v>1.65</v>
      </c>
      <c r="I29" s="3" t="n">
        <v>1.63</v>
      </c>
      <c r="J29" s="3" t="n">
        <v>1.6</v>
      </c>
      <c r="K29" s="3" t="n">
        <v>1.6</v>
      </c>
      <c r="L29" s="3" t="n">
        <v>1.6</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8.98</v>
      </c>
      <c r="D32" s="3" t="n">
        <v>8.98</v>
      </c>
      <c r="E32" s="3" t="n">
        <v>8.27</v>
      </c>
      <c r="F32" s="3" t="n">
        <v>7.55</v>
      </c>
      <c r="G32" s="3" t="n">
        <v>6.83</v>
      </c>
      <c r="H32" s="3" t="n">
        <v>6.1</v>
      </c>
      <c r="I32" s="3" t="n">
        <v>5.36</v>
      </c>
      <c r="J32" s="3" t="n">
        <v>5.36</v>
      </c>
      <c r="K32" s="3" t="n">
        <v>4.62</v>
      </c>
      <c r="L32" s="3" t="n">
        <v>4.62</v>
      </c>
    </row>
    <row r="33" customFormat="false" ht="15" hidden="false" customHeight="false" outlineLevel="0" collapsed="false">
      <c r="A33" s="0" t="s">
        <v>113</v>
      </c>
      <c r="C33" s="3" t="n">
        <v>18</v>
      </c>
      <c r="D33" s="3" t="n">
        <v>18.5</v>
      </c>
      <c r="E33" s="3" t="n">
        <v>19</v>
      </c>
      <c r="F33" s="3" t="n">
        <v>19.5</v>
      </c>
      <c r="G33" s="3" t="n">
        <v>20</v>
      </c>
      <c r="H33" s="3" t="n">
        <v>20</v>
      </c>
      <c r="I33" s="3" t="n">
        <v>20</v>
      </c>
      <c r="J33" s="3" t="n">
        <v>20</v>
      </c>
      <c r="K33" s="3" t="n">
        <v>20</v>
      </c>
      <c r="L33" s="3" t="n">
        <v>20</v>
      </c>
    </row>
    <row r="34" customFormat="false" ht="15" hidden="false" customHeight="false" outlineLevel="0" collapsed="false">
      <c r="A34" s="0" t="s">
        <v>114</v>
      </c>
      <c r="B34" s="3" t="n">
        <v>10</v>
      </c>
    </row>
    <row r="35" customFormat="false" ht="15" hidden="false" customHeight="false" outlineLevel="0" collapsed="false">
      <c r="A35" s="0" t="s">
        <v>115</v>
      </c>
      <c r="B35" s="3" t="n">
        <v>3</v>
      </c>
    </row>
    <row r="36" customFormat="false" ht="15" hidden="false" customHeight="false" outlineLevel="0" collapsed="false">
      <c r="A36" s="0" t="s">
        <v>116</v>
      </c>
      <c r="B36" s="3" t="n">
        <v>15</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8</v>
      </c>
      <c r="D41" s="3" t="n">
        <v>8</v>
      </c>
      <c r="E41" s="3" t="n">
        <v>7</v>
      </c>
      <c r="F41" s="3" t="n">
        <v>6</v>
      </c>
      <c r="G41" s="3" t="n">
        <v>5.5</v>
      </c>
      <c r="H41" s="3" t="n">
        <v>5</v>
      </c>
      <c r="I41" s="3" t="n">
        <v>4.5</v>
      </c>
      <c r="J41" s="3" t="n">
        <v>4</v>
      </c>
      <c r="K41" s="3" t="n">
        <v>3.5</v>
      </c>
      <c r="L41" s="3" t="n">
        <v>3</v>
      </c>
    </row>
    <row r="42" customFormat="false" ht="15" hidden="false" customHeight="false" outlineLevel="0" collapsed="false">
      <c r="A42" s="0" t="s">
        <v>108</v>
      </c>
      <c r="C42" s="3" t="n">
        <v>35</v>
      </c>
      <c r="D42" s="3" t="n">
        <v>35.8</v>
      </c>
      <c r="E42" s="3" t="n">
        <v>36.3</v>
      </c>
      <c r="F42" s="3" t="n">
        <v>36.5</v>
      </c>
      <c r="G42" s="3" t="n">
        <v>36.5</v>
      </c>
      <c r="H42" s="3" t="n">
        <v>36.3</v>
      </c>
      <c r="I42" s="3" t="n">
        <v>36</v>
      </c>
      <c r="J42" s="3" t="n">
        <v>36</v>
      </c>
      <c r="K42" s="3" t="n">
        <v>36</v>
      </c>
      <c r="L42" s="3" t="n">
        <v>36</v>
      </c>
    </row>
    <row r="43" customFormat="false" ht="15" hidden="false" customHeight="false" outlineLevel="0" collapsed="false">
      <c r="A43" s="0" t="s">
        <v>109</v>
      </c>
      <c r="C43" s="3" t="n">
        <v>1.78</v>
      </c>
      <c r="D43" s="3" t="n">
        <v>1.75</v>
      </c>
      <c r="E43" s="3" t="n">
        <v>1.72</v>
      </c>
      <c r="F43" s="3" t="n">
        <v>1.7</v>
      </c>
      <c r="G43" s="3" t="n">
        <v>1.68</v>
      </c>
      <c r="H43" s="3" t="n">
        <v>1.65</v>
      </c>
      <c r="I43" s="3" t="n">
        <v>1.63</v>
      </c>
      <c r="J43" s="3" t="n">
        <v>1.6</v>
      </c>
      <c r="K43" s="3" t="n">
        <v>1.6</v>
      </c>
      <c r="L43" s="3" t="n">
        <v>1.6</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11.75</v>
      </c>
      <c r="D46" s="3" t="n">
        <v>11.75</v>
      </c>
      <c r="E46" s="3" t="n">
        <v>10.37</v>
      </c>
      <c r="F46" s="3" t="n">
        <v>8.98</v>
      </c>
      <c r="G46" s="3" t="n">
        <v>8.27</v>
      </c>
      <c r="H46" s="3" t="n">
        <v>7.55</v>
      </c>
      <c r="I46" s="3" t="n">
        <v>6.83</v>
      </c>
      <c r="J46" s="3" t="n">
        <v>6.1</v>
      </c>
      <c r="K46" s="3" t="n">
        <v>5.36</v>
      </c>
      <c r="L46" s="3" t="n">
        <v>4.62</v>
      </c>
    </row>
    <row r="47" customFormat="false" ht="15" hidden="false" customHeight="false" outlineLevel="0" collapsed="false">
      <c r="A47" s="0" t="s">
        <v>113</v>
      </c>
      <c r="C47" s="3" t="n">
        <v>18</v>
      </c>
      <c r="D47" s="3" t="n">
        <v>18</v>
      </c>
      <c r="E47" s="3" t="n">
        <v>18</v>
      </c>
      <c r="F47" s="3" t="n">
        <v>18.5</v>
      </c>
      <c r="G47" s="3" t="n">
        <v>18.5</v>
      </c>
      <c r="H47" s="3" t="n">
        <v>19</v>
      </c>
      <c r="I47" s="3" t="n">
        <v>19</v>
      </c>
      <c r="J47" s="3" t="n">
        <v>19</v>
      </c>
      <c r="K47" s="3" t="n">
        <v>19</v>
      </c>
      <c r="L47" s="3" t="n">
        <v>19</v>
      </c>
    </row>
    <row r="48" customFormat="false" ht="15" hidden="false" customHeight="false" outlineLevel="0" collapsed="false">
      <c r="A48" s="0" t="s">
        <v>114</v>
      </c>
      <c r="B48" s="3" t="n">
        <v>10</v>
      </c>
    </row>
    <row r="49" customFormat="false" ht="15" hidden="false" customHeight="false" outlineLevel="0" collapsed="false">
      <c r="A49" s="0" t="s">
        <v>115</v>
      </c>
      <c r="B49" s="3" t="n">
        <v>3</v>
      </c>
    </row>
    <row r="50" customFormat="false" ht="15" hidden="false" customHeight="false" outlineLevel="0" collapsed="false">
      <c r="A50" s="0" t="s">
        <v>116</v>
      </c>
      <c r="B50" s="3" t="n">
        <v>15</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3</v>
      </c>
      <c r="D5" s="4" t="n">
        <f aca="false">Assumptions!D13</f>
        <v>2</v>
      </c>
      <c r="E5" s="4" t="n">
        <f aca="false">Assumptions!E13</f>
        <v>2</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86796</v>
      </c>
      <c r="C6" s="0" t="n">
        <f aca="false">B6*(1+C5/100)</f>
        <v>89399.88</v>
      </c>
      <c r="D6" s="0" t="n">
        <f aca="false">C6*(1+D5/100)</f>
        <v>91187.8776</v>
      </c>
      <c r="E6" s="0" t="n">
        <f aca="false">D6*(1+E5/100)</f>
        <v>93011.635152</v>
      </c>
      <c r="F6" s="0" t="n">
        <f aca="false">E6*(1+F5/100)</f>
        <v>95801.98420656</v>
      </c>
      <c r="G6" s="0" t="n">
        <f aca="false">F6*(1+G5/100)</f>
        <v>99155.0536537896</v>
      </c>
      <c r="H6" s="0" t="n">
        <f aca="false">G6*(1+H5/100)</f>
        <v>102625.480531672</v>
      </c>
      <c r="I6" s="0" t="n">
        <f aca="false">H6*(1+I5/100)</f>
        <v>105704.244947622</v>
      </c>
      <c r="J6" s="0" t="n">
        <f aca="false">I6*(1+J5/100)</f>
        <v>108875.372296051</v>
      </c>
      <c r="K6" s="0" t="n">
        <f aca="false">J6*(1+K5/100)</f>
        <v>111597.256603452</v>
      </c>
      <c r="L6" s="0" t="n">
        <f aca="false">K6*(1+L5/100)</f>
        <v>114387.188018539</v>
      </c>
    </row>
    <row r="7" customFormat="false" ht="15" hidden="false" customHeight="false" outlineLevel="0" collapsed="false">
      <c r="A7" s="0" t="s">
        <v>108</v>
      </c>
      <c r="C7" s="4" t="n">
        <f aca="false">Assumptions!C14</f>
        <v>31</v>
      </c>
      <c r="D7" s="4" t="n">
        <f aca="false">Assumptions!D14</f>
        <v>27</v>
      </c>
      <c r="E7" s="4" t="n">
        <f aca="false">Assumptions!E14</f>
        <v>28</v>
      </c>
      <c r="F7" s="4" t="n">
        <f aca="false">Assumptions!F14</f>
        <v>30</v>
      </c>
      <c r="G7" s="4" t="n">
        <f aca="false">Assumptions!G14</f>
        <v>30.5</v>
      </c>
      <c r="H7" s="4" t="n">
        <f aca="false">Assumptions!H14</f>
        <v>30.5</v>
      </c>
      <c r="I7" s="4" t="n">
        <f aca="false">Assumptions!I14</f>
        <v>30.5</v>
      </c>
      <c r="J7" s="4" t="n">
        <f aca="false">Assumptions!J14</f>
        <v>30.5</v>
      </c>
      <c r="K7" s="4" t="n">
        <f aca="false">Assumptions!K14</f>
        <v>30.5</v>
      </c>
      <c r="L7" s="4" t="n">
        <f aca="false">Assumptions!L14</f>
        <v>30.5</v>
      </c>
    </row>
    <row r="8" customFormat="false" ht="15" hidden="false" customHeight="false" outlineLevel="0" collapsed="false">
      <c r="A8" s="0" t="s">
        <v>43</v>
      </c>
      <c r="C8" s="0" t="n">
        <f aca="false">C6*C7/100</f>
        <v>27713.9628</v>
      </c>
      <c r="D8" s="0" t="n">
        <f aca="false">D6*D7/100</f>
        <v>24620.726952</v>
      </c>
      <c r="E8" s="0" t="n">
        <f aca="false">E6*E7/100</f>
        <v>26043.25784256</v>
      </c>
      <c r="F8" s="0" t="n">
        <f aca="false">F6*F7/100</f>
        <v>28740.595261968</v>
      </c>
      <c r="G8" s="0" t="n">
        <f aca="false">G6*G7/100</f>
        <v>30242.2913644058</v>
      </c>
      <c r="H8" s="0" t="n">
        <f aca="false">H6*H7/100</f>
        <v>31300.77156216</v>
      </c>
      <c r="I8" s="0" t="n">
        <f aca="false">I6*I7/100</f>
        <v>32239.7947090248</v>
      </c>
      <c r="J8" s="0" t="n">
        <f aca="false">J6*J7/100</f>
        <v>33206.9885502956</v>
      </c>
      <c r="K8" s="0" t="n">
        <f aca="false">K6*K7/100</f>
        <v>34037.163264053</v>
      </c>
      <c r="L8" s="0" t="n">
        <f aca="false">L6*L7/100</f>
        <v>34888.0923456543</v>
      </c>
    </row>
    <row r="9" customFormat="false" ht="15" hidden="false" customHeight="false" outlineLevel="0" collapsed="false">
      <c r="A9" s="0" t="s">
        <v>109</v>
      </c>
      <c r="C9" s="4" t="n">
        <f aca="false">Assumptions!C15</f>
        <v>1.78</v>
      </c>
      <c r="D9" s="4" t="n">
        <f aca="false">Assumptions!D15</f>
        <v>1.75</v>
      </c>
      <c r="E9" s="4" t="n">
        <f aca="false">Assumptions!E15</f>
        <v>1.72</v>
      </c>
      <c r="F9" s="4" t="n">
        <f aca="false">Assumptions!F15</f>
        <v>1.7</v>
      </c>
      <c r="G9" s="4" t="n">
        <f aca="false">Assumptions!G15</f>
        <v>1.68</v>
      </c>
      <c r="H9" s="4" t="n">
        <f aca="false">Assumptions!H15</f>
        <v>1.65</v>
      </c>
      <c r="I9" s="4" t="n">
        <f aca="false">Assumptions!I15</f>
        <v>1.63</v>
      </c>
      <c r="J9" s="4" t="n">
        <f aca="false">Assumptions!J15</f>
        <v>1.6</v>
      </c>
      <c r="K9" s="4" t="n">
        <f aca="false">Assumptions!K15</f>
        <v>1.6</v>
      </c>
      <c r="L9" s="4" t="n">
        <f aca="false">Assumptions!L15</f>
        <v>1.6</v>
      </c>
    </row>
    <row r="10" customFormat="false" ht="15" hidden="false" customHeight="false" outlineLevel="0" collapsed="false">
      <c r="A10" s="0" t="s">
        <v>124</v>
      </c>
      <c r="C10" s="0" t="n">
        <f aca="false">-C6*C9/100</f>
        <v>-1591.317864</v>
      </c>
      <c r="D10" s="0" t="n">
        <f aca="false">-D6*D9/100</f>
        <v>-1595.787858</v>
      </c>
      <c r="E10" s="0" t="n">
        <f aca="false">-E6*E9/100</f>
        <v>-1599.8001246144</v>
      </c>
      <c r="F10" s="0" t="n">
        <f aca="false">-F6*F9/100</f>
        <v>-1628.63373151152</v>
      </c>
      <c r="G10" s="0" t="n">
        <f aca="false">-G6*G9/100</f>
        <v>-1665.80490138367</v>
      </c>
      <c r="H10" s="0" t="n">
        <f aca="false">-H6*H9/100</f>
        <v>-1693.32042877259</v>
      </c>
      <c r="I10" s="0" t="n">
        <f aca="false">-I6*I9/100</f>
        <v>-1722.97919264624</v>
      </c>
      <c r="J10" s="0" t="n">
        <f aca="false">-J6*J9/100</f>
        <v>-1742.00595673682</v>
      </c>
      <c r="K10" s="0" t="n">
        <f aca="false">-K6*K9/100</f>
        <v>-1785.55610565524</v>
      </c>
      <c r="L10" s="0" t="n">
        <f aca="false">-L6*L9/100</f>
        <v>-1830.19500829662</v>
      </c>
    </row>
    <row r="11" customFormat="false" ht="15" hidden="false" customHeight="false" outlineLevel="0" collapsed="false">
      <c r="A11" s="0" t="s">
        <v>125</v>
      </c>
      <c r="C11" s="0" t="n">
        <f aca="false">C8+C10+C24</f>
        <v>26122.644936</v>
      </c>
      <c r="D11" s="0" t="n">
        <f aca="false">D8+D10+D24</f>
        <v>23024.939094</v>
      </c>
      <c r="E11" s="0" t="n">
        <f aca="false">E8+E10+E24</f>
        <v>24443.4577179456</v>
      </c>
      <c r="F11" s="0" t="n">
        <f aca="false">F8+F10+F24</f>
        <v>27111.9615304565</v>
      </c>
      <c r="G11" s="0" t="n">
        <f aca="false">G8+G10+G24</f>
        <v>28576.4864630222</v>
      </c>
      <c r="H11" s="0" t="n">
        <f aca="false">H8+H10+H24</f>
        <v>29607.4511333874</v>
      </c>
      <c r="I11" s="0" t="n">
        <f aca="false">I8+I10+I24</f>
        <v>30516.8155163786</v>
      </c>
      <c r="J11" s="0" t="n">
        <f aca="false">J8+J10+J24</f>
        <v>31464.9825935588</v>
      </c>
      <c r="K11" s="0" t="n">
        <f aca="false">K8+K10+K24</f>
        <v>32251.6071583977</v>
      </c>
      <c r="L11" s="0" t="n">
        <f aca="false">L8+L10+L24</f>
        <v>33057.8973373577</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26122.644936</v>
      </c>
      <c r="D13" s="0" t="n">
        <f aca="false">D11+D12</f>
        <v>23024.939094</v>
      </c>
      <c r="E13" s="0" t="n">
        <f aca="false">E11+E12</f>
        <v>24443.4577179456</v>
      </c>
      <c r="F13" s="0" t="n">
        <f aca="false">F11+F12</f>
        <v>27111.9615304565</v>
      </c>
      <c r="G13" s="0" t="n">
        <f aca="false">G11+G12</f>
        <v>28576.4864630222</v>
      </c>
      <c r="H13" s="0" t="n">
        <f aca="false">H11+H12</f>
        <v>29607.4511333874</v>
      </c>
      <c r="I13" s="0" t="n">
        <f aca="false">I11+I12</f>
        <v>30516.8155163786</v>
      </c>
      <c r="J13" s="0" t="n">
        <f aca="false">J11+J12</f>
        <v>31464.9825935588</v>
      </c>
      <c r="K13" s="0" t="n">
        <f aca="false">K11+K12</f>
        <v>32251.6071583977</v>
      </c>
      <c r="L13" s="0" t="n">
        <f aca="false">L11+L12</f>
        <v>33057.8973373577</v>
      </c>
    </row>
    <row r="14" customFormat="false" ht="15" hidden="false" customHeight="false" outlineLevel="0" collapsed="false">
      <c r="A14" s="0" t="s">
        <v>113</v>
      </c>
      <c r="C14" s="4" t="n">
        <f aca="false">Assumptions!C19</f>
        <v>19</v>
      </c>
      <c r="D14" s="4" t="n">
        <f aca="false">Assumptions!D19</f>
        <v>20</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128</v>
      </c>
      <c r="C15" s="0" t="n">
        <f aca="false">C13-MAX(0,C13)*C14/100</f>
        <v>21159.34239816</v>
      </c>
      <c r="D15" s="0" t="n">
        <f aca="false">D13-MAX(0,D13)*D14/100</f>
        <v>18419.9512752</v>
      </c>
      <c r="E15" s="0" t="n">
        <f aca="false">E13-MAX(0,E13)*E14/100</f>
        <v>19310.331597177</v>
      </c>
      <c r="F15" s="0" t="n">
        <f aca="false">F13-MAX(0,F13)*F14/100</f>
        <v>21418.4496090606</v>
      </c>
      <c r="G15" s="0" t="n">
        <f aca="false">G13-MAX(0,G13)*G14/100</f>
        <v>22575.4243057875</v>
      </c>
      <c r="H15" s="0" t="n">
        <f aca="false">H13-MAX(0,H13)*H14/100</f>
        <v>23389.8863953761</v>
      </c>
      <c r="I15" s="0" t="n">
        <f aca="false">I13-MAX(0,I13)*I14/100</f>
        <v>24108.2842579391</v>
      </c>
      <c r="J15" s="0" t="n">
        <f aca="false">J13-MAX(0,J13)*J14/100</f>
        <v>24857.3362489114</v>
      </c>
      <c r="K15" s="0" t="n">
        <f aca="false">K13-MAX(0,K13)*K14/100</f>
        <v>25478.7696551342</v>
      </c>
      <c r="L15" s="0" t="n">
        <f aca="false">L13-MAX(0,L13)*L14/100</f>
        <v>26115.7388965126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-4130.274456</v>
      </c>
      <c r="D17" s="4" t="n">
        <f aca="false">-D6*Assumptions!D18/100</f>
        <v>-2835.94299336</v>
      </c>
      <c r="E17" s="4" t="n">
        <f aca="false">-E6*Assumptions!E18/100</f>
        <v>-2892.6618532272</v>
      </c>
      <c r="F17" s="4" t="n">
        <f aca="false">-F6*Assumptions!F18/100</f>
        <v>-4426.05167034307</v>
      </c>
      <c r="G17" s="4" t="n">
        <f aca="false">-G6*Assumptions!G18/100</f>
        <v>-5314.71087584312</v>
      </c>
      <c r="H17" s="4" t="n">
        <f aca="false">-H6*Assumptions!H18/100</f>
        <v>-5500.72575649763</v>
      </c>
      <c r="I17" s="4" t="n">
        <f aca="false">-I6*Assumptions!I18/100</f>
        <v>-4883.53611658015</v>
      </c>
      <c r="J17" s="4" t="n">
        <f aca="false">-J6*Assumptions!J18/100</f>
        <v>-5030.04220007756</v>
      </c>
      <c r="K17" s="4" t="n">
        <f aca="false">-K6*Assumptions!K18/100</f>
        <v>-4318.81383055361</v>
      </c>
      <c r="L17" s="4" t="n">
        <f aca="false">-L6*Assumptions!L18/100</f>
        <v>-4426.78417631745</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17029.06794216</v>
      </c>
      <c r="D19" s="0" t="n">
        <f aca="false">D15+D16+D17+D18</f>
        <v>15584.00828184</v>
      </c>
      <c r="E19" s="0" t="n">
        <f aca="false">E15+E16+E17+E18</f>
        <v>16417.6697439498</v>
      </c>
      <c r="F19" s="0" t="n">
        <f aca="false">F15+F16+F17+F18</f>
        <v>16992.3979387175</v>
      </c>
      <c r="G19" s="0" t="n">
        <f aca="false">G15+G16+G17+G18</f>
        <v>17260.7134299444</v>
      </c>
      <c r="H19" s="0" t="n">
        <f aca="false">H15+H16+H17+H18</f>
        <v>17889.1606388784</v>
      </c>
      <c r="I19" s="0" t="n">
        <f aca="false">I15+I16+I17+I18</f>
        <v>19224.7481413589</v>
      </c>
      <c r="J19" s="0" t="n">
        <f aca="false">J15+J16+J17+J18</f>
        <v>19827.2940488339</v>
      </c>
      <c r="K19" s="0" t="n">
        <f aca="false">K15+K16+K17+K18</f>
        <v>21159.9558245806</v>
      </c>
      <c r="L19" s="0" t="n">
        <f aca="false">L15+L16+L17+L18</f>
        <v>21688.9547201951</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15480.9708565091</v>
      </c>
      <c r="D21" s="0" t="n">
        <f aca="false">D19*D20</f>
        <v>12879.3456874711</v>
      </c>
      <c r="E21" s="0" t="n">
        <f aca="false">E19*E20</f>
        <v>12334.8382749435</v>
      </c>
      <c r="F21" s="0" t="n">
        <f aca="false">F19*F20</f>
        <v>11606.0364310618</v>
      </c>
      <c r="G21" s="0" t="n">
        <f aca="false">G19*G20</f>
        <v>10717.545019866</v>
      </c>
      <c r="H21" s="0" t="n">
        <f aca="false">H19*H20</f>
        <v>10097.9648111911</v>
      </c>
      <c r="I21" s="0" t="n">
        <f aca="false">I19*I20</f>
        <v>9865.33557967902</v>
      </c>
      <c r="J21" s="0" t="n">
        <f aca="false">J19*J20</f>
        <v>9249.57900336952</v>
      </c>
      <c r="K21" s="0" t="n">
        <f aca="false">K19*K20</f>
        <v>8973.88687007162</v>
      </c>
      <c r="L21" s="0" t="n">
        <f aca="false">L19*L20</f>
        <v>8362.03094711218</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10</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13</v>
      </c>
    </row>
    <row r="30" customFormat="false" ht="15" hidden="false" customHeight="false" outlineLevel="0" collapsed="false">
      <c r="A30" s="0" t="s">
        <v>137</v>
      </c>
      <c r="B30" s="0" t="n">
        <f aca="false">SUM(C21:L21)</f>
        <v>109567.533481275</v>
      </c>
    </row>
    <row r="31" customFormat="false" ht="15" hidden="false" customHeight="false" outlineLevel="0" collapsed="false">
      <c r="A31" s="0" t="s">
        <v>138</v>
      </c>
      <c r="B31" s="0" t="n">
        <f aca="false">L19</f>
        <v>21688.9547201951</v>
      </c>
    </row>
    <row r="32" customFormat="false" ht="15" hidden="false" customHeight="false" outlineLevel="0" collapsed="false">
      <c r="A32" s="0" t="s">
        <v>139</v>
      </c>
      <c r="B32" s="0" t="n">
        <f aca="false">IF(B27&gt;B28,B31*(1+B28/100)/((B27-B28)/100),B31*B29)</f>
        <v>296415.714509333</v>
      </c>
    </row>
    <row r="33" customFormat="false" ht="15" hidden="false" customHeight="false" outlineLevel="0" collapsed="false">
      <c r="A33" s="0" t="s">
        <v>140</v>
      </c>
      <c r="B33" s="0" t="n">
        <f aca="false">B31*B29</f>
        <v>281956.411362536</v>
      </c>
    </row>
    <row r="34" customFormat="false" ht="15" hidden="false" customHeight="false" outlineLevel="0" collapsed="false">
      <c r="A34" s="0" t="s">
        <v>141</v>
      </c>
      <c r="B34" s="0" t="n">
        <f aca="false">MAX(0,MIN(B32,B33))</f>
        <v>281956.411362536</v>
      </c>
    </row>
    <row r="35" customFormat="false" ht="15" hidden="false" customHeight="false" outlineLevel="0" collapsed="false">
      <c r="A35" s="0" t="s">
        <v>142</v>
      </c>
      <c r="B35" s="0" t="n">
        <f aca="false">B34/(1+B27/100)^L4</f>
        <v>108706.402312458</v>
      </c>
    </row>
    <row r="36" customFormat="false" ht="15" hidden="false" customHeight="false" outlineLevel="0" collapsed="false">
      <c r="A36" s="0" t="s">
        <v>143</v>
      </c>
      <c r="B36" s="0" t="n">
        <f aca="false">B30+B35</f>
        <v>218273.935793733</v>
      </c>
    </row>
    <row r="37" customFormat="false" ht="15" hidden="false" customHeight="false" outlineLevel="0" collapsed="false">
      <c r="A37" s="0" t="s">
        <v>144</v>
      </c>
      <c r="B37" s="0" t="n">
        <f aca="false">B36+Assumptions!$B$5-Assumptions!$B$4</f>
        <v>218273.935793733</v>
      </c>
    </row>
    <row r="38" customFormat="false" ht="15" hidden="false" customHeight="false" outlineLevel="0" collapsed="false">
      <c r="A38" s="0" t="s">
        <v>145</v>
      </c>
      <c r="B38" s="0" t="n">
        <f aca="false">B37/Assumptions!$B$3*Assumptions!$B$10</f>
        <v>71.4574529541456</v>
      </c>
    </row>
    <row r="39" customFormat="false" ht="15" hidden="false" customHeight="false" outlineLevel="0" collapsed="false">
      <c r="A39" s="0" t="s">
        <v>146</v>
      </c>
      <c r="B39" s="4" t="n">
        <f aca="false">B38/Assumptions!$B$2-1</f>
        <v>-0.111778086337531</v>
      </c>
    </row>
    <row r="41" customFormat="false" ht="15" hidden="false" customHeight="false" outlineLevel="0" collapsed="false">
      <c r="A41" s="0" t="s">
        <v>147</v>
      </c>
      <c r="B41" s="0" t="n">
        <f aca="false">SUMPRODUCT(-C10:L10/(1+$B$27/100)^C4:L4)</f>
        <v>10229.6757204293</v>
      </c>
    </row>
    <row r="42" customFormat="false" ht="15" hidden="false" customHeight="false" outlineLevel="0" collapsed="false">
      <c r="A42" s="0" t="s">
        <v>148</v>
      </c>
      <c r="B42" s="0" t="n">
        <f aca="false">IF(B27&gt;B28,-L10*(1+B28/100)/((B27-B28)/100),-L10*20)/(1+B27/100)^L4</f>
        <v>9643.46518521455</v>
      </c>
    </row>
    <row r="43" customFormat="false" ht="15" hidden="false" customHeight="false" outlineLevel="0" collapsed="false">
      <c r="A43" s="0" t="s">
        <v>149</v>
      </c>
      <c r="B43" s="0" t="n">
        <f aca="false">(B37+B41+B42)/Assumptions!$B$3*Assumptions!$B$10</f>
        <v>77.9634245725715</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177849.4287056</v>
      </c>
    </row>
    <row r="47" customFormat="false" ht="15" hidden="false" customHeight="false" outlineLevel="0" collapsed="false">
      <c r="A47" s="0" t="s">
        <v>151</v>
      </c>
      <c r="B47" s="0" t="n">
        <f aca="false">(SUMPRODUCT(C19:L19/(1+B45/100)^C4:L4)+B46/(1+B45/100)^L4+Assumptions!$B$5-Assumptions!$B$4)/Assumptions!$B$3*Assumptions!$B$10</f>
        <v>43.3655043491108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6</v>
      </c>
      <c r="D5" s="4" t="n">
        <f aca="false">Assumptions!D27</f>
        <v>6</v>
      </c>
      <c r="E5" s="4" t="n">
        <f aca="false">Assumptions!E27</f>
        <v>5.5</v>
      </c>
      <c r="F5" s="4" t="n">
        <f aca="false">Assumptions!F27</f>
        <v>5</v>
      </c>
      <c r="G5" s="4" t="n">
        <f aca="false">Assumptions!G27</f>
        <v>4.5</v>
      </c>
      <c r="H5" s="4" t="n">
        <f aca="false">Assumptions!H27</f>
        <v>4</v>
      </c>
      <c r="I5" s="4" t="n">
        <f aca="false">Assumptions!I27</f>
        <v>3.5</v>
      </c>
      <c r="J5" s="4" t="n">
        <f aca="false">Assumptions!J27</f>
        <v>3.5</v>
      </c>
      <c r="K5" s="4" t="n">
        <f aca="false">Assumptions!K27</f>
        <v>3</v>
      </c>
      <c r="L5" s="4" t="n">
        <f aca="false">Assumptions!L27</f>
        <v>3</v>
      </c>
    </row>
    <row r="6" customFormat="false" ht="15" hidden="false" customHeight="false" outlineLevel="0" collapsed="false">
      <c r="A6" s="0" t="s">
        <v>37</v>
      </c>
      <c r="B6" s="3" t="n">
        <v>86796</v>
      </c>
      <c r="C6" s="0" t="n">
        <f aca="false">B6*(1+C5/100)</f>
        <v>92003.76</v>
      </c>
      <c r="D6" s="0" t="n">
        <f aca="false">C6*(1+D5/100)</f>
        <v>97523.9856</v>
      </c>
      <c r="E6" s="0" t="n">
        <f aca="false">D6*(1+E5/100)</f>
        <v>102887.804808</v>
      </c>
      <c r="F6" s="0" t="n">
        <f aca="false">E6*(1+F5/100)</f>
        <v>108032.1950484</v>
      </c>
      <c r="G6" s="0" t="n">
        <f aca="false">F6*(1+G5/100)</f>
        <v>112893.643825578</v>
      </c>
      <c r="H6" s="0" t="n">
        <f aca="false">G6*(1+H5/100)</f>
        <v>117409.389578601</v>
      </c>
      <c r="I6" s="0" t="n">
        <f aca="false">H6*(1+I5/100)</f>
        <v>121518.718213852</v>
      </c>
      <c r="J6" s="0" t="n">
        <f aca="false">I6*(1+J5/100)</f>
        <v>125771.873351337</v>
      </c>
      <c r="K6" s="0" t="n">
        <f aca="false">J6*(1+K5/100)</f>
        <v>129545.029551877</v>
      </c>
      <c r="L6" s="0" t="n">
        <f aca="false">K6*(1+L5/100)</f>
        <v>133431.380438433</v>
      </c>
    </row>
    <row r="7" customFormat="false" ht="15" hidden="false" customHeight="false" outlineLevel="0" collapsed="false">
      <c r="A7" s="0" t="s">
        <v>108</v>
      </c>
      <c r="C7" s="4" t="n">
        <f aca="false">Assumptions!C28</f>
        <v>34</v>
      </c>
      <c r="D7" s="4" t="n">
        <f aca="false">Assumptions!D28</f>
        <v>34.5</v>
      </c>
      <c r="E7" s="4" t="n">
        <f aca="false">Assumptions!E28</f>
        <v>34.5</v>
      </c>
      <c r="F7" s="4" t="n">
        <f aca="false">Assumptions!F28</f>
        <v>34.2</v>
      </c>
      <c r="G7" s="4" t="n">
        <f aca="false">Assumptions!G28</f>
        <v>33.8</v>
      </c>
      <c r="H7" s="4" t="n">
        <f aca="false">Assumptions!H28</f>
        <v>33.5</v>
      </c>
      <c r="I7" s="4" t="n">
        <f aca="false">Assumptions!I28</f>
        <v>33.3</v>
      </c>
      <c r="J7" s="4" t="n">
        <f aca="false">Assumptions!J28</f>
        <v>33.3</v>
      </c>
      <c r="K7" s="4" t="n">
        <f aca="false">Assumptions!K28</f>
        <v>33.3</v>
      </c>
      <c r="L7" s="4" t="n">
        <f aca="false">Assumptions!L28</f>
        <v>33.3</v>
      </c>
    </row>
    <row r="8" customFormat="false" ht="15" hidden="false" customHeight="false" outlineLevel="0" collapsed="false">
      <c r="A8" s="0" t="s">
        <v>43</v>
      </c>
      <c r="C8" s="0" t="n">
        <f aca="false">C6*C7/100</f>
        <v>31281.2784</v>
      </c>
      <c r="D8" s="0" t="n">
        <f aca="false">D6*D7/100</f>
        <v>33645.775032</v>
      </c>
      <c r="E8" s="0" t="n">
        <f aca="false">E6*E7/100</f>
        <v>35496.29265876</v>
      </c>
      <c r="F8" s="0" t="n">
        <f aca="false">F6*F7/100</f>
        <v>36947.0107065528</v>
      </c>
      <c r="G8" s="0" t="n">
        <f aca="false">G6*G7/100</f>
        <v>38158.0516130454</v>
      </c>
      <c r="H8" s="0" t="n">
        <f aca="false">H6*H7/100</f>
        <v>39332.1455088314</v>
      </c>
      <c r="I8" s="0" t="n">
        <f aca="false">I6*I7/100</f>
        <v>40465.7331652128</v>
      </c>
      <c r="J8" s="0" t="n">
        <f aca="false">J6*J7/100</f>
        <v>41882.0338259952</v>
      </c>
      <c r="K8" s="0" t="n">
        <f aca="false">K6*K7/100</f>
        <v>43138.4948407751</v>
      </c>
      <c r="L8" s="0" t="n">
        <f aca="false">L6*L7/100</f>
        <v>44432.6496859983</v>
      </c>
    </row>
    <row r="9" customFormat="false" ht="15" hidden="false" customHeight="false" outlineLevel="0" collapsed="false">
      <c r="A9" s="0" t="s">
        <v>109</v>
      </c>
      <c r="C9" s="4" t="n">
        <f aca="false">Assumptions!C29</f>
        <v>1.78</v>
      </c>
      <c r="D9" s="4" t="n">
        <f aca="false">Assumptions!D29</f>
        <v>1.75</v>
      </c>
      <c r="E9" s="4" t="n">
        <f aca="false">Assumptions!E29</f>
        <v>1.72</v>
      </c>
      <c r="F9" s="4" t="n">
        <f aca="false">Assumptions!F29</f>
        <v>1.7</v>
      </c>
      <c r="G9" s="4" t="n">
        <f aca="false">Assumptions!G29</f>
        <v>1.68</v>
      </c>
      <c r="H9" s="4" t="n">
        <f aca="false">Assumptions!H29</f>
        <v>1.65</v>
      </c>
      <c r="I9" s="4" t="n">
        <f aca="false">Assumptions!I29</f>
        <v>1.63</v>
      </c>
      <c r="J9" s="4" t="n">
        <f aca="false">Assumptions!J29</f>
        <v>1.6</v>
      </c>
      <c r="K9" s="4" t="n">
        <f aca="false">Assumptions!K29</f>
        <v>1.6</v>
      </c>
      <c r="L9" s="4" t="n">
        <f aca="false">Assumptions!L29</f>
        <v>1.6</v>
      </c>
    </row>
    <row r="10" customFormat="false" ht="15" hidden="false" customHeight="false" outlineLevel="0" collapsed="false">
      <c r="A10" s="0" t="s">
        <v>124</v>
      </c>
      <c r="C10" s="0" t="n">
        <f aca="false">-C6*C9/100</f>
        <v>-1637.666928</v>
      </c>
      <c r="D10" s="0" t="n">
        <f aca="false">-D6*D9/100</f>
        <v>-1706.669748</v>
      </c>
      <c r="E10" s="0" t="n">
        <f aca="false">-E6*E9/100</f>
        <v>-1769.6702426976</v>
      </c>
      <c r="F10" s="0" t="n">
        <f aca="false">-F6*F9/100</f>
        <v>-1836.5473158228</v>
      </c>
      <c r="G10" s="0" t="n">
        <f aca="false">-G6*G9/100</f>
        <v>-1896.61321626971</v>
      </c>
      <c r="H10" s="0" t="n">
        <f aca="false">-H6*H9/100</f>
        <v>-1937.25492804692</v>
      </c>
      <c r="I10" s="0" t="n">
        <f aca="false">-I6*I9/100</f>
        <v>-1980.75510688579</v>
      </c>
      <c r="J10" s="0" t="n">
        <f aca="false">-J6*J9/100</f>
        <v>-2012.34997362139</v>
      </c>
      <c r="K10" s="0" t="n">
        <f aca="false">-K6*K9/100</f>
        <v>-2072.72047283003</v>
      </c>
      <c r="L10" s="0" t="n">
        <f aca="false">-L6*L9/100</f>
        <v>-2134.90208701493</v>
      </c>
    </row>
    <row r="11" customFormat="false" ht="15" hidden="false" customHeight="false" outlineLevel="0" collapsed="false">
      <c r="A11" s="0" t="s">
        <v>125</v>
      </c>
      <c r="C11" s="0" t="n">
        <f aca="false">C8+C10+C24</f>
        <v>29643.611472</v>
      </c>
      <c r="D11" s="0" t="n">
        <f aca="false">D8+D10+D24</f>
        <v>31939.105284</v>
      </c>
      <c r="E11" s="0" t="n">
        <f aca="false">E8+E10+E24</f>
        <v>33726.6224160624</v>
      </c>
      <c r="F11" s="0" t="n">
        <f aca="false">F8+F10+F24</f>
        <v>35110.46339073</v>
      </c>
      <c r="G11" s="0" t="n">
        <f aca="false">G8+G10+G24</f>
        <v>36261.4383967757</v>
      </c>
      <c r="H11" s="0" t="n">
        <f aca="false">H8+H10+H24</f>
        <v>37394.8905807845</v>
      </c>
      <c r="I11" s="0" t="n">
        <f aca="false">I8+I10+I24</f>
        <v>38484.978058327</v>
      </c>
      <c r="J11" s="0" t="n">
        <f aca="false">J8+J10+J24</f>
        <v>39869.6838523738</v>
      </c>
      <c r="K11" s="0" t="n">
        <f aca="false">K8+K10+K24</f>
        <v>41065.774367945</v>
      </c>
      <c r="L11" s="0" t="n">
        <f aca="false">L8+L10+L24</f>
        <v>42297.7475989834</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29643.611472</v>
      </c>
      <c r="D13" s="0" t="n">
        <f aca="false">D11+D12</f>
        <v>31939.105284</v>
      </c>
      <c r="E13" s="0" t="n">
        <f aca="false">E11+E12</f>
        <v>33726.6224160624</v>
      </c>
      <c r="F13" s="0" t="n">
        <f aca="false">F11+F12</f>
        <v>35110.46339073</v>
      </c>
      <c r="G13" s="0" t="n">
        <f aca="false">G11+G12</f>
        <v>36261.4383967757</v>
      </c>
      <c r="H13" s="0" t="n">
        <f aca="false">H11+H12</f>
        <v>37394.8905807845</v>
      </c>
      <c r="I13" s="0" t="n">
        <f aca="false">I11+I12</f>
        <v>38484.978058327</v>
      </c>
      <c r="J13" s="0" t="n">
        <f aca="false">J11+J12</f>
        <v>39869.6838523738</v>
      </c>
      <c r="K13" s="0" t="n">
        <f aca="false">K11+K12</f>
        <v>41065.774367945</v>
      </c>
      <c r="L13" s="0" t="n">
        <f aca="false">L11+L12</f>
        <v>42297.7475989834</v>
      </c>
    </row>
    <row r="14" customFormat="false" ht="15" hidden="false" customHeight="false" outlineLevel="0" collapsed="false">
      <c r="A14" s="0" t="s">
        <v>113</v>
      </c>
      <c r="C14" s="4" t="n">
        <f aca="false">Assumptions!C33</f>
        <v>18</v>
      </c>
      <c r="D14" s="4" t="n">
        <f aca="false">Assumptions!D33</f>
        <v>18.5</v>
      </c>
      <c r="E14" s="4" t="n">
        <f aca="false">Assumptions!E33</f>
        <v>19</v>
      </c>
      <c r="F14" s="4" t="n">
        <f aca="false">Assumptions!F33</f>
        <v>19.5</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128</v>
      </c>
      <c r="C15" s="0" t="n">
        <f aca="false">C13-MAX(0,C13)*C14/100</f>
        <v>24307.76140704</v>
      </c>
      <c r="D15" s="0" t="n">
        <f aca="false">D13-MAX(0,D13)*D14/100</f>
        <v>26030.37080646</v>
      </c>
      <c r="E15" s="0" t="n">
        <f aca="false">E13-MAX(0,E13)*E14/100</f>
        <v>27318.5641570106</v>
      </c>
      <c r="F15" s="0" t="n">
        <f aca="false">F13-MAX(0,F13)*F14/100</f>
        <v>28263.9230295377</v>
      </c>
      <c r="G15" s="0" t="n">
        <f aca="false">G13-MAX(0,G13)*G14/100</f>
        <v>29009.1507174205</v>
      </c>
      <c r="H15" s="0" t="n">
        <f aca="false">H13-MAX(0,H13)*H14/100</f>
        <v>29915.9124646276</v>
      </c>
      <c r="I15" s="0" t="n">
        <f aca="false">I13-MAX(0,I13)*I14/100</f>
        <v>30787.9824466616</v>
      </c>
      <c r="J15" s="0" t="n">
        <f aca="false">J13-MAX(0,J13)*J14/100</f>
        <v>31895.7470818991</v>
      </c>
      <c r="K15" s="0" t="n">
        <f aca="false">K13-MAX(0,K13)*K14/100</f>
        <v>32852.619494356</v>
      </c>
      <c r="L15" s="0" t="n">
        <f aca="false">L13-MAX(0,L13)*L14/100</f>
        <v>33838.1980791867</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-8261.937648</v>
      </c>
      <c r="D17" s="4" t="n">
        <f aca="false">-D6*Assumptions!D32/100</f>
        <v>-8757.65390688</v>
      </c>
      <c r="E17" s="4" t="n">
        <f aca="false">-E6*Assumptions!E32/100</f>
        <v>-8508.8214576216</v>
      </c>
      <c r="F17" s="4" t="n">
        <f aca="false">-F6*Assumptions!F32/100</f>
        <v>-8156.4307261542</v>
      </c>
      <c r="G17" s="4" t="n">
        <f aca="false">-G6*Assumptions!G32/100</f>
        <v>-7710.63587328698</v>
      </c>
      <c r="H17" s="4" t="n">
        <f aca="false">-H6*Assumptions!H32/100</f>
        <v>-7161.97276429467</v>
      </c>
      <c r="I17" s="4" t="n">
        <f aca="false">-I6*Assumptions!I32/100</f>
        <v>-6513.40329626248</v>
      </c>
      <c r="J17" s="4" t="n">
        <f aca="false">-J6*Assumptions!J32/100</f>
        <v>-6741.37241163166</v>
      </c>
      <c r="K17" s="4" t="n">
        <f aca="false">-K6*Assumptions!K32/100</f>
        <v>-5984.98036529672</v>
      </c>
      <c r="L17" s="4" t="n">
        <f aca="false">-L6*Assumptions!L32/100</f>
        <v>-6164.52977625562</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16045.82375904</v>
      </c>
      <c r="D19" s="0" t="n">
        <f aca="false">D15+D16+D17+D18</f>
        <v>17272.71689958</v>
      </c>
      <c r="E19" s="0" t="n">
        <f aca="false">E15+E16+E17+E18</f>
        <v>18809.742699389</v>
      </c>
      <c r="F19" s="0" t="n">
        <f aca="false">F15+F16+F17+F18</f>
        <v>20107.4923033835</v>
      </c>
      <c r="G19" s="0" t="n">
        <f aca="false">G15+G16+G17+G18</f>
        <v>21298.5148441335</v>
      </c>
      <c r="H19" s="0" t="n">
        <f aca="false">H15+H16+H17+H18</f>
        <v>22753.9397003329</v>
      </c>
      <c r="I19" s="0" t="n">
        <f aca="false">I15+I16+I17+I18</f>
        <v>24274.5791503991</v>
      </c>
      <c r="J19" s="0" t="n">
        <f aca="false">J15+J16+J17+J18</f>
        <v>25154.3746702674</v>
      </c>
      <c r="K19" s="0" t="n">
        <f aca="false">K15+K16+K17+K18</f>
        <v>26867.6391290593</v>
      </c>
      <c r="L19" s="0" t="n">
        <f aca="false">L15+L16+L17+L18</f>
        <v>27673.6683029311</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14587.1125082182</v>
      </c>
      <c r="D21" s="0" t="n">
        <f aca="false">D19*D20</f>
        <v>14274.972644281</v>
      </c>
      <c r="E21" s="0" t="n">
        <f aca="false">E19*E20</f>
        <v>14132.0380912013</v>
      </c>
      <c r="F21" s="0" t="n">
        <f aca="false">F19*F20</f>
        <v>13733.6877968605</v>
      </c>
      <c r="G21" s="0" t="n">
        <f aca="false">G19*G20</f>
        <v>13224.7020162145</v>
      </c>
      <c r="H21" s="0" t="n">
        <f aca="false">H19*H20</f>
        <v>12844.0057668536</v>
      </c>
      <c r="I21" s="0" t="n">
        <f aca="false">I19*I20</f>
        <v>12456.6973576611</v>
      </c>
      <c r="J21" s="0" t="n">
        <f aca="false">J19*J20</f>
        <v>11734.7014282405</v>
      </c>
      <c r="K21" s="0" t="n">
        <f aca="false">K19*K20</f>
        <v>11394.5017659254</v>
      </c>
      <c r="L21" s="0" t="n">
        <f aca="false">L19*L20</f>
        <v>10669.3971080938</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10</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15</v>
      </c>
    </row>
    <row r="30" customFormat="false" ht="15" hidden="false" customHeight="false" outlineLevel="0" collapsed="false">
      <c r="A30" s="0" t="s">
        <v>137</v>
      </c>
      <c r="B30" s="0" t="n">
        <f aca="false">SUM(C21:L21)</f>
        <v>129051.81648355</v>
      </c>
    </row>
    <row r="31" customFormat="false" ht="15" hidden="false" customHeight="false" outlineLevel="0" collapsed="false">
      <c r="A31" s="0" t="s">
        <v>138</v>
      </c>
      <c r="B31" s="0" t="n">
        <f aca="false">L19</f>
        <v>27673.6683029311</v>
      </c>
    </row>
    <row r="32" customFormat="false" ht="15" hidden="false" customHeight="false" outlineLevel="0" collapsed="false">
      <c r="A32" s="0" t="s">
        <v>139</v>
      </c>
      <c r="B32" s="0" t="n">
        <f aca="false">IF(B27&gt;B28,B31*(1+B28/100)/((B27-B28)/100),B31*B29)</f>
        <v>407198.2621717</v>
      </c>
    </row>
    <row r="33" customFormat="false" ht="15" hidden="false" customHeight="false" outlineLevel="0" collapsed="false">
      <c r="A33" s="0" t="s">
        <v>140</v>
      </c>
      <c r="B33" s="0" t="n">
        <f aca="false">B31*B29</f>
        <v>415105.024543966</v>
      </c>
    </row>
    <row r="34" customFormat="false" ht="15" hidden="false" customHeight="false" outlineLevel="0" collapsed="false">
      <c r="A34" s="0" t="s">
        <v>141</v>
      </c>
      <c r="B34" s="0" t="n">
        <f aca="false">MAX(0,MIN(B32,B33))</f>
        <v>407198.2621717</v>
      </c>
    </row>
    <row r="35" customFormat="false" ht="15" hidden="false" customHeight="false" outlineLevel="0" collapsed="false">
      <c r="A35" s="0" t="s">
        <v>142</v>
      </c>
      <c r="B35" s="0" t="n">
        <f aca="false">B34/(1+B27/100)^L4</f>
        <v>156992.557447666</v>
      </c>
    </row>
    <row r="36" customFormat="false" ht="15" hidden="false" customHeight="false" outlineLevel="0" collapsed="false">
      <c r="A36" s="0" t="s">
        <v>143</v>
      </c>
      <c r="B36" s="0" t="n">
        <f aca="false">B30+B35</f>
        <v>286044.373931216</v>
      </c>
    </row>
    <row r="37" customFormat="false" ht="15" hidden="false" customHeight="false" outlineLevel="0" collapsed="false">
      <c r="A37" s="0" t="s">
        <v>144</v>
      </c>
      <c r="B37" s="0" t="n">
        <f aca="false">B36+Assumptions!$B$5-Assumptions!$B$4</f>
        <v>286044.373931216</v>
      </c>
    </row>
    <row r="38" customFormat="false" ht="15" hidden="false" customHeight="false" outlineLevel="0" collapsed="false">
      <c r="A38" s="0" t="s">
        <v>145</v>
      </c>
      <c r="B38" s="0" t="n">
        <f aca="false">B37/Assumptions!$B$3*Assumptions!$B$10</f>
        <v>93.6438073499692</v>
      </c>
    </row>
    <row r="39" customFormat="false" ht="15" hidden="false" customHeight="false" outlineLevel="0" collapsed="false">
      <c r="A39" s="0" t="s">
        <v>146</v>
      </c>
      <c r="B39" s="4" t="n">
        <f aca="false">B38/Assumptions!$B$2-1</f>
        <v>0.164000091360711</v>
      </c>
    </row>
    <row r="41" customFormat="false" ht="15" hidden="false" customHeight="false" outlineLevel="0" collapsed="false">
      <c r="A41" s="0" t="s">
        <v>147</v>
      </c>
      <c r="B41" s="0" t="n">
        <f aca="false">SUMPRODUCT(-C10:L10/(1+$B$27/100)^C4:L4)</f>
        <v>11411.7521138845</v>
      </c>
    </row>
    <row r="42" customFormat="false" ht="15" hidden="false" customHeight="false" outlineLevel="0" collapsed="false">
      <c r="A42" s="0" t="s">
        <v>148</v>
      </c>
      <c r="B42" s="0" t="n">
        <f aca="false">IF(B27&gt;B28,-L10*(1+B28/100)/((B27-B28)/100),-L10*20)/(1+B27/100)^L4</f>
        <v>12111.2869776406</v>
      </c>
    </row>
    <row r="43" customFormat="false" ht="15" hidden="false" customHeight="false" outlineLevel="0" collapsed="false">
      <c r="A43" s="0" t="s">
        <v>149</v>
      </c>
      <c r="B43" s="0" t="n">
        <f aca="false">(B37+B41+B42)/Assumptions!$B$3*Assumptions!$B$10</f>
        <v>101.344664775336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237532.319600159</v>
      </c>
    </row>
    <row r="47" customFormat="false" ht="15" hidden="false" customHeight="false" outlineLevel="0" collapsed="false">
      <c r="A47" s="0" t="s">
        <v>151</v>
      </c>
      <c r="B47" s="0" t="n">
        <f aca="false">(SUMPRODUCT(C19:L19/(1+B45/100)^C4:L4)+B46/(1+B45/100)^L4+Assumptions!$B$5-Assumptions!$B$4)/Assumptions!$B$3*Assumptions!$B$10</f>
        <v>52.9840601735022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8</v>
      </c>
      <c r="D5" s="4" t="n">
        <f aca="false">Assumptions!D41</f>
        <v>8</v>
      </c>
      <c r="E5" s="4" t="n">
        <f aca="false">Assumptions!E41</f>
        <v>7</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86796</v>
      </c>
      <c r="C6" s="0" t="n">
        <f aca="false">B6*(1+C5/100)</f>
        <v>93739.68</v>
      </c>
      <c r="D6" s="0" t="n">
        <f aca="false">C6*(1+D5/100)</f>
        <v>101238.8544</v>
      </c>
      <c r="E6" s="0" t="n">
        <f aca="false">D6*(1+E5/100)</f>
        <v>108325.574208</v>
      </c>
      <c r="F6" s="0" t="n">
        <f aca="false">E6*(1+F5/100)</f>
        <v>114825.10866048</v>
      </c>
      <c r="G6" s="0" t="n">
        <f aca="false">F6*(1+G5/100)</f>
        <v>121140.489636806</v>
      </c>
      <c r="H6" s="0" t="n">
        <f aca="false">G6*(1+H5/100)</f>
        <v>127197.514118647</v>
      </c>
      <c r="I6" s="0" t="n">
        <f aca="false">H6*(1+I5/100)</f>
        <v>132921.402253986</v>
      </c>
      <c r="J6" s="0" t="n">
        <f aca="false">I6*(1+J5/100)</f>
        <v>138238.258344145</v>
      </c>
      <c r="K6" s="0" t="n">
        <f aca="false">J6*(1+K5/100)</f>
        <v>143076.59738619</v>
      </c>
      <c r="L6" s="0" t="n">
        <f aca="false">K6*(1+L5/100)</f>
        <v>147368.895307776</v>
      </c>
    </row>
    <row r="7" customFormat="false" ht="15" hidden="false" customHeight="false" outlineLevel="0" collapsed="false">
      <c r="A7" s="0" t="s">
        <v>108</v>
      </c>
      <c r="C7" s="4" t="n">
        <f aca="false">Assumptions!C42</f>
        <v>35</v>
      </c>
      <c r="D7" s="4" t="n">
        <f aca="false">Assumptions!D42</f>
        <v>35.8</v>
      </c>
      <c r="E7" s="4" t="n">
        <f aca="false">Assumptions!E42</f>
        <v>36.3</v>
      </c>
      <c r="F7" s="4" t="n">
        <f aca="false">Assumptions!F42</f>
        <v>36.5</v>
      </c>
      <c r="G7" s="4" t="n">
        <f aca="false">Assumptions!G42</f>
        <v>36.5</v>
      </c>
      <c r="H7" s="4" t="n">
        <f aca="false">Assumptions!H42</f>
        <v>36.3</v>
      </c>
      <c r="I7" s="4" t="n">
        <f aca="false">Assumptions!I42</f>
        <v>36</v>
      </c>
      <c r="J7" s="4" t="n">
        <f aca="false">Assumptions!J42</f>
        <v>36</v>
      </c>
      <c r="K7" s="4" t="n">
        <f aca="false">Assumptions!K42</f>
        <v>36</v>
      </c>
      <c r="L7" s="4" t="n">
        <f aca="false">Assumptions!L42</f>
        <v>36</v>
      </c>
    </row>
    <row r="8" customFormat="false" ht="15" hidden="false" customHeight="false" outlineLevel="0" collapsed="false">
      <c r="A8" s="0" t="s">
        <v>43</v>
      </c>
      <c r="C8" s="0" t="n">
        <f aca="false">C6*C7/100</f>
        <v>32808.888</v>
      </c>
      <c r="D8" s="0" t="n">
        <f aca="false">D6*D7/100</f>
        <v>36243.5098752</v>
      </c>
      <c r="E8" s="0" t="n">
        <f aca="false">E6*E7/100</f>
        <v>39322.183437504</v>
      </c>
      <c r="F8" s="0" t="n">
        <f aca="false">F6*F7/100</f>
        <v>41911.1646610752</v>
      </c>
      <c r="G8" s="0" t="n">
        <f aca="false">G6*G7/100</f>
        <v>44216.2787174343</v>
      </c>
      <c r="H8" s="0" t="n">
        <f aca="false">H6*H7/100</f>
        <v>46172.6976250688</v>
      </c>
      <c r="I8" s="0" t="n">
        <f aca="false">I6*I7/100</f>
        <v>47851.7048114349</v>
      </c>
      <c r="J8" s="0" t="n">
        <f aca="false">J6*J7/100</f>
        <v>49765.7730038923</v>
      </c>
      <c r="K8" s="0" t="n">
        <f aca="false">K6*K7/100</f>
        <v>51507.5750590285</v>
      </c>
      <c r="L8" s="0" t="n">
        <f aca="false">L6*L7/100</f>
        <v>53052.8023107994</v>
      </c>
    </row>
    <row r="9" customFormat="false" ht="15" hidden="false" customHeight="false" outlineLevel="0" collapsed="false">
      <c r="A9" s="0" t="s">
        <v>109</v>
      </c>
      <c r="C9" s="4" t="n">
        <f aca="false">Assumptions!C43</f>
        <v>1.78</v>
      </c>
      <c r="D9" s="4" t="n">
        <f aca="false">Assumptions!D43</f>
        <v>1.75</v>
      </c>
      <c r="E9" s="4" t="n">
        <f aca="false">Assumptions!E43</f>
        <v>1.72</v>
      </c>
      <c r="F9" s="4" t="n">
        <f aca="false">Assumptions!F43</f>
        <v>1.7</v>
      </c>
      <c r="G9" s="4" t="n">
        <f aca="false">Assumptions!G43</f>
        <v>1.68</v>
      </c>
      <c r="H9" s="4" t="n">
        <f aca="false">Assumptions!H43</f>
        <v>1.65</v>
      </c>
      <c r="I9" s="4" t="n">
        <f aca="false">Assumptions!I43</f>
        <v>1.63</v>
      </c>
      <c r="J9" s="4" t="n">
        <f aca="false">Assumptions!J43</f>
        <v>1.6</v>
      </c>
      <c r="K9" s="4" t="n">
        <f aca="false">Assumptions!K43</f>
        <v>1.6</v>
      </c>
      <c r="L9" s="4" t="n">
        <f aca="false">Assumptions!L43</f>
        <v>1.6</v>
      </c>
    </row>
    <row r="10" customFormat="false" ht="15" hidden="false" customHeight="false" outlineLevel="0" collapsed="false">
      <c r="A10" s="0" t="s">
        <v>124</v>
      </c>
      <c r="C10" s="0" t="n">
        <f aca="false">-C6*C9/100</f>
        <v>-1668.566304</v>
      </c>
      <c r="D10" s="0" t="n">
        <f aca="false">-D6*D9/100</f>
        <v>-1771.679952</v>
      </c>
      <c r="E10" s="0" t="n">
        <f aca="false">-E6*E9/100</f>
        <v>-1863.1998763776</v>
      </c>
      <c r="F10" s="0" t="n">
        <f aca="false">-F6*F9/100</f>
        <v>-1952.02684722816</v>
      </c>
      <c r="G10" s="0" t="n">
        <f aca="false">-G6*G9/100</f>
        <v>-2035.16022589835</v>
      </c>
      <c r="H10" s="0" t="n">
        <f aca="false">-H6*H9/100</f>
        <v>-2098.75898295767</v>
      </c>
      <c r="I10" s="0" t="n">
        <f aca="false">-I6*I9/100</f>
        <v>-2166.61885673997</v>
      </c>
      <c r="J10" s="0" t="n">
        <f aca="false">-J6*J9/100</f>
        <v>-2211.81213350632</v>
      </c>
      <c r="K10" s="0" t="n">
        <f aca="false">-K6*K9/100</f>
        <v>-2289.22555817905</v>
      </c>
      <c r="L10" s="0" t="n">
        <f aca="false">-L6*L9/100</f>
        <v>-2357.90232492442</v>
      </c>
    </row>
    <row r="11" customFormat="false" ht="15" hidden="false" customHeight="false" outlineLevel="0" collapsed="false">
      <c r="A11" s="0" t="s">
        <v>125</v>
      </c>
      <c r="C11" s="0" t="n">
        <f aca="false">C8+C10+C24</f>
        <v>31140.321696</v>
      </c>
      <c r="D11" s="0" t="n">
        <f aca="false">D8+D10+D24</f>
        <v>34471.8299232</v>
      </c>
      <c r="E11" s="0" t="n">
        <f aca="false">E8+E10+E24</f>
        <v>37458.9835611264</v>
      </c>
      <c r="F11" s="0" t="n">
        <f aca="false">F8+F10+F24</f>
        <v>39959.137813847</v>
      </c>
      <c r="G11" s="0" t="n">
        <f aca="false">G8+G10+G24</f>
        <v>42181.118491536</v>
      </c>
      <c r="H11" s="0" t="n">
        <f aca="false">H8+H10+H24</f>
        <v>44073.9386421111</v>
      </c>
      <c r="I11" s="0" t="n">
        <f aca="false">I8+I10+I24</f>
        <v>45685.0859546949</v>
      </c>
      <c r="J11" s="0" t="n">
        <f aca="false">J8+J10+J24</f>
        <v>47553.960870386</v>
      </c>
      <c r="K11" s="0" t="n">
        <f aca="false">K8+K10+K24</f>
        <v>49218.3495008495</v>
      </c>
      <c r="L11" s="0" t="n">
        <f aca="false">L8+L10+L24</f>
        <v>50694.899985875</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31140.321696</v>
      </c>
      <c r="D13" s="0" t="n">
        <f aca="false">D11+D12</f>
        <v>34471.8299232</v>
      </c>
      <c r="E13" s="0" t="n">
        <f aca="false">E11+E12</f>
        <v>37458.9835611264</v>
      </c>
      <c r="F13" s="0" t="n">
        <f aca="false">F11+F12</f>
        <v>39959.137813847</v>
      </c>
      <c r="G13" s="0" t="n">
        <f aca="false">G11+G12</f>
        <v>42181.118491536</v>
      </c>
      <c r="H13" s="0" t="n">
        <f aca="false">H11+H12</f>
        <v>44073.9386421111</v>
      </c>
      <c r="I13" s="0" t="n">
        <f aca="false">I11+I12</f>
        <v>45685.0859546949</v>
      </c>
      <c r="J13" s="0" t="n">
        <f aca="false">J11+J12</f>
        <v>47553.960870386</v>
      </c>
      <c r="K13" s="0" t="n">
        <f aca="false">K11+K12</f>
        <v>49218.3495008495</v>
      </c>
      <c r="L13" s="0" t="n">
        <f aca="false">L11+L12</f>
        <v>50694.899985875</v>
      </c>
    </row>
    <row r="14" customFormat="false" ht="15" hidden="false" customHeight="false" outlineLevel="0" collapsed="false">
      <c r="A14" s="0" t="s">
        <v>113</v>
      </c>
      <c r="C14" s="4" t="n">
        <f aca="false">Assumptions!C47</f>
        <v>18</v>
      </c>
      <c r="D14" s="4" t="n">
        <f aca="false">Assumptions!D47</f>
        <v>18</v>
      </c>
      <c r="E14" s="4" t="n">
        <f aca="false">Assumptions!E47</f>
        <v>18</v>
      </c>
      <c r="F14" s="4" t="n">
        <f aca="false">Assumptions!F47</f>
        <v>18.5</v>
      </c>
      <c r="G14" s="4" t="n">
        <f aca="false">Assumptions!G47</f>
        <v>18.5</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128</v>
      </c>
      <c r="C15" s="0" t="n">
        <f aca="false">C13-MAX(0,C13)*C14/100</f>
        <v>25535.06379072</v>
      </c>
      <c r="D15" s="0" t="n">
        <f aca="false">D13-MAX(0,D13)*D14/100</f>
        <v>28266.900537024</v>
      </c>
      <c r="E15" s="0" t="n">
        <f aca="false">E13-MAX(0,E13)*E14/100</f>
        <v>30716.3665201237</v>
      </c>
      <c r="F15" s="0" t="n">
        <f aca="false">F13-MAX(0,F13)*F14/100</f>
        <v>32566.6973182853</v>
      </c>
      <c r="G15" s="0" t="n">
        <f aca="false">G13-MAX(0,G13)*G14/100</f>
        <v>34377.6115706018</v>
      </c>
      <c r="H15" s="0" t="n">
        <f aca="false">H13-MAX(0,H13)*H14/100</f>
        <v>35699.89030011</v>
      </c>
      <c r="I15" s="0" t="n">
        <f aca="false">I13-MAX(0,I13)*I14/100</f>
        <v>37004.9196233029</v>
      </c>
      <c r="J15" s="0" t="n">
        <f aca="false">J13-MAX(0,J13)*J14/100</f>
        <v>38518.7083050126</v>
      </c>
      <c r="K15" s="0" t="n">
        <f aca="false">K13-MAX(0,K13)*K14/100</f>
        <v>39866.8630956881</v>
      </c>
      <c r="L15" s="0" t="n">
        <f aca="false">L13-MAX(0,L13)*L14/100</f>
        <v>41062.8689885587</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-11014.4124</v>
      </c>
      <c r="D17" s="4" t="n">
        <f aca="false">-D6*Assumptions!D46/100</f>
        <v>-11895.565392</v>
      </c>
      <c r="E17" s="4" t="n">
        <f aca="false">-E6*Assumptions!E46/100</f>
        <v>-11233.3620453696</v>
      </c>
      <c r="F17" s="4" t="n">
        <f aca="false">-F6*Assumptions!F46/100</f>
        <v>-10311.2947577111</v>
      </c>
      <c r="G17" s="4" t="n">
        <f aca="false">-G6*Assumptions!G46/100</f>
        <v>-10018.3184929639</v>
      </c>
      <c r="H17" s="4" t="n">
        <f aca="false">-H6*Assumptions!H46/100</f>
        <v>-9603.41231595783</v>
      </c>
      <c r="I17" s="4" t="n">
        <f aca="false">-I6*Assumptions!I46/100</f>
        <v>-9078.53177394723</v>
      </c>
      <c r="J17" s="4" t="n">
        <f aca="false">-J6*Assumptions!J46/100</f>
        <v>-8432.53375899286</v>
      </c>
      <c r="K17" s="4" t="n">
        <f aca="false">-K6*Assumptions!K46/100</f>
        <v>-7668.9056198998</v>
      </c>
      <c r="L17" s="4" t="n">
        <f aca="false">-L6*Assumptions!L46/100</f>
        <v>-6808.44296321925</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14520.65139072</v>
      </c>
      <c r="D19" s="0" t="n">
        <f aca="false">D15+D16+D17+D18</f>
        <v>16371.335145024</v>
      </c>
      <c r="E19" s="0" t="n">
        <f aca="false">E15+E16+E17+E18</f>
        <v>19483.0044747541</v>
      </c>
      <c r="F19" s="0" t="n">
        <f aca="false">F15+F16+F17+F18</f>
        <v>22255.4025605742</v>
      </c>
      <c r="G19" s="0" t="n">
        <f aca="false">G15+G16+G17+G18</f>
        <v>24359.2930776379</v>
      </c>
      <c r="H19" s="0" t="n">
        <f aca="false">H15+H16+H17+H18</f>
        <v>26096.4779841522</v>
      </c>
      <c r="I19" s="0" t="n">
        <f aca="false">I15+I16+I17+I18</f>
        <v>27926.3878493557</v>
      </c>
      <c r="J19" s="0" t="n">
        <f aca="false">J15+J16+J17+J18</f>
        <v>30086.1745460198</v>
      </c>
      <c r="K19" s="0" t="n">
        <f aca="false">K15+K16+K17+K18</f>
        <v>32197.9574757883</v>
      </c>
      <c r="L19" s="0" t="n">
        <f aca="false">L15+L16+L17+L18</f>
        <v>34254.4260253395</v>
      </c>
    </row>
    <row r="20" customFormat="false" ht="15" hidden="false" customHeight="false" outlineLevel="0" collapsed="false">
      <c r="A20" s="0" t="s">
        <v>133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134</v>
      </c>
      <c r="C21" s="0" t="n">
        <f aca="false">C19*C20</f>
        <v>13200.5921733818</v>
      </c>
      <c r="D21" s="0" t="n">
        <f aca="false">D19*D20</f>
        <v>13530.0290454744</v>
      </c>
      <c r="E21" s="0" t="n">
        <f aca="false">E19*E20</f>
        <v>14637.8696279144</v>
      </c>
      <c r="F21" s="0" t="n">
        <f aca="false">F19*F20</f>
        <v>15200.7394034384</v>
      </c>
      <c r="G21" s="0" t="n">
        <f aca="false">G19*G20</f>
        <v>15125.2044865527</v>
      </c>
      <c r="H21" s="0" t="n">
        <f aca="false">H19*H20</f>
        <v>14730.7814882762</v>
      </c>
      <c r="I21" s="0" t="n">
        <f aca="false">I19*I20</f>
        <v>14330.6526377562</v>
      </c>
      <c r="J21" s="0" t="n">
        <f aca="false">J19*J20</f>
        <v>14035.4224679964</v>
      </c>
      <c r="K21" s="0" t="n">
        <f aca="false">K19*K20</f>
        <v>13655.0770819403</v>
      </c>
      <c r="L21" s="0" t="n">
        <f aca="false">L19*L20</f>
        <v>13206.5640873299</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10</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15</v>
      </c>
    </row>
    <row r="30" customFormat="false" ht="15" hidden="false" customHeight="false" outlineLevel="0" collapsed="false">
      <c r="A30" s="0" t="s">
        <v>137</v>
      </c>
      <c r="B30" s="0" t="n">
        <f aca="false">SUM(C21:L21)</f>
        <v>141652.932500061</v>
      </c>
    </row>
    <row r="31" customFormat="false" ht="15" hidden="false" customHeight="false" outlineLevel="0" collapsed="false">
      <c r="A31" s="0" t="s">
        <v>138</v>
      </c>
      <c r="B31" s="0" t="n">
        <f aca="false">L19</f>
        <v>34254.4260253395</v>
      </c>
    </row>
    <row r="32" customFormat="false" ht="15" hidden="false" customHeight="false" outlineLevel="0" collapsed="false">
      <c r="A32" s="0" t="s">
        <v>139</v>
      </c>
      <c r="B32" s="0" t="n">
        <f aca="false">IF(B27&gt;B28,B31*(1+B28/100)/((B27-B28)/100),B31*B29)</f>
        <v>504029.411515709</v>
      </c>
    </row>
    <row r="33" customFormat="false" ht="15" hidden="false" customHeight="false" outlineLevel="0" collapsed="false">
      <c r="A33" s="0" t="s">
        <v>140</v>
      </c>
      <c r="B33" s="0" t="n">
        <f aca="false">B31*B29</f>
        <v>513816.390380092</v>
      </c>
    </row>
    <row r="34" customFormat="false" ht="15" hidden="false" customHeight="false" outlineLevel="0" collapsed="false">
      <c r="A34" s="0" t="s">
        <v>141</v>
      </c>
      <c r="B34" s="0" t="n">
        <f aca="false">MAX(0,MIN(B32,B33))</f>
        <v>504029.411515709</v>
      </c>
    </row>
    <row r="35" customFormat="false" ht="15" hidden="false" customHeight="false" outlineLevel="0" collapsed="false">
      <c r="A35" s="0" t="s">
        <v>142</v>
      </c>
      <c r="B35" s="0" t="n">
        <f aca="false">B34/(1+B27/100)^L4</f>
        <v>194325.157284997</v>
      </c>
    </row>
    <row r="36" customFormat="false" ht="15" hidden="false" customHeight="false" outlineLevel="0" collapsed="false">
      <c r="A36" s="0" t="s">
        <v>143</v>
      </c>
      <c r="B36" s="0" t="n">
        <f aca="false">B30+B35</f>
        <v>335978.089785058</v>
      </c>
    </row>
    <row r="37" customFormat="false" ht="15" hidden="false" customHeight="false" outlineLevel="0" collapsed="false">
      <c r="A37" s="0" t="s">
        <v>144</v>
      </c>
      <c r="B37" s="0" t="n">
        <f aca="false">B36+Assumptions!$B$5-Assumptions!$B$4</f>
        <v>335978.089785058</v>
      </c>
    </row>
    <row r="38" customFormat="false" ht="15" hidden="false" customHeight="false" outlineLevel="0" collapsed="false">
      <c r="A38" s="0" t="s">
        <v>145</v>
      </c>
      <c r="B38" s="0" t="n">
        <f aca="false">B37/Assumptions!$B$3*Assumptions!$B$10</f>
        <v>109.990862890414</v>
      </c>
    </row>
    <row r="39" customFormat="false" ht="15" hidden="false" customHeight="false" outlineLevel="0" collapsed="false">
      <c r="A39" s="0" t="s">
        <v>146</v>
      </c>
      <c r="B39" s="4" t="n">
        <f aca="false">B38/Assumptions!$B$2-1</f>
        <v>0.367195312497376</v>
      </c>
    </row>
    <row r="41" customFormat="false" ht="15" hidden="false" customHeight="false" outlineLevel="0" collapsed="false">
      <c r="A41" s="0" t="s">
        <v>147</v>
      </c>
      <c r="B41" s="0" t="n">
        <f aca="false">SUMPRODUCT(-C10:L10/(1+$B$27/100)^C4:L4)</f>
        <v>12186.129388131</v>
      </c>
    </row>
    <row r="42" customFormat="false" ht="15" hidden="false" customHeight="false" outlineLevel="0" collapsed="false">
      <c r="A42" s="0" t="s">
        <v>148</v>
      </c>
      <c r="B42" s="0" t="n">
        <f aca="false">IF(B27&gt;B28,-L10*(1+B28/100)/((B27-B28)/100),-L10*20)/(1+B27/100)^L4</f>
        <v>13376.3660151435</v>
      </c>
    </row>
    <row r="43" customFormat="false" ht="15" hidden="false" customHeight="false" outlineLevel="0" collapsed="false">
      <c r="A43" s="0" t="s">
        <v>149</v>
      </c>
      <c r="B43" s="0" t="n">
        <f aca="false">(B37+B41+B42)/Assumptions!$B$3*Assumptions!$B$10</f>
        <v>118.359387542831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294017.156717497</v>
      </c>
    </row>
    <row r="47" customFormat="false" ht="15" hidden="false" customHeight="false" outlineLevel="0" collapsed="false">
      <c r="A47" s="0" t="s">
        <v>151</v>
      </c>
      <c r="B47" s="0" t="n">
        <f aca="false">(SUMPRODUCT(C19:L19/(1+B45/100)^C4:L4)+B46/(1+B45/100)^L4+Assumptions!$B$5-Assumptions!$B$4)/Assumptions!$B$3*Assumptions!$B$10</f>
        <v>60.4216583816654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71.4574529541456</v>
      </c>
      <c r="C4" s="0" t="n">
        <f aca="false">B4/Assumptions!$B$2-1</f>
        <v>-0.111778086337531</v>
      </c>
      <c r="D4" s="4" t="n">
        <f aca="false">Assumptions!$B$24</f>
        <v>0.25</v>
      </c>
      <c r="E4" s="4" t="n">
        <f aca="false">DCF_Bear!$B$43</f>
        <v>77.9634245725715</v>
      </c>
      <c r="F4" s="4" t="n">
        <f aca="false">DCF_Bear!$B$47</f>
        <v>43.3655043491108</v>
      </c>
    </row>
    <row r="5" customFormat="false" ht="15" hidden="false" customHeight="false" outlineLevel="0" collapsed="false">
      <c r="A5" s="0" t="s">
        <v>160</v>
      </c>
      <c r="B5" s="4" t="n">
        <f aca="false">DCF_Base!$B$38</f>
        <v>93.6438073499692</v>
      </c>
      <c r="C5" s="0" t="n">
        <f aca="false">B5/Assumptions!$B$2-1</f>
        <v>0.164000091360711</v>
      </c>
      <c r="D5" s="4" t="n">
        <f aca="false">Assumptions!$B$38</f>
        <v>0.5</v>
      </c>
      <c r="E5" s="4" t="n">
        <f aca="false">DCF_Base!$B$43</f>
        <v>101.344664775336</v>
      </c>
      <c r="F5" s="4" t="n">
        <f aca="false">DCF_Base!$B$47</f>
        <v>52.9840601735022</v>
      </c>
    </row>
    <row r="6" customFormat="false" ht="15" hidden="false" customHeight="false" outlineLevel="0" collapsed="false">
      <c r="A6" s="0" t="s">
        <v>161</v>
      </c>
      <c r="B6" s="4" t="n">
        <f aca="false">DCF_Bull!$B$38</f>
        <v>109.990862890414</v>
      </c>
      <c r="C6" s="0" t="n">
        <f aca="false">B6/Assumptions!$B$2-1</f>
        <v>0.367195312497376</v>
      </c>
      <c r="D6" s="4" t="n">
        <f aca="false">Assumptions!$B$52</f>
        <v>0.25</v>
      </c>
      <c r="E6" s="4" t="n">
        <f aca="false">DCF_Bull!$B$43</f>
        <v>118.359387542831</v>
      </c>
      <c r="F6" s="4" t="n">
        <f aca="false">DCF_Bull!$B$47</f>
        <v>60.4216583816654</v>
      </c>
    </row>
    <row r="8" customFormat="false" ht="15" hidden="false" customHeight="false" outlineLevel="0" collapsed="false">
      <c r="A8" s="0" t="s">
        <v>162</v>
      </c>
      <c r="B8" s="0" t="n">
        <f aca="false">SUMPRODUCT(B4:B6,D4:D6)</f>
        <v>92.1839826361245</v>
      </c>
    </row>
    <row r="9" customFormat="false" ht="15" hidden="false" customHeight="false" outlineLevel="0" collapsed="false">
      <c r="A9" s="0" t="s">
        <v>163</v>
      </c>
      <c r="B9" s="0" t="n">
        <f aca="false">SUMPRODUCT(E4:E6,D4:D6)</f>
        <v>99.7530354165187</v>
      </c>
    </row>
    <row r="10" customFormat="false" ht="15" hidden="false" customHeight="false" outlineLevel="0" collapsed="false">
      <c r="A10" s="0" t="s">
        <v>164</v>
      </c>
      <c r="B10" s="0" t="n">
        <f aca="false">1-Assumptions!$B$2/B8</f>
        <v>0.127288736075135</v>
      </c>
    </row>
    <row r="11" customFormat="false" ht="15" hidden="false" customHeight="false" outlineLevel="0" collapsed="false">
      <c r="A11" s="0" t="s">
        <v>165</v>
      </c>
      <c r="B11" s="0" t="n">
        <f aca="false">IF(ABS(B9-B8)&gt;0.01*ABS(B8),(Assumptions!$B$2-B8)/(B9-B8)*100,"n/a")</f>
        <v>-155.025773720571</v>
      </c>
    </row>
    <row r="12" customFormat="false" ht="15" hidden="false" customHeight="false" outlineLevel="0" collapsed="false">
      <c r="A12" s="0" t="s">
        <v>166</v>
      </c>
      <c r="B12" s="0" t="n">
        <f aca="false">SUMPRODUCT(F4:F6,D4:D6)</f>
        <v>52.4388207694451</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101.730682073637</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93.6438073499692</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81.3912950559099</v>
      </c>
      <c r="C17" s="3" t="n">
        <v>11</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71.8875197257075</v>
      </c>
      <c r="C18" s="3" t="n">
        <v>12</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52.9840601735022</v>
      </c>
      <c r="C19" s="3" t="n">
        <v>15</v>
      </c>
    </row>
    <row r="21" customFormat="false" ht="15" hidden="false" customHeight="false" outlineLevel="0" collapsed="false">
      <c r="A21" s="2" t="s">
        <v>174</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109.506410304056</v>
      </c>
      <c r="C23" s="0" t="n">
        <f aca="false">(SUMPRODUCT(DCF_Base!$C$19:$L$19/(1+$A$23/100)^DCF_Base!$C$4:$L$4)+MAX(0,MIN(IF($A$23&gt;$C$22,DCF_Base!$L$19*(1+$C$22/100)/(($A$23-$C$22)/100),DCF_Base!$L$19*DCF_Base!$B$29),DCF_Base!$L$19*DCF_Base!$B$29))/(1+$A$23/100)^DCF_Base!$L$4+Assumptions!$B$5-Assumptions!$B$4)/Assumptions!$B$3*Assumptions!$B$10</f>
        <v>109.506410304056</v>
      </c>
      <c r="D23" s="0" t="n">
        <f aca="false">(SUMPRODUCT(DCF_Base!$C$19:$L$19/(1+$A$23/100)^DCF_Base!$C$4:$L$4)+MAX(0,MIN(IF($A$23&gt;$D$22,DCF_Base!$L$19*(1+$D$22/100)/(($A$23-$D$22)/100),DCF_Base!$L$19*DCF_Base!$B$29),DCF_Base!$L$19*DCF_Base!$B$29))/(1+$A$23/100)^DCF_Base!$L$4+Assumptions!$B$5-Assumptions!$B$4)/Assumptions!$B$3*Assumptions!$B$10</f>
        <v>109.506410304056</v>
      </c>
      <c r="E23" s="0" t="n">
        <f aca="false">(SUMPRODUCT(DCF_Base!$C$19:$L$19/(1+$A$23/100)^DCF_Base!$C$4:$L$4)+MAX(0,MIN(IF($A$23&gt;$E$22,DCF_Base!$L$19*(1+$E$22/100)/(($A$23-$E$22)/100),DCF_Base!$L$19*DCF_Base!$B$29),DCF_Base!$L$19*DCF_Base!$B$29))/(1+$A$23/100)^DCF_Base!$L$4+Assumptions!$B$5-Assumptions!$B$4)/Assumptions!$B$3*Assumptions!$B$10</f>
        <v>109.506410304056</v>
      </c>
      <c r="F23" s="0" t="n">
        <f aca="false">(SUMPRODUCT(DCF_Base!$C$19:$L$19/(1+$A$23/100)^DCF_Base!$C$4:$L$4)+MAX(0,MIN(IF($A$23&gt;$F$22,DCF_Base!$L$19*(1+$F$22/100)/(($A$23-$F$22)/100),DCF_Base!$L$19*DCF_Base!$B$29),DCF_Base!$L$19*DCF_Base!$B$29))/(1+$A$23/100)^DCF_Base!$L$4+Assumptions!$B$5-Assumptions!$B$4)/Assumptions!$B$3*Assumptions!$B$10</f>
        <v>109.506410304056</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100.090580976798</v>
      </c>
      <c r="C24" s="0" t="n">
        <f aca="false">(SUMPRODUCT(DCF_Base!$C$19:$L$19/(1+$A$24/100)^DCF_Base!$C$4:$L$4)+MAX(0,MIN(IF($A$24&gt;$C$22,DCF_Base!$L$19*(1+$C$22/100)/(($A$24-$C$22)/100),DCF_Base!$L$19*DCF_Base!$B$29),DCF_Base!$L$19*DCF_Base!$B$29))/(1+$A$24/100)^DCF_Base!$L$4+Assumptions!$B$5-Assumptions!$B$4)/Assumptions!$B$3*Assumptions!$B$10</f>
        <v>101.730682073637</v>
      </c>
      <c r="D24" s="0" t="n">
        <f aca="false">(SUMPRODUCT(DCF_Base!$C$19:$L$19/(1+$A$24/100)^DCF_Base!$C$4:$L$4)+MAX(0,MIN(IF($A$24&gt;$D$22,DCF_Base!$L$19*(1+$D$22/100)/(($A$24-$D$22)/100),DCF_Base!$L$19*DCF_Base!$B$29),DCF_Base!$L$19*DCF_Base!$B$29))/(1+$A$24/100)^DCF_Base!$L$4+Assumptions!$B$5-Assumptions!$B$4)/Assumptions!$B$3*Assumptions!$B$10</f>
        <v>101.730682073637</v>
      </c>
      <c r="E24" s="0" t="n">
        <f aca="false">(SUMPRODUCT(DCF_Base!$C$19:$L$19/(1+$A$24/100)^DCF_Base!$C$4:$L$4)+MAX(0,MIN(IF($A$24&gt;$E$22,DCF_Base!$L$19*(1+$E$22/100)/(($A$24-$E$22)/100),DCF_Base!$L$19*DCF_Base!$B$29),DCF_Base!$L$19*DCF_Base!$B$29))/(1+$A$24/100)^DCF_Base!$L$4+Assumptions!$B$5-Assumptions!$B$4)/Assumptions!$B$3*Assumptions!$B$10</f>
        <v>101.730682073637</v>
      </c>
      <c r="F24" s="0" t="n">
        <f aca="false">(SUMPRODUCT(DCF_Base!$C$19:$L$19/(1+$A$24/100)^DCF_Base!$C$4:$L$4)+MAX(0,MIN(IF($A$24&gt;$F$22,DCF_Base!$L$19*(1+$F$22/100)/(($A$24-$F$22)/100),DCF_Base!$L$19*DCF_Base!$B$29),DCF_Base!$L$19*DCF_Base!$B$29))/(1+$A$24/100)^DCF_Base!$L$4+Assumptions!$B$5-Assumptions!$B$4)/Assumptions!$B$3*Assumptions!$B$10</f>
        <v>101.730682073637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86.7827635735435</v>
      </c>
      <c r="C25" s="0" t="n">
        <f aca="false">(SUMPRODUCT(DCF_Base!$C$19:$L$19/(1+$A$25/100)^DCF_Base!$C$4:$L$4)+MAX(0,MIN(IF($A$25&gt;$C$22,DCF_Base!$L$19*(1+$C$22/100)/(($A$25-$C$22)/100),DCF_Base!$L$19*DCF_Base!$B$29),DCF_Base!$L$19*DCF_Base!$B$29))/(1+$A$25/100)^DCF_Base!$L$4+Assumptions!$B$5-Assumptions!$B$4)/Assumptions!$B$3*Assumptions!$B$10</f>
        <v>89.9845840025422</v>
      </c>
      <c r="D25" s="0" t="n">
        <f aca="false">(SUMPRODUCT(DCF_Base!$C$19:$L$19/(1+$A$25/100)^DCF_Base!$C$4:$L$4)+MAX(0,MIN(IF($A$25&gt;$D$22,DCF_Base!$L$19*(1+$D$22/100)/(($A$25-$D$22)/100),DCF_Base!$L$19*DCF_Base!$B$29),DCF_Base!$L$19*DCF_Base!$B$29))/(1+$A$25/100)^DCF_Base!$L$4+Assumptions!$B$5-Assumptions!$B$4)/Assumptions!$B$3*Assumptions!$B$10</f>
        <v>93.6438073499692</v>
      </c>
      <c r="E25" s="0" t="n">
        <f aca="false">(SUMPRODUCT(DCF_Base!$C$19:$L$19/(1+$A$25/100)^DCF_Base!$C$4:$L$4)+MAX(0,MIN(IF($A$25&gt;$E$22,DCF_Base!$L$19*(1+$E$22/100)/(($A$25-$E$22)/100),DCF_Base!$L$19*DCF_Base!$B$29),DCF_Base!$L$19*DCF_Base!$B$29))/(1+$A$25/100)^DCF_Base!$L$4+Assumptions!$B$5-Assumptions!$B$4)/Assumptions!$B$3*Assumptions!$B$10</f>
        <v>94.641777353813</v>
      </c>
      <c r="F25" s="0" t="n">
        <f aca="false">(SUMPRODUCT(DCF_Base!$C$19:$L$19/(1+$A$25/100)^DCF_Base!$C$4:$L$4)+MAX(0,MIN(IF($A$25&gt;$F$22,DCF_Base!$L$19*(1+$F$22/100)/(($A$25-$F$22)/100),DCF_Base!$L$19*DCF_Base!$B$29),DCF_Base!$L$19*DCF_Base!$B$29))/(1+$A$25/100)^DCF_Base!$L$4+Assumptions!$B$5-Assumptions!$B$4)/Assumptions!$B$3*Assumptions!$B$10</f>
        <v>94.641777353813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76.4723374654361</v>
      </c>
      <c r="C26" s="0" t="n">
        <f aca="false">(SUMPRODUCT(DCF_Base!$C$19:$L$19/(1+$A$26/100)^DCF_Base!$C$4:$L$4)+MAX(0,MIN(IF($A$26&gt;$C$22,DCF_Base!$L$19*(1+$C$22/100)/(($A$26-$C$22)/100),DCF_Base!$L$19*DCF_Base!$B$29),DCF_Base!$L$19*DCF_Base!$B$29))/(1+$A$26/100)^DCF_Base!$L$4+Assumptions!$B$5-Assumptions!$B$4)/Assumptions!$B$3*Assumptions!$B$10</f>
        <v>78.7871410374238</v>
      </c>
      <c r="D26" s="0" t="n">
        <f aca="false">(SUMPRODUCT(DCF_Base!$C$19:$L$19/(1+$A$26/100)^DCF_Base!$C$4:$L$4)+MAX(0,MIN(IF($A$26&gt;$D$22,DCF_Base!$L$19*(1+$D$22/100)/(($A$26-$D$22)/100),DCF_Base!$L$19*DCF_Base!$B$29),DCF_Base!$L$19*DCF_Base!$B$29))/(1+$A$26/100)^DCF_Base!$L$4+Assumptions!$B$5-Assumptions!$B$4)/Assumptions!$B$3*Assumptions!$B$10</f>
        <v>81.3912950559099</v>
      </c>
      <c r="E26" s="0" t="n">
        <f aca="false">(SUMPRODUCT(DCF_Base!$C$19:$L$19/(1+$A$26/100)^DCF_Base!$C$4:$L$4)+MAX(0,MIN(IF($A$26&gt;$E$22,DCF_Base!$L$19*(1+$E$22/100)/(($A$26-$E$22)/100),DCF_Base!$L$19*DCF_Base!$B$29),DCF_Base!$L$19*DCF_Base!$B$29))/(1+$A$26/100)^DCF_Base!$L$4+Assumptions!$B$5-Assumptions!$B$4)/Assumptions!$B$3*Assumptions!$B$10</f>
        <v>84.3426696101942</v>
      </c>
      <c r="F26" s="0" t="n">
        <f aca="false">(SUMPRODUCT(DCF_Base!$C$19:$L$19/(1+$A$26/100)^DCF_Base!$C$4:$L$4)+MAX(0,MIN(IF($A$26&gt;$F$22,DCF_Base!$L$19*(1+$F$22/100)/(($A$26-$F$22)/100),DCF_Base!$L$19*DCF_Base!$B$29),DCF_Base!$L$19*DCF_Base!$B$29))/(1+$A$26/100)^DCF_Base!$L$4+Assumptions!$B$5-Assumptions!$B$4)/Assumptions!$B$3*Assumptions!$B$10</f>
        <v>87.7156691008049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68.2575109891383</v>
      </c>
      <c r="C27" s="0" t="n">
        <f aca="false">(SUMPRODUCT(DCF_Base!$C$19:$L$19/(1+$A$27/100)^DCF_Base!$C$4:$L$4)+MAX(0,MIN(IF($A$27&gt;$C$22,DCF_Base!$L$19*(1+$C$22/100)/(($A$27-$C$22)/100),DCF_Base!$L$19*DCF_Base!$B$29),DCF_Base!$L$19*DCF_Base!$B$29))/(1+$A$27/100)^DCF_Base!$L$4+Assumptions!$B$5-Assumptions!$B$4)/Assumptions!$B$3*Assumptions!$B$10</f>
        <v>69.9769888117237</v>
      </c>
      <c r="D27" s="0" t="n">
        <f aca="false">(SUMPRODUCT(DCF_Base!$C$19:$L$19/(1+$A$27/100)^DCF_Base!$C$4:$L$4)+MAX(0,MIN(IF($A$27&gt;$D$22,DCF_Base!$L$19*(1+$D$22/100)/(($A$27-$D$22)/100),DCF_Base!$L$19*DCF_Base!$B$29),DCF_Base!$L$19*DCF_Base!$B$29))/(1+$A$27/100)^DCF_Base!$L$4+Assumptions!$B$5-Assumptions!$B$4)/Assumptions!$B$3*Assumptions!$B$10</f>
        <v>71.8875197257075</v>
      </c>
      <c r="E27" s="0" t="n">
        <f aca="false">(SUMPRODUCT(DCF_Base!$C$19:$L$19/(1+$A$27/100)^DCF_Base!$C$4:$L$4)+MAX(0,MIN(IF($A$27&gt;$E$22,DCF_Base!$L$19*(1+$E$22/100)/(($A$27-$E$22)/100),DCF_Base!$L$19*DCF_Base!$B$29),DCF_Base!$L$19*DCF_Base!$B$29))/(1+$A$27/100)^DCF_Base!$L$4+Assumptions!$B$5-Assumptions!$B$4)/Assumptions!$B$3*Assumptions!$B$10</f>
        <v>74.022818982513</v>
      </c>
      <c r="F27" s="0" t="n">
        <f aca="false">(SUMPRODUCT(DCF_Base!$C$19:$L$19/(1+$A$27/100)^DCF_Base!$C$4:$L$4)+MAX(0,MIN(IF($A$27&gt;$F$22,DCF_Base!$L$19*(1+$F$22/100)/(($A$27-$F$22)/100),DCF_Base!$L$19*DCF_Base!$B$29),DCF_Base!$L$19*DCF_Base!$B$29))/(1+$A$27/100)^DCF_Base!$L$4+Assumptions!$B$5-Assumptions!$B$4)/Assumptions!$B$3*Assumptions!$B$10</f>
        <v>76.4250306464191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2026-10-02T21:53:39Z</dcterms:created>
  <dc:creator>openpyxl</dc:creator>
  <dc:description/>
  <dc:language>en-NZ</dc:language>
  <cp:lastModifiedBy/>
  <dcterms:modified xsi:type="dcterms:W3CDTF">2026-10-02T21:53:39Z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