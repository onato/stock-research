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<sst xmlns="http://schemas.openxmlformats.org/spreadsheetml/2006/main" count="360" uniqueCount="167">
  <si>
    <t xml:space="preserve">Ticker</t>
  </si>
  <si>
    <t xml:space="preserve">2799.HK</t>
  </si>
  <si>
    <t xml:space="preserve">Company</t>
  </si>
  <si>
    <t xml:space="preserve">China CITIC Financial Asset Management Co., Ltd. (formerly China Huarong Asset Management)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</si>
  <si>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</si>
  <si>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</si>
  <si>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</si>
  <si>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</si>
  <si>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2026-10-22T03:57:33Z (HKEX intraday session, regular hours)</t>
  </si>
  <si>
    <t xml:space="preserve">Balance sheet date</t>
  </si>
  <si>
    <t xml:space="preserve">2026-06-30</t>
  </si>
  <si>
    <t xml:space="preserve">Model</t>
  </si>
  <si>
    <t xml:space="preserve">State AMC FCFE at cost of equity (engine route): net debt zero, capital retention on asset growth charged as capex, equity-accounted bank earnings haircut, AT1 perpetual coupon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</si>
  <si>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</si>
  <si>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</si>
  <si>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</si>
  <si>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</si>
  <si>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</si>
  <si>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</si>
  <si>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</si>
  <si>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</si>
  <si>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</si>
  <si>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2026-10-22T05:22:16Z</t>
  </si>
  <si>
    <t xml:space="preserve">Drivers file</t>
  </si>
  <si>
    <t xml:space="preserve">2799.HK_Drivers.json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</si>
  <si>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</si>
  <si>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</si>
  <si>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</si>
  <si>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Discount the flow that actually accrues to the ordinary H-share - profit after tax, AT1 coupon and minorities, less the capital a 20x-levered AMC must retain and less the non-cash portion of equity-accounted bank earnings - at a cost of equity that charges the wholesale funding, the opacity of distressed-asset marks, the governance legacy and the absence of any distributable profit. Book value is not the anchor: stated ordinary book (RMB0.574/share) is held up by associate carrying values 2.3x their market value, and marked to market it is negative; nor is reported P/E (~3.5-4x), because the earnings are two-thirds equity-accounted and tax-credit-assisted. The valuation is therefore an earnings-capacity view with a heavy bear weight, not a NAV.
key_risks_to_valuation: Impairment run-rate: every 10bn/yr of additional ECL is ~RMB0.08/share of annual ordinary profit against FY2026E ~0.15; Associate carrying values (288bn) vs listed fair value (124bn): any impairment test failure or loss of 'significant influence' (board seats at BOC, CITIC Ltd, CEB) would crystallise a 100bn+ hit to book and the AT1 non-viability trigger; Dilutive recapitalisation: 2021 precedent doubled the share count; the flat count in all scenarios understates bear-case damage; Funding access and cost: 849bn of borrowings rolling at ~3.1%; a spread shock of 50bp is ~4bn/yr, a third of ordinary profit; Policy direction: the AMC's deal flow, pricing and funding are set by the state; minority H-shareholders are residual to the mandate; Governance: chairman resigned July 2026, successor unconfirmed; the Lai Xiaomin legacy keeps the regulatory premium in the discount rate; Deferred tax asset (25.8bn) recognition is a judgment that flatters reported profit; cash taxes paid run 3-5bn/yr</t>
  </si>
  <si>
    <t xml:space="preserve">Data sources</t>
  </si>
  <si>
    <t xml:space="preserve">price: Yahoo Finance chart API at inputs.price_as_of (HKEX intraday); 52-week range HKD 0.54-1.09
financials: 2026 Interim Report (H1 2026, unaudited, RMB millions: income statement p.7, balance sheet p.8, ratios p.9, capital adequacy p.51, note 22 associates incl. fair value of listed companies, note 32 perpetual bonds); 2025 Annual Report (financial summary pp.11-14, segment results 8.2.1.4, note 16 dividends, capital adequacy 8.5); Metrics.csv FY2016-H1 2026; kpis table (ImpairmentLosses, InterestExpense, IncomeFromDistressedDebtAssets, CashTaxesPaid)
qualitative: 2799.HK_Analysis.json (2026-10-22): Big Four AMC position, CITIC restructuring, property/LGFV exposure, governance history, H1 2026 results and chairman resignation
fx: CNYHKD=X Yahoo Finance, 2026-10-22</t>
  </si>
  <si>
    <t xml:space="preserve">Scenario narrative: bear</t>
  </si>
  <si>
    <t xml:space="preserve">Property/LGFV relapse forces a second provisioning cycle; cash FCFE stays near zero for a decade and capital is replenished by a discounted state placement. The H share is worth little beyond its policy-backed recovery option.</t>
  </si>
  <si>
    <t xml:space="preserve">Scenario narrative: base</t>
  </si>
  <si>
    <t xml:space="preserve">Post-bailout normalisation under CITIC Group: impairments settle at 10-12bn/yr, funding cost keeps falling, the BOC/CITIC Ltd/CEB stakes compound at bank-book rates, ordinary profit grows mid-single digits from ~12bn and FCFE (after capital retention and the non-cash half of associate earnings) builds from ~2bn to ~5-6bn by FY2036. No dividend before ~FY2029 while the parent rebuilds distributable reserves.</t>
  </si>
  <si>
    <t xml:space="preserve">Scenario narrative: bull</t>
  </si>
  <si>
    <t xml:space="preserve">The turnaround completes: legacy book fully reserved, funding below 3%, pre-tax margin to 33%, dividends resume by FY2028 and the governance discount closes toward Cinda's; equity-accounted bank earnings are valued near book.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</si>
  <si>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</si>
  <si>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</si>
  <si>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</si>
  <si>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</si>
  <si>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</si>
  <si>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</si>
  <si>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</si>
  <si>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</si>
  <si>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</si>
  <si>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</si>
  <si>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</si>
  <si>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</si>
  <si>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</si>
  <si>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</si>
  <si>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</si>
  <si>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</si>
  <si>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</si>
  <si>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</si>
  <si>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</si>
  <si>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</si>
  <si>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</si>
  <si>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</si>
  <si>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</si>
  <si>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</si>
  <si>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</si>
  <si>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</si>
  <si>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</si>
  <si>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</si>
  <si>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</si>
  <si>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</si>
  <si>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</si>
  <si>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</si>
  <si>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</si>
  <si>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</si>
  <si>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</si>
  <si>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</si>
  <si>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</si>
  <si>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</si>
  <si>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</si>
  <si>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</si>
  <si>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</si>
  <si>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</si>
  <si>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</si>
  <si>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</si>
  <si>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</si>
  <si>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</si>
  <si>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</si>
  <si>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</si>
  <si>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</si>
  <si>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</si>
  <si>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</si>
  <si>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</si>
  <si>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</si>
  <si>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</si>
  <si>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</si>
  <si>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</si>
  <si>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</si>
  <si>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</si>
  <si>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</si>
  <si>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</si>
  <si>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</si>
  <si>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</si>
  <si>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</si>
  <si>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</si>
  <si>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</si>
  <si>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</si>
  <si>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</si>
  <si>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</si>
  <si>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</si>
  <si>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</si>
  <si>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</si>
  <si>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</si>
  <si>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</si>
  <si>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</si>
  <si>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</si>
  <si>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2799.HK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</si>
  <si>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</si>
  <si>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</si>
  <si>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</si>
  <si>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</si>
  <si>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</si>
  <si>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</si>
  <si>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</si>
  <si>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</si>
  <si>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</si>
  <si>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</si>
  <si>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</si>
  <si>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</si>
  <si>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</si>
  <si>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</si>
  <si>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</si>
  <si>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</si>
  <si>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</si>
  <si>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</si>
  <si>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</si>
  <si>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</si>
  <si>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</si>
  <si>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</si>
  <si>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</si>
  <si>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</si>
  <si>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</si>
  <si>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</si>
  <si>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</si>
  <si>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</si>
  <si>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</si>
  <si>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</si>
  <si>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2799.HK owner-FCF component DCF: base case (millions, CNY)</t>
  </si>
  <si>
    <t xml:space="preserve">2799.HK owner-FCF component DCF: bull case (millions, CNY)</t>
  </si>
  <si>
    <t xml:space="preserve">2799.HK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</si>
  <si>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</si>
  <si>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</si>
  <si>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</si>
  <si>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</si>
  <si>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</si>
  <si>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</si>
  <si>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</si>
  <si>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</si>
  <si>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</si>
  <si>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</si>
  <si>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</si>
  <si>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</si>
  <si>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</si>
  <si>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</si>
  <si>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</si>
  <si>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</si>
  <si>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</si>
  <si>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</si>
  <si>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13%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</si>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</sst>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0.565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95207.7</v>
      </c>
      <c r="I2" s="0" t="n">
        <v>19613.5</v>
      </c>
      <c r="J2" s="0" t="n">
        <v>20.6</v>
      </c>
      <c r="K2" s="0" t="n">
        <v>0.5</v>
      </c>
      <c r="O2" s="0" t="n">
        <v>115243</v>
      </c>
      <c r="P2" s="0" t="n">
        <v>1411969.3</v>
      </c>
      <c r="Q2" s="0" t="n">
        <v>1261888.3</v>
      </c>
      <c r="R2" s="0" t="n">
        <v>756370.8</v>
      </c>
      <c r="T2" s="0" t="n">
        <v>39070.2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128070.6</v>
      </c>
      <c r="I3" s="0" t="n">
        <v>21992.6</v>
      </c>
      <c r="J3" s="0" t="n">
        <v>17.2</v>
      </c>
      <c r="K3" s="0" t="n">
        <v>0.56</v>
      </c>
      <c r="L3" s="0" t="n">
        <v>27736.2</v>
      </c>
      <c r="M3" s="0" t="n">
        <v>3260.7</v>
      </c>
      <c r="N3" s="0" t="n">
        <v>24475.6</v>
      </c>
      <c r="O3" s="0" t="n">
        <v>128174.6</v>
      </c>
      <c r="P3" s="0" t="n">
        <v>1870260.3</v>
      </c>
      <c r="Q3" s="0" t="n">
        <v>1687625.4</v>
      </c>
      <c r="R3" s="0" t="n">
        <v>1109667.2</v>
      </c>
      <c r="S3" s="0" t="n">
        <v>169120.1</v>
      </c>
      <c r="T3" s="0" t="n">
        <v>39070.2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107253.1</v>
      </c>
      <c r="I4" s="0" t="n">
        <v>1575.5</v>
      </c>
      <c r="J4" s="0" t="n">
        <v>1.5</v>
      </c>
      <c r="K4" s="0" t="n">
        <v>0.04</v>
      </c>
      <c r="L4" s="0" t="n">
        <v>-29175.3</v>
      </c>
      <c r="M4" s="0" t="n">
        <v>3692.1</v>
      </c>
      <c r="N4" s="0" t="n">
        <v>-32867.4</v>
      </c>
      <c r="O4" s="0" t="n">
        <v>120640.2</v>
      </c>
      <c r="P4" s="0" t="n">
        <v>1710086.7</v>
      </c>
      <c r="Q4" s="0" t="n">
        <v>1541481.7</v>
      </c>
      <c r="R4" s="0" t="n">
        <v>1116703</v>
      </c>
      <c r="S4" s="0" t="n">
        <v>101319.3</v>
      </c>
      <c r="T4" s="0" t="n">
        <v>39070.2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112656.5</v>
      </c>
      <c r="I5" s="0" t="n">
        <v>1424.4</v>
      </c>
      <c r="J5" s="0" t="n">
        <v>1.3</v>
      </c>
      <c r="K5" s="0" t="n">
        <v>0.04</v>
      </c>
      <c r="L5" s="0" t="n">
        <v>82863.9</v>
      </c>
      <c r="M5" s="0" t="n">
        <v>2505.8</v>
      </c>
      <c r="N5" s="0" t="n">
        <v>80358</v>
      </c>
      <c r="O5" s="0" t="n">
        <v>121258.8</v>
      </c>
      <c r="P5" s="0" t="n">
        <v>1705012.4</v>
      </c>
      <c r="Q5" s="0" t="n">
        <v>1541535.9</v>
      </c>
      <c r="R5" s="0" t="n">
        <v>1132493.7</v>
      </c>
      <c r="S5" s="0" t="n">
        <v>159234.4</v>
      </c>
      <c r="T5" s="0" t="n">
        <v>39070.2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76507.5</v>
      </c>
      <c r="I6" s="0" t="n">
        <v>-102903</v>
      </c>
      <c r="J6" s="0" t="n">
        <v>-134.5</v>
      </c>
      <c r="K6" s="0" t="n">
        <v>-2.63</v>
      </c>
      <c r="L6" s="0" t="n">
        <v>53428.8</v>
      </c>
      <c r="M6" s="0" t="n">
        <v>1284.9</v>
      </c>
      <c r="N6" s="0" t="n">
        <v>52143.9</v>
      </c>
      <c r="O6" s="0" t="n">
        <v>18154.7</v>
      </c>
      <c r="P6" s="0" t="n">
        <v>1641467</v>
      </c>
      <c r="Q6" s="0" t="n">
        <v>1577210.1</v>
      </c>
      <c r="R6" s="0" t="n">
        <v>1138578.4</v>
      </c>
      <c r="S6" s="0" t="n">
        <v>133154.9</v>
      </c>
      <c r="T6" s="0" t="n">
        <v>39070.2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68093.9</v>
      </c>
      <c r="I7" s="0" t="n">
        <v>378.5</v>
      </c>
      <c r="J7" s="0" t="n">
        <v>0.6</v>
      </c>
      <c r="K7" s="0" t="n">
        <v>0.01</v>
      </c>
      <c r="L7" s="0" t="n">
        <v>95423.6</v>
      </c>
      <c r="M7" s="0" t="n">
        <v>981.7</v>
      </c>
      <c r="N7" s="0" t="n">
        <v>94441.9</v>
      </c>
      <c r="O7" s="0" t="n">
        <v>61494.2</v>
      </c>
      <c r="P7" s="0" t="n">
        <v>1570705</v>
      </c>
      <c r="Q7" s="0" t="n">
        <v>1464545.6</v>
      </c>
      <c r="R7" s="0" t="n">
        <v>1041838.3</v>
      </c>
      <c r="S7" s="0" t="n">
        <v>179637.2</v>
      </c>
      <c r="T7" s="0" t="n">
        <v>39070.2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36933.2</v>
      </c>
      <c r="I8" s="0" t="n">
        <v>-27587.1</v>
      </c>
      <c r="J8" s="0" t="n">
        <v>-74.7</v>
      </c>
      <c r="K8" s="0" t="n">
        <v>-0.34</v>
      </c>
      <c r="L8" s="0" t="n">
        <v>-33576.7</v>
      </c>
      <c r="M8" s="0" t="n">
        <v>538.7</v>
      </c>
      <c r="N8" s="0" t="n">
        <v>-34115.5</v>
      </c>
      <c r="O8" s="0" t="n">
        <v>49353.3</v>
      </c>
      <c r="P8" s="0" t="n">
        <v>957803.9</v>
      </c>
      <c r="Q8" s="0" t="n">
        <v>907060</v>
      </c>
      <c r="R8" s="0" t="n">
        <v>819355.8</v>
      </c>
      <c r="S8" s="0" t="n">
        <v>96754.5</v>
      </c>
      <c r="T8" s="0" t="n">
        <v>80246.7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69949.6</v>
      </c>
      <c r="I9" s="0" t="n">
        <v>1766.2</v>
      </c>
      <c r="J9" s="0" t="n">
        <v>2.5</v>
      </c>
      <c r="K9" s="0" t="n">
        <v>0.01</v>
      </c>
      <c r="L9" s="0" t="n">
        <v>19245.8</v>
      </c>
      <c r="M9" s="0" t="n">
        <v>391.1</v>
      </c>
      <c r="N9" s="0" t="n">
        <v>18854.6</v>
      </c>
      <c r="O9" s="0" t="n">
        <v>47995.4</v>
      </c>
      <c r="P9" s="0" t="n">
        <v>968103.2</v>
      </c>
      <c r="Q9" s="0" t="n">
        <v>920066.4</v>
      </c>
      <c r="R9" s="0" t="n">
        <v>844696.1</v>
      </c>
      <c r="S9" s="0" t="n">
        <v>73181</v>
      </c>
      <c r="T9" s="0" t="n">
        <v>80246.7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106696.6</v>
      </c>
      <c r="I10" s="0" t="n">
        <v>9618.4</v>
      </c>
      <c r="J10" s="0" t="n">
        <v>9</v>
      </c>
      <c r="K10" s="0" t="n">
        <v>0.11</v>
      </c>
      <c r="L10" s="0" t="n">
        <v>99132.4</v>
      </c>
      <c r="M10" s="0" t="n">
        <v>3414.3</v>
      </c>
      <c r="N10" s="0" t="n">
        <v>95718.1</v>
      </c>
      <c r="O10" s="0" t="n">
        <v>56495.6</v>
      </c>
      <c r="P10" s="0" t="n">
        <v>984328.6</v>
      </c>
      <c r="Q10" s="0" t="n">
        <v>934564.3</v>
      </c>
      <c r="R10" s="0" t="n">
        <v>877079</v>
      </c>
      <c r="S10" s="0" t="n">
        <v>90703.7</v>
      </c>
      <c r="T10" s="0" t="n">
        <v>80246.7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61699.2</v>
      </c>
      <c r="I11" s="0" t="n">
        <v>11086</v>
      </c>
      <c r="J11" s="0" t="n">
        <v>18</v>
      </c>
      <c r="K11" s="0" t="n">
        <v>0.127</v>
      </c>
      <c r="L11" s="0" t="n">
        <v>16814.4</v>
      </c>
      <c r="M11" s="0" t="n">
        <v>53.5</v>
      </c>
      <c r="N11" s="0" t="n">
        <v>16761</v>
      </c>
      <c r="O11" s="0" t="n">
        <v>62234.5</v>
      </c>
      <c r="P11" s="0" t="n">
        <v>1057023.9</v>
      </c>
      <c r="Q11" s="0" t="n">
        <v>1003875.5</v>
      </c>
      <c r="R11" s="0" t="n">
        <v>954856.4</v>
      </c>
      <c r="S11" s="0" t="n">
        <v>72809.4</v>
      </c>
      <c r="T11" s="0" t="n">
        <v>80246.7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0.565</v>
      </c>
    </row>
    <row r="3" customFormat="false" ht="15" hidden="false" customHeight="false" outlineLevel="0" collapsed="false">
      <c r="A3" s="0" t="s">
        <v>77</v>
      </c>
      <c r="B3" s="3" t="n">
        <v>80246.7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54000</v>
      </c>
    </row>
    <row r="8" customFormat="false" ht="15" hidden="false" customHeight="false" outlineLevel="0" collapsed="false">
      <c r="A8" s="0" t="s">
        <v>82</v>
      </c>
      <c r="B8" s="3" t="s">
        <v>83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1.175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19</v>
      </c>
      <c r="D14" s="3" t="n">
        <v>15</v>
      </c>
      <c r="E14" s="3" t="n">
        <v>14</v>
      </c>
      <c r="F14" s="3" t="n">
        <v>15</v>
      </c>
      <c r="G14" s="3" t="n">
        <v>16</v>
      </c>
      <c r="H14" s="3" t="n">
        <v>17</v>
      </c>
      <c r="I14" s="3" t="n">
        <v>17.5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14</v>
      </c>
      <c r="D18" s="3" t="n">
        <v>13.5</v>
      </c>
      <c r="E18" s="3" t="n">
        <v>13</v>
      </c>
      <c r="F18" s="3" t="n">
        <v>12.5</v>
      </c>
      <c r="G18" s="3" t="n">
        <v>12</v>
      </c>
      <c r="H18" s="3" t="n">
        <v>11</v>
      </c>
      <c r="I18" s="3" t="n">
        <v>10.5</v>
      </c>
      <c r="J18" s="3" t="n">
        <v>10</v>
      </c>
      <c r="K18" s="3" t="n">
        <v>9.5</v>
      </c>
      <c r="L18" s="3" t="n">
        <v>9.5</v>
      </c>
    </row>
    <row r="19" customFormat="false" ht="15" hidden="false" customHeight="false" outlineLevel="0" collapsed="false">
      <c r="A19" s="0" t="s">
        <v>104</v>
      </c>
      <c r="C19" s="3" t="n">
        <v>15</v>
      </c>
      <c r="D19" s="3" t="n">
        <v>25</v>
      </c>
      <c r="E19" s="3" t="n">
        <v>30</v>
      </c>
      <c r="F19" s="3" t="n">
        <v>35</v>
      </c>
      <c r="G19" s="3" t="n">
        <v>35</v>
      </c>
      <c r="H19" s="3" t="n">
        <v>35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105</v>
      </c>
      <c r="B20" s="3" t="n">
        <v>14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18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0.35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5</v>
      </c>
      <c r="D27" s="3" t="n">
        <v>5</v>
      </c>
      <c r="E27" s="3" t="n">
        <v>5</v>
      </c>
      <c r="F27" s="3" t="n">
        <v>5</v>
      </c>
      <c r="G27" s="3" t="n">
        <v>4</v>
      </c>
      <c r="H27" s="3" t="n">
        <v>4</v>
      </c>
      <c r="I27" s="3" t="n">
        <v>4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20.5</v>
      </c>
      <c r="D28" s="3" t="n">
        <v>22</v>
      </c>
      <c r="E28" s="3" t="n">
        <v>23</v>
      </c>
      <c r="F28" s="3" t="n">
        <v>24</v>
      </c>
      <c r="G28" s="3" t="n">
        <v>25</v>
      </c>
      <c r="H28" s="3" t="n">
        <v>25.5</v>
      </c>
      <c r="I28" s="3" t="n">
        <v>26</v>
      </c>
      <c r="J28" s="3" t="n">
        <v>26.5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16</v>
      </c>
      <c r="D32" s="3" t="n">
        <v>15.5</v>
      </c>
      <c r="E32" s="3" t="n">
        <v>15</v>
      </c>
      <c r="F32" s="3" t="n">
        <v>14.5</v>
      </c>
      <c r="G32" s="3" t="n">
        <v>14</v>
      </c>
      <c r="H32" s="3" t="n">
        <v>13.5</v>
      </c>
      <c r="I32" s="3" t="n">
        <v>13</v>
      </c>
      <c r="J32" s="3" t="n">
        <v>12.5</v>
      </c>
      <c r="K32" s="3" t="n">
        <v>12</v>
      </c>
      <c r="L32" s="3" t="n">
        <v>12</v>
      </c>
    </row>
    <row r="33" customFormat="false" ht="15" hidden="false" customHeight="false" outlineLevel="0" collapsed="false">
      <c r="A33" s="0" t="s">
        <v>104</v>
      </c>
      <c r="C33" s="3" t="n">
        <v>8</v>
      </c>
      <c r="D33" s="3" t="n">
        <v>15</v>
      </c>
      <c r="E33" s="3" t="n">
        <v>20</v>
      </c>
      <c r="F33" s="3" t="n">
        <v>25</v>
      </c>
      <c r="G33" s="3" t="n">
        <v>28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13</v>
      </c>
    </row>
    <row r="35" customFormat="false" ht="15" hidden="false" customHeight="false" outlineLevel="0" collapsed="false">
      <c r="A35" s="0" t="s">
        <v>106</v>
      </c>
      <c r="B35" s="3" t="n">
        <v>3</v>
      </c>
    </row>
    <row r="36" customFormat="false" ht="15" hidden="false" customHeight="false" outlineLevel="0" collapsed="false">
      <c r="A36" s="0" t="s">
        <v>107</v>
      </c>
      <c r="B36" s="3" t="n">
        <v>18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0.45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7</v>
      </c>
      <c r="D41" s="3" t="n">
        <v>7</v>
      </c>
      <c r="E41" s="3" t="n">
        <v>7</v>
      </c>
      <c r="F41" s="3" t="n">
        <v>7</v>
      </c>
      <c r="G41" s="3" t="n">
        <v>5</v>
      </c>
      <c r="H41" s="3" t="n">
        <v>5</v>
      </c>
      <c r="I41" s="3" t="n">
        <v>5</v>
      </c>
      <c r="J41" s="3" t="n">
        <v>4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99</v>
      </c>
      <c r="C42" s="3" t="n">
        <v>21</v>
      </c>
      <c r="D42" s="3" t="n">
        <v>24</v>
      </c>
      <c r="E42" s="3" t="n">
        <v>27</v>
      </c>
      <c r="F42" s="3" t="n">
        <v>29</v>
      </c>
      <c r="G42" s="3" t="n">
        <v>31</v>
      </c>
      <c r="H42" s="3" t="n">
        <v>32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13</v>
      </c>
      <c r="D46" s="3" t="n">
        <v>12.5</v>
      </c>
      <c r="E46" s="3" t="n">
        <v>12</v>
      </c>
      <c r="F46" s="3" t="n">
        <v>11.5</v>
      </c>
      <c r="G46" s="3" t="n">
        <v>11</v>
      </c>
      <c r="H46" s="3" t="n">
        <v>10.5</v>
      </c>
      <c r="I46" s="3" t="n">
        <v>10</v>
      </c>
      <c r="J46" s="3" t="n">
        <v>9.5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104</v>
      </c>
      <c r="C47" s="3" t="n">
        <v>5</v>
      </c>
      <c r="D47" s="3" t="n">
        <v>12</v>
      </c>
      <c r="E47" s="3" t="n">
        <v>18</v>
      </c>
      <c r="F47" s="3" t="n">
        <v>22</v>
      </c>
      <c r="G47" s="3" t="n">
        <v>25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105</v>
      </c>
      <c r="B48" s="3" t="n">
        <v>12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18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54000</v>
      </c>
      <c r="C6" s="0" t="n">
        <f aca="false">B6*(1+C5/100)</f>
        <v>55080</v>
      </c>
      <c r="D6" s="0" t="n">
        <f aca="false">C6*(1+D5/100)</f>
        <v>56181.6</v>
      </c>
      <c r="E6" s="0" t="n">
        <f aca="false">D6*(1+E5/100)</f>
        <v>57305.232</v>
      </c>
      <c r="F6" s="0" t="n">
        <f aca="false">E6*(1+F5/100)</f>
        <v>58451.33664</v>
      </c>
      <c r="G6" s="0" t="n">
        <f aca="false">F6*(1+G5/100)</f>
        <v>59620.3633728</v>
      </c>
      <c r="H6" s="0" t="n">
        <f aca="false">G6*(1+H5/100)</f>
        <v>60812.770640256</v>
      </c>
      <c r="I6" s="0" t="n">
        <f aca="false">H6*(1+I5/100)</f>
        <v>62029.0260530611</v>
      </c>
      <c r="J6" s="0" t="n">
        <f aca="false">I6*(1+J5/100)</f>
        <v>63269.6065741223</v>
      </c>
      <c r="K6" s="0" t="n">
        <f aca="false">J6*(1+K5/100)</f>
        <v>64534.9987056048</v>
      </c>
      <c r="L6" s="0" t="n">
        <f aca="false">K6*(1+L5/100)</f>
        <v>65825.6986797169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19</v>
      </c>
      <c r="D7" s="4" t="n">
        <f aca="false">Assumptions!D14</f>
        <v>15</v>
      </c>
      <c r="E7" s="4" t="n">
        <f aca="false">Assumptions!E14</f>
        <v>14</v>
      </c>
      <c r="F7" s="4" t="n">
        <f aca="false">Assumptions!F14</f>
        <v>15</v>
      </c>
      <c r="G7" s="4" t="n">
        <f aca="false">Assumptions!G14</f>
        <v>16</v>
      </c>
      <c r="H7" s="4" t="n">
        <f aca="false">Assumptions!H14</f>
        <v>17</v>
      </c>
      <c r="I7" s="4" t="n">
        <f aca="false">Assumptions!I14</f>
        <v>17.5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10465.2</v>
      </c>
      <c r="D8" s="0" t="n">
        <f aca="false">D6*D7/100</f>
        <v>8427.24</v>
      </c>
      <c r="E8" s="0" t="n">
        <f aca="false">E6*E7/100</f>
        <v>8022.73248</v>
      </c>
      <c r="F8" s="0" t="n">
        <f aca="false">F6*F7/100</f>
        <v>8767.700496</v>
      </c>
      <c r="G8" s="0" t="n">
        <f aca="false">G6*G7/100</f>
        <v>9539.258139648</v>
      </c>
      <c r="H8" s="0" t="n">
        <f aca="false">H6*H7/100</f>
        <v>10338.1710088435</v>
      </c>
      <c r="I8" s="0" t="n">
        <f aca="false">I6*I7/100</f>
        <v>10855.0795592857</v>
      </c>
      <c r="J8" s="0" t="n">
        <f aca="false">J6*J7/100</f>
        <v>11388.529183342</v>
      </c>
      <c r="K8" s="0" t="n">
        <f aca="false">K6*K7/100</f>
        <v>11616.2997670089</v>
      </c>
      <c r="L8" s="0" t="n">
        <f aca="false">L6*L7/100</f>
        <v>11848.625762349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10465.2</v>
      </c>
      <c r="D11" s="0" t="n">
        <f aca="false">D8+D10+D24</f>
        <v>8427.24</v>
      </c>
      <c r="E11" s="0" t="n">
        <f aca="false">E8+E10+E24</f>
        <v>8022.73248</v>
      </c>
      <c r="F11" s="0" t="n">
        <f aca="false">F8+F10+F24</f>
        <v>8767.700496</v>
      </c>
      <c r="G11" s="0" t="n">
        <f aca="false">G8+G10+G24</f>
        <v>9539.258139648</v>
      </c>
      <c r="H11" s="0" t="n">
        <f aca="false">H8+H10+H24</f>
        <v>10338.1710088435</v>
      </c>
      <c r="I11" s="0" t="n">
        <f aca="false">I8+I10+I24</f>
        <v>10855.0795592857</v>
      </c>
      <c r="J11" s="0" t="n">
        <f aca="false">J8+J10+J24</f>
        <v>11388.529183342</v>
      </c>
      <c r="K11" s="0" t="n">
        <f aca="false">K8+K10+K24</f>
        <v>11616.2997670089</v>
      </c>
      <c r="L11" s="0" t="n">
        <f aca="false">L8+L10+L24</f>
        <v>11848.625762349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10465.2</v>
      </c>
      <c r="D13" s="0" t="n">
        <f aca="false">D11+D12</f>
        <v>8427.24</v>
      </c>
      <c r="E13" s="0" t="n">
        <f aca="false">E11+E12</f>
        <v>8022.73248</v>
      </c>
      <c r="F13" s="0" t="n">
        <f aca="false">F11+F12</f>
        <v>8767.700496</v>
      </c>
      <c r="G13" s="0" t="n">
        <f aca="false">G11+G12</f>
        <v>9539.258139648</v>
      </c>
      <c r="H13" s="0" t="n">
        <f aca="false">H11+H12</f>
        <v>10338.1710088435</v>
      </c>
      <c r="I13" s="0" t="n">
        <f aca="false">I11+I12</f>
        <v>10855.0795592857</v>
      </c>
      <c r="J13" s="0" t="n">
        <f aca="false">J11+J12</f>
        <v>11388.529183342</v>
      </c>
      <c r="K13" s="0" t="n">
        <f aca="false">K11+K12</f>
        <v>11616.2997670089</v>
      </c>
      <c r="L13" s="0" t="n">
        <f aca="false">L11+L12</f>
        <v>11848.625762349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15</v>
      </c>
      <c r="D14" s="4" t="n">
        <f aca="false">Assumptions!D19</f>
        <v>25</v>
      </c>
      <c r="E14" s="4" t="n">
        <f aca="false">Assumptions!E19</f>
        <v>30</v>
      </c>
      <c r="F14" s="4" t="n">
        <f aca="false">Assumptions!F19</f>
        <v>35</v>
      </c>
      <c r="G14" s="4" t="n">
        <f aca="false">Assumptions!G19</f>
        <v>35</v>
      </c>
      <c r="H14" s="4" t="n">
        <f aca="false">Assumptions!H19</f>
        <v>35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8895.42</v>
      </c>
      <c r="D15" s="0" t="n">
        <f aca="false">D13-MAX(0,D13)*D14/100</f>
        <v>6320.43</v>
      </c>
      <c r="E15" s="0" t="n">
        <f aca="false">E13-MAX(0,E13)*E14/100</f>
        <v>5615.912736</v>
      </c>
      <c r="F15" s="0" t="n">
        <f aca="false">F13-MAX(0,F13)*F14/100</f>
        <v>5699.0053224</v>
      </c>
      <c r="G15" s="0" t="n">
        <f aca="false">G13-MAX(0,G13)*G14/100</f>
        <v>6200.5177907712</v>
      </c>
      <c r="H15" s="0" t="n">
        <f aca="false">H13-MAX(0,H13)*H14/100</f>
        <v>6719.81115574829</v>
      </c>
      <c r="I15" s="0" t="n">
        <f aca="false">I13-MAX(0,I13)*I14/100</f>
        <v>7055.8017135357</v>
      </c>
      <c r="J15" s="0" t="n">
        <f aca="false">J13-MAX(0,J13)*J14/100</f>
        <v>7402.54396917231</v>
      </c>
      <c r="K15" s="0" t="n">
        <f aca="false">K13-MAX(0,K13)*K14/100</f>
        <v>7550.59484855576</v>
      </c>
      <c r="L15" s="0" t="n">
        <f aca="false">L13-MAX(0,L13)*L14/100</f>
        <v>7701.60674552688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-7711.2</v>
      </c>
      <c r="D17" s="4" t="n">
        <f aca="false">-D6*Assumptions!D18/100</f>
        <v>-7584.516</v>
      </c>
      <c r="E17" s="4" t="n">
        <f aca="false">-E6*Assumptions!E18/100</f>
        <v>-7449.68016</v>
      </c>
      <c r="F17" s="4" t="n">
        <f aca="false">-F6*Assumptions!F18/100</f>
        <v>-7306.41708</v>
      </c>
      <c r="G17" s="4" t="n">
        <f aca="false">-G6*Assumptions!G18/100</f>
        <v>-7154.443604736</v>
      </c>
      <c r="H17" s="4" t="n">
        <f aca="false">-H6*Assumptions!H18/100</f>
        <v>-6689.40477042816</v>
      </c>
      <c r="I17" s="4" t="n">
        <f aca="false">-I6*Assumptions!I18/100</f>
        <v>-6513.04773557142</v>
      </c>
      <c r="J17" s="4" t="n">
        <f aca="false">-J6*Assumptions!J18/100</f>
        <v>-6326.96065741223</v>
      </c>
      <c r="K17" s="4" t="n">
        <f aca="false">-K6*Assumptions!K18/100</f>
        <v>-6130.82487703245</v>
      </c>
      <c r="L17" s="4" t="n">
        <f aca="false">-L6*Assumptions!L18/100</f>
        <v>-6253.4413745731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1184.22</v>
      </c>
      <c r="D19" s="0" t="n">
        <f aca="false">D15+D16+D17+D18</f>
        <v>-1264.086</v>
      </c>
      <c r="E19" s="0" t="n">
        <f aca="false">E15+E16+E17+E18</f>
        <v>-1833.767424</v>
      </c>
      <c r="F19" s="0" t="n">
        <f aca="false">F15+F16+F17+F18</f>
        <v>-1607.4117576</v>
      </c>
      <c r="G19" s="0" t="n">
        <f aca="false">G15+G16+G17+G18</f>
        <v>-953.9258139648</v>
      </c>
      <c r="H19" s="0" t="n">
        <f aca="false">H15+H16+H17+H18</f>
        <v>30.4063853201278</v>
      </c>
      <c r="I19" s="0" t="n">
        <f aca="false">I15+I16+I17+I18</f>
        <v>542.753977964285</v>
      </c>
      <c r="J19" s="0" t="n">
        <f aca="false">J15+J16+J17+J18</f>
        <v>1075.58331176008</v>
      </c>
      <c r="K19" s="0" t="n">
        <f aca="false">K15+K16+K17+K18</f>
        <v>1419.7699715233</v>
      </c>
      <c r="L19" s="0" t="n">
        <f aca="false">L15+L16+L17+L18</f>
        <v>1448.16537095377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0.87719298245614</v>
      </c>
      <c r="D20" s="0" t="n">
        <f aca="false">1/(1+$B$27/100)^D4</f>
        <v>0.769467528470298</v>
      </c>
      <c r="E20" s="0" t="n">
        <f aca="false">1/(1+$B$27/100)^E4</f>
        <v>0.674971516202016</v>
      </c>
      <c r="F20" s="0" t="n">
        <f aca="false">1/(1+$B$27/100)^F4</f>
        <v>0.592080277370189</v>
      </c>
      <c r="G20" s="0" t="n">
        <f aca="false">1/(1+$B$27/100)^G4</f>
        <v>0.519368664359815</v>
      </c>
      <c r="H20" s="0" t="n">
        <f aca="false">1/(1+$B$27/100)^H4</f>
        <v>0.455586547684048</v>
      </c>
      <c r="I20" s="0" t="n">
        <f aca="false">1/(1+$B$27/100)^I4</f>
        <v>0.399637322529867</v>
      </c>
      <c r="J20" s="0" t="n">
        <f aca="false">1/(1+$B$27/100)^J4</f>
        <v>0.350559054850761</v>
      </c>
      <c r="K20" s="0" t="n">
        <f aca="false">1/(1+$B$27/100)^K4</f>
        <v>0.307507942851544</v>
      </c>
      <c r="L20" s="0" t="n">
        <f aca="false">1/(1+$B$27/100)^L4</f>
        <v>0.269743809518898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1038.78947368421</v>
      </c>
      <c r="D21" s="0" t="n">
        <f aca="false">D19*D20</f>
        <v>-972.673130193905</v>
      </c>
      <c r="E21" s="0" t="n">
        <f aca="false">E19*E20</f>
        <v>-1237.74077853915</v>
      </c>
      <c r="F21" s="0" t="n">
        <f aca="false">F19*F20</f>
        <v>-951.716799287911</v>
      </c>
      <c r="G21" s="0" t="n">
        <f aca="false">G19*G20</f>
        <v>-495.439175897248</v>
      </c>
      <c r="H21" s="0" t="n">
        <f aca="false">H19*H20</f>
        <v>13.852740115548</v>
      </c>
      <c r="I21" s="0" t="n">
        <f aca="false">I19*I20</f>
        <v>216.904746546081</v>
      </c>
      <c r="J21" s="0" t="n">
        <f aca="false">J19*J20</f>
        <v>377.055469183865</v>
      </c>
      <c r="K21" s="0" t="n">
        <f aca="false">K19*K20</f>
        <v>436.590543265527</v>
      </c>
      <c r="L21" s="0" t="n">
        <f aca="false">L19*L20</f>
        <v>390.633643974419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14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-1183.74326714856</v>
      </c>
    </row>
    <row r="31" customFormat="false" ht="15" hidden="false" customHeight="false" outlineLevel="0" collapsed="false">
      <c r="A31" s="0" t="s">
        <v>129</v>
      </c>
      <c r="B31" s="0" t="n">
        <f aca="false">L19</f>
        <v>1448.16537095377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12309.4056531071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26066.9766771679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12309.4056531071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3320.38597378257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2136.64270663401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2136.64270663401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0.0312854632065239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-0.944627498749515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0.0312854632065239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11362.5282951758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0.0236308902858728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54000</v>
      </c>
      <c r="C6" s="0" t="n">
        <f aca="false">B6*(1+C5/100)</f>
        <v>56700</v>
      </c>
      <c r="D6" s="0" t="n">
        <f aca="false">C6*(1+D5/100)</f>
        <v>59535</v>
      </c>
      <c r="E6" s="0" t="n">
        <f aca="false">D6*(1+E5/100)</f>
        <v>62511.75</v>
      </c>
      <c r="F6" s="0" t="n">
        <f aca="false">E6*(1+F5/100)</f>
        <v>65637.3375</v>
      </c>
      <c r="G6" s="0" t="n">
        <f aca="false">F6*(1+G5/100)</f>
        <v>68262.831</v>
      </c>
      <c r="H6" s="0" t="n">
        <f aca="false">G6*(1+H5/100)</f>
        <v>70993.34424</v>
      </c>
      <c r="I6" s="0" t="n">
        <f aca="false">H6*(1+I5/100)</f>
        <v>73833.0780096</v>
      </c>
      <c r="J6" s="0" t="n">
        <f aca="false">I6*(1+J5/100)</f>
        <v>76048.070349888</v>
      </c>
      <c r="K6" s="0" t="n">
        <f aca="false">J6*(1+K5/100)</f>
        <v>78329.5124603847</v>
      </c>
      <c r="L6" s="0" t="n">
        <f aca="false">K6*(1+L5/100)</f>
        <v>80679.3978341962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20.5</v>
      </c>
      <c r="D7" s="4" t="n">
        <f aca="false">Assumptions!D28</f>
        <v>22</v>
      </c>
      <c r="E7" s="4" t="n">
        <f aca="false">Assumptions!E28</f>
        <v>23</v>
      </c>
      <c r="F7" s="4" t="n">
        <f aca="false">Assumptions!F28</f>
        <v>24</v>
      </c>
      <c r="G7" s="4" t="n">
        <f aca="false">Assumptions!G28</f>
        <v>25</v>
      </c>
      <c r="H7" s="4" t="n">
        <f aca="false">Assumptions!H28</f>
        <v>25.5</v>
      </c>
      <c r="I7" s="4" t="n">
        <f aca="false">Assumptions!I28</f>
        <v>26</v>
      </c>
      <c r="J7" s="4" t="n">
        <f aca="false">Assumptions!J28</f>
        <v>26.5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11623.5</v>
      </c>
      <c r="D8" s="0" t="n">
        <f aca="false">D6*D7/100</f>
        <v>13097.7</v>
      </c>
      <c r="E8" s="0" t="n">
        <f aca="false">E6*E7/100</f>
        <v>14377.7025</v>
      </c>
      <c r="F8" s="0" t="n">
        <f aca="false">F6*F7/100</f>
        <v>15752.961</v>
      </c>
      <c r="G8" s="0" t="n">
        <f aca="false">G6*G7/100</f>
        <v>17065.70775</v>
      </c>
      <c r="H8" s="0" t="n">
        <f aca="false">H6*H7/100</f>
        <v>18103.3027812</v>
      </c>
      <c r="I8" s="0" t="n">
        <f aca="false">I6*I7/100</f>
        <v>19196.600282496</v>
      </c>
      <c r="J8" s="0" t="n">
        <f aca="false">J6*J7/100</f>
        <v>20152.7386427203</v>
      </c>
      <c r="K8" s="0" t="n">
        <f aca="false">K6*K7/100</f>
        <v>21148.9683643039</v>
      </c>
      <c r="L8" s="0" t="n">
        <f aca="false">L6*L7/100</f>
        <v>21783.437415233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11623.5</v>
      </c>
      <c r="D11" s="0" t="n">
        <f aca="false">D8+D10+D24</f>
        <v>13097.7</v>
      </c>
      <c r="E11" s="0" t="n">
        <f aca="false">E8+E10+E24</f>
        <v>14377.7025</v>
      </c>
      <c r="F11" s="0" t="n">
        <f aca="false">F8+F10+F24</f>
        <v>15752.961</v>
      </c>
      <c r="G11" s="0" t="n">
        <f aca="false">G8+G10+G24</f>
        <v>17065.70775</v>
      </c>
      <c r="H11" s="0" t="n">
        <f aca="false">H8+H10+H24</f>
        <v>18103.3027812</v>
      </c>
      <c r="I11" s="0" t="n">
        <f aca="false">I8+I10+I24</f>
        <v>19196.600282496</v>
      </c>
      <c r="J11" s="0" t="n">
        <f aca="false">J8+J10+J24</f>
        <v>20152.7386427203</v>
      </c>
      <c r="K11" s="0" t="n">
        <f aca="false">K8+K10+K24</f>
        <v>21148.9683643039</v>
      </c>
      <c r="L11" s="0" t="n">
        <f aca="false">L8+L10+L24</f>
        <v>21783.437415233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11623.5</v>
      </c>
      <c r="D13" s="0" t="n">
        <f aca="false">D11+D12</f>
        <v>13097.7</v>
      </c>
      <c r="E13" s="0" t="n">
        <f aca="false">E11+E12</f>
        <v>14377.7025</v>
      </c>
      <c r="F13" s="0" t="n">
        <f aca="false">F11+F12</f>
        <v>15752.961</v>
      </c>
      <c r="G13" s="0" t="n">
        <f aca="false">G11+G12</f>
        <v>17065.70775</v>
      </c>
      <c r="H13" s="0" t="n">
        <f aca="false">H11+H12</f>
        <v>18103.3027812</v>
      </c>
      <c r="I13" s="0" t="n">
        <f aca="false">I11+I12</f>
        <v>19196.600282496</v>
      </c>
      <c r="J13" s="0" t="n">
        <f aca="false">J11+J12</f>
        <v>20152.7386427203</v>
      </c>
      <c r="K13" s="0" t="n">
        <f aca="false">K11+K12</f>
        <v>21148.9683643039</v>
      </c>
      <c r="L13" s="0" t="n">
        <f aca="false">L11+L12</f>
        <v>21783.437415233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8</v>
      </c>
      <c r="D14" s="4" t="n">
        <f aca="false">Assumptions!D33</f>
        <v>15</v>
      </c>
      <c r="E14" s="4" t="n">
        <f aca="false">Assumptions!E33</f>
        <v>20</v>
      </c>
      <c r="F14" s="4" t="n">
        <f aca="false">Assumptions!F33</f>
        <v>25</v>
      </c>
      <c r="G14" s="4" t="n">
        <f aca="false">Assumptions!G33</f>
        <v>28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10693.62</v>
      </c>
      <c r="D15" s="0" t="n">
        <f aca="false">D13-MAX(0,D13)*D14/100</f>
        <v>11133.045</v>
      </c>
      <c r="E15" s="0" t="n">
        <f aca="false">E13-MAX(0,E13)*E14/100</f>
        <v>11502.162</v>
      </c>
      <c r="F15" s="0" t="n">
        <f aca="false">F13-MAX(0,F13)*F14/100</f>
        <v>11814.72075</v>
      </c>
      <c r="G15" s="0" t="n">
        <f aca="false">G13-MAX(0,G13)*G14/100</f>
        <v>12287.30958</v>
      </c>
      <c r="H15" s="0" t="n">
        <f aca="false">H13-MAX(0,H13)*H14/100</f>
        <v>12672.31194684</v>
      </c>
      <c r="I15" s="0" t="n">
        <f aca="false">I13-MAX(0,I13)*I14/100</f>
        <v>13437.6201977472</v>
      </c>
      <c r="J15" s="0" t="n">
        <f aca="false">J13-MAX(0,J13)*J14/100</f>
        <v>14106.9170499042</v>
      </c>
      <c r="K15" s="0" t="n">
        <f aca="false">K13-MAX(0,K13)*K14/100</f>
        <v>14804.2778550127</v>
      </c>
      <c r="L15" s="0" t="n">
        <f aca="false">L13-MAX(0,L13)*L14/100</f>
        <v>15248.4061906631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-9072</v>
      </c>
      <c r="D17" s="4" t="n">
        <f aca="false">-D6*Assumptions!D32/100</f>
        <v>-9227.925</v>
      </c>
      <c r="E17" s="4" t="n">
        <f aca="false">-E6*Assumptions!E32/100</f>
        <v>-9376.7625</v>
      </c>
      <c r="F17" s="4" t="n">
        <f aca="false">-F6*Assumptions!F32/100</f>
        <v>-9517.4139375</v>
      </c>
      <c r="G17" s="4" t="n">
        <f aca="false">-G6*Assumptions!G32/100</f>
        <v>-9556.79634</v>
      </c>
      <c r="H17" s="4" t="n">
        <f aca="false">-H6*Assumptions!H32/100</f>
        <v>-9584.1014724</v>
      </c>
      <c r="I17" s="4" t="n">
        <f aca="false">-I6*Assumptions!I32/100</f>
        <v>-9598.300141248</v>
      </c>
      <c r="J17" s="4" t="n">
        <f aca="false">-J6*Assumptions!J32/100</f>
        <v>-9506.008793736</v>
      </c>
      <c r="K17" s="4" t="n">
        <f aca="false">-K6*Assumptions!K32/100</f>
        <v>-9399.54149524616</v>
      </c>
      <c r="L17" s="4" t="n">
        <f aca="false">-L6*Assumptions!L32/100</f>
        <v>-9681.52774010354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1621.62</v>
      </c>
      <c r="D19" s="0" t="n">
        <f aca="false">D15+D16+D17+D18</f>
        <v>1905.12</v>
      </c>
      <c r="E19" s="0" t="n">
        <f aca="false">E15+E16+E17+E18</f>
        <v>2125.3995</v>
      </c>
      <c r="F19" s="0" t="n">
        <f aca="false">F15+F16+F17+F18</f>
        <v>2297.3068125</v>
      </c>
      <c r="G19" s="0" t="n">
        <f aca="false">G15+G16+G17+G18</f>
        <v>2730.51324</v>
      </c>
      <c r="H19" s="0" t="n">
        <f aca="false">H15+H16+H17+H18</f>
        <v>3088.21047444</v>
      </c>
      <c r="I19" s="0" t="n">
        <f aca="false">I15+I16+I17+I18</f>
        <v>3839.3200564992</v>
      </c>
      <c r="J19" s="0" t="n">
        <f aca="false">J15+J16+J17+J18</f>
        <v>4600.90825616822</v>
      </c>
      <c r="K19" s="0" t="n">
        <f aca="false">K15+K16+K17+K18</f>
        <v>5404.73635976654</v>
      </c>
      <c r="L19" s="0" t="n">
        <f aca="false">L15+L16+L17+L18</f>
        <v>5566.87845055954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0.884955752212389</v>
      </c>
      <c r="D20" s="0" t="n">
        <f aca="false">1/(1+$B$27/100)^D4</f>
        <v>0.783146683373796</v>
      </c>
      <c r="E20" s="0" t="n">
        <f aca="false">1/(1+$B$27/100)^E4</f>
        <v>0.693050162277696</v>
      </c>
      <c r="F20" s="0" t="n">
        <f aca="false">1/(1+$B$27/100)^F4</f>
        <v>0.613318727679377</v>
      </c>
      <c r="G20" s="0" t="n">
        <f aca="false">1/(1+$B$27/100)^G4</f>
        <v>0.542759935999449</v>
      </c>
      <c r="H20" s="0" t="n">
        <f aca="false">1/(1+$B$27/100)^H4</f>
        <v>0.48031852743314</v>
      </c>
      <c r="I20" s="0" t="n">
        <f aca="false">1/(1+$B$27/100)^I4</f>
        <v>0.425060643746142</v>
      </c>
      <c r="J20" s="0" t="n">
        <f aca="false">1/(1+$B$27/100)^J4</f>
        <v>0.37615986172225</v>
      </c>
      <c r="K20" s="0" t="n">
        <f aca="false">1/(1+$B$27/100)^K4</f>
        <v>0.332884833382522</v>
      </c>
      <c r="L20" s="0" t="n">
        <f aca="false">1/(1+$B$27/100)^L4</f>
        <v>0.294588348126126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1435.06194690266</v>
      </c>
      <c r="D21" s="0" t="n">
        <f aca="false">D19*D20</f>
        <v>1491.98840942909</v>
      </c>
      <c r="E21" s="0" t="n">
        <f aca="false">E19*E20</f>
        <v>1473.00846837993</v>
      </c>
      <c r="F21" s="0" t="n">
        <f aca="false">F19*F20</f>
        <v>1408.98129133166</v>
      </c>
      <c r="G21" s="0" t="n">
        <f aca="false">G19*G20</f>
        <v>1482.01319138805</v>
      </c>
      <c r="H21" s="0" t="n">
        <f aca="false">H19*H20</f>
        <v>1483.32470748662</v>
      </c>
      <c r="I21" s="0" t="n">
        <f aca="false">I19*I20</f>
        <v>1631.94385476302</v>
      </c>
      <c r="J21" s="0" t="n">
        <f aca="false">J19*J20</f>
        <v>1730.677013437</v>
      </c>
      <c r="K21" s="0" t="n">
        <f aca="false">K19*K20</f>
        <v>1799.15476259734</v>
      </c>
      <c r="L21" s="0" t="n">
        <f aca="false">L19*L20</f>
        <v>1639.93752696926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13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15576.0911726846</v>
      </c>
    </row>
    <row r="31" customFormat="false" ht="15" hidden="false" customHeight="false" outlineLevel="0" collapsed="false">
      <c r="A31" s="0" t="s">
        <v>129</v>
      </c>
      <c r="B31" s="0" t="n">
        <f aca="false">L19</f>
        <v>5566.87845055954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57338.8480407633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100203.812110072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57338.8480407633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16891.3565277834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32467.447700468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32467.447700468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0.475399624508546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-0.158584735383105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0.475399624508546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47782.3733673027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0.37960521738773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83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54000</v>
      </c>
      <c r="C6" s="0" t="n">
        <f aca="false">B6*(1+C5/100)</f>
        <v>57780</v>
      </c>
      <c r="D6" s="0" t="n">
        <f aca="false">C6*(1+D5/100)</f>
        <v>61824.6</v>
      </c>
      <c r="E6" s="0" t="n">
        <f aca="false">D6*(1+E5/100)</f>
        <v>66152.322</v>
      </c>
      <c r="F6" s="0" t="n">
        <f aca="false">E6*(1+F5/100)</f>
        <v>70782.98454</v>
      </c>
      <c r="G6" s="0" t="n">
        <f aca="false">F6*(1+G5/100)</f>
        <v>74322.133767</v>
      </c>
      <c r="H6" s="0" t="n">
        <f aca="false">G6*(1+H5/100)</f>
        <v>78038.24045535</v>
      </c>
      <c r="I6" s="0" t="n">
        <f aca="false">H6*(1+I5/100)</f>
        <v>81940.1524781175</v>
      </c>
      <c r="J6" s="0" t="n">
        <f aca="false">I6*(1+J5/100)</f>
        <v>85217.7585772422</v>
      </c>
      <c r="K6" s="0" t="n">
        <f aca="false">J6*(1+K5/100)</f>
        <v>88626.4689203319</v>
      </c>
      <c r="L6" s="0" t="n">
        <f aca="false">K6*(1+L5/100)</f>
        <v>92171.5276771452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21</v>
      </c>
      <c r="D7" s="4" t="n">
        <f aca="false">Assumptions!D42</f>
        <v>24</v>
      </c>
      <c r="E7" s="4" t="n">
        <f aca="false">Assumptions!E42</f>
        <v>27</v>
      </c>
      <c r="F7" s="4" t="n">
        <f aca="false">Assumptions!F42</f>
        <v>29</v>
      </c>
      <c r="G7" s="4" t="n">
        <f aca="false">Assumptions!G42</f>
        <v>31</v>
      </c>
      <c r="H7" s="4" t="n">
        <f aca="false">Assumptions!H42</f>
        <v>32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12133.8</v>
      </c>
      <c r="D8" s="0" t="n">
        <f aca="false">D6*D7/100</f>
        <v>14837.904</v>
      </c>
      <c r="E8" s="0" t="n">
        <f aca="false">E6*E7/100</f>
        <v>17861.12694</v>
      </c>
      <c r="F8" s="0" t="n">
        <f aca="false">F6*F7/100</f>
        <v>20527.0655166</v>
      </c>
      <c r="G8" s="0" t="n">
        <f aca="false">G6*G7/100</f>
        <v>23039.86146777</v>
      </c>
      <c r="H8" s="0" t="n">
        <f aca="false">H6*H7/100</f>
        <v>24972.236945712</v>
      </c>
      <c r="I8" s="0" t="n">
        <f aca="false">I6*I7/100</f>
        <v>27040.2503177788</v>
      </c>
      <c r="J8" s="0" t="n">
        <f aca="false">J6*J7/100</f>
        <v>28121.8603304899</v>
      </c>
      <c r="K8" s="0" t="n">
        <f aca="false">K6*K7/100</f>
        <v>29246.7347437095</v>
      </c>
      <c r="L8" s="0" t="n">
        <f aca="false">L6*L7/100</f>
        <v>30416.6041334579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12133.8</v>
      </c>
      <c r="D11" s="0" t="n">
        <f aca="false">D8+D10+D24</f>
        <v>14837.904</v>
      </c>
      <c r="E11" s="0" t="n">
        <f aca="false">E8+E10+E24</f>
        <v>17861.12694</v>
      </c>
      <c r="F11" s="0" t="n">
        <f aca="false">F8+F10+F24</f>
        <v>20527.0655166</v>
      </c>
      <c r="G11" s="0" t="n">
        <f aca="false">G8+G10+G24</f>
        <v>23039.86146777</v>
      </c>
      <c r="H11" s="0" t="n">
        <f aca="false">H8+H10+H24</f>
        <v>24972.236945712</v>
      </c>
      <c r="I11" s="0" t="n">
        <f aca="false">I8+I10+I24</f>
        <v>27040.2503177788</v>
      </c>
      <c r="J11" s="0" t="n">
        <f aca="false">J8+J10+J24</f>
        <v>28121.8603304899</v>
      </c>
      <c r="K11" s="0" t="n">
        <f aca="false">K8+K10+K24</f>
        <v>29246.7347437095</v>
      </c>
      <c r="L11" s="0" t="n">
        <f aca="false">L8+L10+L24</f>
        <v>30416.6041334579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12133.8</v>
      </c>
      <c r="D13" s="0" t="n">
        <f aca="false">D11+D12</f>
        <v>14837.904</v>
      </c>
      <c r="E13" s="0" t="n">
        <f aca="false">E11+E12</f>
        <v>17861.12694</v>
      </c>
      <c r="F13" s="0" t="n">
        <f aca="false">F11+F12</f>
        <v>20527.0655166</v>
      </c>
      <c r="G13" s="0" t="n">
        <f aca="false">G11+G12</f>
        <v>23039.86146777</v>
      </c>
      <c r="H13" s="0" t="n">
        <f aca="false">H11+H12</f>
        <v>24972.236945712</v>
      </c>
      <c r="I13" s="0" t="n">
        <f aca="false">I11+I12</f>
        <v>27040.2503177788</v>
      </c>
      <c r="J13" s="0" t="n">
        <f aca="false">J11+J12</f>
        <v>28121.8603304899</v>
      </c>
      <c r="K13" s="0" t="n">
        <f aca="false">K11+K12</f>
        <v>29246.7347437095</v>
      </c>
      <c r="L13" s="0" t="n">
        <f aca="false">L11+L12</f>
        <v>30416.6041334579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5</v>
      </c>
      <c r="D14" s="4" t="n">
        <f aca="false">Assumptions!D47</f>
        <v>12</v>
      </c>
      <c r="E14" s="4" t="n">
        <f aca="false">Assumptions!E47</f>
        <v>18</v>
      </c>
      <c r="F14" s="4" t="n">
        <f aca="false">Assumptions!F47</f>
        <v>22</v>
      </c>
      <c r="G14" s="4" t="n">
        <f aca="false">Assumptions!G47</f>
        <v>25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11527.11</v>
      </c>
      <c r="D15" s="0" t="n">
        <f aca="false">D13-MAX(0,D13)*D14/100</f>
        <v>13057.35552</v>
      </c>
      <c r="E15" s="0" t="n">
        <f aca="false">E13-MAX(0,E13)*E14/100</f>
        <v>14646.1240908</v>
      </c>
      <c r="F15" s="0" t="n">
        <f aca="false">F13-MAX(0,F13)*F14/100</f>
        <v>16011.111102948</v>
      </c>
      <c r="G15" s="0" t="n">
        <f aca="false">G13-MAX(0,G13)*G14/100</f>
        <v>17279.8961008275</v>
      </c>
      <c r="H15" s="0" t="n">
        <f aca="false">H13-MAX(0,H13)*H14/100</f>
        <v>17980.0106009126</v>
      </c>
      <c r="I15" s="0" t="n">
        <f aca="false">I13-MAX(0,I13)*I14/100</f>
        <v>19468.9802288007</v>
      </c>
      <c r="J15" s="0" t="n">
        <f aca="false">J13-MAX(0,J13)*J14/100</f>
        <v>20247.7394379528</v>
      </c>
      <c r="K15" s="0" t="n">
        <f aca="false">K13-MAX(0,K13)*K14/100</f>
        <v>21057.6490154709</v>
      </c>
      <c r="L15" s="0" t="n">
        <f aca="false">L13-MAX(0,L13)*L14/100</f>
        <v>21899.9549760897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-7511.4</v>
      </c>
      <c r="D17" s="4" t="n">
        <f aca="false">-D6*Assumptions!D46/100</f>
        <v>-7728.075</v>
      </c>
      <c r="E17" s="4" t="n">
        <f aca="false">-E6*Assumptions!E46/100</f>
        <v>-7938.27864</v>
      </c>
      <c r="F17" s="4" t="n">
        <f aca="false">-F6*Assumptions!F46/100</f>
        <v>-8140.0432221</v>
      </c>
      <c r="G17" s="4" t="n">
        <f aca="false">-G6*Assumptions!G46/100</f>
        <v>-8175.43471437</v>
      </c>
      <c r="H17" s="4" t="n">
        <f aca="false">-H6*Assumptions!H46/100</f>
        <v>-8194.01524781175</v>
      </c>
      <c r="I17" s="4" t="n">
        <f aca="false">-I6*Assumptions!I46/100</f>
        <v>-8194.01524781175</v>
      </c>
      <c r="J17" s="4" t="n">
        <f aca="false">-J6*Assumptions!J46/100</f>
        <v>-8095.68706483801</v>
      </c>
      <c r="K17" s="4" t="n">
        <f aca="false">-K6*Assumptions!K46/100</f>
        <v>-7976.38220282987</v>
      </c>
      <c r="L17" s="4" t="n">
        <f aca="false">-L6*Assumptions!L46/100</f>
        <v>-8295.43749094307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4015.71</v>
      </c>
      <c r="D19" s="0" t="n">
        <f aca="false">D15+D16+D17+D18</f>
        <v>5329.28052</v>
      </c>
      <c r="E19" s="0" t="n">
        <f aca="false">E15+E16+E17+E18</f>
        <v>6707.8454508</v>
      </c>
      <c r="F19" s="0" t="n">
        <f aca="false">F15+F16+F17+F18</f>
        <v>7871.067880848</v>
      </c>
      <c r="G19" s="0" t="n">
        <f aca="false">G15+G16+G17+G18</f>
        <v>9104.4613864575</v>
      </c>
      <c r="H19" s="0" t="n">
        <f aca="false">H15+H16+H17+H18</f>
        <v>9785.99535310089</v>
      </c>
      <c r="I19" s="0" t="n">
        <f aca="false">I15+I16+I17+I18</f>
        <v>11274.964980989</v>
      </c>
      <c r="J19" s="0" t="n">
        <f aca="false">J15+J16+J17+J18</f>
        <v>12152.0523731147</v>
      </c>
      <c r="K19" s="0" t="n">
        <f aca="false">K15+K16+K17+K18</f>
        <v>13081.266812641</v>
      </c>
      <c r="L19" s="0" t="n">
        <f aca="false">L15+L16+L17+L18</f>
        <v>13604.5174851466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3585.45535714286</v>
      </c>
      <c r="D21" s="0" t="n">
        <f aca="false">D19*D20</f>
        <v>4248.46980229592</v>
      </c>
      <c r="E21" s="0" t="n">
        <f aca="false">E19*E20</f>
        <v>4774.51189726449</v>
      </c>
      <c r="F21" s="0" t="n">
        <f aca="false">F19*F20</f>
        <v>5002.20593463051</v>
      </c>
      <c r="G21" s="0" t="n">
        <f aca="false">G19*G20</f>
        <v>5166.11589752898</v>
      </c>
      <c r="H21" s="0" t="n">
        <f aca="false">H19*H20</f>
        <v>4957.88979757756</v>
      </c>
      <c r="I21" s="0" t="n">
        <f aca="false">I19*I20</f>
        <v>5100.22156210131</v>
      </c>
      <c r="J21" s="0" t="n">
        <f aca="false">J19*J20</f>
        <v>4908.01013902793</v>
      </c>
      <c r="K21" s="0" t="n">
        <f aca="false">K19*K20</f>
        <v>4717.23595209717</v>
      </c>
      <c r="L21" s="0" t="n">
        <f aca="false">L19*L20</f>
        <v>4380.29052694738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46840.4068666141</v>
      </c>
    </row>
    <row r="31" customFormat="false" ht="15" hidden="false" customHeight="false" outlineLevel="0" collapsed="false">
      <c r="A31" s="0" t="s">
        <v>129</v>
      </c>
      <c r="B31" s="0" t="n">
        <f aca="false">L19</f>
        <v>13604.5174851466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155696.144552234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244881.314732639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155696.144552234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50129.9915861755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96970.3984527896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96970.3984527896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1.41987419024119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1.5130516641437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1.41987419024119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116772.108414175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1.01539631896543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0.0312854632065239</v>
      </c>
      <c r="C4" s="0" t="n">
        <f aca="false">B4/Assumptions!$B$2-1</f>
        <v>-0.944627498749515</v>
      </c>
      <c r="D4" s="4" t="n">
        <f aca="false">Assumptions!$B$24</f>
        <v>0.35</v>
      </c>
      <c r="E4" s="4" t="n">
        <f aca="false">DCF_Bear!$B$43</f>
        <v>0.0312854632065239</v>
      </c>
      <c r="F4" s="4" t="n">
        <f aca="false">DCF_Bear!$B$47</f>
        <v>0.0236308902858728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0.475399624508546</v>
      </c>
      <c r="C5" s="0" t="n">
        <f aca="false">B5/Assumptions!$B$2-1</f>
        <v>-0.158584735383105</v>
      </c>
      <c r="D5" s="4" t="n">
        <f aca="false">Assumptions!$B$38</f>
        <v>0.45</v>
      </c>
      <c r="E5" s="4" t="n">
        <f aca="false">DCF_Base!$B$43</f>
        <v>0.475399624508546</v>
      </c>
      <c r="F5" s="4" t="n">
        <f aca="false">DCF_Base!$B$47</f>
        <v>0.37960521738773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1.41987419024119</v>
      </c>
      <c r="C6" s="0" t="n">
        <f aca="false">B6/Assumptions!$B$2-1</f>
        <v>1.5130516641437</v>
      </c>
      <c r="D6" s="4" t="n">
        <f aca="false">Assumptions!$B$52</f>
        <v>0.2</v>
      </c>
      <c r="E6" s="4" t="n">
        <f aca="false">DCF_Bull!$B$43</f>
        <v>1.41987419024119</v>
      </c>
      <c r="F6" s="4" t="n">
        <f aca="false">DCF_Bull!$B$47</f>
        <v>1.01539631896543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0.508854581199367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0.508854581199367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-0.110336864155371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0.382172423217621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0.872578469643179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0.729028913135677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0.622409167682264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0.540340136184434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0.475399624508546</v>
      </c>
      <c r="C19" s="3" t="n">
        <v>13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0.37960521738773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0.578152050844908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0.598978929356605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0.622409167682264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0.648963437784679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0.679311175044581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0.507680021145814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0.523150601953581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0.540340136184434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0.559551968560093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0.581165279982709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0.450732203447408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0.462478594428902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0.475399624508546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0.489680763017625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0.50554869469438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0.403879635757798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0.412961388620761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0.422868755380356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0.433719680878961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0.445655698927426</v>
      </c>
    </row>
    <row r="28" customFormat="false" ht="15" hidden="false" customHeight="false" outlineLevel="0" collapsed="false">
      <c r="A28" s="3" t="n">
        <v>15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0.364752112016234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0.371881602594552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0.37960521738773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0.388000450858576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0.397158887372226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2026-10-22T05:22:16Z</dcterms:created>
  <dc:creator>openpyxl</dc:creator>
  <dc:description/>
  <dc:language>en-NZ</dc:language>
  <cp:lastModifiedBy/>
  <dcterms:modified xsi:type="dcterms:W3CDTF">2026-10-22T05:22:16Z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