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_Info" sheetId="1" state="visible" r:id="rId3"/>
    <sheet name="Actuals_Data"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<sst xmlns="http://schemas.openxmlformats.org/spreadsheetml/2006/main" count="295" uniqueCount="183">
  <si>
    <t xml:space="preserve">WISE GROUP (WSE) - DCF MODEL</t>
  </si>
  <si>
    <t xml:space="preserve">Lineage</t>
  </si>
  <si>
    <t xml:space="preserve">WISE v1.0, built 17-Aug-2026 by Claude (Fable 5) with Stephen via claude.ai, at Stephen's request (/equity-deep-dive WISE.L -&gt; tech-dcf-workbook engine). openpyxl build; recalculated in LibreOffice; key outputs hand-checked against independent calculations. Fresh build - no prior WISE workbook existed.</t>
  </si>
  <si>
    <t xml:space="preserve">DATA VINTAGE</t>
  </si>
  <si>
    <t xml:space="preserve">FY0 anchors (FY26, ended 31-Mar-26)</t>
  </si>
  <si>
    <t xml:space="preserve">FY26 results release + full US GAAP statements, 25-Jun-26 (GlobeNewswire / RNS via Investegate; Form 20-F filed with SEC 25-Jun-26). Net revenue $2,502.8m (+19%); operating income $590.7m; D&amp;A $14.4m; SBC $95.5m -&gt; adj EBITDA $700.6m = 28.0% of net revenue; SBC 3.8%. First year in USD under US GAAP - prior-year GBP/IFRS figures are not directly comparable.</t>
  </si>
  <si>
    <t xml:space="preserve">FY1 guidance (FY27, ending 31-Mar-27)</t>
  </si>
  <si>
    <t xml:space="preserve">FY26 release, 25-Jun-26: net revenue growth around the middle of the 15-20% medium-term range on a constant-currency basis; income-before-tax margin around the top of the 20-25% range. Take rate guided down 1-2bps per quarter (FY26 earnings call, CFO Thomassin). Q1 FY27 actuals (16-Jul-26): net revenue $714.0m (+25% YoY), transaction revenue $540.9m (+27%), take rate 50bps, volume $69.3bn (+26%, +24% cc).</t>
  </si>
  <si>
    <t xml:space="preserve">Balance sheet / shares / price</t>
  </si>
  <si>
    <t xml:space="preserve">Net OWN cash $1,796.0m from the 31-Mar-26 US GAAP balance sheet: (cash $27,802.2m + AFS securities $4,582.7m - funds payable/due to customers $30,254.2m) - debt $334.7m (EMTN GBP250m 5.10% 2030 $328.7m + ST $6.0m). Cross-checks to the dollar against an equity-based build (equity $1,925.2m less non-cash own assets net of non-debt liabilities). Excludes ALL customer funds and lease liabilities. Diluted shares 1,029.7m (FY26 weighted diluted; Class A 1,025.7m issued, Class B 208.9m non-economic). Price $12.93 = Nasdaq close Thu 13-Aug-26 (Yahoo/Robinhood); LSE line ~946p same week.</t>
  </si>
  <si>
    <t xml:space="preserve">METHODOLOGY</t>
  </si>
  <si>
    <t xml:space="preserve">Owner-FCF basis</t>
  </si>
  <si>
    <t xml:space="preserve">SBC (incl. equity-award taxes) fully expensed and projected explicitly per scenario-year as % of net revenue (3.5-4.0%; FY26 actual 3.8%). INTEREST-INCOME RULE, adapted for Wise: interest on Wise's OWN cash ($63.0m FY26, in Other income) is EXCLUDED from flows and the own-cash pile is added once in the bridge; net interest income on CUSTOMER balances ($609.2m FY26, inside net revenue) is RETAINED in flows because its funding asset is customer money that is excluded from the bridge - excluded income &lt;-&gt; excluded asset, retained income &lt;-&gt; retained (customer) asset, so nothing is double-counted (pitfalls 1 and 15). The planned giveback of interest above the first 1% yield (management: steady-state IBT margin 15-20% vs 26% reported) is carried in the REVENUE growth path, since US GAAP net revenue nets interest paid to customers. Cash tax 25% flat (UK statutory 25%; FY26 ETR 24.5%; no NOL shelter - the house 21% ramp is US-specific and the normalization target here IS the UK rate). D&amp;A 0.7% and capex 0.9% of revenue (FY26 actuals 0.6%/0.9%; no capitalized software). Working capital 0% of the YoY revenue increase: own WC is roughly neutral and the customer float lives in the NII driver, never in WC; reported own-WC lines show a drag partly from collateral deposits scaling with volume - a -10% capture would cost roughly $0.4-0.5/share (candidate refinement, kept at 0% per the signed-off config). Leases: ASC 842 operating treatment - full lease cost sits inside adjusted EBITDA and lease liabilities are EXCLUDED from net cash (pitfall 13, treatment B). Diluted shares held FLAT at 1,029.7m (SBC expensing substitutes for grant dilution; EST purchases and buybacks treated as value-neutral; Class B shares are votes-only). TV = Gordon capped at 20x terminal owner FCF, floored at zero. End-of-year discounting, 10-year horizon, FY1 = FY27 (ending 31-Mar-27). WACC 10.5% (USD house default; USD reporting currency). Street-convention values (SBC as non-cash) shown as memos - the house/street pair is the accounting-regime price band. Risk lives in the scenario flows and probability weights, not in ad-hoc WACC premia (pitfall 16).</t>
  </si>
  <si>
    <t xml:space="preserve">Scenario drivers</t>
  </si>
  <si>
    <t xml:space="preserve">Scenario axes, ten-year paths and 15/50/35 weights were proposed by Claude in the 17-Aug-2026 WISE deep-dive session (equity-deep-dive skill, Stage 2 checkpoint) and confirmed by Stephen in the same session. Mapping note: the checkpoint framed scenarios partly in management's IBT-margin terms; because US GAAP net revenue nets interest paid to customers, the interest-giveback drag is carried in the REVENUE growth path, and operating margins are correspondingly held at the top of the guided band - same owner-FCF economics, allocated to the correct line.</t>
  </si>
  <si>
    <t xml:space="preserve">UPDATE INSTRUCTIONS</t>
  </si>
  <si>
    <t xml:space="preserve">Each quarter</t>
  </si>
  <si>
    <t xml:space="preserve">Refresh price, net own cash (+date; re-derive as cash + AFS - customer liability - debt from the latest balance sheet), diluted shares, buyback/EST pace, and the guidance-year driver columns; reassess blue rows 5/7/9/14 per scenario only where new evidence exists (watch: quarterly take-rate cadence vs the 1-2bps guide, net-interest-income line vs central-bank rates, interest-payout regulatory unlocks, Belgian prosecutor outcome, OCC/charter developments); add/extend the Reconciliation tab; increment the version above.</t>
  </si>
  <si>
    <t xml:space="preserve">Conventions</t>
  </si>
  <si>
    <t xml:space="preserve">Blue = hardcoded input. Yellow = key levers. Black = formula. Green = cross-sheet link. Fiscal years end 31 March (FY2027 = year ending 31-Mar-2027). All $ in millions unless stated.</t>
  </si>
  <si>
    <t xml:space="preserve">WSE - Reported Actuals &amp; Guidance (all hardcoded, blue)</t>
  </si>
  <si>
    <t xml:space="preserve">US GAAP, $m unless stated. Fiscal years end 31 March. Sources per row in column G.</t>
  </si>
  <si>
    <t xml:space="preserve">ANNUAL P&amp;L (US GAAP)</t>
  </si>
  <si>
    <t xml:space="preserve">FY2024A</t>
  </si>
  <si>
    <t xml:space="preserve">FY2025A</t>
  </si>
  <si>
    <t xml:space="preserve">FY2026A</t>
  </si>
  <si>
    <t xml:space="preserve">FY26 results release + consolidated statements, 25-Jun-26 (RNS/Investegate; 20-F, SEC EDGAR)</t>
  </si>
  <si>
    <t xml:space="preserve">Cross-border revenue</t>
  </si>
  <si>
    <t xml:space="preserve">Card revenue</t>
  </si>
  <si>
    <t xml:space="preserve">Other revenue</t>
  </si>
  <si>
    <t xml:space="preserve">Transaction revenue</t>
  </si>
  <si>
    <t xml:space="preserve">Interest income on customer balances</t>
  </si>
  <si>
    <t xml:space="preserve">Interest expense on customer liabilities</t>
  </si>
  <si>
    <t xml:space="preserve">Net revenue</t>
  </si>
  <si>
    <t xml:space="preserve">Total operating expenses</t>
  </si>
  <si>
    <t xml:space="preserve">Operating income</t>
  </si>
  <si>
    <t xml:space="preserve">Other income/(loss), net</t>
  </si>
  <si>
    <t xml:space="preserve">  of which interest on OWN cash (excluded from flows)</t>
  </si>
  <si>
    <t xml:space="preserve">Income before tax</t>
  </si>
  <si>
    <t xml:space="preserve">Net income</t>
  </si>
  <si>
    <t xml:space="preserve">Diluted EPS ($)</t>
  </si>
  <si>
    <t xml:space="preserve">Weighted diluted shares (mm)</t>
  </si>
  <si>
    <t xml:space="preserve">Share-based compensation</t>
  </si>
  <si>
    <t xml:space="preserve">Depreciation &amp; amortization</t>
  </si>
  <si>
    <t xml:space="preserve">Capex (PP&amp;E + intangibles)</t>
  </si>
  <si>
    <t xml:space="preserve">Effective tax rate</t>
  </si>
  <si>
    <t xml:space="preserve">QUARTERLY KPIs</t>
  </si>
  <si>
    <t xml:space="preserve">Q1FY26A</t>
  </si>
  <si>
    <t xml:space="preserve">Q2FY26A</t>
  </si>
  <si>
    <t xml:space="preserve">Q3FY26A</t>
  </si>
  <si>
    <t xml:space="preserve">Q4FY26A</t>
  </si>
  <si>
    <t xml:space="preserve">Q1FY27A</t>
  </si>
  <si>
    <t xml:space="preserve">FY26 results historical-quarterly table (25-Jun-26); Q1 FY27 trading update (16-Jul-26)</t>
  </si>
  <si>
    <t xml:space="preserve">Cross-border volume ($bn)</t>
  </si>
  <si>
    <t xml:space="preserve">Cross-border take rate</t>
  </si>
  <si>
    <t xml:space="preserve">Active customers (mm, quarterly)</t>
  </si>
  <si>
    <t xml:space="preserve">Customer balances, on-B/S ($bn)</t>
  </si>
  <si>
    <t xml:space="preserve">Card and other revenue</t>
  </si>
  <si>
    <t xml:space="preserve">Note</t>
  </si>
  <si>
    <t xml:space="preserve">Quarterly transaction revenue = cross-border + card/other; quarterly net revenue adds NII on customer balances less interest paid to customers. Q1 FY27 customer HOLDINGS (incl. off-B/S Assets) $41.2bn (+31%); FY26 holdings $39.0bn vs on-B/S balances $30.0bn.</t>
  </si>
  <si>
    <t xml:space="preserve">BALANCE SHEET &amp; OWN-CASH DERIVATION (31-Mar-26)</t>
  </si>
  <si>
    <t xml:space="preserve">FY26 US GAAP balance sheet + cash-and-equivalents note (25-Jun-26)</t>
  </si>
  <si>
    <t xml:space="preserve">Cash and cash equivalents (total, incl. customer)</t>
  </si>
  <si>
    <t xml:space="preserve">  of which segregated safeguarding cash/deposits</t>
  </si>
  <si>
    <t xml:space="preserve">  of which money market funds (customer)</t>
  </si>
  <si>
    <t xml:space="preserve">Available-for-sale debt securities (customer)</t>
  </si>
  <si>
    <t xml:space="preserve">Funds payable and amounts due to customers</t>
  </si>
  <si>
    <t xml:space="preserve">Own liquid assets (cash + AFS - customer liability)</t>
  </si>
  <si>
    <t xml:space="preserve">Debt: EMTN GBP250m 5.10% 2030 + ST</t>
  </si>
  <si>
    <t xml:space="preserve">NET OWN CASH (used in bridge)</t>
  </si>
  <si>
    <t xml:space="preserve">Total shareholders' equity (cross-check anchor)</t>
  </si>
  <si>
    <t xml:space="preserve">Operating lease liabilities (excluded from net cash)</t>
  </si>
  <si>
    <t xml:space="preserve">Share classes</t>
  </si>
  <si>
    <t xml:space="preserve">Class A 1,025.7m issued and outstanding (economic); Class B 208.9m, nine votes each, NO distribution rights, being redeemed over time (398.9m FY24 -&gt; 243.6m FY25 -&gt; 208.9m FY26); UK safeguarding partly via GBP845m comparable guarantees with nine sureties.</t>
  </si>
  <si>
    <t xml:space="preserve">GUIDANCE &amp; CAPITAL RETURNS</t>
  </si>
  <si>
    <t xml:space="preserve">FY26 release 25-Jun-26; FY26 earnings call; Q1 FY27 update 16-Jul-26 (guidance reiterated)</t>
  </si>
  <si>
    <t xml:space="preserve">FY27 net revenue growth</t>
  </si>
  <si>
    <t xml:space="preserve">around the middle of the 15-20% medium-term range, constant currency</t>
  </si>
  <si>
    <t xml:space="preserve">FY27 income-before-tax margin</t>
  </si>
  <si>
    <t xml:space="preserve">around the top of the 20-25% range</t>
  </si>
  <si>
    <t xml:space="preserve">Medium-term targets</t>
  </si>
  <si>
    <t xml:space="preserve">net revenue CAGR 15-20% (FY24 base); steady-state IBT margin 15-20% incl. 20% of interest above the first 1% yield retained; 20-25% reported until payout is substantially enabled</t>
  </si>
  <si>
    <t xml:space="preserve">Take-rate cadence</t>
  </si>
  <si>
    <t xml:space="preserve">down 1-2bps per quarter through FY27 (CFO, FY26 call); Q1 FY27 actual 50bps, lowest ever</t>
  </si>
  <si>
    <t xml:space="preserve">Buyback / EST</t>
  </si>
  <si>
    <t xml:space="preserve">FY26: $470m for 35.9m shares into the Employee Share Trust (kills option dilution). New program announced 25-Jun-26: over $500m, c.40% to recurring EST purchases; executing across Nasdaq and LSE since Jul-26</t>
  </si>
  <si>
    <t xml:space="preserve">Key pending items</t>
  </si>
  <si>
    <t xml:space="preserve">Belgian prosecutor AML decision (probe of Wise Europe, &gt;EUR500m suspicious transactions, 'nearing completion'); OCC trust-charter denial 21-Jul-26 (AML/CFT deficiencies) - reapplication path open; US securities class actions, class period 11-May to 23-Jul-26</t>
  </si>
  <si>
    <t xml:space="preserve">WSE - Global Assumptions &amp; Scenario Parameters</t>
  </si>
  <si>
    <t xml:space="preserve">Blue = hardcoded input. Yellow = key levers. All $ in millions unless stated.</t>
  </si>
  <si>
    <t xml:space="preserve">Global inputs</t>
  </si>
  <si>
    <t xml:space="preserve">WACC / discount rate</t>
  </si>
  <si>
    <t xml:space="preserve">D&amp;A (% of revenue)</t>
  </si>
  <si>
    <t xml:space="preserve">Capex + capitalized software (% of revenue)</t>
  </si>
  <si>
    <t xml:space="preserve">Working-capital capture (% of YoY revenue incr.)</t>
  </si>
  <si>
    <t xml:space="preserve">Sign/size per business model</t>
  </si>
  <si>
    <t xml:space="preserve">Net cash ($mm)</t>
  </si>
  <si>
    <t xml:space="preserve">OWN net cash 31-Mar-26: (cash 27,802.2 + AFS 4,582.7 - customer liability 30,254.2) - debt 334.7; excludes ALL customer funds and lease liabilities</t>
  </si>
  <si>
    <t xml:space="preserve">Fully diluted shares (mm)</t>
  </si>
  <si>
    <t xml:space="preserve">FY26 weighted diluted (US GAAP); Class B shares carry votes but no economic rights - excluded</t>
  </si>
  <si>
    <t xml:space="preserve">Current share price</t>
  </si>
  <si>
    <t xml:space="preserve">Nasdaq close Thu 13-Aug-26 (Yahoo/Robinhood); refresh at next regular close</t>
  </si>
  <si>
    <t xml:space="preserve">Terminal value cap (x terminal-year owner FCF)</t>
  </si>
  <si>
    <t xml:space="preserve">Scenario parameters</t>
  </si>
  <si>
    <t xml:space="preserve">Bear</t>
  </si>
  <si>
    <t xml:space="preserve">Base</t>
  </si>
  <si>
    <t xml:space="preserve">Bull</t>
  </si>
  <si>
    <t xml:space="preserve">Terminal growth rate</t>
  </si>
  <si>
    <t xml:space="preserve">Probability weight</t>
  </si>
  <si>
    <t xml:space="preserve">must sum to 100%</t>
  </si>
  <si>
    <t xml:space="preserve">Scenario narratives</t>
  </si>
  <si>
    <t xml:space="preserve">Belgium ends in a material fine plus an EU remediation program (FY28 margin dent); the US charter path stays shut; rate cuts plus forced interest payout roughly halve net float income by FY29; price cuts continue but elasticity disappoints as Revolut and stablecoin corridors bite. Net revenue growth 12% fading to 4%; operating margin lands ~16-17% (adj EBITDA ~21-22%); SBC 4.0%; tax 25% (UK statutory).</t>
  </si>
  <si>
    <t xml:space="preserve">FY27 per guidance (~17% cc net revenue, IBT margin ~24%); growth fades to ~11-12% by FY31 as 1-2bps/quarter price cuts and the phased interest giveback (carried in the top line - US GAAP net revenue nets customer interest expense) offset ~18-20% volume growth; card/other compounds 25-30% mid-term; Belgium resolves as a manageable fine. Operating margin ~21-23% (adj EBITDA 25.5-27.5%); SBC 3.8%; tax 25%.</t>
  </si>
  <si>
    <t xml:space="preserve">Elasticity holds volume above 25% for longer; US penetration (only ~15% of net revenue today) deepens and the charter eventually lands post-remediation; Wise Platform scales toward 10%+ of volume; stablecoins become a Wise rail, not a competitor; rates stay higher-for-longer and the payout unlock is slow, holding operating margins ~23-23.5% through FY30 before the giveback eases them. Net revenue ~20% CAGR over five years; SBC 3.5%; tax 25%.</t>
  </si>
  <si>
    <t xml:space="preserve">WSE DCF - Bear - AML bites; rates fall; giveback forced</t>
  </si>
  <si>
    <t xml:space="preserve">Owner-FCF basis: SBC fully expensed, own-cash interest excluded, customer-balance NII retained in the top line, share count flat. Blue rows = per-year drivers (edit).</t>
  </si>
  <si>
    <t xml:space="preserve">2026A</t>
  </si>
  <si>
    <t xml:space="preserve">2027E</t>
  </si>
  <si>
    <t xml:space="preserve">2028E</t>
  </si>
  <si>
    <t xml:space="preserve">2029E</t>
  </si>
  <si>
    <t xml:space="preserve">2030E</t>
  </si>
  <si>
    <t xml:space="preserve">2031E</t>
  </si>
  <si>
    <t xml:space="preserve">2032E</t>
  </si>
  <si>
    <t xml:space="preserve">2033E</t>
  </si>
  <si>
    <t xml:space="preserve">2034E</t>
  </si>
  <si>
    <t xml:space="preserve">2035E</t>
  </si>
  <si>
    <t xml:space="preserve">2036E</t>
  </si>
  <si>
    <t xml:space="preserve">Year index (for discounting)</t>
  </si>
  <si>
    <t xml:space="preserve">Revenue growth YoY</t>
  </si>
  <si>
    <t xml:space="preserve">Revenue</t>
  </si>
  <si>
    <t xml:space="preserve">Adj EBITDA margin</t>
  </si>
  <si>
    <t xml:space="preserve">Adjusted EBITDA</t>
  </si>
  <si>
    <t xml:space="preserve">SBC (% of revenue)</t>
  </si>
  <si>
    <t xml:space="preserve">SBC (incl. equity-award taxes)</t>
  </si>
  <si>
    <t xml:space="preserve">EBITDA less SBC ('owner EBITDA')</t>
  </si>
  <si>
    <t xml:space="preserve">D&amp;A</t>
  </si>
  <si>
    <t xml:space="preserve">EBIT (SBC expensed)</t>
  </si>
  <si>
    <t xml:space="preserve">Cash tax rate (neg = benefit)</t>
  </si>
  <si>
    <t xml:space="preserve">NOPAT</t>
  </si>
  <si>
    <t xml:space="preserve">add: D&amp;A</t>
  </si>
  <si>
    <t xml:space="preserve">less: capex + capitalized software</t>
  </si>
  <si>
    <t xml:space="preserve">add: working capital</t>
  </si>
  <si>
    <t xml:space="preserve">Unlevered owner FCF</t>
  </si>
  <si>
    <t xml:space="preserve">Discount factor</t>
  </si>
  <si>
    <t xml:space="preserve">PV of FCF</t>
  </si>
  <si>
    <t xml:space="preserve">Memo: FCF before SBC (company-style)</t>
  </si>
  <si>
    <t xml:space="preserve">Memo: implied owner FCF margin</t>
  </si>
  <si>
    <t xml:space="preserve">Valuation</t>
  </si>
  <si>
    <t xml:space="preserve">PV of FCF, explicit years</t>
  </si>
  <si>
    <t xml:space="preserve">Terminal-year owner FCF x (1+g)</t>
  </si>
  <si>
    <t xml:space="preserve">Terminal value - Gordon</t>
  </si>
  <si>
    <t xml:space="preserve">Terminal value - cap</t>
  </si>
  <si>
    <t xml:space="preserve">Terminal value used (lower of the two, floored at 0)</t>
  </si>
  <si>
    <t xml:space="preserve">Implied exit multiple</t>
  </si>
  <si>
    <t xml:space="preserve">PV of terminal value</t>
  </si>
  <si>
    <t xml:space="preserve">Enterprise value</t>
  </si>
  <si>
    <t xml:space="preserve">add: net cash</t>
  </si>
  <si>
    <t xml:space="preserve">Equity value</t>
  </si>
  <si>
    <t xml:space="preserve">Value per share</t>
  </si>
  <si>
    <t xml:space="preserve">Upside / (downside) vs current price</t>
  </si>
  <si>
    <t xml:space="preserve">Memo: value if SBC treated as non-cash</t>
  </si>
  <si>
    <t xml:space="preserve">  plus PV of terminal SBC</t>
  </si>
  <si>
    <t xml:space="preserve">  Value per share, SBC as non-cash</t>
  </si>
  <si>
    <t xml:space="preserve">WSE DCF - Base - price-cut flywheel holds; phased giveback</t>
  </si>
  <si>
    <t xml:space="preserve">WSE DCF - Bull - elasticity + slow giveback; US scales</t>
  </si>
  <si>
    <t xml:space="preserve">WSE - Valuation Summary &amp; Sensitivity</t>
  </si>
  <si>
    <t xml:space="preserve">Owner-FCF basis (SBC expensed) unless marked street. Green = links.</t>
  </si>
  <si>
    <t xml:space="preserve">Upside / (downside) vs price</t>
  </si>
  <si>
    <t xml:space="preserve">Probability</t>
  </si>
  <si>
    <t xml:space="preserve">Value per share, SBC as non-cash (street)</t>
  </si>
  <si>
    <t xml:space="preserve">Probability-weighted value per share</t>
  </si>
  <si>
    <t xml:space="preserve">Current price</t>
  </si>
  <si>
    <t xml:space="preserve">Margin of safety vs weighted value</t>
  </si>
  <si>
    <t xml:space="preserve">Weighted value, SBC as non-cash (street)</t>
  </si>
  <si>
    <t xml:space="preserve">Band position (0%=house, 100%=street)</t>
  </si>
  <si>
    <t xml:space="preserve">Base case - value per share at different required returns</t>
  </si>
  <si>
    <t xml:space="preserve">Required return</t>
  </si>
  <si>
    <t xml:space="preserve">Value / share</t>
  </si>
  <si>
    <t xml:space="preserve">15%-hurdle entry per scenario + weighted</t>
  </si>
  <si>
    <t xml:space="preserve">model buy-below price at a 15% hurdle</t>
  </si>
  <si>
    <t xml:space="preserve">  same, street basis</t>
  </si>
  <si>
    <t xml:space="preserve">Base case - value per share: WACC x terminal growth</t>
  </si>
  <si>
    <t xml:space="preserve">WACC \ g</t>
  </si>
</sst>
</file>

<file path=xl/styles.xml><?xml version="1.0" encoding="utf-8"?>
<styleSheet xmlns="http://schemas.openxmlformats.org/spreadsheetml/2006/main">
  <numFmts count="10">
    <numFmt numFmtId="164" formatCode="General"/>
    <numFmt numFmtId="165" formatCode="\$#,##0.0;&quot;($&quot;#,##0.0\);\-"/>
    <numFmt numFmtId="166" formatCode="\$#,##0.00;&quot;($&quot;#,##0.00\);\-"/>
    <numFmt numFmtId="167" formatCode="#,##0.0"/>
    <numFmt numFmtId="168" formatCode="0.0%"/>
    <numFmt numFmtId="169" formatCode="0.00%"/>
    <numFmt numFmtId="170" formatCode="0\x"/>
    <numFmt numFmtId="171" formatCode="\$#,##0;&quot;($&quot;#,##0\);\-"/>
    <numFmt numFmtId="172" formatCode="0.000"/>
    <numFmt numFmtId="173" formatCode="0.0\x"/>
  </numFmts>
  <fonts count="14">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0"/>
      <name val="Arial"/>
      <family val="0"/>
      <charset val="1"/>
    </font>
    <font>
      <i val="true"/>
      <sz val="9"/>
      <color rgb="FF404040"/>
      <name val="Arial"/>
      <family val="0"/>
      <charset val="1"/>
    </font>
    <font>
      <b val="true"/>
      <sz val="11"/>
      <name val="Arial"/>
      <family val="0"/>
      <charset val="1"/>
    </font>
    <font>
      <b val="true"/>
      <sz val="10"/>
      <color rgb="FFFFFFFF"/>
      <name val="Arial"/>
      <family val="0"/>
      <charset val="1"/>
    </font>
    <font>
      <sz val="10"/>
      <color rgb="FF0000FF"/>
      <name val="Arial"/>
      <family val="0"/>
      <charset val="1"/>
    </font>
    <font>
      <sz val="10"/>
      <name val="Arial"/>
      <family val="0"/>
      <charset val="1"/>
    </font>
    <font>
      <b val="true"/>
      <sz val="10"/>
      <color rgb="FF0000FF"/>
      <name val="Arial"/>
      <family val="0"/>
      <charset val="1"/>
    </font>
    <font>
      <i val="true"/>
      <sz val="8"/>
      <color rgb="FF808080"/>
      <name val="Arial"/>
      <family val="0"/>
      <charset val="1"/>
    </font>
    <font>
      <sz val="10"/>
      <color rgb="FF008000"/>
      <name val="Arial"/>
      <family val="0"/>
      <charset val="1"/>
    </font>
  </fonts>
  <fills count="5">
    <fill>
      <patternFill patternType="none"/>
    </fill>
    <fill>
      <patternFill patternType="gray125"/>
    </fill>
    <fill>
      <patternFill patternType="solid">
        <fgColor rgb="FF1F3864"/>
        <bgColor rgb="FF333399"/>
      </patternFill>
    </fill>
    <fill>
      <patternFill patternType="solid">
        <fgColor rgb="FFFFFF00"/>
        <bgColor rgb="FFFFFF00"/>
      </patternFill>
    </fill>
    <fill>
      <patternFill patternType="solid">
        <fgColor rgb="FFD9E1F2"/>
        <bgColor rgb="FFCC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8" fontId="11" fillId="3" borderId="0" xfId="0" applyFont="true" applyBorder="false" applyAlignment="false" applyProtection="false">
      <alignment horizontal="general" vertical="bottom" textRotation="0" wrapText="false" indent="0" shrinkToFit="false"/>
      <protection locked="true" hidden="false"/>
    </xf>
    <xf numFmtId="165" fontId="11" fillId="3" borderId="0" xfId="0" applyFont="true" applyBorder="false" applyAlignment="false" applyProtection="false">
      <alignment horizontal="general" vertical="bottom" textRotation="0" wrapText="false" indent="0" shrinkToFit="false"/>
      <protection locked="true" hidden="false"/>
    </xf>
    <xf numFmtId="167" fontId="11" fillId="3" borderId="0" xfId="0" applyFont="true" applyBorder="false" applyAlignment="false" applyProtection="false">
      <alignment horizontal="general" vertical="bottom" textRotation="0" wrapText="false" indent="0" shrinkToFit="false"/>
      <protection locked="true" hidden="false"/>
    </xf>
    <xf numFmtId="166" fontId="11" fillId="3" borderId="0" xfId="0" applyFont="true" applyBorder="false" applyAlignment="false" applyProtection="false">
      <alignment horizontal="general" vertical="bottom" textRotation="0" wrapText="false" indent="0" shrinkToFit="false"/>
      <protection locked="true" hidden="false"/>
    </xf>
    <xf numFmtId="170" fontId="11" fillId="3"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72" fontId="13"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6" fontId="10" fillId="4"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2"/>
  </cols>
  <sheetData>
    <row r="1" customFormat="false" ht="16.15" hidden="false" customHeight="false" outlineLevel="0" collapsed="false">
      <c r="A1" s="1" t="s">
        <v>0</v>
      </c>
    </row>
    <row r="3" customFormat="false" ht="32.8" hidden="false" customHeight="false" outlineLevel="0" collapsed="false">
      <c r="A3" s="2" t="s">
        <v>1</v>
      </c>
      <c r="B3" s="3" t="s">
        <v>2</v>
      </c>
    </row>
    <row r="5" customFormat="false" ht="15" hidden="false" customHeight="false" outlineLevel="0" collapsed="false">
      <c r="A5" s="4" t="s">
        <v>3</v>
      </c>
    </row>
    <row r="6" customFormat="false" ht="32.8" hidden="false" customHeight="false" outlineLevel="0" collapsed="false">
      <c r="A6" s="2" t="s">
        <v>4</v>
      </c>
      <c r="B6" s="3" t="s">
        <v>5</v>
      </c>
    </row>
    <row r="7" customFormat="false" ht="32.8" hidden="false" customHeight="false" outlineLevel="0" collapsed="false">
      <c r="A7" s="2" t="s">
        <v>6</v>
      </c>
      <c r="B7" s="3" t="s">
        <v>7</v>
      </c>
    </row>
    <row r="8" customFormat="false" ht="53.7" hidden="false" customHeight="false" outlineLevel="0" collapsed="false">
      <c r="A8" s="2" t="s">
        <v>8</v>
      </c>
      <c r="B8" s="3" t="s">
        <v>9</v>
      </c>
    </row>
    <row r="10" customFormat="false" ht="15" hidden="false" customHeight="false" outlineLevel="0" collapsed="false">
      <c r="A10" s="4" t="s">
        <v>10</v>
      </c>
    </row>
    <row r="11" customFormat="false" ht="158.2" hidden="false" customHeight="false" outlineLevel="0" collapsed="false">
      <c r="A11" s="2" t="s">
        <v>11</v>
      </c>
      <c r="B11" s="3" t="s">
        <v>12</v>
      </c>
    </row>
    <row r="12" customFormat="false" ht="43.25" hidden="false" customHeight="false" outlineLevel="0" collapsed="false">
      <c r="A12" s="2" t="s">
        <v>13</v>
      </c>
      <c r="B12" s="3" t="s">
        <v>14</v>
      </c>
    </row>
    <row r="14" customFormat="false" ht="15" hidden="false" customHeight="false" outlineLevel="0" collapsed="false">
      <c r="A14" s="4" t="s">
        <v>15</v>
      </c>
    </row>
    <row r="15" customFormat="false" ht="43.25" hidden="false" customHeight="false" outlineLevel="0" collapsed="false">
      <c r="A15" s="2" t="s">
        <v>16</v>
      </c>
      <c r="B15" s="3" t="s">
        <v>17</v>
      </c>
    </row>
    <row r="16" customFormat="false" ht="22.35" hidden="false" customHeight="false" outlineLevel="0" collapsed="false">
      <c r="A16" s="2" t="s">
        <v>18</v>
      </c>
      <c r="B16" s="3"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6" min="2" style="0" width="12"/>
    <col collapsed="false" customWidth="true" hidden="false" outlineLevel="0" max="7" min="7" style="0" width="78"/>
  </cols>
  <sheetData>
    <row r="1" customFormat="false" ht="16.15" hidden="false" customHeight="false" outlineLevel="0" collapsed="false">
      <c r="A1" s="1" t="s">
        <v>20</v>
      </c>
    </row>
    <row r="2" customFormat="false" ht="15" hidden="false" customHeight="false" outlineLevel="0" collapsed="false">
      <c r="A2" s="5" t="s">
        <v>21</v>
      </c>
    </row>
    <row r="4" customFormat="false" ht="15" hidden="false" customHeight="false" outlineLevel="0" collapsed="false">
      <c r="A4" s="4" t="s">
        <v>22</v>
      </c>
      <c r="B4" s="6" t="s">
        <v>23</v>
      </c>
      <c r="C4" s="6" t="s">
        <v>24</v>
      </c>
      <c r="D4" s="6" t="s">
        <v>25</v>
      </c>
      <c r="G4" s="5" t="s">
        <v>26</v>
      </c>
    </row>
    <row r="5" customFormat="false" ht="15" hidden="false" customHeight="false" outlineLevel="0" collapsed="false">
      <c r="A5" s="2" t="s">
        <v>27</v>
      </c>
      <c r="B5" s="7" t="n">
        <v>999.7</v>
      </c>
      <c r="C5" s="7" t="n">
        <v>1071.7</v>
      </c>
      <c r="D5" s="7" t="n">
        <v>1257</v>
      </c>
    </row>
    <row r="6" customFormat="false" ht="15" hidden="false" customHeight="false" outlineLevel="0" collapsed="false">
      <c r="A6" s="2" t="s">
        <v>28</v>
      </c>
      <c r="B6" s="7" t="n">
        <v>207.2</v>
      </c>
      <c r="C6" s="7" t="n">
        <v>280.5</v>
      </c>
      <c r="D6" s="7" t="n">
        <v>391.6</v>
      </c>
    </row>
    <row r="7" customFormat="false" ht="15" hidden="false" customHeight="false" outlineLevel="0" collapsed="false">
      <c r="A7" s="2" t="s">
        <v>29</v>
      </c>
      <c r="B7" s="7" t="n">
        <v>116.2</v>
      </c>
      <c r="C7" s="7" t="n">
        <v>194.1</v>
      </c>
      <c r="D7" s="7" t="n">
        <v>245</v>
      </c>
    </row>
    <row r="8" customFormat="false" ht="15" hidden="false" customHeight="false" outlineLevel="0" collapsed="false">
      <c r="A8" s="2" t="s">
        <v>30</v>
      </c>
      <c r="B8" s="7" t="n">
        <v>1323.1</v>
      </c>
      <c r="C8" s="7" t="n">
        <v>1546.3</v>
      </c>
      <c r="D8" s="7" t="n">
        <v>1893.6</v>
      </c>
    </row>
    <row r="9" customFormat="false" ht="15" hidden="false" customHeight="false" outlineLevel="0" collapsed="false">
      <c r="A9" s="2" t="s">
        <v>31</v>
      </c>
      <c r="B9" s="7" t="n">
        <v>610</v>
      </c>
      <c r="C9" s="7" t="n">
        <v>758.3</v>
      </c>
      <c r="D9" s="7" t="n">
        <v>806.1</v>
      </c>
    </row>
    <row r="10" customFormat="false" ht="15" hidden="false" customHeight="false" outlineLevel="0" collapsed="false">
      <c r="A10" s="2" t="s">
        <v>32</v>
      </c>
      <c r="B10" s="7" t="n">
        <v>-157</v>
      </c>
      <c r="C10" s="7" t="n">
        <v>-205.7</v>
      </c>
      <c r="D10" s="7" t="n">
        <v>-196.9</v>
      </c>
    </row>
    <row r="11" customFormat="false" ht="15" hidden="false" customHeight="false" outlineLevel="0" collapsed="false">
      <c r="A11" s="2" t="s">
        <v>33</v>
      </c>
      <c r="B11" s="7" t="n">
        <v>1776.1</v>
      </c>
      <c r="C11" s="7" t="n">
        <v>2098.9</v>
      </c>
      <c r="D11" s="7" t="n">
        <v>2502.8</v>
      </c>
    </row>
    <row r="12" customFormat="false" ht="15" hidden="false" customHeight="false" outlineLevel="0" collapsed="false">
      <c r="A12" s="2" t="s">
        <v>34</v>
      </c>
      <c r="B12" s="7" t="n">
        <v>-1126</v>
      </c>
      <c r="C12" s="7" t="n">
        <v>-1370.7</v>
      </c>
      <c r="D12" s="7" t="n">
        <v>-1912.1</v>
      </c>
    </row>
    <row r="13" customFormat="false" ht="15" hidden="false" customHeight="false" outlineLevel="0" collapsed="false">
      <c r="A13" s="2" t="s">
        <v>35</v>
      </c>
      <c r="B13" s="7" t="n">
        <v>650.1</v>
      </c>
      <c r="C13" s="7" t="n">
        <v>728.2</v>
      </c>
      <c r="D13" s="7" t="n">
        <v>590.7</v>
      </c>
    </row>
    <row r="14" customFormat="false" ht="15" hidden="false" customHeight="false" outlineLevel="0" collapsed="false">
      <c r="A14" s="2" t="s">
        <v>36</v>
      </c>
      <c r="B14" s="7" t="n">
        <v>6.6</v>
      </c>
      <c r="C14" s="7" t="n">
        <v>-10.7</v>
      </c>
      <c r="D14" s="7" t="n">
        <v>69.7</v>
      </c>
    </row>
    <row r="15" customFormat="false" ht="15" hidden="false" customHeight="false" outlineLevel="0" collapsed="false">
      <c r="A15" s="8" t="s">
        <v>37</v>
      </c>
      <c r="B15" s="7" t="n">
        <v>24.8</v>
      </c>
      <c r="C15" s="7" t="n">
        <v>42.5</v>
      </c>
      <c r="D15" s="7" t="n">
        <v>63</v>
      </c>
    </row>
    <row r="16" customFormat="false" ht="15" hidden="false" customHeight="false" outlineLevel="0" collapsed="false">
      <c r="A16" s="2" t="s">
        <v>38</v>
      </c>
      <c r="B16" s="7" t="n">
        <v>656.7</v>
      </c>
      <c r="C16" s="7" t="n">
        <v>717.5</v>
      </c>
      <c r="D16" s="7" t="n">
        <v>660.4</v>
      </c>
    </row>
    <row r="17" customFormat="false" ht="15" hidden="false" customHeight="false" outlineLevel="0" collapsed="false">
      <c r="A17" s="2" t="s">
        <v>39</v>
      </c>
      <c r="B17" s="7" t="n">
        <v>501.5</v>
      </c>
      <c r="C17" s="7" t="n">
        <v>550.3</v>
      </c>
      <c r="D17" s="7" t="n">
        <v>498.7</v>
      </c>
    </row>
    <row r="18" customFormat="false" ht="15" hidden="false" customHeight="false" outlineLevel="0" collapsed="false">
      <c r="A18" s="2" t="s">
        <v>40</v>
      </c>
      <c r="B18" s="9" t="n">
        <v>0.4781</v>
      </c>
      <c r="C18" s="9" t="n">
        <v>0.5263</v>
      </c>
      <c r="D18" s="9" t="n">
        <v>0.4843</v>
      </c>
    </row>
    <row r="19" customFormat="false" ht="15" hidden="false" customHeight="false" outlineLevel="0" collapsed="false">
      <c r="A19" s="2" t="s">
        <v>41</v>
      </c>
      <c r="B19" s="10" t="n">
        <v>1048.9</v>
      </c>
      <c r="C19" s="10" t="n">
        <v>1045.7</v>
      </c>
      <c r="D19" s="10" t="n">
        <v>1029.7</v>
      </c>
    </row>
    <row r="20" customFormat="false" ht="15" hidden="false" customHeight="false" outlineLevel="0" collapsed="false">
      <c r="A20" s="2" t="s">
        <v>42</v>
      </c>
      <c r="B20" s="7" t="n">
        <v>91.1</v>
      </c>
      <c r="C20" s="7" t="n">
        <v>74.6</v>
      </c>
      <c r="D20" s="7" t="n">
        <v>95.5</v>
      </c>
    </row>
    <row r="21" customFormat="false" ht="15" hidden="false" customHeight="false" outlineLevel="0" collapsed="false">
      <c r="A21" s="2" t="s">
        <v>43</v>
      </c>
      <c r="B21" s="7" t="n">
        <v>14.3</v>
      </c>
      <c r="C21" s="7" t="n">
        <v>9.7</v>
      </c>
      <c r="D21" s="7" t="n">
        <v>14.4</v>
      </c>
    </row>
    <row r="22" customFormat="false" ht="15" hidden="false" customHeight="false" outlineLevel="0" collapsed="false">
      <c r="A22" s="2" t="s">
        <v>44</v>
      </c>
      <c r="B22" s="7" t="n">
        <v>16.4</v>
      </c>
      <c r="C22" s="7" t="n">
        <v>45.3</v>
      </c>
      <c r="D22" s="7" t="n">
        <v>21.4</v>
      </c>
    </row>
    <row r="23" customFormat="false" ht="15" hidden="false" customHeight="false" outlineLevel="0" collapsed="false">
      <c r="A23" s="2" t="s">
        <v>45</v>
      </c>
      <c r="B23" s="11" t="n">
        <v>0.2362</v>
      </c>
      <c r="C23" s="11" t="n">
        <v>0.233</v>
      </c>
      <c r="D23" s="11" t="n">
        <v>0.2449</v>
      </c>
    </row>
    <row r="25" customFormat="false" ht="15" hidden="false" customHeight="false" outlineLevel="0" collapsed="false">
      <c r="A25" s="4" t="s">
        <v>46</v>
      </c>
      <c r="B25" s="6" t="s">
        <v>47</v>
      </c>
      <c r="C25" s="6" t="s">
        <v>48</v>
      </c>
      <c r="D25" s="6" t="s">
        <v>49</v>
      </c>
      <c r="E25" s="6" t="s">
        <v>50</v>
      </c>
      <c r="F25" s="6" t="s">
        <v>51</v>
      </c>
      <c r="G25" s="5" t="s">
        <v>52</v>
      </c>
    </row>
    <row r="26" customFormat="false" ht="15" hidden="false" customHeight="false" outlineLevel="0" collapsed="false">
      <c r="A26" s="2" t="s">
        <v>53</v>
      </c>
      <c r="B26" s="10" t="n">
        <v>55</v>
      </c>
      <c r="C26" s="10" t="n">
        <v>59</v>
      </c>
      <c r="D26" s="10" t="n">
        <v>63.1</v>
      </c>
      <c r="E26" s="10" t="n">
        <v>66.5</v>
      </c>
      <c r="F26" s="10" t="n">
        <v>69.3</v>
      </c>
    </row>
    <row r="27" customFormat="false" ht="15" hidden="false" customHeight="false" outlineLevel="0" collapsed="false">
      <c r="A27" s="2" t="s">
        <v>54</v>
      </c>
      <c r="B27" s="12" t="n">
        <v>0.0052</v>
      </c>
      <c r="C27" s="12" t="n">
        <v>0.0052</v>
      </c>
      <c r="D27" s="12" t="n">
        <v>0.0052</v>
      </c>
      <c r="E27" s="12" t="n">
        <v>0.0051</v>
      </c>
      <c r="F27" s="12" t="n">
        <v>0.005</v>
      </c>
    </row>
    <row r="28" customFormat="false" ht="15" hidden="false" customHeight="false" outlineLevel="0" collapsed="false">
      <c r="A28" s="2" t="s">
        <v>55</v>
      </c>
      <c r="B28" s="10" t="n">
        <v>9.8</v>
      </c>
      <c r="C28" s="10" t="n">
        <v>10.4</v>
      </c>
      <c r="D28" s="10" t="n">
        <v>10.9</v>
      </c>
      <c r="E28" s="10" t="n">
        <v>11.3</v>
      </c>
      <c r="F28" s="10" t="n">
        <v>11.9</v>
      </c>
    </row>
    <row r="29" customFormat="false" ht="15" hidden="false" customHeight="false" outlineLevel="0" collapsed="false">
      <c r="A29" s="2" t="s">
        <v>56</v>
      </c>
      <c r="B29" s="10" t="n">
        <v>24.9</v>
      </c>
      <c r="C29" s="10" t="n">
        <v>26.4</v>
      </c>
      <c r="D29" s="10" t="n">
        <v>28.5</v>
      </c>
      <c r="E29" s="10" t="n">
        <v>30</v>
      </c>
    </row>
    <row r="30" customFormat="false" ht="15" hidden="false" customHeight="false" outlineLevel="0" collapsed="false">
      <c r="A30" s="2" t="s">
        <v>27</v>
      </c>
      <c r="B30" s="7" t="n">
        <v>286.8</v>
      </c>
      <c r="C30" s="7" t="n">
        <v>305</v>
      </c>
      <c r="D30" s="7" t="n">
        <v>326.5</v>
      </c>
      <c r="E30" s="7" t="n">
        <v>338.7</v>
      </c>
    </row>
    <row r="31" customFormat="false" ht="15" hidden="false" customHeight="false" outlineLevel="0" collapsed="false">
      <c r="A31" s="2" t="s">
        <v>57</v>
      </c>
      <c r="B31" s="7" t="n">
        <v>138</v>
      </c>
      <c r="C31" s="7" t="n">
        <v>153.4</v>
      </c>
      <c r="D31" s="7" t="n">
        <v>169.7</v>
      </c>
      <c r="E31" s="7" t="n">
        <v>175.5</v>
      </c>
    </row>
    <row r="32" customFormat="false" ht="15" hidden="false" customHeight="false" outlineLevel="0" collapsed="false">
      <c r="A32" s="2" t="s">
        <v>30</v>
      </c>
      <c r="B32" s="7" t="n">
        <v>424.8</v>
      </c>
      <c r="C32" s="7" t="n">
        <v>458.4</v>
      </c>
      <c r="D32" s="7" t="n">
        <v>496.2</v>
      </c>
      <c r="E32" s="7" t="n">
        <v>514.2</v>
      </c>
      <c r="F32" s="7" t="n">
        <v>540.9</v>
      </c>
    </row>
    <row r="33" customFormat="false" ht="15" hidden="false" customHeight="false" outlineLevel="0" collapsed="false">
      <c r="A33" s="2" t="s">
        <v>33</v>
      </c>
      <c r="B33" s="7" t="n">
        <v>573.3</v>
      </c>
      <c r="C33" s="7" t="n">
        <v>605.5</v>
      </c>
      <c r="D33" s="7" t="n">
        <v>651.2</v>
      </c>
      <c r="E33" s="7" t="n">
        <v>672.8</v>
      </c>
      <c r="F33" s="7" t="n">
        <v>714</v>
      </c>
    </row>
    <row r="34" customFormat="false" ht="32.8" hidden="false" customHeight="false" outlineLevel="0" collapsed="false">
      <c r="A34" s="2" t="s">
        <v>58</v>
      </c>
      <c r="G34" s="3" t="s">
        <v>59</v>
      </c>
    </row>
    <row r="36" customFormat="false" ht="15" hidden="false" customHeight="false" outlineLevel="0" collapsed="false">
      <c r="A36" s="4" t="s">
        <v>60</v>
      </c>
      <c r="G36" s="5" t="s">
        <v>61</v>
      </c>
    </row>
    <row r="37" customFormat="false" ht="15" hidden="false" customHeight="false" outlineLevel="0" collapsed="false">
      <c r="A37" s="2" t="s">
        <v>62</v>
      </c>
      <c r="B37" s="7" t="n">
        <v>27802.2</v>
      </c>
    </row>
    <row r="38" customFormat="false" ht="15" hidden="false" customHeight="false" outlineLevel="0" collapsed="false">
      <c r="A38" s="8" t="s">
        <v>63</v>
      </c>
      <c r="B38" s="7" t="n">
        <v>14824.1</v>
      </c>
    </row>
    <row r="39" customFormat="false" ht="15" hidden="false" customHeight="false" outlineLevel="0" collapsed="false">
      <c r="A39" s="8" t="s">
        <v>64</v>
      </c>
      <c r="B39" s="7" t="n">
        <v>7592.1</v>
      </c>
    </row>
    <row r="40" customFormat="false" ht="15" hidden="false" customHeight="false" outlineLevel="0" collapsed="false">
      <c r="A40" s="2" t="s">
        <v>65</v>
      </c>
      <c r="B40" s="7" t="n">
        <v>4582.7</v>
      </c>
    </row>
    <row r="41" customFormat="false" ht="15" hidden="false" customHeight="false" outlineLevel="0" collapsed="false">
      <c r="A41" s="2" t="s">
        <v>66</v>
      </c>
      <c r="B41" s="7" t="n">
        <v>-30254.2</v>
      </c>
    </row>
    <row r="42" customFormat="false" ht="15" hidden="false" customHeight="false" outlineLevel="0" collapsed="false">
      <c r="A42" s="2" t="s">
        <v>67</v>
      </c>
      <c r="B42" s="7" t="n">
        <v>2130.7</v>
      </c>
    </row>
    <row r="43" customFormat="false" ht="15" hidden="false" customHeight="false" outlineLevel="0" collapsed="false">
      <c r="A43" s="2" t="s">
        <v>68</v>
      </c>
      <c r="B43" s="7" t="n">
        <v>-334.7</v>
      </c>
    </row>
    <row r="44" customFormat="false" ht="15" hidden="false" customHeight="false" outlineLevel="0" collapsed="false">
      <c r="A44" s="2" t="s">
        <v>69</v>
      </c>
      <c r="B44" s="7" t="n">
        <v>1796</v>
      </c>
    </row>
    <row r="45" customFormat="false" ht="15" hidden="false" customHeight="false" outlineLevel="0" collapsed="false">
      <c r="A45" s="2" t="s">
        <v>70</v>
      </c>
      <c r="B45" s="7" t="n">
        <v>1925.2</v>
      </c>
    </row>
    <row r="46" customFormat="false" ht="15" hidden="false" customHeight="false" outlineLevel="0" collapsed="false">
      <c r="A46" s="2" t="s">
        <v>71</v>
      </c>
      <c r="B46" s="7" t="n">
        <v>149</v>
      </c>
    </row>
    <row r="47" customFormat="false" ht="32.8" hidden="false" customHeight="false" outlineLevel="0" collapsed="false">
      <c r="A47" s="2" t="s">
        <v>72</v>
      </c>
      <c r="G47" s="3" t="s">
        <v>73</v>
      </c>
    </row>
    <row r="49" customFormat="false" ht="15" hidden="false" customHeight="false" outlineLevel="0" collapsed="false">
      <c r="A49" s="4" t="s">
        <v>74</v>
      </c>
      <c r="G49" s="5" t="s">
        <v>75</v>
      </c>
    </row>
    <row r="50" customFormat="false" ht="25.5" hidden="false" customHeight="true" outlineLevel="0" collapsed="false">
      <c r="A50" s="2" t="s">
        <v>76</v>
      </c>
      <c r="B50" s="13" t="s">
        <v>77</v>
      </c>
      <c r="C50" s="13"/>
      <c r="D50" s="13"/>
      <c r="E50" s="13"/>
      <c r="F50" s="13"/>
    </row>
    <row r="51" customFormat="false" ht="25.5" hidden="false" customHeight="true" outlineLevel="0" collapsed="false">
      <c r="A51" s="2" t="s">
        <v>78</v>
      </c>
      <c r="B51" s="13" t="s">
        <v>79</v>
      </c>
      <c r="C51" s="13"/>
      <c r="D51" s="13"/>
      <c r="E51" s="13"/>
      <c r="F51" s="13"/>
    </row>
    <row r="52" customFormat="false" ht="25.5" hidden="false" customHeight="true" outlineLevel="0" collapsed="false">
      <c r="A52" s="2" t="s">
        <v>80</v>
      </c>
      <c r="B52" s="13" t="s">
        <v>81</v>
      </c>
      <c r="C52" s="13"/>
      <c r="D52" s="13"/>
      <c r="E52" s="13"/>
      <c r="F52" s="13"/>
    </row>
    <row r="53" customFormat="false" ht="25.5" hidden="false" customHeight="true" outlineLevel="0" collapsed="false">
      <c r="A53" s="2" t="s">
        <v>82</v>
      </c>
      <c r="B53" s="13" t="s">
        <v>83</v>
      </c>
      <c r="C53" s="13"/>
      <c r="D53" s="13"/>
      <c r="E53" s="13"/>
      <c r="F53" s="13"/>
    </row>
    <row r="54" customFormat="false" ht="25.5" hidden="false" customHeight="true" outlineLevel="0" collapsed="false">
      <c r="A54" s="2" t="s">
        <v>84</v>
      </c>
      <c r="B54" s="13" t="s">
        <v>85</v>
      </c>
      <c r="C54" s="13"/>
      <c r="D54" s="13"/>
      <c r="E54" s="13"/>
      <c r="F54" s="13"/>
    </row>
    <row r="55" customFormat="false" ht="25.5" hidden="false" customHeight="true" outlineLevel="0" collapsed="false">
      <c r="A55" s="2" t="s">
        <v>86</v>
      </c>
      <c r="B55" s="13" t="s">
        <v>87</v>
      </c>
      <c r="C55" s="13"/>
      <c r="D55" s="13"/>
      <c r="E55" s="13"/>
      <c r="F55" s="13"/>
    </row>
  </sheetData>
  <mergeCells count="6">
    <mergeCell ref="B50:F50"/>
    <mergeCell ref="B51:F51"/>
    <mergeCell ref="B52:F52"/>
    <mergeCell ref="B53:F53"/>
    <mergeCell ref="B54:F54"/>
    <mergeCell ref="B55:F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7" min="2" style="0" width="13"/>
    <col collapsed="false" customWidth="true" hidden="false" outlineLevel="0" max="8" min="8" style="0" width="62"/>
  </cols>
  <sheetData>
    <row r="1" customFormat="false" ht="16.15" hidden="false" customHeight="false" outlineLevel="0" collapsed="false">
      <c r="A1" s="1" t="s">
        <v>88</v>
      </c>
    </row>
    <row r="2" customFormat="false" ht="15" hidden="false" customHeight="false" outlineLevel="0" collapsed="false">
      <c r="A2" s="5" t="s">
        <v>89</v>
      </c>
    </row>
    <row r="4" customFormat="false" ht="15" hidden="false" customHeight="false" outlineLevel="0" collapsed="false">
      <c r="A4" s="4" t="s">
        <v>90</v>
      </c>
    </row>
    <row r="5" customFormat="false" ht="15" hidden="false" customHeight="false" outlineLevel="0" collapsed="false">
      <c r="A5" s="2" t="s">
        <v>91</v>
      </c>
      <c r="B5" s="14" t="n">
        <v>0.105</v>
      </c>
      <c r="H5" s="5"/>
    </row>
    <row r="6" customFormat="false" ht="15" hidden="false" customHeight="false" outlineLevel="0" collapsed="false">
      <c r="A6" s="2" t="s">
        <v>92</v>
      </c>
      <c r="B6" s="14" t="n">
        <v>0.007</v>
      </c>
      <c r="H6" s="5"/>
    </row>
    <row r="7" customFormat="false" ht="15" hidden="false" customHeight="false" outlineLevel="0" collapsed="false">
      <c r="A7" s="2" t="s">
        <v>93</v>
      </c>
      <c r="B7" s="14" t="n">
        <v>0.009</v>
      </c>
      <c r="H7" s="5"/>
    </row>
    <row r="8" customFormat="false" ht="15" hidden="false" customHeight="false" outlineLevel="0" collapsed="false">
      <c r="A8" s="2" t="s">
        <v>94</v>
      </c>
      <c r="B8" s="14" t="n">
        <v>0</v>
      </c>
      <c r="H8" s="5" t="s">
        <v>95</v>
      </c>
    </row>
    <row r="9" customFormat="false" ht="15" hidden="false" customHeight="false" outlineLevel="0" collapsed="false">
      <c r="A9" s="2" t="s">
        <v>96</v>
      </c>
      <c r="B9" s="15" t="n">
        <v>1796</v>
      </c>
      <c r="H9" s="5" t="s">
        <v>97</v>
      </c>
    </row>
    <row r="10" customFormat="false" ht="15" hidden="false" customHeight="false" outlineLevel="0" collapsed="false">
      <c r="A10" s="2" t="s">
        <v>98</v>
      </c>
      <c r="B10" s="16" t="n">
        <v>1029.7</v>
      </c>
      <c r="H10" s="5" t="s">
        <v>99</v>
      </c>
    </row>
    <row r="11" customFormat="false" ht="15" hidden="false" customHeight="false" outlineLevel="0" collapsed="false">
      <c r="A11" s="2" t="s">
        <v>100</v>
      </c>
      <c r="B11" s="17" t="n">
        <v>12.93</v>
      </c>
      <c r="H11" s="5" t="s">
        <v>101</v>
      </c>
    </row>
    <row r="12" customFormat="false" ht="15" hidden="false" customHeight="false" outlineLevel="0" collapsed="false">
      <c r="A12" s="2" t="s">
        <v>102</v>
      </c>
      <c r="B12" s="18" t="n">
        <v>20</v>
      </c>
      <c r="H12" s="5"/>
    </row>
    <row r="14" customFormat="false" ht="15" hidden="false" customHeight="false" outlineLevel="0" collapsed="false">
      <c r="A14" s="4" t="s">
        <v>103</v>
      </c>
      <c r="C14" s="6" t="s">
        <v>104</v>
      </c>
      <c r="D14" s="6" t="s">
        <v>105</v>
      </c>
      <c r="E14" s="6" t="s">
        <v>106</v>
      </c>
    </row>
    <row r="15" customFormat="false" ht="15" hidden="false" customHeight="false" outlineLevel="0" collapsed="false">
      <c r="A15" s="2" t="s">
        <v>107</v>
      </c>
      <c r="C15" s="14" t="n">
        <v>0.015</v>
      </c>
      <c r="D15" s="14" t="n">
        <v>0.03</v>
      </c>
      <c r="E15" s="14" t="n">
        <v>0.035</v>
      </c>
    </row>
    <row r="16" customFormat="false" ht="15" hidden="false" customHeight="false" outlineLevel="0" collapsed="false">
      <c r="A16" s="2" t="s">
        <v>108</v>
      </c>
      <c r="C16" s="14" t="n">
        <v>0.15</v>
      </c>
      <c r="D16" s="14" t="n">
        <v>0.5</v>
      </c>
      <c r="E16" s="14" t="n">
        <v>0.35</v>
      </c>
      <c r="F16" s="19" t="n">
        <f aca="false">SUM(C16:E16)</f>
        <v>1</v>
      </c>
      <c r="G16" s="5" t="s">
        <v>109</v>
      </c>
    </row>
    <row r="18" customFormat="false" ht="15" hidden="false" customHeight="false" outlineLevel="0" collapsed="false">
      <c r="A18" s="4" t="s">
        <v>110</v>
      </c>
    </row>
    <row r="19" customFormat="false" ht="25.5" hidden="false" customHeight="true" outlineLevel="0" collapsed="false">
      <c r="A19" s="2" t="s">
        <v>104</v>
      </c>
      <c r="B19" s="13" t="s">
        <v>111</v>
      </c>
      <c r="C19" s="13"/>
      <c r="D19" s="13"/>
      <c r="E19" s="13"/>
      <c r="F19" s="13"/>
      <c r="G19" s="13"/>
      <c r="H19" s="13"/>
    </row>
    <row r="20" customFormat="false" ht="25.5" hidden="false" customHeight="true" outlineLevel="0" collapsed="false">
      <c r="A20" s="2" t="s">
        <v>105</v>
      </c>
      <c r="B20" s="13" t="s">
        <v>112</v>
      </c>
      <c r="C20" s="13"/>
      <c r="D20" s="13"/>
      <c r="E20" s="13"/>
      <c r="F20" s="13"/>
      <c r="G20" s="13"/>
      <c r="H20" s="13"/>
    </row>
    <row r="21" customFormat="false" ht="25.5" hidden="false" customHeight="true" outlineLevel="0" collapsed="false">
      <c r="A21" s="2" t="s">
        <v>106</v>
      </c>
      <c r="B21" s="13" t="s">
        <v>113</v>
      </c>
      <c r="C21" s="13"/>
      <c r="D21" s="13"/>
      <c r="E21" s="13"/>
      <c r="F21" s="13"/>
      <c r="G21" s="13"/>
      <c r="H21" s="13"/>
    </row>
  </sheetData>
  <mergeCells count="3">
    <mergeCell ref="B19:H19"/>
    <mergeCell ref="B20:H20"/>
    <mergeCell ref="B21:H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12" min="2" style="0" width="10.51"/>
  </cols>
  <sheetData>
    <row r="1" customFormat="false" ht="16.15" hidden="false" customHeight="false" outlineLevel="0" collapsed="false">
      <c r="A1" s="1" t="s">
        <v>114</v>
      </c>
    </row>
    <row r="2" customFormat="false" ht="15" hidden="false" customHeight="false" outlineLevel="0" collapsed="false">
      <c r="A2" s="5" t="s">
        <v>115</v>
      </c>
    </row>
    <row r="3" customFormat="false" ht="15" hidden="false" customHeight="false" outlineLevel="0" collapsed="false">
      <c r="B3" s="6" t="s">
        <v>116</v>
      </c>
      <c r="C3" s="6" t="s">
        <v>117</v>
      </c>
      <c r="D3" s="6" t="s">
        <v>118</v>
      </c>
      <c r="E3" s="6" t="s">
        <v>119</v>
      </c>
      <c r="F3" s="6" t="s">
        <v>120</v>
      </c>
      <c r="G3" s="6" t="s">
        <v>121</v>
      </c>
      <c r="H3" s="6" t="s">
        <v>122</v>
      </c>
      <c r="I3" s="6" t="s">
        <v>123</v>
      </c>
      <c r="J3" s="6" t="s">
        <v>124</v>
      </c>
      <c r="K3" s="6" t="s">
        <v>125</v>
      </c>
      <c r="L3" s="6" t="s">
        <v>126</v>
      </c>
    </row>
    <row r="4" customFormat="false" ht="15" hidden="false" customHeight="false" outlineLevel="0" collapsed="false">
      <c r="A4" s="20" t="s">
        <v>127</v>
      </c>
      <c r="B4" s="20" t="n">
        <v>0</v>
      </c>
      <c r="C4" s="20" t="n">
        <v>1</v>
      </c>
      <c r="D4" s="20" t="n">
        <v>2</v>
      </c>
      <c r="E4" s="20" t="n">
        <v>3</v>
      </c>
      <c r="F4" s="20" t="n">
        <v>4</v>
      </c>
      <c r="G4" s="20" t="n">
        <v>5</v>
      </c>
      <c r="H4" s="20" t="n">
        <v>6</v>
      </c>
      <c r="I4" s="20" t="n">
        <v>7</v>
      </c>
      <c r="J4" s="20" t="n">
        <v>8</v>
      </c>
      <c r="K4" s="20" t="n">
        <v>9</v>
      </c>
      <c r="L4" s="20" t="n">
        <v>10</v>
      </c>
    </row>
    <row r="5" customFormat="false" ht="15" hidden="false" customHeight="false" outlineLevel="0" collapsed="false">
      <c r="A5" s="2" t="s">
        <v>128</v>
      </c>
      <c r="C5" s="14" t="n">
        <v>0.12</v>
      </c>
      <c r="D5" s="14" t="n">
        <v>0.09</v>
      </c>
      <c r="E5" s="14" t="n">
        <v>0.07</v>
      </c>
      <c r="F5" s="14" t="n">
        <v>0.06</v>
      </c>
      <c r="G5" s="14" t="n">
        <v>0.055</v>
      </c>
      <c r="H5" s="14" t="n">
        <v>0.05</v>
      </c>
      <c r="I5" s="14" t="n">
        <v>0.05</v>
      </c>
      <c r="J5" s="14" t="n">
        <v>0.045</v>
      </c>
      <c r="K5" s="14" t="n">
        <v>0.04</v>
      </c>
      <c r="L5" s="14" t="n">
        <v>0.04</v>
      </c>
    </row>
    <row r="6" customFormat="false" ht="15" hidden="false" customHeight="false" outlineLevel="0" collapsed="false">
      <c r="A6" s="2" t="s">
        <v>129</v>
      </c>
      <c r="B6" s="21" t="n">
        <v>2502.8</v>
      </c>
      <c r="C6" s="22" t="n">
        <f aca="false">B6*(1+C5)</f>
        <v>2803.136</v>
      </c>
      <c r="D6" s="22" t="n">
        <f aca="false">C6*(1+D5)</f>
        <v>3055.41824</v>
      </c>
      <c r="E6" s="22" t="n">
        <f aca="false">D6*(1+E5)</f>
        <v>3269.2975168</v>
      </c>
      <c r="F6" s="22" t="n">
        <f aca="false">E6*(1+F5)</f>
        <v>3465.455367808</v>
      </c>
      <c r="G6" s="22" t="n">
        <f aca="false">F6*(1+G5)</f>
        <v>3656.05541303744</v>
      </c>
      <c r="H6" s="22" t="n">
        <f aca="false">G6*(1+H5)</f>
        <v>3838.85818368931</v>
      </c>
      <c r="I6" s="22" t="n">
        <f aca="false">H6*(1+I5)</f>
        <v>4030.80109287378</v>
      </c>
      <c r="J6" s="22" t="n">
        <f aca="false">I6*(1+J5)</f>
        <v>4212.1871420531</v>
      </c>
      <c r="K6" s="22" t="n">
        <f aca="false">J6*(1+K5)</f>
        <v>4380.67462773522</v>
      </c>
      <c r="L6" s="22" t="n">
        <f aca="false">K6*(1+L5)</f>
        <v>4555.90161284463</v>
      </c>
    </row>
    <row r="7" customFormat="false" ht="15" hidden="false" customHeight="false" outlineLevel="0" collapsed="false">
      <c r="A7" s="2" t="s">
        <v>130</v>
      </c>
      <c r="B7" s="11" t="n">
        <v>0.28</v>
      </c>
      <c r="C7" s="14" t="n">
        <v>0.257</v>
      </c>
      <c r="D7" s="14" t="n">
        <v>0.222</v>
      </c>
      <c r="E7" s="14" t="n">
        <v>0.217</v>
      </c>
      <c r="F7" s="14" t="n">
        <v>0.212</v>
      </c>
      <c r="G7" s="14" t="n">
        <v>0.207</v>
      </c>
      <c r="H7" s="14" t="n">
        <v>0.207</v>
      </c>
      <c r="I7" s="14" t="n">
        <v>0.207</v>
      </c>
      <c r="J7" s="14" t="n">
        <v>0.212</v>
      </c>
      <c r="K7" s="14" t="n">
        <v>0.212</v>
      </c>
      <c r="L7" s="14" t="n">
        <v>0.217</v>
      </c>
    </row>
    <row r="8" customFormat="false" ht="15" hidden="false" customHeight="false" outlineLevel="0" collapsed="false">
      <c r="A8" s="2" t="s">
        <v>131</v>
      </c>
      <c r="C8" s="22" t="n">
        <f aca="false">C6*C7</f>
        <v>720.405952</v>
      </c>
      <c r="D8" s="22" t="n">
        <f aca="false">D6*D7</f>
        <v>678.30284928</v>
      </c>
      <c r="E8" s="22" t="n">
        <f aca="false">E6*E7</f>
        <v>709.4375611456</v>
      </c>
      <c r="F8" s="22" t="n">
        <f aca="false">F6*F7</f>
        <v>734.676537975296</v>
      </c>
      <c r="G8" s="22" t="n">
        <f aca="false">G6*G7</f>
        <v>756.80347049875</v>
      </c>
      <c r="H8" s="22" t="n">
        <f aca="false">H6*H7</f>
        <v>794.643644023688</v>
      </c>
      <c r="I8" s="22" t="n">
        <f aca="false">I6*I7</f>
        <v>834.375826224872</v>
      </c>
      <c r="J8" s="22" t="n">
        <f aca="false">J6*J7</f>
        <v>892.983674115257</v>
      </c>
      <c r="K8" s="22" t="n">
        <f aca="false">K6*K7</f>
        <v>928.703021079867</v>
      </c>
      <c r="L8" s="22" t="n">
        <f aca="false">L6*L7</f>
        <v>988.630649987285</v>
      </c>
    </row>
    <row r="9" customFormat="false" ht="15" hidden="false" customHeight="false" outlineLevel="0" collapsed="false">
      <c r="A9" s="2" t="s">
        <v>132</v>
      </c>
      <c r="B9" s="11" t="n">
        <v>0.038</v>
      </c>
      <c r="C9" s="14" t="n">
        <v>0.04</v>
      </c>
      <c r="D9" s="14" t="n">
        <v>0.04</v>
      </c>
      <c r="E9" s="14" t="n">
        <v>0.04</v>
      </c>
      <c r="F9" s="14" t="n">
        <v>0.04</v>
      </c>
      <c r="G9" s="14" t="n">
        <v>0.04</v>
      </c>
      <c r="H9" s="14" t="n">
        <v>0.04</v>
      </c>
      <c r="I9" s="14" t="n">
        <v>0.04</v>
      </c>
      <c r="J9" s="14" t="n">
        <v>0.04</v>
      </c>
      <c r="K9" s="14" t="n">
        <v>0.04</v>
      </c>
      <c r="L9" s="14" t="n">
        <v>0.04</v>
      </c>
    </row>
    <row r="10" customFormat="false" ht="15" hidden="false" customHeight="false" outlineLevel="0" collapsed="false">
      <c r="A10" s="2" t="s">
        <v>133</v>
      </c>
      <c r="C10" s="22" t="n">
        <f aca="false">-C6*C9</f>
        <v>-112.12544</v>
      </c>
      <c r="D10" s="22" t="n">
        <f aca="false">-D6*D9</f>
        <v>-122.2167296</v>
      </c>
      <c r="E10" s="22" t="n">
        <f aca="false">-E6*E9</f>
        <v>-130.771900672</v>
      </c>
      <c r="F10" s="22" t="n">
        <f aca="false">-F6*F9</f>
        <v>-138.61821471232</v>
      </c>
      <c r="G10" s="22" t="n">
        <f aca="false">-G6*G9</f>
        <v>-146.242216521498</v>
      </c>
      <c r="H10" s="22" t="n">
        <f aca="false">-H6*H9</f>
        <v>-153.554327347573</v>
      </c>
      <c r="I10" s="22" t="n">
        <f aca="false">-I6*I9</f>
        <v>-161.232043714951</v>
      </c>
      <c r="J10" s="22" t="n">
        <f aca="false">-J6*J9</f>
        <v>-168.487485682124</v>
      </c>
      <c r="K10" s="22" t="n">
        <f aca="false">-K6*K9</f>
        <v>-175.226985109409</v>
      </c>
      <c r="L10" s="22" t="n">
        <f aca="false">-L6*L9</f>
        <v>-182.236064513785</v>
      </c>
    </row>
    <row r="11" customFormat="false" ht="15" hidden="false" customHeight="false" outlineLevel="0" collapsed="false">
      <c r="A11" s="2" t="s">
        <v>134</v>
      </c>
      <c r="C11" s="22" t="n">
        <f aca="false">C8+C10</f>
        <v>608.280512</v>
      </c>
      <c r="D11" s="22" t="n">
        <f aca="false">D8+D10</f>
        <v>556.08611968</v>
      </c>
      <c r="E11" s="22" t="n">
        <f aca="false">E8+E10</f>
        <v>578.6656604736</v>
      </c>
      <c r="F11" s="22" t="n">
        <f aca="false">F8+F10</f>
        <v>596.058323262976</v>
      </c>
      <c r="G11" s="22" t="n">
        <f aca="false">G8+G10</f>
        <v>610.561253977253</v>
      </c>
      <c r="H11" s="22" t="n">
        <f aca="false">H8+H10</f>
        <v>641.089316676115</v>
      </c>
      <c r="I11" s="22" t="n">
        <f aca="false">I8+I10</f>
        <v>673.143782509921</v>
      </c>
      <c r="J11" s="22" t="n">
        <f aca="false">J8+J10</f>
        <v>724.496188433133</v>
      </c>
      <c r="K11" s="22" t="n">
        <f aca="false">K8+K10</f>
        <v>753.476035970458</v>
      </c>
      <c r="L11" s="22" t="n">
        <f aca="false">L8+L10</f>
        <v>806.3945854735</v>
      </c>
    </row>
    <row r="12" customFormat="false" ht="15" hidden="false" customHeight="false" outlineLevel="0" collapsed="false">
      <c r="A12" s="2" t="s">
        <v>135</v>
      </c>
      <c r="C12" s="23" t="n">
        <f aca="false">-C6*Assumptions!$B$6</f>
        <v>-19.621952</v>
      </c>
      <c r="D12" s="23" t="n">
        <f aca="false">-D6*Assumptions!$B$6</f>
        <v>-21.38792768</v>
      </c>
      <c r="E12" s="23" t="n">
        <f aca="false">-E6*Assumptions!$B$6</f>
        <v>-22.8850826176</v>
      </c>
      <c r="F12" s="23" t="n">
        <f aca="false">-F6*Assumptions!$B$6</f>
        <v>-24.258187574656</v>
      </c>
      <c r="G12" s="23" t="n">
        <f aca="false">-G6*Assumptions!$B$6</f>
        <v>-25.5923878912621</v>
      </c>
      <c r="H12" s="23" t="n">
        <f aca="false">-H6*Assumptions!$B$6</f>
        <v>-26.8720072858252</v>
      </c>
      <c r="I12" s="23" t="n">
        <f aca="false">-I6*Assumptions!$B$6</f>
        <v>-28.2156076501165</v>
      </c>
      <c r="J12" s="23" t="n">
        <f aca="false">-J6*Assumptions!$B$6</f>
        <v>-29.4853099943717</v>
      </c>
      <c r="K12" s="23" t="n">
        <f aca="false">-K6*Assumptions!$B$6</f>
        <v>-30.6647223941466</v>
      </c>
      <c r="L12" s="23" t="n">
        <f aca="false">-L6*Assumptions!$B$6</f>
        <v>-31.8913112899124</v>
      </c>
    </row>
    <row r="13" customFormat="false" ht="15" hidden="false" customHeight="false" outlineLevel="0" collapsed="false">
      <c r="A13" s="2" t="s">
        <v>136</v>
      </c>
      <c r="C13" s="22" t="n">
        <f aca="false">C11+C12</f>
        <v>588.65856</v>
      </c>
      <c r="D13" s="22" t="n">
        <f aca="false">D11+D12</f>
        <v>534.698192</v>
      </c>
      <c r="E13" s="22" t="n">
        <f aca="false">E11+E12</f>
        <v>555.780577856</v>
      </c>
      <c r="F13" s="22" t="n">
        <f aca="false">F11+F12</f>
        <v>571.80013568832</v>
      </c>
      <c r="G13" s="22" t="n">
        <f aca="false">G11+G12</f>
        <v>584.968866085991</v>
      </c>
      <c r="H13" s="22" t="n">
        <f aca="false">H11+H12</f>
        <v>614.21730939029</v>
      </c>
      <c r="I13" s="22" t="n">
        <f aca="false">I11+I12</f>
        <v>644.928174859805</v>
      </c>
      <c r="J13" s="22" t="n">
        <f aca="false">J11+J12</f>
        <v>695.010878438761</v>
      </c>
      <c r="K13" s="22" t="n">
        <f aca="false">K11+K12</f>
        <v>722.811313576312</v>
      </c>
      <c r="L13" s="22" t="n">
        <f aca="false">L11+L12</f>
        <v>774.503274183587</v>
      </c>
    </row>
    <row r="14" customFormat="false" ht="15" hidden="false" customHeight="false" outlineLevel="0" collapsed="false">
      <c r="A14" s="2" t="s">
        <v>137</v>
      </c>
      <c r="C14" s="14" t="n">
        <v>0.25</v>
      </c>
      <c r="D14" s="14" t="n">
        <v>0.25</v>
      </c>
      <c r="E14" s="14" t="n">
        <v>0.25</v>
      </c>
      <c r="F14" s="14" t="n">
        <v>0.25</v>
      </c>
      <c r="G14" s="14" t="n">
        <v>0.25</v>
      </c>
      <c r="H14" s="14" t="n">
        <v>0.25</v>
      </c>
      <c r="I14" s="14" t="n">
        <v>0.25</v>
      </c>
      <c r="J14" s="14" t="n">
        <v>0.25</v>
      </c>
      <c r="K14" s="14" t="n">
        <v>0.25</v>
      </c>
      <c r="L14" s="14" t="n">
        <v>0.25</v>
      </c>
    </row>
    <row r="15" customFormat="false" ht="15" hidden="false" customHeight="false" outlineLevel="0" collapsed="false">
      <c r="A15" s="2" t="s">
        <v>138</v>
      </c>
      <c r="C15" s="22" t="n">
        <f aca="false">C13*(1-C14)</f>
        <v>441.49392</v>
      </c>
      <c r="D15" s="22" t="n">
        <f aca="false">D13*(1-D14)</f>
        <v>401.023644</v>
      </c>
      <c r="E15" s="22" t="n">
        <f aca="false">E13*(1-E14)</f>
        <v>416.835433392</v>
      </c>
      <c r="F15" s="22" t="n">
        <f aca="false">F13*(1-F14)</f>
        <v>428.85010176624</v>
      </c>
      <c r="G15" s="22" t="n">
        <f aca="false">G13*(1-G14)</f>
        <v>438.726649564493</v>
      </c>
      <c r="H15" s="22" t="n">
        <f aca="false">H13*(1-H14)</f>
        <v>460.662982042718</v>
      </c>
      <c r="I15" s="22" t="n">
        <f aca="false">I13*(1-I14)</f>
        <v>483.696131144854</v>
      </c>
      <c r="J15" s="22" t="n">
        <f aca="false">J13*(1-J14)</f>
        <v>521.258158829071</v>
      </c>
      <c r="K15" s="22" t="n">
        <f aca="false">K13*(1-K14)</f>
        <v>542.108485182234</v>
      </c>
      <c r="L15" s="22" t="n">
        <f aca="false">L13*(1-L14)</f>
        <v>580.87745563769</v>
      </c>
    </row>
    <row r="16" customFormat="false" ht="15" hidden="false" customHeight="false" outlineLevel="0" collapsed="false">
      <c r="A16" s="2" t="s">
        <v>139</v>
      </c>
      <c r="C16" s="22" t="n">
        <f aca="false">-C12</f>
        <v>19.621952</v>
      </c>
      <c r="D16" s="22" t="n">
        <f aca="false">-D12</f>
        <v>21.38792768</v>
      </c>
      <c r="E16" s="22" t="n">
        <f aca="false">-E12</f>
        <v>22.8850826176</v>
      </c>
      <c r="F16" s="22" t="n">
        <f aca="false">-F12</f>
        <v>24.258187574656</v>
      </c>
      <c r="G16" s="22" t="n">
        <f aca="false">-G12</f>
        <v>25.5923878912621</v>
      </c>
      <c r="H16" s="22" t="n">
        <f aca="false">-H12</f>
        <v>26.8720072858252</v>
      </c>
      <c r="I16" s="22" t="n">
        <f aca="false">-I12</f>
        <v>28.2156076501165</v>
      </c>
      <c r="J16" s="22" t="n">
        <f aca="false">-J12</f>
        <v>29.4853099943717</v>
      </c>
      <c r="K16" s="22" t="n">
        <f aca="false">-K12</f>
        <v>30.6647223941466</v>
      </c>
      <c r="L16" s="22" t="n">
        <f aca="false">-L12</f>
        <v>31.8913112899124</v>
      </c>
    </row>
    <row r="17" customFormat="false" ht="15" hidden="false" customHeight="false" outlineLevel="0" collapsed="false">
      <c r="A17" s="2" t="s">
        <v>140</v>
      </c>
      <c r="C17" s="23" t="n">
        <f aca="false">-C6*Assumptions!$B$7</f>
        <v>-25.228224</v>
      </c>
      <c r="D17" s="23" t="n">
        <f aca="false">-D6*Assumptions!$B$7</f>
        <v>-27.49876416</v>
      </c>
      <c r="E17" s="23" t="n">
        <f aca="false">-E6*Assumptions!$B$7</f>
        <v>-29.4236776512</v>
      </c>
      <c r="F17" s="23" t="n">
        <f aca="false">-F6*Assumptions!$B$7</f>
        <v>-31.189098310272</v>
      </c>
      <c r="G17" s="23" t="n">
        <f aca="false">-G6*Assumptions!$B$7</f>
        <v>-32.904498717337</v>
      </c>
      <c r="H17" s="23" t="n">
        <f aca="false">-H6*Assumptions!$B$7</f>
        <v>-34.5497236532038</v>
      </c>
      <c r="I17" s="23" t="n">
        <f aca="false">-I6*Assumptions!$B$7</f>
        <v>-36.277209835864</v>
      </c>
      <c r="J17" s="23" t="n">
        <f aca="false">-J6*Assumptions!$B$7</f>
        <v>-37.9096842784779</v>
      </c>
      <c r="K17" s="23" t="n">
        <f aca="false">-K6*Assumptions!$B$7</f>
        <v>-39.426071649617</v>
      </c>
      <c r="L17" s="23" t="n">
        <f aca="false">-L6*Assumptions!$B$7</f>
        <v>-41.0031145156017</v>
      </c>
    </row>
    <row r="18" customFormat="false" ht="15" hidden="false" customHeight="false" outlineLevel="0" collapsed="false">
      <c r="A18" s="2" t="s">
        <v>141</v>
      </c>
      <c r="C18" s="23" t="n">
        <f aca="false">Assumptions!$B$8*(C6-B6)</f>
        <v>0</v>
      </c>
      <c r="D18" s="23" t="n">
        <f aca="false">Assumptions!$B$8*(D6-C6)</f>
        <v>0</v>
      </c>
      <c r="E18" s="23" t="n">
        <f aca="false">Assumptions!$B$8*(E6-D6)</f>
        <v>0</v>
      </c>
      <c r="F18" s="23" t="n">
        <f aca="false">Assumptions!$B$8*(F6-E6)</f>
        <v>0</v>
      </c>
      <c r="G18" s="23" t="n">
        <f aca="false">Assumptions!$B$8*(G6-F6)</f>
        <v>0</v>
      </c>
      <c r="H18" s="23" t="n">
        <f aca="false">Assumptions!$B$8*(H6-G6)</f>
        <v>0</v>
      </c>
      <c r="I18" s="23" t="n">
        <f aca="false">Assumptions!$B$8*(I6-H6)</f>
        <v>0</v>
      </c>
      <c r="J18" s="23" t="n">
        <f aca="false">Assumptions!$B$8*(J6-I6)</f>
        <v>0</v>
      </c>
      <c r="K18" s="23" t="n">
        <f aca="false">Assumptions!$B$8*(K6-J6)</f>
        <v>0</v>
      </c>
      <c r="L18" s="23" t="n">
        <f aca="false">Assumptions!$B$8*(L6-K6)</f>
        <v>0</v>
      </c>
    </row>
    <row r="19" customFormat="false" ht="15" hidden="false" customHeight="false" outlineLevel="0" collapsed="false">
      <c r="A19" s="2" t="s">
        <v>142</v>
      </c>
      <c r="C19" s="24" t="n">
        <f aca="false">C15+C16+C17+C18</f>
        <v>435.887648</v>
      </c>
      <c r="D19" s="24" t="n">
        <f aca="false">D15+D16+D17+D18</f>
        <v>394.91280752</v>
      </c>
      <c r="E19" s="24" t="n">
        <f aca="false">E15+E16+E17+E18</f>
        <v>410.2968383584</v>
      </c>
      <c r="F19" s="24" t="n">
        <f aca="false">F15+F16+F17+F18</f>
        <v>421.919191030624</v>
      </c>
      <c r="G19" s="24" t="n">
        <f aca="false">G15+G16+G17+G18</f>
        <v>431.414538738418</v>
      </c>
      <c r="H19" s="24" t="n">
        <f aca="false">H15+H16+H17+H18</f>
        <v>452.985265675339</v>
      </c>
      <c r="I19" s="24" t="n">
        <f aca="false">I15+I16+I17+I18</f>
        <v>475.634528959106</v>
      </c>
      <c r="J19" s="24" t="n">
        <f aca="false">J15+J16+J17+J18</f>
        <v>512.833784544965</v>
      </c>
      <c r="K19" s="24" t="n">
        <f aca="false">K15+K16+K17+K18</f>
        <v>533.347135926763</v>
      </c>
      <c r="L19" s="24" t="n">
        <f aca="false">L15+L16+L17+L18</f>
        <v>571.765652412001</v>
      </c>
    </row>
    <row r="20" customFormat="false" ht="15" hidden="false" customHeight="false" outlineLevel="0" collapsed="false">
      <c r="A20" s="2" t="s">
        <v>143</v>
      </c>
      <c r="C20" s="25" t="n">
        <f aca="false">1/(1+Assumptions!$B$5)^C4</f>
        <v>0.904977375565611</v>
      </c>
      <c r="D20" s="25" t="n">
        <f aca="false">1/(1+Assumptions!$B$5)^D4</f>
        <v>0.818984050285621</v>
      </c>
      <c r="E20" s="25" t="n">
        <f aca="false">1/(1+Assumptions!$B$5)^E4</f>
        <v>0.741162036457575</v>
      </c>
      <c r="F20" s="25" t="n">
        <f aca="false">1/(1+Assumptions!$B$5)^F4</f>
        <v>0.67073487462224</v>
      </c>
      <c r="G20" s="25" t="n">
        <f aca="false">1/(1+Assumptions!$B$5)^G4</f>
        <v>0.606999886535964</v>
      </c>
      <c r="H20" s="25" t="n">
        <f aca="false">1/(1+Assumptions!$B$5)^H4</f>
        <v>0.54932116428594</v>
      </c>
      <c r="I20" s="25" t="n">
        <f aca="false">1/(1+Assumptions!$B$5)^I4</f>
        <v>0.497123225598136</v>
      </c>
      <c r="J20" s="25" t="n">
        <f aca="false">1/(1+Assumptions!$B$5)^J4</f>
        <v>0.449885272034512</v>
      </c>
      <c r="K20" s="25" t="n">
        <f aca="false">1/(1+Assumptions!$B$5)^K4</f>
        <v>0.407135992791414</v>
      </c>
      <c r="L20" s="25" t="n">
        <f aca="false">1/(1+Assumptions!$B$5)^L4</f>
        <v>0.368448862254673</v>
      </c>
    </row>
    <row r="21" customFormat="false" ht="15" hidden="false" customHeight="false" outlineLevel="0" collapsed="false">
      <c r="A21" s="2" t="s">
        <v>144</v>
      </c>
      <c r="C21" s="22" t="n">
        <f aca="false">C19*C20</f>
        <v>394.468459728507</v>
      </c>
      <c r="D21" s="22" t="n">
        <f aca="false">D19*D20</f>
        <v>323.427290612396</v>
      </c>
      <c r="E21" s="22" t="n">
        <f aca="false">E19*E20</f>
        <v>304.096440269816</v>
      </c>
      <c r="F21" s="22" t="n">
        <f aca="false">F19*F20</f>
        <v>282.995915696643</v>
      </c>
      <c r="G21" s="22" t="n">
        <f aca="false">G19*G20</f>
        <v>261.868576064185</v>
      </c>
      <c r="H21" s="22" t="n">
        <f aca="false">H19*H20</f>
        <v>248.834393545153</v>
      </c>
      <c r="I21" s="22" t="n">
        <f aca="false">I19*I20</f>
        <v>236.448971242001</v>
      </c>
      <c r="J21" s="22" t="n">
        <f aca="false">J19*J20</f>
        <v>230.7163666685</v>
      </c>
      <c r="K21" s="22" t="n">
        <f aca="false">K19*K20</f>
        <v>217.144815688</v>
      </c>
      <c r="L21" s="22" t="n">
        <f aca="false">L19*L20</f>
        <v>210.666404107503</v>
      </c>
    </row>
    <row r="23" customFormat="false" ht="15" hidden="false" customHeight="false" outlineLevel="0" collapsed="false">
      <c r="A23" s="2" t="s">
        <v>145</v>
      </c>
      <c r="C23" s="22" t="n">
        <f aca="false">C19-C10</f>
        <v>548.013088</v>
      </c>
      <c r="D23" s="22" t="n">
        <f aca="false">D19-D10</f>
        <v>517.12953712</v>
      </c>
      <c r="E23" s="22" t="n">
        <f aca="false">E19-E10</f>
        <v>541.0687390304</v>
      </c>
      <c r="F23" s="22" t="n">
        <f aca="false">F19-F10</f>
        <v>560.537405742944</v>
      </c>
      <c r="G23" s="22" t="n">
        <f aca="false">G19-G10</f>
        <v>577.656755259916</v>
      </c>
      <c r="H23" s="22" t="n">
        <f aca="false">H19-H10</f>
        <v>606.539593022912</v>
      </c>
      <c r="I23" s="22" t="n">
        <f aca="false">I19-I10</f>
        <v>636.866572674057</v>
      </c>
      <c r="J23" s="22" t="n">
        <f aca="false">J19-J10</f>
        <v>681.321270227089</v>
      </c>
      <c r="K23" s="22" t="n">
        <f aca="false">K19-K10</f>
        <v>708.574121036172</v>
      </c>
      <c r="L23" s="22" t="n">
        <f aca="false">L19-L10</f>
        <v>754.001716925787</v>
      </c>
    </row>
    <row r="24" customFormat="false" ht="15" hidden="false" customHeight="false" outlineLevel="0" collapsed="false">
      <c r="A24" s="2" t="s">
        <v>146</v>
      </c>
      <c r="C24" s="19" t="n">
        <f aca="false">C19/C6</f>
        <v>0.1555</v>
      </c>
      <c r="D24" s="19" t="n">
        <f aca="false">D19/D6</f>
        <v>0.12925</v>
      </c>
      <c r="E24" s="19" t="n">
        <f aca="false">E19/E6</f>
        <v>0.1255</v>
      </c>
      <c r="F24" s="19" t="n">
        <f aca="false">F19/F6</f>
        <v>0.12175</v>
      </c>
      <c r="G24" s="19" t="n">
        <f aca="false">G19/G6</f>
        <v>0.118</v>
      </c>
      <c r="H24" s="19" t="n">
        <f aca="false">H19/H6</f>
        <v>0.118</v>
      </c>
      <c r="I24" s="19" t="n">
        <f aca="false">I19/I6</f>
        <v>0.118</v>
      </c>
      <c r="J24" s="19" t="n">
        <f aca="false">J19/J6</f>
        <v>0.12175</v>
      </c>
      <c r="K24" s="19" t="n">
        <f aca="false">K19/K6</f>
        <v>0.12175</v>
      </c>
      <c r="L24" s="19" t="n">
        <f aca="false">L19/L6</f>
        <v>0.1255</v>
      </c>
    </row>
    <row r="25" customFormat="false" ht="15" hidden="false" customHeight="false" outlineLevel="0" collapsed="false">
      <c r="A25" s="4" t="s">
        <v>147</v>
      </c>
    </row>
    <row r="26" customFormat="false" ht="15" hidden="false" customHeight="false" outlineLevel="0" collapsed="false">
      <c r="A26" s="2" t="s">
        <v>148</v>
      </c>
      <c r="B26" s="22" t="n">
        <f aca="false">SUM(C21:L21)</f>
        <v>2710.6676336227</v>
      </c>
    </row>
    <row r="27" customFormat="false" ht="15" hidden="false" customHeight="false" outlineLevel="0" collapsed="false">
      <c r="A27" s="2" t="s">
        <v>107</v>
      </c>
      <c r="B27" s="26" t="n">
        <f aca="false">Assumptions!$C$15</f>
        <v>0.015</v>
      </c>
    </row>
    <row r="28" customFormat="false" ht="15" hidden="false" customHeight="false" outlineLevel="0" collapsed="false">
      <c r="A28" s="2" t="s">
        <v>149</v>
      </c>
      <c r="B28" s="22" t="n">
        <f aca="false">L19*(1+B27)</f>
        <v>580.342137198181</v>
      </c>
    </row>
    <row r="29" customFormat="false" ht="15" hidden="false" customHeight="false" outlineLevel="0" collapsed="false">
      <c r="A29" s="2" t="s">
        <v>150</v>
      </c>
      <c r="B29" s="22" t="n">
        <f aca="false">B28/(Assumptions!$B$5-B27)</f>
        <v>6448.24596886868</v>
      </c>
    </row>
    <row r="30" customFormat="false" ht="15" hidden="false" customHeight="false" outlineLevel="0" collapsed="false">
      <c r="A30" s="2" t="s">
        <v>151</v>
      </c>
      <c r="B30" s="23" t="n">
        <f aca="false">Assumptions!$B$12*L19</f>
        <v>11435.31304824</v>
      </c>
    </row>
    <row r="31" customFormat="false" ht="15" hidden="false" customHeight="false" outlineLevel="0" collapsed="false">
      <c r="A31" s="2" t="s">
        <v>152</v>
      </c>
      <c r="B31" s="22" t="n">
        <f aca="false">MAX(0,MIN(B29,B30))</f>
        <v>6448.24596886868</v>
      </c>
    </row>
    <row r="32" customFormat="false" ht="15" hidden="false" customHeight="false" outlineLevel="0" collapsed="false">
      <c r="A32" s="2" t="s">
        <v>153</v>
      </c>
      <c r="B32" s="27" t="n">
        <f aca="false">B31/L19</f>
        <v>11.2777777777778</v>
      </c>
    </row>
    <row r="33" customFormat="false" ht="15" hidden="false" customHeight="false" outlineLevel="0" collapsed="false">
      <c r="A33" s="2" t="s">
        <v>154</v>
      </c>
      <c r="B33" s="22" t="n">
        <f aca="false">B31*L20</f>
        <v>2375.84889076795</v>
      </c>
    </row>
    <row r="34" customFormat="false" ht="15" hidden="false" customHeight="false" outlineLevel="0" collapsed="false">
      <c r="A34" s="2" t="s">
        <v>155</v>
      </c>
      <c r="B34" s="22" t="n">
        <f aca="false">B26+B33</f>
        <v>5086.51652439065</v>
      </c>
    </row>
    <row r="35" customFormat="false" ht="15" hidden="false" customHeight="false" outlineLevel="0" collapsed="false">
      <c r="A35" s="2" t="s">
        <v>156</v>
      </c>
      <c r="B35" s="23" t="n">
        <f aca="false">Assumptions!$B$9</f>
        <v>1796</v>
      </c>
    </row>
    <row r="36" customFormat="false" ht="15" hidden="false" customHeight="false" outlineLevel="0" collapsed="false">
      <c r="A36" s="2" t="s">
        <v>157</v>
      </c>
      <c r="B36" s="22" t="n">
        <f aca="false">B34+B35</f>
        <v>6882.51652439065</v>
      </c>
    </row>
    <row r="37" customFormat="false" ht="15" hidden="false" customHeight="false" outlineLevel="0" collapsed="false">
      <c r="A37" s="2" t="s">
        <v>98</v>
      </c>
      <c r="B37" s="28" t="n">
        <f aca="false">Assumptions!$B$10</f>
        <v>1029.7</v>
      </c>
    </row>
    <row r="38" customFormat="false" ht="15" hidden="false" customHeight="false" outlineLevel="0" collapsed="false">
      <c r="A38" s="2" t="s">
        <v>158</v>
      </c>
      <c r="B38" s="29" t="n">
        <f aca="false">B36/B37</f>
        <v>6.68400167465344</v>
      </c>
    </row>
    <row r="39" customFormat="false" ht="15" hidden="false" customHeight="false" outlineLevel="0" collapsed="false">
      <c r="A39" s="2" t="s">
        <v>159</v>
      </c>
      <c r="B39" s="19" t="n">
        <f aca="false">B38/Assumptions!$B$11-1</f>
        <v>-0.483062515494707</v>
      </c>
    </row>
    <row r="41" customFormat="false" ht="15" hidden="false" customHeight="false" outlineLevel="0" collapsed="false">
      <c r="A41" s="2" t="s">
        <v>160</v>
      </c>
      <c r="B41" s="22" t="n">
        <f aca="false">SUMPRODUCT(-C10:L10/(1+Assumptions!$B$5)^C4:L4)</f>
        <v>859.021543589862</v>
      </c>
    </row>
    <row r="42" customFormat="false" ht="15" hidden="false" customHeight="false" outlineLevel="0" collapsed="false">
      <c r="A42" s="2" t="s">
        <v>161</v>
      </c>
      <c r="B42" s="22" t="n">
        <f aca="false">(-L10*(1+B27)/(Assumptions!$B$5-B27))*L20</f>
        <v>757.24267434835</v>
      </c>
    </row>
    <row r="43" customFormat="false" ht="15" hidden="false" customHeight="false" outlineLevel="0" collapsed="false">
      <c r="A43" s="2" t="s">
        <v>162</v>
      </c>
      <c r="B43" s="30" t="n">
        <f aca="false">(B36+B41+B42)/B37</f>
        <v>8.25364741412922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12" min="2" style="0" width="10.51"/>
  </cols>
  <sheetData>
    <row r="1" customFormat="false" ht="16.15" hidden="false" customHeight="false" outlineLevel="0" collapsed="false">
      <c r="A1" s="1" t="s">
        <v>163</v>
      </c>
    </row>
    <row r="2" customFormat="false" ht="15" hidden="false" customHeight="false" outlineLevel="0" collapsed="false">
      <c r="A2" s="5" t="s">
        <v>115</v>
      </c>
    </row>
    <row r="3" customFormat="false" ht="15" hidden="false" customHeight="false" outlineLevel="0" collapsed="false">
      <c r="B3" s="6" t="s">
        <v>116</v>
      </c>
      <c r="C3" s="6" t="s">
        <v>117</v>
      </c>
      <c r="D3" s="6" t="s">
        <v>118</v>
      </c>
      <c r="E3" s="6" t="s">
        <v>119</v>
      </c>
      <c r="F3" s="6" t="s">
        <v>120</v>
      </c>
      <c r="G3" s="6" t="s">
        <v>121</v>
      </c>
      <c r="H3" s="6" t="s">
        <v>122</v>
      </c>
      <c r="I3" s="6" t="s">
        <v>123</v>
      </c>
      <c r="J3" s="6" t="s">
        <v>124</v>
      </c>
      <c r="K3" s="6" t="s">
        <v>125</v>
      </c>
      <c r="L3" s="6" t="s">
        <v>126</v>
      </c>
    </row>
    <row r="4" customFormat="false" ht="15" hidden="false" customHeight="false" outlineLevel="0" collapsed="false">
      <c r="A4" s="20" t="s">
        <v>127</v>
      </c>
      <c r="B4" s="20" t="n">
        <v>0</v>
      </c>
      <c r="C4" s="20" t="n">
        <v>1</v>
      </c>
      <c r="D4" s="20" t="n">
        <v>2</v>
      </c>
      <c r="E4" s="20" t="n">
        <v>3</v>
      </c>
      <c r="F4" s="20" t="n">
        <v>4</v>
      </c>
      <c r="G4" s="20" t="n">
        <v>5</v>
      </c>
      <c r="H4" s="20" t="n">
        <v>6</v>
      </c>
      <c r="I4" s="20" t="n">
        <v>7</v>
      </c>
      <c r="J4" s="20" t="n">
        <v>8</v>
      </c>
      <c r="K4" s="20" t="n">
        <v>9</v>
      </c>
      <c r="L4" s="20" t="n">
        <v>10</v>
      </c>
    </row>
    <row r="5" customFormat="false" ht="15" hidden="false" customHeight="false" outlineLevel="0" collapsed="false">
      <c r="A5" s="2" t="s">
        <v>128</v>
      </c>
      <c r="C5" s="14" t="n">
        <v>0.17</v>
      </c>
      <c r="D5" s="14" t="n">
        <v>0.155</v>
      </c>
      <c r="E5" s="14" t="n">
        <v>0.14</v>
      </c>
      <c r="F5" s="14" t="n">
        <v>0.13</v>
      </c>
      <c r="G5" s="14" t="n">
        <v>0.12</v>
      </c>
      <c r="H5" s="14" t="n">
        <v>0.11</v>
      </c>
      <c r="I5" s="14" t="n">
        <v>0.1</v>
      </c>
      <c r="J5" s="14" t="n">
        <v>0.09</v>
      </c>
      <c r="K5" s="14" t="n">
        <v>0.08</v>
      </c>
      <c r="L5" s="14" t="n">
        <v>0.07</v>
      </c>
    </row>
    <row r="6" customFormat="false" ht="15" hidden="false" customHeight="false" outlineLevel="0" collapsed="false">
      <c r="A6" s="2" t="s">
        <v>129</v>
      </c>
      <c r="B6" s="21" t="n">
        <v>2502.8</v>
      </c>
      <c r="C6" s="22" t="n">
        <f aca="false">B6*(1+C5)</f>
        <v>2928.276</v>
      </c>
      <c r="D6" s="22" t="n">
        <f aca="false">C6*(1+D5)</f>
        <v>3382.15878</v>
      </c>
      <c r="E6" s="22" t="n">
        <f aca="false">D6*(1+E5)</f>
        <v>3855.6610092</v>
      </c>
      <c r="F6" s="22" t="n">
        <f aca="false">E6*(1+F5)</f>
        <v>4356.896940396</v>
      </c>
      <c r="G6" s="22" t="n">
        <f aca="false">F6*(1+G5)</f>
        <v>4879.72457324352</v>
      </c>
      <c r="H6" s="22" t="n">
        <f aca="false">G6*(1+H5)</f>
        <v>5416.49427630031</v>
      </c>
      <c r="I6" s="22" t="n">
        <f aca="false">H6*(1+I5)</f>
        <v>5958.14370393034</v>
      </c>
      <c r="J6" s="22" t="n">
        <f aca="false">I6*(1+J5)</f>
        <v>6494.37663728407</v>
      </c>
      <c r="K6" s="22" t="n">
        <f aca="false">J6*(1+K5)</f>
        <v>7013.9267682668</v>
      </c>
      <c r="L6" s="22" t="n">
        <f aca="false">K6*(1+L5)</f>
        <v>7504.90164204547</v>
      </c>
    </row>
    <row r="7" customFormat="false" ht="15" hidden="false" customHeight="false" outlineLevel="0" collapsed="false">
      <c r="A7" s="2" t="s">
        <v>130</v>
      </c>
      <c r="B7" s="11" t="n">
        <v>0.28</v>
      </c>
      <c r="C7" s="14" t="n">
        <v>0.265</v>
      </c>
      <c r="D7" s="14" t="n">
        <v>0.26</v>
      </c>
      <c r="E7" s="14" t="n">
        <v>0.255</v>
      </c>
      <c r="F7" s="14" t="n">
        <v>0.255</v>
      </c>
      <c r="G7" s="14" t="n">
        <v>0.255</v>
      </c>
      <c r="H7" s="14" t="n">
        <v>0.26</v>
      </c>
      <c r="I7" s="14" t="n">
        <v>0.265</v>
      </c>
      <c r="J7" s="14" t="n">
        <v>0.27</v>
      </c>
      <c r="K7" s="14" t="n">
        <v>0.275</v>
      </c>
      <c r="L7" s="14" t="n">
        <v>0.275</v>
      </c>
    </row>
    <row r="8" customFormat="false" ht="15" hidden="false" customHeight="false" outlineLevel="0" collapsed="false">
      <c r="A8" s="2" t="s">
        <v>131</v>
      </c>
      <c r="C8" s="22" t="n">
        <f aca="false">C6*C7</f>
        <v>775.99314</v>
      </c>
      <c r="D8" s="22" t="n">
        <f aca="false">D6*D7</f>
        <v>879.3612828</v>
      </c>
      <c r="E8" s="22" t="n">
        <f aca="false">E6*E7</f>
        <v>983.193557346</v>
      </c>
      <c r="F8" s="22" t="n">
        <f aca="false">F6*F7</f>
        <v>1111.00871980098</v>
      </c>
      <c r="G8" s="22" t="n">
        <f aca="false">G6*G7</f>
        <v>1244.3297661771</v>
      </c>
      <c r="H8" s="22" t="n">
        <f aca="false">H6*H7</f>
        <v>1408.28851183808</v>
      </c>
      <c r="I8" s="22" t="n">
        <f aca="false">I6*I7</f>
        <v>1578.90808154154</v>
      </c>
      <c r="J8" s="22" t="n">
        <f aca="false">J6*J7</f>
        <v>1753.4816920667</v>
      </c>
      <c r="K8" s="22" t="n">
        <f aca="false">K6*K7</f>
        <v>1928.82986127337</v>
      </c>
      <c r="L8" s="22" t="n">
        <f aca="false">L6*L7</f>
        <v>2063.84795156251</v>
      </c>
    </row>
    <row r="9" customFormat="false" ht="15" hidden="false" customHeight="false" outlineLevel="0" collapsed="false">
      <c r="A9" s="2" t="s">
        <v>132</v>
      </c>
      <c r="B9" s="11" t="n">
        <v>0.038</v>
      </c>
      <c r="C9" s="14" t="n">
        <v>0.038</v>
      </c>
      <c r="D9" s="14" t="n">
        <v>0.038</v>
      </c>
      <c r="E9" s="14" t="n">
        <v>0.038</v>
      </c>
      <c r="F9" s="14" t="n">
        <v>0.038</v>
      </c>
      <c r="G9" s="14" t="n">
        <v>0.038</v>
      </c>
      <c r="H9" s="14" t="n">
        <v>0.038</v>
      </c>
      <c r="I9" s="14" t="n">
        <v>0.038</v>
      </c>
      <c r="J9" s="14" t="n">
        <v>0.038</v>
      </c>
      <c r="K9" s="14" t="n">
        <v>0.038</v>
      </c>
      <c r="L9" s="14" t="n">
        <v>0.038</v>
      </c>
    </row>
    <row r="10" customFormat="false" ht="15" hidden="false" customHeight="false" outlineLevel="0" collapsed="false">
      <c r="A10" s="2" t="s">
        <v>133</v>
      </c>
      <c r="C10" s="22" t="n">
        <f aca="false">-C6*C9</f>
        <v>-111.274488</v>
      </c>
      <c r="D10" s="22" t="n">
        <f aca="false">-D6*D9</f>
        <v>-128.52203364</v>
      </c>
      <c r="E10" s="22" t="n">
        <f aca="false">-E6*E9</f>
        <v>-146.5151183496</v>
      </c>
      <c r="F10" s="22" t="n">
        <f aca="false">-F6*F9</f>
        <v>-165.562083735048</v>
      </c>
      <c r="G10" s="22" t="n">
        <f aca="false">-G6*G9</f>
        <v>-185.429533783254</v>
      </c>
      <c r="H10" s="22" t="n">
        <f aca="false">-H6*H9</f>
        <v>-205.826782499412</v>
      </c>
      <c r="I10" s="22" t="n">
        <f aca="false">-I6*I9</f>
        <v>-226.409460749353</v>
      </c>
      <c r="J10" s="22" t="n">
        <f aca="false">-J6*J9</f>
        <v>-246.786312216795</v>
      </c>
      <c r="K10" s="22" t="n">
        <f aca="false">-K6*K9</f>
        <v>-266.529217194138</v>
      </c>
      <c r="L10" s="22" t="n">
        <f aca="false">-L6*L9</f>
        <v>-285.186262397728</v>
      </c>
    </row>
    <row r="11" customFormat="false" ht="15" hidden="false" customHeight="false" outlineLevel="0" collapsed="false">
      <c r="A11" s="2" t="s">
        <v>134</v>
      </c>
      <c r="C11" s="22" t="n">
        <f aca="false">C8+C10</f>
        <v>664.718652</v>
      </c>
      <c r="D11" s="22" t="n">
        <f aca="false">D8+D10</f>
        <v>750.83924916</v>
      </c>
      <c r="E11" s="22" t="n">
        <f aca="false">E8+E10</f>
        <v>836.6784389964</v>
      </c>
      <c r="F11" s="22" t="n">
        <f aca="false">F8+F10</f>
        <v>945.446636065932</v>
      </c>
      <c r="G11" s="22" t="n">
        <f aca="false">G8+G10</f>
        <v>1058.90023239384</v>
      </c>
      <c r="H11" s="22" t="n">
        <f aca="false">H8+H10</f>
        <v>1202.46172933867</v>
      </c>
      <c r="I11" s="22" t="n">
        <f aca="false">I8+I10</f>
        <v>1352.49862079219</v>
      </c>
      <c r="J11" s="22" t="n">
        <f aca="false">J8+J10</f>
        <v>1506.6953798499</v>
      </c>
      <c r="K11" s="22" t="n">
        <f aca="false">K8+K10</f>
        <v>1662.30064407923</v>
      </c>
      <c r="L11" s="22" t="n">
        <f aca="false">L8+L10</f>
        <v>1778.66168916478</v>
      </c>
    </row>
    <row r="12" customFormat="false" ht="15" hidden="false" customHeight="false" outlineLevel="0" collapsed="false">
      <c r="A12" s="2" t="s">
        <v>135</v>
      </c>
      <c r="C12" s="23" t="n">
        <f aca="false">-C6*Assumptions!$B$6</f>
        <v>-20.497932</v>
      </c>
      <c r="D12" s="23" t="n">
        <f aca="false">-D6*Assumptions!$B$6</f>
        <v>-23.67511146</v>
      </c>
      <c r="E12" s="23" t="n">
        <f aca="false">-E6*Assumptions!$B$6</f>
        <v>-26.9896270644</v>
      </c>
      <c r="F12" s="23" t="n">
        <f aca="false">-F6*Assumptions!$B$6</f>
        <v>-30.498278582772</v>
      </c>
      <c r="G12" s="23" t="n">
        <f aca="false">-G6*Assumptions!$B$6</f>
        <v>-34.1580720127046</v>
      </c>
      <c r="H12" s="23" t="n">
        <f aca="false">-H6*Assumptions!$B$6</f>
        <v>-37.9154599341022</v>
      </c>
      <c r="I12" s="23" t="n">
        <f aca="false">-I6*Assumptions!$B$6</f>
        <v>-41.7070059275124</v>
      </c>
      <c r="J12" s="23" t="n">
        <f aca="false">-J6*Assumptions!$B$6</f>
        <v>-45.4606364609885</v>
      </c>
      <c r="K12" s="23" t="n">
        <f aca="false">-K6*Assumptions!$B$6</f>
        <v>-49.0974873778676</v>
      </c>
      <c r="L12" s="23" t="n">
        <f aca="false">-L6*Assumptions!$B$6</f>
        <v>-52.5343114943183</v>
      </c>
    </row>
    <row r="13" customFormat="false" ht="15" hidden="false" customHeight="false" outlineLevel="0" collapsed="false">
      <c r="A13" s="2" t="s">
        <v>136</v>
      </c>
      <c r="C13" s="22" t="n">
        <f aca="false">C11+C12</f>
        <v>644.22072</v>
      </c>
      <c r="D13" s="22" t="n">
        <f aca="false">D11+D12</f>
        <v>727.1641377</v>
      </c>
      <c r="E13" s="22" t="n">
        <f aca="false">E11+E12</f>
        <v>809.688811932</v>
      </c>
      <c r="F13" s="22" t="n">
        <f aca="false">F11+F12</f>
        <v>914.94835748316</v>
      </c>
      <c r="G13" s="22" t="n">
        <f aca="false">G11+G12</f>
        <v>1024.74216038114</v>
      </c>
      <c r="H13" s="22" t="n">
        <f aca="false">H11+H12</f>
        <v>1164.54626940457</v>
      </c>
      <c r="I13" s="22" t="n">
        <f aca="false">I11+I12</f>
        <v>1310.79161486467</v>
      </c>
      <c r="J13" s="22" t="n">
        <f aca="false">J11+J12</f>
        <v>1461.23474338892</v>
      </c>
      <c r="K13" s="22" t="n">
        <f aca="false">K11+K12</f>
        <v>1613.20315670136</v>
      </c>
      <c r="L13" s="22" t="n">
        <f aca="false">L11+L12</f>
        <v>1726.12737767046</v>
      </c>
    </row>
    <row r="14" customFormat="false" ht="15" hidden="false" customHeight="false" outlineLevel="0" collapsed="false">
      <c r="A14" s="2" t="s">
        <v>137</v>
      </c>
      <c r="C14" s="14" t="n">
        <v>0.25</v>
      </c>
      <c r="D14" s="14" t="n">
        <v>0.25</v>
      </c>
      <c r="E14" s="14" t="n">
        <v>0.25</v>
      </c>
      <c r="F14" s="14" t="n">
        <v>0.25</v>
      </c>
      <c r="G14" s="14" t="n">
        <v>0.25</v>
      </c>
      <c r="H14" s="14" t="n">
        <v>0.25</v>
      </c>
      <c r="I14" s="14" t="n">
        <v>0.25</v>
      </c>
      <c r="J14" s="14" t="n">
        <v>0.25</v>
      </c>
      <c r="K14" s="14" t="n">
        <v>0.25</v>
      </c>
      <c r="L14" s="14" t="n">
        <v>0.25</v>
      </c>
    </row>
    <row r="15" customFormat="false" ht="15" hidden="false" customHeight="false" outlineLevel="0" collapsed="false">
      <c r="A15" s="2" t="s">
        <v>138</v>
      </c>
      <c r="C15" s="22" t="n">
        <f aca="false">C13*(1-C14)</f>
        <v>483.16554</v>
      </c>
      <c r="D15" s="22" t="n">
        <f aca="false">D13*(1-D14)</f>
        <v>545.373103275</v>
      </c>
      <c r="E15" s="22" t="n">
        <f aca="false">E13*(1-E14)</f>
        <v>607.266608949</v>
      </c>
      <c r="F15" s="22" t="n">
        <f aca="false">F13*(1-F14)</f>
        <v>686.21126811237</v>
      </c>
      <c r="G15" s="22" t="n">
        <f aca="false">G13*(1-G14)</f>
        <v>768.556620285855</v>
      </c>
      <c r="H15" s="22" t="n">
        <f aca="false">H13*(1-H14)</f>
        <v>873.409702053425</v>
      </c>
      <c r="I15" s="22" t="n">
        <f aca="false">I13*(1-I14)</f>
        <v>983.093711148506</v>
      </c>
      <c r="J15" s="22" t="n">
        <f aca="false">J13*(1-J14)</f>
        <v>1095.92605754169</v>
      </c>
      <c r="K15" s="22" t="n">
        <f aca="false">K13*(1-K14)</f>
        <v>1209.90236752602</v>
      </c>
      <c r="L15" s="22" t="n">
        <f aca="false">L13*(1-L14)</f>
        <v>1294.59553325284</v>
      </c>
    </row>
    <row r="16" customFormat="false" ht="15" hidden="false" customHeight="false" outlineLevel="0" collapsed="false">
      <c r="A16" s="2" t="s">
        <v>139</v>
      </c>
      <c r="C16" s="22" t="n">
        <f aca="false">-C12</f>
        <v>20.497932</v>
      </c>
      <c r="D16" s="22" t="n">
        <f aca="false">-D12</f>
        <v>23.67511146</v>
      </c>
      <c r="E16" s="22" t="n">
        <f aca="false">-E12</f>
        <v>26.9896270644</v>
      </c>
      <c r="F16" s="22" t="n">
        <f aca="false">-F12</f>
        <v>30.498278582772</v>
      </c>
      <c r="G16" s="22" t="n">
        <f aca="false">-G12</f>
        <v>34.1580720127046</v>
      </c>
      <c r="H16" s="22" t="n">
        <f aca="false">-H12</f>
        <v>37.9154599341022</v>
      </c>
      <c r="I16" s="22" t="n">
        <f aca="false">-I12</f>
        <v>41.7070059275124</v>
      </c>
      <c r="J16" s="22" t="n">
        <f aca="false">-J12</f>
        <v>45.4606364609885</v>
      </c>
      <c r="K16" s="22" t="n">
        <f aca="false">-K12</f>
        <v>49.0974873778676</v>
      </c>
      <c r="L16" s="22" t="n">
        <f aca="false">-L12</f>
        <v>52.5343114943183</v>
      </c>
    </row>
    <row r="17" customFormat="false" ht="15" hidden="false" customHeight="false" outlineLevel="0" collapsed="false">
      <c r="A17" s="2" t="s">
        <v>140</v>
      </c>
      <c r="C17" s="23" t="n">
        <f aca="false">-C6*Assumptions!$B$7</f>
        <v>-26.354484</v>
      </c>
      <c r="D17" s="23" t="n">
        <f aca="false">-D6*Assumptions!$B$7</f>
        <v>-30.43942902</v>
      </c>
      <c r="E17" s="23" t="n">
        <f aca="false">-E6*Assumptions!$B$7</f>
        <v>-34.7009490828</v>
      </c>
      <c r="F17" s="23" t="n">
        <f aca="false">-F6*Assumptions!$B$7</f>
        <v>-39.212072463564</v>
      </c>
      <c r="G17" s="23" t="n">
        <f aca="false">-G6*Assumptions!$B$7</f>
        <v>-43.9175211591917</v>
      </c>
      <c r="H17" s="23" t="n">
        <f aca="false">-H6*Assumptions!$B$7</f>
        <v>-48.7484484867028</v>
      </c>
      <c r="I17" s="23" t="n">
        <f aca="false">-I6*Assumptions!$B$7</f>
        <v>-53.6232933353731</v>
      </c>
      <c r="J17" s="23" t="n">
        <f aca="false">-J6*Assumptions!$B$7</f>
        <v>-58.4493897355566</v>
      </c>
      <c r="K17" s="23" t="n">
        <f aca="false">-K6*Assumptions!$B$7</f>
        <v>-63.1253409144012</v>
      </c>
      <c r="L17" s="23" t="n">
        <f aca="false">-L6*Assumptions!$B$7</f>
        <v>-67.5441147784092</v>
      </c>
    </row>
    <row r="18" customFormat="false" ht="15" hidden="false" customHeight="false" outlineLevel="0" collapsed="false">
      <c r="A18" s="2" t="s">
        <v>141</v>
      </c>
      <c r="C18" s="23" t="n">
        <f aca="false">Assumptions!$B$8*(C6-B6)</f>
        <v>0</v>
      </c>
      <c r="D18" s="23" t="n">
        <f aca="false">Assumptions!$B$8*(D6-C6)</f>
        <v>0</v>
      </c>
      <c r="E18" s="23" t="n">
        <f aca="false">Assumptions!$B$8*(E6-D6)</f>
        <v>0</v>
      </c>
      <c r="F18" s="23" t="n">
        <f aca="false">Assumptions!$B$8*(F6-E6)</f>
        <v>0</v>
      </c>
      <c r="G18" s="23" t="n">
        <f aca="false">Assumptions!$B$8*(G6-F6)</f>
        <v>0</v>
      </c>
      <c r="H18" s="23" t="n">
        <f aca="false">Assumptions!$B$8*(H6-G6)</f>
        <v>0</v>
      </c>
      <c r="I18" s="23" t="n">
        <f aca="false">Assumptions!$B$8*(I6-H6)</f>
        <v>0</v>
      </c>
      <c r="J18" s="23" t="n">
        <f aca="false">Assumptions!$B$8*(J6-I6)</f>
        <v>0</v>
      </c>
      <c r="K18" s="23" t="n">
        <f aca="false">Assumptions!$B$8*(K6-J6)</f>
        <v>0</v>
      </c>
      <c r="L18" s="23" t="n">
        <f aca="false">Assumptions!$B$8*(L6-K6)</f>
        <v>0</v>
      </c>
    </row>
    <row r="19" customFormat="false" ht="15" hidden="false" customHeight="false" outlineLevel="0" collapsed="false">
      <c r="A19" s="2" t="s">
        <v>142</v>
      </c>
      <c r="C19" s="24" t="n">
        <f aca="false">C15+C16+C17+C18</f>
        <v>477.308988</v>
      </c>
      <c r="D19" s="24" t="n">
        <f aca="false">D15+D16+D17+D18</f>
        <v>538.608785715</v>
      </c>
      <c r="E19" s="24" t="n">
        <f aca="false">E15+E16+E17+E18</f>
        <v>599.5552869306</v>
      </c>
      <c r="F19" s="24" t="n">
        <f aca="false">F15+F16+F17+F18</f>
        <v>677.497474231578</v>
      </c>
      <c r="G19" s="24" t="n">
        <f aca="false">G15+G16+G17+G18</f>
        <v>758.797171139368</v>
      </c>
      <c r="H19" s="24" t="n">
        <f aca="false">H15+H16+H17+H18</f>
        <v>862.576713500824</v>
      </c>
      <c r="I19" s="24" t="n">
        <f aca="false">I15+I16+I17+I18</f>
        <v>971.177423740645</v>
      </c>
      <c r="J19" s="24" t="n">
        <f aca="false">J15+J16+J17+J18</f>
        <v>1082.93730426712</v>
      </c>
      <c r="K19" s="24" t="n">
        <f aca="false">K15+K16+K17+K18</f>
        <v>1195.87451398949</v>
      </c>
      <c r="L19" s="24" t="n">
        <f aca="false">L15+L16+L17+L18</f>
        <v>1279.58572996875</v>
      </c>
    </row>
    <row r="20" customFormat="false" ht="15" hidden="false" customHeight="false" outlineLevel="0" collapsed="false">
      <c r="A20" s="2" t="s">
        <v>143</v>
      </c>
      <c r="C20" s="25" t="n">
        <f aca="false">1/(1+Assumptions!$B$5)^C4</f>
        <v>0.904977375565611</v>
      </c>
      <c r="D20" s="25" t="n">
        <f aca="false">1/(1+Assumptions!$B$5)^D4</f>
        <v>0.818984050285621</v>
      </c>
      <c r="E20" s="25" t="n">
        <f aca="false">1/(1+Assumptions!$B$5)^E4</f>
        <v>0.741162036457575</v>
      </c>
      <c r="F20" s="25" t="n">
        <f aca="false">1/(1+Assumptions!$B$5)^F4</f>
        <v>0.67073487462224</v>
      </c>
      <c r="G20" s="25" t="n">
        <f aca="false">1/(1+Assumptions!$B$5)^G4</f>
        <v>0.606999886535964</v>
      </c>
      <c r="H20" s="25" t="n">
        <f aca="false">1/(1+Assumptions!$B$5)^H4</f>
        <v>0.54932116428594</v>
      </c>
      <c r="I20" s="25" t="n">
        <f aca="false">1/(1+Assumptions!$B$5)^I4</f>
        <v>0.497123225598136</v>
      </c>
      <c r="J20" s="25" t="n">
        <f aca="false">1/(1+Assumptions!$B$5)^J4</f>
        <v>0.449885272034512</v>
      </c>
      <c r="K20" s="25" t="n">
        <f aca="false">1/(1+Assumptions!$B$5)^K4</f>
        <v>0.407135992791414</v>
      </c>
      <c r="L20" s="25" t="n">
        <f aca="false">1/(1+Assumptions!$B$5)^L4</f>
        <v>0.368448862254673</v>
      </c>
    </row>
    <row r="21" customFormat="false" ht="15" hidden="false" customHeight="false" outlineLevel="0" collapsed="false">
      <c r="A21" s="2" t="s">
        <v>144</v>
      </c>
      <c r="C21" s="22" t="n">
        <f aca="false">C19*C20</f>
        <v>431.953835294118</v>
      </c>
      <c r="D21" s="22" t="n">
        <f aca="false">D19*D20</f>
        <v>441.112004844291</v>
      </c>
      <c r="E21" s="22" t="n">
        <f aca="false">E19*E20</f>
        <v>444.367617430389</v>
      </c>
      <c r="F21" s="22" t="n">
        <f aca="false">F19*F20</f>
        <v>454.421183435602</v>
      </c>
      <c r="G21" s="22" t="n">
        <f aca="false">G19*G20</f>
        <v>460.589796785406</v>
      </c>
      <c r="H21" s="22" t="n">
        <f aca="false">H19*H20</f>
        <v>473.831644546213</v>
      </c>
      <c r="I21" s="22" t="n">
        <f aca="false">I19*I20</f>
        <v>482.794853518037</v>
      </c>
      <c r="J21" s="22" t="n">
        <f aca="false">J19*J20</f>
        <v>487.197543726534</v>
      </c>
      <c r="K21" s="22" t="n">
        <f aca="false">K19*K20</f>
        <v>486.88355750706</v>
      </c>
      <c r="L21" s="22" t="n">
        <f aca="false">L19*L20</f>
        <v>471.461906364302</v>
      </c>
    </row>
    <row r="23" customFormat="false" ht="15" hidden="false" customHeight="false" outlineLevel="0" collapsed="false">
      <c r="A23" s="2" t="s">
        <v>145</v>
      </c>
      <c r="C23" s="22" t="n">
        <f aca="false">C19-C10</f>
        <v>588.583476</v>
      </c>
      <c r="D23" s="22" t="n">
        <f aca="false">D19-D10</f>
        <v>667.130819355</v>
      </c>
      <c r="E23" s="22" t="n">
        <f aca="false">E19-E10</f>
        <v>746.0704052802</v>
      </c>
      <c r="F23" s="22" t="n">
        <f aca="false">F19-F10</f>
        <v>843.059557966626</v>
      </c>
      <c r="G23" s="22" t="n">
        <f aca="false">G19-G10</f>
        <v>944.226704922621</v>
      </c>
      <c r="H23" s="22" t="n">
        <f aca="false">H19-H10</f>
        <v>1068.40349600024</v>
      </c>
      <c r="I23" s="22" t="n">
        <f aca="false">I19-I10</f>
        <v>1197.58688449</v>
      </c>
      <c r="J23" s="22" t="n">
        <f aca="false">J19-J10</f>
        <v>1329.72361648391</v>
      </c>
      <c r="K23" s="22" t="n">
        <f aca="false">K19-K10</f>
        <v>1462.40373118363</v>
      </c>
      <c r="L23" s="22" t="n">
        <f aca="false">L19-L10</f>
        <v>1564.77199236648</v>
      </c>
    </row>
    <row r="24" customFormat="false" ht="15" hidden="false" customHeight="false" outlineLevel="0" collapsed="false">
      <c r="A24" s="2" t="s">
        <v>146</v>
      </c>
      <c r="C24" s="19" t="n">
        <f aca="false">C19/C6</f>
        <v>0.163</v>
      </c>
      <c r="D24" s="19" t="n">
        <f aca="false">D19/D6</f>
        <v>0.15925</v>
      </c>
      <c r="E24" s="19" t="n">
        <f aca="false">E19/E6</f>
        <v>0.1555</v>
      </c>
      <c r="F24" s="19" t="n">
        <f aca="false">F19/F6</f>
        <v>0.1555</v>
      </c>
      <c r="G24" s="19" t="n">
        <f aca="false">G19/G6</f>
        <v>0.1555</v>
      </c>
      <c r="H24" s="19" t="n">
        <f aca="false">H19/H6</f>
        <v>0.15925</v>
      </c>
      <c r="I24" s="19" t="n">
        <f aca="false">I19/I6</f>
        <v>0.163</v>
      </c>
      <c r="J24" s="19" t="n">
        <f aca="false">J19/J6</f>
        <v>0.16675</v>
      </c>
      <c r="K24" s="19" t="n">
        <f aca="false">K19/K6</f>
        <v>0.1705</v>
      </c>
      <c r="L24" s="19" t="n">
        <f aca="false">L19/L6</f>
        <v>0.1705</v>
      </c>
    </row>
    <row r="25" customFormat="false" ht="15" hidden="false" customHeight="false" outlineLevel="0" collapsed="false">
      <c r="A25" s="4" t="s">
        <v>147</v>
      </c>
    </row>
    <row r="26" customFormat="false" ht="15" hidden="false" customHeight="false" outlineLevel="0" collapsed="false">
      <c r="A26" s="2" t="s">
        <v>148</v>
      </c>
      <c r="B26" s="22" t="n">
        <f aca="false">SUM(C21:L21)</f>
        <v>4634.61394345195</v>
      </c>
    </row>
    <row r="27" customFormat="false" ht="15" hidden="false" customHeight="false" outlineLevel="0" collapsed="false">
      <c r="A27" s="2" t="s">
        <v>107</v>
      </c>
      <c r="B27" s="26" t="n">
        <f aca="false">Assumptions!$D$15</f>
        <v>0.03</v>
      </c>
    </row>
    <row r="28" customFormat="false" ht="15" hidden="false" customHeight="false" outlineLevel="0" collapsed="false">
      <c r="A28" s="2" t="s">
        <v>149</v>
      </c>
      <c r="B28" s="22" t="n">
        <f aca="false">L19*(1+B27)</f>
        <v>1317.97330186782</v>
      </c>
    </row>
    <row r="29" customFormat="false" ht="15" hidden="false" customHeight="false" outlineLevel="0" collapsed="false">
      <c r="A29" s="2" t="s">
        <v>150</v>
      </c>
      <c r="B29" s="22" t="n">
        <f aca="false">B28/(Assumptions!$B$5-B27)</f>
        <v>17572.9773582375</v>
      </c>
    </row>
    <row r="30" customFormat="false" ht="15" hidden="false" customHeight="false" outlineLevel="0" collapsed="false">
      <c r="A30" s="2" t="s">
        <v>151</v>
      </c>
      <c r="B30" s="23" t="n">
        <f aca="false">Assumptions!$B$12*L19</f>
        <v>25591.7145993751</v>
      </c>
    </row>
    <row r="31" customFormat="false" ht="15" hidden="false" customHeight="false" outlineLevel="0" collapsed="false">
      <c r="A31" s="2" t="s">
        <v>152</v>
      </c>
      <c r="B31" s="22" t="n">
        <f aca="false">MAX(0,MIN(B29,B30))</f>
        <v>17572.9773582375</v>
      </c>
    </row>
    <row r="32" customFormat="false" ht="15" hidden="false" customHeight="false" outlineLevel="0" collapsed="false">
      <c r="A32" s="2" t="s">
        <v>153</v>
      </c>
      <c r="B32" s="27" t="n">
        <f aca="false">B31/L19</f>
        <v>13.7333333333333</v>
      </c>
    </row>
    <row r="33" customFormat="false" ht="15" hidden="false" customHeight="false" outlineLevel="0" collapsed="false">
      <c r="A33" s="2" t="s">
        <v>154</v>
      </c>
      <c r="B33" s="22" t="n">
        <f aca="false">B31*L20</f>
        <v>6474.74351406975</v>
      </c>
    </row>
    <row r="34" customFormat="false" ht="15" hidden="false" customHeight="false" outlineLevel="0" collapsed="false">
      <c r="A34" s="2" t="s">
        <v>155</v>
      </c>
      <c r="B34" s="22" t="n">
        <f aca="false">B26+B33</f>
        <v>11109.3574575217</v>
      </c>
    </row>
    <row r="35" customFormat="false" ht="15" hidden="false" customHeight="false" outlineLevel="0" collapsed="false">
      <c r="A35" s="2" t="s">
        <v>156</v>
      </c>
      <c r="B35" s="23" t="n">
        <f aca="false">Assumptions!$B$9</f>
        <v>1796</v>
      </c>
    </row>
    <row r="36" customFormat="false" ht="15" hidden="false" customHeight="false" outlineLevel="0" collapsed="false">
      <c r="A36" s="2" t="s">
        <v>157</v>
      </c>
      <c r="B36" s="22" t="n">
        <f aca="false">B34+B35</f>
        <v>12905.3574575217</v>
      </c>
    </row>
    <row r="37" customFormat="false" ht="15" hidden="false" customHeight="false" outlineLevel="0" collapsed="false">
      <c r="A37" s="2" t="s">
        <v>98</v>
      </c>
      <c r="B37" s="28" t="n">
        <f aca="false">Assumptions!$B$10</f>
        <v>1029.7</v>
      </c>
    </row>
    <row r="38" customFormat="false" ht="15" hidden="false" customHeight="false" outlineLevel="0" collapsed="false">
      <c r="A38" s="2" t="s">
        <v>158</v>
      </c>
      <c r="B38" s="29" t="n">
        <f aca="false">B36/B37</f>
        <v>12.5331236841038</v>
      </c>
    </row>
    <row r="39" customFormat="false" ht="15" hidden="false" customHeight="false" outlineLevel="0" collapsed="false">
      <c r="A39" s="2" t="s">
        <v>159</v>
      </c>
      <c r="B39" s="19" t="n">
        <f aca="false">B38/Assumptions!$B$11-1</f>
        <v>-0.0306942239672218</v>
      </c>
    </row>
    <row r="41" customFormat="false" ht="15" hidden="false" customHeight="false" outlineLevel="0" collapsed="false">
      <c r="A41" s="2" t="s">
        <v>160</v>
      </c>
      <c r="B41" s="22" t="n">
        <f aca="false">SUMPRODUCT(-C10:L10/(1+Assumptions!$B$5)^C4:L4)</f>
        <v>1088.38793051483</v>
      </c>
    </row>
    <row r="42" customFormat="false" ht="15" hidden="false" customHeight="false" outlineLevel="0" collapsed="false">
      <c r="A42" s="2" t="s">
        <v>161</v>
      </c>
      <c r="B42" s="22" t="n">
        <f aca="false">(-L10*(1+B27)/(Assumptions!$B$5-B27))*L20</f>
        <v>1443.05134037918</v>
      </c>
    </row>
    <row r="43" customFormat="false" ht="15" hidden="false" customHeight="false" outlineLevel="0" collapsed="false">
      <c r="A43" s="2" t="s">
        <v>162</v>
      </c>
      <c r="B43" s="30" t="n">
        <f aca="false">(B36+B41+B42)/B37</f>
        <v>14.9915477599453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12" min="2" style="0" width="10.51"/>
  </cols>
  <sheetData>
    <row r="1" customFormat="false" ht="16.15" hidden="false" customHeight="false" outlineLevel="0" collapsed="false">
      <c r="A1" s="1" t="s">
        <v>164</v>
      </c>
    </row>
    <row r="2" customFormat="false" ht="15" hidden="false" customHeight="false" outlineLevel="0" collapsed="false">
      <c r="A2" s="5" t="s">
        <v>115</v>
      </c>
    </row>
    <row r="3" customFormat="false" ht="15" hidden="false" customHeight="false" outlineLevel="0" collapsed="false">
      <c r="B3" s="6" t="s">
        <v>116</v>
      </c>
      <c r="C3" s="6" t="s">
        <v>117</v>
      </c>
      <c r="D3" s="6" t="s">
        <v>118</v>
      </c>
      <c r="E3" s="6" t="s">
        <v>119</v>
      </c>
      <c r="F3" s="6" t="s">
        <v>120</v>
      </c>
      <c r="G3" s="6" t="s">
        <v>121</v>
      </c>
      <c r="H3" s="6" t="s">
        <v>122</v>
      </c>
      <c r="I3" s="6" t="s">
        <v>123</v>
      </c>
      <c r="J3" s="6" t="s">
        <v>124</v>
      </c>
      <c r="K3" s="6" t="s">
        <v>125</v>
      </c>
      <c r="L3" s="6" t="s">
        <v>126</v>
      </c>
    </row>
    <row r="4" customFormat="false" ht="15" hidden="false" customHeight="false" outlineLevel="0" collapsed="false">
      <c r="A4" s="20" t="s">
        <v>127</v>
      </c>
      <c r="B4" s="20" t="n">
        <v>0</v>
      </c>
      <c r="C4" s="20" t="n">
        <v>1</v>
      </c>
      <c r="D4" s="20" t="n">
        <v>2</v>
      </c>
      <c r="E4" s="20" t="n">
        <v>3</v>
      </c>
      <c r="F4" s="20" t="n">
        <v>4</v>
      </c>
      <c r="G4" s="20" t="n">
        <v>5</v>
      </c>
      <c r="H4" s="20" t="n">
        <v>6</v>
      </c>
      <c r="I4" s="20" t="n">
        <v>7</v>
      </c>
      <c r="J4" s="20" t="n">
        <v>8</v>
      </c>
      <c r="K4" s="20" t="n">
        <v>9</v>
      </c>
      <c r="L4" s="20" t="n">
        <v>10</v>
      </c>
    </row>
    <row r="5" customFormat="false" ht="15" hidden="false" customHeight="false" outlineLevel="0" collapsed="false">
      <c r="A5" s="2" t="s">
        <v>128</v>
      </c>
      <c r="C5" s="14" t="n">
        <v>0.2</v>
      </c>
      <c r="D5" s="14" t="n">
        <v>0.2</v>
      </c>
      <c r="E5" s="14" t="n">
        <v>0.19</v>
      </c>
      <c r="F5" s="14" t="n">
        <v>0.18</v>
      </c>
      <c r="G5" s="14" t="n">
        <v>0.17</v>
      </c>
      <c r="H5" s="14" t="n">
        <v>0.155</v>
      </c>
      <c r="I5" s="14" t="n">
        <v>0.14</v>
      </c>
      <c r="J5" s="14" t="n">
        <v>0.125</v>
      </c>
      <c r="K5" s="14" t="n">
        <v>0.11</v>
      </c>
      <c r="L5" s="14" t="n">
        <v>0.1</v>
      </c>
    </row>
    <row r="6" customFormat="false" ht="15" hidden="false" customHeight="false" outlineLevel="0" collapsed="false">
      <c r="A6" s="2" t="s">
        <v>129</v>
      </c>
      <c r="B6" s="21" t="n">
        <v>2502.8</v>
      </c>
      <c r="C6" s="22" t="n">
        <f aca="false">B6*(1+C5)</f>
        <v>3003.36</v>
      </c>
      <c r="D6" s="22" t="n">
        <f aca="false">C6*(1+D5)</f>
        <v>3604.032</v>
      </c>
      <c r="E6" s="22" t="n">
        <f aca="false">D6*(1+E5)</f>
        <v>4288.79808</v>
      </c>
      <c r="F6" s="22" t="n">
        <f aca="false">E6*(1+F5)</f>
        <v>5060.7817344</v>
      </c>
      <c r="G6" s="22" t="n">
        <f aca="false">F6*(1+G5)</f>
        <v>5921.114629248</v>
      </c>
      <c r="H6" s="22" t="n">
        <f aca="false">G6*(1+H5)</f>
        <v>6838.88739678144</v>
      </c>
      <c r="I6" s="22" t="n">
        <f aca="false">H6*(1+I5)</f>
        <v>7796.33163233084</v>
      </c>
      <c r="J6" s="22" t="n">
        <f aca="false">I6*(1+J5)</f>
        <v>8770.8730863722</v>
      </c>
      <c r="K6" s="22" t="n">
        <f aca="false">J6*(1+K5)</f>
        <v>9735.66912587314</v>
      </c>
      <c r="L6" s="22" t="n">
        <f aca="false">K6*(1+L5)</f>
        <v>10709.2360384605</v>
      </c>
    </row>
    <row r="7" customFormat="false" ht="15" hidden="false" customHeight="false" outlineLevel="0" collapsed="false">
      <c r="A7" s="2" t="s">
        <v>130</v>
      </c>
      <c r="B7" s="11" t="n">
        <v>0.28</v>
      </c>
      <c r="C7" s="14" t="n">
        <v>0.267</v>
      </c>
      <c r="D7" s="14" t="n">
        <v>0.272</v>
      </c>
      <c r="E7" s="14" t="n">
        <v>0.277</v>
      </c>
      <c r="F7" s="14" t="n">
        <v>0.277</v>
      </c>
      <c r="G7" s="14" t="n">
        <v>0.272</v>
      </c>
      <c r="H7" s="14" t="n">
        <v>0.267</v>
      </c>
      <c r="I7" s="14" t="n">
        <v>0.267</v>
      </c>
      <c r="J7" s="14" t="n">
        <v>0.267</v>
      </c>
      <c r="K7" s="14" t="n">
        <v>0.272</v>
      </c>
      <c r="L7" s="14" t="n">
        <v>0.272</v>
      </c>
    </row>
    <row r="8" customFormat="false" ht="15" hidden="false" customHeight="false" outlineLevel="0" collapsed="false">
      <c r="A8" s="2" t="s">
        <v>131</v>
      </c>
      <c r="C8" s="22" t="n">
        <f aca="false">C6*C7</f>
        <v>801.89712</v>
      </c>
      <c r="D8" s="22" t="n">
        <f aca="false">D6*D7</f>
        <v>980.296704</v>
      </c>
      <c r="E8" s="22" t="n">
        <f aca="false">E6*E7</f>
        <v>1187.99706816</v>
      </c>
      <c r="F8" s="22" t="n">
        <f aca="false">F6*F7</f>
        <v>1401.8365404288</v>
      </c>
      <c r="G8" s="22" t="n">
        <f aca="false">G6*G7</f>
        <v>1610.54317915546</v>
      </c>
      <c r="H8" s="22" t="n">
        <f aca="false">H6*H7</f>
        <v>1825.98293494064</v>
      </c>
      <c r="I8" s="22" t="n">
        <f aca="false">I6*I7</f>
        <v>2081.62054583233</v>
      </c>
      <c r="J8" s="22" t="n">
        <f aca="false">J6*J7</f>
        <v>2341.82311406138</v>
      </c>
      <c r="K8" s="22" t="n">
        <f aca="false">K6*K7</f>
        <v>2648.10200223749</v>
      </c>
      <c r="L8" s="22" t="n">
        <f aca="false">L6*L7</f>
        <v>2912.91220246124</v>
      </c>
    </row>
    <row r="9" customFormat="false" ht="15" hidden="false" customHeight="false" outlineLevel="0" collapsed="false">
      <c r="A9" s="2" t="s">
        <v>132</v>
      </c>
      <c r="B9" s="11" t="n">
        <v>0.038</v>
      </c>
      <c r="C9" s="14" t="n">
        <v>0.035</v>
      </c>
      <c r="D9" s="14" t="n">
        <v>0.035</v>
      </c>
      <c r="E9" s="14" t="n">
        <v>0.035</v>
      </c>
      <c r="F9" s="14" t="n">
        <v>0.035</v>
      </c>
      <c r="G9" s="14" t="n">
        <v>0.035</v>
      </c>
      <c r="H9" s="14" t="n">
        <v>0.035</v>
      </c>
      <c r="I9" s="14" t="n">
        <v>0.035</v>
      </c>
      <c r="J9" s="14" t="n">
        <v>0.035</v>
      </c>
      <c r="K9" s="14" t="n">
        <v>0.035</v>
      </c>
      <c r="L9" s="14" t="n">
        <v>0.035</v>
      </c>
    </row>
    <row r="10" customFormat="false" ht="15" hidden="false" customHeight="false" outlineLevel="0" collapsed="false">
      <c r="A10" s="2" t="s">
        <v>133</v>
      </c>
      <c r="C10" s="22" t="n">
        <f aca="false">-C6*C9</f>
        <v>-105.1176</v>
      </c>
      <c r="D10" s="22" t="n">
        <f aca="false">-D6*D9</f>
        <v>-126.14112</v>
      </c>
      <c r="E10" s="22" t="n">
        <f aca="false">-E6*E9</f>
        <v>-150.1079328</v>
      </c>
      <c r="F10" s="22" t="n">
        <f aca="false">-F6*F9</f>
        <v>-177.127360704</v>
      </c>
      <c r="G10" s="22" t="n">
        <f aca="false">-G6*G9</f>
        <v>-207.23901202368</v>
      </c>
      <c r="H10" s="22" t="n">
        <f aca="false">-H6*H9</f>
        <v>-239.36105888735</v>
      </c>
      <c r="I10" s="22" t="n">
        <f aca="false">-I6*I9</f>
        <v>-272.87160713158</v>
      </c>
      <c r="J10" s="22" t="n">
        <f aca="false">-J6*J9</f>
        <v>-306.980558023027</v>
      </c>
      <c r="K10" s="22" t="n">
        <f aca="false">-K6*K9</f>
        <v>-340.74841940556</v>
      </c>
      <c r="L10" s="22" t="n">
        <f aca="false">-L6*L9</f>
        <v>-374.823261346116</v>
      </c>
    </row>
    <row r="11" customFormat="false" ht="15" hidden="false" customHeight="false" outlineLevel="0" collapsed="false">
      <c r="A11" s="2" t="s">
        <v>134</v>
      </c>
      <c r="C11" s="22" t="n">
        <f aca="false">C8+C10</f>
        <v>696.77952</v>
      </c>
      <c r="D11" s="22" t="n">
        <f aca="false">D8+D10</f>
        <v>854.155584</v>
      </c>
      <c r="E11" s="22" t="n">
        <f aca="false">E8+E10</f>
        <v>1037.88913536</v>
      </c>
      <c r="F11" s="22" t="n">
        <f aca="false">F8+F10</f>
        <v>1224.7091797248</v>
      </c>
      <c r="G11" s="22" t="n">
        <f aca="false">G8+G10</f>
        <v>1403.30416713178</v>
      </c>
      <c r="H11" s="22" t="n">
        <f aca="false">H8+H10</f>
        <v>1586.62187605329</v>
      </c>
      <c r="I11" s="22" t="n">
        <f aca="false">I8+I10</f>
        <v>1808.74893870076</v>
      </c>
      <c r="J11" s="22" t="n">
        <f aca="false">J8+J10</f>
        <v>2034.84255603835</v>
      </c>
      <c r="K11" s="22" t="n">
        <f aca="false">K8+K10</f>
        <v>2307.35358283193</v>
      </c>
      <c r="L11" s="22" t="n">
        <f aca="false">L8+L10</f>
        <v>2538.08894111513</v>
      </c>
    </row>
    <row r="12" customFormat="false" ht="15" hidden="false" customHeight="false" outlineLevel="0" collapsed="false">
      <c r="A12" s="2" t="s">
        <v>135</v>
      </c>
      <c r="C12" s="23" t="n">
        <f aca="false">-C6*Assumptions!$B$6</f>
        <v>-21.02352</v>
      </c>
      <c r="D12" s="23" t="n">
        <f aca="false">-D6*Assumptions!$B$6</f>
        <v>-25.228224</v>
      </c>
      <c r="E12" s="23" t="n">
        <f aca="false">-E6*Assumptions!$B$6</f>
        <v>-30.02158656</v>
      </c>
      <c r="F12" s="23" t="n">
        <f aca="false">-F6*Assumptions!$B$6</f>
        <v>-35.4254721408</v>
      </c>
      <c r="G12" s="23" t="n">
        <f aca="false">-G6*Assumptions!$B$6</f>
        <v>-41.447802404736</v>
      </c>
      <c r="H12" s="23" t="n">
        <f aca="false">-H6*Assumptions!$B$6</f>
        <v>-47.8722117774701</v>
      </c>
      <c r="I12" s="23" t="n">
        <f aca="false">-I6*Assumptions!$B$6</f>
        <v>-54.5743214263159</v>
      </c>
      <c r="J12" s="23" t="n">
        <f aca="false">-J6*Assumptions!$B$6</f>
        <v>-61.3961116046054</v>
      </c>
      <c r="K12" s="23" t="n">
        <f aca="false">-K6*Assumptions!$B$6</f>
        <v>-68.149683881112</v>
      </c>
      <c r="L12" s="23" t="n">
        <f aca="false">-L6*Assumptions!$B$6</f>
        <v>-74.9646522692232</v>
      </c>
    </row>
    <row r="13" customFormat="false" ht="15" hidden="false" customHeight="false" outlineLevel="0" collapsed="false">
      <c r="A13" s="2" t="s">
        <v>136</v>
      </c>
      <c r="C13" s="22" t="n">
        <f aca="false">C11+C12</f>
        <v>675.756</v>
      </c>
      <c r="D13" s="22" t="n">
        <f aca="false">D11+D12</f>
        <v>828.92736</v>
      </c>
      <c r="E13" s="22" t="n">
        <f aca="false">E11+E12</f>
        <v>1007.8675488</v>
      </c>
      <c r="F13" s="22" t="n">
        <f aca="false">F11+F12</f>
        <v>1189.283707584</v>
      </c>
      <c r="G13" s="22" t="n">
        <f aca="false">G11+G12</f>
        <v>1361.85636472704</v>
      </c>
      <c r="H13" s="22" t="n">
        <f aca="false">H11+H12</f>
        <v>1538.74966427582</v>
      </c>
      <c r="I13" s="22" t="n">
        <f aca="false">I11+I12</f>
        <v>1754.17461727444</v>
      </c>
      <c r="J13" s="22" t="n">
        <f aca="false">J11+J12</f>
        <v>1973.44644443374</v>
      </c>
      <c r="K13" s="22" t="n">
        <f aca="false">K11+K12</f>
        <v>2239.20389895082</v>
      </c>
      <c r="L13" s="22" t="n">
        <f aca="false">L11+L12</f>
        <v>2463.1242888459</v>
      </c>
    </row>
    <row r="14" customFormat="false" ht="15" hidden="false" customHeight="false" outlineLevel="0" collapsed="false">
      <c r="A14" s="2" t="s">
        <v>137</v>
      </c>
      <c r="C14" s="14" t="n">
        <v>0.25</v>
      </c>
      <c r="D14" s="14" t="n">
        <v>0.25</v>
      </c>
      <c r="E14" s="14" t="n">
        <v>0.25</v>
      </c>
      <c r="F14" s="14" t="n">
        <v>0.25</v>
      </c>
      <c r="G14" s="14" t="n">
        <v>0.25</v>
      </c>
      <c r="H14" s="14" t="n">
        <v>0.25</v>
      </c>
      <c r="I14" s="14" t="n">
        <v>0.25</v>
      </c>
      <c r="J14" s="14" t="n">
        <v>0.25</v>
      </c>
      <c r="K14" s="14" t="n">
        <v>0.25</v>
      </c>
      <c r="L14" s="14" t="n">
        <v>0.25</v>
      </c>
    </row>
    <row r="15" customFormat="false" ht="15" hidden="false" customHeight="false" outlineLevel="0" collapsed="false">
      <c r="A15" s="2" t="s">
        <v>138</v>
      </c>
      <c r="C15" s="22" t="n">
        <f aca="false">C13*(1-C14)</f>
        <v>506.817</v>
      </c>
      <c r="D15" s="22" t="n">
        <f aca="false">D13*(1-D14)</f>
        <v>621.69552</v>
      </c>
      <c r="E15" s="22" t="n">
        <f aca="false">E13*(1-E14)</f>
        <v>755.9006616</v>
      </c>
      <c r="F15" s="22" t="n">
        <f aca="false">F13*(1-F14)</f>
        <v>891.962780688</v>
      </c>
      <c r="G15" s="22" t="n">
        <f aca="false">G13*(1-G14)</f>
        <v>1021.39227354528</v>
      </c>
      <c r="H15" s="22" t="n">
        <f aca="false">H13*(1-H14)</f>
        <v>1154.06224820687</v>
      </c>
      <c r="I15" s="22" t="n">
        <f aca="false">I13*(1-I14)</f>
        <v>1315.63096295583</v>
      </c>
      <c r="J15" s="22" t="n">
        <f aca="false">J13*(1-J14)</f>
        <v>1480.08483332531</v>
      </c>
      <c r="K15" s="22" t="n">
        <f aca="false">K13*(1-K14)</f>
        <v>1679.40292421312</v>
      </c>
      <c r="L15" s="22" t="n">
        <f aca="false">L13*(1-L14)</f>
        <v>1847.34321663443</v>
      </c>
    </row>
    <row r="16" customFormat="false" ht="15" hidden="false" customHeight="false" outlineLevel="0" collapsed="false">
      <c r="A16" s="2" t="s">
        <v>139</v>
      </c>
      <c r="C16" s="22" t="n">
        <f aca="false">-C12</f>
        <v>21.02352</v>
      </c>
      <c r="D16" s="22" t="n">
        <f aca="false">-D12</f>
        <v>25.228224</v>
      </c>
      <c r="E16" s="22" t="n">
        <f aca="false">-E12</f>
        <v>30.02158656</v>
      </c>
      <c r="F16" s="22" t="n">
        <f aca="false">-F12</f>
        <v>35.4254721408</v>
      </c>
      <c r="G16" s="22" t="n">
        <f aca="false">-G12</f>
        <v>41.447802404736</v>
      </c>
      <c r="H16" s="22" t="n">
        <f aca="false">-H12</f>
        <v>47.8722117774701</v>
      </c>
      <c r="I16" s="22" t="n">
        <f aca="false">-I12</f>
        <v>54.5743214263159</v>
      </c>
      <c r="J16" s="22" t="n">
        <f aca="false">-J12</f>
        <v>61.3961116046054</v>
      </c>
      <c r="K16" s="22" t="n">
        <f aca="false">-K12</f>
        <v>68.149683881112</v>
      </c>
      <c r="L16" s="22" t="n">
        <f aca="false">-L12</f>
        <v>74.9646522692232</v>
      </c>
    </row>
    <row r="17" customFormat="false" ht="15" hidden="false" customHeight="false" outlineLevel="0" collapsed="false">
      <c r="A17" s="2" t="s">
        <v>140</v>
      </c>
      <c r="C17" s="23" t="n">
        <f aca="false">-C6*Assumptions!$B$7</f>
        <v>-27.03024</v>
      </c>
      <c r="D17" s="23" t="n">
        <f aca="false">-D6*Assumptions!$B$7</f>
        <v>-32.436288</v>
      </c>
      <c r="E17" s="23" t="n">
        <f aca="false">-E6*Assumptions!$B$7</f>
        <v>-38.59918272</v>
      </c>
      <c r="F17" s="23" t="n">
        <f aca="false">-F6*Assumptions!$B$7</f>
        <v>-45.5470356096</v>
      </c>
      <c r="G17" s="23" t="n">
        <f aca="false">-G6*Assumptions!$B$7</f>
        <v>-53.290031663232</v>
      </c>
      <c r="H17" s="23" t="n">
        <f aca="false">-H6*Assumptions!$B$7</f>
        <v>-61.5499865710329</v>
      </c>
      <c r="I17" s="23" t="n">
        <f aca="false">-I6*Assumptions!$B$7</f>
        <v>-70.1669846909776</v>
      </c>
      <c r="J17" s="23" t="n">
        <f aca="false">-J6*Assumptions!$B$7</f>
        <v>-78.9378577773498</v>
      </c>
      <c r="K17" s="23" t="n">
        <f aca="false">-K6*Assumptions!$B$7</f>
        <v>-87.6210221328582</v>
      </c>
      <c r="L17" s="23" t="n">
        <f aca="false">-L6*Assumptions!$B$7</f>
        <v>-96.3831243461441</v>
      </c>
    </row>
    <row r="18" customFormat="false" ht="15" hidden="false" customHeight="false" outlineLevel="0" collapsed="false">
      <c r="A18" s="2" t="s">
        <v>141</v>
      </c>
      <c r="C18" s="23" t="n">
        <f aca="false">Assumptions!$B$8*(C6-B6)</f>
        <v>0</v>
      </c>
      <c r="D18" s="23" t="n">
        <f aca="false">Assumptions!$B$8*(D6-C6)</f>
        <v>0</v>
      </c>
      <c r="E18" s="23" t="n">
        <f aca="false">Assumptions!$B$8*(E6-D6)</f>
        <v>0</v>
      </c>
      <c r="F18" s="23" t="n">
        <f aca="false">Assumptions!$B$8*(F6-E6)</f>
        <v>0</v>
      </c>
      <c r="G18" s="23" t="n">
        <f aca="false">Assumptions!$B$8*(G6-F6)</f>
        <v>0</v>
      </c>
      <c r="H18" s="23" t="n">
        <f aca="false">Assumptions!$B$8*(H6-G6)</f>
        <v>0</v>
      </c>
      <c r="I18" s="23" t="n">
        <f aca="false">Assumptions!$B$8*(I6-H6)</f>
        <v>0</v>
      </c>
      <c r="J18" s="23" t="n">
        <f aca="false">Assumptions!$B$8*(J6-I6)</f>
        <v>0</v>
      </c>
      <c r="K18" s="23" t="n">
        <f aca="false">Assumptions!$B$8*(K6-J6)</f>
        <v>0</v>
      </c>
      <c r="L18" s="23" t="n">
        <f aca="false">Assumptions!$B$8*(L6-K6)</f>
        <v>0</v>
      </c>
    </row>
    <row r="19" customFormat="false" ht="15" hidden="false" customHeight="false" outlineLevel="0" collapsed="false">
      <c r="A19" s="2" t="s">
        <v>142</v>
      </c>
      <c r="C19" s="24" t="n">
        <f aca="false">C15+C16+C17+C18</f>
        <v>500.81028</v>
      </c>
      <c r="D19" s="24" t="n">
        <f aca="false">D15+D16+D17+D18</f>
        <v>614.487456</v>
      </c>
      <c r="E19" s="24" t="n">
        <f aca="false">E15+E16+E17+E18</f>
        <v>747.32306544</v>
      </c>
      <c r="F19" s="24" t="n">
        <f aca="false">F15+F16+F17+F18</f>
        <v>881.8412172192</v>
      </c>
      <c r="G19" s="24" t="n">
        <f aca="false">G15+G16+G17+G18</f>
        <v>1009.55004428678</v>
      </c>
      <c r="H19" s="24" t="n">
        <f aca="false">H15+H16+H17+H18</f>
        <v>1140.38447341331</v>
      </c>
      <c r="I19" s="24" t="n">
        <f aca="false">I15+I16+I17+I18</f>
        <v>1300.03829969117</v>
      </c>
      <c r="J19" s="24" t="n">
        <f aca="false">J15+J16+J17+J18</f>
        <v>1462.54308715256</v>
      </c>
      <c r="K19" s="24" t="n">
        <f aca="false">K15+K16+K17+K18</f>
        <v>1659.93158596137</v>
      </c>
      <c r="L19" s="24" t="n">
        <f aca="false">L15+L16+L17+L18</f>
        <v>1825.92474455751</v>
      </c>
    </row>
    <row r="20" customFormat="false" ht="15" hidden="false" customHeight="false" outlineLevel="0" collapsed="false">
      <c r="A20" s="2" t="s">
        <v>143</v>
      </c>
      <c r="C20" s="25" t="n">
        <f aca="false">1/(1+Assumptions!$B$5)^C4</f>
        <v>0.904977375565611</v>
      </c>
      <c r="D20" s="25" t="n">
        <f aca="false">1/(1+Assumptions!$B$5)^D4</f>
        <v>0.818984050285621</v>
      </c>
      <c r="E20" s="25" t="n">
        <f aca="false">1/(1+Assumptions!$B$5)^E4</f>
        <v>0.741162036457575</v>
      </c>
      <c r="F20" s="25" t="n">
        <f aca="false">1/(1+Assumptions!$B$5)^F4</f>
        <v>0.67073487462224</v>
      </c>
      <c r="G20" s="25" t="n">
        <f aca="false">1/(1+Assumptions!$B$5)^G4</f>
        <v>0.606999886535964</v>
      </c>
      <c r="H20" s="25" t="n">
        <f aca="false">1/(1+Assumptions!$B$5)^H4</f>
        <v>0.54932116428594</v>
      </c>
      <c r="I20" s="25" t="n">
        <f aca="false">1/(1+Assumptions!$B$5)^I4</f>
        <v>0.497123225598136</v>
      </c>
      <c r="J20" s="25" t="n">
        <f aca="false">1/(1+Assumptions!$B$5)^J4</f>
        <v>0.449885272034512</v>
      </c>
      <c r="K20" s="25" t="n">
        <f aca="false">1/(1+Assumptions!$B$5)^K4</f>
        <v>0.407135992791414</v>
      </c>
      <c r="L20" s="25" t="n">
        <f aca="false">1/(1+Assumptions!$B$5)^L4</f>
        <v>0.368448862254673</v>
      </c>
    </row>
    <row r="21" customFormat="false" ht="15" hidden="false" customHeight="false" outlineLevel="0" collapsed="false">
      <c r="A21" s="2" t="s">
        <v>144</v>
      </c>
      <c r="C21" s="22" t="n">
        <f aca="false">C19*C20</f>
        <v>453.221972850679</v>
      </c>
      <c r="D21" s="22" t="n">
        <f aca="false">D19*D20</f>
        <v>503.255425564587</v>
      </c>
      <c r="E21" s="22" t="n">
        <f aca="false">E19*E20</f>
        <v>553.887485073228</v>
      </c>
      <c r="F21" s="22" t="n">
        <f aca="false">F19*F20</f>
        <v>591.481658268244</v>
      </c>
      <c r="G21" s="22" t="n">
        <f aca="false">G19*G20</f>
        <v>612.796762334455</v>
      </c>
      <c r="H21" s="22" t="n">
        <f aca="false">H19*H20</f>
        <v>626.437326669006</v>
      </c>
      <c r="I21" s="22" t="n">
        <f aca="false">I19*I20</f>
        <v>646.27923294359</v>
      </c>
      <c r="J21" s="22" t="n">
        <f aca="false">J19*J20</f>
        <v>657.976594625827</v>
      </c>
      <c r="K21" s="22" t="n">
        <f aca="false">K19*K20</f>
        <v>675.817894216208</v>
      </c>
      <c r="L21" s="22" t="n">
        <f aca="false">L19*L20</f>
        <v>672.759894694868</v>
      </c>
    </row>
    <row r="23" customFormat="false" ht="15" hidden="false" customHeight="false" outlineLevel="0" collapsed="false">
      <c r="A23" s="2" t="s">
        <v>145</v>
      </c>
      <c r="C23" s="22" t="n">
        <f aca="false">C19-C10</f>
        <v>605.92788</v>
      </c>
      <c r="D23" s="22" t="n">
        <f aca="false">D19-D10</f>
        <v>740.628576</v>
      </c>
      <c r="E23" s="22" t="n">
        <f aca="false">E19-E10</f>
        <v>897.43099824</v>
      </c>
      <c r="F23" s="22" t="n">
        <f aca="false">F19-F10</f>
        <v>1058.9685779232</v>
      </c>
      <c r="G23" s="22" t="n">
        <f aca="false">G19-G10</f>
        <v>1216.78905631046</v>
      </c>
      <c r="H23" s="22" t="n">
        <f aca="false">H19-H10</f>
        <v>1379.74553230066</v>
      </c>
      <c r="I23" s="22" t="n">
        <f aca="false">I19-I10</f>
        <v>1572.90990682275</v>
      </c>
      <c r="J23" s="22" t="n">
        <f aca="false">J19-J10</f>
        <v>1769.52364517559</v>
      </c>
      <c r="K23" s="22" t="n">
        <f aca="false">K19-K10</f>
        <v>2000.68000536693</v>
      </c>
      <c r="L23" s="22" t="n">
        <f aca="false">L19-L10</f>
        <v>2200.74800590362</v>
      </c>
    </row>
    <row r="24" customFormat="false" ht="15" hidden="false" customHeight="false" outlineLevel="0" collapsed="false">
      <c r="A24" s="2" t="s">
        <v>146</v>
      </c>
      <c r="C24" s="19" t="n">
        <f aca="false">C19/C6</f>
        <v>0.16675</v>
      </c>
      <c r="D24" s="19" t="n">
        <f aca="false">D19/D6</f>
        <v>0.1705</v>
      </c>
      <c r="E24" s="19" t="n">
        <f aca="false">E19/E6</f>
        <v>0.17425</v>
      </c>
      <c r="F24" s="19" t="n">
        <f aca="false">F19/F6</f>
        <v>0.17425</v>
      </c>
      <c r="G24" s="19" t="n">
        <f aca="false">G19/G6</f>
        <v>0.1705</v>
      </c>
      <c r="H24" s="19" t="n">
        <f aca="false">H19/H6</f>
        <v>0.16675</v>
      </c>
      <c r="I24" s="19" t="n">
        <f aca="false">I19/I6</f>
        <v>0.16675</v>
      </c>
      <c r="J24" s="19" t="n">
        <f aca="false">J19/J6</f>
        <v>0.16675</v>
      </c>
      <c r="K24" s="19" t="n">
        <f aca="false">K19/K6</f>
        <v>0.1705</v>
      </c>
      <c r="L24" s="19" t="n">
        <f aca="false">L19/L6</f>
        <v>0.1705</v>
      </c>
    </row>
    <row r="25" customFormat="false" ht="15" hidden="false" customHeight="false" outlineLevel="0" collapsed="false">
      <c r="A25" s="4" t="s">
        <v>147</v>
      </c>
    </row>
    <row r="26" customFormat="false" ht="15" hidden="false" customHeight="false" outlineLevel="0" collapsed="false">
      <c r="A26" s="2" t="s">
        <v>148</v>
      </c>
      <c r="B26" s="22" t="n">
        <f aca="false">SUM(C21:L21)</f>
        <v>5993.91424724069</v>
      </c>
    </row>
    <row r="27" customFormat="false" ht="15" hidden="false" customHeight="false" outlineLevel="0" collapsed="false">
      <c r="A27" s="2" t="s">
        <v>107</v>
      </c>
      <c r="B27" s="26" t="n">
        <f aca="false">Assumptions!$E$15</f>
        <v>0.035</v>
      </c>
    </row>
    <row r="28" customFormat="false" ht="15" hidden="false" customHeight="false" outlineLevel="0" collapsed="false">
      <c r="A28" s="2" t="s">
        <v>149</v>
      </c>
      <c r="B28" s="22" t="n">
        <f aca="false">L19*(1+B27)</f>
        <v>1889.83211061702</v>
      </c>
    </row>
    <row r="29" customFormat="false" ht="15" hidden="false" customHeight="false" outlineLevel="0" collapsed="false">
      <c r="A29" s="2" t="s">
        <v>150</v>
      </c>
      <c r="B29" s="22" t="n">
        <f aca="false">B28/(Assumptions!$B$5-B27)</f>
        <v>26997.6015802432</v>
      </c>
    </row>
    <row r="30" customFormat="false" ht="15" hidden="false" customHeight="false" outlineLevel="0" collapsed="false">
      <c r="A30" s="2" t="s">
        <v>151</v>
      </c>
      <c r="B30" s="23" t="n">
        <f aca="false">Assumptions!$B$12*L19</f>
        <v>36518.4948911502</v>
      </c>
    </row>
    <row r="31" customFormat="false" ht="15" hidden="false" customHeight="false" outlineLevel="0" collapsed="false">
      <c r="A31" s="2" t="s">
        <v>152</v>
      </c>
      <c r="B31" s="22" t="n">
        <f aca="false">MAX(0,MIN(B29,B30))</f>
        <v>26997.6015802432</v>
      </c>
    </row>
    <row r="32" customFormat="false" ht="15" hidden="false" customHeight="false" outlineLevel="0" collapsed="false">
      <c r="A32" s="2" t="s">
        <v>153</v>
      </c>
      <c r="B32" s="27" t="n">
        <f aca="false">B31/L19</f>
        <v>14.7857142857143</v>
      </c>
    </row>
    <row r="33" customFormat="false" ht="15" hidden="false" customHeight="false" outlineLevel="0" collapsed="false">
      <c r="A33" s="2" t="s">
        <v>154</v>
      </c>
      <c r="B33" s="22" t="n">
        <f aca="false">B31*L20</f>
        <v>9947.23558584555</v>
      </c>
    </row>
    <row r="34" customFormat="false" ht="15" hidden="false" customHeight="false" outlineLevel="0" collapsed="false">
      <c r="A34" s="2" t="s">
        <v>155</v>
      </c>
      <c r="B34" s="22" t="n">
        <f aca="false">B26+B33</f>
        <v>15941.1498330862</v>
      </c>
    </row>
    <row r="35" customFormat="false" ht="15" hidden="false" customHeight="false" outlineLevel="0" collapsed="false">
      <c r="A35" s="2" t="s">
        <v>156</v>
      </c>
      <c r="B35" s="23" t="n">
        <f aca="false">Assumptions!$B$9</f>
        <v>1796</v>
      </c>
    </row>
    <row r="36" customFormat="false" ht="15" hidden="false" customHeight="false" outlineLevel="0" collapsed="false">
      <c r="A36" s="2" t="s">
        <v>157</v>
      </c>
      <c r="B36" s="22" t="n">
        <f aca="false">B34+B35</f>
        <v>17737.1498330862</v>
      </c>
    </row>
    <row r="37" customFormat="false" ht="15" hidden="false" customHeight="false" outlineLevel="0" collapsed="false">
      <c r="A37" s="2" t="s">
        <v>98</v>
      </c>
      <c r="B37" s="28" t="n">
        <f aca="false">Assumptions!$B$10</f>
        <v>1029.7</v>
      </c>
    </row>
    <row r="38" customFormat="false" ht="15" hidden="false" customHeight="false" outlineLevel="0" collapsed="false">
      <c r="A38" s="2" t="s">
        <v>158</v>
      </c>
      <c r="B38" s="29" t="n">
        <f aca="false">B36/B37</f>
        <v>17.2255509692981</v>
      </c>
    </row>
    <row r="39" customFormat="false" ht="15" hidden="false" customHeight="false" outlineLevel="0" collapsed="false">
      <c r="A39" s="2" t="s">
        <v>159</v>
      </c>
      <c r="B39" s="19" t="n">
        <f aca="false">B38/Assumptions!$B$11-1</f>
        <v>0.332215852227231</v>
      </c>
    </row>
    <row r="41" customFormat="false" ht="15" hidden="false" customHeight="false" outlineLevel="0" collapsed="false">
      <c r="A41" s="2" t="s">
        <v>160</v>
      </c>
      <c r="B41" s="22" t="n">
        <f aca="false">SUMPRODUCT(-C10:L10/(1+Assumptions!$B$5)^C4:L4)</f>
        <v>1236.36756229553</v>
      </c>
    </row>
    <row r="42" customFormat="false" ht="15" hidden="false" customHeight="false" outlineLevel="0" collapsed="false">
      <c r="A42" s="2" t="s">
        <v>161</v>
      </c>
      <c r="B42" s="22" t="n">
        <f aca="false">(-L10*(1+B27)/(Assumptions!$B$5-B27))*L20</f>
        <v>2041.95451908853</v>
      </c>
    </row>
    <row r="43" customFormat="false" ht="15" hidden="false" customHeight="false" outlineLevel="0" collapsed="false">
      <c r="A43" s="2" t="s">
        <v>162</v>
      </c>
      <c r="B43" s="30" t="n">
        <f aca="false">(B36+B41+B42)/B37</f>
        <v>20.4093152515007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6" min="2" style="0" width="13"/>
    <col collapsed="false" customWidth="true" hidden="false" outlineLevel="0" max="7" min="7" style="0" width="40"/>
  </cols>
  <sheetData>
    <row r="1" customFormat="false" ht="16.15" hidden="false" customHeight="false" outlineLevel="0" collapsed="false">
      <c r="A1" s="1" t="s">
        <v>165</v>
      </c>
    </row>
    <row r="2" customFormat="false" ht="15" hidden="false" customHeight="false" outlineLevel="0" collapsed="false">
      <c r="A2" s="5" t="s">
        <v>166</v>
      </c>
    </row>
    <row r="4" customFormat="false" ht="15" hidden="false" customHeight="false" outlineLevel="0" collapsed="false">
      <c r="B4" s="6" t="s">
        <v>104</v>
      </c>
      <c r="C4" s="6" t="s">
        <v>105</v>
      </c>
      <c r="D4" s="6" t="s">
        <v>106</v>
      </c>
    </row>
    <row r="5" customFormat="false" ht="15" hidden="false" customHeight="false" outlineLevel="0" collapsed="false">
      <c r="A5" s="2" t="s">
        <v>158</v>
      </c>
      <c r="B5" s="31" t="n">
        <f aca="false">DCF_Bear!$B$38</f>
        <v>6.68400167465344</v>
      </c>
      <c r="C5" s="31" t="n">
        <f aca="false">DCF_Base!$B$38</f>
        <v>12.5331236841038</v>
      </c>
      <c r="D5" s="31" t="n">
        <f aca="false">DCF_Bull!$B$38</f>
        <v>17.2255509692981</v>
      </c>
    </row>
    <row r="6" customFormat="false" ht="15" hidden="false" customHeight="false" outlineLevel="0" collapsed="false">
      <c r="A6" s="2" t="s">
        <v>167</v>
      </c>
      <c r="B6" s="19" t="n">
        <f aca="false">B5/Assumptions!$B$11-1</f>
        <v>-0.483062515494707</v>
      </c>
      <c r="C6" s="19" t="n">
        <f aca="false">C5/Assumptions!$B$11-1</f>
        <v>-0.0306942239672218</v>
      </c>
      <c r="D6" s="19" t="n">
        <f aca="false">D5/Assumptions!$B$11-1</f>
        <v>0.332215852227231</v>
      </c>
    </row>
    <row r="7" customFormat="false" ht="15" hidden="false" customHeight="false" outlineLevel="0" collapsed="false">
      <c r="A7" s="2" t="s">
        <v>168</v>
      </c>
      <c r="B7" s="26" t="n">
        <f aca="false">Assumptions!$C$16</f>
        <v>0.15</v>
      </c>
      <c r="C7" s="26" t="n">
        <f aca="false">Assumptions!$D$16</f>
        <v>0.5</v>
      </c>
      <c r="D7" s="26" t="n">
        <f aca="false">Assumptions!$E$16</f>
        <v>0.35</v>
      </c>
    </row>
    <row r="8" customFormat="false" ht="15" hidden="false" customHeight="false" outlineLevel="0" collapsed="false">
      <c r="A8" s="2" t="s">
        <v>169</v>
      </c>
      <c r="B8" s="31" t="n">
        <f aca="false">DCF_Bear!$B$43</f>
        <v>8.25364741412922</v>
      </c>
      <c r="C8" s="31" t="n">
        <f aca="false">DCF_Base!$B$43</f>
        <v>14.9915477599453</v>
      </c>
      <c r="D8" s="31" t="n">
        <f aca="false">DCF_Bull!$B$43</f>
        <v>20.4093152515007</v>
      </c>
    </row>
    <row r="10" customFormat="false" ht="15" hidden="false" customHeight="false" outlineLevel="0" collapsed="false">
      <c r="A10" s="2" t="s">
        <v>170</v>
      </c>
      <c r="B10" s="29" t="n">
        <f aca="false">SUMPRODUCT(B5:D5,B7:D7)</f>
        <v>13.2981049325043</v>
      </c>
    </row>
    <row r="11" customFormat="false" ht="15" hidden="false" customHeight="false" outlineLevel="0" collapsed="false">
      <c r="A11" s="2" t="s">
        <v>171</v>
      </c>
      <c r="B11" s="31" t="n">
        <f aca="false">Assumptions!$B$11</f>
        <v>12.93</v>
      </c>
    </row>
    <row r="12" customFormat="false" ht="15" hidden="false" customHeight="false" outlineLevel="0" collapsed="false">
      <c r="A12" s="2" t="s">
        <v>172</v>
      </c>
      <c r="B12" s="19" t="n">
        <f aca="false">1-B11/B10</f>
        <v>0.027681006757926</v>
      </c>
    </row>
    <row r="13" customFormat="false" ht="15" hidden="false" customHeight="false" outlineLevel="0" collapsed="false">
      <c r="A13" s="2" t="s">
        <v>173</v>
      </c>
      <c r="B13" s="30" t="n">
        <f aca="false">SUMPRODUCT(B8:D8,B7:D7)</f>
        <v>15.8770813301173</v>
      </c>
    </row>
    <row r="14" customFormat="false" ht="15" hidden="false" customHeight="false" outlineLevel="0" collapsed="false">
      <c r="A14" s="2" t="s">
        <v>174</v>
      </c>
      <c r="B14" s="19" t="n">
        <f aca="false">IF(ABS(B13-B10)&lt;0.005,"n/a - SBC=0 so house=street",(Assumptions!$B$11-B10)/(B13-B10))</f>
        <v>-0.142732959031713</v>
      </c>
    </row>
    <row r="17" customFormat="false" ht="15" hidden="false" customHeight="false" outlineLevel="0" collapsed="false">
      <c r="A17" s="4" t="s">
        <v>175</v>
      </c>
    </row>
    <row r="18" customFormat="false" ht="15" hidden="false" customHeight="false" outlineLevel="0" collapsed="false">
      <c r="A18" s="6" t="s">
        <v>176</v>
      </c>
      <c r="B18" s="6" t="s">
        <v>177</v>
      </c>
    </row>
    <row r="19" customFormat="false" ht="15" hidden="false" customHeight="false" outlineLevel="0" collapsed="false">
      <c r="A19" s="11" t="n">
        <v>0.09</v>
      </c>
      <c r="B19" s="30" t="n">
        <f aca="false">(SUMPRODUCT(DCF_Base!$C$19:$L$19/(1+$A19)^DCF_Base!$C$4:$L$4)+MAX(0,MIN(DCF_Base!$L$19*(1+Assumptions!$D$15)/($A19-Assumptions!$D$15),Assumptions!$B$12*DCF_Base!$L$19))/(1+$A19)^10+Assumptions!$B$9)/Assumptions!$B$10</f>
        <v>15.6184334516016</v>
      </c>
    </row>
    <row r="20" customFormat="false" ht="15" hidden="false" customHeight="false" outlineLevel="0" collapsed="false">
      <c r="A20" s="11" t="n">
        <v>0.1</v>
      </c>
      <c r="B20" s="30" t="n">
        <f aca="false">(SUMPRODUCT(DCF_Base!$C$19:$L$19/(1+$A20)^DCF_Base!$C$4:$L$4)+MAX(0,MIN(DCF_Base!$L$19*(1+Assumptions!$D$15)/($A20-Assumptions!$D$15),Assumptions!$B$12*DCF_Base!$L$19))/(1+$A20)^10+Assumptions!$B$9)/Assumptions!$B$10</f>
        <v>13.4111390871456</v>
      </c>
    </row>
    <row r="21" customFormat="false" ht="15" hidden="false" customHeight="false" outlineLevel="0" collapsed="false">
      <c r="A21" s="11" t="n">
        <v>0.105</v>
      </c>
      <c r="B21" s="30" t="n">
        <f aca="false">(SUMPRODUCT(DCF_Base!$C$19:$L$19/(1+$A21)^DCF_Base!$C$4:$L$4)+MAX(0,MIN(DCF_Base!$L$19*(1+Assumptions!$D$15)/($A21-Assumptions!$D$15),Assumptions!$B$12*DCF_Base!$L$19))/(1+$A21)^10+Assumptions!$B$9)/Assumptions!$B$10</f>
        <v>12.5331236841038</v>
      </c>
    </row>
    <row r="22" customFormat="false" ht="15" hidden="false" customHeight="false" outlineLevel="0" collapsed="false">
      <c r="A22" s="11" t="n">
        <v>0.11</v>
      </c>
      <c r="B22" s="30" t="n">
        <f aca="false">(SUMPRODUCT(DCF_Base!$C$19:$L$19/(1+$A22)^DCF_Base!$C$4:$L$4)+MAX(0,MIN(DCF_Base!$L$19*(1+Assumptions!$D$15)/($A22-Assumptions!$D$15),Assumptions!$B$12*DCF_Base!$L$19))/(1+$A22)^10+Assumptions!$B$9)/Assumptions!$B$10</f>
        <v>11.7677684257495</v>
      </c>
    </row>
    <row r="23" customFormat="false" ht="15" hidden="false" customHeight="false" outlineLevel="0" collapsed="false">
      <c r="A23" s="11" t="n">
        <v>0.12</v>
      </c>
      <c r="B23" s="30" t="n">
        <f aca="false">(SUMPRODUCT(DCF_Base!$C$19:$L$19/(1+$A23)^DCF_Base!$C$4:$L$4)+MAX(0,MIN(DCF_Base!$L$19*(1+Assumptions!$D$15)/($A23-Assumptions!$D$15),Assumptions!$B$12*DCF_Base!$L$19))/(1+$A23)^10+Assumptions!$B$9)/Assumptions!$B$10</f>
        <v>10.4995434501237</v>
      </c>
    </row>
    <row r="24" customFormat="false" ht="15" hidden="false" customHeight="false" outlineLevel="0" collapsed="false">
      <c r="A24" s="11" t="n">
        <v>0.15</v>
      </c>
      <c r="B24" s="30" t="n">
        <f aca="false">(SUMPRODUCT(DCF_Base!$C$19:$L$19/(1+$A24)^DCF_Base!$C$4:$L$4)+MAX(0,MIN(DCF_Base!$L$19*(1+Assumptions!$D$15)/($A24-Assumptions!$D$15),Assumptions!$B$12*DCF_Base!$L$19))/(1+$A24)^10+Assumptions!$B$9)/Assumptions!$B$10</f>
        <v>8.00259936126355</v>
      </c>
    </row>
    <row r="25" customFormat="false" ht="15" hidden="false" customHeight="false" outlineLevel="0" collapsed="false">
      <c r="A25" s="2" t="s">
        <v>178</v>
      </c>
      <c r="B25" s="30" t="n">
        <f aca="false">(SUMPRODUCT(DCF_Bear!$C$19:$L$19/(1+0.15)^DCF_Bear!$C$4:$L$4)+MAX(0,MIN(DCF_Bear!$L$19*(1+Assumptions!$C$15)/(0.15-Assumptions!$C$15),Assumptions!$B$12*DCF_Bear!$L$19))/(1+0.15)^10+Assumptions!$B$9)/Assumptions!$B$10</f>
        <v>4.94996962770879</v>
      </c>
      <c r="C25" s="30" t="n">
        <f aca="false">(SUMPRODUCT(DCF_Base!$C$19:$L$19/(1+0.15)^DCF_Base!$C$4:$L$4)+MAX(0,MIN(DCF_Base!$L$19*(1+Assumptions!$D$15)/(0.15-Assumptions!$D$15),Assumptions!$B$12*DCF_Base!$L$19))/(1+0.15)^10+Assumptions!$B$9)/Assumptions!$B$10</f>
        <v>8.00259936126355</v>
      </c>
      <c r="D25" s="30" t="n">
        <f aca="false">(SUMPRODUCT(DCF_Bull!$C$19:$L$19/(1+0.15)^DCF_Bull!$C$4:$L$4)+MAX(0,MIN(DCF_Bull!$L$19*(1+Assumptions!$E$15)/(0.15-Assumptions!$E$15),Assumptions!$B$12*DCF_Bull!$L$19))/(1+0.15)^10+Assumptions!$B$9)/Assumptions!$B$10</f>
        <v>10.3318912749826</v>
      </c>
      <c r="E25" s="29" t="n">
        <f aca="false">SUMPRODUCT(B25:D25,$B$7:$D$7)</f>
        <v>8.35995707103201</v>
      </c>
      <c r="G25" s="5" t="s">
        <v>179</v>
      </c>
    </row>
    <row r="26" customFormat="false" ht="15" hidden="false" customHeight="false" outlineLevel="0" collapsed="false">
      <c r="A26" s="2" t="s">
        <v>180</v>
      </c>
      <c r="B26" s="30" t="n">
        <f aca="false">B25+(SUMPRODUCT(-DCF_Bear!$C$10:$L$10/(1+0.15)^DCF_Bear!$C$4:$L$4)+(-DCF_Bear!$L$10*(1+Assumptions!$C$15)/(0.15-Assumptions!$C$15))/(1+0.15)^10)/Assumptions!$B$10</f>
        <v>5.96334747072897</v>
      </c>
      <c r="C26" s="30" t="n">
        <f aca="false">C25+(SUMPRODUCT(-DCF_Base!$C$10:$L$10/(1+0.15)^DCF_Base!$C$4:$L$4)+(-DCF_Base!$L$10*(1+Assumptions!$D$15)/(0.15-Assumptions!$D$15))/(1+0.15)^10)/Assumptions!$B$10</f>
        <v>9.44305134008973</v>
      </c>
      <c r="D26" s="30" t="n">
        <f aca="false">D25+(SUMPRODUCT(-DCF_Bull!$C$10:$L$10/(1+0.15)^DCF_Bull!$C$4:$L$4)+(-DCF_Bull!$L$10*(1+Assumptions!$E$15)/(0.15-Assumptions!$E$15))/(1+0.15)^10)/Assumptions!$B$10</f>
        <v>12.0989870776319</v>
      </c>
      <c r="E26" s="30" t="n">
        <f aca="false">SUMPRODUCT(B26:D26,$B$7:$D$7)</f>
        <v>9.85067326782539</v>
      </c>
    </row>
    <row r="28" customFormat="false" ht="15" hidden="false" customHeight="false" outlineLevel="0" collapsed="false">
      <c r="A28" s="4" t="s">
        <v>181</v>
      </c>
    </row>
    <row r="29" customFormat="false" ht="15" hidden="false" customHeight="false" outlineLevel="0" collapsed="false">
      <c r="A29" s="6" t="s">
        <v>182</v>
      </c>
      <c r="B29" s="32" t="n">
        <v>0.02</v>
      </c>
      <c r="C29" s="32" t="n">
        <v>0.025</v>
      </c>
      <c r="D29" s="32" t="n">
        <v>0.03</v>
      </c>
      <c r="E29" s="32" t="n">
        <v>0.035</v>
      </c>
      <c r="F29" s="32" t="n">
        <v>0.04</v>
      </c>
    </row>
    <row r="30" customFormat="false" ht="15" hidden="false" customHeight="false" outlineLevel="0" collapsed="false">
      <c r="A30" s="32" t="n">
        <v>0.095</v>
      </c>
      <c r="B30" s="30" t="n">
        <f aca="false">IF($A30&gt;B$29,(SUMPRODUCT(DCF_Base!$C$19:$L$19/(1+$A30)^DCF_Base!$C$4:$L$4)+MAX(0,MIN(DCF_Base!$L$19*(1+B$29)/($A30-B$29),Assumptions!$B$12*DCF_Base!$L$19))/(1+$A30)^10+Assumptions!$B$9)/Assumptions!$B$10,"n/a")</f>
        <v>13.3016477268355</v>
      </c>
      <c r="C30" s="30" t="n">
        <f aca="false">IF($A30&gt;C$29,(SUMPRODUCT(DCF_Base!$C$19:$L$19/(1+$A30)^DCF_Base!$C$4:$L$4)+MAX(0,MIN(DCF_Base!$L$19*(1+C$29)/($A30-C$29),Assumptions!$B$12*DCF_Base!$L$19))/(1+$A30)^10+Assumptions!$B$9)/Assumptions!$B$10,"n/a")</f>
        <v>13.8245762170892</v>
      </c>
      <c r="D30" s="30" t="n">
        <f aca="false">IF($A30&gt;D$29,(SUMPRODUCT(DCF_Base!$C$19:$L$19/(1+$A30)^DCF_Base!$C$4:$L$4)+MAX(0,MIN(DCF_Base!$L$19*(1+D$29)/($A30-D$29),Assumptions!$B$12*DCF_Base!$L$19))/(1+$A30)^10+Assumptions!$B$9)/Assumptions!$B$10,"n/a")</f>
        <v>14.427955244305</v>
      </c>
      <c r="E30" s="30" t="n">
        <f aca="false">IF($A30&gt;E$29,(SUMPRODUCT(DCF_Base!$C$19:$L$19/(1+$A30)^DCF_Base!$C$4:$L$4)+MAX(0,MIN(DCF_Base!$L$19*(1+E$29)/($A30-E$29),Assumptions!$B$12*DCF_Base!$L$19))/(1+$A30)^10+Assumptions!$B$9)/Assumptions!$B$10,"n/a")</f>
        <v>15.1318974427235</v>
      </c>
      <c r="F30" s="30" t="n">
        <f aca="false">IF($A30&gt;F$29,(SUMPRODUCT(DCF_Base!$C$19:$L$19/(1+$A30)^DCF_Base!$C$4:$L$4)+MAX(0,MIN(DCF_Base!$L$19*(1+F$29)/($A30-F$29),Assumptions!$B$12*DCF_Base!$L$19))/(1+$A30)^10+Assumptions!$B$9)/Assumptions!$B$10,"n/a")</f>
        <v>15.9638291317635</v>
      </c>
    </row>
    <row r="31" customFormat="false" ht="15" hidden="false" customHeight="false" outlineLevel="0" collapsed="false">
      <c r="A31" s="32" t="n">
        <v>0.1</v>
      </c>
      <c r="B31" s="30" t="n">
        <f aca="false">IF($A31&gt;B$29,(SUMPRODUCT(DCF_Base!$C$19:$L$19/(1+$A31)^DCF_Base!$C$4:$L$4)+MAX(0,MIN(DCF_Base!$L$19*(1+B$29)/($A31-B$29),Assumptions!$B$12*DCF_Base!$L$19))/(1+$A31)^10+Assumptions!$B$9)/Assumptions!$B$10,"n/a")</f>
        <v>12.4700375517068</v>
      </c>
      <c r="C31" s="30" t="n">
        <f aca="false">IF($A31&gt;C$29,(SUMPRODUCT(DCF_Base!$C$19:$L$19/(1+$A31)^DCF_Base!$C$4:$L$4)+MAX(0,MIN(DCF_Base!$L$19*(1+C$29)/($A31-C$29),Assumptions!$B$12*DCF_Base!$L$19))/(1+$A31)^10+Assumptions!$B$9)/Assumptions!$B$10,"n/a")</f>
        <v>12.9092182682449</v>
      </c>
      <c r="D31" s="30" t="n">
        <f aca="false">IF($A31&gt;D$29,(SUMPRODUCT(DCF_Base!$C$19:$L$19/(1+$A31)^DCF_Base!$C$4:$L$4)+MAX(0,MIN(DCF_Base!$L$19*(1+D$29)/($A31-D$29),Assumptions!$B$12*DCF_Base!$L$19))/(1+$A31)^10+Assumptions!$B$9)/Assumptions!$B$10,"n/a")</f>
        <v>13.4111390871456</v>
      </c>
      <c r="E31" s="30" t="n">
        <f aca="false">IF($A31&gt;E$29,(SUMPRODUCT(DCF_Base!$C$19:$L$19/(1+$A31)^DCF_Base!$C$4:$L$4)+MAX(0,MIN(DCF_Base!$L$19*(1+E$29)/($A31-E$29),Assumptions!$B$12*DCF_Base!$L$19))/(1+$A31)^10+Assumptions!$B$9)/Assumptions!$B$10,"n/a")</f>
        <v>13.9902784935695</v>
      </c>
      <c r="F31" s="30" t="n">
        <f aca="false">IF($A31&gt;F$29,(SUMPRODUCT(DCF_Base!$C$19:$L$19/(1+$A31)^DCF_Base!$C$4:$L$4)+MAX(0,MIN(DCF_Base!$L$19*(1+F$29)/($A31-F$29),Assumptions!$B$12*DCF_Base!$L$19))/(1+$A31)^10+Assumptions!$B$9)/Assumptions!$B$10,"n/a")</f>
        <v>14.6659411343974</v>
      </c>
    </row>
    <row r="32" customFormat="false" ht="15" hidden="false" customHeight="false" outlineLevel="0" collapsed="false">
      <c r="A32" s="32" t="n">
        <v>0.105</v>
      </c>
      <c r="B32" s="30" t="n">
        <f aca="false">IF($A32&gt;B$29,(SUMPRODUCT(DCF_Base!$C$19:$L$19/(1+$A32)^DCF_Base!$C$4:$L$4)+MAX(0,MIN(DCF_Base!$L$19*(1+B$29)/($A32-B$29),Assumptions!$B$12*DCF_Base!$L$19))/(1+$A32)^10+Assumptions!$B$9)/Assumptions!$B$10,"n/a")</f>
        <v>11.7394938524071</v>
      </c>
      <c r="C32" s="30" t="n">
        <f aca="false">IF($A32&gt;C$29,(SUMPRODUCT(DCF_Base!$C$19:$L$19/(1+$A32)^DCF_Base!$C$4:$L$4)+MAX(0,MIN(DCF_Base!$L$19*(1+C$29)/($A32-C$29),Assumptions!$B$12*DCF_Base!$L$19))/(1+$A32)^10+Assumptions!$B$9)/Assumptions!$B$10,"n/a")</f>
        <v>12.1115078360149</v>
      </c>
      <c r="D32" s="29" t="n">
        <f aca="false">IF($A32&gt;D$29,(SUMPRODUCT(DCF_Base!$C$19:$L$19/(1+$A32)^DCF_Base!$C$4:$L$4)+MAX(0,MIN(DCF_Base!$L$19*(1+D$29)/($A32-D$29),Assumptions!$B$12*DCF_Base!$L$19))/(1+$A32)^10+Assumptions!$B$9)/Assumptions!$B$10,"n/a")</f>
        <v>12.5331236841038</v>
      </c>
      <c r="E32" s="30" t="n">
        <f aca="false">IF($A32&gt;E$29,(SUMPRODUCT(DCF_Base!$C$19:$L$19/(1+$A32)^DCF_Base!$C$4:$L$4)+MAX(0,MIN(DCF_Base!$L$19*(1+E$29)/($A32-E$29),Assumptions!$B$12*DCF_Base!$L$19))/(1+$A32)^10+Assumptions!$B$9)/Assumptions!$B$10,"n/a")</f>
        <v>13.014970367634</v>
      </c>
      <c r="F32" s="30" t="n">
        <f aca="false">IF($A32&gt;F$29,(SUMPRODUCT(DCF_Base!$C$19:$L$19/(1+$A32)^DCF_Base!$C$4:$L$4)+MAX(0,MIN(DCF_Base!$L$19*(1+F$29)/($A32-F$29),Assumptions!$B$12*DCF_Base!$L$19))/(1+$A32)^10+Assumptions!$B$9)/Assumptions!$B$10,"n/a")</f>
        <v>13.5709473101688</v>
      </c>
    </row>
    <row r="33" customFormat="false" ht="15" hidden="false" customHeight="false" outlineLevel="0" collapsed="false">
      <c r="A33" s="32" t="n">
        <v>0.11</v>
      </c>
      <c r="B33" s="30" t="n">
        <f aca="false">IF($A33&gt;B$29,(SUMPRODUCT(DCF_Base!$C$19:$L$19/(1+$A33)^DCF_Base!$C$4:$L$4)+MAX(0,MIN(DCF_Base!$L$19*(1+B$29)/($A33-B$29),Assumptions!$B$12*DCF_Base!$L$19))/(1+$A33)^10+Assumptions!$B$9)/Assumptions!$B$10,"n/a")</f>
        <v>11.0930549722282</v>
      </c>
      <c r="C33" s="30" t="n">
        <f aca="false">IF($A33&gt;C$29,(SUMPRODUCT(DCF_Base!$C$19:$L$19/(1+$A33)^DCF_Base!$C$4:$L$4)+MAX(0,MIN(DCF_Base!$L$19*(1+C$29)/($A33-C$29),Assumptions!$B$12*DCF_Base!$L$19))/(1+$A33)^10+Assumptions!$B$9)/Assumptions!$B$10,"n/a")</f>
        <v>11.41056718565</v>
      </c>
      <c r="D33" s="30" t="n">
        <f aca="false">IF($A33&gt;D$29,(SUMPRODUCT(DCF_Base!$C$19:$L$19/(1+$A33)^DCF_Base!$C$4:$L$4)+MAX(0,MIN(DCF_Base!$L$19*(1+D$29)/($A33-D$29),Assumptions!$B$12*DCF_Base!$L$19))/(1+$A33)^10+Assumptions!$B$9)/Assumptions!$B$10,"n/a")</f>
        <v>11.7677684257495</v>
      </c>
      <c r="E33" s="30" t="n">
        <f aca="false">IF($A33&gt;E$29,(SUMPRODUCT(DCF_Base!$C$19:$L$19/(1+$A33)^DCF_Base!$C$4:$L$4)+MAX(0,MIN(DCF_Base!$L$19*(1+E$29)/($A33-E$29),Assumptions!$B$12*DCF_Base!$L$19))/(1+$A33)^10+Assumptions!$B$9)/Assumptions!$B$10,"n/a")</f>
        <v>12.1725964978623</v>
      </c>
      <c r="F33" s="30" t="n">
        <f aca="false">IF($A33&gt;F$29,(SUMPRODUCT(DCF_Base!$C$19:$L$19/(1+$A33)^DCF_Base!$C$4:$L$4)+MAX(0,MIN(DCF_Base!$L$19*(1+F$29)/($A33-F$29),Assumptions!$B$12*DCF_Base!$L$19))/(1+$A33)^10+Assumptions!$B$9)/Assumptions!$B$10,"n/a")</f>
        <v>12.6352571517056</v>
      </c>
    </row>
    <row r="34" customFormat="false" ht="15" hidden="false" customHeight="false" outlineLevel="0" collapsed="false">
      <c r="A34" s="32" t="n">
        <v>0.115</v>
      </c>
      <c r="B34" s="30" t="n">
        <f aca="false">IF($A34&gt;B$29,(SUMPRODUCT(DCF_Base!$C$19:$L$19/(1+$A34)^DCF_Base!$C$4:$L$4)+MAX(0,MIN(DCF_Base!$L$19*(1+B$29)/($A34-B$29),Assumptions!$B$12*DCF_Base!$L$19))/(1+$A34)^10+Assumptions!$B$9)/Assumptions!$B$10,"n/a")</f>
        <v>10.5173350589793</v>
      </c>
      <c r="C34" s="30" t="n">
        <f aca="false">IF($A34&gt;C$29,(SUMPRODUCT(DCF_Base!$C$19:$L$19/(1+$A34)^DCF_Base!$C$4:$L$4)+MAX(0,MIN(DCF_Base!$L$19*(1+C$29)/($A34-C$29),Assumptions!$B$12*DCF_Base!$L$19))/(1+$A34)^10+Assumptions!$B$9)/Assumptions!$B$10,"n/a")</f>
        <v>10.7901629453912</v>
      </c>
      <c r="D34" s="30" t="n">
        <f aca="false">IF($A34&gt;D$29,(SUMPRODUCT(DCF_Base!$C$19:$L$19/(1+$A34)^DCF_Base!$C$4:$L$4)+MAX(0,MIN(DCF_Base!$L$19*(1+D$29)/($A34-D$29),Assumptions!$B$12*DCF_Base!$L$19))/(1+$A34)^10+Assumptions!$B$9)/Assumptions!$B$10,"n/a")</f>
        <v>11.0950882302045</v>
      </c>
      <c r="E34" s="30" t="n">
        <f aca="false">IF($A34&gt;E$29,(SUMPRODUCT(DCF_Base!$C$19:$L$19/(1+$A34)^DCF_Base!$C$4:$L$4)+MAX(0,MIN(DCF_Base!$L$19*(1+E$29)/($A34-E$29),Assumptions!$B$12*DCF_Base!$L$19))/(1+$A34)^10+Assumptions!$B$9)/Assumptions!$B$10,"n/a")</f>
        <v>11.4381291756194</v>
      </c>
      <c r="F34" s="30" t="n">
        <f aca="false">IF($A34&gt;F$29,(SUMPRODUCT(DCF_Base!$C$19:$L$19/(1+$A34)^DCF_Base!$C$4:$L$4)+MAX(0,MIN(DCF_Base!$L$19*(1+F$29)/($A34-F$29),Assumptions!$B$12*DCF_Base!$L$19))/(1+$A34)^10+Assumptions!$B$9)/Assumptions!$B$10,"n/a")</f>
        <v>11.8269089137564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2026-08-17T02:04:50Z</dcterms:created>
  <dc:creator>openpyxl</dc:creator>
  <dc:description/>
  <dc:language>en-US</dc:language>
  <cp:lastModifiedBy/>
  <dcterms:modified xsi:type="dcterms:W3CDTF">2026-08-17T02:04:50Z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