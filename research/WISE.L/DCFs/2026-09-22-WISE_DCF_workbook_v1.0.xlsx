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ssumptions" sheetId="2" state="visible" r:id="rId4"/>
    <sheet name="DCF_Bear" sheetId="3" state="visible" r:id="rId5"/>
    <sheet name="DCF_Base" sheetId="4" state="visible" r:id="rId6"/>
    <sheet name="DCF_Bull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<sst xmlns="http://schemas.openxmlformats.org/spreadsheetml/2006/main" count="233" uniqueCount="124">
  <si>
    <t xml:space="preserve">WISE GROUP (WISE) - DCF MODEL</t>
  </si>
  <si>
    <t xml:space="preserve">Lineage</t>
  </si>
  <si>
    <t xml:space="preserve">v1.0, built 22-Sep-2026 (NZ) by Claude (Fable 5.1) with Stephen via claude.ai (openpyxl; recalculated in LibreOffice; key outputs hand-checked). Fresh build - no prior Wise workbook was uploaded. Follows the equity-deep-dive checkpoint signed off in-chat on 22-Sep-26.</t>
  </si>
  <si>
    <t xml:space="preserve">DATA VINTAGE</t>
  </si>
  <si>
    <t xml:space="preserve">FY0 anchors</t>
  </si>
  <si>
    <t xml:space="preserve">FY26 (year to 31-Mar-26) results release 25-Jun-26 and Form 20-F (SEC accession 0001193125-26-282911): net revenue $2,502.8m; operating income $590.7m; income before tax $660.4m (26.4%); net income $498.7m; SBC ~$95.5m; interest income on customer balances $806.1m, interest paid to customers $196.9m; one-offs $45m listing costs, -$59.6m FX loss on gilts.</t>
  </si>
  <si>
    <t xml:space="preserve">FY1 guidance</t>
  </si>
  <si>
    <t xml:space="preserve">FY27 guide (25-Jun-26, reiterated 16-Jul-26): net revenue growth around the middle of 15-20% cc, assuming no change in central bank rates or customer interest payout; income-before-tax margin around the top of 20-25%. Q1 FY27 (16-Jul-26): net revenue +25% to $714.0m, volume +26%, take rate 50bps. Rates since: ECB +25bp (10-Sep), Fed hike (16-Sep), BoE hold with hawkish dissent (17-Sep).</t>
  </si>
  <si>
    <t xml:space="preserve">Balance sheet / shares / price</t>
  </si>
  <si>
    <t xml:space="preserve">Balance sheet 31-Mar-26 (20-F): total assets $33,260m of which customer funds payable $30,254m; equity $1,930m; long-term debt ~$329m (GBP250m 2030 notes). Shares: 1,025m Class A issued 31-May-26; FY26 diluted WA 1,030m used. Price 856.4p user-supplied 22-Sep-26 at GBPUSD 1.34 (estimate - refresh).</t>
  </si>
  <si>
    <t xml:space="preserve">Regulatory state</t>
  </si>
  <si>
    <t xml:space="preserve">Brussels prosecutor investigation (disclosed 1-Jun-26; direct summons being finalised, none issued as of build). NBB published administrative measure 25-Aug-26: CDD/KYC/monitoring shortcomings, full compliance required by 31-Jan-27, plus notice of non-compliance with an earlier order. OCC denied trust-bank charter 21-Jul-26 (AML deficiencies); Wise to reapply under GENIUS. US securities class action (class period 11-May to 23-Jul-26). 20-F discloses ICFR material weaknesses.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</si>
  <si>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</si>
  <si>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</si>
  <si>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ramps from the current sheltered rate to a normalized ~21%; D&amp;A and capex as % of revenue; working capital = 0% of the YoY revenue increase (set for this business model); diluted shares held FLAT (SBC expensing substitutes for grant dilution; never do both). TV = Gordon capped at 20x terminal owner FCF. End-of-year discounting. WACC 10.5%. Street-convention values (SBC as non-cash) shown as memos - the house/street pair is the accounting-regime price band.</t>
  </si>
  <si>
    <t xml:space="preserve">Wise-specific choices</t>
  </si>
  <si>
    <t xml:space="preserve">(1) Net interest income on CUSTOMER balances is operating revenue and stays in flows; the matching asset is customer money and is NOT on the bridge - so no double count. Only interest on Wise's OWN cash is excluded (US GAAP non-operating line, ~$70m in FY26 incl. FX), and that own cash is the net-cash bridge item. (2) Leases: US GAAP operating leases are expensed in opex (operating-style treatment); lease liabilities excluded from net debt. (3) Cash tax held at 24% throughout (FY26 effective 24.5%; UK statutory 25%; no NOL shelter, DTA only $57m) - the house 21% ramp is a US default and does not apply. (4) Working capital neutral (0%): float belongs to customers, receivables immaterial. (5) Software not capitalised (20-F), so capex is PP&amp;E only; D&amp;A and capex both 2.5% of revenue. (6) Model in USD (reporting currency); price converted from pence at the Assumptions FX cell; pence readouts on the Valuation tab. (7) Rates: the +50bp Sep-26 hikes are in Base/Bull year-1 margin; the FY27 guide assumed no change, so guidance has upside risk. (8) Take rate is not a separate driver - it is inside revenue growth (volume growth minus take-rate compression) per the narratives.</t>
  </si>
  <si>
    <t xml:space="preserve">Scenario drivers</t>
  </si>
  <si>
    <t xml:space="preserve">Scenario paths are Claude's proposal from the 22-Sep-26 dive, confirmed by Stephen in-chat with one amendment: +50bp of policy rates added to Base and Bull year-1 margins (ECB/Fed hikes in Sep-26), Bear keeps -100bp. Weights 15/50/35 (house default, confirmed). Evidence that would move them: NBB outcome at/after 31-Jan-27; issuance and terms of the Belgian summons; Q2 (15-Oct) and H1 (12-Nov) take-rate and volume prints; any customer-interest payout change in the UK.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</si>
  <si>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</si>
  <si>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</si>
  <si>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</si>
  <si>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</si>
  <si>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</si>
  <si>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WISE - Global Assumptions &amp; Scenario Parameters</t>
  </si>
  <si>
    <t xml:space="preserve">Blue = hardcoded input. Yellow = key levers. All $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</si>
  <si>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</si>
  <si>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</si>
  <si>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</si>
  <si>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</si>
  <si>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</si>
  <si>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</si>
  <si>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($mm)</t>
  </si>
  <si>
    <t xml:space="preserve">31-Mar-26, DERIVED: own liquid resources (shareholders' equity $1,930m + debt $335m - PP&amp;E/intangibles/other non-financial ~$300m) less the GBP250m 2030 notes and other debt ($335m). Customer balances ($30.3bn) are safeguarded and EXCLUDED. Replace with the 20-F liquidity-section own-cash figure when pulled.</t>
  </si>
  <si>
    <t xml:space="preserve">Fully diluted shares (mm)</t>
  </si>
  <si>
    <t xml:space="preserve">FY26 diluted weighted-average (20-F). 1,025m Class A issued at 31-May-26; Class B (204m) carry votes only, no economics - excluded. EST holds shares against options, so diluted WA is the safer count. Held flat (house rule).</t>
  </si>
  <si>
    <t xml:space="preserve">Current share price</t>
  </si>
  <si>
    <t xml:space="preserve">856.4p LSE, user-supplied 22-Sep-26 NZ time, x GBPUSD 1.34 (Assumptions FX cell). Refresh both at next London close.</t>
  </si>
  <si>
    <t xml:space="preserve">Terminal value cap (x terminal-year owner FCF)</t>
  </si>
  <si>
    <t xml:space="preserve">GBP/USD spot (for pence readouts)</t>
  </si>
  <si>
    <t xml:space="preserve">Estimate 22-Sep-26; sterling weak after BoE hold vs Fed hike. Refresh with price. Row 13.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</si>
  <si>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</si>
  <si>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</si>
  <si>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</si>
  <si>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</si>
  <si>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</si>
  <si>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</si>
  <si>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</si>
  <si>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</si>
  <si>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NBB deadline (31-Jan-27) missed or met with conditions; EEA onboarding restricted for a period; Belgian criminal fine plus multi-year remediation. Servicing cost stays elevated, take rate cut 46-&gt;42bps with volume growth only ~15%, and rates fall 100bp so NII shrinks. Revenue growth steps down to 8-9% and fades to 4%; EBITDA margin (SBC added back) 23%; SBC stuck at 4%.</t>
  </si>
  <si>
    <t xml:space="preserve">NBB order met by January; a summons is issued but resolves as a fine in the tens of millions plus a year of headlines. FY27 revenue ~17.5% (guide mid-point) helped by +50bp of policy rates, fading ~1pt/yr to 8%. Take rate to ~44bps on ~22% volume growth. EBITDA margin 31% near term drifting to 27% as customer interest payout is enabled and rates normalise. SBC 3.8% -&gt; 3.0%, fully bought back.</t>
  </si>
  <si>
    <t xml:space="preserve">Regulatory issues resolve as base but Wise Platform reaches the 10% volume target, a tier-1 bank signs, and a US charter is granted under GENIUS by FY28 cutting US unit cost. Revenue ~19% for two years fading to 10%; EBITDA margin holds ~31-32% because balances grow faster than rates fall and the +50bp rate tailwind persists. Take rate 44bps by FY28 on ~28% volume. SBC to 3%.</t>
  </si>
  <si>
    <t xml:space="preserve">WISE DCF - Bear - compliance becomes the growth engine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</si>
  <si>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</si>
  <si>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</si>
  <si>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</si>
  <si>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</si>
  <si>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</si>
  <si>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</si>
  <si>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</si>
  <si>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</si>
  <si>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</si>
  <si>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</si>
  <si>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</si>
  <si>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</si>
  <si>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</si>
  <si>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</si>
  <si>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</si>
  <si>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</si>
  <si>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</si>
  <si>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</si>
  <si>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</si>
  <si>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</si>
  <si>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</si>
  <si>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</si>
  <si>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</si>
  <si>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</si>
  <si>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</si>
  <si>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</si>
  <si>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</si>
  <si>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</si>
  <si>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</si>
  <si>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</si>
  <si>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</si>
  <si>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</si>
  <si>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</si>
  <si>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</si>
  <si>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</si>
  <si>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</si>
  <si>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</si>
  <si>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two, floored at 0)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</si>
  <si>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</si>
  <si>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</si>
  <si>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</si>
  <si>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</si>
  <si>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</si>
  <si>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</si>
  <si>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</si>
  <si>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</si>
  <si>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</si>
  <si>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</si>
  <si>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WISE DCF - Base - they fix it, it costs something</t>
  </si>
  <si>
    <t xml:space="preserve">WISE DCF - Bull - regulatory noise, flywheel intact</t>
  </si>
  <si>
    <t xml:space="preserve">WISE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</si>
  <si>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</si>
  <si>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</si>
  <si>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</si>
  <si>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</si>
  <si>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</si>
  <si>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</si>
  <si>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</si>
  <si>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</si>
  <si>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</si>
  <si>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Value per share in pence (house) - Bear / Base / Bull</t>
  </si>
  <si>
    <t xml:space="preserve">Weighted value in pence: house | street | current price</t>
  </si>
  <si>
    <t xml:space="preserve">pence = USD value / GBPUSD spot (Assumptions B13)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</si>
  <si>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</si>
  <si>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</si>
  <si>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</si>
  <si>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</si>
  <si>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 (E = USD, F = pence)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</si>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</sst>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\$#,##0.0;&quot;($&quot;#,##0.0\);\-"/>
    <numFmt numFmtId="167" formatCode="#,##0.0"/>
    <numFmt numFmtId="168" formatCode="\$#,##0.00;&quot;($&quot;#,##0.00\);\-"/>
    <numFmt numFmtId="169" formatCode="0\x"/>
    <numFmt numFmtId="170" formatCode="0.0000"/>
    <numFmt numFmtId="171" formatCode="\$#,##0;&quot;($&quot;#,##0\);\-"/>
    <numFmt numFmtId="172" formatCode="0.000"/>
    <numFmt numFmtId="173" formatCode="0.0\x"/>
    <numFmt numFmtId="174" formatCode="#,##0\p;\(#,##0&quot;p)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</row>
    <row r="3" customFormat="false" ht="22.3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</row>
    <row r="6" customFormat="false" ht="32.8" hidden="false" customHeight="false" outlineLevel="0" collapsed="false">
      <c r="A6" s="2" t="s">
        <v>4</v>
      </c>
      <c r="B6" s="3" t="s">
        <v>5</v>
      </c>
    </row>
    <row r="7" customFormat="false" ht="32.8" hidden="false" customHeight="false" outlineLevel="0" collapsed="false">
      <c r="A7" s="2" t="s">
        <v>6</v>
      </c>
      <c r="B7" s="3" t="s">
        <v>7</v>
      </c>
    </row>
    <row r="8" customFormat="false" ht="32.8" hidden="false" customHeight="false" outlineLevel="0" collapsed="false">
      <c r="A8" s="2" t="s">
        <v>8</v>
      </c>
      <c r="B8" s="3" t="s">
        <v>9</v>
      </c>
    </row>
    <row r="9" customFormat="false" ht="43.25" hidden="false" customHeight="false" outlineLevel="0" collapsed="false">
      <c r="A9" s="2" t="s">
        <v>10</v>
      </c>
      <c r="B9" s="3" t="s">
        <v>11</v>
      </c>
    </row>
    <row r="11" customFormat="false" ht="15" hidden="false" customHeight="false" outlineLevel="0" collapsed="false">
      <c r="A11" s="4" t="s">
        <v>12</v>
      </c>
    </row>
    <row r="12" customFormat="false" ht="53.7" hidden="false" customHeight="false" outlineLevel="0" collapsed="false">
      <c r="A12" s="2" t="s">
        <v>13</v>
      </c>
      <c r="B12" s="3" t="s">
        <v>14</v>
      </c>
    </row>
    <row r="13" customFormat="false" ht="95.5" hidden="false" customHeight="false" outlineLevel="0" collapsed="false">
      <c r="A13" s="2" t="s">
        <v>15</v>
      </c>
      <c r="B13" s="3" t="s">
        <v>16</v>
      </c>
    </row>
    <row r="14" customFormat="false" ht="43.25" hidden="false" customHeight="false" outlineLevel="0" collapsed="false">
      <c r="A14" s="2" t="s">
        <v>17</v>
      </c>
      <c r="B14" s="3" t="s">
        <v>18</v>
      </c>
    </row>
    <row r="16" customFormat="false" ht="15" hidden="false" customHeight="false" outlineLevel="0" collapsed="false">
      <c r="A16" s="4" t="s">
        <v>19</v>
      </c>
    </row>
    <row r="17" customFormat="false" ht="22.35" hidden="false" customHeight="false" outlineLevel="0" collapsed="false">
      <c r="A17" s="2" t="s">
        <v>20</v>
      </c>
      <c r="B17" s="3" t="s">
        <v>21</v>
      </c>
    </row>
    <row r="18" customFormat="false" ht="15" hidden="false" customHeight="false" outlineLevel="0" collapsed="false">
      <c r="A18" s="2" t="s">
        <v>22</v>
      </c>
      <c r="B18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5" t="s">
        <v>25</v>
      </c>
    </row>
    <row r="4" customFormat="false" ht="15" hidden="false" customHeight="false" outlineLevel="0" collapsed="false">
      <c r="A4" s="4" t="s">
        <v>26</v>
      </c>
    </row>
    <row r="5" customFormat="false" ht="15" hidden="false" customHeight="false" outlineLevel="0" collapsed="false">
      <c r="A5" s="2" t="s">
        <v>27</v>
      </c>
      <c r="B5" s="6" t="n">
        <v>0.105</v>
      </c>
      <c r="H5" s="5"/>
    </row>
    <row r="6" customFormat="false" ht="15" hidden="false" customHeight="false" outlineLevel="0" collapsed="false">
      <c r="A6" s="2" t="s">
        <v>28</v>
      </c>
      <c r="B6" s="6" t="n">
        <v>0.025</v>
      </c>
      <c r="H6" s="5"/>
    </row>
    <row r="7" customFormat="false" ht="15" hidden="false" customHeight="false" outlineLevel="0" collapsed="false">
      <c r="A7" s="2" t="s">
        <v>29</v>
      </c>
      <c r="B7" s="6" t="n">
        <v>0.025</v>
      </c>
      <c r="H7" s="5"/>
    </row>
    <row r="8" customFormat="false" ht="15" hidden="false" customHeight="false" outlineLevel="0" collapsed="false">
      <c r="A8" s="2" t="s">
        <v>30</v>
      </c>
      <c r="B8" s="6" t="n">
        <v>0</v>
      </c>
      <c r="H8" s="5" t="s">
        <v>31</v>
      </c>
    </row>
    <row r="9" customFormat="false" ht="15" hidden="false" customHeight="false" outlineLevel="0" collapsed="false">
      <c r="A9" s="2" t="s">
        <v>32</v>
      </c>
      <c r="B9" s="7" t="n">
        <v>1600</v>
      </c>
      <c r="H9" s="5" t="s">
        <v>33</v>
      </c>
    </row>
    <row r="10" customFormat="false" ht="15" hidden="false" customHeight="false" outlineLevel="0" collapsed="false">
      <c r="A10" s="2" t="s">
        <v>34</v>
      </c>
      <c r="B10" s="8" t="n">
        <v>1030</v>
      </c>
      <c r="H10" s="5" t="s">
        <v>35</v>
      </c>
    </row>
    <row r="11" customFormat="false" ht="15" hidden="false" customHeight="false" outlineLevel="0" collapsed="false">
      <c r="A11" s="2" t="s">
        <v>36</v>
      </c>
      <c r="B11" s="9" t="n">
        <v>11.48</v>
      </c>
      <c r="H11" s="5" t="s">
        <v>37</v>
      </c>
    </row>
    <row r="12" customFormat="false" ht="15" hidden="false" customHeight="false" outlineLevel="0" collapsed="false">
      <c r="A12" s="2" t="s">
        <v>38</v>
      </c>
      <c r="B12" s="10" t="n">
        <v>20</v>
      </c>
      <c r="H12" s="5"/>
    </row>
    <row r="13" customFormat="false" ht="15" hidden="false" customHeight="false" outlineLevel="0" collapsed="false">
      <c r="A13" s="2" t="s">
        <v>39</v>
      </c>
      <c r="B13" s="11" t="n">
        <v>1.34</v>
      </c>
      <c r="H13" s="5" t="s">
        <v>40</v>
      </c>
    </row>
    <row r="15" customFormat="false" ht="15" hidden="false" customHeight="false" outlineLevel="0" collapsed="false">
      <c r="A15" s="4" t="s">
        <v>41</v>
      </c>
      <c r="C15" s="12" t="s">
        <v>42</v>
      </c>
      <c r="D15" s="12" t="s">
        <v>43</v>
      </c>
      <c r="E15" s="12" t="s">
        <v>44</v>
      </c>
    </row>
    <row r="16" customFormat="false" ht="15" hidden="false" customHeight="false" outlineLevel="0" collapsed="false">
      <c r="A16" s="2" t="s">
        <v>45</v>
      </c>
      <c r="C16" s="6" t="n">
        <v>0.015</v>
      </c>
      <c r="D16" s="6" t="n">
        <v>0.03</v>
      </c>
      <c r="E16" s="6" t="n">
        <v>0.035</v>
      </c>
    </row>
    <row r="17" customFormat="false" ht="15" hidden="false" customHeight="false" outlineLevel="0" collapsed="false">
      <c r="A17" s="2" t="s">
        <v>46</v>
      </c>
      <c r="C17" s="6" t="n">
        <v>0.15</v>
      </c>
      <c r="D17" s="6" t="n">
        <v>0.5</v>
      </c>
      <c r="E17" s="6" t="n">
        <v>0.35</v>
      </c>
      <c r="F17" s="13" t="n">
        <f aca="false">SUM(C17:E17)</f>
        <v>1</v>
      </c>
      <c r="G17" s="5" t="s">
        <v>47</v>
      </c>
    </row>
    <row r="19" customFormat="false" ht="15" hidden="false" customHeight="false" outlineLevel="0" collapsed="false">
      <c r="A19" s="4" t="s">
        <v>48</v>
      </c>
    </row>
    <row r="20" customFormat="false" ht="25.5" hidden="false" customHeight="true" outlineLevel="0" collapsed="false">
      <c r="A20" s="2" t="s">
        <v>42</v>
      </c>
      <c r="B20" s="14" t="s">
        <v>49</v>
      </c>
      <c r="C20" s="14"/>
      <c r="D20" s="14"/>
      <c r="E20" s="14"/>
      <c r="F20" s="14"/>
      <c r="G20" s="14"/>
      <c r="H20" s="14"/>
    </row>
    <row r="21" customFormat="false" ht="25.5" hidden="false" customHeight="true" outlineLevel="0" collapsed="false">
      <c r="A21" s="2" t="s">
        <v>43</v>
      </c>
      <c r="B21" s="14" t="s">
        <v>50</v>
      </c>
      <c r="C21" s="14"/>
      <c r="D21" s="14"/>
      <c r="E21" s="14"/>
      <c r="F21" s="14"/>
      <c r="G21" s="14"/>
      <c r="H21" s="14"/>
    </row>
    <row r="22" customFormat="false" ht="25.5" hidden="false" customHeight="true" outlineLevel="0" collapsed="false">
      <c r="A22" s="2" t="s">
        <v>44</v>
      </c>
      <c r="B22" s="14" t="s">
        <v>51</v>
      </c>
      <c r="C22" s="14"/>
      <c r="D22" s="14"/>
      <c r="E22" s="14"/>
      <c r="F22" s="14"/>
      <c r="G22" s="14"/>
      <c r="H22" s="14"/>
    </row>
  </sheetData>
  <mergeCells count="3">
    <mergeCell ref="B20:H20"/>
    <mergeCell ref="B21:H2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5" t="s">
        <v>53</v>
      </c>
    </row>
    <row r="3" customFormat="false" ht="15" hidden="false" customHeight="false" outlineLevel="0" collapsed="false">
      <c r="B3" s="12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</row>
    <row r="4" customFormat="false" ht="15" hidden="false" customHeight="false" outlineLevel="0" collapsed="false">
      <c r="A4" s="15" t="s">
        <v>65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false" outlineLevel="0" collapsed="false">
      <c r="A5" s="2" t="s">
        <v>66</v>
      </c>
      <c r="C5" s="6" t="n">
        <v>0.14</v>
      </c>
      <c r="D5" s="6" t="n">
        <v>0.08</v>
      </c>
      <c r="E5" s="6" t="n">
        <v>0.08</v>
      </c>
      <c r="F5" s="6" t="n">
        <v>0.09</v>
      </c>
      <c r="G5" s="6" t="n">
        <v>0.09</v>
      </c>
      <c r="H5" s="6" t="n">
        <v>0.08</v>
      </c>
      <c r="I5" s="6" t="n">
        <v>0.07</v>
      </c>
      <c r="J5" s="6" t="n">
        <v>0.06</v>
      </c>
      <c r="K5" s="6" t="n">
        <v>0.05</v>
      </c>
      <c r="L5" s="6" t="n">
        <v>0.04</v>
      </c>
    </row>
    <row r="6" customFormat="false" ht="15" hidden="false" customHeight="false" outlineLevel="0" collapsed="false">
      <c r="A6" s="2" t="s">
        <v>67</v>
      </c>
      <c r="B6" s="16" t="n">
        <v>2502.8</v>
      </c>
      <c r="C6" s="17" t="n">
        <f aca="false">B6*(1+C5)</f>
        <v>2853.192</v>
      </c>
      <c r="D6" s="17" t="n">
        <f aca="false">C6*(1+D5)</f>
        <v>3081.44736</v>
      </c>
      <c r="E6" s="17" t="n">
        <f aca="false">D6*(1+E5)</f>
        <v>3327.9631488</v>
      </c>
      <c r="F6" s="17" t="n">
        <f aca="false">E6*(1+F5)</f>
        <v>3627.479832192</v>
      </c>
      <c r="G6" s="17" t="n">
        <f aca="false">F6*(1+G5)</f>
        <v>3953.95301708928</v>
      </c>
      <c r="H6" s="17" t="n">
        <f aca="false">G6*(1+H5)</f>
        <v>4270.26925845643</v>
      </c>
      <c r="I6" s="17" t="n">
        <f aca="false">H6*(1+I5)</f>
        <v>4569.18810654838</v>
      </c>
      <c r="J6" s="17" t="n">
        <f aca="false">I6*(1+J5)</f>
        <v>4843.33939294128</v>
      </c>
      <c r="K6" s="17" t="n">
        <f aca="false">J6*(1+K5)</f>
        <v>5085.50636258834</v>
      </c>
      <c r="L6" s="17" t="n">
        <f aca="false">K6*(1+L5)</f>
        <v>5288.92661709188</v>
      </c>
    </row>
    <row r="7" customFormat="false" ht="15" hidden="false" customHeight="false" outlineLevel="0" collapsed="false">
      <c r="A7" s="2" t="s">
        <v>68</v>
      </c>
      <c r="B7" s="18" t="n">
        <v>0.318</v>
      </c>
      <c r="C7" s="6" t="n">
        <v>0.28</v>
      </c>
      <c r="D7" s="6" t="n">
        <v>0.24</v>
      </c>
      <c r="E7" s="6" t="n">
        <v>0.23</v>
      </c>
      <c r="F7" s="6" t="n">
        <v>0.23</v>
      </c>
      <c r="G7" s="6" t="n">
        <v>0.23</v>
      </c>
      <c r="H7" s="6" t="n">
        <v>0.23</v>
      </c>
      <c r="I7" s="6" t="n">
        <v>0.23</v>
      </c>
      <c r="J7" s="6" t="n">
        <v>0.23</v>
      </c>
      <c r="K7" s="6" t="n">
        <v>0.23</v>
      </c>
      <c r="L7" s="6" t="n">
        <v>0.23</v>
      </c>
    </row>
    <row r="8" customFormat="false" ht="15" hidden="false" customHeight="false" outlineLevel="0" collapsed="false">
      <c r="A8" s="2" t="s">
        <v>69</v>
      </c>
      <c r="C8" s="17" t="n">
        <f aca="false">C6*C7</f>
        <v>798.89376</v>
      </c>
      <c r="D8" s="17" t="n">
        <f aca="false">D6*D7</f>
        <v>739.5473664</v>
      </c>
      <c r="E8" s="17" t="n">
        <f aca="false">E6*E7</f>
        <v>765.431524224</v>
      </c>
      <c r="F8" s="17" t="n">
        <f aca="false">F6*F7</f>
        <v>834.32036140416</v>
      </c>
      <c r="G8" s="17" t="n">
        <f aca="false">G6*G7</f>
        <v>909.409193930535</v>
      </c>
      <c r="H8" s="17" t="n">
        <f aca="false">H6*H7</f>
        <v>982.161929444978</v>
      </c>
      <c r="I8" s="17" t="n">
        <f aca="false">I6*I7</f>
        <v>1050.91326450613</v>
      </c>
      <c r="J8" s="17" t="n">
        <f aca="false">J6*J7</f>
        <v>1113.96806037649</v>
      </c>
      <c r="K8" s="17" t="n">
        <f aca="false">K6*K7</f>
        <v>1169.66646339532</v>
      </c>
      <c r="L8" s="17" t="n">
        <f aca="false">L6*L7</f>
        <v>1216.45312193113</v>
      </c>
    </row>
    <row r="9" customFormat="false" ht="15" hidden="false" customHeight="false" outlineLevel="0" collapsed="false">
      <c r="A9" s="2" t="s">
        <v>70</v>
      </c>
      <c r="B9" s="18" t="n">
        <v>0.038</v>
      </c>
      <c r="C9" s="6" t="n">
        <v>0.04</v>
      </c>
      <c r="D9" s="6" t="n">
        <v>0.04</v>
      </c>
      <c r="E9" s="6" t="n">
        <v>0.04</v>
      </c>
      <c r="F9" s="6" t="n">
        <v>0.04</v>
      </c>
      <c r="G9" s="6" t="n">
        <v>0.04</v>
      </c>
      <c r="H9" s="6" t="n">
        <v>0.04</v>
      </c>
      <c r="I9" s="6" t="n">
        <v>0.04</v>
      </c>
      <c r="J9" s="6" t="n">
        <v>0.04</v>
      </c>
      <c r="K9" s="6" t="n">
        <v>0.04</v>
      </c>
      <c r="L9" s="6" t="n">
        <v>0.04</v>
      </c>
    </row>
    <row r="10" customFormat="false" ht="15" hidden="false" customHeight="false" outlineLevel="0" collapsed="false">
      <c r="A10" s="2" t="s">
        <v>71</v>
      </c>
      <c r="C10" s="17" t="n">
        <f aca="false">-C6*C9</f>
        <v>-114.12768</v>
      </c>
      <c r="D10" s="17" t="n">
        <f aca="false">-D6*D9</f>
        <v>-123.2578944</v>
      </c>
      <c r="E10" s="17" t="n">
        <f aca="false">-E6*E9</f>
        <v>-133.118525952</v>
      </c>
      <c r="F10" s="17" t="n">
        <f aca="false">-F6*F9</f>
        <v>-145.09919328768</v>
      </c>
      <c r="G10" s="17" t="n">
        <f aca="false">-G6*G9</f>
        <v>-158.158120683571</v>
      </c>
      <c r="H10" s="17" t="n">
        <f aca="false">-H6*H9</f>
        <v>-170.810770338257</v>
      </c>
      <c r="I10" s="17" t="n">
        <f aca="false">-I6*I9</f>
        <v>-182.767524261935</v>
      </c>
      <c r="J10" s="17" t="n">
        <f aca="false">-J6*J9</f>
        <v>-193.733575717651</v>
      </c>
      <c r="K10" s="17" t="n">
        <f aca="false">-K6*K9</f>
        <v>-203.420254503534</v>
      </c>
      <c r="L10" s="17" t="n">
        <f aca="false">-L6*L9</f>
        <v>-211.557064683675</v>
      </c>
    </row>
    <row r="11" customFormat="false" ht="15" hidden="false" customHeight="false" outlineLevel="0" collapsed="false">
      <c r="A11" s="2" t="s">
        <v>72</v>
      </c>
      <c r="C11" s="17" t="n">
        <f aca="false">C8+C10</f>
        <v>684.76608</v>
      </c>
      <c r="D11" s="17" t="n">
        <f aca="false">D8+D10</f>
        <v>616.289472</v>
      </c>
      <c r="E11" s="17" t="n">
        <f aca="false">E8+E10</f>
        <v>632.312998272</v>
      </c>
      <c r="F11" s="17" t="n">
        <f aca="false">F8+F10</f>
        <v>689.22116811648</v>
      </c>
      <c r="G11" s="17" t="n">
        <f aca="false">G8+G10</f>
        <v>751.251073246964</v>
      </c>
      <c r="H11" s="17" t="n">
        <f aca="false">H8+H10</f>
        <v>811.351159106721</v>
      </c>
      <c r="I11" s="17" t="n">
        <f aca="false">I8+I10</f>
        <v>868.145740244191</v>
      </c>
      <c r="J11" s="17" t="n">
        <f aca="false">J8+J10</f>
        <v>920.234484658843</v>
      </c>
      <c r="K11" s="17" t="n">
        <f aca="false">K8+K10</f>
        <v>966.246208891785</v>
      </c>
      <c r="L11" s="17" t="n">
        <f aca="false">L8+L10</f>
        <v>1004.89605724746</v>
      </c>
    </row>
    <row r="12" customFormat="false" ht="15" hidden="false" customHeight="false" outlineLevel="0" collapsed="false">
      <c r="A12" s="2" t="s">
        <v>73</v>
      </c>
      <c r="C12" s="19" t="n">
        <f aca="false">-C6*Assumptions!$B$6</f>
        <v>-71.3298</v>
      </c>
      <c r="D12" s="19" t="n">
        <f aca="false">-D6*Assumptions!$B$6</f>
        <v>-77.036184</v>
      </c>
      <c r="E12" s="19" t="n">
        <f aca="false">-E6*Assumptions!$B$6</f>
        <v>-83.19907872</v>
      </c>
      <c r="F12" s="19" t="n">
        <f aca="false">-F6*Assumptions!$B$6</f>
        <v>-90.6869958048</v>
      </c>
      <c r="G12" s="19" t="n">
        <f aca="false">-G6*Assumptions!$B$6</f>
        <v>-98.848825427232</v>
      </c>
      <c r="H12" s="19" t="n">
        <f aca="false">-H6*Assumptions!$B$6</f>
        <v>-106.756731461411</v>
      </c>
      <c r="I12" s="19" t="n">
        <f aca="false">-I6*Assumptions!$B$6</f>
        <v>-114.229702663709</v>
      </c>
      <c r="J12" s="19" t="n">
        <f aca="false">-J6*Assumptions!$B$6</f>
        <v>-121.083484823532</v>
      </c>
      <c r="K12" s="19" t="n">
        <f aca="false">-K6*Assumptions!$B$6</f>
        <v>-127.137659064709</v>
      </c>
      <c r="L12" s="19" t="n">
        <f aca="false">-L6*Assumptions!$B$6</f>
        <v>-132.223165427297</v>
      </c>
    </row>
    <row r="13" customFormat="false" ht="15" hidden="false" customHeight="false" outlineLevel="0" collapsed="false">
      <c r="A13" s="2" t="s">
        <v>74</v>
      </c>
      <c r="C13" s="17" t="n">
        <f aca="false">C11+C12</f>
        <v>613.43628</v>
      </c>
      <c r="D13" s="17" t="n">
        <f aca="false">D11+D12</f>
        <v>539.253288</v>
      </c>
      <c r="E13" s="17" t="n">
        <f aca="false">E11+E12</f>
        <v>549.113919552</v>
      </c>
      <c r="F13" s="17" t="n">
        <f aca="false">F11+F12</f>
        <v>598.53417231168</v>
      </c>
      <c r="G13" s="17" t="n">
        <f aca="false">G11+G12</f>
        <v>652.402247819731</v>
      </c>
      <c r="H13" s="17" t="n">
        <f aca="false">H11+H12</f>
        <v>704.59442764531</v>
      </c>
      <c r="I13" s="17" t="n">
        <f aca="false">I11+I12</f>
        <v>753.916037580482</v>
      </c>
      <c r="J13" s="17" t="n">
        <f aca="false">J11+J12</f>
        <v>799.150999835311</v>
      </c>
      <c r="K13" s="17" t="n">
        <f aca="false">K11+K12</f>
        <v>839.108549827076</v>
      </c>
      <c r="L13" s="17" t="n">
        <f aca="false">L11+L12</f>
        <v>872.67289182016</v>
      </c>
    </row>
    <row r="14" customFormat="false" ht="15" hidden="false" customHeight="false" outlineLevel="0" collapsed="false">
      <c r="A14" s="2" t="s">
        <v>75</v>
      </c>
      <c r="C14" s="6" t="n">
        <v>0.24</v>
      </c>
      <c r="D14" s="6" t="n">
        <v>0.24</v>
      </c>
      <c r="E14" s="6" t="n">
        <v>0.24</v>
      </c>
      <c r="F14" s="6" t="n">
        <v>0.24</v>
      </c>
      <c r="G14" s="6" t="n">
        <v>0.24</v>
      </c>
      <c r="H14" s="6" t="n">
        <v>0.24</v>
      </c>
      <c r="I14" s="6" t="n">
        <v>0.24</v>
      </c>
      <c r="J14" s="6" t="n">
        <v>0.24</v>
      </c>
      <c r="K14" s="6" t="n">
        <v>0.24</v>
      </c>
      <c r="L14" s="6" t="n">
        <v>0.24</v>
      </c>
    </row>
    <row r="15" customFormat="false" ht="15" hidden="false" customHeight="false" outlineLevel="0" collapsed="false">
      <c r="A15" s="2" t="s">
        <v>76</v>
      </c>
      <c r="C15" s="17" t="n">
        <f aca="false">C13*(1-C14)</f>
        <v>466.2115728</v>
      </c>
      <c r="D15" s="17" t="n">
        <f aca="false">D13*(1-D14)</f>
        <v>409.83249888</v>
      </c>
      <c r="E15" s="17" t="n">
        <f aca="false">E13*(1-E14)</f>
        <v>417.32657885952</v>
      </c>
      <c r="F15" s="17" t="n">
        <f aca="false">F13*(1-F14)</f>
        <v>454.885970956877</v>
      </c>
      <c r="G15" s="17" t="n">
        <f aca="false">G13*(1-G14)</f>
        <v>495.825708342996</v>
      </c>
      <c r="H15" s="17" t="n">
        <f aca="false">H13*(1-H14)</f>
        <v>535.491765010436</v>
      </c>
      <c r="I15" s="17" t="n">
        <f aca="false">I13*(1-I14)</f>
        <v>572.976188561166</v>
      </c>
      <c r="J15" s="17" t="n">
        <f aca="false">J13*(1-J14)</f>
        <v>607.354759874836</v>
      </c>
      <c r="K15" s="17" t="n">
        <f aca="false">K13*(1-K14)</f>
        <v>637.722497868578</v>
      </c>
      <c r="L15" s="17" t="n">
        <f aca="false">L13*(1-L14)</f>
        <v>663.231397783321</v>
      </c>
    </row>
    <row r="16" customFormat="false" ht="15" hidden="false" customHeight="false" outlineLevel="0" collapsed="false">
      <c r="A16" s="2" t="s">
        <v>77</v>
      </c>
      <c r="C16" s="17" t="n">
        <f aca="false">-C12</f>
        <v>71.3298</v>
      </c>
      <c r="D16" s="17" t="n">
        <f aca="false">-D12</f>
        <v>77.036184</v>
      </c>
      <c r="E16" s="17" t="n">
        <f aca="false">-E12</f>
        <v>83.19907872</v>
      </c>
      <c r="F16" s="17" t="n">
        <f aca="false">-F12</f>
        <v>90.6869958048</v>
      </c>
      <c r="G16" s="17" t="n">
        <f aca="false">-G12</f>
        <v>98.848825427232</v>
      </c>
      <c r="H16" s="17" t="n">
        <f aca="false">-H12</f>
        <v>106.756731461411</v>
      </c>
      <c r="I16" s="17" t="n">
        <f aca="false">-I12</f>
        <v>114.229702663709</v>
      </c>
      <c r="J16" s="17" t="n">
        <f aca="false">-J12</f>
        <v>121.083484823532</v>
      </c>
      <c r="K16" s="17" t="n">
        <f aca="false">-K12</f>
        <v>127.137659064709</v>
      </c>
      <c r="L16" s="17" t="n">
        <f aca="false">-L12</f>
        <v>132.223165427297</v>
      </c>
    </row>
    <row r="17" customFormat="false" ht="15" hidden="false" customHeight="false" outlineLevel="0" collapsed="false">
      <c r="A17" s="2" t="s">
        <v>78</v>
      </c>
      <c r="C17" s="19" t="n">
        <f aca="false">-C6*Assumptions!$B$7</f>
        <v>-71.3298</v>
      </c>
      <c r="D17" s="19" t="n">
        <f aca="false">-D6*Assumptions!$B$7</f>
        <v>-77.036184</v>
      </c>
      <c r="E17" s="19" t="n">
        <f aca="false">-E6*Assumptions!$B$7</f>
        <v>-83.19907872</v>
      </c>
      <c r="F17" s="19" t="n">
        <f aca="false">-F6*Assumptions!$B$7</f>
        <v>-90.6869958048</v>
      </c>
      <c r="G17" s="19" t="n">
        <f aca="false">-G6*Assumptions!$B$7</f>
        <v>-98.848825427232</v>
      </c>
      <c r="H17" s="19" t="n">
        <f aca="false">-H6*Assumptions!$B$7</f>
        <v>-106.756731461411</v>
      </c>
      <c r="I17" s="19" t="n">
        <f aca="false">-I6*Assumptions!$B$7</f>
        <v>-114.229702663709</v>
      </c>
      <c r="J17" s="19" t="n">
        <f aca="false">-J6*Assumptions!$B$7</f>
        <v>-121.083484823532</v>
      </c>
      <c r="K17" s="19" t="n">
        <f aca="false">-K6*Assumptions!$B$7</f>
        <v>-127.137659064709</v>
      </c>
      <c r="L17" s="19" t="n">
        <f aca="false">-L6*Assumptions!$B$7</f>
        <v>-132.223165427297</v>
      </c>
    </row>
    <row r="18" customFormat="false" ht="15" hidden="false" customHeight="false" outlineLevel="0" collapsed="false">
      <c r="A18" s="2" t="s">
        <v>79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false" outlineLevel="0" collapsed="false">
      <c r="A19" s="2" t="s">
        <v>80</v>
      </c>
      <c r="C19" s="20" t="n">
        <f aca="false">C15+C16+C17+C18</f>
        <v>466.2115728</v>
      </c>
      <c r="D19" s="20" t="n">
        <f aca="false">D15+D16+D17+D18</f>
        <v>409.83249888</v>
      </c>
      <c r="E19" s="20" t="n">
        <f aca="false">E15+E16+E17+E18</f>
        <v>417.32657885952</v>
      </c>
      <c r="F19" s="20" t="n">
        <f aca="false">F15+F16+F17+F18</f>
        <v>454.885970956877</v>
      </c>
      <c r="G19" s="20" t="n">
        <f aca="false">G15+G16+G17+G18</f>
        <v>495.825708342996</v>
      </c>
      <c r="H19" s="20" t="n">
        <f aca="false">H15+H16+H17+H18</f>
        <v>535.491765010436</v>
      </c>
      <c r="I19" s="20" t="n">
        <f aca="false">I15+I16+I17+I18</f>
        <v>572.976188561166</v>
      </c>
      <c r="J19" s="20" t="n">
        <f aca="false">J15+J16+J17+J18</f>
        <v>607.354759874836</v>
      </c>
      <c r="K19" s="20" t="n">
        <f aca="false">K15+K16+K17+K18</f>
        <v>637.722497868578</v>
      </c>
      <c r="L19" s="20" t="n">
        <f aca="false">L15+L16+L17+L18</f>
        <v>663.231397783321</v>
      </c>
    </row>
    <row r="20" customFormat="false" ht="15" hidden="false" customHeight="false" outlineLevel="0" collapsed="false">
      <c r="A20" s="2" t="s">
        <v>81</v>
      </c>
      <c r="C20" s="21" t="n">
        <f aca="false">1/(1+Assumptions!$B$5)^C4</f>
        <v>0.904977375565611</v>
      </c>
      <c r="D20" s="21" t="n">
        <f aca="false">1/(1+Assumptions!$B$5)^D4</f>
        <v>0.818984050285621</v>
      </c>
      <c r="E20" s="21" t="n">
        <f aca="false">1/(1+Assumptions!$B$5)^E4</f>
        <v>0.741162036457575</v>
      </c>
      <c r="F20" s="21" t="n">
        <f aca="false">1/(1+Assumptions!$B$5)^F4</f>
        <v>0.67073487462224</v>
      </c>
      <c r="G20" s="21" t="n">
        <f aca="false">1/(1+Assumptions!$B$5)^G4</f>
        <v>0.606999886535964</v>
      </c>
      <c r="H20" s="21" t="n">
        <f aca="false">1/(1+Assumptions!$B$5)^H4</f>
        <v>0.54932116428594</v>
      </c>
      <c r="I20" s="21" t="n">
        <f aca="false">1/(1+Assumptions!$B$5)^I4</f>
        <v>0.497123225598136</v>
      </c>
      <c r="J20" s="21" t="n">
        <f aca="false">1/(1+Assumptions!$B$5)^J4</f>
        <v>0.449885272034512</v>
      </c>
      <c r="K20" s="21" t="n">
        <f aca="false">1/(1+Assumptions!$B$5)^K4</f>
        <v>0.407135992791414</v>
      </c>
      <c r="L20" s="21" t="n">
        <f aca="false">1/(1+Assumptions!$B$5)^L4</f>
        <v>0.368448862254673</v>
      </c>
    </row>
    <row r="21" customFormat="false" ht="15" hidden="false" customHeight="false" outlineLevel="0" collapsed="false">
      <c r="A21" s="2" t="s">
        <v>82</v>
      </c>
      <c r="C21" s="17" t="n">
        <f aca="false">C19*C20</f>
        <v>421.91092561086</v>
      </c>
      <c r="D21" s="17" t="n">
        <f aca="false">D19*D20</f>
        <v>335.64627987142</v>
      </c>
      <c r="E21" s="17" t="n">
        <f aca="false">E19*E20</f>
        <v>309.306617055395</v>
      </c>
      <c r="F21" s="17" t="n">
        <f aca="false">F19*F20</f>
        <v>305.107884697177</v>
      </c>
      <c r="G21" s="17" t="n">
        <f aca="false">G19*G20</f>
        <v>300.966148705813</v>
      </c>
      <c r="H21" s="17" t="n">
        <f aca="false">H19*H20</f>
        <v>294.156959821066</v>
      </c>
      <c r="I21" s="17" t="n">
        <f aca="false">I19*I20</f>
        <v>284.839771048453</v>
      </c>
      <c r="J21" s="17" t="n">
        <f aca="false">J19*J20</f>
        <v>273.239961367747</v>
      </c>
      <c r="K21" s="17" t="n">
        <f aca="false">K19*K20</f>
        <v>259.639782295144</v>
      </c>
      <c r="L21" s="17" t="n">
        <f aca="false">L19*L20</f>
        <v>244.366853924841</v>
      </c>
    </row>
    <row r="23" customFormat="false" ht="15" hidden="false" customHeight="false" outlineLevel="0" collapsed="false">
      <c r="A23" s="2" t="s">
        <v>83</v>
      </c>
      <c r="C23" s="17" t="n">
        <f aca="false">C19-C10</f>
        <v>580.3392528</v>
      </c>
      <c r="D23" s="17" t="n">
        <f aca="false">D19-D10</f>
        <v>533.09039328</v>
      </c>
      <c r="E23" s="17" t="n">
        <f aca="false">E19-E10</f>
        <v>550.44510481152</v>
      </c>
      <c r="F23" s="17" t="n">
        <f aca="false">F19-F10</f>
        <v>599.985164244557</v>
      </c>
      <c r="G23" s="17" t="n">
        <f aca="false">G19-G10</f>
        <v>653.983829026567</v>
      </c>
      <c r="H23" s="17" t="n">
        <f aca="false">H19-H10</f>
        <v>706.302535348693</v>
      </c>
      <c r="I23" s="17" t="n">
        <f aca="false">I19-I10</f>
        <v>755.743712823101</v>
      </c>
      <c r="J23" s="17" t="n">
        <f aca="false">J19-J10</f>
        <v>801.088335592487</v>
      </c>
      <c r="K23" s="17" t="n">
        <f aca="false">K19-K10</f>
        <v>841.142752372112</v>
      </c>
      <c r="L23" s="17" t="n">
        <f aca="false">L19-L10</f>
        <v>874.788462466996</v>
      </c>
    </row>
    <row r="24" customFormat="false" ht="15" hidden="false" customHeight="false" outlineLevel="0" collapsed="false">
      <c r="A24" s="2" t="s">
        <v>84</v>
      </c>
      <c r="C24" s="13" t="n">
        <f aca="false">C19/C6</f>
        <v>0.1634</v>
      </c>
      <c r="D24" s="13" t="n">
        <f aca="false">D19/D6</f>
        <v>0.133</v>
      </c>
      <c r="E24" s="13" t="n">
        <f aca="false">E19/E6</f>
        <v>0.1254</v>
      </c>
      <c r="F24" s="13" t="n">
        <f aca="false">F19/F6</f>
        <v>0.1254</v>
      </c>
      <c r="G24" s="13" t="n">
        <f aca="false">G19/G6</f>
        <v>0.1254</v>
      </c>
      <c r="H24" s="13" t="n">
        <f aca="false">H19/H6</f>
        <v>0.1254</v>
      </c>
      <c r="I24" s="13" t="n">
        <f aca="false">I19/I6</f>
        <v>0.1254</v>
      </c>
      <c r="J24" s="13" t="n">
        <f aca="false">J19/J6</f>
        <v>0.1254</v>
      </c>
      <c r="K24" s="13" t="n">
        <f aca="false">K19/K6</f>
        <v>0.1254</v>
      </c>
      <c r="L24" s="13" t="n">
        <f aca="false">L19/L6</f>
        <v>0.1254</v>
      </c>
    </row>
    <row r="25" customFormat="false" ht="15" hidden="false" customHeight="false" outlineLevel="0" collapsed="false">
      <c r="A25" s="4" t="s">
        <v>85</v>
      </c>
    </row>
    <row r="26" customFormat="false" ht="15" hidden="false" customHeight="false" outlineLevel="0" collapsed="false">
      <c r="A26" s="2" t="s">
        <v>86</v>
      </c>
      <c r="B26" s="17" t="n">
        <f aca="false">SUM(C21:L21)</f>
        <v>3029.18118439791</v>
      </c>
    </row>
    <row r="27" customFormat="false" ht="15" hidden="false" customHeight="false" outlineLevel="0" collapsed="false">
      <c r="A27" s="2" t="s">
        <v>45</v>
      </c>
      <c r="B27" s="22" t="n">
        <f aca="false">Assumptions!$C$16</f>
        <v>0.015</v>
      </c>
    </row>
    <row r="28" customFormat="false" ht="15" hidden="false" customHeight="false" outlineLevel="0" collapsed="false">
      <c r="A28" s="2" t="s">
        <v>87</v>
      </c>
      <c r="B28" s="17" t="n">
        <f aca="false">L19*(1+B27)</f>
        <v>673.179868750071</v>
      </c>
    </row>
    <row r="29" customFormat="false" ht="15" hidden="false" customHeight="false" outlineLevel="0" collapsed="false">
      <c r="A29" s="2" t="s">
        <v>88</v>
      </c>
      <c r="B29" s="17" t="n">
        <f aca="false">B28/(Assumptions!$B$5-B27)</f>
        <v>7479.77631944523</v>
      </c>
    </row>
    <row r="30" customFormat="false" ht="15" hidden="false" customHeight="false" outlineLevel="0" collapsed="false">
      <c r="A30" s="2" t="s">
        <v>89</v>
      </c>
      <c r="B30" s="19" t="n">
        <f aca="false">Assumptions!$B$12*L19</f>
        <v>13264.6279556664</v>
      </c>
    </row>
    <row r="31" customFormat="false" ht="15" hidden="false" customHeight="false" outlineLevel="0" collapsed="false">
      <c r="A31" s="2" t="s">
        <v>90</v>
      </c>
      <c r="B31" s="17" t="n">
        <f aca="false">MAX(0,MIN(B29,B30))</f>
        <v>7479.77631944523</v>
      </c>
    </row>
    <row r="32" customFormat="false" ht="15" hidden="false" customHeight="false" outlineLevel="0" collapsed="false">
      <c r="A32" s="2" t="s">
        <v>91</v>
      </c>
      <c r="B32" s="23" t="n">
        <f aca="false">B31/L19</f>
        <v>11.2777777777778</v>
      </c>
    </row>
    <row r="33" customFormat="false" ht="15" hidden="false" customHeight="false" outlineLevel="0" collapsed="false">
      <c r="A33" s="2" t="s">
        <v>92</v>
      </c>
      <c r="B33" s="17" t="n">
        <f aca="false">B31*L20</f>
        <v>2755.91507481904</v>
      </c>
    </row>
    <row r="34" customFormat="false" ht="15" hidden="false" customHeight="false" outlineLevel="0" collapsed="false">
      <c r="A34" s="2" t="s">
        <v>93</v>
      </c>
      <c r="B34" s="17" t="n">
        <f aca="false">B26+B33</f>
        <v>5785.09625921695</v>
      </c>
    </row>
    <row r="35" customFormat="false" ht="15" hidden="false" customHeight="false" outlineLevel="0" collapsed="false">
      <c r="A35" s="2" t="s">
        <v>94</v>
      </c>
      <c r="B35" s="19" t="n">
        <f aca="false">Assumptions!$B$9</f>
        <v>1600</v>
      </c>
    </row>
    <row r="36" customFormat="false" ht="15" hidden="false" customHeight="false" outlineLevel="0" collapsed="false">
      <c r="A36" s="2" t="s">
        <v>95</v>
      </c>
      <c r="B36" s="17" t="n">
        <f aca="false">B34+B35</f>
        <v>7385.09625921695</v>
      </c>
    </row>
    <row r="37" customFormat="false" ht="15" hidden="false" customHeight="false" outlineLevel="0" collapsed="false">
      <c r="A37" s="2" t="s">
        <v>34</v>
      </c>
      <c r="B37" s="24" t="n">
        <f aca="false">Assumptions!$B$10</f>
        <v>1030</v>
      </c>
    </row>
    <row r="38" customFormat="false" ht="15" hidden="false" customHeight="false" outlineLevel="0" collapsed="false">
      <c r="A38" s="2" t="s">
        <v>96</v>
      </c>
      <c r="B38" s="25" t="n">
        <f aca="false">B36/B37</f>
        <v>7.1699963681718</v>
      </c>
    </row>
    <row r="39" customFormat="false" ht="15" hidden="false" customHeight="false" outlineLevel="0" collapsed="false">
      <c r="A39" s="2" t="s">
        <v>97</v>
      </c>
      <c r="B39" s="13" t="n">
        <f aca="false">B38/Assumptions!$B$11-1</f>
        <v>-0.375435856431028</v>
      </c>
    </row>
    <row r="41" customFormat="false" ht="15" hidden="false" customHeight="false" outlineLevel="0" collapsed="false">
      <c r="A41" s="2" t="s">
        <v>98</v>
      </c>
      <c r="B41" s="17" t="n">
        <f aca="false">SUMPRODUCT(-C10:L10/(1+Assumptions!$B$5)^C4:L4)</f>
        <v>928.830168123505</v>
      </c>
    </row>
    <row r="42" customFormat="false" ht="15" hidden="false" customHeight="false" outlineLevel="0" collapsed="false">
      <c r="A42" s="2" t="s">
        <v>99</v>
      </c>
      <c r="B42" s="17" t="n">
        <f aca="false">(-L10*(1+B27)/(Assumptions!$B$5-B27))*L20</f>
        <v>879.07976868231</v>
      </c>
    </row>
    <row r="43" customFormat="false" ht="15" hidden="false" customHeight="false" outlineLevel="0" collapsed="false">
      <c r="A43" s="2" t="s">
        <v>100</v>
      </c>
      <c r="B43" s="26" t="n">
        <f aca="false">(B36+B41+B42)/B37</f>
        <v>8.92524873400269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5" t="s">
        <v>53</v>
      </c>
    </row>
    <row r="3" customFormat="false" ht="15" hidden="false" customHeight="false" outlineLevel="0" collapsed="false">
      <c r="B3" s="12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</row>
    <row r="4" customFormat="false" ht="15" hidden="false" customHeight="false" outlineLevel="0" collapsed="false">
      <c r="A4" s="15" t="s">
        <v>65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false" outlineLevel="0" collapsed="false">
      <c r="A5" s="2" t="s">
        <v>66</v>
      </c>
      <c r="C5" s="6" t="n">
        <v>0.175</v>
      </c>
      <c r="D5" s="6" t="n">
        <v>0.16</v>
      </c>
      <c r="E5" s="6" t="n">
        <v>0.15</v>
      </c>
      <c r="F5" s="6" t="n">
        <v>0.14</v>
      </c>
      <c r="G5" s="6" t="n">
        <v>0.13</v>
      </c>
      <c r="H5" s="6" t="n">
        <v>0.12</v>
      </c>
      <c r="I5" s="6" t="n">
        <v>0.11</v>
      </c>
      <c r="J5" s="6" t="n">
        <v>0.1</v>
      </c>
      <c r="K5" s="6" t="n">
        <v>0.09</v>
      </c>
      <c r="L5" s="6" t="n">
        <v>0.08</v>
      </c>
    </row>
    <row r="6" customFormat="false" ht="15" hidden="false" customHeight="false" outlineLevel="0" collapsed="false">
      <c r="A6" s="2" t="s">
        <v>67</v>
      </c>
      <c r="B6" s="16" t="n">
        <v>2502.8</v>
      </c>
      <c r="C6" s="17" t="n">
        <f aca="false">B6*(1+C5)</f>
        <v>2940.79</v>
      </c>
      <c r="D6" s="17" t="n">
        <f aca="false">C6*(1+D5)</f>
        <v>3411.3164</v>
      </c>
      <c r="E6" s="17" t="n">
        <f aca="false">D6*(1+E5)</f>
        <v>3923.01386</v>
      </c>
      <c r="F6" s="17" t="n">
        <f aca="false">E6*(1+F5)</f>
        <v>4472.2358004</v>
      </c>
      <c r="G6" s="17" t="n">
        <f aca="false">F6*(1+G5)</f>
        <v>5053.626454452</v>
      </c>
      <c r="H6" s="17" t="n">
        <f aca="false">G6*(1+H5)</f>
        <v>5660.06162898624</v>
      </c>
      <c r="I6" s="17" t="n">
        <f aca="false">H6*(1+I5)</f>
        <v>6282.66840817473</v>
      </c>
      <c r="J6" s="17" t="n">
        <f aca="false">I6*(1+J5)</f>
        <v>6910.9352489922</v>
      </c>
      <c r="K6" s="17" t="n">
        <f aca="false">J6*(1+K5)</f>
        <v>7532.9194214015</v>
      </c>
      <c r="L6" s="17" t="n">
        <f aca="false">K6*(1+L5)</f>
        <v>8135.55297511362</v>
      </c>
    </row>
    <row r="7" customFormat="false" ht="15" hidden="false" customHeight="false" outlineLevel="0" collapsed="false">
      <c r="A7" s="2" t="s">
        <v>68</v>
      </c>
      <c r="B7" s="18" t="n">
        <v>0.318</v>
      </c>
      <c r="C7" s="6" t="n">
        <v>0.31</v>
      </c>
      <c r="D7" s="6" t="n">
        <v>0.3</v>
      </c>
      <c r="E7" s="6" t="n">
        <v>0.295</v>
      </c>
      <c r="F7" s="6" t="n">
        <v>0.29</v>
      </c>
      <c r="G7" s="6" t="n">
        <v>0.285</v>
      </c>
      <c r="H7" s="6" t="n">
        <v>0.28</v>
      </c>
      <c r="I7" s="6" t="n">
        <v>0.275</v>
      </c>
      <c r="J7" s="6" t="n">
        <v>0.27</v>
      </c>
      <c r="K7" s="6" t="n">
        <v>0.27</v>
      </c>
      <c r="L7" s="6" t="n">
        <v>0.27</v>
      </c>
    </row>
    <row r="8" customFormat="false" ht="15" hidden="false" customHeight="false" outlineLevel="0" collapsed="false">
      <c r="A8" s="2" t="s">
        <v>69</v>
      </c>
      <c r="C8" s="17" t="n">
        <f aca="false">C6*C7</f>
        <v>911.6449</v>
      </c>
      <c r="D8" s="17" t="n">
        <f aca="false">D6*D7</f>
        <v>1023.39492</v>
      </c>
      <c r="E8" s="17" t="n">
        <f aca="false">E6*E7</f>
        <v>1157.2890887</v>
      </c>
      <c r="F8" s="17" t="n">
        <f aca="false">F6*F7</f>
        <v>1296.948382116</v>
      </c>
      <c r="G8" s="17" t="n">
        <f aca="false">G6*G7</f>
        <v>1440.28353951882</v>
      </c>
      <c r="H8" s="17" t="n">
        <f aca="false">H6*H7</f>
        <v>1584.81725611615</v>
      </c>
      <c r="I8" s="17" t="n">
        <f aca="false">I6*I7</f>
        <v>1727.73381224805</v>
      </c>
      <c r="J8" s="17" t="n">
        <f aca="false">J6*J7</f>
        <v>1865.95251722789</v>
      </c>
      <c r="K8" s="17" t="n">
        <f aca="false">K6*K7</f>
        <v>2033.8882437784</v>
      </c>
      <c r="L8" s="17" t="n">
        <f aca="false">L6*L7</f>
        <v>2196.59930328068</v>
      </c>
    </row>
    <row r="9" customFormat="false" ht="15" hidden="false" customHeight="false" outlineLevel="0" collapsed="false">
      <c r="A9" s="2" t="s">
        <v>70</v>
      </c>
      <c r="B9" s="18" t="n">
        <v>0.038</v>
      </c>
      <c r="C9" s="6" t="n">
        <v>0.038</v>
      </c>
      <c r="D9" s="6" t="n">
        <v>0.037</v>
      </c>
      <c r="E9" s="6" t="n">
        <v>0.036</v>
      </c>
      <c r="F9" s="6" t="n">
        <v>0.035</v>
      </c>
      <c r="G9" s="6" t="n">
        <v>0.034</v>
      </c>
      <c r="H9" s="6" t="n">
        <v>0.033</v>
      </c>
      <c r="I9" s="6" t="n">
        <v>0.032</v>
      </c>
      <c r="J9" s="6" t="n">
        <v>0.031</v>
      </c>
      <c r="K9" s="6" t="n">
        <v>0.03</v>
      </c>
      <c r="L9" s="6" t="n">
        <v>0.03</v>
      </c>
    </row>
    <row r="10" customFormat="false" ht="15" hidden="false" customHeight="false" outlineLevel="0" collapsed="false">
      <c r="A10" s="2" t="s">
        <v>71</v>
      </c>
      <c r="C10" s="17" t="n">
        <f aca="false">-C6*C9</f>
        <v>-111.75002</v>
      </c>
      <c r="D10" s="17" t="n">
        <f aca="false">-D6*D9</f>
        <v>-126.2187068</v>
      </c>
      <c r="E10" s="17" t="n">
        <f aca="false">-E6*E9</f>
        <v>-141.22849896</v>
      </c>
      <c r="F10" s="17" t="n">
        <f aca="false">-F6*F9</f>
        <v>-156.528253014</v>
      </c>
      <c r="G10" s="17" t="n">
        <f aca="false">-G6*G9</f>
        <v>-171.823299451368</v>
      </c>
      <c r="H10" s="17" t="n">
        <f aca="false">-H6*H9</f>
        <v>-186.782033756546</v>
      </c>
      <c r="I10" s="17" t="n">
        <f aca="false">-I6*I9</f>
        <v>-201.045389061591</v>
      </c>
      <c r="J10" s="17" t="n">
        <f aca="false">-J6*J9</f>
        <v>-214.238992718758</v>
      </c>
      <c r="K10" s="17" t="n">
        <f aca="false">-K6*K9</f>
        <v>-225.987582642045</v>
      </c>
      <c r="L10" s="17" t="n">
        <f aca="false">-L6*L9</f>
        <v>-244.066589253409</v>
      </c>
    </row>
    <row r="11" customFormat="false" ht="15" hidden="false" customHeight="false" outlineLevel="0" collapsed="false">
      <c r="A11" s="2" t="s">
        <v>72</v>
      </c>
      <c r="C11" s="17" t="n">
        <f aca="false">C8+C10</f>
        <v>799.89488</v>
      </c>
      <c r="D11" s="17" t="n">
        <f aca="false">D8+D10</f>
        <v>897.1762132</v>
      </c>
      <c r="E11" s="17" t="n">
        <f aca="false">E8+E10</f>
        <v>1016.06058974</v>
      </c>
      <c r="F11" s="17" t="n">
        <f aca="false">F8+F10</f>
        <v>1140.420129102</v>
      </c>
      <c r="G11" s="17" t="n">
        <f aca="false">G8+G10</f>
        <v>1268.46024006745</v>
      </c>
      <c r="H11" s="17" t="n">
        <f aca="false">H8+H10</f>
        <v>1398.0352223596</v>
      </c>
      <c r="I11" s="17" t="n">
        <f aca="false">I8+I10</f>
        <v>1526.68842318646</v>
      </c>
      <c r="J11" s="17" t="n">
        <f aca="false">J8+J10</f>
        <v>1651.71352450914</v>
      </c>
      <c r="K11" s="17" t="n">
        <f aca="false">K8+K10</f>
        <v>1807.90066113636</v>
      </c>
      <c r="L11" s="17" t="n">
        <f aca="false">L8+L10</f>
        <v>1952.53271402727</v>
      </c>
    </row>
    <row r="12" customFormat="false" ht="15" hidden="false" customHeight="false" outlineLevel="0" collapsed="false">
      <c r="A12" s="2" t="s">
        <v>73</v>
      </c>
      <c r="C12" s="19" t="n">
        <f aca="false">-C6*Assumptions!$B$6</f>
        <v>-73.51975</v>
      </c>
      <c r="D12" s="19" t="n">
        <f aca="false">-D6*Assumptions!$B$6</f>
        <v>-85.28291</v>
      </c>
      <c r="E12" s="19" t="n">
        <f aca="false">-E6*Assumptions!$B$6</f>
        <v>-98.0753465</v>
      </c>
      <c r="F12" s="19" t="n">
        <f aca="false">-F6*Assumptions!$B$6</f>
        <v>-111.80589501</v>
      </c>
      <c r="G12" s="19" t="n">
        <f aca="false">-G6*Assumptions!$B$6</f>
        <v>-126.3406613613</v>
      </c>
      <c r="H12" s="19" t="n">
        <f aca="false">-H6*Assumptions!$B$6</f>
        <v>-141.501540724656</v>
      </c>
      <c r="I12" s="19" t="n">
        <f aca="false">-I6*Assumptions!$B$6</f>
        <v>-157.066710204368</v>
      </c>
      <c r="J12" s="19" t="n">
        <f aca="false">-J6*Assumptions!$B$6</f>
        <v>-172.773381224805</v>
      </c>
      <c r="K12" s="19" t="n">
        <f aca="false">-K6*Assumptions!$B$6</f>
        <v>-188.322985535037</v>
      </c>
      <c r="L12" s="19" t="n">
        <f aca="false">-L6*Assumptions!$B$6</f>
        <v>-203.38882437784</v>
      </c>
    </row>
    <row r="13" customFormat="false" ht="15" hidden="false" customHeight="false" outlineLevel="0" collapsed="false">
      <c r="A13" s="2" t="s">
        <v>74</v>
      </c>
      <c r="C13" s="17" t="n">
        <f aca="false">C11+C12</f>
        <v>726.37513</v>
      </c>
      <c r="D13" s="17" t="n">
        <f aca="false">D11+D12</f>
        <v>811.8933032</v>
      </c>
      <c r="E13" s="17" t="n">
        <f aca="false">E11+E12</f>
        <v>917.98524324</v>
      </c>
      <c r="F13" s="17" t="n">
        <f aca="false">F11+F12</f>
        <v>1028.614234092</v>
      </c>
      <c r="G13" s="17" t="n">
        <f aca="false">G11+G12</f>
        <v>1142.11957870615</v>
      </c>
      <c r="H13" s="17" t="n">
        <f aca="false">H11+H12</f>
        <v>1256.53368163495</v>
      </c>
      <c r="I13" s="17" t="n">
        <f aca="false">I11+I12</f>
        <v>1369.62171298209</v>
      </c>
      <c r="J13" s="17" t="n">
        <f aca="false">J11+J12</f>
        <v>1478.94014328433</v>
      </c>
      <c r="K13" s="17" t="n">
        <f aca="false">K11+K12</f>
        <v>1619.57767560132</v>
      </c>
      <c r="L13" s="17" t="n">
        <f aca="false">L11+L12</f>
        <v>1749.14388964943</v>
      </c>
    </row>
    <row r="14" customFormat="false" ht="15" hidden="false" customHeight="false" outlineLevel="0" collapsed="false">
      <c r="A14" s="2" t="s">
        <v>75</v>
      </c>
      <c r="C14" s="6" t="n">
        <v>0.24</v>
      </c>
      <c r="D14" s="6" t="n">
        <v>0.24</v>
      </c>
      <c r="E14" s="6" t="n">
        <v>0.24</v>
      </c>
      <c r="F14" s="6" t="n">
        <v>0.24</v>
      </c>
      <c r="G14" s="6" t="n">
        <v>0.24</v>
      </c>
      <c r="H14" s="6" t="n">
        <v>0.24</v>
      </c>
      <c r="I14" s="6" t="n">
        <v>0.24</v>
      </c>
      <c r="J14" s="6" t="n">
        <v>0.24</v>
      </c>
      <c r="K14" s="6" t="n">
        <v>0.24</v>
      </c>
      <c r="L14" s="6" t="n">
        <v>0.24</v>
      </c>
    </row>
    <row r="15" customFormat="false" ht="15" hidden="false" customHeight="false" outlineLevel="0" collapsed="false">
      <c r="A15" s="2" t="s">
        <v>76</v>
      </c>
      <c r="C15" s="17" t="n">
        <f aca="false">C13*(1-C14)</f>
        <v>552.0450988</v>
      </c>
      <c r="D15" s="17" t="n">
        <f aca="false">D13*(1-D14)</f>
        <v>617.038910432</v>
      </c>
      <c r="E15" s="17" t="n">
        <f aca="false">E13*(1-E14)</f>
        <v>697.6687848624</v>
      </c>
      <c r="F15" s="17" t="n">
        <f aca="false">F13*(1-F14)</f>
        <v>781.74681790992</v>
      </c>
      <c r="G15" s="17" t="n">
        <f aca="false">G13*(1-G14)</f>
        <v>868.010879816676</v>
      </c>
      <c r="H15" s="17" t="n">
        <f aca="false">H13*(1-H14)</f>
        <v>954.965598042559</v>
      </c>
      <c r="I15" s="17" t="n">
        <f aca="false">I13*(1-I14)</f>
        <v>1040.91250186639</v>
      </c>
      <c r="J15" s="17" t="n">
        <f aca="false">J13*(1-J14)</f>
        <v>1123.99450889609</v>
      </c>
      <c r="K15" s="17" t="n">
        <f aca="false">K13*(1-K14)</f>
        <v>1230.879033457</v>
      </c>
      <c r="L15" s="17" t="n">
        <f aca="false">L13*(1-L14)</f>
        <v>1329.34935613357</v>
      </c>
    </row>
    <row r="16" customFormat="false" ht="15" hidden="false" customHeight="false" outlineLevel="0" collapsed="false">
      <c r="A16" s="2" t="s">
        <v>77</v>
      </c>
      <c r="C16" s="17" t="n">
        <f aca="false">-C12</f>
        <v>73.51975</v>
      </c>
      <c r="D16" s="17" t="n">
        <f aca="false">-D12</f>
        <v>85.28291</v>
      </c>
      <c r="E16" s="17" t="n">
        <f aca="false">-E12</f>
        <v>98.0753465</v>
      </c>
      <c r="F16" s="17" t="n">
        <f aca="false">-F12</f>
        <v>111.80589501</v>
      </c>
      <c r="G16" s="17" t="n">
        <f aca="false">-G12</f>
        <v>126.3406613613</v>
      </c>
      <c r="H16" s="17" t="n">
        <f aca="false">-H12</f>
        <v>141.501540724656</v>
      </c>
      <c r="I16" s="17" t="n">
        <f aca="false">-I12</f>
        <v>157.066710204368</v>
      </c>
      <c r="J16" s="17" t="n">
        <f aca="false">-J12</f>
        <v>172.773381224805</v>
      </c>
      <c r="K16" s="17" t="n">
        <f aca="false">-K12</f>
        <v>188.322985535037</v>
      </c>
      <c r="L16" s="17" t="n">
        <f aca="false">-L12</f>
        <v>203.38882437784</v>
      </c>
    </row>
    <row r="17" customFormat="false" ht="15" hidden="false" customHeight="false" outlineLevel="0" collapsed="false">
      <c r="A17" s="2" t="s">
        <v>78</v>
      </c>
      <c r="C17" s="19" t="n">
        <f aca="false">-C6*Assumptions!$B$7</f>
        <v>-73.51975</v>
      </c>
      <c r="D17" s="19" t="n">
        <f aca="false">-D6*Assumptions!$B$7</f>
        <v>-85.28291</v>
      </c>
      <c r="E17" s="19" t="n">
        <f aca="false">-E6*Assumptions!$B$7</f>
        <v>-98.0753465</v>
      </c>
      <c r="F17" s="19" t="n">
        <f aca="false">-F6*Assumptions!$B$7</f>
        <v>-111.80589501</v>
      </c>
      <c r="G17" s="19" t="n">
        <f aca="false">-G6*Assumptions!$B$7</f>
        <v>-126.3406613613</v>
      </c>
      <c r="H17" s="19" t="n">
        <f aca="false">-H6*Assumptions!$B$7</f>
        <v>-141.501540724656</v>
      </c>
      <c r="I17" s="19" t="n">
        <f aca="false">-I6*Assumptions!$B$7</f>
        <v>-157.066710204368</v>
      </c>
      <c r="J17" s="19" t="n">
        <f aca="false">-J6*Assumptions!$B$7</f>
        <v>-172.773381224805</v>
      </c>
      <c r="K17" s="19" t="n">
        <f aca="false">-K6*Assumptions!$B$7</f>
        <v>-188.322985535037</v>
      </c>
      <c r="L17" s="19" t="n">
        <f aca="false">-L6*Assumptions!$B$7</f>
        <v>-203.38882437784</v>
      </c>
    </row>
    <row r="18" customFormat="false" ht="15" hidden="false" customHeight="false" outlineLevel="0" collapsed="false">
      <c r="A18" s="2" t="s">
        <v>79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false" outlineLevel="0" collapsed="false">
      <c r="A19" s="2" t="s">
        <v>80</v>
      </c>
      <c r="C19" s="20" t="n">
        <f aca="false">C15+C16+C17+C18</f>
        <v>552.0450988</v>
      </c>
      <c r="D19" s="20" t="n">
        <f aca="false">D15+D16+D17+D18</f>
        <v>617.038910432</v>
      </c>
      <c r="E19" s="20" t="n">
        <f aca="false">E15+E16+E17+E18</f>
        <v>697.6687848624</v>
      </c>
      <c r="F19" s="20" t="n">
        <f aca="false">F15+F16+F17+F18</f>
        <v>781.74681790992</v>
      </c>
      <c r="G19" s="20" t="n">
        <f aca="false">G15+G16+G17+G18</f>
        <v>868.010879816676</v>
      </c>
      <c r="H19" s="20" t="n">
        <f aca="false">H15+H16+H17+H18</f>
        <v>954.965598042558</v>
      </c>
      <c r="I19" s="20" t="n">
        <f aca="false">I15+I16+I17+I18</f>
        <v>1040.91250186639</v>
      </c>
      <c r="J19" s="20" t="n">
        <f aca="false">J15+J16+J17+J18</f>
        <v>1123.99450889609</v>
      </c>
      <c r="K19" s="20" t="n">
        <f aca="false">K15+K16+K17+K18</f>
        <v>1230.879033457</v>
      </c>
      <c r="L19" s="20" t="n">
        <f aca="false">L15+L16+L17+L18</f>
        <v>1329.34935613357</v>
      </c>
    </row>
    <row r="20" customFormat="false" ht="15" hidden="false" customHeight="false" outlineLevel="0" collapsed="false">
      <c r="A20" s="2" t="s">
        <v>81</v>
      </c>
      <c r="C20" s="21" t="n">
        <f aca="false">1/(1+Assumptions!$B$5)^C4</f>
        <v>0.904977375565611</v>
      </c>
      <c r="D20" s="21" t="n">
        <f aca="false">1/(1+Assumptions!$B$5)^D4</f>
        <v>0.818984050285621</v>
      </c>
      <c r="E20" s="21" t="n">
        <f aca="false">1/(1+Assumptions!$B$5)^E4</f>
        <v>0.741162036457575</v>
      </c>
      <c r="F20" s="21" t="n">
        <f aca="false">1/(1+Assumptions!$B$5)^F4</f>
        <v>0.67073487462224</v>
      </c>
      <c r="G20" s="21" t="n">
        <f aca="false">1/(1+Assumptions!$B$5)^G4</f>
        <v>0.606999886535964</v>
      </c>
      <c r="H20" s="21" t="n">
        <f aca="false">1/(1+Assumptions!$B$5)^H4</f>
        <v>0.54932116428594</v>
      </c>
      <c r="I20" s="21" t="n">
        <f aca="false">1/(1+Assumptions!$B$5)^I4</f>
        <v>0.497123225598136</v>
      </c>
      <c r="J20" s="21" t="n">
        <f aca="false">1/(1+Assumptions!$B$5)^J4</f>
        <v>0.449885272034512</v>
      </c>
      <c r="K20" s="21" t="n">
        <f aca="false">1/(1+Assumptions!$B$5)^K4</f>
        <v>0.407135992791414</v>
      </c>
      <c r="L20" s="21" t="n">
        <f aca="false">1/(1+Assumptions!$B$5)^L4</f>
        <v>0.368448862254673</v>
      </c>
    </row>
    <row r="21" customFormat="false" ht="15" hidden="false" customHeight="false" outlineLevel="0" collapsed="false">
      <c r="A21" s="2" t="s">
        <v>82</v>
      </c>
      <c r="C21" s="17" t="n">
        <f aca="false">C19*C20</f>
        <v>499.588324705882</v>
      </c>
      <c r="D21" s="17" t="n">
        <f aca="false">D19*D20</f>
        <v>505.345026049426</v>
      </c>
      <c r="E21" s="17" t="n">
        <f aca="false">E19*E20</f>
        <v>517.085617361498</v>
      </c>
      <c r="F21" s="17" t="n">
        <f aca="false">F19*F20</f>
        <v>524.344853897145</v>
      </c>
      <c r="G21" s="17" t="n">
        <f aca="false">G19*G20</f>
        <v>526.882505560704</v>
      </c>
      <c r="H21" s="17" t="n">
        <f aca="false">H19*H20</f>
        <v>524.582814169757</v>
      </c>
      <c r="I21" s="17" t="n">
        <f aca="false">I19*I20</f>
        <v>517.461780493245</v>
      </c>
      <c r="J21" s="17" t="n">
        <f aca="false">J19*J20</f>
        <v>505.668575400016</v>
      </c>
      <c r="K21" s="17" t="n">
        <f aca="false">K19*K20</f>
        <v>501.135157292653</v>
      </c>
      <c r="L21" s="17" t="n">
        <f aca="false">L19*L20</f>
        <v>489.797257806394</v>
      </c>
    </row>
    <row r="23" customFormat="false" ht="15" hidden="false" customHeight="false" outlineLevel="0" collapsed="false">
      <c r="A23" s="2" t="s">
        <v>83</v>
      </c>
      <c r="C23" s="17" t="n">
        <f aca="false">C19-C10</f>
        <v>663.7951188</v>
      </c>
      <c r="D23" s="17" t="n">
        <f aca="false">D19-D10</f>
        <v>743.257617232</v>
      </c>
      <c r="E23" s="17" t="n">
        <f aca="false">E19-E10</f>
        <v>838.8972838224</v>
      </c>
      <c r="F23" s="17" t="n">
        <f aca="false">F19-F10</f>
        <v>938.27507092392</v>
      </c>
      <c r="G23" s="17" t="n">
        <f aca="false">G19-G10</f>
        <v>1039.83417926804</v>
      </c>
      <c r="H23" s="17" t="n">
        <f aca="false">H19-H10</f>
        <v>1141.7476317991</v>
      </c>
      <c r="I23" s="17" t="n">
        <f aca="false">I19-I10</f>
        <v>1241.95789092798</v>
      </c>
      <c r="J23" s="17" t="n">
        <f aca="false">J19-J10</f>
        <v>1338.23350161485</v>
      </c>
      <c r="K23" s="17" t="n">
        <f aca="false">K19-K10</f>
        <v>1456.86661609905</v>
      </c>
      <c r="L23" s="17" t="n">
        <f aca="false">L19-L10</f>
        <v>1573.41594538697</v>
      </c>
    </row>
    <row r="24" customFormat="false" ht="15" hidden="false" customHeight="false" outlineLevel="0" collapsed="false">
      <c r="A24" s="2" t="s">
        <v>84</v>
      </c>
      <c r="C24" s="13" t="n">
        <f aca="false">C19/C6</f>
        <v>0.18772</v>
      </c>
      <c r="D24" s="13" t="n">
        <f aca="false">D19/D6</f>
        <v>0.18088</v>
      </c>
      <c r="E24" s="13" t="n">
        <f aca="false">E19/E6</f>
        <v>0.17784</v>
      </c>
      <c r="F24" s="13" t="n">
        <f aca="false">F19/F6</f>
        <v>0.1748</v>
      </c>
      <c r="G24" s="13" t="n">
        <f aca="false">G19/G6</f>
        <v>0.17176</v>
      </c>
      <c r="H24" s="13" t="n">
        <f aca="false">H19/H6</f>
        <v>0.16872</v>
      </c>
      <c r="I24" s="13" t="n">
        <f aca="false">I19/I6</f>
        <v>0.16568</v>
      </c>
      <c r="J24" s="13" t="n">
        <f aca="false">J19/J6</f>
        <v>0.16264</v>
      </c>
      <c r="K24" s="13" t="n">
        <f aca="false">K19/K6</f>
        <v>0.1634</v>
      </c>
      <c r="L24" s="13" t="n">
        <f aca="false">L19/L6</f>
        <v>0.1634</v>
      </c>
    </row>
    <row r="25" customFormat="false" ht="15" hidden="false" customHeight="false" outlineLevel="0" collapsed="false">
      <c r="A25" s="4" t="s">
        <v>85</v>
      </c>
    </row>
    <row r="26" customFormat="false" ht="15" hidden="false" customHeight="false" outlineLevel="0" collapsed="false">
      <c r="A26" s="2" t="s">
        <v>86</v>
      </c>
      <c r="B26" s="17" t="n">
        <f aca="false">SUM(C21:L21)</f>
        <v>5111.89191273672</v>
      </c>
    </row>
    <row r="27" customFormat="false" ht="15" hidden="false" customHeight="false" outlineLevel="0" collapsed="false">
      <c r="A27" s="2" t="s">
        <v>45</v>
      </c>
      <c r="B27" s="22" t="n">
        <f aca="false">Assumptions!$D$16</f>
        <v>0.03</v>
      </c>
    </row>
    <row r="28" customFormat="false" ht="15" hidden="false" customHeight="false" outlineLevel="0" collapsed="false">
      <c r="A28" s="2" t="s">
        <v>87</v>
      </c>
      <c r="B28" s="17" t="n">
        <f aca="false">L19*(1+B27)</f>
        <v>1369.22983681757</v>
      </c>
    </row>
    <row r="29" customFormat="false" ht="15" hidden="false" customHeight="false" outlineLevel="0" collapsed="false">
      <c r="A29" s="2" t="s">
        <v>88</v>
      </c>
      <c r="B29" s="17" t="n">
        <f aca="false">B28/(Assumptions!$B$5-B27)</f>
        <v>18256.3978242343</v>
      </c>
    </row>
    <row r="30" customFormat="false" ht="15" hidden="false" customHeight="false" outlineLevel="0" collapsed="false">
      <c r="A30" s="2" t="s">
        <v>89</v>
      </c>
      <c r="B30" s="19" t="n">
        <f aca="false">Assumptions!$B$12*L19</f>
        <v>26586.9871226713</v>
      </c>
    </row>
    <row r="31" customFormat="false" ht="15" hidden="false" customHeight="false" outlineLevel="0" collapsed="false">
      <c r="A31" s="2" t="s">
        <v>90</v>
      </c>
      <c r="B31" s="17" t="n">
        <f aca="false">MAX(0,MIN(B29,B30))</f>
        <v>18256.3978242343</v>
      </c>
    </row>
    <row r="32" customFormat="false" ht="15" hidden="false" customHeight="false" outlineLevel="0" collapsed="false">
      <c r="A32" s="2" t="s">
        <v>91</v>
      </c>
      <c r="B32" s="23" t="n">
        <f aca="false">B31/L19</f>
        <v>13.7333333333333</v>
      </c>
    </row>
    <row r="33" customFormat="false" ht="15" hidden="false" customHeight="false" outlineLevel="0" collapsed="false">
      <c r="A33" s="2" t="s">
        <v>92</v>
      </c>
      <c r="B33" s="17" t="n">
        <f aca="false">B31*L20</f>
        <v>6726.54900720782</v>
      </c>
    </row>
    <row r="34" customFormat="false" ht="15" hidden="false" customHeight="false" outlineLevel="0" collapsed="false">
      <c r="A34" s="2" t="s">
        <v>93</v>
      </c>
      <c r="B34" s="17" t="n">
        <f aca="false">B26+B33</f>
        <v>11838.4409199445</v>
      </c>
    </row>
    <row r="35" customFormat="false" ht="15" hidden="false" customHeight="false" outlineLevel="0" collapsed="false">
      <c r="A35" s="2" t="s">
        <v>94</v>
      </c>
      <c r="B35" s="19" t="n">
        <f aca="false">Assumptions!$B$9</f>
        <v>1600</v>
      </c>
    </row>
    <row r="36" customFormat="false" ht="15" hidden="false" customHeight="false" outlineLevel="0" collapsed="false">
      <c r="A36" s="2" t="s">
        <v>95</v>
      </c>
      <c r="B36" s="17" t="n">
        <f aca="false">B34+B35</f>
        <v>13438.4409199445</v>
      </c>
    </row>
    <row r="37" customFormat="false" ht="15" hidden="false" customHeight="false" outlineLevel="0" collapsed="false">
      <c r="A37" s="2" t="s">
        <v>34</v>
      </c>
      <c r="B37" s="24" t="n">
        <f aca="false">Assumptions!$B$10</f>
        <v>1030</v>
      </c>
    </row>
    <row r="38" customFormat="false" ht="15" hidden="false" customHeight="false" outlineLevel="0" collapsed="false">
      <c r="A38" s="2" t="s">
        <v>96</v>
      </c>
      <c r="B38" s="25" t="n">
        <f aca="false">B36/B37</f>
        <v>13.0470300193636</v>
      </c>
    </row>
    <row r="39" customFormat="false" ht="15" hidden="false" customHeight="false" outlineLevel="0" collapsed="false">
      <c r="A39" s="2" t="s">
        <v>97</v>
      </c>
      <c r="B39" s="13" t="n">
        <f aca="false">B38/Assumptions!$B$11-1</f>
        <v>0.136500872766866</v>
      </c>
    </row>
    <row r="41" customFormat="false" ht="15" hidden="false" customHeight="false" outlineLevel="0" collapsed="false">
      <c r="A41" s="2" t="s">
        <v>98</v>
      </c>
      <c r="B41" s="17" t="n">
        <f aca="false">SUMPRODUCT(-C10:L10/(1+Assumptions!$B$5)^C4:L4)</f>
        <v>999.325590877069</v>
      </c>
    </row>
    <row r="42" customFormat="false" ht="15" hidden="false" customHeight="false" outlineLevel="0" collapsed="false">
      <c r="A42" s="2" t="s">
        <v>99</v>
      </c>
      <c r="B42" s="17" t="n">
        <f aca="false">(-L10*(1+B27)/(Assumptions!$B$5-B27))*L20</f>
        <v>1234.98451784721</v>
      </c>
    </row>
    <row r="43" customFormat="false" ht="15" hidden="false" customHeight="false" outlineLevel="0" collapsed="false">
      <c r="A43" s="2" t="s">
        <v>100</v>
      </c>
      <c r="B43" s="26" t="n">
        <f aca="false">(B36+B41+B42)/B37</f>
        <v>15.2162631346299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5" t="s">
        <v>53</v>
      </c>
    </row>
    <row r="3" customFormat="false" ht="15" hidden="false" customHeight="false" outlineLevel="0" collapsed="false">
      <c r="B3" s="12" t="s">
        <v>54</v>
      </c>
      <c r="C3" s="12" t="s">
        <v>55</v>
      </c>
      <c r="D3" s="12" t="s">
        <v>56</v>
      </c>
      <c r="E3" s="12" t="s">
        <v>57</v>
      </c>
      <c r="F3" s="12" t="s">
        <v>58</v>
      </c>
      <c r="G3" s="12" t="s">
        <v>59</v>
      </c>
      <c r="H3" s="12" t="s">
        <v>60</v>
      </c>
      <c r="I3" s="12" t="s">
        <v>61</v>
      </c>
      <c r="J3" s="12" t="s">
        <v>62</v>
      </c>
      <c r="K3" s="12" t="s">
        <v>63</v>
      </c>
      <c r="L3" s="12" t="s">
        <v>64</v>
      </c>
    </row>
    <row r="4" customFormat="false" ht="15" hidden="false" customHeight="false" outlineLevel="0" collapsed="false">
      <c r="A4" s="15" t="s">
        <v>65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false" outlineLevel="0" collapsed="false">
      <c r="A5" s="2" t="s">
        <v>66</v>
      </c>
      <c r="C5" s="6" t="n">
        <v>0.19</v>
      </c>
      <c r="D5" s="6" t="n">
        <v>0.19</v>
      </c>
      <c r="E5" s="6" t="n">
        <v>0.18</v>
      </c>
      <c r="F5" s="6" t="n">
        <v>0.17</v>
      </c>
      <c r="G5" s="6" t="n">
        <v>0.16</v>
      </c>
      <c r="H5" s="6" t="n">
        <v>0.15</v>
      </c>
      <c r="I5" s="6" t="n">
        <v>0.14</v>
      </c>
      <c r="J5" s="6" t="n">
        <v>0.13</v>
      </c>
      <c r="K5" s="6" t="n">
        <v>0.12</v>
      </c>
      <c r="L5" s="6" t="n">
        <v>0.1</v>
      </c>
    </row>
    <row r="6" customFormat="false" ht="15" hidden="false" customHeight="false" outlineLevel="0" collapsed="false">
      <c r="A6" s="2" t="s">
        <v>67</v>
      </c>
      <c r="B6" s="16" t="n">
        <v>2502.8</v>
      </c>
      <c r="C6" s="17" t="n">
        <f aca="false">B6*(1+C5)</f>
        <v>2978.332</v>
      </c>
      <c r="D6" s="17" t="n">
        <f aca="false">C6*(1+D5)</f>
        <v>3544.21508</v>
      </c>
      <c r="E6" s="17" t="n">
        <f aca="false">D6*(1+E5)</f>
        <v>4182.1737944</v>
      </c>
      <c r="F6" s="17" t="n">
        <f aca="false">E6*(1+F5)</f>
        <v>4893.143339448</v>
      </c>
      <c r="G6" s="17" t="n">
        <f aca="false">F6*(1+G5)</f>
        <v>5676.04627375968</v>
      </c>
      <c r="H6" s="17" t="n">
        <f aca="false">G6*(1+H5)</f>
        <v>6527.45321482363</v>
      </c>
      <c r="I6" s="17" t="n">
        <f aca="false">H6*(1+I5)</f>
        <v>7441.29666489894</v>
      </c>
      <c r="J6" s="17" t="n">
        <f aca="false">I6*(1+J5)</f>
        <v>8408.6652313358</v>
      </c>
      <c r="K6" s="17" t="n">
        <f aca="false">J6*(1+K5)</f>
        <v>9417.7050590961</v>
      </c>
      <c r="L6" s="17" t="n">
        <f aca="false">K6*(1+L5)</f>
        <v>10359.4755650057</v>
      </c>
    </row>
    <row r="7" customFormat="false" ht="15" hidden="false" customHeight="false" outlineLevel="0" collapsed="false">
      <c r="A7" s="2" t="s">
        <v>68</v>
      </c>
      <c r="B7" s="18" t="n">
        <v>0.318</v>
      </c>
      <c r="C7" s="6" t="n">
        <v>0.32</v>
      </c>
      <c r="D7" s="6" t="n">
        <v>0.32</v>
      </c>
      <c r="E7" s="6" t="n">
        <v>0.32</v>
      </c>
      <c r="F7" s="6" t="n">
        <v>0.315</v>
      </c>
      <c r="G7" s="6" t="n">
        <v>0.31</v>
      </c>
      <c r="H7" s="6" t="n">
        <v>0.31</v>
      </c>
      <c r="I7" s="6" t="n">
        <v>0.31</v>
      </c>
      <c r="J7" s="6" t="n">
        <v>0.31</v>
      </c>
      <c r="K7" s="6" t="n">
        <v>0.31</v>
      </c>
      <c r="L7" s="6" t="n">
        <v>0.31</v>
      </c>
    </row>
    <row r="8" customFormat="false" ht="15" hidden="false" customHeight="false" outlineLevel="0" collapsed="false">
      <c r="A8" s="2" t="s">
        <v>69</v>
      </c>
      <c r="C8" s="17" t="n">
        <f aca="false">C6*C7</f>
        <v>953.06624</v>
      </c>
      <c r="D8" s="17" t="n">
        <f aca="false">D6*D7</f>
        <v>1134.1488256</v>
      </c>
      <c r="E8" s="17" t="n">
        <f aca="false">E6*E7</f>
        <v>1338.295614208</v>
      </c>
      <c r="F8" s="17" t="n">
        <f aca="false">F6*F7</f>
        <v>1541.34015192612</v>
      </c>
      <c r="G8" s="17" t="n">
        <f aca="false">G6*G7</f>
        <v>1759.5743448655</v>
      </c>
      <c r="H8" s="17" t="n">
        <f aca="false">H6*H7</f>
        <v>2023.51049659532</v>
      </c>
      <c r="I8" s="17" t="n">
        <f aca="false">I6*I7</f>
        <v>2306.80196611867</v>
      </c>
      <c r="J8" s="17" t="n">
        <f aca="false">J6*J7</f>
        <v>2606.6862217141</v>
      </c>
      <c r="K8" s="17" t="n">
        <f aca="false">K6*K7</f>
        <v>2919.48856831979</v>
      </c>
      <c r="L8" s="17" t="n">
        <f aca="false">L6*L7</f>
        <v>3211.43742515177</v>
      </c>
    </row>
    <row r="9" customFormat="false" ht="15" hidden="false" customHeight="false" outlineLevel="0" collapsed="false">
      <c r="A9" s="2" t="s">
        <v>70</v>
      </c>
      <c r="B9" s="18" t="n">
        <v>0.038</v>
      </c>
      <c r="C9" s="6" t="n">
        <v>0.038</v>
      </c>
      <c r="D9" s="6" t="n">
        <v>0.036</v>
      </c>
      <c r="E9" s="6" t="n">
        <v>0.034</v>
      </c>
      <c r="F9" s="6" t="n">
        <v>0.032</v>
      </c>
      <c r="G9" s="6" t="n">
        <v>0.03</v>
      </c>
      <c r="H9" s="6" t="n">
        <v>0.03</v>
      </c>
      <c r="I9" s="6" t="n">
        <v>0.03</v>
      </c>
      <c r="J9" s="6" t="n">
        <v>0.03</v>
      </c>
      <c r="K9" s="6" t="n">
        <v>0.03</v>
      </c>
      <c r="L9" s="6" t="n">
        <v>0.03</v>
      </c>
    </row>
    <row r="10" customFormat="false" ht="15" hidden="false" customHeight="false" outlineLevel="0" collapsed="false">
      <c r="A10" s="2" t="s">
        <v>71</v>
      </c>
      <c r="C10" s="17" t="n">
        <f aca="false">-C6*C9</f>
        <v>-113.176616</v>
      </c>
      <c r="D10" s="17" t="n">
        <f aca="false">-D6*D9</f>
        <v>-127.59174288</v>
      </c>
      <c r="E10" s="17" t="n">
        <f aca="false">-E6*E9</f>
        <v>-142.1939090096</v>
      </c>
      <c r="F10" s="17" t="n">
        <f aca="false">-F6*F9</f>
        <v>-156.580586862336</v>
      </c>
      <c r="G10" s="17" t="n">
        <f aca="false">-G6*G9</f>
        <v>-170.28138821279</v>
      </c>
      <c r="H10" s="17" t="n">
        <f aca="false">-H6*H9</f>
        <v>-195.823596444709</v>
      </c>
      <c r="I10" s="17" t="n">
        <f aca="false">-I6*I9</f>
        <v>-223.238899946968</v>
      </c>
      <c r="J10" s="17" t="n">
        <f aca="false">-J6*J9</f>
        <v>-252.259956940074</v>
      </c>
      <c r="K10" s="17" t="n">
        <f aca="false">-K6*K9</f>
        <v>-282.531151772883</v>
      </c>
      <c r="L10" s="17" t="n">
        <f aca="false">-L6*L9</f>
        <v>-310.784266950171</v>
      </c>
    </row>
    <row r="11" customFormat="false" ht="15" hidden="false" customHeight="false" outlineLevel="0" collapsed="false">
      <c r="A11" s="2" t="s">
        <v>72</v>
      </c>
      <c r="C11" s="17" t="n">
        <f aca="false">C8+C10</f>
        <v>839.889624</v>
      </c>
      <c r="D11" s="17" t="n">
        <f aca="false">D8+D10</f>
        <v>1006.55708272</v>
      </c>
      <c r="E11" s="17" t="n">
        <f aca="false">E8+E10</f>
        <v>1196.1017051984</v>
      </c>
      <c r="F11" s="17" t="n">
        <f aca="false">F8+F10</f>
        <v>1384.75956506378</v>
      </c>
      <c r="G11" s="17" t="n">
        <f aca="false">G8+G10</f>
        <v>1589.29295665271</v>
      </c>
      <c r="H11" s="17" t="n">
        <f aca="false">H8+H10</f>
        <v>1827.68690015062</v>
      </c>
      <c r="I11" s="17" t="n">
        <f aca="false">I8+I10</f>
        <v>2083.5630661717</v>
      </c>
      <c r="J11" s="17" t="n">
        <f aca="false">J8+J10</f>
        <v>2354.42626477402</v>
      </c>
      <c r="K11" s="17" t="n">
        <f aca="false">K8+K10</f>
        <v>2636.95741654691</v>
      </c>
      <c r="L11" s="17" t="n">
        <f aca="false">L8+L10</f>
        <v>2900.6531582016</v>
      </c>
    </row>
    <row r="12" customFormat="false" ht="15" hidden="false" customHeight="false" outlineLevel="0" collapsed="false">
      <c r="A12" s="2" t="s">
        <v>73</v>
      </c>
      <c r="C12" s="19" t="n">
        <f aca="false">-C6*Assumptions!$B$6</f>
        <v>-74.4583</v>
      </c>
      <c r="D12" s="19" t="n">
        <f aca="false">-D6*Assumptions!$B$6</f>
        <v>-88.605377</v>
      </c>
      <c r="E12" s="19" t="n">
        <f aca="false">-E6*Assumptions!$B$6</f>
        <v>-104.55434486</v>
      </c>
      <c r="F12" s="19" t="n">
        <f aca="false">-F6*Assumptions!$B$6</f>
        <v>-122.3285834862</v>
      </c>
      <c r="G12" s="19" t="n">
        <f aca="false">-G6*Assumptions!$B$6</f>
        <v>-141.901156843992</v>
      </c>
      <c r="H12" s="19" t="n">
        <f aca="false">-H6*Assumptions!$B$6</f>
        <v>-163.186330370591</v>
      </c>
      <c r="I12" s="19" t="n">
        <f aca="false">-I6*Assumptions!$B$6</f>
        <v>-186.032416622473</v>
      </c>
      <c r="J12" s="19" t="n">
        <f aca="false">-J6*Assumptions!$B$6</f>
        <v>-210.216630783395</v>
      </c>
      <c r="K12" s="19" t="n">
        <f aca="false">-K6*Assumptions!$B$6</f>
        <v>-235.442626477402</v>
      </c>
      <c r="L12" s="19" t="n">
        <f aca="false">-L6*Assumptions!$B$6</f>
        <v>-258.986889125143</v>
      </c>
    </row>
    <row r="13" customFormat="false" ht="15" hidden="false" customHeight="false" outlineLevel="0" collapsed="false">
      <c r="A13" s="2" t="s">
        <v>74</v>
      </c>
      <c r="C13" s="17" t="n">
        <f aca="false">C11+C12</f>
        <v>765.431324</v>
      </c>
      <c r="D13" s="17" t="n">
        <f aca="false">D11+D12</f>
        <v>917.95170572</v>
      </c>
      <c r="E13" s="17" t="n">
        <f aca="false">E11+E12</f>
        <v>1091.5473603384</v>
      </c>
      <c r="F13" s="17" t="n">
        <f aca="false">F11+F12</f>
        <v>1262.43098157758</v>
      </c>
      <c r="G13" s="17" t="n">
        <f aca="false">G11+G12</f>
        <v>1447.39179980872</v>
      </c>
      <c r="H13" s="17" t="n">
        <f aca="false">H11+H12</f>
        <v>1664.50056978003</v>
      </c>
      <c r="I13" s="17" t="n">
        <f aca="false">I11+I12</f>
        <v>1897.53064954923</v>
      </c>
      <c r="J13" s="17" t="n">
        <f aca="false">J11+J12</f>
        <v>2144.20963399063</v>
      </c>
      <c r="K13" s="17" t="n">
        <f aca="false">K11+K12</f>
        <v>2401.5147900695</v>
      </c>
      <c r="L13" s="17" t="n">
        <f aca="false">L11+L12</f>
        <v>2641.66626907645</v>
      </c>
    </row>
    <row r="14" customFormat="false" ht="15" hidden="false" customHeight="false" outlineLevel="0" collapsed="false">
      <c r="A14" s="2" t="s">
        <v>75</v>
      </c>
      <c r="C14" s="6" t="n">
        <v>0.24</v>
      </c>
      <c r="D14" s="6" t="n">
        <v>0.24</v>
      </c>
      <c r="E14" s="6" t="n">
        <v>0.24</v>
      </c>
      <c r="F14" s="6" t="n">
        <v>0.24</v>
      </c>
      <c r="G14" s="6" t="n">
        <v>0.24</v>
      </c>
      <c r="H14" s="6" t="n">
        <v>0.24</v>
      </c>
      <c r="I14" s="6" t="n">
        <v>0.24</v>
      </c>
      <c r="J14" s="6" t="n">
        <v>0.24</v>
      </c>
      <c r="K14" s="6" t="n">
        <v>0.24</v>
      </c>
      <c r="L14" s="6" t="n">
        <v>0.24</v>
      </c>
    </row>
    <row r="15" customFormat="false" ht="15" hidden="false" customHeight="false" outlineLevel="0" collapsed="false">
      <c r="A15" s="2" t="s">
        <v>76</v>
      </c>
      <c r="C15" s="17" t="n">
        <f aca="false">C13*(1-C14)</f>
        <v>581.72780624</v>
      </c>
      <c r="D15" s="17" t="n">
        <f aca="false">D13*(1-D14)</f>
        <v>697.6432963472</v>
      </c>
      <c r="E15" s="17" t="n">
        <f aca="false">E13*(1-E14)</f>
        <v>829.575993857184</v>
      </c>
      <c r="F15" s="17" t="n">
        <f aca="false">F13*(1-F14)</f>
        <v>959.447545998964</v>
      </c>
      <c r="G15" s="17" t="n">
        <f aca="false">G13*(1-G14)</f>
        <v>1100.01776785463</v>
      </c>
      <c r="H15" s="17" t="n">
        <f aca="false">H13*(1-H14)</f>
        <v>1265.02043303282</v>
      </c>
      <c r="I15" s="17" t="n">
        <f aca="false">I13*(1-I14)</f>
        <v>1442.12329365741</v>
      </c>
      <c r="J15" s="17" t="n">
        <f aca="false">J13*(1-J14)</f>
        <v>1629.59932183288</v>
      </c>
      <c r="K15" s="17" t="n">
        <f aca="false">K13*(1-K14)</f>
        <v>1825.15124045282</v>
      </c>
      <c r="L15" s="17" t="n">
        <f aca="false">L13*(1-L14)</f>
        <v>2007.66636449811</v>
      </c>
    </row>
    <row r="16" customFormat="false" ht="15" hidden="false" customHeight="false" outlineLevel="0" collapsed="false">
      <c r="A16" s="2" t="s">
        <v>77</v>
      </c>
      <c r="C16" s="17" t="n">
        <f aca="false">-C12</f>
        <v>74.4583</v>
      </c>
      <c r="D16" s="17" t="n">
        <f aca="false">-D12</f>
        <v>88.605377</v>
      </c>
      <c r="E16" s="17" t="n">
        <f aca="false">-E12</f>
        <v>104.55434486</v>
      </c>
      <c r="F16" s="17" t="n">
        <f aca="false">-F12</f>
        <v>122.3285834862</v>
      </c>
      <c r="G16" s="17" t="n">
        <f aca="false">-G12</f>
        <v>141.901156843992</v>
      </c>
      <c r="H16" s="17" t="n">
        <f aca="false">-H12</f>
        <v>163.186330370591</v>
      </c>
      <c r="I16" s="17" t="n">
        <f aca="false">-I12</f>
        <v>186.032416622473</v>
      </c>
      <c r="J16" s="17" t="n">
        <f aca="false">-J12</f>
        <v>210.216630783395</v>
      </c>
      <c r="K16" s="17" t="n">
        <f aca="false">-K12</f>
        <v>235.442626477402</v>
      </c>
      <c r="L16" s="17" t="n">
        <f aca="false">-L12</f>
        <v>258.986889125143</v>
      </c>
    </row>
    <row r="17" customFormat="false" ht="15" hidden="false" customHeight="false" outlineLevel="0" collapsed="false">
      <c r="A17" s="2" t="s">
        <v>78</v>
      </c>
      <c r="C17" s="19" t="n">
        <f aca="false">-C6*Assumptions!$B$7</f>
        <v>-74.4583</v>
      </c>
      <c r="D17" s="19" t="n">
        <f aca="false">-D6*Assumptions!$B$7</f>
        <v>-88.605377</v>
      </c>
      <c r="E17" s="19" t="n">
        <f aca="false">-E6*Assumptions!$B$7</f>
        <v>-104.55434486</v>
      </c>
      <c r="F17" s="19" t="n">
        <f aca="false">-F6*Assumptions!$B$7</f>
        <v>-122.3285834862</v>
      </c>
      <c r="G17" s="19" t="n">
        <f aca="false">-G6*Assumptions!$B$7</f>
        <v>-141.901156843992</v>
      </c>
      <c r="H17" s="19" t="n">
        <f aca="false">-H6*Assumptions!$B$7</f>
        <v>-163.186330370591</v>
      </c>
      <c r="I17" s="19" t="n">
        <f aca="false">-I6*Assumptions!$B$7</f>
        <v>-186.032416622473</v>
      </c>
      <c r="J17" s="19" t="n">
        <f aca="false">-J6*Assumptions!$B$7</f>
        <v>-210.216630783395</v>
      </c>
      <c r="K17" s="19" t="n">
        <f aca="false">-K6*Assumptions!$B$7</f>
        <v>-235.442626477402</v>
      </c>
      <c r="L17" s="19" t="n">
        <f aca="false">-L6*Assumptions!$B$7</f>
        <v>-258.986889125143</v>
      </c>
    </row>
    <row r="18" customFormat="false" ht="15" hidden="false" customHeight="false" outlineLevel="0" collapsed="false">
      <c r="A18" s="2" t="s">
        <v>79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false" outlineLevel="0" collapsed="false">
      <c r="A19" s="2" t="s">
        <v>80</v>
      </c>
      <c r="C19" s="20" t="n">
        <f aca="false">C15+C16+C17+C18</f>
        <v>581.72780624</v>
      </c>
      <c r="D19" s="20" t="n">
        <f aca="false">D15+D16+D17+D18</f>
        <v>697.6432963472</v>
      </c>
      <c r="E19" s="20" t="n">
        <f aca="false">E15+E16+E17+E18</f>
        <v>829.575993857184</v>
      </c>
      <c r="F19" s="20" t="n">
        <f aca="false">F15+F16+F17+F18</f>
        <v>959.447545998964</v>
      </c>
      <c r="G19" s="20" t="n">
        <f aca="false">G15+G16+G17+G18</f>
        <v>1100.01776785463</v>
      </c>
      <c r="H19" s="20" t="n">
        <f aca="false">H15+H16+H17+H18</f>
        <v>1265.02043303282</v>
      </c>
      <c r="I19" s="20" t="n">
        <f aca="false">I15+I16+I17+I18</f>
        <v>1442.12329365741</v>
      </c>
      <c r="J19" s="20" t="n">
        <f aca="false">J15+J16+J17+J18</f>
        <v>1629.59932183288</v>
      </c>
      <c r="K19" s="20" t="n">
        <f aca="false">K15+K16+K17+K18</f>
        <v>1825.15124045282</v>
      </c>
      <c r="L19" s="20" t="n">
        <f aca="false">L15+L16+L17+L18</f>
        <v>2007.66636449811</v>
      </c>
    </row>
    <row r="20" customFormat="false" ht="15" hidden="false" customHeight="false" outlineLevel="0" collapsed="false">
      <c r="A20" s="2" t="s">
        <v>81</v>
      </c>
      <c r="C20" s="21" t="n">
        <f aca="false">1/(1+Assumptions!$B$5)^C4</f>
        <v>0.904977375565611</v>
      </c>
      <c r="D20" s="21" t="n">
        <f aca="false">1/(1+Assumptions!$B$5)^D4</f>
        <v>0.818984050285621</v>
      </c>
      <c r="E20" s="21" t="n">
        <f aca="false">1/(1+Assumptions!$B$5)^E4</f>
        <v>0.741162036457575</v>
      </c>
      <c r="F20" s="21" t="n">
        <f aca="false">1/(1+Assumptions!$B$5)^F4</f>
        <v>0.67073487462224</v>
      </c>
      <c r="G20" s="21" t="n">
        <f aca="false">1/(1+Assumptions!$B$5)^G4</f>
        <v>0.606999886535964</v>
      </c>
      <c r="H20" s="21" t="n">
        <f aca="false">1/(1+Assumptions!$B$5)^H4</f>
        <v>0.54932116428594</v>
      </c>
      <c r="I20" s="21" t="n">
        <f aca="false">1/(1+Assumptions!$B$5)^I4</f>
        <v>0.497123225598136</v>
      </c>
      <c r="J20" s="21" t="n">
        <f aca="false">1/(1+Assumptions!$B$5)^J4</f>
        <v>0.449885272034512</v>
      </c>
      <c r="K20" s="21" t="n">
        <f aca="false">1/(1+Assumptions!$B$5)^K4</f>
        <v>0.407135992791414</v>
      </c>
      <c r="L20" s="21" t="n">
        <f aca="false">1/(1+Assumptions!$B$5)^L4</f>
        <v>0.368448862254673</v>
      </c>
    </row>
    <row r="21" customFormat="false" ht="15" hidden="false" customHeight="false" outlineLevel="0" collapsed="false">
      <c r="A21" s="2" t="s">
        <v>82</v>
      </c>
      <c r="C21" s="17" t="n">
        <f aca="false">C19*C20</f>
        <v>526.450503384615</v>
      </c>
      <c r="D21" s="17" t="n">
        <f aca="false">D19*D20</f>
        <v>571.358732497041</v>
      </c>
      <c r="E21" s="17" t="n">
        <f aca="false">E19*E20</f>
        <v>614.850233003507</v>
      </c>
      <c r="F21" s="17" t="n">
        <f aca="false">F19*F20</f>
        <v>643.534929472231</v>
      </c>
      <c r="G21" s="17" t="n">
        <f aca="false">G19*G20</f>
        <v>667.710660275302</v>
      </c>
      <c r="H21" s="17" t="n">
        <f aca="false">H19*H20</f>
        <v>694.902497119093</v>
      </c>
      <c r="I21" s="17" t="n">
        <f aca="false">I19*I20</f>
        <v>716.912983453182</v>
      </c>
      <c r="J21" s="17" t="n">
        <f aca="false">J19*J20</f>
        <v>733.132734210041</v>
      </c>
      <c r="K21" s="17" t="n">
        <f aca="false">K19*K20</f>
        <v>743.08476227624</v>
      </c>
      <c r="L21" s="17" t="n">
        <f aca="false">L19*L20</f>
        <v>739.722387786303</v>
      </c>
    </row>
    <row r="23" customFormat="false" ht="15" hidden="false" customHeight="false" outlineLevel="0" collapsed="false">
      <c r="A23" s="2" t="s">
        <v>83</v>
      </c>
      <c r="C23" s="17" t="n">
        <f aca="false">C19-C10</f>
        <v>694.90442224</v>
      </c>
      <c r="D23" s="17" t="n">
        <f aca="false">D19-D10</f>
        <v>825.2350392272</v>
      </c>
      <c r="E23" s="17" t="n">
        <f aca="false">E19-E10</f>
        <v>971.769902866784</v>
      </c>
      <c r="F23" s="17" t="n">
        <f aca="false">F19-F10</f>
        <v>1116.0281328613</v>
      </c>
      <c r="G23" s="17" t="n">
        <f aca="false">G19-G10</f>
        <v>1270.29915606742</v>
      </c>
      <c r="H23" s="17" t="n">
        <f aca="false">H19-H10</f>
        <v>1460.84402947753</v>
      </c>
      <c r="I23" s="17" t="n">
        <f aca="false">I19-I10</f>
        <v>1665.36219360438</v>
      </c>
      <c r="J23" s="17" t="n">
        <f aca="false">J19-J10</f>
        <v>1881.85927877295</v>
      </c>
      <c r="K23" s="17" t="n">
        <f aca="false">K19-K10</f>
        <v>2107.68239222571</v>
      </c>
      <c r="L23" s="17" t="n">
        <f aca="false">L19-L10</f>
        <v>2318.45063144828</v>
      </c>
    </row>
    <row r="24" customFormat="false" ht="15" hidden="false" customHeight="false" outlineLevel="0" collapsed="false">
      <c r="A24" s="2" t="s">
        <v>84</v>
      </c>
      <c r="C24" s="13" t="n">
        <f aca="false">C19/C6</f>
        <v>0.19532</v>
      </c>
      <c r="D24" s="13" t="n">
        <f aca="false">D19/D6</f>
        <v>0.19684</v>
      </c>
      <c r="E24" s="13" t="n">
        <f aca="false">E19/E6</f>
        <v>0.19836</v>
      </c>
      <c r="F24" s="13" t="n">
        <f aca="false">F19/F6</f>
        <v>0.19608</v>
      </c>
      <c r="G24" s="13" t="n">
        <f aca="false">G19/G6</f>
        <v>0.1938</v>
      </c>
      <c r="H24" s="13" t="n">
        <f aca="false">H19/H6</f>
        <v>0.1938</v>
      </c>
      <c r="I24" s="13" t="n">
        <f aca="false">I19/I6</f>
        <v>0.1938</v>
      </c>
      <c r="J24" s="13" t="n">
        <f aca="false">J19/J6</f>
        <v>0.1938</v>
      </c>
      <c r="K24" s="13" t="n">
        <f aca="false">K19/K6</f>
        <v>0.1938</v>
      </c>
      <c r="L24" s="13" t="n">
        <f aca="false">L19/L6</f>
        <v>0.1938</v>
      </c>
    </row>
    <row r="25" customFormat="false" ht="15" hidden="false" customHeight="false" outlineLevel="0" collapsed="false">
      <c r="A25" s="4" t="s">
        <v>85</v>
      </c>
    </row>
    <row r="26" customFormat="false" ht="15" hidden="false" customHeight="false" outlineLevel="0" collapsed="false">
      <c r="A26" s="2" t="s">
        <v>86</v>
      </c>
      <c r="B26" s="17" t="n">
        <f aca="false">SUM(C21:L21)</f>
        <v>6651.66042347756</v>
      </c>
    </row>
    <row r="27" customFormat="false" ht="15" hidden="false" customHeight="false" outlineLevel="0" collapsed="false">
      <c r="A27" s="2" t="s">
        <v>45</v>
      </c>
      <c r="B27" s="22" t="n">
        <f aca="false">Assumptions!$E$16</f>
        <v>0.035</v>
      </c>
    </row>
    <row r="28" customFormat="false" ht="15" hidden="false" customHeight="false" outlineLevel="0" collapsed="false">
      <c r="A28" s="2" t="s">
        <v>87</v>
      </c>
      <c r="B28" s="17" t="n">
        <f aca="false">L19*(1+B27)</f>
        <v>2077.93468725554</v>
      </c>
    </row>
    <row r="29" customFormat="false" ht="15" hidden="false" customHeight="false" outlineLevel="0" collapsed="false">
      <c r="A29" s="2" t="s">
        <v>88</v>
      </c>
      <c r="B29" s="17" t="n">
        <f aca="false">B28/(Assumptions!$B$5-B27)</f>
        <v>29684.7812465077</v>
      </c>
    </row>
    <row r="30" customFormat="false" ht="15" hidden="false" customHeight="false" outlineLevel="0" collapsed="false">
      <c r="A30" s="2" t="s">
        <v>89</v>
      </c>
      <c r="B30" s="19" t="n">
        <f aca="false">Assumptions!$B$12*L19</f>
        <v>40153.3272899621</v>
      </c>
    </row>
    <row r="31" customFormat="false" ht="15" hidden="false" customHeight="false" outlineLevel="0" collapsed="false">
      <c r="A31" s="2" t="s">
        <v>90</v>
      </c>
      <c r="B31" s="17" t="n">
        <f aca="false">MAX(0,MIN(B29,B30))</f>
        <v>29684.7812465077</v>
      </c>
    </row>
    <row r="32" customFormat="false" ht="15" hidden="false" customHeight="false" outlineLevel="0" collapsed="false">
      <c r="A32" s="2" t="s">
        <v>91</v>
      </c>
      <c r="B32" s="23" t="n">
        <f aca="false">B31/L19</f>
        <v>14.7857142857143</v>
      </c>
    </row>
    <row r="33" customFormat="false" ht="15" hidden="false" customHeight="false" outlineLevel="0" collapsed="false">
      <c r="A33" s="2" t="s">
        <v>92</v>
      </c>
      <c r="B33" s="17" t="n">
        <f aca="false">B31*L20</f>
        <v>10937.3238765546</v>
      </c>
    </row>
    <row r="34" customFormat="false" ht="15" hidden="false" customHeight="false" outlineLevel="0" collapsed="false">
      <c r="A34" s="2" t="s">
        <v>93</v>
      </c>
      <c r="B34" s="17" t="n">
        <f aca="false">B26+B33</f>
        <v>17588.9843000322</v>
      </c>
    </row>
    <row r="35" customFormat="false" ht="15" hidden="false" customHeight="false" outlineLevel="0" collapsed="false">
      <c r="A35" s="2" t="s">
        <v>94</v>
      </c>
      <c r="B35" s="19" t="n">
        <f aca="false">Assumptions!$B$9</f>
        <v>1600</v>
      </c>
    </row>
    <row r="36" customFormat="false" ht="15" hidden="false" customHeight="false" outlineLevel="0" collapsed="false">
      <c r="A36" s="2" t="s">
        <v>95</v>
      </c>
      <c r="B36" s="17" t="n">
        <f aca="false">B34+B35</f>
        <v>19188.9843000322</v>
      </c>
    </row>
    <row r="37" customFormat="false" ht="15" hidden="false" customHeight="false" outlineLevel="0" collapsed="false">
      <c r="A37" s="2" t="s">
        <v>34</v>
      </c>
      <c r="B37" s="24" t="n">
        <f aca="false">Assumptions!$B$10</f>
        <v>1030</v>
      </c>
    </row>
    <row r="38" customFormat="false" ht="15" hidden="false" customHeight="false" outlineLevel="0" collapsed="false">
      <c r="A38" s="2" t="s">
        <v>96</v>
      </c>
      <c r="B38" s="25" t="n">
        <f aca="false">B36/B37</f>
        <v>18.6300818446914</v>
      </c>
    </row>
    <row r="39" customFormat="false" ht="15" hidden="false" customHeight="false" outlineLevel="0" collapsed="false">
      <c r="A39" s="2" t="s">
        <v>97</v>
      </c>
      <c r="B39" s="13" t="n">
        <f aca="false">B38/Assumptions!$B$11-1</f>
        <v>0.62282942898009</v>
      </c>
    </row>
    <row r="41" customFormat="false" ht="15" hidden="false" customHeight="false" outlineLevel="0" collapsed="false">
      <c r="A41" s="2" t="s">
        <v>98</v>
      </c>
      <c r="B41" s="17" t="n">
        <f aca="false">SUMPRODUCT(-C10:L10/(1+Assumptions!$B$5)^C4:L4)</f>
        <v>1082.26348798678</v>
      </c>
    </row>
    <row r="42" customFormat="false" ht="15" hidden="false" customHeight="false" outlineLevel="0" collapsed="false">
      <c r="A42" s="2" t="s">
        <v>99</v>
      </c>
      <c r="B42" s="17" t="n">
        <f aca="false">(-L10*(1+B27)/(Assumptions!$B$5-B27))*L20</f>
        <v>1693.08419141712</v>
      </c>
    </row>
    <row r="43" customFormat="false" ht="15" hidden="false" customHeight="false" outlineLevel="0" collapsed="false">
      <c r="A43" s="2" t="s">
        <v>100</v>
      </c>
      <c r="B43" s="26" t="n">
        <f aca="false">(B36+B41+B42)/B37</f>
        <v>21.3245941547923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5" t="s">
        <v>104</v>
      </c>
    </row>
    <row r="4" customFormat="false" ht="15" hidden="false" customHeight="false" outlineLevel="0" collapsed="false">
      <c r="B4" s="12" t="s">
        <v>42</v>
      </c>
      <c r="C4" s="12" t="s">
        <v>43</v>
      </c>
      <c r="D4" s="12" t="s">
        <v>44</v>
      </c>
    </row>
    <row r="5" customFormat="false" ht="15" hidden="false" customHeight="false" outlineLevel="0" collapsed="false">
      <c r="A5" s="2" t="s">
        <v>96</v>
      </c>
      <c r="B5" s="27" t="n">
        <f aca="false">DCF_Bear!$B$38</f>
        <v>7.1699963681718</v>
      </c>
      <c r="C5" s="27" t="n">
        <f aca="false">DCF_Base!$B$38</f>
        <v>13.0470300193636</v>
      </c>
      <c r="D5" s="27" t="n">
        <f aca="false">DCF_Bull!$B$38</f>
        <v>18.6300818446914</v>
      </c>
    </row>
    <row r="6" customFormat="false" ht="15" hidden="false" customHeight="false" outlineLevel="0" collapsed="false">
      <c r="A6" s="2" t="s">
        <v>105</v>
      </c>
      <c r="B6" s="13" t="n">
        <f aca="false">B5/Assumptions!$B$11-1</f>
        <v>-0.375435856431028</v>
      </c>
      <c r="C6" s="13" t="n">
        <f aca="false">C5/Assumptions!$B$11-1</f>
        <v>0.136500872766866</v>
      </c>
      <c r="D6" s="13" t="n">
        <f aca="false">D5/Assumptions!$B$11-1</f>
        <v>0.62282942898009</v>
      </c>
    </row>
    <row r="7" customFormat="false" ht="15" hidden="false" customHeight="false" outlineLevel="0" collapsed="false">
      <c r="A7" s="2" t="s">
        <v>106</v>
      </c>
      <c r="B7" s="22" t="n">
        <f aca="false">Assumptions!$C$17</f>
        <v>0.15</v>
      </c>
      <c r="C7" s="22" t="n">
        <f aca="false">Assumptions!$D$17</f>
        <v>0.5</v>
      </c>
      <c r="D7" s="22" t="n">
        <f aca="false">Assumptions!$E$17</f>
        <v>0.35</v>
      </c>
    </row>
    <row r="8" customFormat="false" ht="15" hidden="false" customHeight="false" outlineLevel="0" collapsed="false">
      <c r="A8" s="2" t="s">
        <v>107</v>
      </c>
      <c r="B8" s="27" t="n">
        <f aca="false">DCF_Bear!$B$43</f>
        <v>8.92524873400269</v>
      </c>
      <c r="C8" s="27" t="n">
        <f aca="false">DCF_Base!$B$43</f>
        <v>15.2162631346299</v>
      </c>
      <c r="D8" s="27" t="n">
        <f aca="false">DCF_Bull!$B$43</f>
        <v>21.3245941547923</v>
      </c>
    </row>
    <row r="10" customFormat="false" ht="15" hidden="false" customHeight="false" outlineLevel="0" collapsed="false">
      <c r="A10" s="2" t="s">
        <v>108</v>
      </c>
      <c r="B10" s="25" t="n">
        <f aca="false">SUMPRODUCT(B5:D5,B7:D7)</f>
        <v>14.1195431105496</v>
      </c>
    </row>
    <row r="11" customFormat="false" ht="15" hidden="false" customHeight="false" outlineLevel="0" collapsed="false">
      <c r="A11" s="2" t="s">
        <v>109</v>
      </c>
      <c r="B11" s="27" t="n">
        <f aca="false">Assumptions!$B$11</f>
        <v>11.48</v>
      </c>
    </row>
    <row r="12" customFormat="false" ht="15" hidden="false" customHeight="false" outlineLevel="0" collapsed="false">
      <c r="A12" s="2" t="s">
        <v>110</v>
      </c>
      <c r="B12" s="13" t="n">
        <f aca="false">1-B11/B10</f>
        <v>0.186942529930548</v>
      </c>
    </row>
    <row r="13" customFormat="false" ht="15" hidden="false" customHeight="false" outlineLevel="0" collapsed="false">
      <c r="A13" s="2" t="s">
        <v>111</v>
      </c>
      <c r="B13" s="26" t="n">
        <f aca="false">SUMPRODUCT(B8:D8,B7:D7)</f>
        <v>16.4105268315927</v>
      </c>
    </row>
    <row r="14" customFormat="false" ht="15" hidden="false" customHeight="false" outlineLevel="0" collapsed="false">
      <c r="A14" s="2" t="s">
        <v>112</v>
      </c>
      <c r="B14" s="13" t="n">
        <f aca="false">IF(ABS(B13-B10)&lt;0.005,"n/a - SBC=0 so house=street",(Assumptions!$B$11-B10)/(B13-B10))</f>
        <v>-1.15214398352329</v>
      </c>
    </row>
    <row r="15" customFormat="false" ht="15" hidden="false" customHeight="false" outlineLevel="0" collapsed="false">
      <c r="A15" s="2" t="s">
        <v>113</v>
      </c>
      <c r="B15" s="28" t="n">
        <f aca="false">B5/Assumptions!$B$13*100</f>
        <v>535.074355833716</v>
      </c>
      <c r="C15" s="28" t="n">
        <f aca="false">C5/Assumptions!$B$13*100</f>
        <v>973.658956668927</v>
      </c>
      <c r="D15" s="28" t="n">
        <f aca="false">D5/Assumptions!$B$13*100</f>
        <v>1390.30461527548</v>
      </c>
    </row>
    <row r="16" customFormat="false" ht="15" hidden="false" customHeight="false" outlineLevel="0" collapsed="false">
      <c r="A16" s="2" t="s">
        <v>114</v>
      </c>
      <c r="B16" s="29" t="n">
        <f aca="false">B10/Assumptions!$B$13*100</f>
        <v>1053.69724705594</v>
      </c>
      <c r="C16" s="28" t="n">
        <f aca="false">B13/Assumptions!$B$13*100</f>
        <v>1224.66618146214</v>
      </c>
      <c r="D16" s="30" t="n">
        <f aca="false">B11/Assumptions!$B$13*100</f>
        <v>856.716417910448</v>
      </c>
      <c r="G16" s="5" t="s">
        <v>115</v>
      </c>
    </row>
    <row r="17" customFormat="false" ht="15" hidden="false" customHeight="false" outlineLevel="0" collapsed="false">
      <c r="A17" s="4" t="s">
        <v>116</v>
      </c>
    </row>
    <row r="18" customFormat="false" ht="15" hidden="false" customHeight="false" outlineLevel="0" collapsed="false">
      <c r="A18" s="12" t="s">
        <v>117</v>
      </c>
      <c r="B18" s="12" t="s">
        <v>118</v>
      </c>
    </row>
    <row r="19" customFormat="false" ht="15" hidden="false" customHeight="false" outlineLevel="0" collapsed="false">
      <c r="A19" s="18" t="n">
        <v>0.09</v>
      </c>
      <c r="B19" s="26" t="n">
        <f aca="false">(SUMPRODUCT(DCF_Base!$C$19:$L$19/(1+$A19)^DCF_Base!$C$4:$L$4)+MAX(0,MIN(DCF_Base!$L$19*(1+Assumptions!$D$16)/($A19-Assumptions!$D$16),Assumptions!$B$12*DCF_Base!$L$19))/(1+$A19)^10+Assumptions!$B$9)/Assumptions!$B$10</f>
        <v>16.2653488293289</v>
      </c>
    </row>
    <row r="20" customFormat="false" ht="15" hidden="false" customHeight="false" outlineLevel="0" collapsed="false">
      <c r="A20" s="18" t="n">
        <v>0.1</v>
      </c>
      <c r="B20" s="26" t="n">
        <f aca="false">(SUMPRODUCT(DCF_Base!$C$19:$L$19/(1+$A20)^DCF_Base!$C$4:$L$4)+MAX(0,MIN(DCF_Base!$L$19*(1+Assumptions!$D$16)/($A20-Assumptions!$D$16),Assumptions!$B$12*DCF_Base!$L$19))/(1+$A20)^10+Assumptions!$B$9)/Assumptions!$B$10</f>
        <v>13.9634669135919</v>
      </c>
    </row>
    <row r="21" customFormat="false" ht="15" hidden="false" customHeight="false" outlineLevel="0" collapsed="false">
      <c r="A21" s="18" t="n">
        <v>0.105</v>
      </c>
      <c r="B21" s="26" t="n">
        <f aca="false">(SUMPRODUCT(DCF_Base!$C$19:$L$19/(1+$A21)^DCF_Base!$C$4:$L$4)+MAX(0,MIN(DCF_Base!$L$19*(1+Assumptions!$D$16)/($A21-Assumptions!$D$16),Assumptions!$B$12*DCF_Base!$L$19))/(1+$A21)^10+Assumptions!$B$9)/Assumptions!$B$10</f>
        <v>13.0470300193636</v>
      </c>
    </row>
    <row r="22" customFormat="false" ht="15" hidden="false" customHeight="false" outlineLevel="0" collapsed="false">
      <c r="A22" s="18" t="n">
        <v>0.11</v>
      </c>
      <c r="B22" s="26" t="n">
        <f aca="false">(SUMPRODUCT(DCF_Base!$C$19:$L$19/(1+$A22)^DCF_Base!$C$4:$L$4)+MAX(0,MIN(DCF_Base!$L$19*(1+Assumptions!$D$16)/($A22-Assumptions!$D$16),Assumptions!$B$12*DCF_Base!$L$19))/(1+$A22)^10+Assumptions!$B$9)/Assumptions!$B$10</f>
        <v>12.2477066892001</v>
      </c>
    </row>
    <row r="23" customFormat="false" ht="15" hidden="false" customHeight="false" outlineLevel="0" collapsed="false">
      <c r="A23" s="18" t="n">
        <v>0.12</v>
      </c>
      <c r="B23" s="26" t="n">
        <f aca="false">(SUMPRODUCT(DCF_Base!$C$19:$L$19/(1+$A23)^DCF_Base!$C$4:$L$4)+MAX(0,MIN(DCF_Base!$L$19*(1+Assumptions!$D$16)/($A23-Assumptions!$D$16),Assumptions!$B$12*DCF_Base!$L$19))/(1+$A23)^10+Assumptions!$B$9)/Assumptions!$B$10</f>
        <v>10.9219803439096</v>
      </c>
    </row>
    <row r="24" customFormat="false" ht="15" hidden="false" customHeight="false" outlineLevel="0" collapsed="false">
      <c r="A24" s="18" t="n">
        <v>0.15</v>
      </c>
      <c r="B24" s="26" t="n">
        <f aca="false">(SUMPRODUCT(DCF_Base!$C$19:$L$19/(1+$A24)^DCF_Base!$C$4:$L$4)+MAX(0,MIN(DCF_Base!$L$19*(1+Assumptions!$D$16)/($A24-Assumptions!$D$16),Assumptions!$B$12*DCF_Base!$L$19))/(1+$A24)^10+Assumptions!$B$9)/Assumptions!$B$10</f>
        <v>8.30523951666103</v>
      </c>
    </row>
    <row r="25" customFormat="false" ht="15" hidden="false" customHeight="false" outlineLevel="0" collapsed="false">
      <c r="A25" s="2" t="s">
        <v>119</v>
      </c>
      <c r="B25" s="26" t="n">
        <f aca="false">(SUMPRODUCT(DCF_Bear!$C$19:$L$19/(1+0.15)^DCF_Bear!$C$4:$L$4)+MAX(0,MIN(DCF_Bear!$L$19*(1+Assumptions!$C$16)/(0.15-Assumptions!$C$16),Assumptions!$B$12*DCF_Bear!$L$19))/(1+0.15)^10+Assumptions!$B$9)/Assumptions!$B$10</f>
        <v>5.16461787307579</v>
      </c>
      <c r="C25" s="26" t="n">
        <f aca="false">(SUMPRODUCT(DCF_Base!$C$19:$L$19/(1+0.15)^DCF_Base!$C$4:$L$4)+MAX(0,MIN(DCF_Base!$L$19*(1+Assumptions!$D$16)/(0.15-Assumptions!$D$16),Assumptions!$B$12*DCF_Base!$L$19))/(1+0.15)^10+Assumptions!$B$9)/Assumptions!$B$10</f>
        <v>8.30523951666103</v>
      </c>
      <c r="D25" s="26" t="n">
        <f aca="false">(SUMPRODUCT(DCF_Bull!$C$19:$L$19/(1+0.15)^DCF_Bull!$C$4:$L$4)+MAX(0,MIN(DCF_Bull!$L$19*(1+Assumptions!$E$16)/(0.15-Assumptions!$E$16),Assumptions!$B$12*DCF_Bull!$L$19))/(1+0.15)^10+Assumptions!$B$9)/Assumptions!$B$10</f>
        <v>11.046150301526</v>
      </c>
      <c r="E25" s="25" t="n">
        <f aca="false">SUMPRODUCT(B25:D25,$B$7:$D$7)</f>
        <v>8.79346504482597</v>
      </c>
      <c r="F25" s="28" t="n">
        <f aca="false">E25/Assumptions!$B$13*100</f>
        <v>656.228734688505</v>
      </c>
      <c r="G25" s="5" t="s">
        <v>120</v>
      </c>
    </row>
    <row r="26" customFormat="false" ht="15" hidden="false" customHeight="false" outlineLevel="0" collapsed="false">
      <c r="A26" s="2" t="s">
        <v>121</v>
      </c>
      <c r="B26" s="26" t="n">
        <f aca="false">B25+(SUMPRODUCT(-DCF_Bear!$C$10:$L$10/(1+0.15)^DCF_Bear!$C$4:$L$4)+(-DCF_Bear!$L$10*(1+Assumptions!$C$16)/(0.15-Assumptions!$C$16))/(1+0.15)^10)/Assumptions!$B$10</f>
        <v>6.2818408621735</v>
      </c>
      <c r="C26" s="26" t="n">
        <f aca="false">C25+(SUMPRODUCT(-DCF_Base!$C$10:$L$10/(1+0.15)^DCF_Base!$C$4:$L$4)+(-DCF_Base!$L$10*(1+Assumptions!$D$16)/(0.15-Assumptions!$D$16))/(1+0.15)^10)/Assumptions!$B$10</f>
        <v>9.59568594066597</v>
      </c>
      <c r="D26" s="26" t="n">
        <f aca="false">D25+(SUMPRODUCT(-DCF_Bull!$C$10:$L$10/(1+0.15)^DCF_Bull!$C$4:$L$4)+(-DCF_Bull!$L$10*(1+Assumptions!$E$16)/(0.15-Assumptions!$E$16))/(1+0.15)^10)/Assumptions!$B$10</f>
        <v>12.5627953993243</v>
      </c>
      <c r="E26" s="26" t="n">
        <f aca="false">SUMPRODUCT(B26:D26,$B$7:$D$7)</f>
        <v>10.1370974894225</v>
      </c>
    </row>
    <row r="28" customFormat="false" ht="15" hidden="false" customHeight="false" outlineLevel="0" collapsed="false">
      <c r="A28" s="4" t="s">
        <v>122</v>
      </c>
    </row>
    <row r="29" customFormat="false" ht="15" hidden="false" customHeight="false" outlineLevel="0" collapsed="false">
      <c r="A29" s="12" t="s">
        <v>123</v>
      </c>
      <c r="B29" s="31" t="n">
        <v>0.02</v>
      </c>
      <c r="C29" s="31" t="n">
        <v>0.025</v>
      </c>
      <c r="D29" s="31" t="n">
        <v>0.03</v>
      </c>
      <c r="E29" s="31" t="n">
        <v>0.035</v>
      </c>
      <c r="F29" s="31" t="n">
        <v>0.04</v>
      </c>
    </row>
    <row r="30" customFormat="false" ht="15" hidden="false" customHeight="false" outlineLevel="0" collapsed="false">
      <c r="A30" s="31" t="n">
        <v>0.095</v>
      </c>
      <c r="B30" s="26" t="n">
        <f aca="false">IF($A30&gt;B$29,(SUMPRODUCT(DCF_Base!$C$19:$L$19/(1+$A30)^DCF_Base!$C$4:$L$4)+MAX(0,MIN(DCF_Base!$L$19*(1+B$29)/($A30-B$29),Assumptions!$B$12*DCF_Base!$L$19))/(1+$A30)^10+Assumptions!$B$9)/Assumptions!$B$10,"n/a")</f>
        <v>13.85440062144</v>
      </c>
      <c r="C30" s="26" t="n">
        <f aca="false">IF($A30&gt;C$29,(SUMPRODUCT(DCF_Base!$C$19:$L$19/(1+$A30)^DCF_Base!$C$4:$L$4)+MAX(0,MIN(DCF_Base!$L$19*(1+C$29)/($A30-C$29),Assumptions!$B$12*DCF_Base!$L$19))/(1+$A30)^10+Assumptions!$B$9)/Assumptions!$B$10,"n/a")</f>
        <v>14.3975077875467</v>
      </c>
      <c r="D30" s="26" t="n">
        <f aca="false">IF($A30&gt;D$29,(SUMPRODUCT(DCF_Base!$C$19:$L$19/(1+$A30)^DCF_Base!$C$4:$L$4)+MAX(0,MIN(DCF_Base!$L$19*(1+D$29)/($A30-D$29),Assumptions!$B$12*DCF_Base!$L$19))/(1+$A30)^10+Assumptions!$B$9)/Assumptions!$B$10,"n/a")</f>
        <v>15.0241699022853</v>
      </c>
      <c r="E30" s="26" t="n">
        <f aca="false">IF($A30&gt;E$29,(SUMPRODUCT(DCF_Base!$C$19:$L$19/(1+$A30)^DCF_Base!$C$4:$L$4)+MAX(0,MIN(DCF_Base!$L$19*(1+E$29)/($A30-E$29),Assumptions!$B$12*DCF_Base!$L$19))/(1+$A30)^10+Assumptions!$B$9)/Assumptions!$B$10,"n/a")</f>
        <v>15.7552757028136</v>
      </c>
      <c r="F30" s="26" t="n">
        <f aca="false">IF($A30&gt;F$29,(SUMPRODUCT(DCF_Base!$C$19:$L$19/(1+$A30)^DCF_Base!$C$4:$L$4)+MAX(0,MIN(DCF_Base!$L$19*(1+F$29)/($A30-F$29),Assumptions!$B$12*DCF_Base!$L$19))/(1+$A30)^10+Assumptions!$B$9)/Assumptions!$B$10,"n/a")</f>
        <v>16.6193098307108</v>
      </c>
    </row>
    <row r="31" customFormat="false" ht="15" hidden="false" customHeight="false" outlineLevel="0" collapsed="false">
      <c r="A31" s="31" t="n">
        <v>0.1</v>
      </c>
      <c r="B31" s="26" t="n">
        <f aca="false">IF($A31&gt;B$29,(SUMPRODUCT(DCF_Base!$C$19:$L$19/(1+$A31)^DCF_Base!$C$4:$L$4)+MAX(0,MIN(DCF_Base!$L$19*(1+B$29)/($A31-B$29),Assumptions!$B$12*DCF_Base!$L$19))/(1+$A31)^10+Assumptions!$B$9)/Assumptions!$B$10,"n/a")</f>
        <v>12.9860503117867</v>
      </c>
      <c r="C31" s="26" t="n">
        <f aca="false">IF($A31&gt;C$29,(SUMPRODUCT(DCF_Base!$C$19:$L$19/(1+$A31)^DCF_Base!$C$4:$L$4)+MAX(0,MIN(DCF_Base!$L$19*(1+C$29)/($A31-C$29),Assumptions!$B$12*DCF_Base!$L$19))/(1+$A31)^10+Assumptions!$B$9)/Assumptions!$B$10,"n/a")</f>
        <v>13.4421780592957</v>
      </c>
      <c r="D31" s="26" t="n">
        <f aca="false">IF($A31&gt;D$29,(SUMPRODUCT(DCF_Base!$C$19:$L$19/(1+$A31)^DCF_Base!$C$4:$L$4)+MAX(0,MIN(DCF_Base!$L$19*(1+D$29)/($A31-D$29),Assumptions!$B$12*DCF_Base!$L$19))/(1+$A31)^10+Assumptions!$B$9)/Assumptions!$B$10,"n/a")</f>
        <v>13.9634669135919</v>
      </c>
      <c r="E31" s="26" t="n">
        <f aca="false">IF($A31&gt;E$29,(SUMPRODUCT(DCF_Base!$C$19:$L$19/(1+$A31)^DCF_Base!$C$4:$L$4)+MAX(0,MIN(DCF_Base!$L$19*(1+E$29)/($A31-E$29),Assumptions!$B$12*DCF_Base!$L$19))/(1+$A31)^10+Assumptions!$B$9)/Assumptions!$B$10,"n/a")</f>
        <v>14.5649540531643</v>
      </c>
      <c r="F31" s="26" t="n">
        <f aca="false">IF($A31&gt;F$29,(SUMPRODUCT(DCF_Base!$C$19:$L$19/(1+$A31)^DCF_Base!$C$4:$L$4)+MAX(0,MIN(DCF_Base!$L$19*(1+F$29)/($A31-F$29),Assumptions!$B$12*DCF_Base!$L$19))/(1+$A31)^10+Assumptions!$B$9)/Assumptions!$B$10,"n/a")</f>
        <v>15.2666890493321</v>
      </c>
    </row>
    <row r="32" customFormat="false" ht="15" hidden="false" customHeight="false" outlineLevel="0" collapsed="false">
      <c r="A32" s="31" t="n">
        <v>0.105</v>
      </c>
      <c r="B32" s="26" t="n">
        <f aca="false">IF($A32&gt;B$29,(SUMPRODUCT(DCF_Base!$C$19:$L$19/(1+$A32)^DCF_Base!$C$4:$L$4)+MAX(0,MIN(DCF_Base!$L$19*(1+B$29)/($A32-B$29),Assumptions!$B$12*DCF_Base!$L$19))/(1+$A32)^10+Assumptions!$B$9)/Assumptions!$B$10,"n/a")</f>
        <v>12.222775734382</v>
      </c>
      <c r="C32" s="26" t="n">
        <f aca="false">IF($A32&gt;C$29,(SUMPRODUCT(DCF_Base!$C$19:$L$19/(1+$A32)^DCF_Base!$C$4:$L$4)+MAX(0,MIN(DCF_Base!$L$19*(1+C$29)/($A32-C$29),Assumptions!$B$12*DCF_Base!$L$19))/(1+$A32)^10+Assumptions!$B$9)/Assumptions!$B$10,"n/a")</f>
        <v>12.6091449304671</v>
      </c>
      <c r="D32" s="25" t="n">
        <f aca="false">IF($A32&gt;D$29,(SUMPRODUCT(DCF_Base!$C$19:$L$19/(1+$A32)^DCF_Base!$C$4:$L$4)+MAX(0,MIN(DCF_Base!$L$19*(1+D$29)/($A32-D$29),Assumptions!$B$12*DCF_Base!$L$19))/(1+$A32)^10+Assumptions!$B$9)/Assumptions!$B$10,"n/a")</f>
        <v>13.0470300193636</v>
      </c>
      <c r="E32" s="26" t="n">
        <f aca="false">IF($A32&gt;E$29,(SUMPRODUCT(DCF_Base!$C$19:$L$19/(1+$A32)^DCF_Base!$C$4:$L$4)+MAX(0,MIN(DCF_Base!$L$19*(1+E$29)/($A32-E$29),Assumptions!$B$12*DCF_Base!$L$19))/(1+$A32)^10+Assumptions!$B$9)/Assumptions!$B$10,"n/a")</f>
        <v>13.5474701209596</v>
      </c>
      <c r="F32" s="26" t="n">
        <f aca="false">IF($A32&gt;F$29,(SUMPRODUCT(DCF_Base!$C$19:$L$19/(1+$A32)^DCF_Base!$C$4:$L$4)+MAX(0,MIN(DCF_Base!$L$19*(1+F$29)/($A32-F$29),Assumptions!$B$12*DCF_Base!$L$19))/(1+$A32)^10+Assumptions!$B$9)/Assumptions!$B$10,"n/a")</f>
        <v>14.1249010074165</v>
      </c>
    </row>
    <row r="33" customFormat="false" ht="15" hidden="false" customHeight="false" outlineLevel="0" collapsed="false">
      <c r="A33" s="31" t="n">
        <v>0.11</v>
      </c>
      <c r="B33" s="26" t="n">
        <f aca="false">IF($A33&gt;B$29,(SUMPRODUCT(DCF_Base!$C$19:$L$19/(1+$A33)^DCF_Base!$C$4:$L$4)+MAX(0,MIN(DCF_Base!$L$19*(1+B$29)/($A33-B$29),Assumptions!$B$12*DCF_Base!$L$19))/(1+$A33)^10+Assumptions!$B$9)/Assumptions!$B$10,"n/a")</f>
        <v>11.5469575074175</v>
      </c>
      <c r="C33" s="26" t="n">
        <f aca="false">IF($A33&gt;C$29,(SUMPRODUCT(DCF_Base!$C$19:$L$19/(1+$A33)^DCF_Base!$C$4:$L$4)+MAX(0,MIN(DCF_Base!$L$19*(1+C$29)/($A33-C$29),Assumptions!$B$12*DCF_Base!$L$19))/(1+$A33)^10+Assumptions!$B$9)/Assumptions!$B$10,"n/a")</f>
        <v>11.8767218282564</v>
      </c>
      <c r="D33" s="26" t="n">
        <f aca="false">IF($A33&gt;D$29,(SUMPRODUCT(DCF_Base!$C$19:$L$19/(1+$A33)^DCF_Base!$C$4:$L$4)+MAX(0,MIN(DCF_Base!$L$19*(1+D$29)/($A33-D$29),Assumptions!$B$12*DCF_Base!$L$19))/(1+$A33)^10+Assumptions!$B$9)/Assumptions!$B$10,"n/a")</f>
        <v>12.2477066892001</v>
      </c>
      <c r="E33" s="26" t="n">
        <f aca="false">IF($A33&gt;E$29,(SUMPRODUCT(DCF_Base!$C$19:$L$19/(1+$A33)^DCF_Base!$C$4:$L$4)+MAX(0,MIN(DCF_Base!$L$19*(1+E$29)/($A33-E$29),Assumptions!$B$12*DCF_Base!$L$19))/(1+$A33)^10+Assumptions!$B$9)/Assumptions!$B$10,"n/a")</f>
        <v>12.6681561982696</v>
      </c>
      <c r="F33" s="26" t="n">
        <f aca="false">IF($A33&gt;F$29,(SUMPRODUCT(DCF_Base!$C$19:$L$19/(1+$A33)^DCF_Base!$C$4:$L$4)+MAX(0,MIN(DCF_Base!$L$19*(1+F$29)/($A33-F$29),Assumptions!$B$12*DCF_Base!$L$19))/(1+$A33)^10+Assumptions!$B$9)/Assumptions!$B$10,"n/a")</f>
        <v>13.1486699229206</v>
      </c>
    </row>
    <row r="34" customFormat="false" ht="15" hidden="false" customHeight="false" outlineLevel="0" collapsed="false">
      <c r="A34" s="31" t="n">
        <v>0.115</v>
      </c>
      <c r="B34" s="26" t="n">
        <f aca="false">IF($A34&gt;B$29,(SUMPRODUCT(DCF_Base!$C$19:$L$19/(1+$A34)^DCF_Base!$C$4:$L$4)+MAX(0,MIN(DCF_Base!$L$19*(1+B$29)/($A34-B$29),Assumptions!$B$12*DCF_Base!$L$19))/(1+$A34)^10+Assumptions!$B$9)/Assumptions!$B$10,"n/a")</f>
        <v>10.9446901462323</v>
      </c>
      <c r="C34" s="26" t="n">
        <f aca="false">IF($A34&gt;C$29,(SUMPRODUCT(DCF_Base!$C$19:$L$19/(1+$A34)^DCF_Base!$C$4:$L$4)+MAX(0,MIN(DCF_Base!$L$19*(1+C$29)/($A34-C$29),Assumptions!$B$12*DCF_Base!$L$19))/(1+$A34)^10+Assumptions!$B$9)/Assumptions!$B$10,"n/a")</f>
        <v>11.2280458688325</v>
      </c>
      <c r="D34" s="26" t="n">
        <f aca="false">IF($A34&gt;D$29,(SUMPRODUCT(DCF_Base!$C$19:$L$19/(1+$A34)^DCF_Base!$C$4:$L$4)+MAX(0,MIN(DCF_Base!$L$19*(1+D$29)/($A34-D$29),Assumptions!$B$12*DCF_Base!$L$19))/(1+$A34)^10+Assumptions!$B$9)/Assumptions!$B$10,"n/a")</f>
        <v>11.5447375587974</v>
      </c>
      <c r="E34" s="26" t="n">
        <f aca="false">IF($A34&gt;E$29,(SUMPRODUCT(DCF_Base!$C$19:$L$19/(1+$A34)^DCF_Base!$C$4:$L$4)+MAX(0,MIN(DCF_Base!$L$19*(1+E$29)/($A34-E$29),Assumptions!$B$12*DCF_Base!$L$19))/(1+$A34)^10+Assumptions!$B$9)/Assumptions!$B$10,"n/a")</f>
        <v>11.9010157100079</v>
      </c>
      <c r="F34" s="26" t="n">
        <f aca="false">IF($A34&gt;F$29,(SUMPRODUCT(DCF_Base!$C$19:$L$19/(1+$A34)^DCF_Base!$C$4:$L$4)+MAX(0,MIN(DCF_Base!$L$19*(1+F$29)/($A34-F$29),Assumptions!$B$12*DCF_Base!$L$19))/(1+$A34)^10+Assumptions!$B$9)/Assumptions!$B$10,"n/a")</f>
        <v>12.3047976147132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2026-09-22T06:43:23Z</dcterms:created>
  <dc:creator>openpyxl</dc:creator>
  <dc:description/>
  <dc:language>en-US</dc:language>
  <cp:lastModifiedBy/>
  <dcterms:modified xsi:type="dcterms:W3CDTF">2026-09-22T06:43:23Z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