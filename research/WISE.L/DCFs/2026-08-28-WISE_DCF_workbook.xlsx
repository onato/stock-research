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ctuals_Data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<sst xmlns="http://schemas.openxmlformats.org/spreadsheetml/2006/main" count="300" uniqueCount="191">
  <si>
    <t xml:space="preserve">WISE GROUP PLC (WISE) - DCF MODEL</t>
  </si>
  <si>
    <t xml:space="preserve">Lineage</t>
  </si>
  <si>
    <t xml:space="preserve">v1.0, built 28-Aug-2026 by Claude (Opus 4.6) with Stephen via claude.ai, following the equity-deep-dive -&gt; tech-dcf-workbook route. Fresh build; no prior WISE workbook exists. openpyxl; recalculated in LibreOffice; key outputs hand-checked.</t>
  </si>
  <si>
    <t xml:space="preserve">DATA VINTAGE</t>
  </si>
  <si>
    <t xml:space="preserve">FY0 anchors (FY26, yr to 31-Mar-26)</t>
  </si>
  <si>
    <t xml:space="preserve">FY26 results release 25-Jun-26 and Form 20-F filed same day (SEC EDGAR, accession 0001193125-26-282911). Net revenue $2,502.8m; income before tax $660.4m (26.4% margin); net income ~$498.7m.</t>
  </si>
  <si>
    <t xml:space="preserve">Revenue build tie-out</t>
  </si>
  <si>
    <t xml:space="preserve">Company quarterly table in the FY26 release: FY26 cross-border revenue $1,257.0m + card/other $636.6m + net interest income $609.2m = $2,502.8m, ties exactly to reported net revenue. Same check passes for FY25 ($2,098.9m).</t>
  </si>
  <si>
    <t xml:space="preserve">FY1 guidance (FY27)</t>
  </si>
  <si>
    <t xml:space="preserve">Given 25-Jun-26: net revenue growth around the MIDDLE of the 15-20% medium-term range on a constant-currency basis; income before tax margin around the TOP of the 20-25% range. Assumes no material change in interest paid to customers or central-bank rates.</t>
  </si>
  <si>
    <t xml:space="preserve">Latest quarter</t>
  </si>
  <si>
    <t xml:space="preserve">Q1 FY27 (qtr to 30-Jun-26), released 16-Jul-26: net revenue $714.0m (+25% YoY), transaction revenue $540.9m (+27%), cross-border volume $69.3bn (+26%), active customers 11.9m (+21%), customer holdings $41.2bn (+31%), take rate 50bps (-2bps YoY), 77% instant.</t>
  </si>
  <si>
    <t xml:space="preserve">Balance sheet 31-Mar-26</t>
  </si>
  <si>
    <t xml:space="preserve">Form 20-F: cash and equivalents $27,802.2m; AFS debt securities $4,582.7m; funds payable and amounts due to customers $30,254.2m; short-term debt $6.0m; total assets $33,259.8m; total equity ~$2,253.9m.</t>
  </si>
  <si>
    <t xml:space="preserve">Shares</t>
  </si>
  <si>
    <t xml:space="preserve">Diluted weighted-average FY26 1,019m. EST held 37.7m shares at 31-Mar-26 (deducted from both basic and diluted EPS). FY26: $470m spent on 35.9m shares into the EST.</t>
  </si>
  <si>
    <t xml:space="preserve">Price</t>
  </si>
  <si>
    <t xml:space="preserve">WSE (Nasdaq) $13.12, close 27-Aug-26; 52-week range $10.36-17.47. LSE line WISE ~860-905p over Aug-26 depending on source/date. Model is built and reported in USD.</t>
  </si>
  <si>
    <t xml:space="preserve">Regulatory / legal file</t>
  </si>
  <si>
    <t xml:space="preserve">July 2025 six-state multistate consent order, $4.2m, re Wise US AML/CFT (late SARs, transaction-monitoring data integrity, missing independent review). OCC Corporate Decision #1381, 21-Jul-26, DENIED the national trust bank charter; Wise intends to refile under a GENIUS Act framework. Belgian criminal investigation into Wise Europe disclosed Jun-26, examining &gt;EUR500m of allegedly suspicious transactions. US securities class actions filed Aug-26, class period 11-May-26 to 23-Jul-26, lead-plaintiff deadline 29-Sep-26.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</si>
  <si>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</si>
  <si>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</si>
  <si>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cash tax ramps from the current sheltered rate to a normalized ~21%; D&amp;A and capex as % of revenue; working capital = -2% of the YoY revenue increase (set for this business model); diluted shares held FLAT (SBC expensing substitutes for grant dilution; never do both). TV = Gordon capped at 20x terminal owner FCF. End-of-year discounting. WACC 10.5%. Street-convention values (SBC as non-cash) shown as memos - the house/street pair is the accounting-regime price band.</t>
  </si>
  <si>
    <t xml:space="preserve">Scenario drivers</t>
  </si>
  <si>
    <t xml:space="preserve">Scenario axes and driver paths set by Claude 28-Aug-2026 from the equity-deep-dive research, signed off by Stephen at the Stage-2 checkpoint the same day. Stephen set the probability weights at 20/50/30 (vs the 15/50/35 house default), raising the bear weight explicitly because of the live Belgian criminal investigation and the OCC charter denial. The central modelling judgment is the IBT-margin destination: management targets 15-20% including paying out 80% of interest income above a 1% yield to customers, but says that until it can substantially do so it expects to report 20-25%; FY26 printed 26.4%. Bear assumes the payout arrives, Bull assumes it never structurally does, Base splits the difference. NOT independently re-derived: D&amp;A% and capex% are estimated from the PP&amp;E roll-forward, and the SBC run-rate is inferred from the recurring EST programme - replace all three with reported figures from the 20-F cash-flow statement when read in full.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</si>
  <si>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</si>
  <si>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</si>
  <si>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</si>
  <si>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</si>
  <si>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</si>
  <si>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WISE - Reported actuals, balance sheet and guidance</t>
  </si>
  <si>
    <t xml:space="preserve">All figures USD millions, US GAAP, fiscal year ends 31 March. Blue = reported/hardcoded. Black = live check formula.</t>
  </si>
  <si>
    <t xml:space="preserve">Quarterly revenue build ($mm)</t>
  </si>
  <si>
    <t xml:space="preserve">Q1 FY25</t>
  </si>
  <si>
    <t xml:space="preserve">Q2 FY25</t>
  </si>
  <si>
    <t xml:space="preserve">Q3 FY25</t>
  </si>
  <si>
    <t xml:space="preserve">Q4 FY25</t>
  </si>
  <si>
    <t xml:space="preserve">Q1 FY26</t>
  </si>
  <si>
    <t xml:space="preserve">Q2 FY26</t>
  </si>
  <si>
    <t xml:space="preserve">Q3 FY26</t>
  </si>
  <si>
    <t xml:space="preserve">Q4 FY26</t>
  </si>
  <si>
    <t xml:space="preserve">Source</t>
  </si>
  <si>
    <t xml:space="preserve">Cross-border revenue</t>
  </si>
  <si>
    <t xml:space="preserve">Historical quarterly financials table, FY26 results release 25-Jun-26</t>
  </si>
  <si>
    <t xml:space="preserve">Card and other revenue</t>
  </si>
  <si>
    <t xml:space="preserve">Interest income on customer balances</t>
  </si>
  <si>
    <t xml:space="preserve">Interest expense on customer liabilities</t>
  </si>
  <si>
    <t xml:space="preserve">Net revenue (sum)</t>
  </si>
  <si>
    <t xml:space="preserve">Active customers (thousand)</t>
  </si>
  <si>
    <t xml:space="preserve">Cross-border volume ($bn)</t>
  </si>
  <si>
    <t xml:space="preserve">Customer balances ($bn, on balance sheet)</t>
  </si>
  <si>
    <t xml:space="preserve">Cross-border take rate</t>
  </si>
  <si>
    <t xml:space="preserve">Annual tie-out ($mm)</t>
  </si>
  <si>
    <t xml:space="preserve">FY25</t>
  </si>
  <si>
    <t xml:space="preserve">FY26</t>
  </si>
  <si>
    <t xml:space="preserve">Check</t>
  </si>
  <si>
    <t xml:space="preserve">Net revenue - sum of quarters</t>
  </si>
  <si>
    <t xml:space="preserve">Net revenue - as reported</t>
  </si>
  <si>
    <t xml:space="preserve">FY26 release: net revenue $2.5bn, +19% YoY</t>
  </si>
  <si>
    <t xml:space="preserve">Difference (must be zero)</t>
  </si>
  <si>
    <t xml:space="preserve">Ties exactly on both years - revenue decomposition verified</t>
  </si>
  <si>
    <t xml:space="preserve">Income before tax</t>
  </si>
  <si>
    <t xml:space="preserve">FY26 release; 26.4% margin, above the guided 20-25%</t>
  </si>
  <si>
    <t xml:space="preserve">IBT margin</t>
  </si>
  <si>
    <t xml:space="preserve">Net income</t>
  </si>
  <si>
    <t xml:space="preserve">Down ~9% YoY despite +19% revenue - price investment and listing costs</t>
  </si>
  <si>
    <t xml:space="preserve">Implied effective tax rate</t>
  </si>
  <si>
    <t xml:space="preserve">Memo: one-off dual-listing costs in FY26 opex</t>
  </si>
  <si>
    <t xml:space="preserve">c.$45m per FY26 analyst presentation; ex-listing IBT margin ~28%</t>
  </si>
  <si>
    <t xml:space="preserve">Balance sheet at 31-Mar-26 ($mm) and net-cash derivation</t>
  </si>
  <si>
    <t xml:space="preserve">Cash and cash equivalents</t>
  </si>
  <si>
    <t xml:space="preserve">Form 20-F consolidated statement of financial position</t>
  </si>
  <si>
    <t xml:space="preserve">add: available-for-sale debt securities</t>
  </si>
  <si>
    <t xml:space="preserve">Note 11</t>
  </si>
  <si>
    <t xml:space="preserve">less: funds payable and amounts due to customers</t>
  </si>
  <si>
    <t xml:space="preserve">Note 16 - customer float, NOT owner capital</t>
  </si>
  <si>
    <t xml:space="preserve">less: short-term debt</t>
  </si>
  <si>
    <t xml:space="preserve">Note 17</t>
  </si>
  <si>
    <t xml:space="preserve">Own corporate net cash</t>
  </si>
  <si>
    <t xml:space="preserve">Method validated: same calc on the FY25 balance sheet gives $1,800m, which is the company's own stated corporate cash of GBP1,430.2m at the Mar-25 rate</t>
  </si>
  <si>
    <t xml:space="preserve">less: haircut for locked regulatory capital</t>
  </si>
  <si>
    <t xml:space="preserve">Judgment. Wise's capital-allocation slide puts regulatory capital as the FIRST call on cash. Set Assumptions!B9 to B32 above to remove the haircut</t>
  </si>
  <si>
    <t xml:space="preserve">Net cash used in the model</t>
  </si>
  <si>
    <t xml:space="preserve">Memo: total equity</t>
  </si>
  <si>
    <t xml:space="preserve">Cross-check: own net cash approximates book equity, as expected for an asset-light EMI</t>
  </si>
  <si>
    <t xml:space="preserve">Shares, buyback and guidance</t>
  </si>
  <si>
    <t xml:space="preserve">Diluted weighted-average shares FY26 (mm)</t>
  </si>
  <si>
    <t xml:space="preserve">Held FLAT in the model - SBC is expensed instead</t>
  </si>
  <si>
    <t xml:space="preserve">Shares held in the Employee Share Trust (mm)</t>
  </si>
  <si>
    <t xml:space="preserve">At 31-Mar-26; deducted from basic and diluted EPS</t>
  </si>
  <si>
    <t xml:space="preserve">FY26 EST purchases ($mm)</t>
  </si>
  <si>
    <t xml:space="preserve">35.9m shares, to eliminate dilution from historic options</t>
  </si>
  <si>
    <t xml:space="preserve">New share purchase programme ($mm)</t>
  </si>
  <si>
    <t xml:space="preserve">Announced 25-Jun-26; c.40% recurring EST, so c.60% genuine return</t>
  </si>
  <si>
    <t xml:space="preserve">FY27 guidance (given 25-Jun-26)</t>
  </si>
  <si>
    <t xml:space="preserve">Net revenue growth around the middle of 15-20% cc; IBT margin around the top of 20-25%. Medium-term: net revenue CAGR 15-20% off FY24, IBT margin 15-20% once 80% of interest above a 1% yield is paid out to customers.</t>
  </si>
  <si>
    <t xml:space="preserve">WISE - Global Assumptions &amp; Scenario Parameters</t>
  </si>
  <si>
    <t xml:space="preserve">Blue = hardcoded input. Yellow = key levers. All $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</si>
  <si>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</si>
  <si>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</si>
  <si>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</si>
  <si>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</si>
  <si>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</si>
  <si>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</si>
  <si>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($mm)</t>
  </si>
  <si>
    <t xml:space="preserve">own corporate cash 31-Mar-26: cash 27,802.2 + AFS 4,582.7 - customer funds payable 30,254.2 - ST debt 6.0 = 2,124.7; haircut to 1,700 for locked regulatory capital</t>
  </si>
  <si>
    <t xml:space="preserve">Fully diluted shares (mm)</t>
  </si>
  <si>
    <t xml:space="preserve">diluted weighted-average FY26, 1,019m; held flat (SBC expensed)</t>
  </si>
  <si>
    <t xml:space="preserve">Current share price</t>
  </si>
  <si>
    <t xml:space="preserve">WSE Nasdaq close 27-Aug-26 (Robinhood); LSE line ~860-905p, FX-dependent</t>
  </si>
  <si>
    <t xml:space="preserve">Terminal value cap (x terminal-year owner FCF)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</si>
  <si>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</si>
  <si>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</si>
  <si>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</si>
  <si>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</si>
  <si>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</si>
  <si>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</si>
  <si>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</si>
  <si>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</si>
  <si>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Belgian probe and/or successor actions bring EEA operational restrictions plus a material settlement; compliance opex steps up permanently and the second US charter attempt fails. Stablecoin-priced competition forces faster take-rate cuts. The 80%-of-interest-above-1% payout to customers arrives, dragging IBT margin to the 15-20% band and below. Growth fades to low single digits.</t>
  </si>
  <si>
    <t xml:space="preserve">Legal items resolve as settlements and remediation over 12-24 months with no operational restriction. Volume compounds ~20% then decelerates on the law of large numbers; take rate glides ~1-1.5bps/yr lower with card and Wise Platform partly offsetting. Balances keep compounding so net interest income holds up despite lower yields. IBT margin settles ~20-22% - inside the reported band, below FY26's 26.4% high-water mark.</t>
  </si>
  <si>
    <t xml:space="preserve">Wise Platform and Business extend the S-curve; direct scheme connections keep unit costs falling faster than price. A GENIUS-Act charter eventually lands, cutting US rail cost. Balances pass $60bn and geographical restrictions mean the interest payout never structurally arrives, so IBT margin holds 24-25%. Legal items close for immaterial sums.</t>
  </si>
  <si>
    <t xml:space="preserve">WISE DCF - Bear - regulatory clip + payout arrives</t>
  </si>
  <si>
    <t xml:space="preserve">Owner-FCF basis: SBC fully expensed, interest income excluded, share count flat. Blue rows = per-year drivers (edit).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</si>
  <si>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</si>
  <si>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</si>
  <si>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</si>
  <si>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</si>
  <si>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</si>
  <si>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</si>
  <si>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</si>
  <si>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</si>
  <si>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</si>
  <si>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</si>
  <si>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</si>
  <si>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</si>
  <si>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</si>
  <si>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</si>
  <si>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</si>
  <si>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</si>
  <si>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</si>
  <si>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</si>
  <si>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</si>
  <si>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</si>
  <si>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</si>
  <si>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</si>
  <si>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</si>
  <si>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</si>
  <si>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</si>
  <si>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</si>
  <si>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</si>
  <si>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</si>
  <si>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</si>
  <si>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</si>
  <si>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</si>
  <si>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</si>
  <si>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</si>
  <si>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</si>
  <si>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</si>
  <si>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</si>
  <si>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two, floored at 0)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</si>
  <si>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</si>
  <si>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</si>
  <si>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</si>
  <si>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</si>
  <si>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</si>
  <si>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</si>
  <si>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</si>
  <si>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</si>
  <si>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</si>
  <si>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</si>
  <si>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WISE DCF - Base - fines not restrictions; margin normalises</t>
  </si>
  <si>
    <t xml:space="preserve">WISE DCF - Bull - the network compounds; payout never arrives</t>
  </si>
  <si>
    <t xml:space="preserve">WISE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</si>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</sst>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;&quot;($&quot;#,##0.0\);\-"/>
    <numFmt numFmtId="166" formatCode="#,##0"/>
    <numFmt numFmtId="167" formatCode="#,##0.0"/>
    <numFmt numFmtId="168" formatCode="0.00%"/>
    <numFmt numFmtId="169" formatCode="0.0%"/>
    <numFmt numFmtId="170" formatCode="\$#,##0.00;&quot;($&quot;#,##0.00\);\-"/>
    <numFmt numFmtId="171" formatCode="0\x"/>
    <numFmt numFmtId="172" formatCode="\$#,##0;&quot;($&quot;#,##0\);\-"/>
    <numFmt numFmtId="173" formatCode="0.000"/>
    <numFmt numFmtId="174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2"/>
  </cols>
  <sheetData>
    <row r="1" customFormat="false" ht="16.15" hidden="false" customHeight="false" outlineLevel="0" collapsed="false">
      <c r="A1" s="1" t="s">
        <v>0</v>
      </c>
    </row>
    <row r="3" customFormat="false" ht="22.3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4" t="s">
        <v>3</v>
      </c>
    </row>
    <row r="6" customFormat="false" ht="22.35" hidden="false" customHeight="false" outlineLevel="0" collapsed="false">
      <c r="A6" s="2" t="s">
        <v>4</v>
      </c>
      <c r="B6" s="3" t="s">
        <v>5</v>
      </c>
    </row>
    <row r="7" customFormat="false" ht="22.35" hidden="false" customHeight="false" outlineLevel="0" collapsed="false">
      <c r="A7" s="2" t="s">
        <v>6</v>
      </c>
      <c r="B7" s="3" t="s">
        <v>7</v>
      </c>
    </row>
    <row r="8" customFormat="false" ht="22.35" hidden="false" customHeight="false" outlineLevel="0" collapsed="false">
      <c r="A8" s="2" t="s">
        <v>8</v>
      </c>
      <c r="B8" s="3" t="s">
        <v>9</v>
      </c>
    </row>
    <row r="9" customFormat="false" ht="22.35" hidden="false" customHeight="false" outlineLevel="0" collapsed="false">
      <c r="A9" s="2" t="s">
        <v>10</v>
      </c>
      <c r="B9" s="3" t="s">
        <v>11</v>
      </c>
    </row>
    <row r="10" customFormat="false" ht="22.35" hidden="false" customHeight="false" outlineLevel="0" collapsed="false">
      <c r="A10" s="2" t="s">
        <v>12</v>
      </c>
      <c r="B10" s="3" t="s">
        <v>13</v>
      </c>
    </row>
    <row r="11" customFormat="false" ht="22.35" hidden="false" customHeight="false" outlineLevel="0" collapsed="false">
      <c r="A11" s="2" t="s">
        <v>14</v>
      </c>
      <c r="B11" s="3" t="s">
        <v>15</v>
      </c>
    </row>
    <row r="12" customFormat="false" ht="22.35" hidden="false" customHeight="false" outlineLevel="0" collapsed="false">
      <c r="A12" s="2" t="s">
        <v>16</v>
      </c>
      <c r="B12" s="3" t="s">
        <v>17</v>
      </c>
    </row>
    <row r="13" customFormat="false" ht="43.25" hidden="false" customHeight="false" outlineLevel="0" collapsed="false">
      <c r="A13" s="2" t="s">
        <v>18</v>
      </c>
      <c r="B13" s="3" t="s">
        <v>19</v>
      </c>
    </row>
    <row r="15" customFormat="false" ht="15" hidden="false" customHeight="false" outlineLevel="0" collapsed="false">
      <c r="A15" s="4" t="s">
        <v>20</v>
      </c>
    </row>
    <row r="16" customFormat="false" ht="53.7" hidden="false" customHeight="false" outlineLevel="0" collapsed="false">
      <c r="A16" s="2" t="s">
        <v>21</v>
      </c>
      <c r="B16" s="3" t="s">
        <v>22</v>
      </c>
    </row>
    <row r="17" customFormat="false" ht="74.6" hidden="false" customHeight="false" outlineLevel="0" collapsed="false">
      <c r="A17" s="2" t="s">
        <v>23</v>
      </c>
      <c r="B17" s="3" t="s">
        <v>24</v>
      </c>
    </row>
    <row r="19" customFormat="false" ht="15" hidden="false" customHeight="false" outlineLevel="0" collapsed="false">
      <c r="A19" s="4" t="s">
        <v>25</v>
      </c>
    </row>
    <row r="20" customFormat="false" ht="22.35" hidden="false" customHeight="false" outlineLevel="0" collapsed="false">
      <c r="A20" s="2" t="s">
        <v>26</v>
      </c>
      <c r="B20" s="3" t="s">
        <v>27</v>
      </c>
    </row>
    <row r="21" customFormat="false" ht="15" hidden="false" customHeight="false" outlineLevel="0" collapsed="false">
      <c r="A21" s="2" t="s">
        <v>28</v>
      </c>
      <c r="B21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.5"/>
    <col collapsed="false" customWidth="true" hidden="false" outlineLevel="0" max="10" min="10" style="0" width="58"/>
  </cols>
  <sheetData>
    <row r="1" customFormat="false" ht="16.15" hidden="false" customHeight="false" outlineLevel="0" collapsed="false">
      <c r="A1" s="1" t="s">
        <v>30</v>
      </c>
    </row>
    <row r="2" customFormat="false" ht="15" hidden="false" customHeight="false" outlineLevel="0" collapsed="false">
      <c r="A2" s="5" t="s">
        <v>31</v>
      </c>
    </row>
    <row r="4" customFormat="false" ht="15" hidden="false" customHeight="false" outlineLevel="0" collapsed="false">
      <c r="A4" s="4" t="s">
        <v>32</v>
      </c>
    </row>
    <row r="5" customFormat="false" ht="15" hidden="false" customHeight="false" outlineLevel="0" collapsed="false"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</row>
    <row r="6" customFormat="false" ht="15" hidden="false" customHeight="false" outlineLevel="0" collapsed="false">
      <c r="A6" s="2" t="s">
        <v>42</v>
      </c>
      <c r="B6" s="7" t="n">
        <v>266.4</v>
      </c>
      <c r="C6" s="7" t="n">
        <v>270.2</v>
      </c>
      <c r="D6" s="7" t="n">
        <v>272.6</v>
      </c>
      <c r="E6" s="7" t="n">
        <v>262.5</v>
      </c>
      <c r="F6" s="7" t="n">
        <v>286.8</v>
      </c>
      <c r="G6" s="7" t="n">
        <v>305</v>
      </c>
      <c r="H6" s="7" t="n">
        <v>326.5</v>
      </c>
      <c r="I6" s="7" t="n">
        <v>338.7</v>
      </c>
      <c r="J6" s="5" t="s">
        <v>43</v>
      </c>
    </row>
    <row r="7" customFormat="false" ht="15" hidden="false" customHeight="false" outlineLevel="0" collapsed="false">
      <c r="A7" s="2" t="s">
        <v>44</v>
      </c>
      <c r="B7" s="7" t="n">
        <v>101.1</v>
      </c>
      <c r="C7" s="7" t="n">
        <v>120.9</v>
      </c>
      <c r="D7" s="7" t="n">
        <v>125.4</v>
      </c>
      <c r="E7" s="7" t="n">
        <v>127.2</v>
      </c>
      <c r="F7" s="7" t="n">
        <v>138</v>
      </c>
      <c r="G7" s="7" t="n">
        <v>153.4</v>
      </c>
      <c r="H7" s="7" t="n">
        <v>169.7</v>
      </c>
      <c r="I7" s="7" t="n">
        <v>175.5</v>
      </c>
    </row>
    <row r="8" customFormat="false" ht="15" hidden="false" customHeight="false" outlineLevel="0" collapsed="false">
      <c r="A8" s="2" t="s">
        <v>45</v>
      </c>
      <c r="B8" s="7" t="n">
        <v>187.3</v>
      </c>
      <c r="C8" s="7" t="n">
        <v>198.1</v>
      </c>
      <c r="D8" s="7" t="n">
        <v>190.6</v>
      </c>
      <c r="E8" s="7" t="n">
        <v>182.3</v>
      </c>
      <c r="F8" s="7" t="n">
        <v>196.5</v>
      </c>
      <c r="G8" s="7" t="n">
        <v>202.5</v>
      </c>
      <c r="H8" s="7" t="n">
        <v>204.5</v>
      </c>
      <c r="I8" s="7" t="n">
        <v>202.6</v>
      </c>
    </row>
    <row r="9" customFormat="false" ht="15" hidden="false" customHeight="false" outlineLevel="0" collapsed="false">
      <c r="A9" s="2" t="s">
        <v>46</v>
      </c>
      <c r="B9" s="7" t="n">
        <v>-52.1</v>
      </c>
      <c r="C9" s="7" t="n">
        <v>-56.6</v>
      </c>
      <c r="D9" s="7" t="n">
        <v>-49</v>
      </c>
      <c r="E9" s="7" t="n">
        <v>-48</v>
      </c>
      <c r="F9" s="7" t="n">
        <v>-48</v>
      </c>
      <c r="G9" s="7" t="n">
        <v>-50.4</v>
      </c>
      <c r="H9" s="7" t="n">
        <v>-49.5</v>
      </c>
      <c r="I9" s="7" t="n">
        <v>-49</v>
      </c>
    </row>
    <row r="10" customFormat="false" ht="15" hidden="false" customHeight="false" outlineLevel="0" collapsed="false">
      <c r="A10" s="2" t="s">
        <v>47</v>
      </c>
      <c r="B10" s="8" t="n">
        <f aca="false">SUM(B6:B9)</f>
        <v>502.7</v>
      </c>
      <c r="C10" s="8" t="n">
        <f aca="false">SUM(C6:C9)</f>
        <v>532.6</v>
      </c>
      <c r="D10" s="8" t="n">
        <f aca="false">SUM(D6:D9)</f>
        <v>539.6</v>
      </c>
      <c r="E10" s="8" t="n">
        <f aca="false">SUM(E6:E9)</f>
        <v>524</v>
      </c>
      <c r="F10" s="8" t="n">
        <f aca="false">SUM(F6:F9)</f>
        <v>573.3</v>
      </c>
      <c r="G10" s="8" t="n">
        <f aca="false">SUM(G6:G9)</f>
        <v>610.5</v>
      </c>
      <c r="H10" s="8" t="n">
        <f aca="false">SUM(H6:H9)</f>
        <v>651.2</v>
      </c>
      <c r="I10" s="8" t="n">
        <f aca="false">SUM(I6:I9)</f>
        <v>667.8</v>
      </c>
    </row>
    <row r="11" customFormat="false" ht="15" hidden="false" customHeight="false" outlineLevel="0" collapsed="false">
      <c r="A11" s="2" t="s">
        <v>48</v>
      </c>
      <c r="B11" s="9" t="n">
        <v>8374</v>
      </c>
      <c r="C11" s="9" t="n">
        <v>8892</v>
      </c>
      <c r="D11" s="9" t="n">
        <v>9047</v>
      </c>
      <c r="E11" s="9" t="n">
        <v>9290</v>
      </c>
      <c r="F11" s="9" t="n">
        <v>9797</v>
      </c>
      <c r="G11" s="9" t="n">
        <v>10440</v>
      </c>
      <c r="H11" s="9" t="n">
        <v>10896</v>
      </c>
      <c r="I11" s="9" t="n">
        <v>11290</v>
      </c>
    </row>
    <row r="12" customFormat="false" ht="15" hidden="false" customHeight="false" outlineLevel="0" collapsed="false">
      <c r="A12" s="2" t="s">
        <v>49</v>
      </c>
      <c r="B12" s="10" t="n">
        <v>41.9</v>
      </c>
      <c r="C12" s="10" t="n">
        <v>45.7</v>
      </c>
      <c r="D12" s="10" t="n">
        <v>48.4</v>
      </c>
      <c r="E12" s="10" t="n">
        <v>49.2</v>
      </c>
      <c r="F12" s="10" t="n">
        <v>55</v>
      </c>
      <c r="G12" s="10" t="n">
        <v>59</v>
      </c>
      <c r="H12" s="10" t="n">
        <v>63.1</v>
      </c>
      <c r="I12" s="10" t="n">
        <v>66.5</v>
      </c>
    </row>
    <row r="13" customFormat="false" ht="15" hidden="false" customHeight="false" outlineLevel="0" collapsed="false">
      <c r="A13" s="2" t="s">
        <v>50</v>
      </c>
      <c r="B13" s="10" t="n">
        <v>17.8</v>
      </c>
      <c r="C13" s="10" t="n">
        <v>19.6</v>
      </c>
      <c r="D13" s="10" t="n">
        <v>20.3</v>
      </c>
      <c r="E13" s="10" t="n">
        <v>22</v>
      </c>
      <c r="F13" s="10" t="n">
        <v>24.9</v>
      </c>
      <c r="G13" s="10" t="n">
        <v>26.4</v>
      </c>
      <c r="H13" s="10" t="n">
        <v>28.5</v>
      </c>
      <c r="I13" s="10" t="n">
        <v>30</v>
      </c>
    </row>
    <row r="14" customFormat="false" ht="15" hidden="false" customHeight="false" outlineLevel="0" collapsed="false">
      <c r="A14" s="2" t="s">
        <v>51</v>
      </c>
      <c r="B14" s="11" t="n">
        <v>0.0064</v>
      </c>
      <c r="C14" s="11" t="n">
        <v>0.0059</v>
      </c>
      <c r="D14" s="11" t="n">
        <v>0.0056</v>
      </c>
      <c r="E14" s="11" t="n">
        <v>0.0053</v>
      </c>
      <c r="F14" s="11" t="n">
        <v>0.0052</v>
      </c>
      <c r="G14" s="11" t="n">
        <v>0.0052</v>
      </c>
      <c r="H14" s="11" t="n">
        <v>0.0052</v>
      </c>
      <c r="I14" s="11" t="n">
        <v>0.0051</v>
      </c>
    </row>
    <row r="16" customFormat="false" ht="15" hidden="false" customHeight="false" outlineLevel="0" collapsed="false">
      <c r="A16" s="4" t="s">
        <v>52</v>
      </c>
    </row>
    <row r="17" customFormat="false" ht="15" hidden="false" customHeight="false" outlineLevel="0" collapsed="false">
      <c r="B17" s="6" t="s">
        <v>53</v>
      </c>
      <c r="C17" s="6" t="s">
        <v>54</v>
      </c>
      <c r="J17" s="6" t="s">
        <v>55</v>
      </c>
    </row>
    <row r="18" customFormat="false" ht="15" hidden="false" customHeight="false" outlineLevel="0" collapsed="false">
      <c r="A18" s="2" t="s">
        <v>56</v>
      </c>
      <c r="B18" s="12" t="n">
        <f aca="false">SUM(B10:E10)</f>
        <v>2098.9</v>
      </c>
      <c r="C18" s="12" t="n">
        <f aca="false">SUM(F10:I10)</f>
        <v>2502.8</v>
      </c>
    </row>
    <row r="19" customFormat="false" ht="15" hidden="false" customHeight="false" outlineLevel="0" collapsed="false">
      <c r="A19" s="2" t="s">
        <v>57</v>
      </c>
      <c r="B19" s="7" t="n">
        <v>2098.9</v>
      </c>
      <c r="C19" s="7" t="n">
        <v>2502.8</v>
      </c>
      <c r="J19" s="5" t="s">
        <v>58</v>
      </c>
    </row>
    <row r="20" customFormat="false" ht="15" hidden="false" customHeight="false" outlineLevel="0" collapsed="false">
      <c r="A20" s="2" t="s">
        <v>59</v>
      </c>
      <c r="B20" s="12" t="n">
        <f aca="false">B18-B19</f>
        <v>0</v>
      </c>
      <c r="C20" s="12" t="n">
        <f aca="false">C18-C19</f>
        <v>0</v>
      </c>
      <c r="J20" s="5" t="s">
        <v>60</v>
      </c>
    </row>
    <row r="21" customFormat="false" ht="15" hidden="false" customHeight="false" outlineLevel="0" collapsed="false">
      <c r="A21" s="2" t="s">
        <v>61</v>
      </c>
      <c r="C21" s="7" t="n">
        <v>660.4</v>
      </c>
      <c r="J21" s="5" t="s">
        <v>62</v>
      </c>
    </row>
    <row r="22" customFormat="false" ht="15" hidden="false" customHeight="false" outlineLevel="0" collapsed="false">
      <c r="A22" s="2" t="s">
        <v>63</v>
      </c>
      <c r="C22" s="13" t="n">
        <f aca="false">C21/C19</f>
        <v>0.263864471791593</v>
      </c>
    </row>
    <row r="23" customFormat="false" ht="15" hidden="false" customHeight="false" outlineLevel="0" collapsed="false">
      <c r="A23" s="2" t="s">
        <v>64</v>
      </c>
      <c r="C23" s="7" t="n">
        <v>498.7</v>
      </c>
      <c r="J23" s="5" t="s">
        <v>65</v>
      </c>
    </row>
    <row r="24" customFormat="false" ht="15" hidden="false" customHeight="false" outlineLevel="0" collapsed="false">
      <c r="A24" s="2" t="s">
        <v>66</v>
      </c>
      <c r="C24" s="13" t="n">
        <f aca="false">1-C23/C21</f>
        <v>0.244851605087826</v>
      </c>
    </row>
    <row r="25" customFormat="false" ht="15" hidden="false" customHeight="false" outlineLevel="0" collapsed="false">
      <c r="A25" s="2" t="s">
        <v>67</v>
      </c>
      <c r="C25" s="7" t="n">
        <v>45</v>
      </c>
      <c r="J25" s="5" t="s">
        <v>68</v>
      </c>
    </row>
    <row r="27" customFormat="false" ht="15" hidden="false" customHeight="false" outlineLevel="0" collapsed="false">
      <c r="A27" s="4" t="s">
        <v>69</v>
      </c>
    </row>
    <row r="28" customFormat="false" ht="15" hidden="false" customHeight="false" outlineLevel="0" collapsed="false">
      <c r="A28" s="2" t="s">
        <v>70</v>
      </c>
      <c r="B28" s="7" t="n">
        <v>27802.2</v>
      </c>
      <c r="J28" s="5" t="s">
        <v>71</v>
      </c>
    </row>
    <row r="29" customFormat="false" ht="15" hidden="false" customHeight="false" outlineLevel="0" collapsed="false">
      <c r="A29" s="2" t="s">
        <v>72</v>
      </c>
      <c r="B29" s="7" t="n">
        <v>4582.7</v>
      </c>
      <c r="J29" s="5" t="s">
        <v>73</v>
      </c>
    </row>
    <row r="30" customFormat="false" ht="15" hidden="false" customHeight="false" outlineLevel="0" collapsed="false">
      <c r="A30" s="2" t="s">
        <v>74</v>
      </c>
      <c r="B30" s="7" t="n">
        <v>-30254.2</v>
      </c>
      <c r="J30" s="5" t="s">
        <v>75</v>
      </c>
    </row>
    <row r="31" customFormat="false" ht="15" hidden="false" customHeight="false" outlineLevel="0" collapsed="false">
      <c r="A31" s="2" t="s">
        <v>76</v>
      </c>
      <c r="B31" s="7" t="n">
        <v>-6</v>
      </c>
      <c r="J31" s="5" t="s">
        <v>77</v>
      </c>
    </row>
    <row r="32" customFormat="false" ht="15" hidden="false" customHeight="false" outlineLevel="0" collapsed="false">
      <c r="A32" s="2" t="s">
        <v>78</v>
      </c>
      <c r="B32" s="8" t="n">
        <f aca="false">SUM(B28:B31)</f>
        <v>2124.7</v>
      </c>
      <c r="J32" s="5" t="s">
        <v>79</v>
      </c>
    </row>
    <row r="33" customFormat="false" ht="15" hidden="false" customHeight="false" outlineLevel="0" collapsed="false">
      <c r="A33" s="2" t="s">
        <v>80</v>
      </c>
      <c r="B33" s="14" t="n">
        <f aca="false">Assumptions!$B$9-B32</f>
        <v>-424.7</v>
      </c>
      <c r="J33" s="5" t="s">
        <v>81</v>
      </c>
    </row>
    <row r="34" customFormat="false" ht="15" hidden="false" customHeight="false" outlineLevel="0" collapsed="false">
      <c r="A34" s="2" t="s">
        <v>82</v>
      </c>
      <c r="B34" s="14" t="n">
        <f aca="false">Assumptions!$B$9</f>
        <v>1700</v>
      </c>
    </row>
    <row r="35" customFormat="false" ht="15" hidden="false" customHeight="false" outlineLevel="0" collapsed="false">
      <c r="A35" s="2" t="s">
        <v>83</v>
      </c>
      <c r="B35" s="7" t="n">
        <v>2253.9</v>
      </c>
      <c r="J35" s="5" t="s">
        <v>84</v>
      </c>
    </row>
    <row r="37" customFormat="false" ht="15" hidden="false" customHeight="false" outlineLevel="0" collapsed="false">
      <c r="A37" s="4" t="s">
        <v>85</v>
      </c>
    </row>
    <row r="38" customFormat="false" ht="15" hidden="false" customHeight="false" outlineLevel="0" collapsed="false">
      <c r="A38" s="2" t="s">
        <v>86</v>
      </c>
      <c r="B38" s="10" t="n">
        <v>1019</v>
      </c>
      <c r="J38" s="5" t="s">
        <v>87</v>
      </c>
    </row>
    <row r="39" customFormat="false" ht="15" hidden="false" customHeight="false" outlineLevel="0" collapsed="false">
      <c r="A39" s="2" t="s">
        <v>88</v>
      </c>
      <c r="B39" s="10" t="n">
        <v>37.7</v>
      </c>
      <c r="J39" s="5" t="s">
        <v>89</v>
      </c>
    </row>
    <row r="40" customFormat="false" ht="15" hidden="false" customHeight="false" outlineLevel="0" collapsed="false">
      <c r="A40" s="2" t="s">
        <v>90</v>
      </c>
      <c r="B40" s="7" t="n">
        <v>470</v>
      </c>
      <c r="J40" s="5" t="s">
        <v>91</v>
      </c>
    </row>
    <row r="41" customFormat="false" ht="15" hidden="false" customHeight="false" outlineLevel="0" collapsed="false">
      <c r="A41" s="2" t="s">
        <v>92</v>
      </c>
      <c r="B41" s="7" t="n">
        <v>500</v>
      </c>
      <c r="J41" s="5" t="s">
        <v>93</v>
      </c>
    </row>
    <row r="43" customFormat="false" ht="30" hidden="false" customHeight="true" outlineLevel="0" collapsed="false">
      <c r="A43" s="2" t="s">
        <v>94</v>
      </c>
      <c r="B43" s="15" t="s">
        <v>95</v>
      </c>
      <c r="C43" s="15"/>
      <c r="D43" s="15"/>
      <c r="E43" s="15"/>
      <c r="F43" s="15"/>
      <c r="G43" s="15"/>
      <c r="H43" s="15"/>
      <c r="I43" s="15"/>
      <c r="J43" s="15"/>
    </row>
  </sheetData>
  <mergeCells count="1">
    <mergeCell ref="B43:J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96</v>
      </c>
    </row>
    <row r="2" customFormat="false" ht="15" hidden="false" customHeight="false" outlineLevel="0" collapsed="false">
      <c r="A2" s="5" t="s">
        <v>97</v>
      </c>
    </row>
    <row r="4" customFormat="false" ht="15" hidden="false" customHeight="false" outlineLevel="0" collapsed="false">
      <c r="A4" s="4" t="s">
        <v>98</v>
      </c>
    </row>
    <row r="5" customFormat="false" ht="15" hidden="false" customHeight="false" outlineLevel="0" collapsed="false">
      <c r="A5" s="2" t="s">
        <v>99</v>
      </c>
      <c r="B5" s="16" t="n">
        <v>0.105</v>
      </c>
      <c r="H5" s="5"/>
    </row>
    <row r="6" customFormat="false" ht="15" hidden="false" customHeight="false" outlineLevel="0" collapsed="false">
      <c r="A6" s="2" t="s">
        <v>100</v>
      </c>
      <c r="B6" s="16" t="n">
        <v>0.028</v>
      </c>
      <c r="H6" s="5"/>
    </row>
    <row r="7" customFormat="false" ht="15" hidden="false" customHeight="false" outlineLevel="0" collapsed="false">
      <c r="A7" s="2" t="s">
        <v>101</v>
      </c>
      <c r="B7" s="16" t="n">
        <v>0.04</v>
      </c>
      <c r="H7" s="5"/>
    </row>
    <row r="8" customFormat="false" ht="15" hidden="false" customHeight="false" outlineLevel="0" collapsed="false">
      <c r="A8" s="2" t="s">
        <v>102</v>
      </c>
      <c r="B8" s="16" t="n">
        <v>-0.02</v>
      </c>
      <c r="H8" s="5" t="s">
        <v>103</v>
      </c>
    </row>
    <row r="9" customFormat="false" ht="15" hidden="false" customHeight="false" outlineLevel="0" collapsed="false">
      <c r="A9" s="2" t="s">
        <v>104</v>
      </c>
      <c r="B9" s="17" t="n">
        <v>1700</v>
      </c>
      <c r="H9" s="5" t="s">
        <v>105</v>
      </c>
    </row>
    <row r="10" customFormat="false" ht="15" hidden="false" customHeight="false" outlineLevel="0" collapsed="false">
      <c r="A10" s="2" t="s">
        <v>106</v>
      </c>
      <c r="B10" s="18" t="n">
        <v>1019</v>
      </c>
      <c r="H10" s="5" t="s">
        <v>107</v>
      </c>
    </row>
    <row r="11" customFormat="false" ht="15" hidden="false" customHeight="false" outlineLevel="0" collapsed="false">
      <c r="A11" s="2" t="s">
        <v>108</v>
      </c>
      <c r="B11" s="19" t="n">
        <v>13.12</v>
      </c>
      <c r="H11" s="5" t="s">
        <v>109</v>
      </c>
    </row>
    <row r="12" customFormat="false" ht="15" hidden="false" customHeight="false" outlineLevel="0" collapsed="false">
      <c r="A12" s="2" t="s">
        <v>110</v>
      </c>
      <c r="B12" s="20" t="n">
        <v>20</v>
      </c>
      <c r="H12" s="5"/>
    </row>
    <row r="14" customFormat="false" ht="15" hidden="false" customHeight="false" outlineLevel="0" collapsed="false">
      <c r="A14" s="4" t="s">
        <v>111</v>
      </c>
      <c r="C14" s="6" t="s">
        <v>112</v>
      </c>
      <c r="D14" s="6" t="s">
        <v>113</v>
      </c>
      <c r="E14" s="6" t="s">
        <v>114</v>
      </c>
    </row>
    <row r="15" customFormat="false" ht="15" hidden="false" customHeight="false" outlineLevel="0" collapsed="false">
      <c r="A15" s="2" t="s">
        <v>115</v>
      </c>
      <c r="C15" s="16" t="n">
        <v>0.015</v>
      </c>
      <c r="D15" s="16" t="n">
        <v>0.03</v>
      </c>
      <c r="E15" s="16" t="n">
        <v>0.035</v>
      </c>
    </row>
    <row r="16" customFormat="false" ht="15" hidden="false" customHeight="false" outlineLevel="0" collapsed="false">
      <c r="A16" s="2" t="s">
        <v>116</v>
      </c>
      <c r="C16" s="16" t="n">
        <v>0.2</v>
      </c>
      <c r="D16" s="16" t="n">
        <v>0.5</v>
      </c>
      <c r="E16" s="16" t="n">
        <v>0.3</v>
      </c>
      <c r="F16" s="13" t="n">
        <f aca="false">SUM(C16:E16)</f>
        <v>1</v>
      </c>
      <c r="G16" s="5" t="s">
        <v>117</v>
      </c>
    </row>
    <row r="18" customFormat="false" ht="15" hidden="false" customHeight="false" outlineLevel="0" collapsed="false">
      <c r="A18" s="4" t="s">
        <v>118</v>
      </c>
    </row>
    <row r="19" customFormat="false" ht="25.5" hidden="false" customHeight="true" outlineLevel="0" collapsed="false">
      <c r="A19" s="2" t="s">
        <v>112</v>
      </c>
      <c r="B19" s="15" t="s">
        <v>119</v>
      </c>
      <c r="C19" s="15"/>
      <c r="D19" s="15"/>
      <c r="E19" s="15"/>
      <c r="F19" s="15"/>
      <c r="G19" s="15"/>
      <c r="H19" s="15"/>
    </row>
    <row r="20" customFormat="false" ht="25.5" hidden="false" customHeight="true" outlineLevel="0" collapsed="false">
      <c r="A20" s="2" t="s">
        <v>113</v>
      </c>
      <c r="B20" s="15" t="s">
        <v>120</v>
      </c>
      <c r="C20" s="15"/>
      <c r="D20" s="15"/>
      <c r="E20" s="15"/>
      <c r="F20" s="15"/>
      <c r="G20" s="15"/>
      <c r="H20" s="15"/>
    </row>
    <row r="21" customFormat="false" ht="25.5" hidden="false" customHeight="true" outlineLevel="0" collapsed="false">
      <c r="A21" s="2" t="s">
        <v>114</v>
      </c>
      <c r="B21" s="15" t="s">
        <v>121</v>
      </c>
      <c r="C21" s="15"/>
      <c r="D21" s="15"/>
      <c r="E21" s="15"/>
      <c r="F21" s="15"/>
      <c r="G21" s="15"/>
      <c r="H21" s="15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5" t="s">
        <v>123</v>
      </c>
    </row>
    <row r="3" customFormat="false" ht="15" hidden="false" customHeight="false" outlineLevel="0" collapsed="false">
      <c r="B3" s="6" t="s">
        <v>124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129</v>
      </c>
      <c r="H3" s="6" t="s">
        <v>130</v>
      </c>
      <c r="I3" s="6" t="s">
        <v>131</v>
      </c>
      <c r="J3" s="6" t="s">
        <v>132</v>
      </c>
      <c r="K3" s="6" t="s">
        <v>133</v>
      </c>
      <c r="L3" s="6" t="s">
        <v>134</v>
      </c>
    </row>
    <row r="4" customFormat="false" ht="15" hidden="false" customHeight="false" outlineLevel="0" collapsed="false">
      <c r="A4" s="21" t="s">
        <v>135</v>
      </c>
      <c r="B4" s="21" t="n">
        <v>0</v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</row>
    <row r="5" customFormat="false" ht="15" hidden="false" customHeight="false" outlineLevel="0" collapsed="false">
      <c r="A5" s="2" t="s">
        <v>136</v>
      </c>
      <c r="C5" s="16" t="n">
        <v>0.17</v>
      </c>
      <c r="D5" s="16" t="n">
        <v>0.12</v>
      </c>
      <c r="E5" s="16" t="n">
        <v>0.09</v>
      </c>
      <c r="F5" s="16" t="n">
        <v>0.07</v>
      </c>
      <c r="G5" s="16" t="n">
        <v>0.06</v>
      </c>
      <c r="H5" s="16" t="n">
        <v>0.05</v>
      </c>
      <c r="I5" s="16" t="n">
        <v>0.04</v>
      </c>
      <c r="J5" s="16" t="n">
        <v>0.04</v>
      </c>
      <c r="K5" s="16" t="n">
        <v>0.03</v>
      </c>
      <c r="L5" s="16" t="n">
        <v>0.03</v>
      </c>
    </row>
    <row r="6" customFormat="false" ht="15" hidden="false" customHeight="false" outlineLevel="0" collapsed="false">
      <c r="A6" s="2" t="s">
        <v>137</v>
      </c>
      <c r="B6" s="22" t="n">
        <v>2502.8</v>
      </c>
      <c r="C6" s="23" t="n">
        <f aca="false">B6*(1+C5)</f>
        <v>2928.276</v>
      </c>
      <c r="D6" s="23" t="n">
        <f aca="false">C6*(1+D5)</f>
        <v>3279.66912</v>
      </c>
      <c r="E6" s="23" t="n">
        <f aca="false">D6*(1+E5)</f>
        <v>3574.8393408</v>
      </c>
      <c r="F6" s="23" t="n">
        <f aca="false">E6*(1+F5)</f>
        <v>3825.078094656</v>
      </c>
      <c r="G6" s="23" t="n">
        <f aca="false">F6*(1+G5)</f>
        <v>4054.58278033536</v>
      </c>
      <c r="H6" s="23" t="n">
        <f aca="false">G6*(1+H5)</f>
        <v>4257.31191935213</v>
      </c>
      <c r="I6" s="23" t="n">
        <f aca="false">H6*(1+I5)</f>
        <v>4427.60439612621</v>
      </c>
      <c r="J6" s="23" t="n">
        <f aca="false">I6*(1+J5)</f>
        <v>4604.70857197126</v>
      </c>
      <c r="K6" s="23" t="n">
        <f aca="false">J6*(1+K5)</f>
        <v>4742.8498291304</v>
      </c>
      <c r="L6" s="23" t="n">
        <f aca="false">K6*(1+L5)</f>
        <v>4885.13532400431</v>
      </c>
    </row>
    <row r="7" customFormat="false" ht="15" hidden="false" customHeight="false" outlineLevel="0" collapsed="false">
      <c r="A7" s="2" t="s">
        <v>138</v>
      </c>
      <c r="B7" s="24" t="n">
        <v>0.342</v>
      </c>
      <c r="C7" s="16" t="n">
        <v>0.325</v>
      </c>
      <c r="D7" s="16" t="n">
        <v>0.31</v>
      </c>
      <c r="E7" s="16" t="n">
        <v>0.295</v>
      </c>
      <c r="F7" s="16" t="n">
        <v>0.28</v>
      </c>
      <c r="G7" s="16" t="n">
        <v>0.27</v>
      </c>
      <c r="H7" s="16" t="n">
        <v>0.26</v>
      </c>
      <c r="I7" s="16" t="n">
        <v>0.255</v>
      </c>
      <c r="J7" s="16" t="n">
        <v>0.25</v>
      </c>
      <c r="K7" s="16" t="n">
        <v>0.245</v>
      </c>
      <c r="L7" s="16" t="n">
        <v>0.24</v>
      </c>
    </row>
    <row r="8" customFormat="false" ht="15" hidden="false" customHeight="false" outlineLevel="0" collapsed="false">
      <c r="A8" s="2" t="s">
        <v>139</v>
      </c>
      <c r="C8" s="23" t="n">
        <f aca="false">C6*C7</f>
        <v>951.6897</v>
      </c>
      <c r="D8" s="23" t="n">
        <f aca="false">D6*D7</f>
        <v>1016.6974272</v>
      </c>
      <c r="E8" s="23" t="n">
        <f aca="false">E6*E7</f>
        <v>1054.577605536</v>
      </c>
      <c r="F8" s="23" t="n">
        <f aca="false">F6*F7</f>
        <v>1071.02186650368</v>
      </c>
      <c r="G8" s="23" t="n">
        <f aca="false">G6*G7</f>
        <v>1094.73735069055</v>
      </c>
      <c r="H8" s="23" t="n">
        <f aca="false">H6*H7</f>
        <v>1106.90109903155</v>
      </c>
      <c r="I8" s="23" t="n">
        <f aca="false">I6*I7</f>
        <v>1129.03912101218</v>
      </c>
      <c r="J8" s="23" t="n">
        <f aca="false">J6*J7</f>
        <v>1151.17714299282</v>
      </c>
      <c r="K8" s="23" t="n">
        <f aca="false">K6*K7</f>
        <v>1161.99820813695</v>
      </c>
      <c r="L8" s="23" t="n">
        <f aca="false">L6*L7</f>
        <v>1172.43247776104</v>
      </c>
    </row>
    <row r="9" customFormat="false" ht="15" hidden="false" customHeight="false" outlineLevel="0" collapsed="false">
      <c r="A9" s="2" t="s">
        <v>140</v>
      </c>
      <c r="B9" s="24" t="n">
        <v>0.08</v>
      </c>
      <c r="C9" s="16" t="n">
        <v>0.08</v>
      </c>
      <c r="D9" s="16" t="n">
        <v>0.08</v>
      </c>
      <c r="E9" s="16" t="n">
        <v>0.078</v>
      </c>
      <c r="F9" s="16" t="n">
        <v>0.078</v>
      </c>
      <c r="G9" s="16" t="n">
        <v>0.075</v>
      </c>
      <c r="H9" s="16" t="n">
        <v>0.075</v>
      </c>
      <c r="I9" s="16" t="n">
        <v>0.073</v>
      </c>
      <c r="J9" s="16" t="n">
        <v>0.073</v>
      </c>
      <c r="K9" s="16" t="n">
        <v>0.07</v>
      </c>
      <c r="L9" s="16" t="n">
        <v>0.07</v>
      </c>
    </row>
    <row r="10" customFormat="false" ht="15" hidden="false" customHeight="false" outlineLevel="0" collapsed="false">
      <c r="A10" s="2" t="s">
        <v>141</v>
      </c>
      <c r="C10" s="23" t="n">
        <f aca="false">-C6*C9</f>
        <v>-234.26208</v>
      </c>
      <c r="D10" s="23" t="n">
        <f aca="false">-D6*D9</f>
        <v>-262.3735296</v>
      </c>
      <c r="E10" s="23" t="n">
        <f aca="false">-E6*E9</f>
        <v>-278.8374685824</v>
      </c>
      <c r="F10" s="23" t="n">
        <f aca="false">-F6*F9</f>
        <v>-298.356091383168</v>
      </c>
      <c r="G10" s="23" t="n">
        <f aca="false">-G6*G9</f>
        <v>-304.093708525152</v>
      </c>
      <c r="H10" s="23" t="n">
        <f aca="false">-H6*H9</f>
        <v>-319.29839395141</v>
      </c>
      <c r="I10" s="23" t="n">
        <f aca="false">-I6*I9</f>
        <v>-323.215120917214</v>
      </c>
      <c r="J10" s="23" t="n">
        <f aca="false">-J6*J9</f>
        <v>-336.143725753902</v>
      </c>
      <c r="K10" s="23" t="n">
        <f aca="false">-K6*K9</f>
        <v>-331.999488039128</v>
      </c>
      <c r="L10" s="23" t="n">
        <f aca="false">-L6*L9</f>
        <v>-341.959472680302</v>
      </c>
    </row>
    <row r="11" customFormat="false" ht="15" hidden="false" customHeight="false" outlineLevel="0" collapsed="false">
      <c r="A11" s="2" t="s">
        <v>142</v>
      </c>
      <c r="C11" s="23" t="n">
        <f aca="false">C8+C10</f>
        <v>717.42762</v>
      </c>
      <c r="D11" s="23" t="n">
        <f aca="false">D8+D10</f>
        <v>754.3238976</v>
      </c>
      <c r="E11" s="23" t="n">
        <f aca="false">E8+E10</f>
        <v>775.7401369536</v>
      </c>
      <c r="F11" s="23" t="n">
        <f aca="false">F8+F10</f>
        <v>772.665775120512</v>
      </c>
      <c r="G11" s="23" t="n">
        <f aca="false">G8+G10</f>
        <v>790.643642165395</v>
      </c>
      <c r="H11" s="23" t="n">
        <f aca="false">H8+H10</f>
        <v>787.602705080144</v>
      </c>
      <c r="I11" s="23" t="n">
        <f aca="false">I8+I10</f>
        <v>805.824000094971</v>
      </c>
      <c r="J11" s="23" t="n">
        <f aca="false">J8+J10</f>
        <v>815.033417238913</v>
      </c>
      <c r="K11" s="23" t="n">
        <f aca="false">K8+K10</f>
        <v>829.99872009782</v>
      </c>
      <c r="L11" s="23" t="n">
        <f aca="false">L8+L10</f>
        <v>830.473005080733</v>
      </c>
    </row>
    <row r="12" customFormat="false" ht="15" hidden="false" customHeight="false" outlineLevel="0" collapsed="false">
      <c r="A12" s="2" t="s">
        <v>143</v>
      </c>
      <c r="C12" s="25" t="n">
        <f aca="false">-C6*Assumptions!$B$6</f>
        <v>-81.991728</v>
      </c>
      <c r="D12" s="25" t="n">
        <f aca="false">-D6*Assumptions!$B$6</f>
        <v>-91.83073536</v>
      </c>
      <c r="E12" s="25" t="n">
        <f aca="false">-E6*Assumptions!$B$6</f>
        <v>-100.0955015424</v>
      </c>
      <c r="F12" s="25" t="n">
        <f aca="false">-F6*Assumptions!$B$6</f>
        <v>-107.102186650368</v>
      </c>
      <c r="G12" s="25" t="n">
        <f aca="false">-G6*Assumptions!$B$6</f>
        <v>-113.52831784939</v>
      </c>
      <c r="H12" s="25" t="n">
        <f aca="false">-H6*Assumptions!$B$6</f>
        <v>-119.20473374186</v>
      </c>
      <c r="I12" s="25" t="n">
        <f aca="false">-I6*Assumptions!$B$6</f>
        <v>-123.972923091534</v>
      </c>
      <c r="J12" s="25" t="n">
        <f aca="false">-J6*Assumptions!$B$6</f>
        <v>-128.931840015195</v>
      </c>
      <c r="K12" s="25" t="n">
        <f aca="false">-K6*Assumptions!$B$6</f>
        <v>-132.799795215651</v>
      </c>
      <c r="L12" s="25" t="n">
        <f aca="false">-L6*Assumptions!$B$6</f>
        <v>-136.783789072121</v>
      </c>
    </row>
    <row r="13" customFormat="false" ht="15" hidden="false" customHeight="false" outlineLevel="0" collapsed="false">
      <c r="A13" s="2" t="s">
        <v>144</v>
      </c>
      <c r="C13" s="23" t="n">
        <f aca="false">C11+C12</f>
        <v>635.435892</v>
      </c>
      <c r="D13" s="23" t="n">
        <f aca="false">D11+D12</f>
        <v>662.49316224</v>
      </c>
      <c r="E13" s="23" t="n">
        <f aca="false">E11+E12</f>
        <v>675.6446354112</v>
      </c>
      <c r="F13" s="23" t="n">
        <f aca="false">F11+F12</f>
        <v>665.563588470144</v>
      </c>
      <c r="G13" s="23" t="n">
        <f aca="false">G11+G12</f>
        <v>677.115324316005</v>
      </c>
      <c r="H13" s="23" t="n">
        <f aca="false">H11+H12</f>
        <v>668.397971338284</v>
      </c>
      <c r="I13" s="23" t="n">
        <f aca="false">I11+I12</f>
        <v>681.851077003437</v>
      </c>
      <c r="J13" s="23" t="n">
        <f aca="false">J11+J12</f>
        <v>686.101577223718</v>
      </c>
      <c r="K13" s="23" t="n">
        <f aca="false">K11+K12</f>
        <v>697.198924882169</v>
      </c>
      <c r="L13" s="23" t="n">
        <f aca="false">L11+L12</f>
        <v>693.689216008612</v>
      </c>
    </row>
    <row r="14" customFormat="false" ht="15" hidden="false" customHeight="false" outlineLevel="0" collapsed="false">
      <c r="A14" s="2" t="s">
        <v>145</v>
      </c>
      <c r="C14" s="16" t="n">
        <v>0.235</v>
      </c>
      <c r="D14" s="16" t="n">
        <v>0.245</v>
      </c>
      <c r="E14" s="16" t="n">
        <v>0.25</v>
      </c>
      <c r="F14" s="16" t="n">
        <v>0.25</v>
      </c>
      <c r="G14" s="16" t="n">
        <v>0.25</v>
      </c>
      <c r="H14" s="16" t="n">
        <v>0.25</v>
      </c>
      <c r="I14" s="16" t="n">
        <v>0.25</v>
      </c>
      <c r="J14" s="16" t="n">
        <v>0.25</v>
      </c>
      <c r="K14" s="16" t="n">
        <v>0.25</v>
      </c>
      <c r="L14" s="16" t="n">
        <v>0.25</v>
      </c>
    </row>
    <row r="15" customFormat="false" ht="15" hidden="false" customHeight="false" outlineLevel="0" collapsed="false">
      <c r="A15" s="2" t="s">
        <v>146</v>
      </c>
      <c r="C15" s="23" t="n">
        <f aca="false">C13*(1-C14)</f>
        <v>486.10845738</v>
      </c>
      <c r="D15" s="23" t="n">
        <f aca="false">D13*(1-D14)</f>
        <v>500.1823374912</v>
      </c>
      <c r="E15" s="23" t="n">
        <f aca="false">E13*(1-E14)</f>
        <v>506.7334765584</v>
      </c>
      <c r="F15" s="23" t="n">
        <f aca="false">F13*(1-F14)</f>
        <v>499.172691352608</v>
      </c>
      <c r="G15" s="23" t="n">
        <f aca="false">G13*(1-G14)</f>
        <v>507.836493237004</v>
      </c>
      <c r="H15" s="23" t="n">
        <f aca="false">H13*(1-H14)</f>
        <v>501.298478503713</v>
      </c>
      <c r="I15" s="23" t="n">
        <f aca="false">I13*(1-I14)</f>
        <v>511.388307752578</v>
      </c>
      <c r="J15" s="23" t="n">
        <f aca="false">J13*(1-J14)</f>
        <v>514.576182917789</v>
      </c>
      <c r="K15" s="23" t="n">
        <f aca="false">K13*(1-K14)</f>
        <v>522.899193661627</v>
      </c>
      <c r="L15" s="23" t="n">
        <f aca="false">L13*(1-L14)</f>
        <v>520.266912006459</v>
      </c>
    </row>
    <row r="16" customFormat="false" ht="15" hidden="false" customHeight="false" outlineLevel="0" collapsed="false">
      <c r="A16" s="2" t="s">
        <v>147</v>
      </c>
      <c r="C16" s="23" t="n">
        <f aca="false">-C12</f>
        <v>81.991728</v>
      </c>
      <c r="D16" s="23" t="n">
        <f aca="false">-D12</f>
        <v>91.83073536</v>
      </c>
      <c r="E16" s="23" t="n">
        <f aca="false">-E12</f>
        <v>100.0955015424</v>
      </c>
      <c r="F16" s="23" t="n">
        <f aca="false">-F12</f>
        <v>107.102186650368</v>
      </c>
      <c r="G16" s="23" t="n">
        <f aca="false">-G12</f>
        <v>113.52831784939</v>
      </c>
      <c r="H16" s="23" t="n">
        <f aca="false">-H12</f>
        <v>119.20473374186</v>
      </c>
      <c r="I16" s="23" t="n">
        <f aca="false">-I12</f>
        <v>123.972923091534</v>
      </c>
      <c r="J16" s="23" t="n">
        <f aca="false">-J12</f>
        <v>128.931840015195</v>
      </c>
      <c r="K16" s="23" t="n">
        <f aca="false">-K12</f>
        <v>132.799795215651</v>
      </c>
      <c r="L16" s="23" t="n">
        <f aca="false">-L12</f>
        <v>136.783789072121</v>
      </c>
    </row>
    <row r="17" customFormat="false" ht="15" hidden="false" customHeight="false" outlineLevel="0" collapsed="false">
      <c r="A17" s="2" t="s">
        <v>148</v>
      </c>
      <c r="C17" s="25" t="n">
        <f aca="false">-C6*Assumptions!$B$7</f>
        <v>-117.13104</v>
      </c>
      <c r="D17" s="25" t="n">
        <f aca="false">-D6*Assumptions!$B$7</f>
        <v>-131.1867648</v>
      </c>
      <c r="E17" s="25" t="n">
        <f aca="false">-E6*Assumptions!$B$7</f>
        <v>-142.993573632</v>
      </c>
      <c r="F17" s="25" t="n">
        <f aca="false">-F6*Assumptions!$B$7</f>
        <v>-153.00312378624</v>
      </c>
      <c r="G17" s="25" t="n">
        <f aca="false">-G6*Assumptions!$B$7</f>
        <v>-162.183311213414</v>
      </c>
      <c r="H17" s="25" t="n">
        <f aca="false">-H6*Assumptions!$B$7</f>
        <v>-170.292476774085</v>
      </c>
      <c r="I17" s="25" t="n">
        <f aca="false">-I6*Assumptions!$B$7</f>
        <v>-177.104175845049</v>
      </c>
      <c r="J17" s="25" t="n">
        <f aca="false">-J6*Assumptions!$B$7</f>
        <v>-184.188342878851</v>
      </c>
      <c r="K17" s="25" t="n">
        <f aca="false">-K6*Assumptions!$B$7</f>
        <v>-189.713993165216</v>
      </c>
      <c r="L17" s="25" t="n">
        <f aca="false">-L6*Assumptions!$B$7</f>
        <v>-195.405412960173</v>
      </c>
    </row>
    <row r="18" customFormat="false" ht="15" hidden="false" customHeight="false" outlineLevel="0" collapsed="false">
      <c r="A18" s="2" t="s">
        <v>149</v>
      </c>
      <c r="C18" s="25" t="n">
        <f aca="false">Assumptions!$B$8*(C6-B6)</f>
        <v>-8.50951999999999</v>
      </c>
      <c r="D18" s="25" t="n">
        <f aca="false">Assumptions!$B$8*(D6-C6)</f>
        <v>-7.0278624</v>
      </c>
      <c r="E18" s="25" t="n">
        <f aca="false">Assumptions!$B$8*(E6-D6)</f>
        <v>-5.903404416</v>
      </c>
      <c r="F18" s="25" t="n">
        <f aca="false">Assumptions!$B$8*(F6-E6)</f>
        <v>-5.00477507712</v>
      </c>
      <c r="G18" s="25" t="n">
        <f aca="false">Assumptions!$B$8*(G6-F6)</f>
        <v>-4.5900937135872</v>
      </c>
      <c r="H18" s="25" t="n">
        <f aca="false">Assumptions!$B$8*(H6-G6)</f>
        <v>-4.05458278033537</v>
      </c>
      <c r="I18" s="25" t="n">
        <f aca="false">Assumptions!$B$8*(I6-H6)</f>
        <v>-3.4058495354817</v>
      </c>
      <c r="J18" s="25" t="n">
        <f aca="false">Assumptions!$B$8*(J6-I6)</f>
        <v>-3.54208351690097</v>
      </c>
      <c r="K18" s="25" t="n">
        <f aca="false">Assumptions!$B$8*(K6-J6)</f>
        <v>-2.76282514318276</v>
      </c>
      <c r="L18" s="25" t="n">
        <f aca="false">Assumptions!$B$8*(L6-K6)</f>
        <v>-2.84570989747825</v>
      </c>
    </row>
    <row r="19" customFormat="false" ht="15" hidden="false" customHeight="false" outlineLevel="0" collapsed="false">
      <c r="A19" s="2" t="s">
        <v>150</v>
      </c>
      <c r="C19" s="26" t="n">
        <f aca="false">C15+C16+C17+C18</f>
        <v>442.45962538</v>
      </c>
      <c r="D19" s="26" t="n">
        <f aca="false">D15+D16+D17+D18</f>
        <v>453.7984456512</v>
      </c>
      <c r="E19" s="26" t="n">
        <f aca="false">E15+E16+E17+E18</f>
        <v>457.9320000528</v>
      </c>
      <c r="F19" s="26" t="n">
        <f aca="false">F15+F16+F17+F18</f>
        <v>448.266979139616</v>
      </c>
      <c r="G19" s="26" t="n">
        <f aca="false">G15+G16+G17+G18</f>
        <v>454.591406159393</v>
      </c>
      <c r="H19" s="26" t="n">
        <f aca="false">H15+H16+H17+H18</f>
        <v>446.156152691152</v>
      </c>
      <c r="I19" s="26" t="n">
        <f aca="false">I15+I16+I17+I18</f>
        <v>454.851205463581</v>
      </c>
      <c r="J19" s="26" t="n">
        <f aca="false">J15+J16+J17+J18</f>
        <v>455.777596537233</v>
      </c>
      <c r="K19" s="26" t="n">
        <f aca="false">K15+K16+K17+K18</f>
        <v>463.222170568879</v>
      </c>
      <c r="L19" s="26" t="n">
        <f aca="false">L15+L16+L17+L18</f>
        <v>458.799578220929</v>
      </c>
    </row>
    <row r="20" customFormat="false" ht="15" hidden="false" customHeight="false" outlineLevel="0" collapsed="false">
      <c r="A20" s="2" t="s">
        <v>151</v>
      </c>
      <c r="C20" s="27" t="n">
        <f aca="false">1/(1+Assumptions!$B$5)^C4</f>
        <v>0.904977375565611</v>
      </c>
      <c r="D20" s="27" t="n">
        <f aca="false">1/(1+Assumptions!$B$5)^D4</f>
        <v>0.818984050285621</v>
      </c>
      <c r="E20" s="27" t="n">
        <f aca="false">1/(1+Assumptions!$B$5)^E4</f>
        <v>0.741162036457575</v>
      </c>
      <c r="F20" s="27" t="n">
        <f aca="false">1/(1+Assumptions!$B$5)^F4</f>
        <v>0.67073487462224</v>
      </c>
      <c r="G20" s="27" t="n">
        <f aca="false">1/(1+Assumptions!$B$5)^G4</f>
        <v>0.606999886535964</v>
      </c>
      <c r="H20" s="27" t="n">
        <f aca="false">1/(1+Assumptions!$B$5)^H4</f>
        <v>0.54932116428594</v>
      </c>
      <c r="I20" s="27" t="n">
        <f aca="false">1/(1+Assumptions!$B$5)^I4</f>
        <v>0.497123225598136</v>
      </c>
      <c r="J20" s="27" t="n">
        <f aca="false">1/(1+Assumptions!$B$5)^J4</f>
        <v>0.449885272034512</v>
      </c>
      <c r="K20" s="27" t="n">
        <f aca="false">1/(1+Assumptions!$B$5)^K4</f>
        <v>0.407135992791414</v>
      </c>
      <c r="L20" s="27" t="n">
        <f aca="false">1/(1+Assumptions!$B$5)^L4</f>
        <v>0.368448862254673</v>
      </c>
    </row>
    <row r="21" customFormat="false" ht="15" hidden="false" customHeight="false" outlineLevel="0" collapsed="false">
      <c r="A21" s="2" t="s">
        <v>152</v>
      </c>
      <c r="C21" s="23" t="n">
        <f aca="false">C19*C20</f>
        <v>400.415950570136</v>
      </c>
      <c r="D21" s="23" t="n">
        <f aca="false">D19*D20</f>
        <v>371.653689032739</v>
      </c>
      <c r="E21" s="23" t="n">
        <f aca="false">E19*E20</f>
        <v>339.401813718224</v>
      </c>
      <c r="F21" s="23" t="n">
        <f aca="false">F19*F20</f>
        <v>300.668296050501</v>
      </c>
      <c r="G21" s="23" t="n">
        <f aca="false">G19*G20</f>
        <v>275.936931958976</v>
      </c>
      <c r="H21" s="23" t="n">
        <f aca="false">H19*H20</f>
        <v>245.08301724964</v>
      </c>
      <c r="I21" s="23" t="n">
        <f aca="false">I19*I20</f>
        <v>226.117098427256</v>
      </c>
      <c r="J21" s="23" t="n">
        <f aca="false">J19*J20</f>
        <v>205.047628005389</v>
      </c>
      <c r="K21" s="23" t="n">
        <f aca="false">K19*K20</f>
        <v>188.594418297554</v>
      </c>
      <c r="L21" s="23" t="n">
        <f aca="false">L19*L20</f>
        <v>169.044182598425</v>
      </c>
    </row>
    <row r="23" customFormat="false" ht="15" hidden="false" customHeight="false" outlineLevel="0" collapsed="false">
      <c r="A23" s="2" t="s">
        <v>153</v>
      </c>
      <c r="C23" s="23" t="n">
        <f aca="false">C19-C10</f>
        <v>676.72170538</v>
      </c>
      <c r="D23" s="23" t="n">
        <f aca="false">D19-D10</f>
        <v>716.1719752512</v>
      </c>
      <c r="E23" s="23" t="n">
        <f aca="false">E19-E10</f>
        <v>736.7694686352</v>
      </c>
      <c r="F23" s="23" t="n">
        <f aca="false">F19-F10</f>
        <v>746.623070522784</v>
      </c>
      <c r="G23" s="23" t="n">
        <f aca="false">G19-G10</f>
        <v>758.685114684545</v>
      </c>
      <c r="H23" s="23" t="n">
        <f aca="false">H19-H10</f>
        <v>765.454546642562</v>
      </c>
      <c r="I23" s="23" t="n">
        <f aca="false">I19-I10</f>
        <v>778.066326380795</v>
      </c>
      <c r="J23" s="23" t="n">
        <f aca="false">J19-J10</f>
        <v>791.921322291135</v>
      </c>
      <c r="K23" s="23" t="n">
        <f aca="false">K19-K10</f>
        <v>795.221658608007</v>
      </c>
      <c r="L23" s="23" t="n">
        <f aca="false">L19-L10</f>
        <v>800.759050901231</v>
      </c>
    </row>
    <row r="24" customFormat="false" ht="15" hidden="false" customHeight="false" outlineLevel="0" collapsed="false">
      <c r="A24" s="2" t="s">
        <v>154</v>
      </c>
      <c r="C24" s="13" t="n">
        <f aca="false">C19/C6</f>
        <v>0.151099017094017</v>
      </c>
      <c r="D24" s="13" t="n">
        <f aca="false">D19/D6</f>
        <v>0.138367142857143</v>
      </c>
      <c r="E24" s="13" t="n">
        <f aca="false">E19/E6</f>
        <v>0.128098623853211</v>
      </c>
      <c r="F24" s="13" t="n">
        <f aca="false">F19/F6</f>
        <v>0.117191588785047</v>
      </c>
      <c r="G24" s="13" t="n">
        <f aca="false">G19/G6</f>
        <v>0.112117924528302</v>
      </c>
      <c r="H24" s="13" t="n">
        <f aca="false">H19/H6</f>
        <v>0.104797619047619</v>
      </c>
      <c r="I24" s="13" t="n">
        <f aca="false">I19/I6</f>
        <v>0.102730769230769</v>
      </c>
      <c r="J24" s="13" t="n">
        <f aca="false">J19/J6</f>
        <v>0.0989807692307693</v>
      </c>
      <c r="K24" s="13" t="n">
        <f aca="false">K19/K6</f>
        <v>0.0976674757281554</v>
      </c>
      <c r="L24" s="13" t="n">
        <f aca="false">L19/L6</f>
        <v>0.0939174757281553</v>
      </c>
    </row>
    <row r="25" customFormat="false" ht="15" hidden="false" customHeight="false" outlineLevel="0" collapsed="false">
      <c r="A25" s="4" t="s">
        <v>155</v>
      </c>
    </row>
    <row r="26" customFormat="false" ht="15" hidden="false" customHeight="false" outlineLevel="0" collapsed="false">
      <c r="A26" s="2" t="s">
        <v>156</v>
      </c>
      <c r="B26" s="23" t="n">
        <f aca="false">SUM(C21:L21)</f>
        <v>2721.96302590884</v>
      </c>
    </row>
    <row r="27" customFormat="false" ht="15" hidden="false" customHeight="false" outlineLevel="0" collapsed="false">
      <c r="A27" s="2" t="s">
        <v>115</v>
      </c>
      <c r="B27" s="28" t="n">
        <f aca="false">Assumptions!$C$15</f>
        <v>0.015</v>
      </c>
    </row>
    <row r="28" customFormat="false" ht="15" hidden="false" customHeight="false" outlineLevel="0" collapsed="false">
      <c r="A28" s="2" t="s">
        <v>157</v>
      </c>
      <c r="B28" s="23" t="n">
        <f aca="false">L19*(1+B27)</f>
        <v>465.681571894243</v>
      </c>
    </row>
    <row r="29" customFormat="false" ht="15" hidden="false" customHeight="false" outlineLevel="0" collapsed="false">
      <c r="A29" s="2" t="s">
        <v>158</v>
      </c>
      <c r="B29" s="23" t="n">
        <f aca="false">B28/(Assumptions!$B$5-B27)</f>
        <v>5174.23968771381</v>
      </c>
    </row>
    <row r="30" customFormat="false" ht="15" hidden="false" customHeight="false" outlineLevel="0" collapsed="false">
      <c r="A30" s="2" t="s">
        <v>159</v>
      </c>
      <c r="B30" s="25" t="n">
        <f aca="false">Assumptions!$B$12*L19</f>
        <v>9175.99156441859</v>
      </c>
    </row>
    <row r="31" customFormat="false" ht="15" hidden="false" customHeight="false" outlineLevel="0" collapsed="false">
      <c r="A31" s="2" t="s">
        <v>160</v>
      </c>
      <c r="B31" s="23" t="n">
        <f aca="false">MAX(0,MIN(B29,B30))</f>
        <v>5174.23968771381</v>
      </c>
    </row>
    <row r="32" customFormat="false" ht="15" hidden="false" customHeight="false" outlineLevel="0" collapsed="false">
      <c r="A32" s="2" t="s">
        <v>161</v>
      </c>
      <c r="B32" s="29" t="n">
        <f aca="false">B31/L19</f>
        <v>11.2777777777778</v>
      </c>
    </row>
    <row r="33" customFormat="false" ht="15" hidden="false" customHeight="false" outlineLevel="0" collapsed="false">
      <c r="A33" s="2" t="s">
        <v>162</v>
      </c>
      <c r="B33" s="23" t="n">
        <f aca="false">B31*L20</f>
        <v>1906.44272597113</v>
      </c>
    </row>
    <row r="34" customFormat="false" ht="15" hidden="false" customHeight="false" outlineLevel="0" collapsed="false">
      <c r="A34" s="2" t="s">
        <v>163</v>
      </c>
      <c r="B34" s="23" t="n">
        <f aca="false">B26+B33</f>
        <v>4628.40575187997</v>
      </c>
    </row>
    <row r="35" customFormat="false" ht="15" hidden="false" customHeight="false" outlineLevel="0" collapsed="false">
      <c r="A35" s="2" t="s">
        <v>164</v>
      </c>
      <c r="B35" s="25" t="n">
        <f aca="false">Assumptions!$B$9</f>
        <v>1700</v>
      </c>
    </row>
    <row r="36" customFormat="false" ht="15" hidden="false" customHeight="false" outlineLevel="0" collapsed="false">
      <c r="A36" s="2" t="s">
        <v>165</v>
      </c>
      <c r="B36" s="23" t="n">
        <f aca="false">B34+B35</f>
        <v>6328.40575187997</v>
      </c>
    </row>
    <row r="37" customFormat="false" ht="15" hidden="false" customHeight="false" outlineLevel="0" collapsed="false">
      <c r="A37" s="2" t="s">
        <v>106</v>
      </c>
      <c r="B37" s="30" t="n">
        <f aca="false">Assumptions!$B$10</f>
        <v>1019</v>
      </c>
    </row>
    <row r="38" customFormat="false" ht="15" hidden="false" customHeight="false" outlineLevel="0" collapsed="false">
      <c r="A38" s="2" t="s">
        <v>166</v>
      </c>
      <c r="B38" s="31" t="n">
        <f aca="false">B36/B37</f>
        <v>6.21040799988221</v>
      </c>
    </row>
    <row r="39" customFormat="false" ht="15" hidden="false" customHeight="false" outlineLevel="0" collapsed="false">
      <c r="A39" s="2" t="s">
        <v>167</v>
      </c>
      <c r="B39" s="13" t="n">
        <f aca="false">B38/Assumptions!$B$11-1</f>
        <v>-0.526645731716295</v>
      </c>
    </row>
    <row r="41" customFormat="false" ht="15" hidden="false" customHeight="false" outlineLevel="0" collapsed="false">
      <c r="A41" s="2" t="s">
        <v>168</v>
      </c>
      <c r="B41" s="23" t="n">
        <f aca="false">SUMPRODUCT(-C10:L10/(1+Assumptions!$B$5)^C4:L4)</f>
        <v>1766.71278679671</v>
      </c>
    </row>
    <row r="42" customFormat="false" ht="15" hidden="false" customHeight="false" outlineLevel="0" collapsed="false">
      <c r="A42" s="2" t="s">
        <v>169</v>
      </c>
      <c r="B42" s="23" t="n">
        <f aca="false">(-L10*(1+B27)/(Assumptions!$B$5-B27))*L20</f>
        <v>1420.93885917732</v>
      </c>
    </row>
    <row r="43" customFormat="false" ht="15" hidden="false" customHeight="false" outlineLevel="0" collapsed="false">
      <c r="A43" s="2" t="s">
        <v>170</v>
      </c>
      <c r="B43" s="32" t="n">
        <f aca="false">(B36+B41+B42)/B37</f>
        <v>9.33862355039647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5" t="s">
        <v>123</v>
      </c>
    </row>
    <row r="3" customFormat="false" ht="15" hidden="false" customHeight="false" outlineLevel="0" collapsed="false">
      <c r="B3" s="6" t="s">
        <v>124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129</v>
      </c>
      <c r="H3" s="6" t="s">
        <v>130</v>
      </c>
      <c r="I3" s="6" t="s">
        <v>131</v>
      </c>
      <c r="J3" s="6" t="s">
        <v>132</v>
      </c>
      <c r="K3" s="6" t="s">
        <v>133</v>
      </c>
      <c r="L3" s="6" t="s">
        <v>134</v>
      </c>
    </row>
    <row r="4" customFormat="false" ht="15" hidden="false" customHeight="false" outlineLevel="0" collapsed="false">
      <c r="A4" s="21" t="s">
        <v>135</v>
      </c>
      <c r="B4" s="21" t="n">
        <v>0</v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</row>
    <row r="5" customFormat="false" ht="15" hidden="false" customHeight="false" outlineLevel="0" collapsed="false">
      <c r="A5" s="2" t="s">
        <v>136</v>
      </c>
      <c r="C5" s="16" t="n">
        <v>0.2</v>
      </c>
      <c r="D5" s="16" t="n">
        <v>0.17</v>
      </c>
      <c r="E5" s="16" t="n">
        <v>0.15</v>
      </c>
      <c r="F5" s="16" t="n">
        <v>0.14</v>
      </c>
      <c r="G5" s="16" t="n">
        <v>0.12</v>
      </c>
      <c r="H5" s="16" t="n">
        <v>0.11</v>
      </c>
      <c r="I5" s="16" t="n">
        <v>0.1</v>
      </c>
      <c r="J5" s="16" t="n">
        <v>0.09</v>
      </c>
      <c r="K5" s="16" t="n">
        <v>0.08</v>
      </c>
      <c r="L5" s="16" t="n">
        <v>0.07</v>
      </c>
    </row>
    <row r="6" customFormat="false" ht="15" hidden="false" customHeight="false" outlineLevel="0" collapsed="false">
      <c r="A6" s="2" t="s">
        <v>137</v>
      </c>
      <c r="B6" s="22" t="n">
        <v>2502.8</v>
      </c>
      <c r="C6" s="23" t="n">
        <f aca="false">B6*(1+C5)</f>
        <v>3003.36</v>
      </c>
      <c r="D6" s="23" t="n">
        <f aca="false">C6*(1+D5)</f>
        <v>3513.9312</v>
      </c>
      <c r="E6" s="23" t="n">
        <f aca="false">D6*(1+E5)</f>
        <v>4041.02088</v>
      </c>
      <c r="F6" s="23" t="n">
        <f aca="false">E6*(1+F5)</f>
        <v>4606.7638032</v>
      </c>
      <c r="G6" s="23" t="n">
        <f aca="false">F6*(1+G5)</f>
        <v>5159.575459584</v>
      </c>
      <c r="H6" s="23" t="n">
        <f aca="false">G6*(1+H5)</f>
        <v>5727.12876013824</v>
      </c>
      <c r="I6" s="23" t="n">
        <f aca="false">H6*(1+I5)</f>
        <v>6299.84163615207</v>
      </c>
      <c r="J6" s="23" t="n">
        <f aca="false">I6*(1+J5)</f>
        <v>6866.82738340575</v>
      </c>
      <c r="K6" s="23" t="n">
        <f aca="false">J6*(1+K5)</f>
        <v>7416.17357407821</v>
      </c>
      <c r="L6" s="23" t="n">
        <f aca="false">K6*(1+L5)</f>
        <v>7935.30572426369</v>
      </c>
    </row>
    <row r="7" customFormat="false" ht="15" hidden="false" customHeight="false" outlineLevel="0" collapsed="false">
      <c r="A7" s="2" t="s">
        <v>138</v>
      </c>
      <c r="B7" s="24" t="n">
        <v>0.342</v>
      </c>
      <c r="C7" s="16" t="n">
        <v>0.333</v>
      </c>
      <c r="D7" s="16" t="n">
        <v>0.33</v>
      </c>
      <c r="E7" s="16" t="n">
        <v>0.325</v>
      </c>
      <c r="F7" s="16" t="n">
        <v>0.32</v>
      </c>
      <c r="G7" s="16" t="n">
        <v>0.315</v>
      </c>
      <c r="H7" s="16" t="n">
        <v>0.31</v>
      </c>
      <c r="I7" s="16" t="n">
        <v>0.305</v>
      </c>
      <c r="J7" s="16" t="n">
        <v>0.3</v>
      </c>
      <c r="K7" s="16" t="n">
        <v>0.3</v>
      </c>
      <c r="L7" s="16" t="n">
        <v>0.3</v>
      </c>
    </row>
    <row r="8" customFormat="false" ht="15" hidden="false" customHeight="false" outlineLevel="0" collapsed="false">
      <c r="A8" s="2" t="s">
        <v>139</v>
      </c>
      <c r="C8" s="23" t="n">
        <f aca="false">C6*C7</f>
        <v>1000.11888</v>
      </c>
      <c r="D8" s="23" t="n">
        <f aca="false">D6*D7</f>
        <v>1159.597296</v>
      </c>
      <c r="E8" s="23" t="n">
        <f aca="false">E6*E7</f>
        <v>1313.331786</v>
      </c>
      <c r="F8" s="23" t="n">
        <f aca="false">F6*F7</f>
        <v>1474.164417024</v>
      </c>
      <c r="G8" s="23" t="n">
        <f aca="false">G6*G7</f>
        <v>1625.26626976896</v>
      </c>
      <c r="H8" s="23" t="n">
        <f aca="false">H6*H7</f>
        <v>1775.40991564285</v>
      </c>
      <c r="I8" s="23" t="n">
        <f aca="false">I6*I7</f>
        <v>1921.45169902638</v>
      </c>
      <c r="J8" s="23" t="n">
        <f aca="false">J6*J7</f>
        <v>2060.04821502173</v>
      </c>
      <c r="K8" s="23" t="n">
        <f aca="false">K6*K7</f>
        <v>2224.85207222346</v>
      </c>
      <c r="L8" s="23" t="n">
        <f aca="false">L6*L7</f>
        <v>2380.59171727911</v>
      </c>
    </row>
    <row r="9" customFormat="false" ht="15" hidden="false" customHeight="false" outlineLevel="0" collapsed="false">
      <c r="A9" s="2" t="s">
        <v>140</v>
      </c>
      <c r="B9" s="24" t="n">
        <v>0.08</v>
      </c>
      <c r="C9" s="16" t="n">
        <v>0.078</v>
      </c>
      <c r="D9" s="16" t="n">
        <v>0.075</v>
      </c>
      <c r="E9" s="16" t="n">
        <v>0.072</v>
      </c>
      <c r="F9" s="16" t="n">
        <v>0.07</v>
      </c>
      <c r="G9" s="16" t="n">
        <v>0.068</v>
      </c>
      <c r="H9" s="16" t="n">
        <v>0.065</v>
      </c>
      <c r="I9" s="16" t="n">
        <v>0.063</v>
      </c>
      <c r="J9" s="16" t="n">
        <v>0.06</v>
      </c>
      <c r="K9" s="16" t="n">
        <v>0.058</v>
      </c>
      <c r="L9" s="16" t="n">
        <v>0.055</v>
      </c>
    </row>
    <row r="10" customFormat="false" ht="15" hidden="false" customHeight="false" outlineLevel="0" collapsed="false">
      <c r="A10" s="2" t="s">
        <v>141</v>
      </c>
      <c r="C10" s="23" t="n">
        <f aca="false">-C6*C9</f>
        <v>-234.26208</v>
      </c>
      <c r="D10" s="23" t="n">
        <f aca="false">-D6*D9</f>
        <v>-263.54484</v>
      </c>
      <c r="E10" s="23" t="n">
        <f aca="false">-E6*E9</f>
        <v>-290.95350336</v>
      </c>
      <c r="F10" s="23" t="n">
        <f aca="false">-F6*F9</f>
        <v>-322.473466224</v>
      </c>
      <c r="G10" s="23" t="n">
        <f aca="false">-G6*G9</f>
        <v>-350.851131251712</v>
      </c>
      <c r="H10" s="23" t="n">
        <f aca="false">-H6*H9</f>
        <v>-372.263369408986</v>
      </c>
      <c r="I10" s="23" t="n">
        <f aca="false">-I6*I9</f>
        <v>-396.89002307758</v>
      </c>
      <c r="J10" s="23" t="n">
        <f aca="false">-J6*J9</f>
        <v>-412.009643004345</v>
      </c>
      <c r="K10" s="23" t="n">
        <f aca="false">-K6*K9</f>
        <v>-430.138067296536</v>
      </c>
      <c r="L10" s="23" t="n">
        <f aca="false">-L6*L9</f>
        <v>-436.441814834503</v>
      </c>
    </row>
    <row r="11" customFormat="false" ht="15" hidden="false" customHeight="false" outlineLevel="0" collapsed="false">
      <c r="A11" s="2" t="s">
        <v>142</v>
      </c>
      <c r="C11" s="23" t="n">
        <f aca="false">C8+C10</f>
        <v>765.8568</v>
      </c>
      <c r="D11" s="23" t="n">
        <f aca="false">D8+D10</f>
        <v>896.052456</v>
      </c>
      <c r="E11" s="23" t="n">
        <f aca="false">E8+E10</f>
        <v>1022.37828264</v>
      </c>
      <c r="F11" s="23" t="n">
        <f aca="false">F8+F10</f>
        <v>1151.6909508</v>
      </c>
      <c r="G11" s="23" t="n">
        <f aca="false">G8+G10</f>
        <v>1274.41513851725</v>
      </c>
      <c r="H11" s="23" t="n">
        <f aca="false">H8+H10</f>
        <v>1403.14654623387</v>
      </c>
      <c r="I11" s="23" t="n">
        <f aca="false">I8+I10</f>
        <v>1524.5616759488</v>
      </c>
      <c r="J11" s="23" t="n">
        <f aca="false">J8+J10</f>
        <v>1648.03857201738</v>
      </c>
      <c r="K11" s="23" t="n">
        <f aca="false">K8+K10</f>
        <v>1794.71400492693</v>
      </c>
      <c r="L11" s="23" t="n">
        <f aca="false">L8+L10</f>
        <v>1944.1499024446</v>
      </c>
    </row>
    <row r="12" customFormat="false" ht="15" hidden="false" customHeight="false" outlineLevel="0" collapsed="false">
      <c r="A12" s="2" t="s">
        <v>143</v>
      </c>
      <c r="C12" s="25" t="n">
        <f aca="false">-C6*Assumptions!$B$6</f>
        <v>-84.09408</v>
      </c>
      <c r="D12" s="25" t="n">
        <f aca="false">-D6*Assumptions!$B$6</f>
        <v>-98.3900736</v>
      </c>
      <c r="E12" s="25" t="n">
        <f aca="false">-E6*Assumptions!$B$6</f>
        <v>-113.14858464</v>
      </c>
      <c r="F12" s="25" t="n">
        <f aca="false">-F6*Assumptions!$B$6</f>
        <v>-128.9893864896</v>
      </c>
      <c r="G12" s="25" t="n">
        <f aca="false">-G6*Assumptions!$B$6</f>
        <v>-144.468112868352</v>
      </c>
      <c r="H12" s="25" t="n">
        <f aca="false">-H6*Assumptions!$B$6</f>
        <v>-160.359605283871</v>
      </c>
      <c r="I12" s="25" t="n">
        <f aca="false">-I6*Assumptions!$B$6</f>
        <v>-176.395565812258</v>
      </c>
      <c r="J12" s="25" t="n">
        <f aca="false">-J6*Assumptions!$B$6</f>
        <v>-192.271166735361</v>
      </c>
      <c r="K12" s="25" t="n">
        <f aca="false">-K6*Assumptions!$B$6</f>
        <v>-207.65286007419</v>
      </c>
      <c r="L12" s="25" t="n">
        <f aca="false">-L6*Assumptions!$B$6</f>
        <v>-222.188560279383</v>
      </c>
    </row>
    <row r="13" customFormat="false" ht="15" hidden="false" customHeight="false" outlineLevel="0" collapsed="false">
      <c r="A13" s="2" t="s">
        <v>144</v>
      </c>
      <c r="C13" s="23" t="n">
        <f aca="false">C11+C12</f>
        <v>681.76272</v>
      </c>
      <c r="D13" s="23" t="n">
        <f aca="false">D11+D12</f>
        <v>797.6623824</v>
      </c>
      <c r="E13" s="23" t="n">
        <f aca="false">E11+E12</f>
        <v>909.229698</v>
      </c>
      <c r="F13" s="23" t="n">
        <f aca="false">F11+F12</f>
        <v>1022.7015643104</v>
      </c>
      <c r="G13" s="23" t="n">
        <f aca="false">G11+G12</f>
        <v>1129.9470256489</v>
      </c>
      <c r="H13" s="23" t="n">
        <f aca="false">H11+H12</f>
        <v>1242.78694095</v>
      </c>
      <c r="I13" s="23" t="n">
        <f aca="false">I11+I12</f>
        <v>1348.16611013654</v>
      </c>
      <c r="J13" s="23" t="n">
        <f aca="false">J11+J12</f>
        <v>1455.76740528202</v>
      </c>
      <c r="K13" s="23" t="n">
        <f aca="false">K11+K12</f>
        <v>1587.06114485274</v>
      </c>
      <c r="L13" s="23" t="n">
        <f aca="false">L11+L12</f>
        <v>1721.96134216522</v>
      </c>
    </row>
    <row r="14" customFormat="false" ht="15" hidden="false" customHeight="false" outlineLevel="0" collapsed="false">
      <c r="A14" s="2" t="s">
        <v>145</v>
      </c>
      <c r="C14" s="16" t="n">
        <v>0.23</v>
      </c>
      <c r="D14" s="16" t="n">
        <v>0.235</v>
      </c>
      <c r="E14" s="16" t="n">
        <v>0.24</v>
      </c>
      <c r="F14" s="16" t="n">
        <v>0.24</v>
      </c>
      <c r="G14" s="16" t="n">
        <v>0.24</v>
      </c>
      <c r="H14" s="16" t="n">
        <v>0.24</v>
      </c>
      <c r="I14" s="16" t="n">
        <v>0.24</v>
      </c>
      <c r="J14" s="16" t="n">
        <v>0.24</v>
      </c>
      <c r="K14" s="16" t="n">
        <v>0.24</v>
      </c>
      <c r="L14" s="16" t="n">
        <v>0.24</v>
      </c>
    </row>
    <row r="15" customFormat="false" ht="15" hidden="false" customHeight="false" outlineLevel="0" collapsed="false">
      <c r="A15" s="2" t="s">
        <v>146</v>
      </c>
      <c r="C15" s="23" t="n">
        <f aca="false">C13*(1-C14)</f>
        <v>524.9572944</v>
      </c>
      <c r="D15" s="23" t="n">
        <f aca="false">D13*(1-D14)</f>
        <v>610.211722536</v>
      </c>
      <c r="E15" s="23" t="n">
        <f aca="false">E13*(1-E14)</f>
        <v>691.01457048</v>
      </c>
      <c r="F15" s="23" t="n">
        <f aca="false">F13*(1-F14)</f>
        <v>777.253188875904</v>
      </c>
      <c r="G15" s="23" t="n">
        <f aca="false">G13*(1-G14)</f>
        <v>858.759739493161</v>
      </c>
      <c r="H15" s="23" t="n">
        <f aca="false">H13*(1-H14)</f>
        <v>944.518075121999</v>
      </c>
      <c r="I15" s="23" t="n">
        <f aca="false">I13*(1-I14)</f>
        <v>1024.60624370377</v>
      </c>
      <c r="J15" s="23" t="n">
        <f aca="false">J13*(1-J14)</f>
        <v>1106.38322801433</v>
      </c>
      <c r="K15" s="23" t="n">
        <f aca="false">K13*(1-K14)</f>
        <v>1206.16647008808</v>
      </c>
      <c r="L15" s="23" t="n">
        <f aca="false">L13*(1-L14)</f>
        <v>1308.69062004557</v>
      </c>
    </row>
    <row r="16" customFormat="false" ht="15" hidden="false" customHeight="false" outlineLevel="0" collapsed="false">
      <c r="A16" s="2" t="s">
        <v>147</v>
      </c>
      <c r="C16" s="23" t="n">
        <f aca="false">-C12</f>
        <v>84.09408</v>
      </c>
      <c r="D16" s="23" t="n">
        <f aca="false">-D12</f>
        <v>98.3900736</v>
      </c>
      <c r="E16" s="23" t="n">
        <f aca="false">-E12</f>
        <v>113.14858464</v>
      </c>
      <c r="F16" s="23" t="n">
        <f aca="false">-F12</f>
        <v>128.9893864896</v>
      </c>
      <c r="G16" s="23" t="n">
        <f aca="false">-G12</f>
        <v>144.468112868352</v>
      </c>
      <c r="H16" s="23" t="n">
        <f aca="false">-H12</f>
        <v>160.359605283871</v>
      </c>
      <c r="I16" s="23" t="n">
        <f aca="false">-I12</f>
        <v>176.395565812258</v>
      </c>
      <c r="J16" s="23" t="n">
        <f aca="false">-J12</f>
        <v>192.271166735361</v>
      </c>
      <c r="K16" s="23" t="n">
        <f aca="false">-K12</f>
        <v>207.65286007419</v>
      </c>
      <c r="L16" s="23" t="n">
        <f aca="false">-L12</f>
        <v>222.188560279383</v>
      </c>
    </row>
    <row r="17" customFormat="false" ht="15" hidden="false" customHeight="false" outlineLevel="0" collapsed="false">
      <c r="A17" s="2" t="s">
        <v>148</v>
      </c>
      <c r="C17" s="25" t="n">
        <f aca="false">-C6*Assumptions!$B$7</f>
        <v>-120.1344</v>
      </c>
      <c r="D17" s="25" t="n">
        <f aca="false">-D6*Assumptions!$B$7</f>
        <v>-140.557248</v>
      </c>
      <c r="E17" s="25" t="n">
        <f aca="false">-E6*Assumptions!$B$7</f>
        <v>-161.6408352</v>
      </c>
      <c r="F17" s="25" t="n">
        <f aca="false">-F6*Assumptions!$B$7</f>
        <v>-184.270552128</v>
      </c>
      <c r="G17" s="25" t="n">
        <f aca="false">-G6*Assumptions!$B$7</f>
        <v>-206.38301838336</v>
      </c>
      <c r="H17" s="25" t="n">
        <f aca="false">-H6*Assumptions!$B$7</f>
        <v>-229.08515040553</v>
      </c>
      <c r="I17" s="25" t="n">
        <f aca="false">-I6*Assumptions!$B$7</f>
        <v>-251.993665446083</v>
      </c>
      <c r="J17" s="25" t="n">
        <f aca="false">-J6*Assumptions!$B$7</f>
        <v>-274.67309533623</v>
      </c>
      <c r="K17" s="25" t="n">
        <f aca="false">-K6*Assumptions!$B$7</f>
        <v>-296.646942963129</v>
      </c>
      <c r="L17" s="25" t="n">
        <f aca="false">-L6*Assumptions!$B$7</f>
        <v>-317.412228970548</v>
      </c>
    </row>
    <row r="18" customFormat="false" ht="15" hidden="false" customHeight="false" outlineLevel="0" collapsed="false">
      <c r="A18" s="2" t="s">
        <v>149</v>
      </c>
      <c r="C18" s="25" t="n">
        <f aca="false">Assumptions!$B$8*(C6-B6)</f>
        <v>-10.0112</v>
      </c>
      <c r="D18" s="25" t="n">
        <f aca="false">Assumptions!$B$8*(D6-C6)</f>
        <v>-10.211424</v>
      </c>
      <c r="E18" s="25" t="n">
        <f aca="false">Assumptions!$B$8*(E6-D6)</f>
        <v>-10.5417936</v>
      </c>
      <c r="F18" s="25" t="n">
        <f aca="false">Assumptions!$B$8*(F6-E6)</f>
        <v>-11.314858464</v>
      </c>
      <c r="G18" s="25" t="n">
        <f aca="false">Assumptions!$B$8*(G6-F6)</f>
        <v>-11.05623312768</v>
      </c>
      <c r="H18" s="25" t="n">
        <f aca="false">Assumptions!$B$8*(H6-G6)</f>
        <v>-11.3510660110848</v>
      </c>
      <c r="I18" s="25" t="n">
        <f aca="false">Assumptions!$B$8*(I6-H6)</f>
        <v>-11.4542575202765</v>
      </c>
      <c r="J18" s="25" t="n">
        <f aca="false">Assumptions!$B$8*(J6-I6)</f>
        <v>-11.3397149450737</v>
      </c>
      <c r="K18" s="25" t="n">
        <f aca="false">Assumptions!$B$8*(K6-J6)</f>
        <v>-10.9869238134492</v>
      </c>
      <c r="L18" s="25" t="n">
        <f aca="false">Assumptions!$B$8*(L6-K6)</f>
        <v>-10.3826430037095</v>
      </c>
    </row>
    <row r="19" customFormat="false" ht="15" hidden="false" customHeight="false" outlineLevel="0" collapsed="false">
      <c r="A19" s="2" t="s">
        <v>150</v>
      </c>
      <c r="C19" s="26" t="n">
        <f aca="false">C15+C16+C17+C18</f>
        <v>478.9057744</v>
      </c>
      <c r="D19" s="26" t="n">
        <f aca="false">D15+D16+D17+D18</f>
        <v>557.833124136</v>
      </c>
      <c r="E19" s="26" t="n">
        <f aca="false">E15+E16+E17+E18</f>
        <v>631.98052632</v>
      </c>
      <c r="F19" s="26" t="n">
        <f aca="false">F15+F16+F17+F18</f>
        <v>710.657164773504</v>
      </c>
      <c r="G19" s="26" t="n">
        <f aca="false">G15+G16+G17+G18</f>
        <v>785.788600850473</v>
      </c>
      <c r="H19" s="26" t="n">
        <f aca="false">H15+H16+H17+H18</f>
        <v>864.441463989255</v>
      </c>
      <c r="I19" s="26" t="n">
        <f aca="false">I15+I16+I17+I18</f>
        <v>937.55388654967</v>
      </c>
      <c r="J19" s="26" t="n">
        <f aca="false">J15+J16+J17+J18</f>
        <v>1012.64158446839</v>
      </c>
      <c r="K19" s="26" t="n">
        <f aca="false">K15+K16+K17+K18</f>
        <v>1106.18546338569</v>
      </c>
      <c r="L19" s="26" t="n">
        <f aca="false">L15+L16+L17+L18</f>
        <v>1203.08430835069</v>
      </c>
    </row>
    <row r="20" customFormat="false" ht="15" hidden="false" customHeight="false" outlineLevel="0" collapsed="false">
      <c r="A20" s="2" t="s">
        <v>151</v>
      </c>
      <c r="C20" s="27" t="n">
        <f aca="false">1/(1+Assumptions!$B$5)^C4</f>
        <v>0.904977375565611</v>
      </c>
      <c r="D20" s="27" t="n">
        <f aca="false">1/(1+Assumptions!$B$5)^D4</f>
        <v>0.818984050285621</v>
      </c>
      <c r="E20" s="27" t="n">
        <f aca="false">1/(1+Assumptions!$B$5)^E4</f>
        <v>0.741162036457575</v>
      </c>
      <c r="F20" s="27" t="n">
        <f aca="false">1/(1+Assumptions!$B$5)^F4</f>
        <v>0.67073487462224</v>
      </c>
      <c r="G20" s="27" t="n">
        <f aca="false">1/(1+Assumptions!$B$5)^G4</f>
        <v>0.606999886535964</v>
      </c>
      <c r="H20" s="27" t="n">
        <f aca="false">1/(1+Assumptions!$B$5)^H4</f>
        <v>0.54932116428594</v>
      </c>
      <c r="I20" s="27" t="n">
        <f aca="false">1/(1+Assumptions!$B$5)^I4</f>
        <v>0.497123225598136</v>
      </c>
      <c r="J20" s="27" t="n">
        <f aca="false">1/(1+Assumptions!$B$5)^J4</f>
        <v>0.449885272034512</v>
      </c>
      <c r="K20" s="27" t="n">
        <f aca="false">1/(1+Assumptions!$B$5)^K4</f>
        <v>0.407135992791414</v>
      </c>
      <c r="L20" s="27" t="n">
        <f aca="false">1/(1+Assumptions!$B$5)^L4</f>
        <v>0.368448862254673</v>
      </c>
    </row>
    <row r="21" customFormat="false" ht="15" hidden="false" customHeight="false" outlineLevel="0" collapsed="false">
      <c r="A21" s="2" t="s">
        <v>152</v>
      </c>
      <c r="C21" s="23" t="n">
        <f aca="false">C19*C20</f>
        <v>433.398890859729</v>
      </c>
      <c r="D21" s="23" t="n">
        <f aca="false">D19*D20</f>
        <v>456.856431388383</v>
      </c>
      <c r="E21" s="23" t="n">
        <f aca="false">E19*E20</f>
        <v>468.399973888861</v>
      </c>
      <c r="F21" s="23" t="n">
        <f aca="false">F19*F20</f>
        <v>476.662544313753</v>
      </c>
      <c r="G21" s="23" t="n">
        <f aca="false">G19*G20</f>
        <v>476.973591557491</v>
      </c>
      <c r="H21" s="23" t="n">
        <f aca="false">H19*H20</f>
        <v>474.85599145562</v>
      </c>
      <c r="I21" s="23" t="n">
        <f aca="false">I19*I20</f>
        <v>466.079812253641</v>
      </c>
      <c r="J21" s="23" t="n">
        <f aca="false">J19*J20</f>
        <v>455.572534702022</v>
      </c>
      <c r="K21" s="23" t="n">
        <f aca="false">K19*K20</f>
        <v>450.367916846964</v>
      </c>
      <c r="L21" s="23" t="n">
        <f aca="false">L19*L20</f>
        <v>443.275044608263</v>
      </c>
    </row>
    <row r="23" customFormat="false" ht="15" hidden="false" customHeight="false" outlineLevel="0" collapsed="false">
      <c r="A23" s="2" t="s">
        <v>153</v>
      </c>
      <c r="C23" s="23" t="n">
        <f aca="false">C19-C10</f>
        <v>713.1678544</v>
      </c>
      <c r="D23" s="23" t="n">
        <f aca="false">D19-D10</f>
        <v>821.377964136</v>
      </c>
      <c r="E23" s="23" t="n">
        <f aca="false">E19-E10</f>
        <v>922.93402968</v>
      </c>
      <c r="F23" s="23" t="n">
        <f aca="false">F19-F10</f>
        <v>1033.1306309975</v>
      </c>
      <c r="G23" s="23" t="n">
        <f aca="false">G19-G10</f>
        <v>1136.63973210219</v>
      </c>
      <c r="H23" s="23" t="n">
        <f aca="false">H19-H10</f>
        <v>1236.70483339824</v>
      </c>
      <c r="I23" s="23" t="n">
        <f aca="false">I19-I10</f>
        <v>1334.44390962725</v>
      </c>
      <c r="J23" s="23" t="n">
        <f aca="false">J19-J10</f>
        <v>1424.65122747274</v>
      </c>
      <c r="K23" s="23" t="n">
        <f aca="false">K19-K10</f>
        <v>1536.32353068223</v>
      </c>
      <c r="L23" s="23" t="n">
        <f aca="false">L19-L10</f>
        <v>1639.5261231852</v>
      </c>
    </row>
    <row r="24" customFormat="false" ht="15" hidden="false" customHeight="false" outlineLevel="0" collapsed="false">
      <c r="A24" s="2" t="s">
        <v>154</v>
      </c>
      <c r="C24" s="13" t="n">
        <f aca="false">C19/C6</f>
        <v>0.159456666666667</v>
      </c>
      <c r="D24" s="13" t="n">
        <f aca="false">D19/D6</f>
        <v>0.158749017094017</v>
      </c>
      <c r="E24" s="13" t="n">
        <f aca="false">E19/E6</f>
        <v>0.156391304347826</v>
      </c>
      <c r="F24" s="13" t="n">
        <f aca="false">F19/F6</f>
        <v>0.154263859649123</v>
      </c>
      <c r="G24" s="13" t="n">
        <f aca="false">G19/G6</f>
        <v>0.152297142857143</v>
      </c>
      <c r="H24" s="13" t="n">
        <f aca="false">H19/H6</f>
        <v>0.150938018018018</v>
      </c>
      <c r="I24" s="13" t="n">
        <f aca="false">I19/I6</f>
        <v>0.148821818181818</v>
      </c>
      <c r="J24" s="13" t="n">
        <f aca="false">J19/J6</f>
        <v>0.147468623853211</v>
      </c>
      <c r="K24" s="13" t="n">
        <f aca="false">K19/K6</f>
        <v>0.149158518518518</v>
      </c>
      <c r="L24" s="13" t="n">
        <f aca="false">L19/L6</f>
        <v>0.151611588785047</v>
      </c>
    </row>
    <row r="25" customFormat="false" ht="15" hidden="false" customHeight="false" outlineLevel="0" collapsed="false">
      <c r="A25" s="4" t="s">
        <v>155</v>
      </c>
    </row>
    <row r="26" customFormat="false" ht="15" hidden="false" customHeight="false" outlineLevel="0" collapsed="false">
      <c r="A26" s="2" t="s">
        <v>156</v>
      </c>
      <c r="B26" s="23" t="n">
        <f aca="false">SUM(C21:L21)</f>
        <v>4602.44273187473</v>
      </c>
    </row>
    <row r="27" customFormat="false" ht="15" hidden="false" customHeight="false" outlineLevel="0" collapsed="false">
      <c r="A27" s="2" t="s">
        <v>115</v>
      </c>
      <c r="B27" s="28" t="n">
        <f aca="false">Assumptions!$D$15</f>
        <v>0.03</v>
      </c>
    </row>
    <row r="28" customFormat="false" ht="15" hidden="false" customHeight="false" outlineLevel="0" collapsed="false">
      <c r="A28" s="2" t="s">
        <v>157</v>
      </c>
      <c r="B28" s="23" t="n">
        <f aca="false">L19*(1+B27)</f>
        <v>1239.17683760121</v>
      </c>
    </row>
    <row r="29" customFormat="false" ht="15" hidden="false" customHeight="false" outlineLevel="0" collapsed="false">
      <c r="A29" s="2" t="s">
        <v>158</v>
      </c>
      <c r="B29" s="23" t="n">
        <f aca="false">B28/(Assumptions!$B$5-B27)</f>
        <v>16522.3578346829</v>
      </c>
    </row>
    <row r="30" customFormat="false" ht="15" hidden="false" customHeight="false" outlineLevel="0" collapsed="false">
      <c r="A30" s="2" t="s">
        <v>159</v>
      </c>
      <c r="B30" s="25" t="n">
        <f aca="false">Assumptions!$B$12*L19</f>
        <v>24061.6861670139</v>
      </c>
    </row>
    <row r="31" customFormat="false" ht="15" hidden="false" customHeight="false" outlineLevel="0" collapsed="false">
      <c r="A31" s="2" t="s">
        <v>160</v>
      </c>
      <c r="B31" s="23" t="n">
        <f aca="false">MAX(0,MIN(B29,B30))</f>
        <v>16522.3578346829</v>
      </c>
    </row>
    <row r="32" customFormat="false" ht="15" hidden="false" customHeight="false" outlineLevel="0" collapsed="false">
      <c r="A32" s="2" t="s">
        <v>161</v>
      </c>
      <c r="B32" s="29" t="n">
        <f aca="false">B31/L19</f>
        <v>13.7333333333333</v>
      </c>
    </row>
    <row r="33" customFormat="false" ht="15" hidden="false" customHeight="false" outlineLevel="0" collapsed="false">
      <c r="A33" s="2" t="s">
        <v>162</v>
      </c>
      <c r="B33" s="23" t="n">
        <f aca="false">B31*L20</f>
        <v>6087.64394595348</v>
      </c>
    </row>
    <row r="34" customFormat="false" ht="15" hidden="false" customHeight="false" outlineLevel="0" collapsed="false">
      <c r="A34" s="2" t="s">
        <v>163</v>
      </c>
      <c r="B34" s="23" t="n">
        <f aca="false">B26+B33</f>
        <v>10690.0866778282</v>
      </c>
    </row>
    <row r="35" customFormat="false" ht="15" hidden="false" customHeight="false" outlineLevel="0" collapsed="false">
      <c r="A35" s="2" t="s">
        <v>164</v>
      </c>
      <c r="B35" s="25" t="n">
        <f aca="false">Assumptions!$B$9</f>
        <v>1700</v>
      </c>
    </row>
    <row r="36" customFormat="false" ht="15" hidden="false" customHeight="false" outlineLevel="0" collapsed="false">
      <c r="A36" s="2" t="s">
        <v>165</v>
      </c>
      <c r="B36" s="23" t="n">
        <f aca="false">B34+B35</f>
        <v>12390.0866778282</v>
      </c>
    </row>
    <row r="37" customFormat="false" ht="15" hidden="false" customHeight="false" outlineLevel="0" collapsed="false">
      <c r="A37" s="2" t="s">
        <v>106</v>
      </c>
      <c r="B37" s="30" t="n">
        <f aca="false">Assumptions!$B$10</f>
        <v>1019</v>
      </c>
    </row>
    <row r="38" customFormat="false" ht="15" hidden="false" customHeight="false" outlineLevel="0" collapsed="false">
      <c r="A38" s="2" t="s">
        <v>166</v>
      </c>
      <c r="B38" s="31" t="n">
        <f aca="false">B36/B37</f>
        <v>12.1590644532171</v>
      </c>
    </row>
    <row r="39" customFormat="false" ht="15" hidden="false" customHeight="false" outlineLevel="0" collapsed="false">
      <c r="A39" s="2" t="s">
        <v>167</v>
      </c>
      <c r="B39" s="13" t="n">
        <f aca="false">B38/Assumptions!$B$11-1</f>
        <v>-0.0732420386267465</v>
      </c>
    </row>
    <row r="41" customFormat="false" ht="15" hidden="false" customHeight="false" outlineLevel="0" collapsed="false">
      <c r="A41" s="2" t="s">
        <v>168</v>
      </c>
      <c r="B41" s="23" t="n">
        <f aca="false">SUMPRODUCT(-C10:L10/(1+Assumptions!$B$5)^C4:L4)</f>
        <v>1995.82903620128</v>
      </c>
    </row>
    <row r="42" customFormat="false" ht="15" hidden="false" customHeight="false" outlineLevel="0" collapsed="false">
      <c r="A42" s="2" t="s">
        <v>169</v>
      </c>
      <c r="B42" s="23" t="n">
        <f aca="false">(-L10*(1+B27)/(Assumptions!$B$5-B27))*L20</f>
        <v>2208.40913092829</v>
      </c>
    </row>
    <row r="43" customFormat="false" ht="15" hidden="false" customHeight="false" outlineLevel="0" collapsed="false">
      <c r="A43" s="2" t="s">
        <v>170</v>
      </c>
      <c r="B43" s="32" t="n">
        <f aca="false">(B36+B41+B42)/B37</f>
        <v>16.2849115259645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0.51"/>
  </cols>
  <sheetData>
    <row r="1" customFormat="false" ht="16.1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5" t="s">
        <v>123</v>
      </c>
    </row>
    <row r="3" customFormat="false" ht="15" hidden="false" customHeight="false" outlineLevel="0" collapsed="false">
      <c r="B3" s="6" t="s">
        <v>124</v>
      </c>
      <c r="C3" s="6" t="s">
        <v>125</v>
      </c>
      <c r="D3" s="6" t="s">
        <v>126</v>
      </c>
      <c r="E3" s="6" t="s">
        <v>127</v>
      </c>
      <c r="F3" s="6" t="s">
        <v>128</v>
      </c>
      <c r="G3" s="6" t="s">
        <v>129</v>
      </c>
      <c r="H3" s="6" t="s">
        <v>130</v>
      </c>
      <c r="I3" s="6" t="s">
        <v>131</v>
      </c>
      <c r="J3" s="6" t="s">
        <v>132</v>
      </c>
      <c r="K3" s="6" t="s">
        <v>133</v>
      </c>
      <c r="L3" s="6" t="s">
        <v>134</v>
      </c>
    </row>
    <row r="4" customFormat="false" ht="15" hidden="false" customHeight="false" outlineLevel="0" collapsed="false">
      <c r="A4" s="21" t="s">
        <v>135</v>
      </c>
      <c r="B4" s="21" t="n">
        <v>0</v>
      </c>
      <c r="C4" s="21" t="n">
        <v>1</v>
      </c>
      <c r="D4" s="21" t="n">
        <v>2</v>
      </c>
      <c r="E4" s="21" t="n">
        <v>3</v>
      </c>
      <c r="F4" s="21" t="n">
        <v>4</v>
      </c>
      <c r="G4" s="21" t="n">
        <v>5</v>
      </c>
      <c r="H4" s="21" t="n">
        <v>6</v>
      </c>
      <c r="I4" s="21" t="n">
        <v>7</v>
      </c>
      <c r="J4" s="21" t="n">
        <v>8</v>
      </c>
      <c r="K4" s="21" t="n">
        <v>9</v>
      </c>
      <c r="L4" s="21" t="n">
        <v>10</v>
      </c>
    </row>
    <row r="5" customFormat="false" ht="15" hidden="false" customHeight="false" outlineLevel="0" collapsed="false">
      <c r="A5" s="2" t="s">
        <v>136</v>
      </c>
      <c r="C5" s="16" t="n">
        <v>0.22</v>
      </c>
      <c r="D5" s="16" t="n">
        <v>0.21</v>
      </c>
      <c r="E5" s="16" t="n">
        <v>0.19</v>
      </c>
      <c r="F5" s="16" t="n">
        <v>0.17</v>
      </c>
      <c r="G5" s="16" t="n">
        <v>0.15</v>
      </c>
      <c r="H5" s="16" t="n">
        <v>0.14</v>
      </c>
      <c r="I5" s="16" t="n">
        <v>0.12</v>
      </c>
      <c r="J5" s="16" t="n">
        <v>0.11</v>
      </c>
      <c r="K5" s="16" t="n">
        <v>0.1</v>
      </c>
      <c r="L5" s="16" t="n">
        <v>0.09</v>
      </c>
    </row>
    <row r="6" customFormat="false" ht="15" hidden="false" customHeight="false" outlineLevel="0" collapsed="false">
      <c r="A6" s="2" t="s">
        <v>137</v>
      </c>
      <c r="B6" s="22" t="n">
        <v>2502.8</v>
      </c>
      <c r="C6" s="23" t="n">
        <f aca="false">B6*(1+C5)</f>
        <v>3053.416</v>
      </c>
      <c r="D6" s="23" t="n">
        <f aca="false">C6*(1+D5)</f>
        <v>3694.63336</v>
      </c>
      <c r="E6" s="23" t="n">
        <f aca="false">D6*(1+E5)</f>
        <v>4396.6136984</v>
      </c>
      <c r="F6" s="23" t="n">
        <f aca="false">E6*(1+F5)</f>
        <v>5144.038027128</v>
      </c>
      <c r="G6" s="23" t="n">
        <f aca="false">F6*(1+G5)</f>
        <v>5915.6437311972</v>
      </c>
      <c r="H6" s="23" t="n">
        <f aca="false">G6*(1+H5)</f>
        <v>6743.83385356481</v>
      </c>
      <c r="I6" s="23" t="n">
        <f aca="false">H6*(1+I5)</f>
        <v>7553.09391599259</v>
      </c>
      <c r="J6" s="23" t="n">
        <f aca="false">I6*(1+J5)</f>
        <v>8383.93424675177</v>
      </c>
      <c r="K6" s="23" t="n">
        <f aca="false">J6*(1+K5)</f>
        <v>9222.32767142695</v>
      </c>
      <c r="L6" s="23" t="n">
        <f aca="false">K6*(1+L5)</f>
        <v>10052.3371618554</v>
      </c>
    </row>
    <row r="7" customFormat="false" ht="15" hidden="false" customHeight="false" outlineLevel="0" collapsed="false">
      <c r="A7" s="2" t="s">
        <v>138</v>
      </c>
      <c r="B7" s="24" t="n">
        <v>0.342</v>
      </c>
      <c r="C7" s="16" t="n">
        <v>0.34</v>
      </c>
      <c r="D7" s="16" t="n">
        <v>0.34</v>
      </c>
      <c r="E7" s="16" t="n">
        <v>0.345</v>
      </c>
      <c r="F7" s="16" t="n">
        <v>0.345</v>
      </c>
      <c r="G7" s="16" t="n">
        <v>0.35</v>
      </c>
      <c r="H7" s="16" t="n">
        <v>0.35</v>
      </c>
      <c r="I7" s="16" t="n">
        <v>0.35</v>
      </c>
      <c r="J7" s="16" t="n">
        <v>0.35</v>
      </c>
      <c r="K7" s="16" t="n">
        <v>0.35</v>
      </c>
      <c r="L7" s="16" t="n">
        <v>0.35</v>
      </c>
    </row>
    <row r="8" customFormat="false" ht="15" hidden="false" customHeight="false" outlineLevel="0" collapsed="false">
      <c r="A8" s="2" t="s">
        <v>139</v>
      </c>
      <c r="C8" s="23" t="n">
        <f aca="false">C6*C7</f>
        <v>1038.16144</v>
      </c>
      <c r="D8" s="23" t="n">
        <f aca="false">D6*D7</f>
        <v>1256.1753424</v>
      </c>
      <c r="E8" s="23" t="n">
        <f aca="false">E6*E7</f>
        <v>1516.831725948</v>
      </c>
      <c r="F8" s="23" t="n">
        <f aca="false">F6*F7</f>
        <v>1774.69311935916</v>
      </c>
      <c r="G8" s="23" t="n">
        <f aca="false">G6*G7</f>
        <v>2070.47530591902</v>
      </c>
      <c r="H8" s="23" t="n">
        <f aca="false">H6*H7</f>
        <v>2360.34184874768</v>
      </c>
      <c r="I8" s="23" t="n">
        <f aca="false">I6*I7</f>
        <v>2643.58287059741</v>
      </c>
      <c r="J8" s="23" t="n">
        <f aca="false">J6*J7</f>
        <v>2934.37698636312</v>
      </c>
      <c r="K8" s="23" t="n">
        <f aca="false">K6*K7</f>
        <v>3227.81468499943</v>
      </c>
      <c r="L8" s="23" t="n">
        <f aca="false">L6*L7</f>
        <v>3518.31800664938</v>
      </c>
    </row>
    <row r="9" customFormat="false" ht="15" hidden="false" customHeight="false" outlineLevel="0" collapsed="false">
      <c r="A9" s="2" t="s">
        <v>140</v>
      </c>
      <c r="B9" s="24" t="n">
        <v>0.08</v>
      </c>
      <c r="C9" s="16" t="n">
        <v>0.075</v>
      </c>
      <c r="D9" s="16" t="n">
        <v>0.07</v>
      </c>
      <c r="E9" s="16" t="n">
        <v>0.066</v>
      </c>
      <c r="F9" s="16" t="n">
        <v>0.062</v>
      </c>
      <c r="G9" s="16" t="n">
        <v>0.058</v>
      </c>
      <c r="H9" s="16" t="n">
        <v>0.055</v>
      </c>
      <c r="I9" s="16" t="n">
        <v>0.052</v>
      </c>
      <c r="J9" s="16" t="n">
        <v>0.05</v>
      </c>
      <c r="K9" s="16" t="n">
        <v>0.048</v>
      </c>
      <c r="L9" s="16" t="n">
        <v>0.045</v>
      </c>
    </row>
    <row r="10" customFormat="false" ht="15" hidden="false" customHeight="false" outlineLevel="0" collapsed="false">
      <c r="A10" s="2" t="s">
        <v>141</v>
      </c>
      <c r="C10" s="23" t="n">
        <f aca="false">-C6*C9</f>
        <v>-229.0062</v>
      </c>
      <c r="D10" s="23" t="n">
        <f aca="false">-D6*D9</f>
        <v>-258.6243352</v>
      </c>
      <c r="E10" s="23" t="n">
        <f aca="false">-E6*E9</f>
        <v>-290.1765040944</v>
      </c>
      <c r="F10" s="23" t="n">
        <f aca="false">-F6*F9</f>
        <v>-318.930357681936</v>
      </c>
      <c r="G10" s="23" t="n">
        <f aca="false">-G6*G9</f>
        <v>-343.107336409438</v>
      </c>
      <c r="H10" s="23" t="n">
        <f aca="false">-H6*H9</f>
        <v>-370.910861946065</v>
      </c>
      <c r="I10" s="23" t="n">
        <f aca="false">-I6*I9</f>
        <v>-392.760883631614</v>
      </c>
      <c r="J10" s="23" t="n">
        <f aca="false">-J6*J9</f>
        <v>-419.196712337589</v>
      </c>
      <c r="K10" s="23" t="n">
        <f aca="false">-K6*K9</f>
        <v>-442.671728228494</v>
      </c>
      <c r="L10" s="23" t="n">
        <f aca="false">-L6*L9</f>
        <v>-452.355172283492</v>
      </c>
    </row>
    <row r="11" customFormat="false" ht="15" hidden="false" customHeight="false" outlineLevel="0" collapsed="false">
      <c r="A11" s="2" t="s">
        <v>142</v>
      </c>
      <c r="C11" s="23" t="n">
        <f aca="false">C8+C10</f>
        <v>809.15524</v>
      </c>
      <c r="D11" s="23" t="n">
        <f aca="false">D8+D10</f>
        <v>997.5510072</v>
      </c>
      <c r="E11" s="23" t="n">
        <f aca="false">E8+E10</f>
        <v>1226.6552218536</v>
      </c>
      <c r="F11" s="23" t="n">
        <f aca="false">F8+F10</f>
        <v>1455.76276167722</v>
      </c>
      <c r="G11" s="23" t="n">
        <f aca="false">G8+G10</f>
        <v>1727.36796950958</v>
      </c>
      <c r="H11" s="23" t="n">
        <f aca="false">H8+H10</f>
        <v>1989.43098680162</v>
      </c>
      <c r="I11" s="23" t="n">
        <f aca="false">I8+I10</f>
        <v>2250.82198696579</v>
      </c>
      <c r="J11" s="23" t="n">
        <f aca="false">J8+J10</f>
        <v>2515.18027402553</v>
      </c>
      <c r="K11" s="23" t="n">
        <f aca="false">K8+K10</f>
        <v>2785.14295677094</v>
      </c>
      <c r="L11" s="23" t="n">
        <f aca="false">L8+L10</f>
        <v>3065.96283436589</v>
      </c>
    </row>
    <row r="12" customFormat="false" ht="15" hidden="false" customHeight="false" outlineLevel="0" collapsed="false">
      <c r="A12" s="2" t="s">
        <v>143</v>
      </c>
      <c r="C12" s="25" t="n">
        <f aca="false">-C6*Assumptions!$B$6</f>
        <v>-85.495648</v>
      </c>
      <c r="D12" s="25" t="n">
        <f aca="false">-D6*Assumptions!$B$6</f>
        <v>-103.44973408</v>
      </c>
      <c r="E12" s="25" t="n">
        <f aca="false">-E6*Assumptions!$B$6</f>
        <v>-123.1051835552</v>
      </c>
      <c r="F12" s="25" t="n">
        <f aca="false">-F6*Assumptions!$B$6</f>
        <v>-144.033064759584</v>
      </c>
      <c r="G12" s="25" t="n">
        <f aca="false">-G6*Assumptions!$B$6</f>
        <v>-165.638024473522</v>
      </c>
      <c r="H12" s="25" t="n">
        <f aca="false">-H6*Assumptions!$B$6</f>
        <v>-188.827347899815</v>
      </c>
      <c r="I12" s="25" t="n">
        <f aca="false">-I6*Assumptions!$B$6</f>
        <v>-211.486629647792</v>
      </c>
      <c r="J12" s="25" t="n">
        <f aca="false">-J6*Assumptions!$B$6</f>
        <v>-234.75015890905</v>
      </c>
      <c r="K12" s="25" t="n">
        <f aca="false">-K6*Assumptions!$B$6</f>
        <v>-258.225174799955</v>
      </c>
      <c r="L12" s="25" t="n">
        <f aca="false">-L6*Assumptions!$B$6</f>
        <v>-281.465440531951</v>
      </c>
    </row>
    <row r="13" customFormat="false" ht="15" hidden="false" customHeight="false" outlineLevel="0" collapsed="false">
      <c r="A13" s="2" t="s">
        <v>144</v>
      </c>
      <c r="C13" s="23" t="n">
        <f aca="false">C11+C12</f>
        <v>723.659592</v>
      </c>
      <c r="D13" s="23" t="n">
        <f aca="false">D11+D12</f>
        <v>894.10127312</v>
      </c>
      <c r="E13" s="23" t="n">
        <f aca="false">E11+E12</f>
        <v>1103.5500382984</v>
      </c>
      <c r="F13" s="23" t="n">
        <f aca="false">F11+F12</f>
        <v>1311.72969691764</v>
      </c>
      <c r="G13" s="23" t="n">
        <f aca="false">G11+G12</f>
        <v>1561.72994503606</v>
      </c>
      <c r="H13" s="23" t="n">
        <f aca="false">H11+H12</f>
        <v>1800.6036389018</v>
      </c>
      <c r="I13" s="23" t="n">
        <f aca="false">I11+I12</f>
        <v>2039.335357318</v>
      </c>
      <c r="J13" s="23" t="n">
        <f aca="false">J11+J12</f>
        <v>2280.43011511648</v>
      </c>
      <c r="K13" s="23" t="n">
        <f aca="false">K11+K12</f>
        <v>2526.91778197098</v>
      </c>
      <c r="L13" s="23" t="n">
        <f aca="false">L11+L12</f>
        <v>2784.49739383394</v>
      </c>
    </row>
    <row r="14" customFormat="false" ht="15" hidden="false" customHeight="false" outlineLevel="0" collapsed="false">
      <c r="A14" s="2" t="s">
        <v>145</v>
      </c>
      <c r="C14" s="16" t="n">
        <v>0.23</v>
      </c>
      <c r="D14" s="16" t="n">
        <v>0.235</v>
      </c>
      <c r="E14" s="16" t="n">
        <v>0.24</v>
      </c>
      <c r="F14" s="16" t="n">
        <v>0.24</v>
      </c>
      <c r="G14" s="16" t="n">
        <v>0.24</v>
      </c>
      <c r="H14" s="16" t="n">
        <v>0.24</v>
      </c>
      <c r="I14" s="16" t="n">
        <v>0.24</v>
      </c>
      <c r="J14" s="16" t="n">
        <v>0.24</v>
      </c>
      <c r="K14" s="16" t="n">
        <v>0.24</v>
      </c>
      <c r="L14" s="16" t="n">
        <v>0.24</v>
      </c>
    </row>
    <row r="15" customFormat="false" ht="15" hidden="false" customHeight="false" outlineLevel="0" collapsed="false">
      <c r="A15" s="2" t="s">
        <v>146</v>
      </c>
      <c r="C15" s="23" t="n">
        <f aca="false">C13*(1-C14)</f>
        <v>557.21788584</v>
      </c>
      <c r="D15" s="23" t="n">
        <f aca="false">D13*(1-D14)</f>
        <v>683.9874739368</v>
      </c>
      <c r="E15" s="23" t="n">
        <f aca="false">E13*(1-E14)</f>
        <v>838.698029106784</v>
      </c>
      <c r="F15" s="23" t="n">
        <f aca="false">F13*(1-F14)</f>
        <v>996.914569657406</v>
      </c>
      <c r="G15" s="23" t="n">
        <f aca="false">G13*(1-G14)</f>
        <v>1186.91475822741</v>
      </c>
      <c r="H15" s="23" t="n">
        <f aca="false">H13*(1-H14)</f>
        <v>1368.45876556537</v>
      </c>
      <c r="I15" s="23" t="n">
        <f aca="false">I13*(1-I14)</f>
        <v>1549.89487156168</v>
      </c>
      <c r="J15" s="23" t="n">
        <f aca="false">J13*(1-J14)</f>
        <v>1733.12688748853</v>
      </c>
      <c r="K15" s="23" t="n">
        <f aca="false">K13*(1-K14)</f>
        <v>1920.45751429795</v>
      </c>
      <c r="L15" s="23" t="n">
        <f aca="false">L13*(1-L14)</f>
        <v>2116.21801931379</v>
      </c>
    </row>
    <row r="16" customFormat="false" ht="15" hidden="false" customHeight="false" outlineLevel="0" collapsed="false">
      <c r="A16" s="2" t="s">
        <v>147</v>
      </c>
      <c r="C16" s="23" t="n">
        <f aca="false">-C12</f>
        <v>85.495648</v>
      </c>
      <c r="D16" s="23" t="n">
        <f aca="false">-D12</f>
        <v>103.44973408</v>
      </c>
      <c r="E16" s="23" t="n">
        <f aca="false">-E12</f>
        <v>123.1051835552</v>
      </c>
      <c r="F16" s="23" t="n">
        <f aca="false">-F12</f>
        <v>144.033064759584</v>
      </c>
      <c r="G16" s="23" t="n">
        <f aca="false">-G12</f>
        <v>165.638024473522</v>
      </c>
      <c r="H16" s="23" t="n">
        <f aca="false">-H12</f>
        <v>188.827347899815</v>
      </c>
      <c r="I16" s="23" t="n">
        <f aca="false">-I12</f>
        <v>211.486629647792</v>
      </c>
      <c r="J16" s="23" t="n">
        <f aca="false">-J12</f>
        <v>234.75015890905</v>
      </c>
      <c r="K16" s="23" t="n">
        <f aca="false">-K12</f>
        <v>258.225174799955</v>
      </c>
      <c r="L16" s="23" t="n">
        <f aca="false">-L12</f>
        <v>281.465440531951</v>
      </c>
    </row>
    <row r="17" customFormat="false" ht="15" hidden="false" customHeight="false" outlineLevel="0" collapsed="false">
      <c r="A17" s="2" t="s">
        <v>148</v>
      </c>
      <c r="C17" s="25" t="n">
        <f aca="false">-C6*Assumptions!$B$7</f>
        <v>-122.13664</v>
      </c>
      <c r="D17" s="25" t="n">
        <f aca="false">-D6*Assumptions!$B$7</f>
        <v>-147.7853344</v>
      </c>
      <c r="E17" s="25" t="n">
        <f aca="false">-E6*Assumptions!$B$7</f>
        <v>-175.864547936</v>
      </c>
      <c r="F17" s="25" t="n">
        <f aca="false">-F6*Assumptions!$B$7</f>
        <v>-205.76152108512</v>
      </c>
      <c r="G17" s="25" t="n">
        <f aca="false">-G6*Assumptions!$B$7</f>
        <v>-236.625749247888</v>
      </c>
      <c r="H17" s="25" t="n">
        <f aca="false">-H6*Assumptions!$B$7</f>
        <v>-269.753354142592</v>
      </c>
      <c r="I17" s="25" t="n">
        <f aca="false">-I6*Assumptions!$B$7</f>
        <v>-302.123756639703</v>
      </c>
      <c r="J17" s="25" t="n">
        <f aca="false">-J6*Assumptions!$B$7</f>
        <v>-335.357369870071</v>
      </c>
      <c r="K17" s="25" t="n">
        <f aca="false">-K6*Assumptions!$B$7</f>
        <v>-368.893106857078</v>
      </c>
      <c r="L17" s="25" t="n">
        <f aca="false">-L6*Assumptions!$B$7</f>
        <v>-402.093486474215</v>
      </c>
    </row>
    <row r="18" customFormat="false" ht="15" hidden="false" customHeight="false" outlineLevel="0" collapsed="false">
      <c r="A18" s="2" t="s">
        <v>149</v>
      </c>
      <c r="C18" s="25" t="n">
        <f aca="false">Assumptions!$B$8*(C6-B6)</f>
        <v>-11.01232</v>
      </c>
      <c r="D18" s="25" t="n">
        <f aca="false">Assumptions!$B$8*(D6-C6)</f>
        <v>-12.8243472</v>
      </c>
      <c r="E18" s="25" t="n">
        <f aca="false">Assumptions!$B$8*(E6-D6)</f>
        <v>-14.039606768</v>
      </c>
      <c r="F18" s="25" t="n">
        <f aca="false">Assumptions!$B$8*(F6-E6)</f>
        <v>-14.94848657456</v>
      </c>
      <c r="G18" s="25" t="n">
        <f aca="false">Assumptions!$B$8*(G6-F6)</f>
        <v>-15.432114081384</v>
      </c>
      <c r="H18" s="25" t="n">
        <f aca="false">Assumptions!$B$8*(H6-G6)</f>
        <v>-16.5638024473522</v>
      </c>
      <c r="I18" s="25" t="n">
        <f aca="false">Assumptions!$B$8*(I6-H6)</f>
        <v>-16.1852012485556</v>
      </c>
      <c r="J18" s="25" t="n">
        <f aca="false">Assumptions!$B$8*(J6-I6)</f>
        <v>-16.6168066151837</v>
      </c>
      <c r="K18" s="25" t="n">
        <f aca="false">Assumptions!$B$8*(K6-J6)</f>
        <v>-16.7678684935036</v>
      </c>
      <c r="L18" s="25" t="n">
        <f aca="false">Assumptions!$B$8*(L6-K6)</f>
        <v>-16.6001898085685</v>
      </c>
    </row>
    <row r="19" customFormat="false" ht="15" hidden="false" customHeight="false" outlineLevel="0" collapsed="false">
      <c r="A19" s="2" t="s">
        <v>150</v>
      </c>
      <c r="C19" s="26" t="n">
        <f aca="false">C15+C16+C17+C18</f>
        <v>509.56457384</v>
      </c>
      <c r="D19" s="26" t="n">
        <f aca="false">D15+D16+D17+D18</f>
        <v>626.8275264168</v>
      </c>
      <c r="E19" s="26" t="n">
        <f aca="false">E15+E16+E17+E18</f>
        <v>771.899057957984</v>
      </c>
      <c r="F19" s="26" t="n">
        <f aca="false">F15+F16+F17+F18</f>
        <v>920.23762675731</v>
      </c>
      <c r="G19" s="26" t="n">
        <f aca="false">G15+G16+G17+G18</f>
        <v>1100.49491937166</v>
      </c>
      <c r="H19" s="26" t="n">
        <f aca="false">H15+H16+H17+H18</f>
        <v>1270.96895687524</v>
      </c>
      <c r="I19" s="26" t="n">
        <f aca="false">I15+I16+I17+I18</f>
        <v>1443.07254332121</v>
      </c>
      <c r="J19" s="26" t="n">
        <f aca="false">J15+J16+J17+J18</f>
        <v>1615.90286991232</v>
      </c>
      <c r="K19" s="26" t="n">
        <f aca="false">K15+K16+K17+K18</f>
        <v>1793.02171374732</v>
      </c>
      <c r="L19" s="26" t="n">
        <f aca="false">L15+L16+L17+L18</f>
        <v>1978.98978356296</v>
      </c>
    </row>
    <row r="20" customFormat="false" ht="15" hidden="false" customHeight="false" outlineLevel="0" collapsed="false">
      <c r="A20" s="2" t="s">
        <v>151</v>
      </c>
      <c r="C20" s="27" t="n">
        <f aca="false">1/(1+Assumptions!$B$5)^C4</f>
        <v>0.904977375565611</v>
      </c>
      <c r="D20" s="27" t="n">
        <f aca="false">1/(1+Assumptions!$B$5)^D4</f>
        <v>0.818984050285621</v>
      </c>
      <c r="E20" s="27" t="n">
        <f aca="false">1/(1+Assumptions!$B$5)^E4</f>
        <v>0.741162036457575</v>
      </c>
      <c r="F20" s="27" t="n">
        <f aca="false">1/(1+Assumptions!$B$5)^F4</f>
        <v>0.67073487462224</v>
      </c>
      <c r="G20" s="27" t="n">
        <f aca="false">1/(1+Assumptions!$B$5)^G4</f>
        <v>0.606999886535964</v>
      </c>
      <c r="H20" s="27" t="n">
        <f aca="false">1/(1+Assumptions!$B$5)^H4</f>
        <v>0.54932116428594</v>
      </c>
      <c r="I20" s="27" t="n">
        <f aca="false">1/(1+Assumptions!$B$5)^I4</f>
        <v>0.497123225598136</v>
      </c>
      <c r="J20" s="27" t="n">
        <f aca="false">1/(1+Assumptions!$B$5)^J4</f>
        <v>0.449885272034512</v>
      </c>
      <c r="K20" s="27" t="n">
        <f aca="false">1/(1+Assumptions!$B$5)^K4</f>
        <v>0.407135992791414</v>
      </c>
      <c r="L20" s="27" t="n">
        <f aca="false">1/(1+Assumptions!$B$5)^L4</f>
        <v>0.368448862254673</v>
      </c>
    </row>
    <row r="21" customFormat="false" ht="15" hidden="false" customHeight="false" outlineLevel="0" collapsed="false">
      <c r="A21" s="2" t="s">
        <v>152</v>
      </c>
      <c r="C21" s="23" t="n">
        <f aca="false">C19*C20</f>
        <v>461.144410714932</v>
      </c>
      <c r="D21" s="23" t="n">
        <f aca="false">D19*D20</f>
        <v>513.361746415348</v>
      </c>
      <c r="E21" s="23" t="n">
        <f aca="false">E19*E20</f>
        <v>572.102277735823</v>
      </c>
      <c r="F21" s="23" t="n">
        <f aca="false">F19*F20</f>
        <v>617.235469205732</v>
      </c>
      <c r="G21" s="23" t="n">
        <f aca="false">G19*G20</f>
        <v>668.000291192</v>
      </c>
      <c r="H21" s="23" t="n">
        <f aca="false">H19*H20</f>
        <v>698.170147161994</v>
      </c>
      <c r="I21" s="23" t="n">
        <f aca="false">I19*I20</f>
        <v>717.384877507947</v>
      </c>
      <c r="J21" s="23" t="n">
        <f aca="false">J19*J20</f>
        <v>726.970902211853</v>
      </c>
      <c r="K21" s="23" t="n">
        <f aca="false">K19*K20</f>
        <v>730.003675523077</v>
      </c>
      <c r="L21" s="23" t="n">
        <f aca="false">L19*L20</f>
        <v>729.156534167395</v>
      </c>
    </row>
    <row r="23" customFormat="false" ht="15" hidden="false" customHeight="false" outlineLevel="0" collapsed="false">
      <c r="A23" s="2" t="s">
        <v>153</v>
      </c>
      <c r="C23" s="23" t="n">
        <f aca="false">C19-C10</f>
        <v>738.57077384</v>
      </c>
      <c r="D23" s="23" t="n">
        <f aca="false">D19-D10</f>
        <v>885.4518616168</v>
      </c>
      <c r="E23" s="23" t="n">
        <f aca="false">E19-E10</f>
        <v>1062.07556205238</v>
      </c>
      <c r="F23" s="23" t="n">
        <f aca="false">F19-F10</f>
        <v>1239.16798443925</v>
      </c>
      <c r="G23" s="23" t="n">
        <f aca="false">G19-G10</f>
        <v>1443.60225578109</v>
      </c>
      <c r="H23" s="23" t="n">
        <f aca="false">H19-H10</f>
        <v>1641.87981882131</v>
      </c>
      <c r="I23" s="23" t="n">
        <f aca="false">I19-I10</f>
        <v>1835.83342695283</v>
      </c>
      <c r="J23" s="23" t="n">
        <f aca="false">J19-J10</f>
        <v>2035.09958224991</v>
      </c>
      <c r="K23" s="23" t="n">
        <f aca="false">K19-K10</f>
        <v>2235.69344197581</v>
      </c>
      <c r="L23" s="23" t="n">
        <f aca="false">L19-L10</f>
        <v>2431.34495584645</v>
      </c>
    </row>
    <row r="24" customFormat="false" ht="15" hidden="false" customHeight="false" outlineLevel="0" collapsed="false">
      <c r="A24" s="2" t="s">
        <v>154</v>
      </c>
      <c r="C24" s="13" t="n">
        <f aca="false">C19/C6</f>
        <v>0.166883442622951</v>
      </c>
      <c r="D24" s="13" t="n">
        <f aca="false">D19/D6</f>
        <v>0.169658925619835</v>
      </c>
      <c r="E24" s="13" t="n">
        <f aca="false">E19/E6</f>
        <v>0.175566722689076</v>
      </c>
      <c r="F24" s="13" t="n">
        <f aca="false">F19/F6</f>
        <v>0.178894017094017</v>
      </c>
      <c r="G24" s="13" t="n">
        <f aca="false">G19/G6</f>
        <v>0.186031304347826</v>
      </c>
      <c r="H24" s="13" t="n">
        <f aca="false">H19/H6</f>
        <v>0.188463859649123</v>
      </c>
      <c r="I24" s="13" t="n">
        <f aca="false">I19/I6</f>
        <v>0.191057142857143</v>
      </c>
      <c r="J24" s="13" t="n">
        <f aca="false">J19/J6</f>
        <v>0.192738018018018</v>
      </c>
      <c r="K24" s="13" t="n">
        <f aca="false">K19/K6</f>
        <v>0.194421818181818</v>
      </c>
      <c r="L24" s="13" t="n">
        <f aca="false">L19/L6</f>
        <v>0.196868623853211</v>
      </c>
    </row>
    <row r="25" customFormat="false" ht="15" hidden="false" customHeight="false" outlineLevel="0" collapsed="false">
      <c r="A25" s="4" t="s">
        <v>155</v>
      </c>
    </row>
    <row r="26" customFormat="false" ht="15" hidden="false" customHeight="false" outlineLevel="0" collapsed="false">
      <c r="A26" s="2" t="s">
        <v>156</v>
      </c>
      <c r="B26" s="23" t="n">
        <f aca="false">SUM(C21:L21)</f>
        <v>6433.5303318361</v>
      </c>
    </row>
    <row r="27" customFormat="false" ht="15" hidden="false" customHeight="false" outlineLevel="0" collapsed="false">
      <c r="A27" s="2" t="s">
        <v>115</v>
      </c>
      <c r="B27" s="28" t="n">
        <f aca="false">Assumptions!$E$15</f>
        <v>0.035</v>
      </c>
    </row>
    <row r="28" customFormat="false" ht="15" hidden="false" customHeight="false" outlineLevel="0" collapsed="false">
      <c r="A28" s="2" t="s">
        <v>157</v>
      </c>
      <c r="B28" s="23" t="n">
        <f aca="false">L19*(1+B27)</f>
        <v>2048.25442598766</v>
      </c>
    </row>
    <row r="29" customFormat="false" ht="15" hidden="false" customHeight="false" outlineLevel="0" collapsed="false">
      <c r="A29" s="2" t="s">
        <v>158</v>
      </c>
      <c r="B29" s="23" t="n">
        <f aca="false">B28/(Assumptions!$B$5-B27)</f>
        <v>29260.7775141095</v>
      </c>
    </row>
    <row r="30" customFormat="false" ht="15" hidden="false" customHeight="false" outlineLevel="0" collapsed="false">
      <c r="A30" s="2" t="s">
        <v>159</v>
      </c>
      <c r="B30" s="25" t="n">
        <f aca="false">Assumptions!$B$12*L19</f>
        <v>39579.7956712592</v>
      </c>
    </row>
    <row r="31" customFormat="false" ht="15" hidden="false" customHeight="false" outlineLevel="0" collapsed="false">
      <c r="A31" s="2" t="s">
        <v>160</v>
      </c>
      <c r="B31" s="23" t="n">
        <f aca="false">MAX(0,MIN(B29,B30))</f>
        <v>29260.7775141095</v>
      </c>
    </row>
    <row r="32" customFormat="false" ht="15" hidden="false" customHeight="false" outlineLevel="0" collapsed="false">
      <c r="A32" s="2" t="s">
        <v>161</v>
      </c>
      <c r="B32" s="29" t="n">
        <f aca="false">B31/L19</f>
        <v>14.7857142857143</v>
      </c>
    </row>
    <row r="33" customFormat="false" ht="15" hidden="false" customHeight="false" outlineLevel="0" collapsed="false">
      <c r="A33" s="2" t="s">
        <v>162</v>
      </c>
      <c r="B33" s="23" t="n">
        <f aca="false">B31*L20</f>
        <v>10781.1001837608</v>
      </c>
    </row>
    <row r="34" customFormat="false" ht="15" hidden="false" customHeight="false" outlineLevel="0" collapsed="false">
      <c r="A34" s="2" t="s">
        <v>163</v>
      </c>
      <c r="B34" s="23" t="n">
        <f aca="false">B26+B33</f>
        <v>17214.6305155969</v>
      </c>
    </row>
    <row r="35" customFormat="false" ht="15" hidden="false" customHeight="false" outlineLevel="0" collapsed="false">
      <c r="A35" s="2" t="s">
        <v>164</v>
      </c>
      <c r="B35" s="25" t="n">
        <f aca="false">Assumptions!$B$9</f>
        <v>1700</v>
      </c>
    </row>
    <row r="36" customFormat="false" ht="15" hidden="false" customHeight="false" outlineLevel="0" collapsed="false">
      <c r="A36" s="2" t="s">
        <v>165</v>
      </c>
      <c r="B36" s="23" t="n">
        <f aca="false">B34+B35</f>
        <v>18914.6305155969</v>
      </c>
    </row>
    <row r="37" customFormat="false" ht="15" hidden="false" customHeight="false" outlineLevel="0" collapsed="false">
      <c r="A37" s="2" t="s">
        <v>106</v>
      </c>
      <c r="B37" s="30" t="n">
        <f aca="false">Assumptions!$B$10</f>
        <v>1019</v>
      </c>
    </row>
    <row r="38" customFormat="false" ht="15" hidden="false" customHeight="false" outlineLevel="0" collapsed="false">
      <c r="A38" s="2" t="s">
        <v>166</v>
      </c>
      <c r="B38" s="31" t="n">
        <f aca="false">B36/B37</f>
        <v>18.5619534009783</v>
      </c>
    </row>
    <row r="39" customFormat="false" ht="15" hidden="false" customHeight="false" outlineLevel="0" collapsed="false">
      <c r="A39" s="2" t="s">
        <v>167</v>
      </c>
      <c r="B39" s="13" t="n">
        <f aca="false">B38/Assumptions!$B$11-1</f>
        <v>0.414783033611149</v>
      </c>
    </row>
    <row r="41" customFormat="false" ht="15" hidden="false" customHeight="false" outlineLevel="0" collapsed="false">
      <c r="A41" s="2" t="s">
        <v>168</v>
      </c>
      <c r="B41" s="23" t="n">
        <f aca="false">SUMPRODUCT(-C10:L10/(1+Assumptions!$B$5)^C4:L4)</f>
        <v>1990.7937848308</v>
      </c>
    </row>
    <row r="42" customFormat="false" ht="15" hidden="false" customHeight="false" outlineLevel="0" collapsed="false">
      <c r="A42" s="2" t="s">
        <v>169</v>
      </c>
      <c r="B42" s="23" t="n">
        <f aca="false">(-L10*(1+B27)/(Assumptions!$B$5-B27))*L20</f>
        <v>2464.33128232242</v>
      </c>
    </row>
    <row r="43" customFormat="false" ht="15" hidden="false" customHeight="false" outlineLevel="0" collapsed="false">
      <c r="A43" s="2" t="s">
        <v>170</v>
      </c>
      <c r="B43" s="32" t="n">
        <f aca="false">(B36+B41+B42)/B37</f>
        <v>22.9340094040727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5" t="s">
        <v>174</v>
      </c>
    </row>
    <row r="4" customFormat="false" ht="15" hidden="false" customHeight="false" outlineLevel="0" collapsed="false">
      <c r="B4" s="6" t="s">
        <v>112</v>
      </c>
      <c r="C4" s="6" t="s">
        <v>113</v>
      </c>
      <c r="D4" s="6" t="s">
        <v>114</v>
      </c>
    </row>
    <row r="5" customFormat="false" ht="15" hidden="false" customHeight="false" outlineLevel="0" collapsed="false">
      <c r="A5" s="2" t="s">
        <v>166</v>
      </c>
      <c r="B5" s="33" t="n">
        <f aca="false">DCF_Bear!$B$38</f>
        <v>6.21040799988221</v>
      </c>
      <c r="C5" s="33" t="n">
        <f aca="false">DCF_Base!$B$38</f>
        <v>12.1590644532171</v>
      </c>
      <c r="D5" s="33" t="n">
        <f aca="false">DCF_Bull!$B$38</f>
        <v>18.5619534009783</v>
      </c>
    </row>
    <row r="6" customFormat="false" ht="15" hidden="false" customHeight="false" outlineLevel="0" collapsed="false">
      <c r="A6" s="2" t="s">
        <v>175</v>
      </c>
      <c r="B6" s="13" t="n">
        <f aca="false">B5/Assumptions!$B$11-1</f>
        <v>-0.526645731716295</v>
      </c>
      <c r="C6" s="13" t="n">
        <f aca="false">C5/Assumptions!$B$11-1</f>
        <v>-0.0732420386267465</v>
      </c>
      <c r="D6" s="13" t="n">
        <f aca="false">D5/Assumptions!$B$11-1</f>
        <v>0.414783033611149</v>
      </c>
    </row>
    <row r="7" customFormat="false" ht="15" hidden="false" customHeight="false" outlineLevel="0" collapsed="false">
      <c r="A7" s="2" t="s">
        <v>176</v>
      </c>
      <c r="B7" s="28" t="n">
        <f aca="false">Assumptions!$C$16</f>
        <v>0.2</v>
      </c>
      <c r="C7" s="28" t="n">
        <f aca="false">Assumptions!$D$16</f>
        <v>0.5</v>
      </c>
      <c r="D7" s="28" t="n">
        <f aca="false">Assumptions!$E$16</f>
        <v>0.3</v>
      </c>
    </row>
    <row r="8" customFormat="false" ht="15" hidden="false" customHeight="false" outlineLevel="0" collapsed="false">
      <c r="A8" s="2" t="s">
        <v>177</v>
      </c>
      <c r="B8" s="33" t="n">
        <f aca="false">DCF_Bear!$B$43</f>
        <v>9.33862355039647</v>
      </c>
      <c r="C8" s="33" t="n">
        <f aca="false">DCF_Base!$B$43</f>
        <v>16.2849115259645</v>
      </c>
      <c r="D8" s="33" t="n">
        <f aca="false">DCF_Bull!$B$43</f>
        <v>22.9340094040727</v>
      </c>
    </row>
    <row r="10" customFormat="false" ht="15" hidden="false" customHeight="false" outlineLevel="0" collapsed="false">
      <c r="A10" s="2" t="s">
        <v>178</v>
      </c>
      <c r="B10" s="31" t="n">
        <f aca="false">SUMPRODUCT(B5:D5,B7:D7)</f>
        <v>12.8901998468785</v>
      </c>
    </row>
    <row r="11" customFormat="false" ht="15" hidden="false" customHeight="false" outlineLevel="0" collapsed="false">
      <c r="A11" s="2" t="s">
        <v>179</v>
      </c>
      <c r="B11" s="33" t="n">
        <f aca="false">Assumptions!$B$11</f>
        <v>13.12</v>
      </c>
    </row>
    <row r="12" customFormat="false" ht="15" hidden="false" customHeight="false" outlineLevel="0" collapsed="false">
      <c r="A12" s="2" t="s">
        <v>180</v>
      </c>
      <c r="B12" s="13" t="n">
        <f aca="false">1-B11/B10</f>
        <v>-0.0178275089487601</v>
      </c>
    </row>
    <row r="13" customFormat="false" ht="15" hidden="false" customHeight="false" outlineLevel="0" collapsed="false">
      <c r="A13" s="2" t="s">
        <v>181</v>
      </c>
      <c r="B13" s="32" t="n">
        <f aca="false">SUMPRODUCT(B8:D8,B7:D7)</f>
        <v>16.8903832942833</v>
      </c>
    </row>
    <row r="14" customFormat="false" ht="15" hidden="false" customHeight="false" outlineLevel="0" collapsed="false">
      <c r="A14" s="2" t="s">
        <v>182</v>
      </c>
      <c r="B14" s="13" t="n">
        <f aca="false">IF(ABS(B13-B10)&lt;0.005,"n/a - SBC=0 so house=street",(Assumptions!$B$11-B10)/(B13-B10))</f>
        <v>0.0574474036361048</v>
      </c>
    </row>
    <row r="17" customFormat="false" ht="15" hidden="false" customHeight="false" outlineLevel="0" collapsed="false">
      <c r="A17" s="4" t="s">
        <v>183</v>
      </c>
    </row>
    <row r="18" customFormat="false" ht="15" hidden="false" customHeight="false" outlineLevel="0" collapsed="false">
      <c r="A18" s="6" t="s">
        <v>184</v>
      </c>
      <c r="B18" s="6" t="s">
        <v>185</v>
      </c>
    </row>
    <row r="19" customFormat="false" ht="15" hidden="false" customHeight="false" outlineLevel="0" collapsed="false">
      <c r="A19" s="24" t="n">
        <v>0.09</v>
      </c>
      <c r="B19" s="32" t="n">
        <f aca="false">(SUMPRODUCT(DCF_Base!$C$19:$L$19/(1+$A19)^DCF_Base!$C$4:$L$4)+MAX(0,MIN(DCF_Base!$L$19*(1+Assumptions!$D$15)/($A19-Assumptions!$D$15),Assumptions!$B$12*DCF_Base!$L$19))/(1+$A19)^10+Assumptions!$B$9)/Assumptions!$B$10</f>
        <v>15.102165391292</v>
      </c>
    </row>
    <row r="20" customFormat="false" ht="15" hidden="false" customHeight="false" outlineLevel="0" collapsed="false">
      <c r="A20" s="24" t="n">
        <v>0.1</v>
      </c>
      <c r="B20" s="32" t="n">
        <f aca="false">(SUMPRODUCT(DCF_Base!$C$19:$L$19/(1+$A20)^DCF_Base!$C$4:$L$4)+MAX(0,MIN(DCF_Base!$L$19*(1+Assumptions!$D$15)/($A20-Assumptions!$D$15),Assumptions!$B$12*DCF_Base!$L$19))/(1+$A20)^10+Assumptions!$B$9)/Assumptions!$B$10</f>
        <v>12.9970955437269</v>
      </c>
    </row>
    <row r="21" customFormat="false" ht="15" hidden="false" customHeight="false" outlineLevel="0" collapsed="false">
      <c r="A21" s="24" t="n">
        <v>0.105</v>
      </c>
      <c r="B21" s="32" t="n">
        <f aca="false">(SUMPRODUCT(DCF_Base!$C$19:$L$19/(1+$A21)^DCF_Base!$C$4:$L$4)+MAX(0,MIN(DCF_Base!$L$19*(1+Assumptions!$D$15)/($A21-Assumptions!$D$15),Assumptions!$B$12*DCF_Base!$L$19))/(1+$A21)^10+Assumptions!$B$9)/Assumptions!$B$10</f>
        <v>12.1590644532171</v>
      </c>
    </row>
    <row r="22" customFormat="false" ht="15" hidden="false" customHeight="false" outlineLevel="0" collapsed="false">
      <c r="A22" s="24" t="n">
        <v>0.11</v>
      </c>
      <c r="B22" s="32" t="n">
        <f aca="false">(SUMPRODUCT(DCF_Base!$C$19:$L$19/(1+$A22)^DCF_Base!$C$4:$L$4)+MAX(0,MIN(DCF_Base!$L$19*(1+Assumptions!$D$15)/($A22-Assumptions!$D$15),Assumptions!$B$12*DCF_Base!$L$19))/(1+$A22)^10+Assumptions!$B$9)/Assumptions!$B$10</f>
        <v>11.4281564033558</v>
      </c>
    </row>
    <row r="23" customFormat="false" ht="15" hidden="false" customHeight="false" outlineLevel="0" collapsed="false">
      <c r="A23" s="24" t="n">
        <v>0.12</v>
      </c>
      <c r="B23" s="32" t="n">
        <f aca="false">(SUMPRODUCT(DCF_Base!$C$19:$L$19/(1+$A23)^DCF_Base!$C$4:$L$4)+MAX(0,MIN(DCF_Base!$L$19*(1+Assumptions!$D$15)/($A23-Assumptions!$D$15),Assumptions!$B$12*DCF_Base!$L$19))/(1+$A23)^10+Assumptions!$B$9)/Assumptions!$B$10</f>
        <v>10.2159734220581</v>
      </c>
    </row>
    <row r="24" customFormat="false" ht="15" hidden="false" customHeight="false" outlineLevel="0" collapsed="false">
      <c r="A24" s="24" t="n">
        <v>0.15</v>
      </c>
      <c r="B24" s="32" t="n">
        <f aca="false">(SUMPRODUCT(DCF_Base!$C$19:$L$19/(1+$A24)^DCF_Base!$C$4:$L$4)+MAX(0,MIN(DCF_Base!$L$19*(1+Assumptions!$D$15)/($A24-Assumptions!$D$15),Assumptions!$B$12*DCF_Base!$L$19))/(1+$A24)^10+Assumptions!$B$9)/Assumptions!$B$10</f>
        <v>7.82371972542967</v>
      </c>
    </row>
    <row r="25" customFormat="false" ht="15" hidden="false" customHeight="false" outlineLevel="0" collapsed="false">
      <c r="A25" s="2" t="s">
        <v>186</v>
      </c>
      <c r="B25" s="32" t="n">
        <f aca="false">(SUMPRODUCT(DCF_Bear!$C$19:$L$19/(1+0.15)^DCF_Bear!$C$4:$L$4)+MAX(0,MIN(DCF_Bear!$L$19*(1+Assumptions!$C$15)/(0.15-Assumptions!$C$15),Assumptions!$B$12*DCF_Bear!$L$19))/(1+0.15)^10+Assumptions!$B$9)/Assumptions!$B$10</f>
        <v>4.73200666177836</v>
      </c>
      <c r="C25" s="32" t="n">
        <f aca="false">(SUMPRODUCT(DCF_Base!$C$19:$L$19/(1+0.15)^DCF_Base!$C$4:$L$4)+MAX(0,MIN(DCF_Base!$L$19*(1+Assumptions!$D$15)/(0.15-Assumptions!$D$15),Assumptions!$B$12*DCF_Base!$L$19))/(1+0.15)^10+Assumptions!$B$9)/Assumptions!$B$10</f>
        <v>7.82371972542967</v>
      </c>
      <c r="D25" s="32" t="n">
        <f aca="false">(SUMPRODUCT(DCF_Bull!$C$19:$L$19/(1+0.15)^DCF_Bull!$C$4:$L$4)+MAX(0,MIN(DCF_Bull!$L$19*(1+Assumptions!$E$15)/(0.15-Assumptions!$E$15),Assumptions!$B$12*DCF_Bull!$L$19))/(1+0.15)^10+Assumptions!$B$9)/Assumptions!$B$10</f>
        <v>11.0103694031449</v>
      </c>
      <c r="E25" s="31" t="n">
        <f aca="false">SUMPRODUCT(B25:D25,$B$7:$D$7)</f>
        <v>8.16137201601399</v>
      </c>
      <c r="G25" s="5" t="s">
        <v>187</v>
      </c>
    </row>
    <row r="26" customFormat="false" ht="15" hidden="false" customHeight="false" outlineLevel="0" collapsed="false">
      <c r="A26" s="2" t="s">
        <v>188</v>
      </c>
      <c r="B26" s="32" t="n">
        <f aca="false">B25+(SUMPRODUCT(-DCF_Bear!$C$10:$L$10/(1+0.15)^DCF_Bear!$C$4:$L$4)+(-DCF_Bear!$L$10*(1+Assumptions!$C$15)/(0.15-Assumptions!$C$15))/(1+0.15)^10)/Assumptions!$B$10</f>
        <v>6.78408702285572</v>
      </c>
      <c r="C26" s="32" t="n">
        <f aca="false">C25+(SUMPRODUCT(-DCF_Base!$C$10:$L$10/(1+0.15)^DCF_Base!$C$4:$L$4)+(-DCF_Base!$L$10*(1+Assumptions!$D$15)/(0.15-Assumptions!$D$15))/(1+0.15)^10)/Assumptions!$B$10</f>
        <v>10.3301688794448</v>
      </c>
      <c r="D26" s="32" t="n">
        <f aca="false">D25+(SUMPRODUCT(-DCF_Bull!$C$10:$L$10/(1+0.15)^DCF_Bull!$C$4:$L$4)+(-DCF_Bull!$L$10*(1+Assumptions!$E$15)/(0.15-Assumptions!$E$15))/(1+0.15)^10)/Assumptions!$B$10</f>
        <v>13.5888340195296</v>
      </c>
      <c r="E26" s="32" t="n">
        <f aca="false">SUMPRODUCT(B26:D26,$B$7:$D$7)</f>
        <v>10.5985520501524</v>
      </c>
    </row>
    <row r="28" customFormat="false" ht="15" hidden="false" customHeight="false" outlineLevel="0" collapsed="false">
      <c r="A28" s="4" t="s">
        <v>189</v>
      </c>
    </row>
    <row r="29" customFormat="false" ht="15" hidden="false" customHeight="false" outlineLevel="0" collapsed="false">
      <c r="A29" s="6" t="s">
        <v>190</v>
      </c>
      <c r="B29" s="34" t="n">
        <v>0.02</v>
      </c>
      <c r="C29" s="34" t="n">
        <v>0.025</v>
      </c>
      <c r="D29" s="34" t="n">
        <v>0.03</v>
      </c>
      <c r="E29" s="34" t="n">
        <v>0.035</v>
      </c>
      <c r="F29" s="34" t="n">
        <v>0.04</v>
      </c>
    </row>
    <row r="30" customFormat="false" ht="15" hidden="false" customHeight="false" outlineLevel="0" collapsed="false">
      <c r="A30" s="34" t="n">
        <v>0.095</v>
      </c>
      <c r="B30" s="32" t="n">
        <f aca="false">IF($A30&gt;B$29,(SUMPRODUCT(DCF_Base!$C$19:$L$19/(1+$A30)^DCF_Base!$C$4:$L$4)+MAX(0,MIN(DCF_Base!$L$19*(1+B$29)/($A30-B$29),Assumptions!$B$12*DCF_Base!$L$19))/(1+$A30)^10+Assumptions!$B$9)/Assumptions!$B$10,"n/a")</f>
        <v>12.8969982350679</v>
      </c>
      <c r="C30" s="32" t="n">
        <f aca="false">IF($A30&gt;C$29,(SUMPRODUCT(DCF_Base!$C$19:$L$19/(1+$A30)^DCF_Base!$C$4:$L$4)+MAX(0,MIN(DCF_Base!$L$19*(1+C$29)/($A30-C$29),Assumptions!$B$12*DCF_Base!$L$19))/(1+$A30)^10+Assumptions!$B$9)/Assumptions!$B$10,"n/a")</f>
        <v>13.3938255979897</v>
      </c>
      <c r="D30" s="32" t="n">
        <f aca="false">IF($A30&gt;D$29,(SUMPRODUCT(DCF_Base!$C$19:$L$19/(1+$A30)^DCF_Base!$C$4:$L$4)+MAX(0,MIN(DCF_Base!$L$19*(1+D$29)/($A30-D$29),Assumptions!$B$12*DCF_Base!$L$19))/(1+$A30)^10+Assumptions!$B$9)/Assumptions!$B$10,"n/a")</f>
        <v>13.9670879398224</v>
      </c>
      <c r="E30" s="32" t="n">
        <f aca="false">IF($A30&gt;E$29,(SUMPRODUCT(DCF_Base!$C$19:$L$19/(1+$A30)^DCF_Base!$C$4:$L$4)+MAX(0,MIN(DCF_Base!$L$19*(1+E$29)/($A30-E$29),Assumptions!$B$12*DCF_Base!$L$19))/(1+$A30)^10+Assumptions!$B$9)/Assumptions!$B$10,"n/a")</f>
        <v>14.635894005294</v>
      </c>
      <c r="F30" s="32" t="n">
        <f aca="false">IF($A30&gt;F$29,(SUMPRODUCT(DCF_Base!$C$19:$L$19/(1+$A30)^DCF_Base!$C$4:$L$4)+MAX(0,MIN(DCF_Base!$L$19*(1+F$29)/($A30-F$29),Assumptions!$B$12*DCF_Base!$L$19))/(1+$A30)^10+Assumptions!$B$9)/Assumptions!$B$10,"n/a")</f>
        <v>15.4263011735786</v>
      </c>
    </row>
    <row r="31" customFormat="false" ht="15" hidden="false" customHeight="false" outlineLevel="0" collapsed="false">
      <c r="A31" s="34" t="n">
        <v>0.1</v>
      </c>
      <c r="B31" s="32" t="n">
        <f aca="false">IF($A31&gt;B$29,(SUMPRODUCT(DCF_Base!$C$19:$L$19/(1+$A31)^DCF_Base!$C$4:$L$4)+MAX(0,MIN(DCF_Base!$L$19*(1+B$29)/($A31-B$29),Assumptions!$B$12*DCF_Base!$L$19))/(1+$A31)^10+Assumptions!$B$9)/Assumptions!$B$10,"n/a")</f>
        <v>12.1029675648386</v>
      </c>
      <c r="C31" s="32" t="n">
        <f aca="false">IF($A31&gt;C$29,(SUMPRODUCT(DCF_Base!$C$19:$L$19/(1+$A31)^DCF_Base!$C$4:$L$4)+MAX(0,MIN(DCF_Base!$L$19*(1+C$29)/($A31-C$29),Assumptions!$B$12*DCF_Base!$L$19))/(1+$A31)^10+Assumptions!$B$9)/Assumptions!$B$10,"n/a")</f>
        <v>12.5202272883198</v>
      </c>
      <c r="D31" s="32" t="n">
        <f aca="false">IF($A31&gt;D$29,(SUMPRODUCT(DCF_Base!$C$19:$L$19/(1+$A31)^DCF_Base!$C$4:$L$4)+MAX(0,MIN(DCF_Base!$L$19*(1+D$29)/($A31-D$29),Assumptions!$B$12*DCF_Base!$L$19))/(1+$A31)^10+Assumptions!$B$9)/Assumptions!$B$10,"n/a")</f>
        <v>12.9970955437269</v>
      </c>
      <c r="E31" s="32" t="n">
        <f aca="false">IF($A31&gt;E$29,(SUMPRODUCT(DCF_Base!$C$19:$L$19/(1+$A31)^DCF_Base!$C$4:$L$4)+MAX(0,MIN(DCF_Base!$L$19*(1+E$29)/($A31-E$29),Assumptions!$B$12*DCF_Base!$L$19))/(1+$A31)^10+Assumptions!$B$9)/Assumptions!$B$10,"n/a")</f>
        <v>13.5473281461197</v>
      </c>
      <c r="F31" s="32" t="n">
        <f aca="false">IF($A31&gt;F$29,(SUMPRODUCT(DCF_Base!$C$19:$L$19/(1+$A31)^DCF_Base!$C$4:$L$4)+MAX(0,MIN(DCF_Base!$L$19*(1+F$29)/($A31-F$29),Assumptions!$B$12*DCF_Base!$L$19))/(1+$A31)^10+Assumptions!$B$9)/Assumptions!$B$10,"n/a")</f>
        <v>14.1892661822447</v>
      </c>
    </row>
    <row r="32" customFormat="false" ht="15" hidden="false" customHeight="false" outlineLevel="0" collapsed="false">
      <c r="A32" s="34" t="n">
        <v>0.105</v>
      </c>
      <c r="B32" s="32" t="n">
        <f aca="false">IF($A32&gt;B$29,(SUMPRODUCT(DCF_Base!$C$19:$L$19/(1+$A32)^DCF_Base!$C$4:$L$4)+MAX(0,MIN(DCF_Base!$L$19*(1+B$29)/($A32-B$29),Assumptions!$B$12*DCF_Base!$L$19))/(1+$A32)^10+Assumptions!$B$9)/Assumptions!$B$10,"n/a")</f>
        <v>11.4050473671971</v>
      </c>
      <c r="C32" s="32" t="n">
        <f aca="false">IF($A32&gt;C$29,(SUMPRODUCT(DCF_Base!$C$19:$L$19/(1+$A32)^DCF_Base!$C$4:$L$4)+MAX(0,MIN(DCF_Base!$L$19*(1+C$29)/($A32-C$29),Assumptions!$B$12*DCF_Base!$L$19))/(1+$A32)^10+Assumptions!$B$9)/Assumptions!$B$10,"n/a")</f>
        <v>11.758492876269</v>
      </c>
      <c r="D32" s="31" t="n">
        <f aca="false">IF($A32&gt;D$29,(SUMPRODUCT(DCF_Base!$C$19:$L$19/(1+$A32)^DCF_Base!$C$4:$L$4)+MAX(0,MIN(DCF_Base!$L$19*(1+D$29)/($A32-D$29),Assumptions!$B$12*DCF_Base!$L$19))/(1+$A32)^10+Assumptions!$B$9)/Assumptions!$B$10,"n/a")</f>
        <v>12.1590644532171</v>
      </c>
      <c r="E32" s="32" t="n">
        <f aca="false">IF($A32&gt;E$29,(SUMPRODUCT(DCF_Base!$C$19:$L$19/(1+$A32)^DCF_Base!$C$4:$L$4)+MAX(0,MIN(DCF_Base!$L$19*(1+E$29)/($A32-E$29),Assumptions!$B$12*DCF_Base!$L$19))/(1+$A32)^10+Assumptions!$B$9)/Assumptions!$B$10,"n/a")</f>
        <v>12.6168605411578</v>
      </c>
      <c r="F32" s="32" t="n">
        <f aca="false">IF($A32&gt;F$29,(SUMPRODUCT(DCF_Base!$C$19:$L$19/(1+$A32)^DCF_Base!$C$4:$L$4)+MAX(0,MIN(DCF_Base!$L$19*(1+F$29)/($A32-F$29),Assumptions!$B$12*DCF_Base!$L$19))/(1+$A32)^10+Assumptions!$B$9)/Assumptions!$B$10,"n/a")</f>
        <v>13.1450867964739</v>
      </c>
    </row>
    <row r="33" customFormat="false" ht="15" hidden="false" customHeight="false" outlineLevel="0" collapsed="false">
      <c r="A33" s="34" t="n">
        <v>0.11</v>
      </c>
      <c r="B33" s="32" t="n">
        <f aca="false">IF($A33&gt;B$29,(SUMPRODUCT(DCF_Base!$C$19:$L$19/(1+$A33)^DCF_Base!$C$4:$L$4)+MAX(0,MIN(DCF_Base!$L$19*(1+B$29)/($A33-B$29),Assumptions!$B$12*DCF_Base!$L$19))/(1+$A33)^10+Assumptions!$B$9)/Assumptions!$B$10,"n/a")</f>
        <v>10.7871201773926</v>
      </c>
      <c r="C33" s="32" t="n">
        <f aca="false">IF($A33&gt;C$29,(SUMPRODUCT(DCF_Base!$C$19:$L$19/(1+$A33)^DCF_Base!$C$4:$L$4)+MAX(0,MIN(DCF_Base!$L$19*(1+C$29)/($A33-C$29),Assumptions!$B$12*DCF_Base!$L$19))/(1+$A33)^10+Assumptions!$B$9)/Assumptions!$B$10,"n/a")</f>
        <v>11.0887842837282</v>
      </c>
      <c r="D33" s="32" t="n">
        <f aca="false">IF($A33&gt;D$29,(SUMPRODUCT(DCF_Base!$C$19:$L$19/(1+$A33)^DCF_Base!$C$4:$L$4)+MAX(0,MIN(DCF_Base!$L$19*(1+D$29)/($A33-D$29),Assumptions!$B$12*DCF_Base!$L$19))/(1+$A33)^10+Assumptions!$B$9)/Assumptions!$B$10,"n/a")</f>
        <v>11.4281564033558</v>
      </c>
      <c r="E33" s="32" t="n">
        <f aca="false">IF($A33&gt;E$29,(SUMPRODUCT(DCF_Base!$C$19:$L$19/(1+$A33)^DCF_Base!$C$4:$L$4)+MAX(0,MIN(DCF_Base!$L$19*(1+E$29)/($A33-E$29),Assumptions!$B$12*DCF_Base!$L$19))/(1+$A33)^10+Assumptions!$B$9)/Assumptions!$B$10,"n/a")</f>
        <v>11.8127781389336</v>
      </c>
      <c r="F33" s="32" t="n">
        <f aca="false">IF($A33&gt;F$29,(SUMPRODUCT(DCF_Base!$C$19:$L$19/(1+$A33)^DCF_Base!$C$4:$L$4)+MAX(0,MIN(DCF_Base!$L$19*(1+F$29)/($A33-F$29),Assumptions!$B$12*DCF_Base!$L$19))/(1+$A33)^10+Assumptions!$B$9)/Assumptions!$B$10,"n/a")</f>
        <v>12.2523458367369</v>
      </c>
    </row>
    <row r="34" customFormat="false" ht="15" hidden="false" customHeight="false" outlineLevel="0" collapsed="false">
      <c r="A34" s="34" t="n">
        <v>0.115</v>
      </c>
      <c r="B34" s="32" t="n">
        <f aca="false">IF($A34&gt;B$29,(SUMPRODUCT(DCF_Base!$C$19:$L$19/(1+$A34)^DCF_Base!$C$4:$L$4)+MAX(0,MIN(DCF_Base!$L$19*(1+B$29)/($A34-B$29),Assumptions!$B$12*DCF_Base!$L$19))/(1+$A34)^10+Assumptions!$B$9)/Assumptions!$B$10,"n/a")</f>
        <v>10.2364659293658</v>
      </c>
      <c r="C34" s="32" t="n">
        <f aca="false">IF($A34&gt;C$29,(SUMPRODUCT(DCF_Base!$C$19:$L$19/(1+$A34)^DCF_Base!$C$4:$L$4)+MAX(0,MIN(DCF_Base!$L$19*(1+C$29)/($A34-C$29),Assumptions!$B$12*DCF_Base!$L$19))/(1+$A34)^10+Assumptions!$B$9)/Assumptions!$B$10,"n/a")</f>
        <v>10.4956760543903</v>
      </c>
      <c r="D34" s="32" t="n">
        <f aca="false">IF($A34&gt;D$29,(SUMPRODUCT(DCF_Base!$C$19:$L$19/(1+$A34)^DCF_Base!$C$4:$L$4)+MAX(0,MIN(DCF_Base!$L$19*(1+D$29)/($A34-D$29),Assumptions!$B$12*DCF_Base!$L$19))/(1+$A34)^10+Assumptions!$B$9)/Assumptions!$B$10,"n/a")</f>
        <v>10.7853814882412</v>
      </c>
      <c r="E34" s="32" t="n">
        <f aca="false">IF($A34&gt;E$29,(SUMPRODUCT(DCF_Base!$C$19:$L$19/(1+$A34)^DCF_Base!$C$4:$L$4)+MAX(0,MIN(DCF_Base!$L$19*(1+E$29)/($A34-E$29),Assumptions!$B$12*DCF_Base!$L$19))/(1+$A34)^10+Assumptions!$B$9)/Assumptions!$B$10,"n/a")</f>
        <v>11.1113001013234</v>
      </c>
      <c r="F34" s="32" t="n">
        <f aca="false">IF($A34&gt;F$29,(SUMPRODUCT(DCF_Base!$C$19:$L$19/(1+$A34)^DCF_Base!$C$4:$L$4)+MAX(0,MIN(DCF_Base!$L$19*(1+F$29)/($A34-F$29),Assumptions!$B$12*DCF_Base!$L$19))/(1+$A34)^10+Assumptions!$B$9)/Assumptions!$B$10,"n/a")</f>
        <v>11.4806745294833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2026-08-27T21:09:54Z</dcterms:created>
  <dc:creator>openpyxl</dc:creator>
  <dc:description/>
  <dc:language>en-US</dc:language>
  <cp:lastModifiedBy/>
  <dcterms:modified xsi:type="dcterms:W3CDTF">2026-08-27T21:09:54Z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