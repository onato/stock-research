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Historicals" sheetId="2" state="visible" r:id="rId4"/>
    <sheet name="Assumptions" sheetId="3" state="visible" r:id="rId5"/>
    <sheet name="CoreDCF" sheetId="4" state="visible" r:id="rId6"/>
    <sheet name="Float" sheetId="5" state="visible" r:id="rId7"/>
    <sheet name="Scenarios" sheetId="6" state="visible" r:id="rId8"/>
    <sheet name="Sensitivity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<sst xmlns="http://schemas.openxmlformats.org/spreadsheetml/2006/main" count="235" uniqueCount="195">
  <si>
    <t xml:space="preserve">Wise Group plc (Nasdaq: WSE / LSE: WISE) — Two-Part DCF with Probability-Weighted Regulatory Scenarios</t>
  </si>
  <si>
    <t xml:space="preserve">Valuation date: 21 July 2026. All figures USD millions unless noted. Reporting currency USD (switched from GBP with FY2026). FY ends 31 March.</t>
  </si>
  <si>
    <t xml:space="preserve">STRUCTURE</t>
  </si>
  <si>
    <t xml:space="preserve">1. Historicals — FY2022–Q1 FY27 metrics from user-supplied WISE_L_Metrics.csv (source: company reports).</t>
  </si>
  <si>
    <t xml:space="preserve">2. Assumptions — all global inputs. BLUE font = hardcoded input you can change. YELLOW fill = assumption that most needs verifying or is the key judgment call.</t>
  </si>
  <si>
    <t xml:space="preserve">3. Core DCF — transaction + card revenue (net revenue EXCLUDING net interest on customer balances), 10-yr explicit + terminal.</t>
  </si>
  <si>
    <t xml:space="preserve">4. Float — customer-holdings interest stream valued separately at a NORMALIZED retained yield (not the current spot yield).</t>
  </si>
  <si>
    <t xml:space="preserve">5. Scenarios — regulatory outcomes A–D (Belgian AML probe) each re-run as a mini-DCF; probability-weighted value and market-implied probability check.</t>
  </si>
  <si>
    <t xml:space="preserve">6. Sensitivity — WACC x terminal growth grid; normalized float yield sensitivity.</t>
  </si>
  <si>
    <t xml:space="preserve">WHY THE FLOAT IS SEPARATED</t>
  </si>
  <si>
    <t xml:space="preserve">~24% of FY2026 net revenue ($609m net) was interest on customer balances. That stream is rate-cyclical: blending it into one DCF capitalises a</t>
  </si>
  <si>
    <t xml:space="preserve">cyclical peak at a growth multiple. Here the core engine and the float carry separate growth, margin, and terminal assumptions.</t>
  </si>
  <si>
    <t xml:space="preserve">KEY CAVEATS — READ BEFORE TRUSTING OUTPUTS</t>
  </si>
  <si>
    <t xml:space="preserve">- The uploaded analysis JSON does NOT mention the Belgian AML probe (disclosed 1 June 2026) — the central driver of the current price discount. Scenario</t>
  </si>
  <si>
    <t xml:space="preserve">  parameters were set from public reporting (Bloomberg, TBIJ, American Banker, prosecutor statements), not from that file.</t>
  </si>
  <si>
    <t xml:space="preserve">- Europe revenue share (Assumptions B12) is an ESTIMATE. Scenario C/D haircuts are hypersensitive to it. Verify against the FY2026 Form 20-F geographic note.</t>
  </si>
  <si>
    <t xml:space="preserve">- Net corporate cash (B10) defaults to $0 (conservative). Wise has £250m EMTN notes due 2030 and a £330m undrawn RCF; corporate (non-safeguarded) cash</t>
  </si>
  <si>
    <t xml:space="preserve">  must be read from the 20-F balance sheet — customer funds are NOT corporate cash.</t>
  </si>
  <si>
    <t xml:space="preserve">- Core vs float margin allocation (B14, CoreDCF row 7) is a judgment: costs are not disclosed by stream. At an 85% float margin and normalized 1.25% yield,</t>
  </si>
  <si>
    <t xml:space="preserve">  a large share of near-term group profit is float income — the core margin ramp is the single biggest core-value driver.</t>
  </si>
  <si>
    <t xml:space="preserve">- Share count held flat at 1,029.7m; the &gt;$500m buyback is upside to per-share values not modelled here.</t>
  </si>
  <si>
    <t xml:space="preserve">- Scenario probabilities are inputs, not facts. This workbook is an analytical scaffold, not investment advice.</t>
  </si>
  <si>
    <t xml:space="preserve">SCENARIO DEFINITIONS (Belgian AML probe — direct summons being finalised; file to be passed to National Bank of Belgium)</t>
  </si>
  <si>
    <t xml:space="preserve">A — Settlement + remediation undertakings: modest fine, 3 yrs elevated compliance opex, no growth impact.</t>
  </si>
  <si>
    <t xml:space="preserve">B — Criminal conviction of Wise Europe: larger fine, longer compliance drag, modest 2-yr European growth haircut.</t>
  </si>
  <si>
    <t xml:space="preserve">C — NBB onboarding/growth restrictions (N26-style caps): European growth ~0 for 2 yrs then slow recovery, persistent compliance cost.</t>
  </si>
  <si>
    <t xml:space="preserve">D — Licence withdrawal / forced EU restructuring: large fine + one-off restructuring cost, multi-year EU revenue impairment.</t>
  </si>
  <si>
    <t xml:space="preserve">Sources: Q1 FY27 trading update (16 Jul 2026); FY2026 results (25 Jun 2026); user-supplied WISE_L_Metrics.csv / WISE_L_Analysis.json (21 Jul 2026);</t>
  </si>
  <si>
    <t xml:space="preserve">public probe reporting Jun–Jul 2026. Prepared for Stephen, 21 July 2026.</t>
  </si>
  <si>
    <t xml:space="preserve">Historical metrics — company reports via user-supplied WISE_L_Metrics.csv. $m except customers (000s), volume/holdings ($bn), take rate (%), shares (m), EPS (cents).</t>
  </si>
  <si>
    <t xml:space="preserve">Period</t>
  </si>
  <si>
    <t xml:space="preserve">NetRevenue</t>
  </si>
  <si>
    <t xml:space="preserve">TransactionRevenue</t>
  </si>
  <si>
    <t xml:space="preserve">InterestIncomeNet</t>
  </si>
  <si>
    <t xml:space="preserve">OperatingIncome</t>
  </si>
  <si>
    <t xml:space="preserve">IncomeBeforeTax</t>
  </si>
  <si>
    <t xml:space="preserve">NetIncome</t>
  </si>
  <si>
    <t xml:space="preserve">EPSBasic</t>
  </si>
  <si>
    <t xml:space="preserve">EPSDiluted</t>
  </si>
  <si>
    <t xml:space="preserve">FreeCashFlow</t>
  </si>
  <si>
    <t xml:space="preserve">ActiveCustomers</t>
  </si>
  <si>
    <t xml:space="preserve">CrossBorderVolume</t>
  </si>
  <si>
    <t xml:space="preserve">CustomerHoldings</t>
  </si>
  <si>
    <t xml:space="preserve">TakeRate</t>
  </si>
  <si>
    <t xml:space="preserve">InstantPayments</t>
  </si>
  <si>
    <t xml:space="preserve">TotalEquity</t>
  </si>
  <si>
    <t xml:space="preserve">TotalDebt</t>
  </si>
  <si>
    <t xml:space="preserve">CashAndEquivalents</t>
  </si>
  <si>
    <t xml:space="preserve">SharesOutstanding</t>
  </si>
  <si>
    <t xml:space="preserve">FY2022</t>
  </si>
  <si>
    <t xml:space="preserve">FY2023</t>
  </si>
  <si>
    <t xml:space="preserve">Q1 FY2024</t>
  </si>
  <si>
    <t xml:space="preserve">Q2 FY2024</t>
  </si>
  <si>
    <t xml:space="preserve">Q3 FY2024</t>
  </si>
  <si>
    <t xml:space="preserve">Q4 FY2024</t>
  </si>
  <si>
    <t xml:space="preserve">FY2024</t>
  </si>
  <si>
    <t xml:space="preserve">Q1 FY2025</t>
  </si>
  <si>
    <t xml:space="preserve">Q2 FY2025</t>
  </si>
  <si>
    <t xml:space="preserve">Q3 FY2025</t>
  </si>
  <si>
    <t xml:space="preserve">Q4 FY2025</t>
  </si>
  <si>
    <t xml:space="preserve">FY2025</t>
  </si>
  <si>
    <t xml:space="preserve">Q1 FY2026</t>
  </si>
  <si>
    <t xml:space="preserve">Q2 FY2026</t>
  </si>
  <si>
    <t xml:space="preserve">Q3 FY2026</t>
  </si>
  <si>
    <t xml:space="preserve">Q4 FY2026</t>
  </si>
  <si>
    <t xml:space="preserve">FY2026</t>
  </si>
  <si>
    <t xml:space="preserve">Q1 FY2027</t>
  </si>
  <si>
    <t xml:space="preserve">Global Assumptions</t>
  </si>
  <si>
    <t xml:space="preserve">Valuation date</t>
  </si>
  <si>
    <t xml:space="preserve">2026-07-21</t>
  </si>
  <si>
    <t xml:space="preserve">Trading day of build</t>
  </si>
  <si>
    <t xml:space="preserve">WACC</t>
  </si>
  <si>
    <t xml:space="preserve">Default; flex in Sensitivity tab. Beta ~0.5-0.75 per data providers argues lower; regulatory uncertainty argues higher.</t>
  </si>
  <si>
    <t xml:space="preserve">Terminal growth — core</t>
  </si>
  <si>
    <t xml:space="preserve">Long-run core (transaction+card) growth</t>
  </si>
  <si>
    <t xml:space="preserve">Terminal growth — float</t>
  </si>
  <si>
    <t xml:space="preserve">Long-run holdings-driven interest growth</t>
  </si>
  <si>
    <t xml:space="preserve">Tax rate</t>
  </si>
  <si>
    <t xml:space="preserve">FY2026 effective ~24.5% (498.7/660.4)</t>
  </si>
  <si>
    <t xml:space="preserve">FCF conversion (of NOPAT)</t>
  </si>
  <si>
    <t xml:space="preserve">FY2026 FCF $532.8m vs NI $498.7m (~107%); 100% is mildly conservative</t>
  </si>
  <si>
    <t xml:space="preserve">Shares outstanding (m)</t>
  </si>
  <si>
    <t xml:space="preserve">Diluted ~1,000-1,005m per 20-F share capital note (Claude Code extraction, 21 Jul 2026); midpoint used. Prior placeholder 1,029.7m basic.</t>
  </si>
  <si>
    <t xml:space="preserve">Net corporate cash ($m)</t>
  </si>
  <si>
    <t xml:space="preserve">VERIFIED via 20-F: net corporate cash +$1,874m ex-leases (+$1,725m incl. leases), customer/safeguarded funds excluded (Claude Code extraction, 21 Jul 2026).</t>
  </si>
  <si>
    <t xml:space="preserve">GBP/USD</t>
  </si>
  <si>
    <t xml:space="preserve">For WISE.L pence translation</t>
  </si>
  <si>
    <t xml:space="preserve">Europe (Wise Europe-served) revenue share</t>
  </si>
  <si>
    <t xml:space="preserve">VERIFIED: ~27% of net revenue via Wise Europe (range 25-29%); geographic note shows Europe ex-UK $713.2m = 28.5% of FY2026 net revenue (Claude Code extraction, 21 Jul 2026).</t>
  </si>
  <si>
    <t xml:space="preserve">Normalized retained float yield</t>
  </si>
  <si>
    <t xml:space="preserve">FY2026 actual retained yield 2.22% of avg balances per 20-F; normalized ~1.5% per rate-cycle analysis (Claude Code extraction, 21 Jul 2026).</t>
  </si>
  <si>
    <t xml:space="preserve">Float pre-tax margin</t>
  </si>
  <si>
    <t xml:space="preserve">Treasury/safeguarding/allocated costs vs interest stream — allocation judgment</t>
  </si>
  <si>
    <t xml:space="preserve">Core net revenue, FY2026 ($m)</t>
  </si>
  <si>
    <t xml:space="preserve">Net revenue 2,502.8 less net interest 609.2 (equals transaction revenue)</t>
  </si>
  <si>
    <t xml:space="preserve">Customer holdings, FY2026 yr-end ($bn)</t>
  </si>
  <si>
    <t xml:space="preserve">Q1 FY27 already $41.2bn</t>
  </si>
  <si>
    <t xml:space="preserve">Current share price (USD, WSE)</t>
  </si>
  <si>
    <t xml:space="preserve">20 Jul 2026 close (approx) — update as needed</t>
  </si>
  <si>
    <t xml:space="preserve">Fine payment timing (yrs from now)</t>
  </si>
  <si>
    <t xml:space="preserve">Discounting for scenario fines/one-offs</t>
  </si>
  <si>
    <t xml:space="preserve">Legend: BLUE = input (edit these). YELLOW = key judgment/verify. Black = formula. Green = cross-sheet link.</t>
  </si>
  <si>
    <t xml:space="preserve">Core Engine DCF — transaction + card net revenue (excludes float interest)</t>
  </si>
  <si>
    <t xml:space="preserve">($m)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</si>
  <si>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</si>
  <si>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</si>
  <si>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</si>
  <si>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</si>
  <si>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</si>
  <si>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</si>
  <si>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</si>
  <si>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</si>
  <si>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</si>
  <si>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</si>
  <si>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Summary</t>
  </si>
  <si>
    <t xml:space="preserve">Core revenue growth (input)</t>
  </si>
  <si>
    <t xml:space="preserve">Core net revenue</t>
  </si>
  <si>
    <t xml:space="preserve">YoY growth check</t>
  </si>
  <si>
    <t xml:space="preserve">Core pre-tax (IBT) margin (input)</t>
  </si>
  <si>
    <t xml:space="preserve">Core IBT</t>
  </si>
  <si>
    <t xml:space="preserve">Core NOPAT</t>
  </si>
  <si>
    <t xml:space="preserve">Core FCF</t>
  </si>
  <si>
    <t xml:space="preserve">Discount factor</t>
  </si>
  <si>
    <t xml:space="preserve">PV of FCF</t>
  </si>
  <si>
    <t xml:space="preserve">Sum PV explicit FCF</t>
  </si>
  <si>
    <t xml:space="preserve">Terminal value (Gordon, yr-10 FCF)</t>
  </si>
  <si>
    <t xml:space="preserve">PV of terminal value</t>
  </si>
  <si>
    <t xml:space="preserve">CORE ENTERPRISE VALUE</t>
  </si>
  <si>
    <t xml:space="preserve">FY27 core growth 22% vs Q1 FY27 actual transaction growth 27% YoY. Margin ramp start validated by 20-F work: core ex-float FY2026 pre-tax margin was -1% to +6.6% depending on cost allocation (Claude Code extraction) — the 6% FY27 start sits at the generous end; the ramp to 18% is the key judgment.</t>
  </si>
  <si>
    <t xml:space="preserve">Float DCF — net interest on customer holdings at NORMALIZED retained yield</t>
  </si>
  <si>
    <t xml:space="preserve">Holdings growth (input)</t>
  </si>
  <si>
    <t xml:space="preserve">Customer holdings, yr-end ($bn)</t>
  </si>
  <si>
    <t xml:space="preserve">Average holdings ($bn)</t>
  </si>
  <si>
    <t xml:space="preserve">Net interest revenue ($m)</t>
  </si>
  <si>
    <t xml:space="preserve">Float IBT ($m)</t>
  </si>
  <si>
    <t xml:space="preserve">Float NOPAT = FCF ($m)</t>
  </si>
  <si>
    <t xml:space="preserve">Terminal value</t>
  </si>
  <si>
    <t xml:space="preserve">FLOAT ENTERPRISE VALUE</t>
  </si>
  <si>
    <t xml:space="preserve">Blended check vs guidance</t>
  </si>
  <si>
    <t xml:space="preserve">Total net revenue (core + float, FY27)</t>
  </si>
  <si>
    <t xml:space="preserve">Implied total net revenue growth FY27 (guide: mid 15-20%)</t>
  </si>
  <si>
    <t xml:space="preserve">Implied blended IBT margin FY27 (guide: ~25%; actual yield &gt; normalized would lift this)</t>
  </si>
  <si>
    <t xml:space="preserve">Note: normalized yield (1.25%) sits well below the ~1.8% currently earned, so near-term modelled float revenue deliberately undershoots reported — the haircut IS the rate-cycle adjustment. At spot yields the blended FY27 margin check would be near guidance.</t>
  </si>
  <si>
    <t xml:space="preserve">Regulatory Scenarios — Belgian AML probe (probability-weighted)</t>
  </si>
  <si>
    <t xml:space="preserve">BASE (no regulatory impact)</t>
  </si>
  <si>
    <t xml:space="preserve">Core EV</t>
  </si>
  <si>
    <t xml:space="preserve">Float EV</t>
  </si>
  <si>
    <t xml:space="preserve">Net corporate cash</t>
  </si>
  <si>
    <t xml:space="preserve">Base equity value</t>
  </si>
  <si>
    <t xml:space="preserve">Base value / share (USD)</t>
  </si>
  <si>
    <t xml:space="preserve">Base value / share (GBX, WISE.L)</t>
  </si>
  <si>
    <t xml:space="preserve">Scenario parameters (all BLUE cells are inputs)</t>
  </si>
  <si>
    <t xml:space="preserve">Scenario</t>
  </si>
  <si>
    <t xml:space="preserve">Probability</t>
  </si>
  <si>
    <t xml:space="preserve">Fine ($m)</t>
  </si>
  <si>
    <t xml:space="preserve">Compliance drag (% core rev)</t>
  </si>
  <si>
    <t xml:space="preserve">Drag yrs</t>
  </si>
  <si>
    <t xml:space="preserve">Growth haircut (pts)</t>
  </si>
  <si>
    <t xml:space="preserve">Haircut yrs</t>
  </si>
  <si>
    <t xml:space="preserve">One-off cost ($m)</t>
  </si>
  <si>
    <t xml:space="preserve">A — Settlement + remediation</t>
  </si>
  <si>
    <t xml:space="preserve">B — Conviction, no caps</t>
  </si>
  <si>
    <t xml:space="preserve">C — NBB growth restrictions</t>
  </si>
  <si>
    <t xml:space="preserve">D — Licence withdrawal / restructuring</t>
  </si>
  <si>
    <t xml:space="preserve">Probability check (must = 100%)</t>
  </si>
  <si>
    <t xml:space="preserve">Haircut derivation: C assumes European growth ~0 for 2 yrs; at verified ~27% Europe share and ~20%+ base growth that is ~6pts off group core growth. D one-off $800m reflects the $1,119m parent guarantee and $331m EMTN cross-default web identified in the 20-F (Claude Code extraction) — a licence event would not stay contained to the Belgian entity. Fine sizes remain judgment: only $23.8m provisioned group-wide, Belgian probe unprovisioned/unquantified.</t>
  </si>
  <si>
    <t xml:space="preserve">Per-scenario core mini-DCFs (float EV held at base; D's EU float attrition proxied inside one-off cost)</t>
  </si>
  <si>
    <t xml:space="preserve">Scenario A: adj. growth</t>
  </si>
  <si>
    <t xml:space="preserve">Core revenue</t>
  </si>
  <si>
    <t xml:space="preserve">Core IBT (margin - compliance drag)</t>
  </si>
  <si>
    <t xml:space="preserve">FCF (NOPAT x conversion)</t>
  </si>
  <si>
    <t xml:space="preserve">Core EV / Equity / per share</t>
  </si>
  <si>
    <t xml:space="preserve">Equity value</t>
  </si>
  <si>
    <t xml:space="preserve">Value / share (USD)</t>
  </si>
  <si>
    <t xml:space="preserve">Scenario B: adj. growth</t>
  </si>
  <si>
    <t xml:space="preserve">Scenario C: adj. growth</t>
  </si>
  <si>
    <t xml:space="preserve">Scenario D: adj. growth</t>
  </si>
  <si>
    <t xml:space="preserve">PROBABILITY-WEIGHTED RESULT</t>
  </si>
  <si>
    <t xml:space="preserve">Weighted value / share (USD)</t>
  </si>
  <si>
    <t xml:space="preserve">Weighted value / share (GBX)</t>
  </si>
  <si>
    <t xml:space="preserve">Regulatory haircut vs base</t>
  </si>
  <si>
    <t xml:space="preserve">Current price (USD)</t>
  </si>
  <si>
    <t xml:space="preserve">Upside / (downside) to weighted value</t>
  </si>
  <si>
    <t xml:space="preserve">Market-implied probability check</t>
  </si>
  <si>
    <t xml:space="preserve">If outcome were only A vs C: implied P(C) at current price</t>
  </si>
  <si>
    <t xml:space="preserve">If outcome were only A vs D: implied P(D) at current price</t>
  </si>
  <si>
    <t xml:space="preserve">Reading: the price backs out the weight the market puts on restriction/withdrawal outcomes, assuming the base-case DCF is right. If implied P(C) looks far above your honest estimate, the discount is excessive — and vice versa.</t>
  </si>
  <si>
    <t xml:space="preserve">Sensitivity — BASE value / share (USD), pre-regulatory-haircut</t>
  </si>
  <si>
    <t xml:space="preserve">WACC (rows) x terminal core growth (cols)</t>
  </si>
  <si>
    <t xml:space="preserve">Center cell (10% / 3.0%) ties to Scenarios!C8 base value per share.</t>
  </si>
  <si>
    <t xml:space="preserve">Normalized float yield sensitivity (base value / share, USD)</t>
  </si>
  <si>
    <t xml:space="preserve">Value / share</t>
  </si>
  <si>
    <t xml:space="preserve">Float EV scales linearly with retained yield; 1.75% approximates the current spot economics, 1.25% the modelled normalized level.</t>
  </si>
  <si>
    <t xml:space="preserve">Scenario C probability sensitivity (weighted value / share; P(C) taken from P(A))</t>
  </si>
  <si>
    <t xml:space="preserve">Weighted value / share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</si>
</sst>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.0;\(#,##0.0\);\-"/>
    <numFmt numFmtId="166" formatCode="0.0%;\(0.0%\);\-"/>
    <numFmt numFmtId="167" formatCode="\$#,##0;&quot;($&quot;#,##0\);\-"/>
    <numFmt numFmtId="168" formatCode="0.00"/>
    <numFmt numFmtId="169" formatCode="0.00%;\(0.00%\);\-"/>
    <numFmt numFmtId="170" formatCode="\$#,##0.0;&quot;($&quot;#,##0.0\);\-"/>
    <numFmt numFmtId="171" formatCode="\$#,##0.00;&quot;($&quot;#,##0.00\);\-"/>
    <numFmt numFmtId="172" formatCode="0.0"/>
    <numFmt numFmtId="173" formatCode="0"/>
    <numFmt numFmtId="174" formatCode="0.000"/>
    <numFmt numFmtId="175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20"/>
  </cols>
  <sheetData>
    <row r="1" customFormat="false" ht="15.75" hidden="false" customHeight="true" outlineLevel="0" collapsed="false">
      <c r="B1" s="2" t="s">
        <v>0</v>
      </c>
    </row>
    <row r="2" customFormat="false" ht="15" hidden="false" customHeight="true" outlineLevel="0" collapsed="false">
      <c r="B2" s="3" t="s">
        <v>1</v>
      </c>
    </row>
    <row r="3" customFormat="false" ht="15" hidden="false" customHeight="true" outlineLevel="0" collapsed="false">
      <c r="B3" s="3"/>
    </row>
    <row r="4" customFormat="false" ht="15" hidden="false" customHeight="true" outlineLevel="0" collapsed="false">
      <c r="B4" s="4" t="s">
        <v>2</v>
      </c>
    </row>
    <row r="5" customFormat="false" ht="15" hidden="false" customHeight="true" outlineLevel="0" collapsed="false">
      <c r="B5" s="3" t="s">
        <v>3</v>
      </c>
    </row>
    <row r="6" customFormat="false" ht="15" hidden="false" customHeight="true" outlineLevel="0" collapsed="false">
      <c r="B6" s="3" t="s">
        <v>4</v>
      </c>
    </row>
    <row r="7" customFormat="false" ht="15" hidden="false" customHeight="true" outlineLevel="0" collapsed="false">
      <c r="B7" s="3" t="s">
        <v>5</v>
      </c>
    </row>
    <row r="8" customFormat="false" ht="15" hidden="false" customHeight="true" outlineLevel="0" collapsed="false">
      <c r="B8" s="3" t="s">
        <v>6</v>
      </c>
    </row>
    <row r="9" customFormat="false" ht="15" hidden="false" customHeight="true" outlineLevel="0" collapsed="false">
      <c r="B9" s="3" t="s">
        <v>7</v>
      </c>
    </row>
    <row r="10" customFormat="false" ht="15" hidden="false" customHeight="true" outlineLevel="0" collapsed="false">
      <c r="B10" s="3" t="s">
        <v>8</v>
      </c>
    </row>
    <row r="11" customFormat="false" ht="15" hidden="false" customHeight="true" outlineLevel="0" collapsed="false">
      <c r="B11" s="3"/>
    </row>
    <row r="12" customFormat="false" ht="15" hidden="false" customHeight="true" outlineLevel="0" collapsed="false">
      <c r="B12" s="4" t="s">
        <v>9</v>
      </c>
    </row>
    <row r="13" customFormat="false" ht="15" hidden="false" customHeight="true" outlineLevel="0" collapsed="false">
      <c r="B13" s="3" t="s">
        <v>10</v>
      </c>
    </row>
    <row r="14" customFormat="false" ht="15" hidden="false" customHeight="true" outlineLevel="0" collapsed="false">
      <c r="B14" s="3" t="s">
        <v>11</v>
      </c>
    </row>
    <row r="15" customFormat="false" ht="15" hidden="false" customHeight="true" outlineLevel="0" collapsed="false">
      <c r="B15" s="3"/>
    </row>
    <row r="16" customFormat="false" ht="15" hidden="false" customHeight="true" outlineLevel="0" collapsed="false">
      <c r="B16" s="4" t="s">
        <v>12</v>
      </c>
    </row>
    <row r="17" customFormat="false" ht="15" hidden="false" customHeight="true" outlineLevel="0" collapsed="false">
      <c r="B17" s="3" t="s">
        <v>13</v>
      </c>
    </row>
    <row r="18" customFormat="false" ht="15" hidden="false" customHeight="true" outlineLevel="0" collapsed="false">
      <c r="B18" s="3" t="s">
        <v>14</v>
      </c>
    </row>
    <row r="19" customFormat="false" ht="15" hidden="false" customHeight="true" outlineLevel="0" collapsed="false">
      <c r="B19" s="3" t="s">
        <v>15</v>
      </c>
    </row>
    <row r="20" customFormat="false" ht="15" hidden="false" customHeight="true" outlineLevel="0" collapsed="false">
      <c r="B20" s="3" t="s">
        <v>16</v>
      </c>
    </row>
    <row r="21" customFormat="false" ht="15" hidden="false" customHeight="true" outlineLevel="0" collapsed="false">
      <c r="B21" s="3" t="s">
        <v>17</v>
      </c>
    </row>
    <row r="22" customFormat="false" ht="15" hidden="false" customHeight="true" outlineLevel="0" collapsed="false">
      <c r="B22" s="3" t="s">
        <v>18</v>
      </c>
    </row>
    <row r="23" customFormat="false" ht="15" hidden="false" customHeight="true" outlineLevel="0" collapsed="false">
      <c r="B23" s="3" t="s">
        <v>19</v>
      </c>
    </row>
    <row r="24" customFormat="false" ht="15" hidden="false" customHeight="true" outlineLevel="0" collapsed="false">
      <c r="B24" s="3" t="s">
        <v>20</v>
      </c>
    </row>
    <row r="25" customFormat="false" ht="15" hidden="false" customHeight="true" outlineLevel="0" collapsed="false">
      <c r="B25" s="3" t="s">
        <v>21</v>
      </c>
    </row>
    <row r="26" customFormat="false" ht="15" hidden="false" customHeight="true" outlineLevel="0" collapsed="false">
      <c r="B26" s="3"/>
    </row>
    <row r="27" customFormat="false" ht="15" hidden="false" customHeight="true" outlineLevel="0" collapsed="false">
      <c r="B27" s="4" t="s">
        <v>22</v>
      </c>
    </row>
    <row r="28" customFormat="false" ht="15" hidden="false" customHeight="true" outlineLevel="0" collapsed="false">
      <c r="B28" s="3" t="s">
        <v>23</v>
      </c>
    </row>
    <row r="29" customFormat="false" ht="15" hidden="false" customHeight="true" outlineLevel="0" collapsed="false">
      <c r="B29" s="3" t="s">
        <v>24</v>
      </c>
    </row>
    <row r="30" customFormat="false" ht="15" hidden="false" customHeight="true" outlineLevel="0" collapsed="false">
      <c r="B30" s="3" t="s">
        <v>25</v>
      </c>
    </row>
    <row r="31" customFormat="false" ht="15" hidden="false" customHeight="true" outlineLevel="0" collapsed="false">
      <c r="B31" s="3" t="s">
        <v>26</v>
      </c>
    </row>
    <row r="32" customFormat="false" ht="15" hidden="false" customHeight="true" outlineLevel="0" collapsed="false">
      <c r="B32" s="3"/>
    </row>
    <row r="33" customFormat="false" ht="15" hidden="false" customHeight="true" outlineLevel="0" collapsed="false">
      <c r="B33" s="3" t="s">
        <v>27</v>
      </c>
    </row>
    <row r="34" customFormat="false" ht="15" hidden="false" customHeight="true" outlineLevel="0" collapsed="false">
      <c r="B34" s="3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T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12"/>
    <col collapsed="false" customWidth="true" hidden="false" outlineLevel="0" max="20" min="3" style="1" width="11"/>
  </cols>
  <sheetData>
    <row r="1" customFormat="false" ht="15" hidden="false" customHeight="true" outlineLevel="0" collapsed="false">
      <c r="B1" s="5" t="s">
        <v>29</v>
      </c>
    </row>
    <row r="2" customFormat="false" ht="15" hidden="false" customHeight="true" outlineLevel="0" collapsed="false">
      <c r="B2" s="6" t="s">
        <v>30</v>
      </c>
      <c r="C2" s="6" t="s">
        <v>31</v>
      </c>
      <c r="D2" s="6" t="s">
        <v>32</v>
      </c>
      <c r="E2" s="6" t="s">
        <v>33</v>
      </c>
      <c r="F2" s="6" t="s">
        <v>34</v>
      </c>
      <c r="G2" s="6" t="s">
        <v>35</v>
      </c>
      <c r="H2" s="6" t="s">
        <v>36</v>
      </c>
      <c r="I2" s="6" t="s">
        <v>37</v>
      </c>
      <c r="J2" s="6" t="s">
        <v>38</v>
      </c>
      <c r="K2" s="6" t="s">
        <v>39</v>
      </c>
      <c r="L2" s="6" t="s">
        <v>40</v>
      </c>
      <c r="M2" s="6" t="s">
        <v>41</v>
      </c>
      <c r="N2" s="6" t="s">
        <v>42</v>
      </c>
      <c r="O2" s="6" t="s">
        <v>43</v>
      </c>
      <c r="P2" s="6" t="s">
        <v>44</v>
      </c>
      <c r="Q2" s="6" t="s">
        <v>45</v>
      </c>
      <c r="R2" s="6" t="s">
        <v>46</v>
      </c>
      <c r="S2" s="6" t="s">
        <v>47</v>
      </c>
      <c r="T2" s="6" t="s">
        <v>48</v>
      </c>
    </row>
    <row r="3" customFormat="false" ht="15" hidden="false" customHeight="true" outlineLevel="0" collapsed="false">
      <c r="B3" s="3" t="s">
        <v>49</v>
      </c>
      <c r="C3" s="7" t="n">
        <v>757.7</v>
      </c>
      <c r="D3" s="7" t="n">
        <v>761.5</v>
      </c>
      <c r="E3" s="7" t="n">
        <v>-3.8</v>
      </c>
      <c r="F3" s="7" t="n">
        <v>66.2</v>
      </c>
      <c r="G3" s="7" t="n">
        <v>59.7</v>
      </c>
      <c r="H3" s="7" t="n">
        <v>44.7</v>
      </c>
      <c r="I3" s="7" t="n">
        <v>4.62</v>
      </c>
      <c r="J3" s="7" t="n">
        <v>4.32</v>
      </c>
      <c r="K3" s="7" t="n">
        <v>154.1</v>
      </c>
      <c r="L3" s="3"/>
      <c r="M3" s="3"/>
      <c r="N3" s="3"/>
      <c r="O3" s="3"/>
      <c r="P3" s="3"/>
      <c r="Q3" s="7" t="n">
        <v>556.5</v>
      </c>
      <c r="R3" s="7" t="n">
        <v>130.2</v>
      </c>
      <c r="S3" s="7" t="n">
        <v>486.6</v>
      </c>
      <c r="T3" s="7" t="n">
        <v>1034</v>
      </c>
    </row>
    <row r="4" customFormat="false" ht="15" hidden="false" customHeight="true" outlineLevel="0" collapsed="false">
      <c r="B4" s="3" t="s">
        <v>50</v>
      </c>
      <c r="C4" s="7" t="n">
        <v>1147.4</v>
      </c>
      <c r="D4" s="7" t="n">
        <v>1006.9</v>
      </c>
      <c r="E4" s="7" t="n">
        <v>162.4</v>
      </c>
      <c r="F4" s="7" t="n">
        <v>187.1</v>
      </c>
      <c r="G4" s="7" t="n">
        <v>174.3</v>
      </c>
      <c r="H4" s="7" t="n">
        <v>135.7</v>
      </c>
      <c r="I4" s="7" t="n">
        <v>13.72</v>
      </c>
      <c r="J4" s="7" t="n">
        <v>13.02</v>
      </c>
      <c r="K4" s="7" t="n">
        <v>253.8</v>
      </c>
      <c r="L4" s="3"/>
      <c r="M4" s="3"/>
      <c r="N4" s="3"/>
      <c r="O4" s="3"/>
      <c r="P4" s="3"/>
      <c r="Q4" s="7" t="n">
        <v>686.5</v>
      </c>
      <c r="R4" s="7" t="n">
        <v>314.6</v>
      </c>
      <c r="S4" s="7" t="n">
        <v>798.6</v>
      </c>
      <c r="T4" s="7" t="n">
        <v>1042.4</v>
      </c>
    </row>
    <row r="5" customFormat="false" ht="15" hidden="false" customHeight="true" outlineLevel="0" collapsed="false">
      <c r="B5" s="3" t="s">
        <v>51</v>
      </c>
      <c r="C5" s="3"/>
      <c r="D5" s="3"/>
      <c r="E5" s="3"/>
      <c r="F5" s="3"/>
      <c r="G5" s="3"/>
      <c r="H5" s="3"/>
      <c r="I5" s="3"/>
      <c r="J5" s="3"/>
      <c r="K5" s="3"/>
      <c r="L5" s="7" t="n">
        <v>6670</v>
      </c>
      <c r="M5" s="7" t="n">
        <v>35.3</v>
      </c>
      <c r="N5" s="7" t="n">
        <v>14.4</v>
      </c>
      <c r="O5" s="7" t="n">
        <v>0.67</v>
      </c>
      <c r="P5" s="7" t="n">
        <v>57</v>
      </c>
      <c r="Q5" s="3"/>
      <c r="R5" s="3"/>
      <c r="S5" s="3"/>
      <c r="T5" s="3"/>
    </row>
    <row r="6" customFormat="false" ht="15" hidden="false" customHeight="true" outlineLevel="0" collapsed="false">
      <c r="B6" s="3" t="s">
        <v>52</v>
      </c>
      <c r="C6" s="3"/>
      <c r="D6" s="3"/>
      <c r="E6" s="3"/>
      <c r="F6" s="3"/>
      <c r="G6" s="3"/>
      <c r="H6" s="3"/>
      <c r="I6" s="3"/>
      <c r="J6" s="3"/>
      <c r="K6" s="3"/>
      <c r="L6" s="7" t="n">
        <v>7232</v>
      </c>
      <c r="M6" s="7" t="n">
        <v>37.1</v>
      </c>
      <c r="N6" s="7" t="n">
        <v>15.6</v>
      </c>
      <c r="O6" s="7" t="n">
        <v>0.67</v>
      </c>
      <c r="P6" s="7" t="n">
        <v>60</v>
      </c>
      <c r="Q6" s="3"/>
      <c r="R6" s="3"/>
      <c r="S6" s="3"/>
      <c r="T6" s="3"/>
    </row>
    <row r="7" customFormat="false" ht="15" hidden="false" customHeight="true" outlineLevel="0" collapsed="false">
      <c r="B7" s="3" t="s">
        <v>53</v>
      </c>
      <c r="C7" s="3"/>
      <c r="D7" s="3"/>
      <c r="E7" s="3"/>
      <c r="F7" s="3"/>
      <c r="G7" s="3"/>
      <c r="H7" s="3"/>
      <c r="I7" s="3"/>
      <c r="J7" s="3"/>
      <c r="K7" s="3"/>
      <c r="L7" s="7" t="n">
        <v>7512</v>
      </c>
      <c r="M7" s="7" t="n">
        <v>38.3</v>
      </c>
      <c r="N7" s="7" t="n">
        <v>16.1</v>
      </c>
      <c r="O7" s="7" t="n">
        <v>0.67</v>
      </c>
      <c r="P7" s="7" t="n">
        <v>61</v>
      </c>
      <c r="Q7" s="3"/>
      <c r="R7" s="3"/>
      <c r="S7" s="3"/>
      <c r="T7" s="3"/>
    </row>
    <row r="8" customFormat="false" ht="15" hidden="false" customHeight="true" outlineLevel="0" collapsed="false">
      <c r="B8" s="3" t="s">
        <v>54</v>
      </c>
      <c r="C8" s="3"/>
      <c r="D8" s="3"/>
      <c r="E8" s="3"/>
      <c r="F8" s="3"/>
      <c r="G8" s="3"/>
      <c r="H8" s="3"/>
      <c r="I8" s="3"/>
      <c r="J8" s="3"/>
      <c r="K8" s="3"/>
      <c r="L8" s="7" t="n">
        <v>7911</v>
      </c>
      <c r="M8" s="7" t="n">
        <v>38.9</v>
      </c>
      <c r="N8" s="7" t="n">
        <v>16.9</v>
      </c>
      <c r="O8" s="7" t="n">
        <v>0.67</v>
      </c>
      <c r="P8" s="7" t="n">
        <v>62</v>
      </c>
      <c r="Q8" s="3"/>
      <c r="R8" s="3"/>
      <c r="S8" s="3"/>
      <c r="T8" s="3"/>
    </row>
    <row r="9" customFormat="false" ht="15" hidden="false" customHeight="true" outlineLevel="0" collapsed="false">
      <c r="B9" s="3" t="s">
        <v>55</v>
      </c>
      <c r="C9" s="7" t="n">
        <v>1776.1</v>
      </c>
      <c r="D9" s="7" t="n">
        <v>1323.1</v>
      </c>
      <c r="E9" s="7" t="n">
        <v>453</v>
      </c>
      <c r="F9" s="7" t="n">
        <v>650.1</v>
      </c>
      <c r="G9" s="7" t="n">
        <v>656.7</v>
      </c>
      <c r="H9" s="7" t="n">
        <v>501.5</v>
      </c>
      <c r="I9" s="7" t="n">
        <v>48.57</v>
      </c>
      <c r="J9" s="7" t="n">
        <v>47.81</v>
      </c>
      <c r="K9" s="7" t="n">
        <v>487.2</v>
      </c>
      <c r="L9" s="7" t="n">
        <v>7911</v>
      </c>
      <c r="M9" s="3"/>
      <c r="N9" s="3"/>
      <c r="O9" s="3"/>
      <c r="P9" s="3"/>
      <c r="Q9" s="3"/>
      <c r="R9" s="3"/>
      <c r="S9" s="3"/>
      <c r="T9" s="7" t="n">
        <v>1048.9</v>
      </c>
    </row>
    <row r="10" customFormat="false" ht="15" hidden="false" customHeight="true" outlineLevel="0" collapsed="false">
      <c r="B10" s="3" t="s">
        <v>56</v>
      </c>
      <c r="C10" s="7" t="n">
        <v>502.7</v>
      </c>
      <c r="D10" s="7" t="n">
        <v>367.5</v>
      </c>
      <c r="E10" s="7" t="n">
        <v>135.2</v>
      </c>
      <c r="F10" s="3"/>
      <c r="G10" s="3"/>
      <c r="H10" s="3"/>
      <c r="I10" s="3"/>
      <c r="J10" s="3"/>
      <c r="K10" s="3"/>
      <c r="L10" s="7" t="n">
        <v>8374</v>
      </c>
      <c r="M10" s="7" t="n">
        <v>41.9</v>
      </c>
      <c r="N10" s="7" t="n">
        <v>22.1</v>
      </c>
      <c r="O10" s="7" t="n">
        <v>0.64</v>
      </c>
      <c r="P10" s="7" t="n">
        <v>59</v>
      </c>
      <c r="Q10" s="3"/>
      <c r="R10" s="3"/>
      <c r="S10" s="3"/>
      <c r="T10" s="3"/>
    </row>
    <row r="11" customFormat="false" ht="15" hidden="false" customHeight="true" outlineLevel="0" collapsed="false">
      <c r="B11" s="3" t="s">
        <v>57</v>
      </c>
      <c r="C11" s="7" t="n">
        <v>532.6</v>
      </c>
      <c r="D11" s="7" t="n">
        <v>391.1</v>
      </c>
      <c r="E11" s="7" t="n">
        <v>141.5</v>
      </c>
      <c r="F11" s="3"/>
      <c r="G11" s="3"/>
      <c r="H11" s="3"/>
      <c r="I11" s="3"/>
      <c r="J11" s="3"/>
      <c r="K11" s="3"/>
      <c r="L11" s="7" t="n">
        <v>8892</v>
      </c>
      <c r="M11" s="7" t="n">
        <v>45.7</v>
      </c>
      <c r="N11" s="7" t="n">
        <v>24.7</v>
      </c>
      <c r="O11" s="7" t="n">
        <v>0.59</v>
      </c>
      <c r="P11" s="7" t="n">
        <v>63</v>
      </c>
      <c r="Q11" s="3"/>
      <c r="R11" s="3"/>
      <c r="S11" s="3"/>
      <c r="T11" s="3"/>
    </row>
    <row r="12" customFormat="false" ht="15" hidden="false" customHeight="true" outlineLevel="0" collapsed="false">
      <c r="B12" s="3" t="s">
        <v>58</v>
      </c>
      <c r="C12" s="7" t="n">
        <v>539.6</v>
      </c>
      <c r="D12" s="7" t="n">
        <v>398</v>
      </c>
      <c r="E12" s="7" t="n">
        <v>141.6</v>
      </c>
      <c r="F12" s="3"/>
      <c r="G12" s="3"/>
      <c r="H12" s="3"/>
      <c r="I12" s="3"/>
      <c r="J12" s="3"/>
      <c r="K12" s="3"/>
      <c r="L12" s="7" t="n">
        <v>9047</v>
      </c>
      <c r="M12" s="7" t="n">
        <v>48.4</v>
      </c>
      <c r="N12" s="7" t="n">
        <v>25.7</v>
      </c>
      <c r="O12" s="7" t="n">
        <v>0.56</v>
      </c>
      <c r="P12" s="7" t="n">
        <v>65</v>
      </c>
      <c r="Q12" s="3"/>
      <c r="R12" s="3"/>
      <c r="S12" s="3"/>
      <c r="T12" s="3"/>
    </row>
    <row r="13" customFormat="false" ht="15" hidden="false" customHeight="true" outlineLevel="0" collapsed="false">
      <c r="B13" s="3" t="s">
        <v>59</v>
      </c>
      <c r="C13" s="7" t="n">
        <v>524</v>
      </c>
      <c r="D13" s="7" t="n">
        <v>389.7</v>
      </c>
      <c r="E13" s="7" t="n">
        <v>134.3</v>
      </c>
      <c r="F13" s="3"/>
      <c r="G13" s="3"/>
      <c r="H13" s="3"/>
      <c r="I13" s="3"/>
      <c r="J13" s="3"/>
      <c r="K13" s="3"/>
      <c r="L13" s="7" t="n">
        <v>9290</v>
      </c>
      <c r="M13" s="7" t="n">
        <v>49.2</v>
      </c>
      <c r="N13" s="7" t="n">
        <v>27.8</v>
      </c>
      <c r="O13" s="7" t="n">
        <v>0.53</v>
      </c>
      <c r="P13" s="7" t="n">
        <v>65</v>
      </c>
      <c r="Q13" s="3"/>
      <c r="R13" s="3"/>
      <c r="S13" s="3"/>
      <c r="T13" s="3"/>
    </row>
    <row r="14" customFormat="false" ht="15" hidden="false" customHeight="true" outlineLevel="0" collapsed="false">
      <c r="B14" s="3" t="s">
        <v>60</v>
      </c>
      <c r="C14" s="7" t="n">
        <v>2098.9</v>
      </c>
      <c r="D14" s="7" t="n">
        <v>1546.3</v>
      </c>
      <c r="E14" s="7" t="n">
        <v>552.6</v>
      </c>
      <c r="F14" s="7" t="n">
        <v>728.2</v>
      </c>
      <c r="G14" s="7" t="n">
        <v>717.5</v>
      </c>
      <c r="H14" s="7" t="n">
        <v>550.3</v>
      </c>
      <c r="I14" s="7" t="n">
        <v>53.31</v>
      </c>
      <c r="J14" s="7" t="n">
        <v>52.63</v>
      </c>
      <c r="K14" s="7" t="n">
        <v>535.8</v>
      </c>
      <c r="L14" s="7" t="n">
        <v>9290</v>
      </c>
      <c r="M14" s="7" t="n">
        <v>185.2</v>
      </c>
      <c r="N14" s="7" t="n">
        <v>27.8</v>
      </c>
      <c r="O14" s="3"/>
      <c r="P14" s="3"/>
      <c r="Q14" s="7" t="n">
        <v>1737.4</v>
      </c>
      <c r="R14" s="7" t="n">
        <v>128.4</v>
      </c>
      <c r="S14" s="3"/>
      <c r="T14" s="7" t="n">
        <v>1045.7</v>
      </c>
    </row>
    <row r="15" customFormat="false" ht="15" hidden="false" customHeight="true" outlineLevel="0" collapsed="false">
      <c r="B15" s="3" t="s">
        <v>61</v>
      </c>
      <c r="C15" s="7" t="n">
        <v>573.3</v>
      </c>
      <c r="D15" s="7" t="n">
        <v>424.8</v>
      </c>
      <c r="E15" s="7" t="n">
        <v>148.5</v>
      </c>
      <c r="F15" s="3"/>
      <c r="G15" s="3"/>
      <c r="H15" s="3"/>
      <c r="I15" s="3"/>
      <c r="J15" s="3"/>
      <c r="K15" s="3"/>
      <c r="L15" s="7" t="n">
        <v>9797</v>
      </c>
      <c r="M15" s="7" t="n">
        <v>55</v>
      </c>
      <c r="N15" s="7" t="n">
        <v>31.5</v>
      </c>
      <c r="O15" s="7" t="n">
        <v>0.52</v>
      </c>
      <c r="P15" s="7" t="n">
        <v>70</v>
      </c>
      <c r="Q15" s="3"/>
      <c r="R15" s="3"/>
      <c r="S15" s="3"/>
      <c r="T15" s="3"/>
    </row>
    <row r="16" customFormat="false" ht="15" hidden="false" customHeight="true" outlineLevel="0" collapsed="false">
      <c r="B16" s="3" t="s">
        <v>62</v>
      </c>
      <c r="C16" s="7" t="n">
        <v>610.5</v>
      </c>
      <c r="D16" s="7" t="n">
        <v>458.4</v>
      </c>
      <c r="E16" s="7" t="n">
        <v>152.1</v>
      </c>
      <c r="F16" s="3"/>
      <c r="G16" s="3"/>
      <c r="H16" s="3"/>
      <c r="I16" s="3"/>
      <c r="J16" s="3"/>
      <c r="K16" s="3"/>
      <c r="L16" s="7" t="n">
        <v>10440</v>
      </c>
      <c r="M16" s="7" t="n">
        <v>59</v>
      </c>
      <c r="N16" s="7" t="n">
        <v>33.9</v>
      </c>
      <c r="O16" s="7" t="n">
        <v>0.52</v>
      </c>
      <c r="P16" s="7" t="n">
        <v>74</v>
      </c>
      <c r="Q16" s="3"/>
      <c r="R16" s="3"/>
      <c r="S16" s="3"/>
      <c r="T16" s="3"/>
    </row>
    <row r="17" customFormat="false" ht="15" hidden="false" customHeight="true" outlineLevel="0" collapsed="false">
      <c r="B17" s="3" t="s">
        <v>63</v>
      </c>
      <c r="C17" s="7" t="n">
        <v>651.2</v>
      </c>
      <c r="D17" s="7" t="n">
        <v>496.2</v>
      </c>
      <c r="E17" s="7" t="n">
        <v>155</v>
      </c>
      <c r="F17" s="3"/>
      <c r="G17" s="3"/>
      <c r="H17" s="3"/>
      <c r="I17" s="3"/>
      <c r="J17" s="3"/>
      <c r="K17" s="3"/>
      <c r="L17" s="7" t="n">
        <v>10896</v>
      </c>
      <c r="M17" s="7" t="n">
        <v>63.1</v>
      </c>
      <c r="N17" s="7" t="n">
        <v>37</v>
      </c>
      <c r="O17" s="7" t="n">
        <v>0.52</v>
      </c>
      <c r="P17" s="7" t="n">
        <v>74</v>
      </c>
      <c r="Q17" s="3"/>
      <c r="R17" s="3"/>
      <c r="S17" s="3"/>
      <c r="T17" s="3"/>
    </row>
    <row r="18" customFormat="false" ht="15" hidden="false" customHeight="true" outlineLevel="0" collapsed="false">
      <c r="B18" s="3" t="s">
        <v>64</v>
      </c>
      <c r="C18" s="7" t="n">
        <v>667.8</v>
      </c>
      <c r="D18" s="7" t="n">
        <v>514.2</v>
      </c>
      <c r="E18" s="7" t="n">
        <v>153.6</v>
      </c>
      <c r="F18" s="3"/>
      <c r="G18" s="3"/>
      <c r="H18" s="3"/>
      <c r="I18" s="3"/>
      <c r="J18" s="3"/>
      <c r="K18" s="3"/>
      <c r="L18" s="7" t="n">
        <v>11290</v>
      </c>
      <c r="M18" s="7" t="n">
        <v>66.5</v>
      </c>
      <c r="N18" s="7" t="n">
        <v>39</v>
      </c>
      <c r="O18" s="7" t="n">
        <v>0.51</v>
      </c>
      <c r="P18" s="3"/>
      <c r="Q18" s="3"/>
      <c r="R18" s="3"/>
      <c r="S18" s="3"/>
      <c r="T18" s="3"/>
    </row>
    <row r="19" customFormat="false" ht="15" hidden="false" customHeight="true" outlineLevel="0" collapsed="false">
      <c r="B19" s="3" t="s">
        <v>65</v>
      </c>
      <c r="C19" s="7" t="n">
        <v>2502.8</v>
      </c>
      <c r="D19" s="7" t="n">
        <v>1893.6</v>
      </c>
      <c r="E19" s="7" t="n">
        <v>609.2</v>
      </c>
      <c r="F19" s="7" t="n">
        <v>590.7</v>
      </c>
      <c r="G19" s="7" t="n">
        <v>660.4</v>
      </c>
      <c r="H19" s="7" t="n">
        <v>498.7</v>
      </c>
      <c r="I19" s="7" t="n">
        <v>48.92</v>
      </c>
      <c r="J19" s="7" t="n">
        <v>48.43</v>
      </c>
      <c r="K19" s="7" t="n">
        <v>532.8</v>
      </c>
      <c r="L19" s="7" t="n">
        <v>11290</v>
      </c>
      <c r="M19" s="7" t="n">
        <v>243.6</v>
      </c>
      <c r="N19" s="7" t="n">
        <v>39</v>
      </c>
      <c r="O19" s="3"/>
      <c r="P19" s="3"/>
      <c r="Q19" s="7" t="n">
        <v>1925.2</v>
      </c>
      <c r="R19" s="7" t="n">
        <v>334.7</v>
      </c>
      <c r="S19" s="3"/>
      <c r="T19" s="7" t="n">
        <v>1029.7</v>
      </c>
    </row>
    <row r="20" customFormat="false" ht="15" hidden="false" customHeight="true" outlineLevel="0" collapsed="false">
      <c r="B20" s="3" t="s">
        <v>66</v>
      </c>
      <c r="C20" s="7" t="n">
        <v>714</v>
      </c>
      <c r="D20" s="7" t="n">
        <v>540.9</v>
      </c>
      <c r="E20" s="7" t="n">
        <v>173.1</v>
      </c>
      <c r="F20" s="3"/>
      <c r="G20" s="3"/>
      <c r="H20" s="3"/>
      <c r="I20" s="3"/>
      <c r="J20" s="3"/>
      <c r="K20" s="3"/>
      <c r="L20" s="7" t="n">
        <v>11863</v>
      </c>
      <c r="M20" s="7" t="n">
        <v>69.3</v>
      </c>
      <c r="N20" s="7" t="n">
        <v>41.2</v>
      </c>
      <c r="O20" s="7" t="n">
        <v>0.5</v>
      </c>
      <c r="P20" s="7" t="n">
        <v>77</v>
      </c>
      <c r="Q20" s="3"/>
      <c r="R20" s="3"/>
      <c r="S20" s="3"/>
      <c r="T20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4"/>
    <col collapsed="false" customWidth="true" hidden="false" outlineLevel="0" max="3" min="3" style="1" width="90"/>
  </cols>
  <sheetData>
    <row r="1" customFormat="false" ht="15.75" hidden="false" customHeight="true" outlineLevel="0" collapsed="false">
      <c r="A1" s="2" t="s">
        <v>67</v>
      </c>
    </row>
    <row r="3" customFormat="false" ht="15" hidden="false" customHeight="true" outlineLevel="0" collapsed="false">
      <c r="A3" s="8" t="s">
        <v>68</v>
      </c>
      <c r="B3" s="9" t="s">
        <v>69</v>
      </c>
      <c r="C3" s="5" t="s">
        <v>70</v>
      </c>
    </row>
    <row r="4" customFormat="false" ht="15" hidden="false" customHeight="true" outlineLevel="0" collapsed="false">
      <c r="A4" s="8" t="s">
        <v>71</v>
      </c>
      <c r="B4" s="10" t="n">
        <v>0.1</v>
      </c>
      <c r="C4" s="5" t="s">
        <v>72</v>
      </c>
    </row>
    <row r="5" customFormat="false" ht="15" hidden="false" customHeight="true" outlineLevel="0" collapsed="false">
      <c r="A5" s="8" t="s">
        <v>73</v>
      </c>
      <c r="B5" s="11" t="n">
        <v>0.03</v>
      </c>
      <c r="C5" s="5" t="s">
        <v>74</v>
      </c>
    </row>
    <row r="6" customFormat="false" ht="15" hidden="false" customHeight="true" outlineLevel="0" collapsed="false">
      <c r="A6" s="8" t="s">
        <v>75</v>
      </c>
      <c r="B6" s="11" t="n">
        <v>0.02</v>
      </c>
      <c r="C6" s="5" t="s">
        <v>76</v>
      </c>
    </row>
    <row r="7" customFormat="false" ht="15" hidden="false" customHeight="true" outlineLevel="0" collapsed="false">
      <c r="A7" s="8" t="s">
        <v>77</v>
      </c>
      <c r="B7" s="11" t="n">
        <v>0.25</v>
      </c>
      <c r="C7" s="5" t="s">
        <v>78</v>
      </c>
    </row>
    <row r="8" customFormat="false" ht="15" hidden="false" customHeight="true" outlineLevel="0" collapsed="false">
      <c r="A8" s="8" t="s">
        <v>79</v>
      </c>
      <c r="B8" s="11" t="n">
        <v>1</v>
      </c>
      <c r="C8" s="5" t="s">
        <v>80</v>
      </c>
    </row>
    <row r="9" customFormat="false" ht="15" hidden="false" customHeight="true" outlineLevel="0" collapsed="false">
      <c r="A9" s="8" t="s">
        <v>81</v>
      </c>
      <c r="B9" s="12" t="n">
        <v>1002.5</v>
      </c>
      <c r="C9" s="5" t="s">
        <v>82</v>
      </c>
    </row>
    <row r="10" customFormat="false" ht="15" hidden="false" customHeight="true" outlineLevel="0" collapsed="false">
      <c r="A10" s="8" t="s">
        <v>83</v>
      </c>
      <c r="B10" s="13" t="n">
        <v>1874</v>
      </c>
      <c r="C10" s="5" t="s">
        <v>84</v>
      </c>
    </row>
    <row r="11" customFormat="false" ht="15" hidden="false" customHeight="true" outlineLevel="0" collapsed="false">
      <c r="A11" s="8" t="s">
        <v>85</v>
      </c>
      <c r="B11" s="14" t="n">
        <v>1.34</v>
      </c>
      <c r="C11" s="5" t="s">
        <v>86</v>
      </c>
    </row>
    <row r="12" customFormat="false" ht="15" hidden="false" customHeight="true" outlineLevel="0" collapsed="false">
      <c r="A12" s="8" t="s">
        <v>87</v>
      </c>
      <c r="B12" s="10" t="n">
        <v>0.27</v>
      </c>
      <c r="C12" s="5" t="s">
        <v>88</v>
      </c>
    </row>
    <row r="13" customFormat="false" ht="15" hidden="false" customHeight="true" outlineLevel="0" collapsed="false">
      <c r="A13" s="8" t="s">
        <v>89</v>
      </c>
      <c r="B13" s="15" t="n">
        <v>0.015</v>
      </c>
      <c r="C13" s="5" t="s">
        <v>90</v>
      </c>
    </row>
    <row r="14" customFormat="false" ht="15" hidden="false" customHeight="true" outlineLevel="0" collapsed="false">
      <c r="A14" s="8" t="s">
        <v>91</v>
      </c>
      <c r="B14" s="11" t="n">
        <v>0.85</v>
      </c>
      <c r="C14" s="5" t="s">
        <v>92</v>
      </c>
    </row>
    <row r="15" customFormat="false" ht="15" hidden="false" customHeight="true" outlineLevel="0" collapsed="false">
      <c r="A15" s="8" t="s">
        <v>93</v>
      </c>
      <c r="B15" s="16" t="n">
        <v>1893.6</v>
      </c>
      <c r="C15" s="5" t="s">
        <v>94</v>
      </c>
    </row>
    <row r="16" customFormat="false" ht="15" hidden="false" customHeight="true" outlineLevel="0" collapsed="false">
      <c r="A16" s="8" t="s">
        <v>95</v>
      </c>
      <c r="B16" s="12" t="n">
        <v>39</v>
      </c>
      <c r="C16" s="5" t="s">
        <v>96</v>
      </c>
    </row>
    <row r="17" customFormat="false" ht="15" hidden="false" customHeight="true" outlineLevel="0" collapsed="false">
      <c r="A17" s="8" t="s">
        <v>97</v>
      </c>
      <c r="B17" s="17" t="n">
        <v>12.31</v>
      </c>
      <c r="C17" s="5" t="s">
        <v>98</v>
      </c>
    </row>
    <row r="18" customFormat="false" ht="15" hidden="false" customHeight="true" outlineLevel="0" collapsed="false">
      <c r="A18" s="8" t="s">
        <v>99</v>
      </c>
      <c r="B18" s="18" t="n">
        <v>1.5</v>
      </c>
      <c r="C18" s="5" t="s">
        <v>100</v>
      </c>
    </row>
    <row r="20" customFormat="false" ht="15" hidden="false" customHeight="true" outlineLevel="0" collapsed="false">
      <c r="A20" s="5" t="s">
        <v>101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40"/>
    <col collapsed="false" customWidth="true" hidden="false" outlineLevel="0" max="14" min="3" style="1" width="11"/>
  </cols>
  <sheetData>
    <row r="1" customFormat="false" ht="15.75" hidden="false" customHeight="true" outlineLevel="0" collapsed="false">
      <c r="B1" s="2" t="s">
        <v>102</v>
      </c>
    </row>
    <row r="2" customFormat="false" ht="15" hidden="false" customHeight="true" outlineLevel="0" collapsed="false">
      <c r="B2" s="8" t="s">
        <v>103</v>
      </c>
      <c r="C2" s="6" t="s">
        <v>104</v>
      </c>
      <c r="D2" s="6" t="s">
        <v>105</v>
      </c>
      <c r="E2" s="6" t="s">
        <v>106</v>
      </c>
      <c r="F2" s="6" t="s">
        <v>107</v>
      </c>
      <c r="G2" s="6" t="s">
        <v>108</v>
      </c>
      <c r="H2" s="6" t="s">
        <v>109</v>
      </c>
      <c r="I2" s="6" t="s">
        <v>110</v>
      </c>
      <c r="J2" s="6" t="s">
        <v>111</v>
      </c>
      <c r="K2" s="6" t="s">
        <v>112</v>
      </c>
      <c r="L2" s="6" t="s">
        <v>113</v>
      </c>
      <c r="M2" s="6" t="s">
        <v>114</v>
      </c>
    </row>
    <row r="3" customFormat="false" ht="15" hidden="false" customHeight="true" outlineLevel="0" collapsed="false">
      <c r="B3" s="8" t="s">
        <v>30</v>
      </c>
      <c r="C3" s="19" t="n">
        <v>1</v>
      </c>
      <c r="D3" s="19" t="n">
        <v>2</v>
      </c>
      <c r="E3" s="19" t="n">
        <v>3</v>
      </c>
      <c r="F3" s="19" t="n">
        <v>4</v>
      </c>
      <c r="G3" s="19" t="n">
        <v>5</v>
      </c>
      <c r="H3" s="19" t="n">
        <v>6</v>
      </c>
      <c r="I3" s="19" t="n">
        <v>7</v>
      </c>
      <c r="J3" s="19" t="n">
        <v>8</v>
      </c>
      <c r="K3" s="19" t="n">
        <v>9</v>
      </c>
      <c r="L3" s="19" t="n">
        <v>10</v>
      </c>
    </row>
    <row r="4" customFormat="false" ht="15" hidden="false" customHeight="true" outlineLevel="0" collapsed="false">
      <c r="B4" s="8" t="s">
        <v>115</v>
      </c>
      <c r="C4" s="10" t="n">
        <v>0.22</v>
      </c>
      <c r="D4" s="10" t="n">
        <v>0.19</v>
      </c>
      <c r="E4" s="10" t="n">
        <v>0.17</v>
      </c>
      <c r="F4" s="10" t="n">
        <v>0.15</v>
      </c>
      <c r="G4" s="10" t="n">
        <v>0.13</v>
      </c>
      <c r="H4" s="10" t="n">
        <v>0.11</v>
      </c>
      <c r="I4" s="10" t="n">
        <v>0.09</v>
      </c>
      <c r="J4" s="10" t="n">
        <v>0.07</v>
      </c>
      <c r="K4" s="10" t="n">
        <v>0.06</v>
      </c>
      <c r="L4" s="10" t="n">
        <v>0.05</v>
      </c>
    </row>
    <row r="5" customFormat="false" ht="15" hidden="false" customHeight="true" outlineLevel="0" collapsed="false">
      <c r="B5" s="8" t="s">
        <v>116</v>
      </c>
      <c r="C5" s="20" t="n">
        <f aca="false">Assumptions!$B$15*(1+C4)</f>
        <v>2310.192</v>
      </c>
      <c r="D5" s="20" t="n">
        <f aca="false">C5*(1+D4)</f>
        <v>2749.12848</v>
      </c>
      <c r="E5" s="20" t="n">
        <f aca="false">D5*(1+E4)</f>
        <v>3216.4803216</v>
      </c>
      <c r="F5" s="20" t="n">
        <f aca="false">E5*(1+F4)</f>
        <v>3698.95236984</v>
      </c>
      <c r="G5" s="20" t="n">
        <f aca="false">F5*(1+G4)</f>
        <v>4179.8161779192</v>
      </c>
      <c r="H5" s="20" t="n">
        <f aca="false">G5*(1+H4)</f>
        <v>4639.59595749031</v>
      </c>
      <c r="I5" s="20" t="n">
        <f aca="false">H5*(1+I4)</f>
        <v>5057.15959366444</v>
      </c>
      <c r="J5" s="20" t="n">
        <f aca="false">I5*(1+J4)</f>
        <v>5411.16076522095</v>
      </c>
      <c r="K5" s="20" t="n">
        <f aca="false">J5*(1+K4)</f>
        <v>5735.83041113421</v>
      </c>
      <c r="L5" s="20" t="n">
        <f aca="false">K5*(1+L4)</f>
        <v>6022.62193169092</v>
      </c>
    </row>
    <row r="6" customFormat="false" ht="15" hidden="false" customHeight="true" outlineLevel="0" collapsed="false">
      <c r="B6" s="1" t="s">
        <v>117</v>
      </c>
    </row>
    <row r="7" customFormat="false" ht="15" hidden="false" customHeight="true" outlineLevel="0" collapsed="false">
      <c r="B7" s="8" t="s">
        <v>118</v>
      </c>
      <c r="C7" s="10" t="n">
        <v>0.06</v>
      </c>
      <c r="D7" s="10" t="n">
        <v>0.09</v>
      </c>
      <c r="E7" s="10" t="n">
        <v>0.12</v>
      </c>
      <c r="F7" s="10" t="n">
        <v>0.14</v>
      </c>
      <c r="G7" s="10" t="n">
        <v>0.16</v>
      </c>
      <c r="H7" s="10" t="n">
        <v>0.17</v>
      </c>
      <c r="I7" s="10" t="n">
        <v>0.18</v>
      </c>
      <c r="J7" s="10" t="n">
        <v>0.18</v>
      </c>
      <c r="K7" s="10" t="n">
        <v>0.18</v>
      </c>
      <c r="L7" s="10" t="n">
        <v>0.18</v>
      </c>
    </row>
    <row r="8" customFormat="false" ht="15" hidden="false" customHeight="true" outlineLevel="0" collapsed="false">
      <c r="B8" s="8" t="s">
        <v>119</v>
      </c>
      <c r="C8" s="20" t="n">
        <f aca="false">C5*C7</f>
        <v>138.61152</v>
      </c>
      <c r="D8" s="20" t="n">
        <f aca="false">D5*D7</f>
        <v>247.4215632</v>
      </c>
      <c r="E8" s="20" t="n">
        <f aca="false">E5*E7</f>
        <v>385.977638592</v>
      </c>
      <c r="F8" s="20" t="n">
        <f aca="false">F5*F7</f>
        <v>517.8533317776</v>
      </c>
      <c r="G8" s="20" t="n">
        <f aca="false">G5*G7</f>
        <v>668.770588467072</v>
      </c>
      <c r="H8" s="20" t="n">
        <f aca="false">H5*H7</f>
        <v>788.731312773353</v>
      </c>
      <c r="I8" s="20" t="n">
        <f aca="false">I5*I7</f>
        <v>910.288726859599</v>
      </c>
      <c r="J8" s="20" t="n">
        <f aca="false">J5*J7</f>
        <v>974.008937739771</v>
      </c>
      <c r="K8" s="20" t="n">
        <f aca="false">K5*K7</f>
        <v>1032.44947400416</v>
      </c>
      <c r="L8" s="20" t="n">
        <f aca="false">L5*L7</f>
        <v>1084.07194770437</v>
      </c>
    </row>
    <row r="9" customFormat="false" ht="15" hidden="false" customHeight="true" outlineLevel="0" collapsed="false">
      <c r="B9" s="8" t="s">
        <v>120</v>
      </c>
      <c r="C9" s="20" t="n">
        <f aca="false">C8*(1-Assumptions!$B$7)</f>
        <v>103.95864</v>
      </c>
      <c r="D9" s="20" t="n">
        <f aca="false">D8*(1-Assumptions!$B$7)</f>
        <v>185.5661724</v>
      </c>
      <c r="E9" s="20" t="n">
        <f aca="false">E8*(1-Assumptions!$B$7)</f>
        <v>289.483228944</v>
      </c>
      <c r="F9" s="20" t="n">
        <f aca="false">F8*(1-Assumptions!$B$7)</f>
        <v>388.3899988332</v>
      </c>
      <c r="G9" s="20" t="n">
        <f aca="false">G8*(1-Assumptions!$B$7)</f>
        <v>501.577941350304</v>
      </c>
      <c r="H9" s="20" t="n">
        <f aca="false">H8*(1-Assumptions!$B$7)</f>
        <v>591.548484580015</v>
      </c>
      <c r="I9" s="20" t="n">
        <f aca="false">I8*(1-Assumptions!$B$7)</f>
        <v>682.716545144699</v>
      </c>
      <c r="J9" s="20" t="n">
        <f aca="false">J8*(1-Assumptions!$B$7)</f>
        <v>730.506703304828</v>
      </c>
      <c r="K9" s="20" t="n">
        <f aca="false">K8*(1-Assumptions!$B$7)</f>
        <v>774.337105503118</v>
      </c>
      <c r="L9" s="20" t="n">
        <f aca="false">L8*(1-Assumptions!$B$7)</f>
        <v>813.053960778274</v>
      </c>
    </row>
    <row r="10" customFormat="false" ht="15" hidden="false" customHeight="true" outlineLevel="0" collapsed="false">
      <c r="B10" s="8" t="s">
        <v>121</v>
      </c>
      <c r="C10" s="20" t="n">
        <f aca="false">C9*Assumptions!$B$8</f>
        <v>103.95864</v>
      </c>
      <c r="D10" s="20" t="n">
        <f aca="false">D9*Assumptions!$B$8</f>
        <v>185.5661724</v>
      </c>
      <c r="E10" s="20" t="n">
        <f aca="false">E9*Assumptions!$B$8</f>
        <v>289.483228944</v>
      </c>
      <c r="F10" s="20" t="n">
        <f aca="false">F9*Assumptions!$B$8</f>
        <v>388.3899988332</v>
      </c>
      <c r="G10" s="20" t="n">
        <f aca="false">G9*Assumptions!$B$8</f>
        <v>501.577941350304</v>
      </c>
      <c r="H10" s="20" t="n">
        <f aca="false">H9*Assumptions!$B$8</f>
        <v>591.548484580015</v>
      </c>
      <c r="I10" s="20" t="n">
        <f aca="false">I9*Assumptions!$B$8</f>
        <v>682.716545144699</v>
      </c>
      <c r="J10" s="20" t="n">
        <f aca="false">J9*Assumptions!$B$8</f>
        <v>730.506703304828</v>
      </c>
      <c r="K10" s="20" t="n">
        <f aca="false">K9*Assumptions!$B$8</f>
        <v>774.337105503118</v>
      </c>
      <c r="L10" s="20" t="n">
        <f aca="false">L9*Assumptions!$B$8</f>
        <v>813.053960778274</v>
      </c>
    </row>
    <row r="11" customFormat="false" ht="15" hidden="false" customHeight="true" outlineLevel="0" collapsed="false">
      <c r="B11" s="1" t="s">
        <v>122</v>
      </c>
      <c r="C11" s="21" t="n">
        <f aca="false">1/(1+Assumptions!$B$4)^C3</f>
        <v>0.909090909090909</v>
      </c>
      <c r="D11" s="21" t="n">
        <f aca="false">1/(1+Assumptions!$B$4)^D3</f>
        <v>0.826446280991735</v>
      </c>
      <c r="E11" s="21" t="n">
        <f aca="false">1/(1+Assumptions!$B$4)^E3</f>
        <v>0.751314800901578</v>
      </c>
      <c r="F11" s="21" t="n">
        <f aca="false">1/(1+Assumptions!$B$4)^F3</f>
        <v>0.683013455365071</v>
      </c>
      <c r="G11" s="21" t="n">
        <f aca="false">1/(1+Assumptions!$B$4)^G3</f>
        <v>0.620921323059155</v>
      </c>
      <c r="H11" s="21" t="n">
        <f aca="false">1/(1+Assumptions!$B$4)^H3</f>
        <v>0.564473930053777</v>
      </c>
      <c r="I11" s="21" t="n">
        <f aca="false">1/(1+Assumptions!$B$4)^I3</f>
        <v>0.513158118230707</v>
      </c>
      <c r="J11" s="21" t="n">
        <f aca="false">1/(1+Assumptions!$B$4)^J3</f>
        <v>0.466507380209733</v>
      </c>
      <c r="K11" s="21" t="n">
        <f aca="false">1/(1+Assumptions!$B$4)^K3</f>
        <v>0.424097618372485</v>
      </c>
      <c r="L11" s="21" t="n">
        <f aca="false">1/(1+Assumptions!$B$4)^L3</f>
        <v>0.385543289429531</v>
      </c>
    </row>
    <row r="12" customFormat="false" ht="15" hidden="false" customHeight="true" outlineLevel="0" collapsed="false">
      <c r="B12" s="8" t="s">
        <v>123</v>
      </c>
      <c r="C12" s="20" t="n">
        <f aca="false">C10*C11</f>
        <v>94.5078545454545</v>
      </c>
      <c r="D12" s="20" t="n">
        <f aca="false">D10*D11</f>
        <v>153.360473057851</v>
      </c>
      <c r="E12" s="20" t="n">
        <f aca="false">E10*E11</f>
        <v>217.493034518407</v>
      </c>
      <c r="F12" s="20" t="n">
        <f aca="false">F10*F11</f>
        <v>265.2755951323</v>
      </c>
      <c r="G12" s="20" t="n">
        <f aca="false">G10*G11</f>
        <v>311.440438960518</v>
      </c>
      <c r="H12" s="20" t="n">
        <f aca="false">H10*H11</f>
        <v>333.913697908237</v>
      </c>
      <c r="I12" s="20" t="n">
        <f aca="false">I10*I11</f>
        <v>350.341537591423</v>
      </c>
      <c r="J12" s="20" t="n">
        <f aca="false">J10*J11</f>
        <v>340.786768384384</v>
      </c>
      <c r="K12" s="20" t="n">
        <f aca="false">K10*K11</f>
        <v>328.394522261316</v>
      </c>
      <c r="L12" s="20" t="n">
        <f aca="false">L10*L11</f>
        <v>313.467498522165</v>
      </c>
    </row>
    <row r="14" customFormat="false" ht="15" hidden="false" customHeight="true" outlineLevel="0" collapsed="false">
      <c r="B14" s="8" t="s">
        <v>124</v>
      </c>
      <c r="N14" s="22" t="n">
        <f aca="false">SUM(C12:L12)</f>
        <v>2708.98142088206</v>
      </c>
    </row>
    <row r="15" customFormat="false" ht="15" hidden="false" customHeight="true" outlineLevel="0" collapsed="false">
      <c r="B15" s="8" t="s">
        <v>125</v>
      </c>
      <c r="N15" s="22" t="n">
        <f aca="false">L10*(1+Assumptions!$B$5)/(Assumptions!$B$4-Assumptions!$B$5)</f>
        <v>11963.5082800232</v>
      </c>
    </row>
    <row r="16" customFormat="false" ht="15" hidden="false" customHeight="true" outlineLevel="0" collapsed="false">
      <c r="B16" s="8" t="s">
        <v>126</v>
      </c>
      <c r="N16" s="22" t="n">
        <f aca="false">N15*L11</f>
        <v>4612.45033539757</v>
      </c>
    </row>
    <row r="17" customFormat="false" ht="15" hidden="false" customHeight="true" outlineLevel="0" collapsed="false">
      <c r="B17" s="4" t="s">
        <v>127</v>
      </c>
      <c r="N17" s="23" t="n">
        <f aca="false">N14+N16</f>
        <v>7321.43175627963</v>
      </c>
    </row>
    <row r="19" customFormat="false" ht="15" hidden="false" customHeight="true" outlineLevel="0" collapsed="false">
      <c r="B19" s="5" t="s">
        <v>128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40"/>
    <col collapsed="false" customWidth="true" hidden="false" outlineLevel="0" max="14" min="3" style="1" width="11"/>
  </cols>
  <sheetData>
    <row r="1" customFormat="false" ht="15.75" hidden="false" customHeight="true" outlineLevel="0" collapsed="false">
      <c r="B1" s="2" t="s">
        <v>129</v>
      </c>
    </row>
    <row r="2" customFormat="false" ht="15" hidden="false" customHeight="true" outlineLevel="0" collapsed="false">
      <c r="B2" s="8" t="s">
        <v>103</v>
      </c>
      <c r="C2" s="6" t="s">
        <v>104</v>
      </c>
      <c r="D2" s="6" t="s">
        <v>105</v>
      </c>
      <c r="E2" s="6" t="s">
        <v>106</v>
      </c>
      <c r="F2" s="6" t="s">
        <v>107</v>
      </c>
      <c r="G2" s="6" t="s">
        <v>108</v>
      </c>
      <c r="H2" s="6" t="s">
        <v>109</v>
      </c>
      <c r="I2" s="6" t="s">
        <v>110</v>
      </c>
      <c r="J2" s="6" t="s">
        <v>111</v>
      </c>
      <c r="K2" s="6" t="s">
        <v>112</v>
      </c>
      <c r="L2" s="6" t="s">
        <v>113</v>
      </c>
      <c r="M2" s="6" t="s">
        <v>114</v>
      </c>
    </row>
    <row r="3" customFormat="false" ht="15" hidden="false" customHeight="true" outlineLevel="0" collapsed="false">
      <c r="B3" s="8" t="s">
        <v>30</v>
      </c>
      <c r="C3" s="19" t="n">
        <v>1</v>
      </c>
      <c r="D3" s="19" t="n">
        <v>2</v>
      </c>
      <c r="E3" s="19" t="n">
        <v>3</v>
      </c>
      <c r="F3" s="19" t="n">
        <v>4</v>
      </c>
      <c r="G3" s="19" t="n">
        <v>5</v>
      </c>
      <c r="H3" s="19" t="n">
        <v>6</v>
      </c>
      <c r="I3" s="19" t="n">
        <v>7</v>
      </c>
      <c r="J3" s="19" t="n">
        <v>8</v>
      </c>
      <c r="K3" s="19" t="n">
        <v>9</v>
      </c>
      <c r="L3" s="19" t="n">
        <v>10</v>
      </c>
    </row>
    <row r="4" customFormat="false" ht="15" hidden="false" customHeight="true" outlineLevel="0" collapsed="false">
      <c r="B4" s="8" t="s">
        <v>130</v>
      </c>
      <c r="C4" s="10" t="n">
        <v>0.25</v>
      </c>
      <c r="D4" s="10" t="n">
        <v>0.2</v>
      </c>
      <c r="E4" s="10" t="n">
        <v>0.17</v>
      </c>
      <c r="F4" s="10" t="n">
        <v>0.14</v>
      </c>
      <c r="G4" s="10" t="n">
        <v>0.12</v>
      </c>
      <c r="H4" s="10" t="n">
        <v>0.1</v>
      </c>
      <c r="I4" s="10" t="n">
        <v>0.08</v>
      </c>
      <c r="J4" s="10" t="n">
        <v>0.07</v>
      </c>
      <c r="K4" s="10" t="n">
        <v>0.06</v>
      </c>
      <c r="L4" s="10" t="n">
        <v>0.05</v>
      </c>
    </row>
    <row r="5" customFormat="false" ht="15" hidden="false" customHeight="true" outlineLevel="0" collapsed="false">
      <c r="B5" s="8" t="s">
        <v>131</v>
      </c>
      <c r="C5" s="24" t="n">
        <f aca="false">Assumptions!$B$16*(1+C4)</f>
        <v>48.75</v>
      </c>
      <c r="D5" s="24" t="n">
        <f aca="false">C5*(1+D4)</f>
        <v>58.5</v>
      </c>
      <c r="E5" s="24" t="n">
        <f aca="false">D5*(1+E4)</f>
        <v>68.445</v>
      </c>
      <c r="F5" s="24" t="n">
        <f aca="false">E5*(1+F4)</f>
        <v>78.0273</v>
      </c>
      <c r="G5" s="24" t="n">
        <f aca="false">F5*(1+G4)</f>
        <v>87.390576</v>
      </c>
      <c r="H5" s="24" t="n">
        <f aca="false">G5*(1+H4)</f>
        <v>96.1296336</v>
      </c>
      <c r="I5" s="24" t="n">
        <f aca="false">H5*(1+I4)</f>
        <v>103.820004288</v>
      </c>
      <c r="J5" s="24" t="n">
        <f aca="false">I5*(1+J4)</f>
        <v>111.08740458816</v>
      </c>
      <c r="K5" s="24" t="n">
        <f aca="false">J5*(1+K4)</f>
        <v>117.75264886345</v>
      </c>
      <c r="L5" s="24" t="n">
        <f aca="false">K5*(1+L4)</f>
        <v>123.640281306622</v>
      </c>
    </row>
    <row r="6" customFormat="false" ht="15" hidden="false" customHeight="true" outlineLevel="0" collapsed="false">
      <c r="B6" s="1" t="s">
        <v>132</v>
      </c>
      <c r="C6" s="24" t="n">
        <f aca="false">(Assumptions!$B$16+C5)/2</f>
        <v>43.875</v>
      </c>
      <c r="D6" s="24" t="n">
        <f aca="false">(C5+D5)/2</f>
        <v>53.625</v>
      </c>
      <c r="E6" s="24" t="n">
        <f aca="false">(D5+E5)/2</f>
        <v>63.4725</v>
      </c>
      <c r="F6" s="24" t="n">
        <f aca="false">(E5+F5)/2</f>
        <v>73.23615</v>
      </c>
      <c r="G6" s="24" t="n">
        <f aca="false">(F5+G5)/2</f>
        <v>82.708938</v>
      </c>
      <c r="H6" s="24" t="n">
        <f aca="false">(G5+H5)/2</f>
        <v>91.7601048</v>
      </c>
      <c r="I6" s="24" t="n">
        <f aca="false">(H5+I5)/2</f>
        <v>99.974818944</v>
      </c>
      <c r="J6" s="24" t="n">
        <f aca="false">(I5+J5)/2</f>
        <v>107.45370443808</v>
      </c>
      <c r="K6" s="24" t="n">
        <f aca="false">(J5+K5)/2</f>
        <v>114.420026725805</v>
      </c>
      <c r="L6" s="24" t="n">
        <f aca="false">(K5+L5)/2</f>
        <v>120.696465085036</v>
      </c>
    </row>
    <row r="7" customFormat="false" ht="15" hidden="false" customHeight="true" outlineLevel="0" collapsed="false">
      <c r="B7" s="8" t="s">
        <v>133</v>
      </c>
      <c r="C7" s="20" t="n">
        <f aca="false">C6*1000*Assumptions!$B$13</f>
        <v>658.125</v>
      </c>
      <c r="D7" s="20" t="n">
        <f aca="false">D6*1000*Assumptions!$B$13</f>
        <v>804.375</v>
      </c>
      <c r="E7" s="20" t="n">
        <f aca="false">E6*1000*Assumptions!$B$13</f>
        <v>952.0875</v>
      </c>
      <c r="F7" s="20" t="n">
        <f aca="false">F6*1000*Assumptions!$B$13</f>
        <v>1098.54225</v>
      </c>
      <c r="G7" s="20" t="n">
        <f aca="false">G6*1000*Assumptions!$B$13</f>
        <v>1240.63407</v>
      </c>
      <c r="H7" s="20" t="n">
        <f aca="false">H6*1000*Assumptions!$B$13</f>
        <v>1376.401572</v>
      </c>
      <c r="I7" s="20" t="n">
        <f aca="false">I6*1000*Assumptions!$B$13</f>
        <v>1499.62228416</v>
      </c>
      <c r="J7" s="20" t="n">
        <f aca="false">J6*1000*Assumptions!$B$13</f>
        <v>1611.8055665712</v>
      </c>
      <c r="K7" s="20" t="n">
        <f aca="false">K6*1000*Assumptions!$B$13</f>
        <v>1716.30040088707</v>
      </c>
      <c r="L7" s="20" t="n">
        <f aca="false">L6*1000*Assumptions!$B$13</f>
        <v>1810.44697627554</v>
      </c>
    </row>
    <row r="8" customFormat="false" ht="15" hidden="false" customHeight="true" outlineLevel="0" collapsed="false">
      <c r="B8" s="1" t="s">
        <v>134</v>
      </c>
      <c r="C8" s="20" t="n">
        <f aca="false">C7*Assumptions!$B$14</f>
        <v>559.40625</v>
      </c>
      <c r="D8" s="20" t="n">
        <f aca="false">D7*Assumptions!$B$14</f>
        <v>683.71875</v>
      </c>
      <c r="E8" s="20" t="n">
        <f aca="false">E7*Assumptions!$B$14</f>
        <v>809.274375</v>
      </c>
      <c r="F8" s="20" t="n">
        <f aca="false">F7*Assumptions!$B$14</f>
        <v>933.7609125</v>
      </c>
      <c r="G8" s="20" t="n">
        <f aca="false">G7*Assumptions!$B$14</f>
        <v>1054.5389595</v>
      </c>
      <c r="H8" s="20" t="n">
        <f aca="false">H7*Assumptions!$B$14</f>
        <v>1169.9413362</v>
      </c>
      <c r="I8" s="20" t="n">
        <f aca="false">I7*Assumptions!$B$14</f>
        <v>1274.678941536</v>
      </c>
      <c r="J8" s="20" t="n">
        <f aca="false">J7*Assumptions!$B$14</f>
        <v>1370.03473158552</v>
      </c>
      <c r="K8" s="20" t="n">
        <f aca="false">K7*Assumptions!$B$14</f>
        <v>1458.85534075401</v>
      </c>
      <c r="L8" s="20" t="n">
        <f aca="false">L7*Assumptions!$B$14</f>
        <v>1538.87992983421</v>
      </c>
    </row>
    <row r="9" customFormat="false" ht="15" hidden="false" customHeight="true" outlineLevel="0" collapsed="false">
      <c r="B9" s="8" t="s">
        <v>135</v>
      </c>
      <c r="C9" s="20" t="n">
        <f aca="false">C8*(1-Assumptions!$B$7)</f>
        <v>419.5546875</v>
      </c>
      <c r="D9" s="20" t="n">
        <f aca="false">D8*(1-Assumptions!$B$7)</f>
        <v>512.7890625</v>
      </c>
      <c r="E9" s="20" t="n">
        <f aca="false">E8*(1-Assumptions!$B$7)</f>
        <v>606.95578125</v>
      </c>
      <c r="F9" s="20" t="n">
        <f aca="false">F8*(1-Assumptions!$B$7)</f>
        <v>700.320684375</v>
      </c>
      <c r="G9" s="20" t="n">
        <f aca="false">G8*(1-Assumptions!$B$7)</f>
        <v>790.904219625</v>
      </c>
      <c r="H9" s="20" t="n">
        <f aca="false">H8*(1-Assumptions!$B$7)</f>
        <v>877.45600215</v>
      </c>
      <c r="I9" s="20" t="n">
        <f aca="false">I8*(1-Assumptions!$B$7)</f>
        <v>956.009206152</v>
      </c>
      <c r="J9" s="20" t="n">
        <f aca="false">J8*(1-Assumptions!$B$7)</f>
        <v>1027.52604868914</v>
      </c>
      <c r="K9" s="20" t="n">
        <f aca="false">K8*(1-Assumptions!$B$7)</f>
        <v>1094.14150556551</v>
      </c>
      <c r="L9" s="20" t="n">
        <f aca="false">L8*(1-Assumptions!$B$7)</f>
        <v>1154.15994737566</v>
      </c>
    </row>
    <row r="10" customFormat="false" ht="15" hidden="false" customHeight="true" outlineLevel="0" collapsed="false">
      <c r="B10" s="1" t="s">
        <v>122</v>
      </c>
      <c r="C10" s="21" t="n">
        <f aca="false">1/(1+Assumptions!$B$4)^C3</f>
        <v>0.909090909090909</v>
      </c>
      <c r="D10" s="21" t="n">
        <f aca="false">1/(1+Assumptions!$B$4)^D3</f>
        <v>0.826446280991735</v>
      </c>
      <c r="E10" s="21" t="n">
        <f aca="false">1/(1+Assumptions!$B$4)^E3</f>
        <v>0.751314800901578</v>
      </c>
      <c r="F10" s="21" t="n">
        <f aca="false">1/(1+Assumptions!$B$4)^F3</f>
        <v>0.683013455365071</v>
      </c>
      <c r="G10" s="21" t="n">
        <f aca="false">1/(1+Assumptions!$B$4)^G3</f>
        <v>0.620921323059155</v>
      </c>
      <c r="H10" s="21" t="n">
        <f aca="false">1/(1+Assumptions!$B$4)^H3</f>
        <v>0.564473930053777</v>
      </c>
      <c r="I10" s="21" t="n">
        <f aca="false">1/(1+Assumptions!$B$4)^I3</f>
        <v>0.513158118230707</v>
      </c>
      <c r="J10" s="21" t="n">
        <f aca="false">1/(1+Assumptions!$B$4)^J3</f>
        <v>0.466507380209733</v>
      </c>
      <c r="K10" s="21" t="n">
        <f aca="false">1/(1+Assumptions!$B$4)^K3</f>
        <v>0.424097618372485</v>
      </c>
      <c r="L10" s="21" t="n">
        <f aca="false">1/(1+Assumptions!$B$4)^L3</f>
        <v>0.385543289429531</v>
      </c>
    </row>
    <row r="11" customFormat="false" ht="15" hidden="false" customHeight="true" outlineLevel="0" collapsed="false">
      <c r="B11" s="8" t="s">
        <v>123</v>
      </c>
      <c r="C11" s="20" t="n">
        <f aca="false">C9*C10</f>
        <v>381.413352272727</v>
      </c>
      <c r="D11" s="20" t="n">
        <f aca="false">D9*D10</f>
        <v>423.792613636364</v>
      </c>
      <c r="E11" s="20" t="n">
        <f aca="false">E9*E10</f>
        <v>456.014861945905</v>
      </c>
      <c r="F11" s="20" t="n">
        <f aca="false">F9*F10</f>
        <v>478.3284504986</v>
      </c>
      <c r="G11" s="20" t="n">
        <f aca="false">G9*G10</f>
        <v>491.089294462623</v>
      </c>
      <c r="H11" s="20" t="n">
        <f aca="false">H9*H10</f>
        <v>495.301037982886</v>
      </c>
      <c r="I11" s="20" t="n">
        <f aca="false">I9*I10</f>
        <v>490.583885240192</v>
      </c>
      <c r="J11" s="20" t="n">
        <f aca="false">J9*J10</f>
        <v>479.348485071229</v>
      </c>
      <c r="K11" s="20" t="n">
        <f aca="false">K9*K10</f>
        <v>464.022806672817</v>
      </c>
      <c r="L11" s="20" t="n">
        <f aca="false">L9*L10</f>
        <v>444.978622639025</v>
      </c>
    </row>
    <row r="13" customFormat="false" ht="15" hidden="false" customHeight="true" outlineLevel="0" collapsed="false">
      <c r="B13" s="8" t="s">
        <v>124</v>
      </c>
      <c r="N13" s="22" t="n">
        <f aca="false">SUM(C11:L11)</f>
        <v>4604.87341042237</v>
      </c>
    </row>
    <row r="14" customFormat="false" ht="15" hidden="false" customHeight="true" outlineLevel="0" collapsed="false">
      <c r="B14" s="8" t="s">
        <v>136</v>
      </c>
      <c r="N14" s="22" t="n">
        <f aca="false">L9*(1+Assumptions!$B$6)/(Assumptions!$B$4-Assumptions!$B$6)</f>
        <v>14715.5393290396</v>
      </c>
    </row>
    <row r="15" customFormat="false" ht="15" hidden="false" customHeight="true" outlineLevel="0" collapsed="false">
      <c r="B15" s="8" t="s">
        <v>126</v>
      </c>
      <c r="N15" s="22" t="n">
        <f aca="false">N14*L10</f>
        <v>5673.47743864757</v>
      </c>
    </row>
    <row r="16" customFormat="false" ht="15" hidden="false" customHeight="true" outlineLevel="0" collapsed="false">
      <c r="B16" s="4" t="s">
        <v>137</v>
      </c>
      <c r="N16" s="23" t="n">
        <f aca="false">N13+N15</f>
        <v>10278.3508490699</v>
      </c>
    </row>
    <row r="18" customFormat="false" ht="15" hidden="false" customHeight="true" outlineLevel="0" collapsed="false">
      <c r="B18" s="4" t="s">
        <v>138</v>
      </c>
    </row>
    <row r="19" customFormat="false" ht="15" hidden="false" customHeight="true" outlineLevel="0" collapsed="false">
      <c r="B19" s="1" t="s">
        <v>139</v>
      </c>
      <c r="C19" s="25" t="n">
        <f aca="false">CoreDCF!C5+C7</f>
        <v>2968.317</v>
      </c>
    </row>
    <row r="20" customFormat="false" ht="15" hidden="false" customHeight="true" outlineLevel="0" collapsed="false">
      <c r="B20" s="1" t="s">
        <v>140</v>
      </c>
      <c r="C20" s="26" t="n">
        <f aca="false">C19/2502.8-1</f>
        <v>0.185998481700495</v>
      </c>
    </row>
    <row r="21" customFormat="false" ht="15" hidden="false" customHeight="true" outlineLevel="0" collapsed="false">
      <c r="B21" s="1" t="s">
        <v>141</v>
      </c>
      <c r="C21" s="26" t="n">
        <f aca="false">(CoreDCF!C8+C8)/C19</f>
        <v>0.235156073290016</v>
      </c>
    </row>
    <row r="22" customFormat="false" ht="15" hidden="false" customHeight="true" outlineLevel="0" collapsed="false">
      <c r="B22" s="5" t="s">
        <v>142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44"/>
    <col collapsed="false" customWidth="true" hidden="false" outlineLevel="0" max="15" min="3" style="1" width="11"/>
  </cols>
  <sheetData>
    <row r="1" customFormat="false" ht="15.75" hidden="false" customHeight="true" outlineLevel="0" collapsed="false">
      <c r="B1" s="2" t="s">
        <v>143</v>
      </c>
    </row>
    <row r="3" customFormat="false" ht="15" hidden="false" customHeight="true" outlineLevel="0" collapsed="false">
      <c r="B3" s="4" t="s">
        <v>144</v>
      </c>
    </row>
    <row r="4" customFormat="false" ht="15" hidden="false" customHeight="true" outlineLevel="0" collapsed="false">
      <c r="B4" s="1" t="s">
        <v>145</v>
      </c>
      <c r="C4" s="27" t="n">
        <f aca="false">CoreDCF!N17</f>
        <v>7321.43175627963</v>
      </c>
    </row>
    <row r="5" customFormat="false" ht="15" hidden="false" customHeight="true" outlineLevel="0" collapsed="false">
      <c r="B5" s="1" t="s">
        <v>146</v>
      </c>
      <c r="C5" s="27" t="n">
        <f aca="false">Float!N16</f>
        <v>10278.3508490699</v>
      </c>
    </row>
    <row r="6" customFormat="false" ht="15" hidden="false" customHeight="true" outlineLevel="0" collapsed="false">
      <c r="B6" s="1" t="s">
        <v>147</v>
      </c>
      <c r="C6" s="27" t="n">
        <f aca="false">Assumptions!$B$10</f>
        <v>1874</v>
      </c>
    </row>
    <row r="7" customFormat="false" ht="15" hidden="false" customHeight="true" outlineLevel="0" collapsed="false">
      <c r="B7" s="8" t="s">
        <v>148</v>
      </c>
      <c r="C7" s="28" t="n">
        <f aca="false">C4+C5+C6</f>
        <v>19473.7826053496</v>
      </c>
    </row>
    <row r="8" customFormat="false" ht="15" hidden="false" customHeight="true" outlineLevel="0" collapsed="false">
      <c r="B8" s="8" t="s">
        <v>149</v>
      </c>
      <c r="C8" s="29" t="n">
        <f aca="false">C7/Assumptions!$B$9</f>
        <v>19.4252195564584</v>
      </c>
    </row>
    <row r="9" customFormat="false" ht="15" hidden="false" customHeight="true" outlineLevel="0" collapsed="false">
      <c r="B9" s="1" t="s">
        <v>150</v>
      </c>
      <c r="C9" s="30" t="n">
        <f aca="false">C8/Assumptions!$B$11*100</f>
        <v>1449.64325048197</v>
      </c>
    </row>
    <row r="11" customFormat="false" ht="15" hidden="false" customHeight="true" outlineLevel="0" collapsed="false">
      <c r="B11" s="4" t="s">
        <v>151</v>
      </c>
    </row>
    <row r="12" customFormat="false" ht="15" hidden="false" customHeight="true" outlineLevel="0" collapsed="false">
      <c r="B12" s="6" t="s">
        <v>152</v>
      </c>
      <c r="C12" s="6" t="s">
        <v>153</v>
      </c>
      <c r="D12" s="6" t="s">
        <v>154</v>
      </c>
      <c r="E12" s="6" t="s">
        <v>155</v>
      </c>
      <c r="F12" s="6" t="s">
        <v>156</v>
      </c>
      <c r="G12" s="6" t="s">
        <v>157</v>
      </c>
      <c r="H12" s="6" t="s">
        <v>158</v>
      </c>
      <c r="I12" s="6" t="s">
        <v>159</v>
      </c>
    </row>
    <row r="13" customFormat="false" ht="15" hidden="false" customHeight="true" outlineLevel="0" collapsed="false">
      <c r="B13" s="8" t="s">
        <v>160</v>
      </c>
      <c r="C13" s="10" t="n">
        <v>0.55</v>
      </c>
      <c r="D13" s="13" t="n">
        <v>150</v>
      </c>
      <c r="E13" s="10" t="n">
        <v>0.015</v>
      </c>
      <c r="F13" s="31" t="n">
        <v>3</v>
      </c>
      <c r="G13" s="10" t="n">
        <v>0</v>
      </c>
      <c r="H13" s="31" t="n">
        <v>0</v>
      </c>
      <c r="I13" s="13" t="n">
        <v>0</v>
      </c>
    </row>
    <row r="14" customFormat="false" ht="15" hidden="false" customHeight="true" outlineLevel="0" collapsed="false">
      <c r="B14" s="8" t="s">
        <v>161</v>
      </c>
      <c r="C14" s="10" t="n">
        <v>0.25</v>
      </c>
      <c r="D14" s="13" t="n">
        <v>600</v>
      </c>
      <c r="E14" s="10" t="n">
        <v>0.02</v>
      </c>
      <c r="F14" s="31" t="n">
        <v>4</v>
      </c>
      <c r="G14" s="10" t="n">
        <v>0.04</v>
      </c>
      <c r="H14" s="31" t="n">
        <v>2</v>
      </c>
      <c r="I14" s="13" t="n">
        <v>0</v>
      </c>
    </row>
    <row r="15" customFormat="false" ht="15" hidden="false" customHeight="true" outlineLevel="0" collapsed="false">
      <c r="B15" s="8" t="s">
        <v>162</v>
      </c>
      <c r="C15" s="10" t="n">
        <v>0.15</v>
      </c>
      <c r="D15" s="13" t="n">
        <v>400</v>
      </c>
      <c r="E15" s="10" t="n">
        <v>0.025</v>
      </c>
      <c r="F15" s="31" t="n">
        <v>5</v>
      </c>
      <c r="G15" s="10" t="n">
        <v>0.06</v>
      </c>
      <c r="H15" s="31" t="n">
        <v>2</v>
      </c>
      <c r="I15" s="13" t="n">
        <v>0</v>
      </c>
    </row>
    <row r="16" customFormat="false" ht="15" hidden="false" customHeight="true" outlineLevel="0" collapsed="false">
      <c r="B16" s="8" t="s">
        <v>163</v>
      </c>
      <c r="C16" s="10" t="n">
        <v>0.05</v>
      </c>
      <c r="D16" s="13" t="n">
        <v>800</v>
      </c>
      <c r="E16" s="10" t="n">
        <v>0.03</v>
      </c>
      <c r="F16" s="31" t="n">
        <v>5</v>
      </c>
      <c r="G16" s="10" t="n">
        <v>0.12</v>
      </c>
      <c r="H16" s="31" t="n">
        <v>3</v>
      </c>
      <c r="I16" s="13" t="n">
        <v>800</v>
      </c>
    </row>
    <row r="17" customFormat="false" ht="15" hidden="false" customHeight="true" outlineLevel="0" collapsed="false">
      <c r="B17" s="1" t="s">
        <v>164</v>
      </c>
      <c r="C17" s="32" t="n">
        <f aca="false">SUM(C13:C16)</f>
        <v>1</v>
      </c>
    </row>
    <row r="18" customFormat="false" ht="15" hidden="false" customHeight="true" outlineLevel="0" collapsed="false">
      <c r="B18" s="5" t="s">
        <v>165</v>
      </c>
    </row>
    <row r="20" customFormat="false" ht="15" hidden="false" customHeight="true" outlineLevel="0" collapsed="false">
      <c r="B20" s="4" t="s">
        <v>166</v>
      </c>
    </row>
    <row r="21" customFormat="false" ht="15" hidden="false" customHeight="true" outlineLevel="0" collapsed="false">
      <c r="B21" s="8" t="s">
        <v>167</v>
      </c>
      <c r="C21" s="26" t="n">
        <f aca="false">CoreDCF!C4-IF(CoreDCF!C3&lt;=$H$13,$G$13,0)</f>
        <v>0.22</v>
      </c>
      <c r="D21" s="26" t="n">
        <f aca="false">CoreDCF!D4-IF(CoreDCF!D3&lt;=$H$13,$G$13,0)</f>
        <v>0.19</v>
      </c>
      <c r="E21" s="26" t="n">
        <f aca="false">CoreDCF!E4-IF(CoreDCF!E3&lt;=$H$13,$G$13,0)</f>
        <v>0.17</v>
      </c>
      <c r="F21" s="26" t="n">
        <f aca="false">CoreDCF!F4-IF(CoreDCF!F3&lt;=$H$13,$G$13,0)</f>
        <v>0.15</v>
      </c>
      <c r="G21" s="26" t="n">
        <f aca="false">CoreDCF!G4-IF(CoreDCF!G3&lt;=$H$13,$G$13,0)</f>
        <v>0.13</v>
      </c>
      <c r="H21" s="26" t="n">
        <f aca="false">CoreDCF!H4-IF(CoreDCF!H3&lt;=$H$13,$G$13,0)</f>
        <v>0.11</v>
      </c>
      <c r="I21" s="26" t="n">
        <f aca="false">CoreDCF!I4-IF(CoreDCF!I3&lt;=$H$13,$G$13,0)</f>
        <v>0.09</v>
      </c>
      <c r="J21" s="26" t="n">
        <f aca="false">CoreDCF!J4-IF(CoreDCF!J3&lt;=$H$13,$G$13,0)</f>
        <v>0.07</v>
      </c>
      <c r="K21" s="26" t="n">
        <f aca="false">CoreDCF!K4-IF(CoreDCF!K3&lt;=$H$13,$G$13,0)</f>
        <v>0.06</v>
      </c>
      <c r="L21" s="26" t="n">
        <f aca="false">CoreDCF!L4-IF(CoreDCF!L3&lt;=$H$13,$G$13,0)</f>
        <v>0.05</v>
      </c>
    </row>
    <row r="22" customFormat="false" ht="15" hidden="false" customHeight="true" outlineLevel="0" collapsed="false">
      <c r="B22" s="3" t="s">
        <v>168</v>
      </c>
      <c r="C22" s="20" t="n">
        <f aca="false">Assumptions!$B$15*(1+C21)</f>
        <v>2310.192</v>
      </c>
      <c r="D22" s="20" t="n">
        <f aca="false">C22*(1+D21)</f>
        <v>2749.12848</v>
      </c>
      <c r="E22" s="20" t="n">
        <f aca="false">D22*(1+E21)</f>
        <v>3216.4803216</v>
      </c>
      <c r="F22" s="20" t="n">
        <f aca="false">E22*(1+F21)</f>
        <v>3698.95236984</v>
      </c>
      <c r="G22" s="20" t="n">
        <f aca="false">F22*(1+G21)</f>
        <v>4179.8161779192</v>
      </c>
      <c r="H22" s="20" t="n">
        <f aca="false">G22*(1+H21)</f>
        <v>4639.59595749031</v>
      </c>
      <c r="I22" s="20" t="n">
        <f aca="false">H22*(1+I21)</f>
        <v>5057.15959366444</v>
      </c>
      <c r="J22" s="20" t="n">
        <f aca="false">I22*(1+J21)</f>
        <v>5411.16076522095</v>
      </c>
      <c r="K22" s="20" t="n">
        <f aca="false">J22*(1+K21)</f>
        <v>5735.83041113421</v>
      </c>
      <c r="L22" s="20" t="n">
        <f aca="false">K22*(1+L21)</f>
        <v>6022.62193169092</v>
      </c>
    </row>
    <row r="23" customFormat="false" ht="15" hidden="false" customHeight="true" outlineLevel="0" collapsed="false">
      <c r="B23" s="1" t="s">
        <v>169</v>
      </c>
      <c r="C23" s="20" t="n">
        <f aca="false">C22*(CoreDCF!C7-IF(CoreDCF!C3&lt;=$F$13,$E$13,0))</f>
        <v>103.95864</v>
      </c>
      <c r="D23" s="20" t="n">
        <f aca="false">D22*(CoreDCF!D7-IF(CoreDCF!D3&lt;=$F$13,$E$13,0))</f>
        <v>206.184636</v>
      </c>
      <c r="E23" s="20" t="n">
        <f aca="false">E22*(CoreDCF!E7-IF(CoreDCF!E3&lt;=$F$13,$E$13,0))</f>
        <v>337.730433768</v>
      </c>
      <c r="F23" s="20" t="n">
        <f aca="false">F22*(CoreDCF!F7-IF(CoreDCF!F3&lt;=$F$13,$E$13,0))</f>
        <v>517.8533317776</v>
      </c>
      <c r="G23" s="20" t="n">
        <f aca="false">G22*(CoreDCF!G7-IF(CoreDCF!G3&lt;=$F$13,$E$13,0))</f>
        <v>668.770588467072</v>
      </c>
      <c r="H23" s="20" t="n">
        <f aca="false">H22*(CoreDCF!H7-IF(CoreDCF!H3&lt;=$F$13,$E$13,0))</f>
        <v>788.731312773353</v>
      </c>
      <c r="I23" s="20" t="n">
        <f aca="false">I22*(CoreDCF!I7-IF(CoreDCF!I3&lt;=$F$13,$E$13,0))</f>
        <v>910.288726859599</v>
      </c>
      <c r="J23" s="20" t="n">
        <f aca="false">J22*(CoreDCF!J7-IF(CoreDCF!J3&lt;=$F$13,$E$13,0))</f>
        <v>974.008937739771</v>
      </c>
      <c r="K23" s="20" t="n">
        <f aca="false">K22*(CoreDCF!K7-IF(CoreDCF!K3&lt;=$F$13,$E$13,0))</f>
        <v>1032.44947400416</v>
      </c>
      <c r="L23" s="20" t="n">
        <f aca="false">L22*(CoreDCF!L7-IF(CoreDCF!L3&lt;=$F$13,$E$13,0))</f>
        <v>1084.07194770437</v>
      </c>
    </row>
    <row r="24" customFormat="false" ht="15" hidden="false" customHeight="true" outlineLevel="0" collapsed="false">
      <c r="B24" s="1" t="s">
        <v>170</v>
      </c>
      <c r="C24" s="20" t="n">
        <f aca="false">C23*(1-Assumptions!$B$7)*Assumptions!$B$8</f>
        <v>77.96898</v>
      </c>
      <c r="D24" s="20" t="n">
        <f aca="false">D23*(1-Assumptions!$B$7)*Assumptions!$B$8</f>
        <v>154.638477</v>
      </c>
      <c r="E24" s="20" t="n">
        <f aca="false">E23*(1-Assumptions!$B$7)*Assumptions!$B$8</f>
        <v>253.297825326</v>
      </c>
      <c r="F24" s="20" t="n">
        <f aca="false">F23*(1-Assumptions!$B$7)*Assumptions!$B$8</f>
        <v>388.3899988332</v>
      </c>
      <c r="G24" s="20" t="n">
        <f aca="false">G23*(1-Assumptions!$B$7)*Assumptions!$B$8</f>
        <v>501.577941350304</v>
      </c>
      <c r="H24" s="20" t="n">
        <f aca="false">H23*(1-Assumptions!$B$7)*Assumptions!$B$8</f>
        <v>591.548484580015</v>
      </c>
      <c r="I24" s="20" t="n">
        <f aca="false">I23*(1-Assumptions!$B$7)*Assumptions!$B$8</f>
        <v>682.716545144699</v>
      </c>
      <c r="J24" s="20" t="n">
        <f aca="false">J23*(1-Assumptions!$B$7)*Assumptions!$B$8</f>
        <v>730.506703304828</v>
      </c>
      <c r="K24" s="20" t="n">
        <f aca="false">K23*(1-Assumptions!$B$7)*Assumptions!$B$8</f>
        <v>774.337105503118</v>
      </c>
      <c r="L24" s="20" t="n">
        <f aca="false">L23*(1-Assumptions!$B$7)*Assumptions!$B$8</f>
        <v>813.053960778274</v>
      </c>
    </row>
    <row r="25" customFormat="false" ht="15" hidden="false" customHeight="true" outlineLevel="0" collapsed="false">
      <c r="B25" s="1" t="s">
        <v>123</v>
      </c>
      <c r="C25" s="20" t="n">
        <f aca="false">C24*CoreDCF!C11</f>
        <v>70.8808909090909</v>
      </c>
      <c r="D25" s="20" t="n">
        <f aca="false">D24*CoreDCF!D11</f>
        <v>127.800394214876</v>
      </c>
      <c r="E25" s="20" t="n">
        <f aca="false">E24*CoreDCF!E11</f>
        <v>190.306405203606</v>
      </c>
      <c r="F25" s="20" t="n">
        <f aca="false">F24*CoreDCF!F11</f>
        <v>265.2755951323</v>
      </c>
      <c r="G25" s="20" t="n">
        <f aca="false">G24*CoreDCF!G11</f>
        <v>311.440438960518</v>
      </c>
      <c r="H25" s="20" t="n">
        <f aca="false">H24*CoreDCF!H11</f>
        <v>333.913697908237</v>
      </c>
      <c r="I25" s="20" t="n">
        <f aca="false">I24*CoreDCF!I11</f>
        <v>350.341537591423</v>
      </c>
      <c r="J25" s="20" t="n">
        <f aca="false">J24*CoreDCF!J11</f>
        <v>340.786768384384</v>
      </c>
      <c r="K25" s="20" t="n">
        <f aca="false">K24*CoreDCF!K11</f>
        <v>328.394522261316</v>
      </c>
      <c r="L25" s="20" t="n">
        <f aca="false">L24*CoreDCF!L11</f>
        <v>313.467498522165</v>
      </c>
    </row>
    <row r="26" customFormat="false" ht="15" hidden="false" customHeight="true" outlineLevel="0" collapsed="false">
      <c r="B26" s="8" t="s">
        <v>171</v>
      </c>
      <c r="N26" s="22" t="n">
        <f aca="false">SUM(C25:L25)+L24*(1+Assumptions!$B$5)/(Assumptions!$B$4-Assumptions!$B$5)*CoreDCF!L11</f>
        <v>7245.05808448549</v>
      </c>
    </row>
    <row r="27" customFormat="false" ht="15" hidden="false" customHeight="true" outlineLevel="0" collapsed="false">
      <c r="B27" s="1" t="s">
        <v>172</v>
      </c>
      <c r="N27" s="22" t="n">
        <f aca="false">N26+$C$5+$C$6-($D$13+$I$13)/(1+Assumptions!$B$4)^Assumptions!$B$18</f>
        <v>19267.3913077492</v>
      </c>
    </row>
    <row r="28" customFormat="false" ht="15" hidden="false" customHeight="true" outlineLevel="0" collapsed="false">
      <c r="B28" s="8" t="s">
        <v>173</v>
      </c>
      <c r="N28" s="29" t="n">
        <f aca="false">N27/Assumptions!$B$9</f>
        <v>19.2193429503733</v>
      </c>
    </row>
    <row r="29" customFormat="false" ht="15" hidden="false" customHeight="true" outlineLevel="0" collapsed="false">
      <c r="B29" s="8" t="s">
        <v>174</v>
      </c>
      <c r="C29" s="26" t="n">
        <f aca="false">CoreDCF!C4-IF(CoreDCF!C3&lt;=$H$14,$G$14,0)</f>
        <v>0.18</v>
      </c>
      <c r="D29" s="26" t="n">
        <f aca="false">CoreDCF!D4-IF(CoreDCF!D3&lt;=$H$14,$G$14,0)</f>
        <v>0.15</v>
      </c>
      <c r="E29" s="26" t="n">
        <f aca="false">CoreDCF!E4-IF(CoreDCF!E3&lt;=$H$14,$G$14,0)</f>
        <v>0.17</v>
      </c>
      <c r="F29" s="26" t="n">
        <f aca="false">CoreDCF!F4-IF(CoreDCF!F3&lt;=$H$14,$G$14,0)</f>
        <v>0.15</v>
      </c>
      <c r="G29" s="26" t="n">
        <f aca="false">CoreDCF!G4-IF(CoreDCF!G3&lt;=$H$14,$G$14,0)</f>
        <v>0.13</v>
      </c>
      <c r="H29" s="26" t="n">
        <f aca="false">CoreDCF!H4-IF(CoreDCF!H3&lt;=$H$14,$G$14,0)</f>
        <v>0.11</v>
      </c>
      <c r="I29" s="26" t="n">
        <f aca="false">CoreDCF!I4-IF(CoreDCF!I3&lt;=$H$14,$G$14,0)</f>
        <v>0.09</v>
      </c>
      <c r="J29" s="26" t="n">
        <f aca="false">CoreDCF!J4-IF(CoreDCF!J3&lt;=$H$14,$G$14,0)</f>
        <v>0.07</v>
      </c>
      <c r="K29" s="26" t="n">
        <f aca="false">CoreDCF!K4-IF(CoreDCF!K3&lt;=$H$14,$G$14,0)</f>
        <v>0.06</v>
      </c>
      <c r="L29" s="26" t="n">
        <f aca="false">CoreDCF!L4-IF(CoreDCF!L3&lt;=$H$14,$G$14,0)</f>
        <v>0.05</v>
      </c>
    </row>
    <row r="30" customFormat="false" ht="15" hidden="false" customHeight="true" outlineLevel="0" collapsed="false">
      <c r="B30" s="3" t="s">
        <v>168</v>
      </c>
      <c r="C30" s="20" t="n">
        <f aca="false">Assumptions!$B$15*(1+C29)</f>
        <v>2234.448</v>
      </c>
      <c r="D30" s="20" t="n">
        <f aca="false">C30*(1+D29)</f>
        <v>2569.6152</v>
      </c>
      <c r="E30" s="20" t="n">
        <f aca="false">D30*(1+E29)</f>
        <v>3006.449784</v>
      </c>
      <c r="F30" s="20" t="n">
        <f aca="false">E30*(1+F29)</f>
        <v>3457.4172516</v>
      </c>
      <c r="G30" s="20" t="n">
        <f aca="false">F30*(1+G29)</f>
        <v>3906.881494308</v>
      </c>
      <c r="H30" s="20" t="n">
        <f aca="false">G30*(1+H29)</f>
        <v>4336.63845868188</v>
      </c>
      <c r="I30" s="20" t="n">
        <f aca="false">H30*(1+I29)</f>
        <v>4726.93591996325</v>
      </c>
      <c r="J30" s="20" t="n">
        <f aca="false">I30*(1+J29)</f>
        <v>5057.82143436068</v>
      </c>
      <c r="K30" s="20" t="n">
        <f aca="false">J30*(1+K29)</f>
        <v>5361.29072042232</v>
      </c>
      <c r="L30" s="20" t="n">
        <f aca="false">K30*(1+L29)</f>
        <v>5629.35525644343</v>
      </c>
    </row>
    <row r="31" customFormat="false" ht="15" hidden="false" customHeight="true" outlineLevel="0" collapsed="false">
      <c r="B31" s="1" t="s">
        <v>169</v>
      </c>
      <c r="C31" s="20" t="n">
        <f aca="false">C30*(CoreDCF!C7-IF(CoreDCF!C3&lt;=$F$14,$E$14,0))</f>
        <v>89.37792</v>
      </c>
      <c r="D31" s="20" t="n">
        <f aca="false">D30*(CoreDCF!D7-IF(CoreDCF!D3&lt;=$F$14,$E$14,0))</f>
        <v>179.873064</v>
      </c>
      <c r="E31" s="20" t="n">
        <f aca="false">E30*(CoreDCF!E7-IF(CoreDCF!E3&lt;=$F$14,$E$14,0))</f>
        <v>300.6449784</v>
      </c>
      <c r="F31" s="20" t="n">
        <f aca="false">F30*(CoreDCF!F7-IF(CoreDCF!F3&lt;=$F$14,$E$14,0))</f>
        <v>414.890070192</v>
      </c>
      <c r="G31" s="20" t="n">
        <f aca="false">G30*(CoreDCF!G7-IF(CoreDCF!G3&lt;=$F$14,$E$14,0))</f>
        <v>625.10103908928</v>
      </c>
      <c r="H31" s="20" t="n">
        <f aca="false">H30*(CoreDCF!H7-IF(CoreDCF!H3&lt;=$F$14,$E$14,0))</f>
        <v>737.228537975919</v>
      </c>
      <c r="I31" s="20" t="n">
        <f aca="false">I30*(CoreDCF!I7-IF(CoreDCF!I3&lt;=$F$14,$E$14,0))</f>
        <v>850.848465593385</v>
      </c>
      <c r="J31" s="20" t="n">
        <f aca="false">J30*(CoreDCF!J7-IF(CoreDCF!J3&lt;=$F$14,$E$14,0))</f>
        <v>910.407858184922</v>
      </c>
      <c r="K31" s="20" t="n">
        <f aca="false">K30*(CoreDCF!K7-IF(CoreDCF!K3&lt;=$F$14,$E$14,0))</f>
        <v>965.032329676017</v>
      </c>
      <c r="L31" s="20" t="n">
        <f aca="false">L30*(CoreDCF!L7-IF(CoreDCF!L3&lt;=$F$14,$E$14,0))</f>
        <v>1013.28394615982</v>
      </c>
    </row>
    <row r="32" customFormat="false" ht="15" hidden="false" customHeight="true" outlineLevel="0" collapsed="false">
      <c r="B32" s="1" t="s">
        <v>170</v>
      </c>
      <c r="C32" s="20" t="n">
        <f aca="false">C31*(1-Assumptions!$B$7)*Assumptions!$B$8</f>
        <v>67.03344</v>
      </c>
      <c r="D32" s="20" t="n">
        <f aca="false">D31*(1-Assumptions!$B$7)*Assumptions!$B$8</f>
        <v>134.904798</v>
      </c>
      <c r="E32" s="20" t="n">
        <f aca="false">E31*(1-Assumptions!$B$7)*Assumptions!$B$8</f>
        <v>225.4837338</v>
      </c>
      <c r="F32" s="20" t="n">
        <f aca="false">F31*(1-Assumptions!$B$7)*Assumptions!$B$8</f>
        <v>311.167552644</v>
      </c>
      <c r="G32" s="20" t="n">
        <f aca="false">G31*(1-Assumptions!$B$7)*Assumptions!$B$8</f>
        <v>468.82577931696</v>
      </c>
      <c r="H32" s="20" t="n">
        <f aca="false">H31*(1-Assumptions!$B$7)*Assumptions!$B$8</f>
        <v>552.92140348194</v>
      </c>
      <c r="I32" s="20" t="n">
        <f aca="false">I31*(1-Assumptions!$B$7)*Assumptions!$B$8</f>
        <v>638.136349195039</v>
      </c>
      <c r="J32" s="20" t="n">
        <f aca="false">J31*(1-Assumptions!$B$7)*Assumptions!$B$8</f>
        <v>682.805893638691</v>
      </c>
      <c r="K32" s="20" t="n">
        <f aca="false">K31*(1-Assumptions!$B$7)*Assumptions!$B$8</f>
        <v>723.774247257013</v>
      </c>
      <c r="L32" s="20" t="n">
        <f aca="false">L31*(1-Assumptions!$B$7)*Assumptions!$B$8</f>
        <v>759.962959619864</v>
      </c>
    </row>
    <row r="33" customFormat="false" ht="15" hidden="false" customHeight="true" outlineLevel="0" collapsed="false">
      <c r="B33" s="1" t="s">
        <v>123</v>
      </c>
      <c r="C33" s="20" t="n">
        <f aca="false">C32*CoreDCF!C11</f>
        <v>60.9394909090909</v>
      </c>
      <c r="D33" s="20" t="n">
        <f aca="false">D32*CoreDCF!D11</f>
        <v>111.491568595041</v>
      </c>
      <c r="E33" s="20" t="n">
        <f aca="false">E32*CoreDCF!E11</f>
        <v>169.409266566491</v>
      </c>
      <c r="F33" s="20" t="n">
        <f aca="false">F32*CoreDCF!F11</f>
        <v>212.531625328871</v>
      </c>
      <c r="G33" s="20" t="n">
        <f aca="false">G32*CoreDCF!G11</f>
        <v>291.103923177726</v>
      </c>
      <c r="H33" s="20" t="n">
        <f aca="false">H32*CoreDCF!H11</f>
        <v>312.109717634301</v>
      </c>
      <c r="I33" s="20" t="n">
        <f aca="false">I32*CoreDCF!I11</f>
        <v>327.464848127539</v>
      </c>
      <c r="J33" s="20" t="n">
        <f aca="false">J32*CoreDCF!J11</f>
        <v>318.533988633152</v>
      </c>
      <c r="K33" s="20" t="n">
        <f aca="false">K32*CoreDCF!K11</f>
        <v>306.950934501037</v>
      </c>
      <c r="L33" s="20" t="n">
        <f aca="false">L32*CoreDCF!L11</f>
        <v>292.998619296444</v>
      </c>
    </row>
    <row r="34" customFormat="false" ht="15" hidden="false" customHeight="true" outlineLevel="0" collapsed="false">
      <c r="B34" s="8" t="s">
        <v>171</v>
      </c>
      <c r="N34" s="22" t="n">
        <f aca="false">SUM(C33:L33)+L32*(1+Assumptions!$B$5)/(Assumptions!$B$4-Assumptions!$B$5)*CoreDCF!L11</f>
        <v>6714.7993809888</v>
      </c>
    </row>
    <row r="35" customFormat="false" ht="15" hidden="false" customHeight="true" outlineLevel="0" collapsed="false">
      <c r="B35" s="1" t="s">
        <v>172</v>
      </c>
      <c r="N35" s="22" t="n">
        <f aca="false">N34+$C$5+$C$6-($D$14+$I$14)/(1+Assumptions!$B$4)^Assumptions!$B$18</f>
        <v>18347.0797268339</v>
      </c>
    </row>
    <row r="36" customFormat="false" ht="15" hidden="false" customHeight="true" outlineLevel="0" collapsed="false">
      <c r="B36" s="8" t="s">
        <v>173</v>
      </c>
      <c r="N36" s="29" t="n">
        <f aca="false">N35/Assumptions!$B$9</f>
        <v>18.3013264108069</v>
      </c>
    </row>
    <row r="37" customFormat="false" ht="15" hidden="false" customHeight="true" outlineLevel="0" collapsed="false">
      <c r="B37" s="8" t="s">
        <v>175</v>
      </c>
      <c r="C37" s="26" t="n">
        <f aca="false">CoreDCF!C4-IF(CoreDCF!C3&lt;=$H$15,$G$15,0)</f>
        <v>0.16</v>
      </c>
      <c r="D37" s="26" t="n">
        <f aca="false">CoreDCF!D4-IF(CoreDCF!D3&lt;=$H$15,$G$15,0)</f>
        <v>0.13</v>
      </c>
      <c r="E37" s="26" t="n">
        <f aca="false">CoreDCF!E4-IF(CoreDCF!E3&lt;=$H$15,$G$15,0)</f>
        <v>0.17</v>
      </c>
      <c r="F37" s="26" t="n">
        <f aca="false">CoreDCF!F4-IF(CoreDCF!F3&lt;=$H$15,$G$15,0)</f>
        <v>0.15</v>
      </c>
      <c r="G37" s="26" t="n">
        <f aca="false">CoreDCF!G4-IF(CoreDCF!G3&lt;=$H$15,$G$15,0)</f>
        <v>0.13</v>
      </c>
      <c r="H37" s="26" t="n">
        <f aca="false">CoreDCF!H4-IF(CoreDCF!H3&lt;=$H$15,$G$15,0)</f>
        <v>0.11</v>
      </c>
      <c r="I37" s="26" t="n">
        <f aca="false">CoreDCF!I4-IF(CoreDCF!I3&lt;=$H$15,$G$15,0)</f>
        <v>0.09</v>
      </c>
      <c r="J37" s="26" t="n">
        <f aca="false">CoreDCF!J4-IF(CoreDCF!J3&lt;=$H$15,$G$15,0)</f>
        <v>0.07</v>
      </c>
      <c r="K37" s="26" t="n">
        <f aca="false">CoreDCF!K4-IF(CoreDCF!K3&lt;=$H$15,$G$15,0)</f>
        <v>0.06</v>
      </c>
      <c r="L37" s="26" t="n">
        <f aca="false">CoreDCF!L4-IF(CoreDCF!L3&lt;=$H$15,$G$15,0)</f>
        <v>0.05</v>
      </c>
    </row>
    <row r="38" customFormat="false" ht="15" hidden="false" customHeight="true" outlineLevel="0" collapsed="false">
      <c r="B38" s="3" t="s">
        <v>168</v>
      </c>
      <c r="C38" s="20" t="n">
        <f aca="false">Assumptions!$B$15*(1+C37)</f>
        <v>2196.576</v>
      </c>
      <c r="D38" s="20" t="n">
        <f aca="false">C38*(1+D37)</f>
        <v>2482.13088</v>
      </c>
      <c r="E38" s="20" t="n">
        <f aca="false">D38*(1+E37)</f>
        <v>2904.0931296</v>
      </c>
      <c r="F38" s="20" t="n">
        <f aca="false">E38*(1+F37)</f>
        <v>3339.70709904</v>
      </c>
      <c r="G38" s="20" t="n">
        <f aca="false">F38*(1+G37)</f>
        <v>3773.8690219152</v>
      </c>
      <c r="H38" s="20" t="n">
        <f aca="false">G38*(1+H37)</f>
        <v>4188.99461432587</v>
      </c>
      <c r="I38" s="20" t="n">
        <f aca="false">H38*(1+I37)</f>
        <v>4566.0041296152</v>
      </c>
      <c r="J38" s="20" t="n">
        <f aca="false">I38*(1+J37)</f>
        <v>4885.62441868826</v>
      </c>
      <c r="K38" s="20" t="n">
        <f aca="false">J38*(1+K37)</f>
        <v>5178.76188380956</v>
      </c>
      <c r="L38" s="20" t="n">
        <f aca="false">K38*(1+L37)</f>
        <v>5437.69997800004</v>
      </c>
    </row>
    <row r="39" customFormat="false" ht="15" hidden="false" customHeight="true" outlineLevel="0" collapsed="false">
      <c r="B39" s="1" t="s">
        <v>169</v>
      </c>
      <c r="C39" s="20" t="n">
        <f aca="false">C38*(CoreDCF!C7-IF(CoreDCF!C3&lt;=$F$15,$E$15,0))</f>
        <v>76.88016</v>
      </c>
      <c r="D39" s="20" t="n">
        <f aca="false">D38*(CoreDCF!D7-IF(CoreDCF!D3&lt;=$F$15,$E$15,0))</f>
        <v>161.3385072</v>
      </c>
      <c r="E39" s="20" t="n">
        <f aca="false">E38*(CoreDCF!E7-IF(CoreDCF!E3&lt;=$F$15,$E$15,0))</f>
        <v>275.888847312</v>
      </c>
      <c r="F39" s="20" t="n">
        <f aca="false">F38*(CoreDCF!F7-IF(CoreDCF!F3&lt;=$F$15,$E$15,0))</f>
        <v>384.0663163896</v>
      </c>
      <c r="G39" s="20" t="n">
        <f aca="false">G38*(CoreDCF!G7-IF(CoreDCF!G3&lt;=$F$15,$E$15,0))</f>
        <v>509.472317958552</v>
      </c>
      <c r="H39" s="20" t="n">
        <f aca="false">H38*(CoreDCF!H7-IF(CoreDCF!H3&lt;=$F$15,$E$15,0))</f>
        <v>712.129084435398</v>
      </c>
      <c r="I39" s="20" t="n">
        <f aca="false">I38*(CoreDCF!I7-IF(CoreDCF!I3&lt;=$F$15,$E$15,0))</f>
        <v>821.880743330736</v>
      </c>
      <c r="J39" s="20" t="n">
        <f aca="false">J38*(CoreDCF!J7-IF(CoreDCF!J3&lt;=$F$15,$E$15,0))</f>
        <v>879.412395363887</v>
      </c>
      <c r="K39" s="20" t="n">
        <f aca="false">K38*(CoreDCF!K7-IF(CoreDCF!K3&lt;=$F$15,$E$15,0))</f>
        <v>932.17713908572</v>
      </c>
      <c r="L39" s="20" t="n">
        <f aca="false">L38*(CoreDCF!L7-IF(CoreDCF!L3&lt;=$F$15,$E$15,0))</f>
        <v>978.785996040007</v>
      </c>
    </row>
    <row r="40" customFormat="false" ht="15" hidden="false" customHeight="true" outlineLevel="0" collapsed="false">
      <c r="B40" s="1" t="s">
        <v>170</v>
      </c>
      <c r="C40" s="20" t="n">
        <f aca="false">C39*(1-Assumptions!$B$7)*Assumptions!$B$8</f>
        <v>57.66012</v>
      </c>
      <c r="D40" s="20" t="n">
        <f aca="false">D39*(1-Assumptions!$B$7)*Assumptions!$B$8</f>
        <v>121.0038804</v>
      </c>
      <c r="E40" s="20" t="n">
        <f aca="false">E39*(1-Assumptions!$B$7)*Assumptions!$B$8</f>
        <v>206.916635484</v>
      </c>
      <c r="F40" s="20" t="n">
        <f aca="false">F39*(1-Assumptions!$B$7)*Assumptions!$B$8</f>
        <v>288.0497372922</v>
      </c>
      <c r="G40" s="20" t="n">
        <f aca="false">G39*(1-Assumptions!$B$7)*Assumptions!$B$8</f>
        <v>382.104238468914</v>
      </c>
      <c r="H40" s="20" t="n">
        <f aca="false">H39*(1-Assumptions!$B$7)*Assumptions!$B$8</f>
        <v>534.096813326548</v>
      </c>
      <c r="I40" s="20" t="n">
        <f aca="false">I39*(1-Assumptions!$B$7)*Assumptions!$B$8</f>
        <v>616.410557498052</v>
      </c>
      <c r="J40" s="20" t="n">
        <f aca="false">J39*(1-Assumptions!$B$7)*Assumptions!$B$8</f>
        <v>659.559296522915</v>
      </c>
      <c r="K40" s="20" t="n">
        <f aca="false">K39*(1-Assumptions!$B$7)*Assumptions!$B$8</f>
        <v>699.13285431429</v>
      </c>
      <c r="L40" s="20" t="n">
        <f aca="false">L39*(1-Assumptions!$B$7)*Assumptions!$B$8</f>
        <v>734.089497030005</v>
      </c>
    </row>
    <row r="41" customFormat="false" ht="15" hidden="false" customHeight="true" outlineLevel="0" collapsed="false">
      <c r="B41" s="1" t="s">
        <v>123</v>
      </c>
      <c r="C41" s="20" t="n">
        <f aca="false">C40*CoreDCF!C11</f>
        <v>52.4182909090909</v>
      </c>
      <c r="D41" s="20" t="n">
        <f aca="false">D40*CoreDCF!D11</f>
        <v>100.003206942149</v>
      </c>
      <c r="E41" s="20" t="n">
        <f aca="false">E40*CoreDCF!E11</f>
        <v>155.459530791886</v>
      </c>
      <c r="F41" s="20" t="n">
        <f aca="false">F40*CoreDCF!F11</f>
        <v>196.741846384946</v>
      </c>
      <c r="G41" s="20" t="n">
        <f aca="false">G40*CoreDCF!G11</f>
        <v>237.256669296629</v>
      </c>
      <c r="H41" s="20" t="n">
        <f aca="false">H40*CoreDCF!H11</f>
        <v>301.483727247635</v>
      </c>
      <c r="I41" s="20" t="n">
        <f aca="false">I40*CoreDCF!I11</f>
        <v>316.316081743241</v>
      </c>
      <c r="J41" s="20" t="n">
        <f aca="false">J40*CoreDCF!J11</f>
        <v>307.68927951388</v>
      </c>
      <c r="K41" s="20" t="n">
        <f aca="false">K40*CoreDCF!K11</f>
        <v>296.500578440648</v>
      </c>
      <c r="L41" s="20" t="n">
        <f aca="false">L40*CoreDCF!L11</f>
        <v>283.023279420618</v>
      </c>
    </row>
    <row r="42" customFormat="false" ht="15" hidden="false" customHeight="true" outlineLevel="0" collapsed="false">
      <c r="B42" s="8" t="s">
        <v>171</v>
      </c>
      <c r="N42" s="22" t="n">
        <f aca="false">SUM(C41:L41)+L40*(1+Assumptions!$B$5)/(Assumptions!$B$4-Assumptions!$B$5)*CoreDCF!L11</f>
        <v>6411.37788787982</v>
      </c>
    </row>
    <row r="43" customFormat="false" ht="15" hidden="false" customHeight="true" outlineLevel="0" collapsed="false">
      <c r="B43" s="1" t="s">
        <v>172</v>
      </c>
      <c r="N43" s="22" t="n">
        <f aca="false">N42+$C$5+$C$6-($D$15+$I$15)/(1+Assumptions!$B$4)^Assumptions!$B$18</f>
        <v>18217.0150681332</v>
      </c>
    </row>
    <row r="44" customFormat="false" ht="15" hidden="false" customHeight="true" outlineLevel="0" collapsed="false">
      <c r="B44" s="8" t="s">
        <v>173</v>
      </c>
      <c r="N44" s="29" t="n">
        <f aca="false">N43/Assumptions!$B$9</f>
        <v>18.171586102876</v>
      </c>
    </row>
    <row r="45" customFormat="false" ht="15" hidden="false" customHeight="true" outlineLevel="0" collapsed="false">
      <c r="B45" s="8" t="s">
        <v>176</v>
      </c>
      <c r="C45" s="26" t="n">
        <f aca="false">CoreDCF!C4-IF(CoreDCF!C3&lt;=$H$16,$G$16,0)</f>
        <v>0.1</v>
      </c>
      <c r="D45" s="26" t="n">
        <f aca="false">CoreDCF!D4-IF(CoreDCF!D3&lt;=$H$16,$G$16,0)</f>
        <v>0.07</v>
      </c>
      <c r="E45" s="26" t="n">
        <f aca="false">CoreDCF!E4-IF(CoreDCF!E3&lt;=$H$16,$G$16,0)</f>
        <v>0.05</v>
      </c>
      <c r="F45" s="26" t="n">
        <f aca="false">CoreDCF!F4-IF(CoreDCF!F3&lt;=$H$16,$G$16,0)</f>
        <v>0.15</v>
      </c>
      <c r="G45" s="26" t="n">
        <f aca="false">CoreDCF!G4-IF(CoreDCF!G3&lt;=$H$16,$G$16,0)</f>
        <v>0.13</v>
      </c>
      <c r="H45" s="26" t="n">
        <f aca="false">CoreDCF!H4-IF(CoreDCF!H3&lt;=$H$16,$G$16,0)</f>
        <v>0.11</v>
      </c>
      <c r="I45" s="26" t="n">
        <f aca="false">CoreDCF!I4-IF(CoreDCF!I3&lt;=$H$16,$G$16,0)</f>
        <v>0.09</v>
      </c>
      <c r="J45" s="26" t="n">
        <f aca="false">CoreDCF!J4-IF(CoreDCF!J3&lt;=$H$16,$G$16,0)</f>
        <v>0.07</v>
      </c>
      <c r="K45" s="26" t="n">
        <f aca="false">CoreDCF!K4-IF(CoreDCF!K3&lt;=$H$16,$G$16,0)</f>
        <v>0.06</v>
      </c>
      <c r="L45" s="26" t="n">
        <f aca="false">CoreDCF!L4-IF(CoreDCF!L3&lt;=$H$16,$G$16,0)</f>
        <v>0.05</v>
      </c>
    </row>
    <row r="46" customFormat="false" ht="15" hidden="false" customHeight="true" outlineLevel="0" collapsed="false">
      <c r="B46" s="3" t="s">
        <v>168</v>
      </c>
      <c r="C46" s="20" t="n">
        <f aca="false">Assumptions!$B$15*(1+C45)</f>
        <v>2082.96</v>
      </c>
      <c r="D46" s="20" t="n">
        <f aca="false">C46*(1+D45)</f>
        <v>2228.7672</v>
      </c>
      <c r="E46" s="20" t="n">
        <f aca="false">D46*(1+E45)</f>
        <v>2340.20556</v>
      </c>
      <c r="F46" s="20" t="n">
        <f aca="false">E46*(1+F45)</f>
        <v>2691.236394</v>
      </c>
      <c r="G46" s="20" t="n">
        <f aca="false">F46*(1+G45)</f>
        <v>3041.09712522</v>
      </c>
      <c r="H46" s="20" t="n">
        <f aca="false">G46*(1+H45)</f>
        <v>3375.6178089942</v>
      </c>
      <c r="I46" s="20" t="n">
        <f aca="false">H46*(1+I45)</f>
        <v>3679.42341180368</v>
      </c>
      <c r="J46" s="20" t="n">
        <f aca="false">I46*(1+J45)</f>
        <v>3936.98305062994</v>
      </c>
      <c r="K46" s="20" t="n">
        <f aca="false">J46*(1+K45)</f>
        <v>4173.20203366773</v>
      </c>
      <c r="L46" s="20" t="n">
        <f aca="false">K46*(1+L45)</f>
        <v>4381.86213535112</v>
      </c>
    </row>
    <row r="47" customFormat="false" ht="15" hidden="false" customHeight="true" outlineLevel="0" collapsed="false">
      <c r="B47" s="1" t="s">
        <v>169</v>
      </c>
      <c r="C47" s="20" t="n">
        <f aca="false">C46*(CoreDCF!C7-IF(CoreDCF!C3&lt;=$F$16,$E$16,0))</f>
        <v>62.4888</v>
      </c>
      <c r="D47" s="20" t="n">
        <f aca="false">D46*(CoreDCF!D7-IF(CoreDCF!D3&lt;=$F$16,$E$16,0))</f>
        <v>133.726032</v>
      </c>
      <c r="E47" s="20" t="n">
        <f aca="false">E46*(CoreDCF!E7-IF(CoreDCF!E3&lt;=$F$16,$E$16,0))</f>
        <v>210.6185004</v>
      </c>
      <c r="F47" s="20" t="n">
        <f aca="false">F46*(CoreDCF!F7-IF(CoreDCF!F3&lt;=$F$16,$E$16,0))</f>
        <v>296.03600334</v>
      </c>
      <c r="G47" s="20" t="n">
        <f aca="false">G46*(CoreDCF!G7-IF(CoreDCF!G3&lt;=$F$16,$E$16,0))</f>
        <v>395.3426262786</v>
      </c>
      <c r="H47" s="20" t="n">
        <f aca="false">H46*(CoreDCF!H7-IF(CoreDCF!H3&lt;=$F$16,$E$16,0))</f>
        <v>573.855027529014</v>
      </c>
      <c r="I47" s="20" t="n">
        <f aca="false">I46*(CoreDCF!I7-IF(CoreDCF!I3&lt;=$F$16,$E$16,0))</f>
        <v>662.296214124662</v>
      </c>
      <c r="J47" s="20" t="n">
        <f aca="false">J46*(CoreDCF!J7-IF(CoreDCF!J3&lt;=$F$16,$E$16,0))</f>
        <v>708.656949113389</v>
      </c>
      <c r="K47" s="20" t="n">
        <f aca="false">K46*(CoreDCF!K7-IF(CoreDCF!K3&lt;=$F$16,$E$16,0))</f>
        <v>751.176366060192</v>
      </c>
      <c r="L47" s="20" t="n">
        <f aca="false">L46*(CoreDCF!L7-IF(CoreDCF!L3&lt;=$F$16,$E$16,0))</f>
        <v>788.735184363201</v>
      </c>
    </row>
    <row r="48" customFormat="false" ht="15" hidden="false" customHeight="true" outlineLevel="0" collapsed="false">
      <c r="B48" s="1" t="s">
        <v>170</v>
      </c>
      <c r="C48" s="20" t="n">
        <f aca="false">C47*(1-Assumptions!$B$7)*Assumptions!$B$8</f>
        <v>46.8666</v>
      </c>
      <c r="D48" s="20" t="n">
        <f aca="false">D47*(1-Assumptions!$B$7)*Assumptions!$B$8</f>
        <v>100.294524</v>
      </c>
      <c r="E48" s="20" t="n">
        <f aca="false">E47*(1-Assumptions!$B$7)*Assumptions!$B$8</f>
        <v>157.9638753</v>
      </c>
      <c r="F48" s="20" t="n">
        <f aca="false">F47*(1-Assumptions!$B$7)*Assumptions!$B$8</f>
        <v>222.027002505</v>
      </c>
      <c r="G48" s="20" t="n">
        <f aca="false">G47*(1-Assumptions!$B$7)*Assumptions!$B$8</f>
        <v>296.50696970895</v>
      </c>
      <c r="H48" s="20" t="n">
        <f aca="false">H47*(1-Assumptions!$B$7)*Assumptions!$B$8</f>
        <v>430.391270646761</v>
      </c>
      <c r="I48" s="20" t="n">
        <f aca="false">I47*(1-Assumptions!$B$7)*Assumptions!$B$8</f>
        <v>496.722160593497</v>
      </c>
      <c r="J48" s="20" t="n">
        <f aca="false">J47*(1-Assumptions!$B$7)*Assumptions!$B$8</f>
        <v>531.492711835041</v>
      </c>
      <c r="K48" s="20" t="n">
        <f aca="false">K47*(1-Assumptions!$B$7)*Assumptions!$B$8</f>
        <v>563.382274545144</v>
      </c>
      <c r="L48" s="20" t="n">
        <f aca="false">L47*(1-Assumptions!$B$7)*Assumptions!$B$8</f>
        <v>591.551388272401</v>
      </c>
    </row>
    <row r="49" customFormat="false" ht="15" hidden="false" customHeight="true" outlineLevel="0" collapsed="false">
      <c r="B49" s="1" t="s">
        <v>123</v>
      </c>
      <c r="C49" s="20" t="n">
        <f aca="false">C48*CoreDCF!C11</f>
        <v>42.606</v>
      </c>
      <c r="D49" s="20" t="n">
        <f aca="false">D48*CoreDCF!D11</f>
        <v>82.8880363636364</v>
      </c>
      <c r="E49" s="20" t="n">
        <f aca="false">E48*CoreDCF!E11</f>
        <v>118.680597520661</v>
      </c>
      <c r="F49" s="20" t="n">
        <f aca="false">F48*CoreDCF!F11</f>
        <v>151.647430165289</v>
      </c>
      <c r="G49" s="20" t="n">
        <f aca="false">G48*CoreDCF!G11</f>
        <v>184.107499927942</v>
      </c>
      <c r="H49" s="20" t="n">
        <f aca="false">H48*CoreDCF!H11</f>
        <v>242.944652002816</v>
      </c>
      <c r="I49" s="20" t="n">
        <f aca="false">I48*CoreDCF!I11</f>
        <v>254.897009213649</v>
      </c>
      <c r="J49" s="20" t="n">
        <f aca="false">J48*CoreDCF!J11</f>
        <v>247.945272598732</v>
      </c>
      <c r="K49" s="20" t="n">
        <f aca="false">K48*CoreDCF!K11</f>
        <v>238.929080867869</v>
      </c>
      <c r="L49" s="20" t="n">
        <f aca="false">L48*CoreDCF!L11</f>
        <v>228.068668101147</v>
      </c>
    </row>
    <row r="50" customFormat="false" ht="15" hidden="false" customHeight="true" outlineLevel="0" collapsed="false">
      <c r="B50" s="8" t="s">
        <v>171</v>
      </c>
      <c r="N50" s="22" t="n">
        <f aca="false">SUM(C49:L49)+L48*(1+Assumptions!$B$5)/(Assumptions!$B$4-Assumptions!$B$5)*CoreDCF!L11</f>
        <v>5148.58179167863</v>
      </c>
    </row>
    <row r="51" customFormat="false" ht="15" hidden="false" customHeight="true" outlineLevel="0" collapsed="false">
      <c r="B51" s="1" t="s">
        <v>172</v>
      </c>
      <c r="N51" s="22" t="n">
        <f aca="false">N50+$C$5+$C$6-($D$16+$I$16)/(1+Assumptions!$B$4)^Assumptions!$B$18</f>
        <v>15914.0779654822</v>
      </c>
    </row>
    <row r="52" customFormat="false" ht="15" hidden="false" customHeight="true" outlineLevel="0" collapsed="false">
      <c r="B52" s="8" t="s">
        <v>173</v>
      </c>
      <c r="N52" s="29" t="n">
        <f aca="false">N51/Assumptions!$B$9</f>
        <v>15.8743919855185</v>
      </c>
    </row>
    <row r="54" customFormat="false" ht="15" hidden="false" customHeight="true" outlineLevel="0" collapsed="false">
      <c r="B54" s="4" t="s">
        <v>177</v>
      </c>
    </row>
    <row r="55" customFormat="false" ht="15" hidden="false" customHeight="true" outlineLevel="0" collapsed="false">
      <c r="B55" s="8" t="s">
        <v>178</v>
      </c>
      <c r="C55" s="33" t="n">
        <f aca="false">C13*N28+C14*N36+C15*N44+C16*N52</f>
        <v>18.6654277401143</v>
      </c>
    </row>
    <row r="56" customFormat="false" ht="15" hidden="false" customHeight="true" outlineLevel="0" collapsed="false">
      <c r="B56" s="1" t="s">
        <v>179</v>
      </c>
      <c r="C56" s="30" t="n">
        <f aca="false">C55/Assumptions!$B$11*100</f>
        <v>1392.94236866525</v>
      </c>
    </row>
    <row r="57" customFormat="false" ht="15" hidden="false" customHeight="true" outlineLevel="0" collapsed="false">
      <c r="B57" s="1" t="s">
        <v>180</v>
      </c>
      <c r="C57" s="26" t="n">
        <f aca="false">C55/C8-1</f>
        <v>-0.0391136797262849</v>
      </c>
    </row>
    <row r="58" customFormat="false" ht="15" hidden="false" customHeight="true" outlineLevel="0" collapsed="false">
      <c r="B58" s="1" t="s">
        <v>181</v>
      </c>
      <c r="C58" s="34" t="n">
        <f aca="false">Assumptions!$B$17</f>
        <v>12.31</v>
      </c>
    </row>
    <row r="59" customFormat="false" ht="15" hidden="false" customHeight="true" outlineLevel="0" collapsed="false">
      <c r="B59" s="1" t="s">
        <v>182</v>
      </c>
      <c r="C59" s="32" t="n">
        <f aca="false">C55/C58-1</f>
        <v>0.51628170106534</v>
      </c>
    </row>
    <row r="61" customFormat="false" ht="15" hidden="false" customHeight="true" outlineLevel="0" collapsed="false">
      <c r="B61" s="4" t="s">
        <v>183</v>
      </c>
    </row>
    <row r="62" customFormat="false" ht="15" hidden="false" customHeight="true" outlineLevel="0" collapsed="false">
      <c r="B62" s="1" t="s">
        <v>184</v>
      </c>
      <c r="C62" s="26" t="n">
        <f aca="false">IF(N28=N44,"n/a",(N28-C58)/(N28-N44))</f>
        <v>6.59441450263695</v>
      </c>
    </row>
    <row r="63" customFormat="false" ht="15" hidden="false" customHeight="true" outlineLevel="0" collapsed="false">
      <c r="B63" s="1" t="s">
        <v>185</v>
      </c>
      <c r="C63" s="26" t="n">
        <f aca="false">IF(N28=N52,"n/a",(N28-C58)/(N28-N52))</f>
        <v>2.06560365845996</v>
      </c>
    </row>
    <row r="64" customFormat="false" ht="15" hidden="false" customHeight="true" outlineLevel="0" collapsed="false">
      <c r="B64" s="5" t="s">
        <v>186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30"/>
    <col collapsed="false" customWidth="true" hidden="false" outlineLevel="0" max="9" min="3" style="1" width="12"/>
  </cols>
  <sheetData>
    <row r="1" customFormat="false" ht="15.75" hidden="false" customHeight="true" outlineLevel="0" collapsed="false">
      <c r="B1" s="2" t="s">
        <v>187</v>
      </c>
    </row>
    <row r="3" customFormat="false" ht="15" hidden="false" customHeight="true" outlineLevel="0" collapsed="false">
      <c r="B3" s="4" t="s">
        <v>188</v>
      </c>
    </row>
    <row r="4" customFormat="false" ht="15" hidden="false" customHeight="true" outlineLevel="0" collapsed="false">
      <c r="C4" s="35" t="n">
        <v>0.02</v>
      </c>
      <c r="D4" s="35" t="n">
        <v>0.025</v>
      </c>
      <c r="E4" s="35" t="n">
        <v>0.03</v>
      </c>
      <c r="F4" s="35" t="n">
        <v>0.035</v>
      </c>
      <c r="G4" s="35" t="n">
        <v>0.04</v>
      </c>
    </row>
    <row r="5" customFormat="false" ht="15" hidden="false" customHeight="true" outlineLevel="0" collapsed="false">
      <c r="B5" s="35" t="n">
        <v>0.08</v>
      </c>
      <c r="C5" s="36" t="n">
        <f aca="false">(NPV($B5,CoreDCF!$C$10:$L$10)+CoreDCF!$L$10*(1+C$4)/($B5-C$4)/(1+$B5)^10+NPV($B5,Float!$C$9:$L$9)+Float!$L$9*(1+Assumptions!$B$6)/($B5-Assumptions!$B$6)/(1+$B5)^10+Assumptions!$B$10)/Assumptions!$B$9</f>
        <v>25.453356636444</v>
      </c>
      <c r="D5" s="36" t="n">
        <f aca="false">(NPV($B5,CoreDCF!$C$10:$L$10)+CoreDCF!$L$10*(1+D$4)/($B5-D$4)/(1+$B5)^10+NPV($B5,Float!$C$9:$L$9)+Float!$L$9*(1+Assumptions!$B$6)/($B5-Assumptions!$B$6)/(1+$B5)^10+Assumptions!$B$10)/Assumptions!$B$9</f>
        <v>26.068076509642</v>
      </c>
      <c r="E5" s="36" t="n">
        <f aca="false">(NPV($B5,CoreDCF!$C$10:$L$10)+CoreDCF!$L$10*(1+E$4)/($B5-E$4)/(1+$B5)^10+NPV($B5,Float!$C$9:$L$9)+Float!$L$9*(1+Assumptions!$B$6)/($B5-Assumptions!$B$6)/(1+$B5)^10+Assumptions!$B$10)/Assumptions!$B$9</f>
        <v>26.8057403574796</v>
      </c>
      <c r="F5" s="36" t="n">
        <f aca="false">(NPV($B5,CoreDCF!$C$10:$L$10)+CoreDCF!$L$10*(1+F$4)/($B5-F$4)/(1+$B5)^10+NPV($B5,Float!$C$9:$L$9)+Float!$L$9*(1+Assumptions!$B$6)/($B5-Assumptions!$B$6)/(1+$B5)^10+Assumptions!$B$10)/Assumptions!$B$9</f>
        <v>27.7073295048367</v>
      </c>
      <c r="G5" s="36" t="n">
        <f aca="false">(NPV($B5,CoreDCF!$C$10:$L$10)+CoreDCF!$L$10*(1+G$4)/($B5-G$4)/(1+$B5)^10+NPV($B5,Float!$C$9:$L$9)+Float!$L$9*(1+Assumptions!$B$6)/($B5-Assumptions!$B$6)/(1+$B5)^10+Assumptions!$B$10)/Assumptions!$B$9</f>
        <v>28.8343159390331</v>
      </c>
    </row>
    <row r="6" customFormat="false" ht="15" hidden="false" customHeight="true" outlineLevel="0" collapsed="false">
      <c r="B6" s="35" t="n">
        <v>0.09</v>
      </c>
      <c r="C6" s="36" t="n">
        <f aca="false">(NPV($B6,CoreDCF!$C$10:$L$10)+CoreDCF!$L$10*(1+C$4)/($B6-C$4)/(1+$B6)^10+NPV($B6,Float!$C$9:$L$9)+Float!$L$9*(1+Assumptions!$B$6)/($B6-Assumptions!$B$6)/(1+$B6)^10+Assumptions!$B$10)/Assumptions!$B$9</f>
        <v>21.64585754559</v>
      </c>
      <c r="D6" s="36" t="n">
        <f aca="false">(NPV($B6,CoreDCF!$C$10:$L$10)+CoreDCF!$L$10*(1+D$4)/($B6-D$4)/(1+$B6)^10+NPV($B6,Float!$C$9:$L$9)+Float!$L$9*(1+Assumptions!$B$6)/($B6-Assumptions!$B$6)/(1+$B6)^10+Assumptions!$B$10)/Assumptions!$B$9</f>
        <v>22.0562081852416</v>
      </c>
      <c r="E6" s="36" t="n">
        <f aca="false">(NPV($B6,CoreDCF!$C$10:$L$10)+CoreDCF!$L$10*(1+E$4)/($B6-E$4)/(1+$B6)^10+NPV($B6,Float!$C$9:$L$9)+Float!$L$9*(1+Assumptions!$B$6)/($B6-Assumptions!$B$6)/(1+$B6)^10+Assumptions!$B$10)/Assumptions!$B$9</f>
        <v>22.5349505981683</v>
      </c>
      <c r="F6" s="36" t="n">
        <f aca="false">(NPV($B6,CoreDCF!$C$10:$L$10)+CoreDCF!$L$10*(1+F$4)/($B6-F$4)/(1+$B6)^10+NPV($B6,Float!$C$9:$L$9)+Float!$L$9*(1+Assumptions!$B$6)/($B6-Assumptions!$B$6)/(1+$B6)^10+Assumptions!$B$10)/Assumptions!$B$9</f>
        <v>23.1007370861727</v>
      </c>
      <c r="G6" s="36" t="n">
        <f aca="false">(NPV($B6,CoreDCF!$C$10:$L$10)+CoreDCF!$L$10*(1+G$4)/($B6-G$4)/(1+$B6)^10+NPV($B6,Float!$C$9:$L$9)+Float!$L$9*(1+Assumptions!$B$6)/($B6-Assumptions!$B$6)/(1+$B6)^10+Assumptions!$B$10)/Assumptions!$B$9</f>
        <v>23.7796808717779</v>
      </c>
    </row>
    <row r="7" customFormat="false" ht="15" hidden="false" customHeight="true" outlineLevel="0" collapsed="false">
      <c r="B7" s="35" t="n">
        <v>0.1</v>
      </c>
      <c r="C7" s="36" t="n">
        <f aca="false">(NPV($B7,CoreDCF!$C$10:$L$10)+CoreDCF!$L$10*(1+C$4)/($B7-C$4)/(1+$B7)^10+NPV($B7,Float!$C$9:$L$9)+Float!$L$9*(1+Assumptions!$B$6)/($B7-Assumptions!$B$6)/(1+$B7)^10+Assumptions!$B$10)/Assumptions!$B$9</f>
        <v>18.8110153377652</v>
      </c>
      <c r="D7" s="36" t="n">
        <f aca="false">(NPV($B7,CoreDCF!$C$10:$L$10)+CoreDCF!$L$10*(1+D$4)/($B7-D$4)/(1+$B7)^10+NPV($B7,Float!$C$9:$L$9)+Float!$L$9*(1+Assumptions!$B$6)/($B7-Assumptions!$B$6)/(1+$B7)^10+Assumptions!$B$10)/Assumptions!$B$9</f>
        <v>19.0976439731554</v>
      </c>
      <c r="E7" s="36" t="n">
        <f aca="false">(NPV($B7,CoreDCF!$C$10:$L$10)+CoreDCF!$L$10*(1+E$4)/($B7-E$4)/(1+$B7)^10+NPV($B7,Float!$C$9:$L$9)+Float!$L$9*(1+Assumptions!$B$6)/($B7-Assumptions!$B$6)/(1+$B7)^10+Assumptions!$B$10)/Assumptions!$B$9</f>
        <v>19.4252195564584</v>
      </c>
      <c r="F7" s="36" t="n">
        <f aca="false">(NPV($B7,CoreDCF!$C$10:$L$10)+CoreDCF!$L$10*(1+F$4)/($B7-F$4)/(1+$B7)^10+NPV($B7,Float!$C$9:$L$9)+Float!$L$9*(1+Assumptions!$B$6)/($B7-Assumptions!$B$6)/(1+$B7)^10+Assumptions!$B$10)/Assumptions!$B$9</f>
        <v>19.8031913833466</v>
      </c>
      <c r="G7" s="36" t="n">
        <f aca="false">(NPV($B7,CoreDCF!$C$10:$L$10)+CoreDCF!$L$10*(1+G$4)/($B7-G$4)/(1+$B7)^10+NPV($B7,Float!$C$9:$L$9)+Float!$L$9*(1+Assumptions!$B$6)/($B7-Assumptions!$B$6)/(1+$B7)^10+Assumptions!$B$10)/Assumptions!$B$9</f>
        <v>20.2441585147161</v>
      </c>
    </row>
    <row r="8" customFormat="false" ht="15" hidden="false" customHeight="true" outlineLevel="0" collapsed="false">
      <c r="B8" s="35" t="n">
        <v>0.11</v>
      </c>
      <c r="C8" s="36" t="n">
        <f aca="false">(NPV($B8,CoreDCF!$C$10:$L$10)+CoreDCF!$L$10*(1+C$4)/($B8-C$4)/(1+$B8)^10+NPV($B8,Float!$C$9:$L$9)+Float!$L$9*(1+Assumptions!$B$6)/($B8-Assumptions!$B$6)/(1+$B8)^10+Assumptions!$B$10)/Assumptions!$B$9</f>
        <v>16.6233318439511</v>
      </c>
      <c r="D8" s="36" t="n">
        <f aca="false">(NPV($B8,CoreDCF!$C$10:$L$10)+CoreDCF!$L$10*(1+D$4)/($B8-D$4)/(1+$B8)^10+NPV($B8,Float!$C$9:$L$9)+Float!$L$9*(1+Assumptions!$B$6)/($B8-Assumptions!$B$6)/(1+$B8)^10+Assumptions!$B$10)/Assumptions!$B$9</f>
        <v>16.8305542674906</v>
      </c>
      <c r="E8" s="36" t="n">
        <f aca="false">(NPV($B8,CoreDCF!$C$10:$L$10)+CoreDCF!$L$10*(1+E$4)/($B8-E$4)/(1+$B8)^10+NPV($B8,Float!$C$9:$L$9)+Float!$L$9*(1+Assumptions!$B$6)/($B8-Assumptions!$B$6)/(1+$B8)^10+Assumptions!$B$10)/Assumptions!$B$9</f>
        <v>17.0636794939724</v>
      </c>
      <c r="F8" s="36" t="n">
        <f aca="false">(NPV($B8,CoreDCF!$C$10:$L$10)+CoreDCF!$L$10*(1+F$4)/($B8-F$4)/(1+$B8)^10+NPV($B8,Float!$C$9:$L$9)+Float!$L$9*(1+Assumptions!$B$6)/($B8-Assumptions!$B$6)/(1+$B8)^10+Assumptions!$B$10)/Assumptions!$B$9</f>
        <v>17.3278880839852</v>
      </c>
      <c r="G8" s="36" t="n">
        <f aca="false">(NPV($B8,CoreDCF!$C$10:$L$10)+CoreDCF!$L$10*(1+G$4)/($B8-G$4)/(1+$B8)^10+NPV($B8,Float!$C$9:$L$9)+Float!$L$9*(1+Assumptions!$B$6)/($B8-Assumptions!$B$6)/(1+$B8)^10+Assumptions!$B$10)/Assumptions!$B$9</f>
        <v>17.6298407582855</v>
      </c>
    </row>
    <row r="9" customFormat="false" ht="15" hidden="false" customHeight="true" outlineLevel="0" collapsed="false">
      <c r="B9" s="35" t="n">
        <v>0.12</v>
      </c>
      <c r="C9" s="36" t="n">
        <f aca="false">(NPV($B9,CoreDCF!$C$10:$L$10)+CoreDCF!$L$10*(1+C$4)/($B9-C$4)/(1+$B9)^10+NPV($B9,Float!$C$9:$L$9)+Float!$L$9*(1+Assumptions!$B$6)/($B9-Assumptions!$B$6)/(1+$B9)^10+Assumptions!$B$10)/Assumptions!$B$9</f>
        <v>14.8876024410827</v>
      </c>
      <c r="D9" s="36" t="n">
        <f aca="false">(NPV($B9,CoreDCF!$C$10:$L$10)+CoreDCF!$L$10*(1+D$4)/($B9-D$4)/(1+$B9)^10+NPV($B9,Float!$C$9:$L$9)+Float!$L$9*(1+Assumptions!$B$6)/($B9-Assumptions!$B$6)/(1+$B9)^10+Assumptions!$B$10)/Assumptions!$B$9</f>
        <v>15.0415309929176</v>
      </c>
      <c r="E9" s="36" t="n">
        <f aca="false">(NPV($B9,CoreDCF!$C$10:$L$10)+CoreDCF!$L$10*(1+E$4)/($B9-E$4)/(1+$B9)^10+NPV($B9,Float!$C$9:$L$9)+Float!$L$9*(1+Assumptions!$B$6)/($B9-Assumptions!$B$6)/(1+$B9)^10+Assumptions!$B$10)/Assumptions!$B$9</f>
        <v>15.2125627171787</v>
      </c>
      <c r="F9" s="36" t="n">
        <f aca="false">(NPV($B9,CoreDCF!$C$10:$L$10)+CoreDCF!$L$10*(1+F$4)/($B9-F$4)/(1+$B9)^10+NPV($B9,Float!$C$9:$L$9)+Float!$L$9*(1+Assumptions!$B$6)/($B9-Assumptions!$B$6)/(1+$B9)^10+Assumptions!$B$10)/Assumptions!$B$9</f>
        <v>15.4037158207646</v>
      </c>
      <c r="G9" s="36" t="n">
        <f aca="false">(NPV($B9,CoreDCF!$C$10:$L$10)+CoreDCF!$L$10*(1+G$4)/($B9-G$4)/(1+$B9)^10+NPV($B9,Float!$C$9:$L$9)+Float!$L$9*(1+Assumptions!$B$6)/($B9-Assumptions!$B$6)/(1+$B9)^10+Assumptions!$B$10)/Assumptions!$B$9</f>
        <v>15.6187630622987</v>
      </c>
    </row>
    <row r="11" customFormat="false" ht="15" hidden="false" customHeight="true" outlineLevel="0" collapsed="false">
      <c r="B11" s="5" t="s">
        <v>189</v>
      </c>
    </row>
    <row r="13" customFormat="false" ht="15" hidden="false" customHeight="true" outlineLevel="0" collapsed="false">
      <c r="B13" s="4" t="s">
        <v>190</v>
      </c>
    </row>
    <row r="14" customFormat="false" ht="15" hidden="false" customHeight="true" outlineLevel="0" collapsed="false">
      <c r="C14" s="37" t="n">
        <v>0.0075</v>
      </c>
      <c r="D14" s="37" t="n">
        <v>0.01</v>
      </c>
      <c r="E14" s="37" t="n">
        <v>0.0125</v>
      </c>
      <c r="F14" s="37" t="n">
        <v>0.015</v>
      </c>
      <c r="G14" s="37" t="n">
        <v>0.0175</v>
      </c>
    </row>
    <row r="15" customFormat="false" ht="15" hidden="false" customHeight="true" outlineLevel="0" collapsed="false">
      <c r="B15" s="8" t="s">
        <v>191</v>
      </c>
      <c r="C15" s="36" t="n">
        <f aca="false">(CoreDCF!$N$17+Float!$N$16*C$14/Assumptions!$B$13+Assumptions!$B$10)/Assumptions!$B$9</f>
        <v>14.2988600307378</v>
      </c>
      <c r="D15" s="36" t="n">
        <f aca="false">(CoreDCF!$N$17+Float!$N$16*D$14/Assumptions!$B$13+Assumptions!$B$10)/Assumptions!$B$9</f>
        <v>16.0076465393113</v>
      </c>
      <c r="E15" s="36" t="n">
        <f aca="false">(CoreDCF!$N$17+Float!$N$16*E$14/Assumptions!$B$13+Assumptions!$B$10)/Assumptions!$B$9</f>
        <v>17.7164330478849</v>
      </c>
      <c r="F15" s="36" t="n">
        <f aca="false">(CoreDCF!$N$17+Float!$N$16*F$14/Assumptions!$B$13+Assumptions!$B$10)/Assumptions!$B$9</f>
        <v>19.4252195564584</v>
      </c>
      <c r="G15" s="36" t="n">
        <f aca="false">(CoreDCF!$N$17+Float!$N$16*G$14/Assumptions!$B$13+Assumptions!$B$10)/Assumptions!$B$9</f>
        <v>21.134006065032</v>
      </c>
    </row>
    <row r="16" customFormat="false" ht="15" hidden="false" customHeight="true" outlineLevel="0" collapsed="false">
      <c r="B16" s="5" t="s">
        <v>192</v>
      </c>
    </row>
    <row r="18" customFormat="false" ht="15" hidden="false" customHeight="true" outlineLevel="0" collapsed="false">
      <c r="B18" s="4" t="s">
        <v>193</v>
      </c>
    </row>
    <row r="19" customFormat="false" ht="15" hidden="false" customHeight="true" outlineLevel="0" collapsed="false">
      <c r="C19" s="35" t="n">
        <v>0.05</v>
      </c>
      <c r="D19" s="35" t="n">
        <v>0.1</v>
      </c>
      <c r="E19" s="35" t="n">
        <v>0.15</v>
      </c>
      <c r="F19" s="35" t="n">
        <v>0.2</v>
      </c>
      <c r="G19" s="35" t="n">
        <v>0.3</v>
      </c>
    </row>
    <row r="20" customFormat="false" ht="15" hidden="false" customHeight="true" outlineLevel="0" collapsed="false">
      <c r="B20" s="8" t="s">
        <v>194</v>
      </c>
      <c r="C20" s="36" t="n">
        <f aca="false">(Scenarios!$C$13+Scenarios!$C$15-C$19)*Scenarios!$N$28+Scenarios!$C$14*Scenarios!$N$36+C$19*Scenarios!$N$44+Scenarios!$C$16*Scenarios!$N$52</f>
        <v>18.7702034248641</v>
      </c>
      <c r="D20" s="36" t="n">
        <f aca="false">(Scenarios!$C$13+Scenarios!$C$15-D$19)*Scenarios!$N$28+Scenarios!$C$14*Scenarios!$N$36+D$19*Scenarios!$N$44+Scenarios!$C$16*Scenarios!$N$52</f>
        <v>18.7178155824892</v>
      </c>
      <c r="E20" s="36" t="n">
        <f aca="false">(Scenarios!$C$13+Scenarios!$C$15-E$19)*Scenarios!$N$28+Scenarios!$C$14*Scenarios!$N$36+E$19*Scenarios!$N$44+Scenarios!$C$16*Scenarios!$N$52</f>
        <v>18.6654277401143</v>
      </c>
      <c r="F20" s="36" t="n">
        <f aca="false">(Scenarios!$C$13+Scenarios!$C$15-F$19)*Scenarios!$N$28+Scenarios!$C$14*Scenarios!$N$36+F$19*Scenarios!$N$44+Scenarios!$C$16*Scenarios!$N$52</f>
        <v>18.6130398977395</v>
      </c>
      <c r="G20" s="36" t="n">
        <f aca="false">(Scenarios!$C$13+Scenarios!$C$15-G$19)*Scenarios!$N$28+Scenarios!$C$14*Scenarios!$N$36+G$19*Scenarios!$N$44+Scenarios!$C$16*Scenarios!$N$52</f>
        <v>18.5082642129897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2026-07-21T10:08:05Z</dcterms:created>
  <dc:creator>openpyxl</dc:creator>
  <dc:description/>
  <dc:language>en-US</dc:language>
  <cp:lastModifiedBy/>
  <dcterms:modified xsi:type="dcterms:W3CDTF">2026-07-21T10:20:40Z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