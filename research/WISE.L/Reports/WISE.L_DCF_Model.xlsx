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<sst xmlns="http://schemas.openxmlformats.org/spreadsheetml/2006/main" count="399" uniqueCount="210">
  <si>
    <t xml:space="preserve">Ticker</t>
  </si>
  <si>
    <t xml:space="preserve">WISE.L</t>
  </si>
  <si>
    <t xml:space="preserve">Company</t>
  </si>
  <si>
    <t xml:space="preserve">Wise Group plc</t>
  </si>
  <si>
    <t xml:space="preserve">Valuation date</t>
  </si>
  <si>
    <t xml:space="preserve">2026-09-22</t>
  </si>
  <si>
    <t xml:space="preserve">Current price</t>
  </si>
  <si>
    <t xml:space="preserve">Price as of</t>
  </si>
  <si>
    <t xml:space="preserve">2026-09-22T07:40:16Z (LSE intraday; Yahoo chart meta)</t>
  </si>
  <si>
    <t xml:space="preserve">Balance sheet date</t>
  </si>
  <si>
    <t xml:space="preserve">2026-03-31</t>
  </si>
  <si>
    <t xml:space="preserve">Model</t>
  </si>
  <si>
    <t xml:space="preserve">owner_fcf_dcf_component</t>
  </si>
  <si>
    <t xml:space="preserve">Currency (model)</t>
  </si>
  <si>
    <t xml:space="preserve">USD</t>
  </si>
  <si>
    <t xml:space="preserve">Currency (quote)</t>
  </si>
  <si>
    <t xml:space="preserve">GBp</t>
  </si>
  <si>
    <t xml:space="preserve">Units</t>
  </si>
  <si>
    <t xml:space="preserve">millions</t>
  </si>
  <si>
    <t xml:space="preserve">Engine</t>
  </si>
  <si>
    <t xml:space="preserve">dcf_engine v1</t>
  </si>
  <si>
    <t xml:space="preserve">Built at</t>
  </si>
  <si>
    <t xml:space="preserve">2026-10-05T20:30:52Z</t>
  </si>
  <si>
    <t xml:space="preserve">Drivers file</t>
  </si>
  <si>
    <t xml:space="preserve">WISE.L_Drivers.json</t>
  </si>
  <si>
    <t xml:space="preserve">Convention</t>
  </si>
  <si>
    <t xml:space="preserve">Percents stored as percents; formulas divide by 100. Blue = input, green = link, black = formula.</t>
  </si>
  <si>
    <t xml:space="preserve">Methodology</t>
  </si>
  <si>
    <t xml:space="preserve">Wise is valued with a 10-year component-built owner-FCF DCF in USD; the per-share results are converted to pence at the spot rate (GBPUSD 1.3222 on 5-Oct-2026) so they compare directly with the LSE price. Revenue is the driver: base growth fades from 17% to 5.5% over ten years (bull 21% to 7%, bear 11% then 4-7%), consistent with the guided mid-teens-to-20% net revenue growth for FY2027. Margins are held inside management's guidance rather than the old peak: base adjusted EBITDA margin goes from 28.5% to 26% by year 7, which leaves a terminal EBIT of about 22% -- the top of the 20-25% income-before-tax band once the ~2.5pp of corporate interest it includes is removed. The FY2024-25 margins of 35-40% are treated as gone for good because compliance and servicing spend has reset higher. Owner FCF deducts SBC (~3.7% of revenue), lease costs and interest earned on Wise's own cash; working capital is a drag of 25% of each year's revenue increase (the three-year actual average). The $473m share purchase in FY2026 was the Employee Share Trust covering awards, not a capital return; the up-to-GBP405m buyback that started in July 2026 is not modelled. One 9.5% discount rate is used for every scenario, and the regulatory risk (Belgian criminal AML case, OCC charter denial, US consent order, securities class actions) is carried in the bear case's cash flows and its 15% weight rather than charged again through the rate. Net corporate cash of $1.87bn is added to equity value against 1,024m fully diluted shares at the same 31-Mar-2026 date. Result at 874p: bear 533p, base 930p, bull 1,393p, probability-weighted (15/50/35) 1,033p, about 18% above the price; a 15% annual return needs an entry near 535p on the base case (577p probability-weighted). Known limit: the engine uses one equity bridge for all scenarios, so a large AML fine in the bear case is described here but not subtracted (bear is roughly 45p too high).</t>
  </si>
  <si>
    <t xml:space="preserve">WACC rationale</t>
  </si>
  <si>
    <t xml:space="preserve">base_wacc: 9.5
applies_to: all three scenarios
build: USD flows, USD-only rate: US 10y ~4.3% + ~5.0% equity risk premium x ~1.05 beta (large-cap profitable net-cash fintech; the observed 0.5-0.75 betas understate a growth stock's realised volatility) = ~9.5%. No debt weighting: net cash.
risk_placement: Regulatory, litigation and governance risk is expressed in the bear scenario paths and its 15% weight, not in the discount rate (pitfalls.md 16: risk lives in the flows OR the rate, decided once). The bull assumes resolution and so carries the same 9.5%.
superseded_2026_08_28: base_wacc: 11.5
bull: 10.5
bear: 13.0
note: Stacked +225bp (50bp OCC denial, 100bp Belgian AML, 50bp consent-order tail, 25bp Class B governance) on a US/UK-blended ~9.0% base, then a 13% bear rate and 25/50/25 weights. Removing the stack alone is worth ~258p on the base (~$3.5bn of equity value), more than the July workbook's licence-withdrawal scenario costs.
components: component: OCC national trust bank charter denial (23-24 Jul 2026)
premium_bps: 50
rationale: Explicit AML-adequacy denial (not a scope/technicality issue), Wise the outlier among fintech OCC charter applicants (8 of 11 approved since 2020); delays direct Fed rail access and US cost-reduction optionality to H2 2028 at the earliest; component: Belgian criminal AML investigation (Wise Europe SA)
premium_bps: 100
rationale: Unprovisioned, unquantified criminal (not administrative) process against the entity holding Wise's sole EEA passporting licence, underpinning ~27% of group net revenue; prosecutors reportedly finalizing a direct summons to criminal court with NBB referral expected; drew the single sharpest stock reaction of 2026 (-20% intraday) and is a genuine licence-level tail risk, not merely a fine; component: Multi-state Consent Order tail (through Jul-2027) + pattern of repeat AML findings across 3 jurisdictions in ~12 months
premium_bps: 50
rationale: Independent third-party validation and SAR lookback obligations continue through mid-2027 and gate any US charter refiling; the recurrence of the same root-cause finding (inadequate customer/transaction due diligence) across US state, US federal, and Belgian regulators reads as systemic rather than isolated</t>
  </si>
  <si>
    <t xml:space="preserve">Data sources</t>
  </si>
  <si>
    <t xml:space="preserve">WISE.L_Metrics.csv (FY2022-FY2026 + quarterlies to Q1 FY2027, USD m); WISE.L_Analysis.json (2026-08-01); WISE.L_CoreFloat_Inputs.md (20-F FY2026 core/float extraction, 2026-07-24); FY2026 Form 20-F (D&amp;A, capex, share capital); FY2026 Form 20-F equity note (EST purchases 35.9m shares at $13.11; awards outstanding); Q1 FY2027 trading update 16-Jul-2026 (guidance: net revenue growth mid 15-20%, IBT margin top of 20-25%); External review of the 22-Sep build (items 1-8), 2026-09-22</t>
  </si>
  <si>
    <t xml:space="preserve">Scenario narrative: bear</t>
  </si>
  <si>
    <t xml:space="preserve">NBB deadline missed or met with conditions; EEA onboarding restricted for two years, criminal fine plus multi-year remediation, compliance cost permanently higher and the customer-interest payout arrives. Growth 4% for two years, 23% terminal EBITDA, SBC stuck at 3.8%. The ~$600m cash cost is documented but not modelled (single bridge).</t>
  </si>
  <si>
    <t xml:space="preserve">Scenario narrative: base</t>
  </si>
  <si>
    <t xml:space="preserve">NBB order met by 31-Jan-27; a Belgian summons resolves as a fine in the tens of millions plus a year of headlines. FY27 net revenue ~17% (guide: middle of 15-20%), fading ~1.5pt/yr to 5.5%. EBITDA margin 28.5% fading to 26% as the interest payout is enabled and rates normalise; terminal EBIT at the top of the ex-interest guided band. SBC 3.7% to 3.0%, settled through the Employee Share Trust. Working capital drags at the three-year average.</t>
  </si>
  <si>
    <t xml:space="preserve">Scenario narrative: bull</t>
  </si>
  <si>
    <t xml:space="preserve">Regulatory items close for immaterial sums; Wise Platform reaches its 10%-of-volume target, a US charter lands under GENIUS by FY28, balances grow faster than rates fall and the interest payout never structurally arrives, so the reported 20-25% IBT band persists (EBITDA ~30%). Net revenue ~21% fading to 7%.</t>
  </si>
  <si>
    <t xml:space="preserve">Item</t>
  </si>
  <si>
    <t xml:space="preserve">Value</t>
  </si>
  <si>
    <t xml:space="preserve">Note</t>
  </si>
  <si>
    <t xml:space="preserve">Prior valuation_date</t>
  </si>
  <si>
    <t xml:space="preserve">2026-09-22 (morning build, engine migration)</t>
  </si>
  <si>
    <t xml:space="preserve">Prior price_then</t>
  </si>
  <si>
    <t xml:space="preserve">Prior bear</t>
  </si>
  <si>
    <t xml:space="preserve">Prior base</t>
  </si>
  <si>
    <t xml:space="preserve">Prior bull</t>
  </si>
  <si>
    <t xml:space="preserve">Prior weighted</t>
  </si>
  <si>
    <t xml:space="preserve">Prior currency</t>
  </si>
  <si>
    <t xml:space="preserve">Prior note</t>
  </si>
  <si>
    <t xml:space="preserve">Same anchors as this build; the morning build only migrated the 28-Aug judgments to the engine. 28-Aug values at 980.2p: bear 447.0 / base 860.9 / bull 1420.5 / weighted 897.3 GBp.</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</si>
  <si>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</si>
  <si>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</si>
  <si>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</si>
  <si>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</si>
  <si>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</si>
  <si>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</si>
  <si>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</si>
  <si>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base value per share (GBp)</t>
  </si>
  <si>
    <t xml:space="preserve">Base EBITDA margin 29.25-&gt;30% replaced by 28.5% fading to 26% (terminal EBIT ~22.4%, top of the ex-interest guided band)</t>
  </si>
  <si>
    <t xml:space="preserve">base 875.9p -&gt; 772.2p</t>
  </si>
  <si>
    <t xml:space="preserve">WACC 11.5% -&gt; 9.5%: 225bp regulatory/governance stack removed from the discount rate (pitfall 16); risk moved to the bear flows</t>
  </si>
  <si>
    <t xml:space="preserve">base 772.2p -&gt; 989.3p</t>
  </si>
  <si>
    <t xml:space="preserve">Working-capital capture -12% -&gt; -25% (three-year average of the actual drag: -20%/-24%/-39% of the revenue increase)</t>
  </si>
  <si>
    <t xml:space="preserve">base 989.3p -&gt; 939.8p</t>
  </si>
  <si>
    <t xml:space="preserve">Shares 1,002.5m -&gt; 1,024m point-in-time diluted, same date as the 31-Mar-26 cash</t>
  </si>
  <si>
    <t xml:space="preserve">base 939.8p -&gt; 920.1p</t>
  </si>
  <si>
    <t xml:space="preserve">Bull re-specified (30% terminal EBITDA not 35%, WACC 9.5%, WC -20%, 1,024m shares)</t>
  </si>
  <si>
    <t xml:space="preserve">bull 1445p -&gt; see new_version</t>
  </si>
  <si>
    <t xml:space="preserve">Bear re-specified (restriction case in the flows: growth 4% x2, 23% terminal EBITDA, WACC 9.5%; full cash, fine not modelled)</t>
  </si>
  <si>
    <t xml:space="preserve">bear 505p -&gt; see new_version</t>
  </si>
  <si>
    <t xml:space="preserve">Weights 25/50/25 -&gt; 15/50/35</t>
  </si>
  <si>
    <t xml:space="preserve">house default; with the 28-Aug scenarios this alone was +94p on the weighted figure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</si>
  <si>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</si>
  <si>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</si>
  <si>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</si>
  <si>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</si>
  <si>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</si>
  <si>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</si>
  <si>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</si>
  <si>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</si>
  <si>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</si>
  <si>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</si>
  <si>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</si>
  <si>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</si>
  <si>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</si>
  <si>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</si>
  <si>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</si>
  <si>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</si>
  <si>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</si>
  <si>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</si>
  <si>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</si>
  <si>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</si>
  <si>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</si>
  <si>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</si>
  <si>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</si>
  <si>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</si>
  <si>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</si>
  <si>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</si>
  <si>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</si>
  <si>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EquityAwardTaxes</t>
  </si>
  <si>
    <t xml:space="preserve">InterestIncome</t>
  </si>
  <si>
    <t xml:space="preserve">DandA</t>
  </si>
  <si>
    <t xml:space="preserve">DeferredRevenue</t>
  </si>
  <si>
    <t xml:space="preserve">CashTaxesPaid</t>
  </si>
  <si>
    <t xml:space="preserve">ShareRepurchases</t>
  </si>
  <si>
    <t xml:space="preserve">ActiveCustomers</t>
  </si>
  <si>
    <t xml:space="preserve">AssetsUnderCustody</t>
  </si>
  <si>
    <t xml:space="preserve">CrossBorderVolume</t>
  </si>
  <si>
    <t xml:space="preserve">CustomerBalances</t>
  </si>
  <si>
    <t xml:space="preserve">CustomerHoldings</t>
  </si>
  <si>
    <t xml:space="preserve">TakeRate</t>
  </si>
  <si>
    <t xml:space="preserve">FY2021</t>
  </si>
  <si>
    <t xml:space="preserve">FY2022</t>
  </si>
  <si>
    <t xml:space="preserve">FY2023</t>
  </si>
  <si>
    <t xml:space="preserve">FY2024</t>
  </si>
  <si>
    <t xml:space="preserve">FY2025</t>
  </si>
  <si>
    <t xml:space="preserve">FY2026</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</si>
  <si>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</si>
  <si>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</si>
  <si>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</si>
  <si>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</si>
  <si>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</si>
  <si>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</si>
  <si>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</si>
  <si>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</si>
  <si>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</si>
  <si>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</si>
  <si>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</si>
  <si>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</si>
  <si>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</si>
  <si>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</si>
  <si>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</si>
  <si>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</si>
  <si>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</si>
  <si>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</si>
  <si>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</si>
  <si>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</si>
  <si>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</si>
  <si>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</si>
  <si>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</si>
  <si>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</si>
  <si>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</si>
  <si>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</si>
  <si>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</si>
  <si>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</si>
  <si>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</si>
  <si>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</si>
  <si>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</si>
  <si>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</si>
  <si>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</si>
  <si>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</si>
  <si>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</si>
  <si>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</si>
  <si>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WISE.L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</si>
  <si>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</si>
  <si>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</si>
  <si>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</si>
  <si>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</si>
  <si>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</si>
  <si>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</si>
  <si>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</si>
  <si>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</si>
  <si>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</si>
  <si>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</si>
  <si>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</si>
  <si>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</si>
  <si>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</si>
  <si>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</si>
  <si>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</si>
  <si>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</si>
  <si>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</si>
  <si>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</si>
  <si>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</si>
  <si>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</si>
  <si>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</si>
  <si>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</si>
  <si>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</si>
  <si>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</si>
  <si>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</si>
  <si>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</si>
  <si>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</si>
  <si>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</si>
  <si>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</si>
  <si>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</si>
  <si>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WISE.L owner-FCF component DCF: base case (millions, USD)</t>
  </si>
  <si>
    <t xml:space="preserve">WISE.L owner-FCF component DCF: bull case (millions, USD)</t>
  </si>
  <si>
    <t xml:space="preserve">WISE.L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</si>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</sst>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874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15" hidden="false" customHeight="false" outlineLevel="0" collapsed="false">
      <c r="A15" s="0" t="s">
        <v>27</v>
      </c>
      <c r="B15" s="0" t="s">
        <v>28</v>
      </c>
    </row>
    <row r="16" customFormat="false" ht="169.4"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row r="20" customFormat="false" ht="15" hidden="false" customHeight="false" outlineLevel="0" collapsed="false">
      <c r="A20" s="0" t="s">
        <v>37</v>
      </c>
      <c r="B20" s="0"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39</v>
      </c>
      <c r="B1" s="2" t="s">
        <v>40</v>
      </c>
      <c r="C1" s="2" t="s">
        <v>41</v>
      </c>
    </row>
    <row r="2" customFormat="false" ht="15" hidden="false" customHeight="false" outlineLevel="0" collapsed="false">
      <c r="A2" s="0" t="s">
        <v>42</v>
      </c>
      <c r="B2" s="0" t="s">
        <v>43</v>
      </c>
    </row>
    <row r="3" customFormat="false" ht="15" hidden="false" customHeight="false" outlineLevel="0" collapsed="false">
      <c r="A3" s="0" t="s">
        <v>44</v>
      </c>
      <c r="B3" s="0" t="n">
        <v>863.8</v>
      </c>
    </row>
    <row r="4" customFormat="false" ht="15" hidden="false" customHeight="false" outlineLevel="0" collapsed="false">
      <c r="A4" s="0" t="s">
        <v>45</v>
      </c>
      <c r="B4" s="0" t="n">
        <v>505.16</v>
      </c>
    </row>
    <row r="5" customFormat="false" ht="15" hidden="false" customHeight="false" outlineLevel="0" collapsed="false">
      <c r="A5" s="0" t="s">
        <v>46</v>
      </c>
      <c r="B5" s="0" t="n">
        <v>875.95</v>
      </c>
    </row>
    <row r="6" customFormat="false" ht="15" hidden="false" customHeight="false" outlineLevel="0" collapsed="false">
      <c r="A6" s="0" t="s">
        <v>47</v>
      </c>
      <c r="B6" s="0" t="n">
        <v>1445.39</v>
      </c>
    </row>
    <row r="7" customFormat="false" ht="15" hidden="false" customHeight="false" outlineLevel="0" collapsed="false">
      <c r="A7" s="0" t="s">
        <v>48</v>
      </c>
      <c r="B7" s="0" t="n">
        <v>925.61</v>
      </c>
    </row>
    <row r="8" customFormat="false" ht="15" hidden="false" customHeight="false" outlineLevel="0" collapsed="false">
      <c r="A8" s="0" t="s">
        <v>49</v>
      </c>
      <c r="B8" s="0" t="s">
        <v>16</v>
      </c>
    </row>
    <row r="9" customFormat="false" ht="15" hidden="false" customHeight="false" outlineLevel="0" collapsed="false">
      <c r="A9" s="0" t="s">
        <v>50</v>
      </c>
      <c r="B9" s="0" t="s">
        <v>51</v>
      </c>
    </row>
    <row r="10" customFormat="false" ht="15" hidden="false" customHeight="false" outlineLevel="0" collapsed="false">
      <c r="A10" s="0" t="s">
        <v>52</v>
      </c>
      <c r="B10" s="0" t="s">
        <v>5</v>
      </c>
    </row>
    <row r="11" customFormat="false" ht="15" hidden="false" customHeight="false" outlineLevel="0" collapsed="false">
      <c r="A11" s="0" t="s">
        <v>53</v>
      </c>
      <c r="B11" s="0" t="n">
        <v>874</v>
      </c>
    </row>
    <row r="12" customFormat="false" ht="15" hidden="false" customHeight="false" outlineLevel="0" collapsed="false">
      <c r="A12" s="0" t="s">
        <v>54</v>
      </c>
      <c r="B12" s="0" t="n">
        <v>533.12</v>
      </c>
    </row>
    <row r="13" customFormat="false" ht="15" hidden="false" customHeight="false" outlineLevel="0" collapsed="false">
      <c r="A13" s="0" t="s">
        <v>55</v>
      </c>
      <c r="B13" s="0" t="n">
        <v>929.82</v>
      </c>
    </row>
    <row r="14" customFormat="false" ht="15" hidden="false" customHeight="false" outlineLevel="0" collapsed="false">
      <c r="A14" s="0" t="s">
        <v>56</v>
      </c>
      <c r="B14" s="0" t="n">
        <v>1393.2</v>
      </c>
    </row>
    <row r="15" customFormat="false" ht="15" hidden="false" customHeight="false" outlineLevel="0" collapsed="false">
      <c r="A15" s="0" t="s">
        <v>57</v>
      </c>
      <c r="B15" s="0" t="n">
        <v>1032.5</v>
      </c>
    </row>
    <row r="17" customFormat="false" ht="15" hidden="false" customHeight="false" outlineLevel="0" collapsed="false">
      <c r="A17" s="2" t="s">
        <v>58</v>
      </c>
    </row>
    <row r="18" customFormat="false" ht="15" hidden="false" customHeight="false" outlineLevel="0" collapsed="false">
      <c r="A18" s="0" t="s">
        <v>59</v>
      </c>
      <c r="B18" s="0" t="n">
        <v>875.9</v>
      </c>
    </row>
    <row r="19" customFormat="false" ht="15" hidden="false" customHeight="false" outlineLevel="0" collapsed="false">
      <c r="A19" s="0" t="s">
        <v>60</v>
      </c>
      <c r="B19" s="0" t="n">
        <v>-103.7</v>
      </c>
      <c r="C19" s="0" t="s">
        <v>61</v>
      </c>
    </row>
    <row r="20" customFormat="false" ht="15" hidden="false" customHeight="false" outlineLevel="0" collapsed="false">
      <c r="A20" s="0" t="s">
        <v>62</v>
      </c>
      <c r="B20" s="0" t="n">
        <v>217.1</v>
      </c>
      <c r="C20" s="0" t="s">
        <v>63</v>
      </c>
    </row>
    <row r="21" customFormat="false" ht="15" hidden="false" customHeight="false" outlineLevel="0" collapsed="false">
      <c r="A21" s="0" t="s">
        <v>64</v>
      </c>
      <c r="B21" s="0" t="n">
        <v>-49.5</v>
      </c>
      <c r="C21" s="0" t="s">
        <v>65</v>
      </c>
    </row>
    <row r="22" customFormat="false" ht="15" hidden="false" customHeight="false" outlineLevel="0" collapsed="false">
      <c r="A22" s="0" t="s">
        <v>66</v>
      </c>
      <c r="B22" s="0" t="n">
        <v>-19.7</v>
      </c>
      <c r="C22" s="0" t="s">
        <v>67</v>
      </c>
    </row>
    <row r="23" customFormat="false" ht="15" hidden="false" customHeight="false" outlineLevel="0" collapsed="false">
      <c r="A23" s="0" t="s">
        <v>68</v>
      </c>
      <c r="C23" s="0" t="s">
        <v>69</v>
      </c>
    </row>
    <row r="24" customFormat="false" ht="15" hidden="false" customHeight="false" outlineLevel="0" collapsed="false">
      <c r="A24" s="0" t="s">
        <v>70</v>
      </c>
      <c r="C24" s="0" t="s">
        <v>71</v>
      </c>
    </row>
    <row r="25" customFormat="false" ht="15" hidden="false" customHeight="false" outlineLevel="0" collapsed="false">
      <c r="A25" s="0" t="s">
        <v>72</v>
      </c>
      <c r="C25" s="0"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74</v>
      </c>
      <c r="B1" s="2" t="s">
        <v>75</v>
      </c>
      <c r="C1" s="2" t="s">
        <v>76</v>
      </c>
      <c r="D1" s="2" t="s">
        <v>77</v>
      </c>
      <c r="E1" s="2" t="s">
        <v>78</v>
      </c>
      <c r="F1" s="2" t="s">
        <v>79</v>
      </c>
      <c r="G1" s="2" t="s">
        <v>80</v>
      </c>
      <c r="H1" s="2" t="s">
        <v>81</v>
      </c>
      <c r="I1" s="2" t="s">
        <v>82</v>
      </c>
      <c r="J1" s="2" t="s">
        <v>83</v>
      </c>
      <c r="K1" s="2" t="s">
        <v>84</v>
      </c>
      <c r="L1" s="2" t="s">
        <v>85</v>
      </c>
      <c r="M1" s="2" t="s">
        <v>86</v>
      </c>
      <c r="N1" s="2" t="s">
        <v>87</v>
      </c>
      <c r="O1" s="2" t="s">
        <v>88</v>
      </c>
      <c r="P1" s="2" t="s">
        <v>89</v>
      </c>
      <c r="Q1" s="2" t="s">
        <v>90</v>
      </c>
      <c r="R1" s="2" t="s">
        <v>91</v>
      </c>
      <c r="S1" s="2" t="s">
        <v>92</v>
      </c>
      <c r="T1" s="2" t="s">
        <v>93</v>
      </c>
      <c r="U1" s="2" t="s">
        <v>94</v>
      </c>
      <c r="V1" s="2" t="s">
        <v>95</v>
      </c>
      <c r="W1" s="2" t="s">
        <v>96</v>
      </c>
      <c r="X1" s="2" t="s">
        <v>97</v>
      </c>
      <c r="Y1" s="2" t="s">
        <v>98</v>
      </c>
      <c r="Z1" s="2" t="s">
        <v>99</v>
      </c>
      <c r="AA1" s="2" t="s">
        <v>17</v>
      </c>
      <c r="AB1" s="2" t="s">
        <v>100</v>
      </c>
      <c r="AC1" s="2" t="s">
        <v>101</v>
      </c>
      <c r="AD1" s="2" t="s">
        <v>102</v>
      </c>
      <c r="AE1" s="2" t="s">
        <v>103</v>
      </c>
      <c r="AF1" s="2" t="s">
        <v>104</v>
      </c>
      <c r="AG1" s="2" t="s">
        <v>105</v>
      </c>
      <c r="AH1" s="2" t="s">
        <v>106</v>
      </c>
      <c r="AI1" s="2" t="s">
        <v>107</v>
      </c>
      <c r="AJ1" s="2" t="s">
        <v>108</v>
      </c>
      <c r="AK1" s="2" t="s">
        <v>109</v>
      </c>
      <c r="AL1" s="2" t="s">
        <v>110</v>
      </c>
      <c r="AM1" s="2" t="s">
        <v>111</v>
      </c>
      <c r="AN1" s="2" t="s">
        <v>112</v>
      </c>
    </row>
    <row r="2" customFormat="false" ht="15" hidden="false" customHeight="false" outlineLevel="0" collapsed="false">
      <c r="A2" s="0" t="s">
        <v>113</v>
      </c>
      <c r="B2" s="0" t="n">
        <v>551.5</v>
      </c>
      <c r="C2" s="0" t="n">
        <v>-210.3</v>
      </c>
      <c r="D2" s="0" t="n">
        <v>341.3</v>
      </c>
      <c r="E2" s="0" t="n">
        <v>61.9</v>
      </c>
      <c r="F2" s="0" t="n">
        <v>58.8</v>
      </c>
      <c r="G2" s="0" t="n">
        <v>10.7</v>
      </c>
      <c r="H2" s="0" t="n">
        <v>87.2</v>
      </c>
      <c r="I2" s="0" t="n">
        <v>40.5</v>
      </c>
      <c r="J2" s="0" t="n">
        <v>7.3</v>
      </c>
      <c r="K2" s="0" t="n">
        <v>0.0398</v>
      </c>
      <c r="L2" s="0" t="n">
        <v>2716.8</v>
      </c>
      <c r="M2" s="0" t="n">
        <v>-30.4</v>
      </c>
      <c r="N2" s="0" t="n">
        <v>136.1</v>
      </c>
      <c r="O2" s="0" t="n">
        <v>373.7</v>
      </c>
      <c r="P2" s="0" t="n">
        <v>5635.4</v>
      </c>
      <c r="Q2" s="0" t="n">
        <v>5261.6</v>
      </c>
      <c r="R2" s="0" t="n">
        <v>129.3</v>
      </c>
      <c r="S2" s="0" t="n">
        <v>374.8</v>
      </c>
      <c r="T2" s="0" t="n">
        <v>1017.6</v>
      </c>
      <c r="U2" s="0" t="n">
        <v>49.9</v>
      </c>
      <c r="AA2" s="0" t="s">
        <v>18</v>
      </c>
      <c r="AB2" s="0" t="s">
        <v>14</v>
      </c>
      <c r="AC2" s="0" t="n">
        <v>0</v>
      </c>
      <c r="AD2" s="0" t="n">
        <v>2.5</v>
      </c>
      <c r="AE2" s="0" t="n">
        <v>28.4</v>
      </c>
      <c r="AF2" s="0" t="n">
        <v>4.2</v>
      </c>
      <c r="AG2" s="0" t="n">
        <v>5.2</v>
      </c>
      <c r="AH2" s="0" t="n">
        <v>0</v>
      </c>
    </row>
    <row r="3" customFormat="false" ht="15" hidden="false" customHeight="false" outlineLevel="0" collapsed="false">
      <c r="A3" s="0" t="s">
        <v>114</v>
      </c>
      <c r="B3" s="0" t="n">
        <v>757.7</v>
      </c>
      <c r="C3" s="0" t="n">
        <v>-255.7</v>
      </c>
      <c r="D3" s="0" t="n">
        <v>502</v>
      </c>
      <c r="E3" s="0" t="n">
        <v>66.3</v>
      </c>
      <c r="F3" s="0" t="n">
        <v>66.2</v>
      </c>
      <c r="G3" s="0" t="n">
        <v>8.7</v>
      </c>
      <c r="H3" s="0" t="n">
        <v>97.3</v>
      </c>
      <c r="I3" s="0" t="n">
        <v>44.7</v>
      </c>
      <c r="J3" s="0" t="n">
        <v>5.9</v>
      </c>
      <c r="K3" s="0" t="n">
        <v>0.0432</v>
      </c>
      <c r="L3" s="0" t="n">
        <v>4267.7</v>
      </c>
      <c r="M3" s="0" t="n">
        <v>-16.2</v>
      </c>
      <c r="N3" s="0" t="n">
        <v>154.1</v>
      </c>
      <c r="O3" s="0" t="n">
        <v>556.5</v>
      </c>
      <c r="P3" s="0" t="n">
        <v>10287.6</v>
      </c>
      <c r="Q3" s="0" t="n">
        <v>9731.1</v>
      </c>
      <c r="R3" s="0" t="n">
        <v>130.2</v>
      </c>
      <c r="S3" s="0" t="n">
        <v>486.6</v>
      </c>
      <c r="T3" s="0" t="n">
        <v>1034</v>
      </c>
      <c r="U3" s="0" t="n">
        <v>57.4</v>
      </c>
      <c r="AA3" s="0" t="s">
        <v>18</v>
      </c>
      <c r="AB3" s="0" t="s">
        <v>14</v>
      </c>
      <c r="AC3" s="0" t="n">
        <v>0</v>
      </c>
      <c r="AD3" s="0" t="n">
        <v>5.3</v>
      </c>
      <c r="AE3" s="0" t="n">
        <v>31.1</v>
      </c>
      <c r="AF3" s="0" t="n">
        <v>7.6</v>
      </c>
      <c r="AG3" s="0" t="n">
        <v>8.8</v>
      </c>
      <c r="AH3" s="0" t="n">
        <v>0</v>
      </c>
      <c r="AI3" s="0" t="n">
        <v>7400</v>
      </c>
      <c r="AK3" s="0" t="n">
        <v>103.9</v>
      </c>
      <c r="AL3" s="0" t="n">
        <v>9.25</v>
      </c>
      <c r="AN3" s="0" t="n">
        <v>0.63</v>
      </c>
    </row>
    <row r="4" customFormat="false" ht="15" hidden="false" customHeight="false" outlineLevel="0" collapsed="false">
      <c r="A4" s="0" t="s">
        <v>115</v>
      </c>
      <c r="B4" s="0" t="n">
        <v>1147.4</v>
      </c>
      <c r="C4" s="0" t="n">
        <v>-387.9</v>
      </c>
      <c r="D4" s="0" t="n">
        <v>759.5</v>
      </c>
      <c r="E4" s="0" t="n">
        <v>66.2</v>
      </c>
      <c r="F4" s="0" t="n">
        <v>187.1</v>
      </c>
      <c r="G4" s="0" t="n">
        <v>16.3</v>
      </c>
      <c r="H4" s="0" t="n">
        <v>214.7</v>
      </c>
      <c r="I4" s="0" t="n">
        <v>135.7</v>
      </c>
      <c r="J4" s="0" t="n">
        <v>11.8</v>
      </c>
      <c r="K4" s="0" t="n">
        <v>0.1302</v>
      </c>
      <c r="L4" s="0" t="n">
        <v>4664.7</v>
      </c>
      <c r="M4" s="0" t="n">
        <v>-10.5</v>
      </c>
      <c r="N4" s="0" t="n">
        <v>253.8</v>
      </c>
      <c r="O4" s="0" t="n">
        <v>686.5</v>
      </c>
      <c r="P4" s="0" t="n">
        <v>14166</v>
      </c>
      <c r="Q4" s="0" t="n">
        <v>13479.5</v>
      </c>
      <c r="R4" s="0" t="n">
        <v>314.6</v>
      </c>
      <c r="S4" s="0" t="n">
        <v>798.6</v>
      </c>
      <c r="T4" s="0" t="n">
        <v>1042.4</v>
      </c>
      <c r="U4" s="0" t="n">
        <v>69.3</v>
      </c>
      <c r="AA4" s="0" t="s">
        <v>18</v>
      </c>
      <c r="AB4" s="0" t="s">
        <v>14</v>
      </c>
      <c r="AC4" s="0" t="n">
        <v>0</v>
      </c>
      <c r="AD4" s="0" t="n">
        <v>166.8</v>
      </c>
      <c r="AE4" s="0" t="n">
        <v>27.6</v>
      </c>
      <c r="AF4" s="0" t="n">
        <v>9.5</v>
      </c>
      <c r="AG4" s="0" t="n">
        <v>22.3</v>
      </c>
      <c r="AH4" s="0" t="n">
        <v>12</v>
      </c>
      <c r="AI4" s="0" t="n">
        <v>9962.7</v>
      </c>
      <c r="AJ4" s="0" t="n">
        <v>0.59</v>
      </c>
      <c r="AK4" s="0" t="n">
        <v>124.35</v>
      </c>
      <c r="AL4" s="0" t="n">
        <v>12.73</v>
      </c>
      <c r="AM4" s="0" t="n">
        <v>13.33</v>
      </c>
      <c r="AN4" s="0" t="n">
        <v>0.65</v>
      </c>
    </row>
    <row r="5" customFormat="false" ht="15" hidden="false" customHeight="false" outlineLevel="0" collapsed="false">
      <c r="A5" s="0" t="s">
        <v>116</v>
      </c>
      <c r="B5" s="0" t="n">
        <v>1776.1</v>
      </c>
      <c r="C5" s="0" t="n">
        <v>-402.3</v>
      </c>
      <c r="D5" s="0" t="n">
        <v>1373.8</v>
      </c>
      <c r="E5" s="0" t="n">
        <v>77.3</v>
      </c>
      <c r="F5" s="0" t="n">
        <v>650.1</v>
      </c>
      <c r="G5" s="0" t="n">
        <v>36.6</v>
      </c>
      <c r="H5" s="0" t="n">
        <v>664.4</v>
      </c>
      <c r="I5" s="0" t="n">
        <v>501.5</v>
      </c>
      <c r="J5" s="0" t="n">
        <v>28.2</v>
      </c>
      <c r="K5" s="0" t="n">
        <v>0.4781</v>
      </c>
      <c r="L5" s="0" t="n">
        <v>4075.1</v>
      </c>
      <c r="M5" s="0" t="n">
        <v>-16.4</v>
      </c>
      <c r="N5" s="0" t="n">
        <v>611.9</v>
      </c>
      <c r="O5" s="0" t="n">
        <v>1465.2</v>
      </c>
      <c r="P5" s="0" t="n">
        <v>19036.7</v>
      </c>
      <c r="Q5" s="0" t="n">
        <v>17804.4</v>
      </c>
      <c r="R5" s="0" t="n">
        <v>282</v>
      </c>
      <c r="S5" s="0" t="n">
        <v>1334.4</v>
      </c>
      <c r="T5" s="0" t="n">
        <v>1048.9</v>
      </c>
      <c r="U5" s="0" t="n">
        <v>91.1</v>
      </c>
      <c r="AA5" s="0" t="s">
        <v>18</v>
      </c>
      <c r="AB5" s="0" t="s">
        <v>14</v>
      </c>
      <c r="AC5" s="0" t="n">
        <v>0</v>
      </c>
      <c r="AD5" s="0" t="n">
        <v>610</v>
      </c>
      <c r="AE5" s="0" t="n">
        <v>14.3</v>
      </c>
      <c r="AF5" s="0" t="n">
        <v>16.2</v>
      </c>
      <c r="AG5" s="0" t="n">
        <v>93.1</v>
      </c>
      <c r="AH5" s="0" t="n">
        <v>86.2</v>
      </c>
      <c r="AI5" s="0" t="n">
        <v>12838.2</v>
      </c>
      <c r="AJ5" s="0" t="n">
        <v>3.65</v>
      </c>
      <c r="AK5" s="0" t="n">
        <v>149.03</v>
      </c>
      <c r="AL5" s="0" t="n">
        <v>16.73</v>
      </c>
      <c r="AM5" s="0" t="n">
        <v>20.37</v>
      </c>
      <c r="AN5" s="0" t="n">
        <v>0.67</v>
      </c>
    </row>
    <row r="6" customFormat="false" ht="15" hidden="false" customHeight="false" outlineLevel="0" collapsed="false">
      <c r="A6" s="0" t="s">
        <v>117</v>
      </c>
      <c r="B6" s="0" t="n">
        <v>2098.9</v>
      </c>
      <c r="C6" s="0" t="n">
        <v>-430.2</v>
      </c>
      <c r="D6" s="0" t="n">
        <v>1668.7</v>
      </c>
      <c r="E6" s="0" t="n">
        <v>79.5</v>
      </c>
      <c r="F6" s="0" t="n">
        <v>728.2</v>
      </c>
      <c r="G6" s="0" t="n">
        <v>34.7</v>
      </c>
      <c r="H6" s="0" t="n">
        <v>737.9</v>
      </c>
      <c r="I6" s="0" t="n">
        <v>550.3</v>
      </c>
      <c r="J6" s="0" t="n">
        <v>26.2</v>
      </c>
      <c r="K6" s="0" t="n">
        <v>0.5263</v>
      </c>
      <c r="L6" s="0" t="n">
        <v>5719.5</v>
      </c>
      <c r="M6" s="0" t="n">
        <v>-45.3</v>
      </c>
      <c r="N6" s="0" t="n">
        <v>785.2</v>
      </c>
      <c r="O6" s="0" t="n">
        <v>1737.4</v>
      </c>
      <c r="P6" s="0" t="n">
        <v>24781.1</v>
      </c>
      <c r="Q6" s="0" t="n">
        <v>23043.7</v>
      </c>
      <c r="R6" s="0" t="n">
        <v>128.4</v>
      </c>
      <c r="S6" s="0" t="n">
        <v>1824.8</v>
      </c>
      <c r="T6" s="0" t="n">
        <v>1045.7</v>
      </c>
      <c r="U6" s="0" t="n">
        <v>74.6</v>
      </c>
      <c r="AA6" s="0" t="s">
        <v>18</v>
      </c>
      <c r="AB6" s="0" t="s">
        <v>14</v>
      </c>
      <c r="AC6" s="0" t="n">
        <v>0</v>
      </c>
      <c r="AD6" s="0" t="n">
        <v>758.3</v>
      </c>
      <c r="AE6" s="0" t="n">
        <v>9.7</v>
      </c>
      <c r="AF6" s="0" t="n">
        <v>16.3</v>
      </c>
      <c r="AG6" s="0" t="n">
        <v>184.4</v>
      </c>
      <c r="AH6" s="0" t="n">
        <v>92.5</v>
      </c>
      <c r="AI6" s="0" t="n">
        <v>15566.1</v>
      </c>
      <c r="AJ6" s="0" t="n">
        <v>5.8</v>
      </c>
      <c r="AK6" s="0" t="n">
        <v>185.2</v>
      </c>
      <c r="AL6" s="0" t="n">
        <v>22</v>
      </c>
      <c r="AM6" s="0" t="n">
        <v>27.8</v>
      </c>
      <c r="AN6" s="0" t="n">
        <v>0.58</v>
      </c>
    </row>
    <row r="7" customFormat="false" ht="15" hidden="false" customHeight="false" outlineLevel="0" collapsed="false">
      <c r="A7" s="0" t="s">
        <v>118</v>
      </c>
      <c r="B7" s="0" t="n">
        <v>2502.8</v>
      </c>
      <c r="C7" s="0" t="n">
        <v>-527.5</v>
      </c>
      <c r="D7" s="0" t="n">
        <v>1975.3</v>
      </c>
      <c r="E7" s="0" t="n">
        <v>78.9</v>
      </c>
      <c r="F7" s="0" t="n">
        <v>590.7</v>
      </c>
      <c r="G7" s="0" t="n">
        <v>23.6</v>
      </c>
      <c r="H7" s="0" t="n">
        <v>605.1</v>
      </c>
      <c r="I7" s="0" t="n">
        <v>498.7</v>
      </c>
      <c r="J7" s="0" t="n">
        <v>19.9</v>
      </c>
      <c r="K7" s="0" t="n">
        <v>0.4843</v>
      </c>
      <c r="L7" s="0" t="n">
        <v>7553.9</v>
      </c>
      <c r="M7" s="0" t="n">
        <v>-21.4</v>
      </c>
      <c r="N7" s="0" t="n">
        <v>637.5</v>
      </c>
      <c r="O7" s="0" t="n">
        <v>1925.2</v>
      </c>
      <c r="P7" s="0" t="n">
        <v>33259.8</v>
      </c>
      <c r="Q7" s="0" t="n">
        <v>31334.6</v>
      </c>
      <c r="R7" s="0" t="n">
        <v>328.7</v>
      </c>
      <c r="S7" s="0" t="n">
        <v>1873.7</v>
      </c>
      <c r="T7" s="0" t="n">
        <v>1029.7</v>
      </c>
      <c r="U7" s="0" t="n">
        <v>95.5</v>
      </c>
      <c r="AA7" s="0" t="s">
        <v>18</v>
      </c>
      <c r="AB7" s="0" t="s">
        <v>14</v>
      </c>
      <c r="AC7" s="0" t="n">
        <v>0</v>
      </c>
      <c r="AD7" s="0" t="n">
        <v>806.1</v>
      </c>
      <c r="AE7" s="0" t="n">
        <v>14.4</v>
      </c>
      <c r="AF7" s="0" t="n">
        <v>44.4</v>
      </c>
      <c r="AG7" s="0" t="n">
        <v>162.5</v>
      </c>
      <c r="AH7" s="0" t="n">
        <v>473.4</v>
      </c>
      <c r="AI7" s="0" t="n">
        <v>18900</v>
      </c>
      <c r="AJ7" s="0" t="n">
        <v>9</v>
      </c>
      <c r="AK7" s="0" t="n">
        <v>243.5</v>
      </c>
      <c r="AL7" s="0" t="n">
        <v>30</v>
      </c>
      <c r="AM7" s="0" t="n">
        <v>39</v>
      </c>
      <c r="AN7" s="0" t="n">
        <v>0.52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119</v>
      </c>
      <c r="B1" s="2" t="s">
        <v>40</v>
      </c>
    </row>
    <row r="2" customFormat="false" ht="15" hidden="false" customHeight="false" outlineLevel="0" collapsed="false">
      <c r="A2" s="0" t="s">
        <v>120</v>
      </c>
      <c r="B2" s="3" t="n">
        <v>874</v>
      </c>
    </row>
    <row r="3" customFormat="false" ht="15" hidden="false" customHeight="false" outlineLevel="0" collapsed="false">
      <c r="A3" s="0" t="s">
        <v>121</v>
      </c>
      <c r="B3" s="3" t="n">
        <v>1024</v>
      </c>
    </row>
    <row r="4" customFormat="false" ht="15" hidden="false" customHeight="false" outlineLevel="0" collapsed="false">
      <c r="A4" s="0" t="s">
        <v>122</v>
      </c>
      <c r="B4" s="3" t="n">
        <v>-1873.7</v>
      </c>
    </row>
    <row r="5" customFormat="false" ht="15" hidden="false" customHeight="false" outlineLevel="0" collapsed="false">
      <c r="A5" s="0" t="s">
        <v>123</v>
      </c>
      <c r="B5" s="3" t="n">
        <v>0</v>
      </c>
    </row>
    <row r="6" customFormat="false" ht="15" hidden="false" customHeight="false" outlineLevel="0" collapsed="false">
      <c r="A6" s="0" t="s">
        <v>124</v>
      </c>
      <c r="B6" s="3" t="n">
        <v>15</v>
      </c>
    </row>
    <row r="7" customFormat="false" ht="15" hidden="false" customHeight="false" outlineLevel="0" collapsed="false">
      <c r="A7" s="0" t="s">
        <v>125</v>
      </c>
      <c r="B7" s="3" t="n">
        <v>2502.8</v>
      </c>
    </row>
    <row r="8" customFormat="false" ht="15" hidden="false" customHeight="false" outlineLevel="0" collapsed="false">
      <c r="A8" s="0" t="s">
        <v>126</v>
      </c>
      <c r="B8" s="3" t="s">
        <v>118</v>
      </c>
    </row>
    <row r="9" customFormat="false" ht="15" hidden="false" customHeight="false" outlineLevel="0" collapsed="false">
      <c r="A9" s="0" t="s">
        <v>127</v>
      </c>
      <c r="B9" s="3" t="s">
        <v>128</v>
      </c>
    </row>
    <row r="10" customFormat="false" ht="15" hidden="false" customHeight="false" outlineLevel="0" collapsed="false">
      <c r="A10" s="0" t="s">
        <v>129</v>
      </c>
      <c r="B10" s="3" t="n">
        <v>75.6315</v>
      </c>
    </row>
    <row r="12" customFormat="false" ht="15" hidden="false" customHeight="false" outlineLevel="0" collapsed="false">
      <c r="A12" s="2" t="s">
        <v>130</v>
      </c>
      <c r="C12" s="2" t="s">
        <v>131</v>
      </c>
      <c r="D12" s="2" t="s">
        <v>132</v>
      </c>
      <c r="E12" s="2" t="s">
        <v>133</v>
      </c>
      <c r="F12" s="2" t="s">
        <v>134</v>
      </c>
      <c r="G12" s="2" t="s">
        <v>135</v>
      </c>
      <c r="H12" s="2" t="s">
        <v>136</v>
      </c>
      <c r="I12" s="2" t="s">
        <v>137</v>
      </c>
      <c r="J12" s="2" t="s">
        <v>138</v>
      </c>
      <c r="K12" s="2" t="s">
        <v>139</v>
      </c>
      <c r="L12" s="2" t="s">
        <v>140</v>
      </c>
    </row>
    <row r="13" customFormat="false" ht="15" hidden="false" customHeight="false" outlineLevel="0" collapsed="false">
      <c r="A13" s="0" t="s">
        <v>141</v>
      </c>
      <c r="C13" s="3" t="n">
        <v>11</v>
      </c>
      <c r="D13" s="3" t="n">
        <v>4</v>
      </c>
      <c r="E13" s="3" t="n">
        <v>4</v>
      </c>
      <c r="F13" s="3" t="n">
        <v>7</v>
      </c>
      <c r="G13" s="3" t="n">
        <v>6.5</v>
      </c>
      <c r="H13" s="3" t="n">
        <v>6</v>
      </c>
      <c r="I13" s="3" t="n">
        <v>5.5</v>
      </c>
      <c r="J13" s="3" t="n">
        <v>5</v>
      </c>
      <c r="K13" s="3" t="n">
        <v>4.5</v>
      </c>
      <c r="L13" s="3" t="n">
        <v>4</v>
      </c>
    </row>
    <row r="14" customFormat="false" ht="15" hidden="false" customHeight="false" outlineLevel="0" collapsed="false">
      <c r="A14" s="0" t="s">
        <v>142</v>
      </c>
      <c r="C14" s="3" t="n">
        <v>26</v>
      </c>
      <c r="D14" s="3" t="n">
        <v>25.5</v>
      </c>
      <c r="E14" s="3" t="n">
        <v>25</v>
      </c>
      <c r="F14" s="3" t="n">
        <v>24.5</v>
      </c>
      <c r="G14" s="3" t="n">
        <v>24</v>
      </c>
      <c r="H14" s="3" t="n">
        <v>23.5</v>
      </c>
      <c r="I14" s="3" t="n">
        <v>23</v>
      </c>
      <c r="J14" s="3" t="n">
        <v>23</v>
      </c>
      <c r="K14" s="3" t="n">
        <v>23</v>
      </c>
      <c r="L14" s="3" t="n">
        <v>23</v>
      </c>
    </row>
    <row r="15" customFormat="false" ht="15" hidden="false" customHeight="false" outlineLevel="0" collapsed="false">
      <c r="A15" s="0" t="s">
        <v>143</v>
      </c>
      <c r="C15" s="3" t="n">
        <v>3.8</v>
      </c>
      <c r="D15" s="3" t="n">
        <v>3.8</v>
      </c>
      <c r="E15" s="3" t="n">
        <v>3.8</v>
      </c>
      <c r="F15" s="3" t="n">
        <v>3.8</v>
      </c>
      <c r="G15" s="3" t="n">
        <v>3.8</v>
      </c>
      <c r="H15" s="3" t="n">
        <v>3.8</v>
      </c>
      <c r="I15" s="3" t="n">
        <v>3.8</v>
      </c>
      <c r="J15" s="3" t="n">
        <v>3.8</v>
      </c>
      <c r="K15" s="3" t="n">
        <v>3.8</v>
      </c>
      <c r="L15" s="3" t="n">
        <v>3.8</v>
      </c>
    </row>
    <row r="16" customFormat="false" ht="15" hidden="false" customHeight="false" outlineLevel="0" collapsed="false">
      <c r="A16" s="0" t="s">
        <v>144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145</v>
      </c>
      <c r="C17" s="3" t="n">
        <v>0.58</v>
      </c>
      <c r="D17" s="3" t="n">
        <v>0.58</v>
      </c>
      <c r="E17" s="3" t="n">
        <v>0.58</v>
      </c>
      <c r="F17" s="3" t="n">
        <v>0.58</v>
      </c>
      <c r="G17" s="3" t="n">
        <v>0.58</v>
      </c>
      <c r="H17" s="3" t="n">
        <v>0.58</v>
      </c>
      <c r="I17" s="3" t="n">
        <v>0.58</v>
      </c>
      <c r="J17" s="3" t="n">
        <v>0.58</v>
      </c>
      <c r="K17" s="3" t="n">
        <v>0.58</v>
      </c>
      <c r="L17" s="3" t="n">
        <v>0.58</v>
      </c>
    </row>
    <row r="18" customFormat="false" ht="15" hidden="false" customHeight="false" outlineLevel="0" collapsed="false">
      <c r="A18" s="0" t="s">
        <v>146</v>
      </c>
      <c r="C18" s="3" t="n">
        <v>1.2</v>
      </c>
      <c r="D18" s="3" t="n">
        <v>1.2</v>
      </c>
      <c r="E18" s="3" t="n">
        <v>1.2</v>
      </c>
      <c r="F18" s="3" t="n">
        <v>1.2</v>
      </c>
      <c r="G18" s="3" t="n">
        <v>1.2</v>
      </c>
      <c r="H18" s="3" t="n">
        <v>1.2</v>
      </c>
      <c r="I18" s="3" t="n">
        <v>1.2</v>
      </c>
      <c r="J18" s="3" t="n">
        <v>1.2</v>
      </c>
      <c r="K18" s="3" t="n">
        <v>1.2</v>
      </c>
      <c r="L18" s="3" t="n">
        <v>1.2</v>
      </c>
    </row>
    <row r="19" customFormat="false" ht="15" hidden="false" customHeight="false" outlineLevel="0" collapsed="false">
      <c r="A19" s="0" t="s">
        <v>147</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148</v>
      </c>
      <c r="B20" s="3" t="n">
        <v>9.5</v>
      </c>
    </row>
    <row r="21" customFormat="false" ht="15" hidden="false" customHeight="false" outlineLevel="0" collapsed="false">
      <c r="A21" s="0" t="s">
        <v>149</v>
      </c>
      <c r="B21" s="3" t="n">
        <v>2</v>
      </c>
    </row>
    <row r="22" customFormat="false" ht="15" hidden="false" customHeight="false" outlineLevel="0" collapsed="false">
      <c r="A22" s="0" t="s">
        <v>150</v>
      </c>
      <c r="B22" s="3" t="n">
        <v>20</v>
      </c>
    </row>
    <row r="23" customFormat="false" ht="15" hidden="false" customHeight="false" outlineLevel="0" collapsed="false">
      <c r="A23" s="0" t="s">
        <v>151</v>
      </c>
      <c r="B23" s="3" t="n">
        <v>-30</v>
      </c>
    </row>
    <row r="24" customFormat="false" ht="15" hidden="false" customHeight="false" outlineLevel="0" collapsed="false">
      <c r="A24" s="0" t="s">
        <v>152</v>
      </c>
      <c r="B24" s="3" t="n">
        <v>0.15</v>
      </c>
    </row>
    <row r="26" customFormat="false" ht="15" hidden="false" customHeight="false" outlineLevel="0" collapsed="false">
      <c r="A26" s="2" t="s">
        <v>153</v>
      </c>
      <c r="C26" s="2" t="s">
        <v>131</v>
      </c>
      <c r="D26" s="2" t="s">
        <v>132</v>
      </c>
      <c r="E26" s="2" t="s">
        <v>133</v>
      </c>
      <c r="F26" s="2" t="s">
        <v>134</v>
      </c>
      <c r="G26" s="2" t="s">
        <v>135</v>
      </c>
      <c r="H26" s="2" t="s">
        <v>136</v>
      </c>
      <c r="I26" s="2" t="s">
        <v>137</v>
      </c>
      <c r="J26" s="2" t="s">
        <v>138</v>
      </c>
      <c r="K26" s="2" t="s">
        <v>139</v>
      </c>
      <c r="L26" s="2" t="s">
        <v>140</v>
      </c>
    </row>
    <row r="27" customFormat="false" ht="15" hidden="false" customHeight="false" outlineLevel="0" collapsed="false">
      <c r="A27" s="0" t="s">
        <v>141</v>
      </c>
      <c r="C27" s="3" t="n">
        <v>17</v>
      </c>
      <c r="D27" s="3" t="n">
        <v>15.5</v>
      </c>
      <c r="E27" s="3" t="n">
        <v>14</v>
      </c>
      <c r="F27" s="3" t="n">
        <v>12.5</v>
      </c>
      <c r="G27" s="3" t="n">
        <v>11</v>
      </c>
      <c r="H27" s="3" t="n">
        <v>9.5</v>
      </c>
      <c r="I27" s="3" t="n">
        <v>8.5</v>
      </c>
      <c r="J27" s="3" t="n">
        <v>7.5</v>
      </c>
      <c r="K27" s="3" t="n">
        <v>6.5</v>
      </c>
      <c r="L27" s="3" t="n">
        <v>5.5</v>
      </c>
    </row>
    <row r="28" customFormat="false" ht="15" hidden="false" customHeight="false" outlineLevel="0" collapsed="false">
      <c r="A28" s="0" t="s">
        <v>142</v>
      </c>
      <c r="C28" s="3" t="n">
        <v>28.5</v>
      </c>
      <c r="D28" s="3" t="n">
        <v>28.08</v>
      </c>
      <c r="E28" s="3" t="n">
        <v>27.67</v>
      </c>
      <c r="F28" s="3" t="n">
        <v>27.25</v>
      </c>
      <c r="G28" s="3" t="n">
        <v>26.83</v>
      </c>
      <c r="H28" s="3" t="n">
        <v>26.42</v>
      </c>
      <c r="I28" s="3" t="n">
        <v>26</v>
      </c>
      <c r="J28" s="3" t="n">
        <v>26</v>
      </c>
      <c r="K28" s="3" t="n">
        <v>26</v>
      </c>
      <c r="L28" s="3" t="n">
        <v>26</v>
      </c>
    </row>
    <row r="29" customFormat="false" ht="15" hidden="false" customHeight="false" outlineLevel="0" collapsed="false">
      <c r="A29" s="0" t="s">
        <v>143</v>
      </c>
      <c r="C29" s="3" t="n">
        <v>3.69</v>
      </c>
      <c r="D29" s="3" t="n">
        <v>3.59</v>
      </c>
      <c r="E29" s="3" t="n">
        <v>3.5</v>
      </c>
      <c r="F29" s="3" t="n">
        <v>3.42</v>
      </c>
      <c r="G29" s="3" t="n">
        <v>3.35</v>
      </c>
      <c r="H29" s="3" t="n">
        <v>3.27</v>
      </c>
      <c r="I29" s="3" t="n">
        <v>3.2</v>
      </c>
      <c r="J29" s="3" t="n">
        <v>3.13</v>
      </c>
      <c r="K29" s="3" t="n">
        <v>3.07</v>
      </c>
      <c r="L29" s="3" t="n">
        <v>3</v>
      </c>
    </row>
    <row r="30" customFormat="false" ht="15" hidden="false" customHeight="false" outlineLevel="0" collapsed="false">
      <c r="A30" s="0" t="s">
        <v>144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145</v>
      </c>
      <c r="C31" s="3" t="n">
        <v>0.58</v>
      </c>
      <c r="D31" s="3" t="n">
        <v>0.58</v>
      </c>
      <c r="E31" s="3" t="n">
        <v>0.58</v>
      </c>
      <c r="F31" s="3" t="n">
        <v>0.58</v>
      </c>
      <c r="G31" s="3" t="n">
        <v>0.58</v>
      </c>
      <c r="H31" s="3" t="n">
        <v>0.58</v>
      </c>
      <c r="I31" s="3" t="n">
        <v>0.58</v>
      </c>
      <c r="J31" s="3" t="n">
        <v>0.58</v>
      </c>
      <c r="K31" s="3" t="n">
        <v>0.58</v>
      </c>
      <c r="L31" s="3" t="n">
        <v>0.58</v>
      </c>
    </row>
    <row r="32" customFormat="false" ht="15" hidden="false" customHeight="false" outlineLevel="0" collapsed="false">
      <c r="A32" s="0" t="s">
        <v>146</v>
      </c>
      <c r="C32" s="3" t="n">
        <v>1</v>
      </c>
      <c r="D32" s="3" t="n">
        <v>1</v>
      </c>
      <c r="E32" s="3" t="n">
        <v>1</v>
      </c>
      <c r="F32" s="3" t="n">
        <v>1</v>
      </c>
      <c r="G32" s="3" t="n">
        <v>1</v>
      </c>
      <c r="H32" s="3" t="n">
        <v>1</v>
      </c>
      <c r="I32" s="3" t="n">
        <v>1</v>
      </c>
      <c r="J32" s="3" t="n">
        <v>1</v>
      </c>
      <c r="K32" s="3" t="n">
        <v>1</v>
      </c>
      <c r="L32" s="3" t="n">
        <v>1</v>
      </c>
    </row>
    <row r="33" customFormat="false" ht="15" hidden="false" customHeight="false" outlineLevel="0" collapsed="false">
      <c r="A33" s="0" t="s">
        <v>147</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148</v>
      </c>
      <c r="B34" s="3" t="n">
        <v>9.5</v>
      </c>
    </row>
    <row r="35" customFormat="false" ht="15" hidden="false" customHeight="false" outlineLevel="0" collapsed="false">
      <c r="A35" s="0" t="s">
        <v>149</v>
      </c>
      <c r="B35" s="3" t="n">
        <v>3</v>
      </c>
    </row>
    <row r="36" customFormat="false" ht="15" hidden="false" customHeight="false" outlineLevel="0" collapsed="false">
      <c r="A36" s="0" t="s">
        <v>150</v>
      </c>
      <c r="B36" s="3" t="n">
        <v>20</v>
      </c>
    </row>
    <row r="37" customFormat="false" ht="15" hidden="false" customHeight="false" outlineLevel="0" collapsed="false">
      <c r="A37" s="0" t="s">
        <v>151</v>
      </c>
      <c r="B37" s="3" t="n">
        <v>-25</v>
      </c>
    </row>
    <row r="38" customFormat="false" ht="15" hidden="false" customHeight="false" outlineLevel="0" collapsed="false">
      <c r="A38" s="0" t="s">
        <v>152</v>
      </c>
      <c r="B38" s="3" t="n">
        <v>0.5</v>
      </c>
    </row>
    <row r="40" customFormat="false" ht="15" hidden="false" customHeight="false" outlineLevel="0" collapsed="false">
      <c r="A40" s="2" t="s">
        <v>154</v>
      </c>
      <c r="C40" s="2" t="s">
        <v>131</v>
      </c>
      <c r="D40" s="2" t="s">
        <v>132</v>
      </c>
      <c r="E40" s="2" t="s">
        <v>133</v>
      </c>
      <c r="F40" s="2" t="s">
        <v>134</v>
      </c>
      <c r="G40" s="2" t="s">
        <v>135</v>
      </c>
      <c r="H40" s="2" t="s">
        <v>136</v>
      </c>
      <c r="I40" s="2" t="s">
        <v>137</v>
      </c>
      <c r="J40" s="2" t="s">
        <v>138</v>
      </c>
      <c r="K40" s="2" t="s">
        <v>139</v>
      </c>
      <c r="L40" s="2" t="s">
        <v>140</v>
      </c>
    </row>
    <row r="41" customFormat="false" ht="15" hidden="false" customHeight="false" outlineLevel="0" collapsed="false">
      <c r="A41" s="0" t="s">
        <v>141</v>
      </c>
      <c r="C41" s="3" t="n">
        <v>21</v>
      </c>
      <c r="D41" s="3" t="n">
        <v>19</v>
      </c>
      <c r="E41" s="3" t="n">
        <v>17</v>
      </c>
      <c r="F41" s="3" t="n">
        <v>15</v>
      </c>
      <c r="G41" s="3" t="n">
        <v>13</v>
      </c>
      <c r="H41" s="3" t="n">
        <v>11.5</v>
      </c>
      <c r="I41" s="3" t="n">
        <v>10</v>
      </c>
      <c r="J41" s="3" t="n">
        <v>9</v>
      </c>
      <c r="K41" s="3" t="n">
        <v>8</v>
      </c>
      <c r="L41" s="3" t="n">
        <v>7</v>
      </c>
    </row>
    <row r="42" customFormat="false" ht="15" hidden="false" customHeight="false" outlineLevel="0" collapsed="false">
      <c r="A42" s="0" t="s">
        <v>142</v>
      </c>
      <c r="C42" s="3" t="n">
        <v>30.5</v>
      </c>
      <c r="D42" s="3" t="n">
        <v>30.42</v>
      </c>
      <c r="E42" s="3" t="n">
        <v>30.33</v>
      </c>
      <c r="F42" s="3" t="n">
        <v>30.25</v>
      </c>
      <c r="G42" s="3" t="n">
        <v>30.17</v>
      </c>
      <c r="H42" s="3" t="n">
        <v>30.08</v>
      </c>
      <c r="I42" s="3" t="n">
        <v>30</v>
      </c>
      <c r="J42" s="3" t="n">
        <v>30</v>
      </c>
      <c r="K42" s="3" t="n">
        <v>30</v>
      </c>
      <c r="L42" s="3" t="n">
        <v>30</v>
      </c>
    </row>
    <row r="43" customFormat="false" ht="15" hidden="false" customHeight="false" outlineLevel="0" collapsed="false">
      <c r="A43" s="0" t="s">
        <v>143</v>
      </c>
      <c r="C43" s="3" t="n">
        <v>3.61</v>
      </c>
      <c r="D43" s="3" t="n">
        <v>3.45</v>
      </c>
      <c r="E43" s="3" t="n">
        <v>3.31</v>
      </c>
      <c r="F43" s="3" t="n">
        <v>3.18</v>
      </c>
      <c r="G43" s="3" t="n">
        <v>3.06</v>
      </c>
      <c r="H43" s="3" t="n">
        <v>2.94</v>
      </c>
      <c r="I43" s="3" t="n">
        <v>2.83</v>
      </c>
      <c r="J43" s="3" t="n">
        <v>2.72</v>
      </c>
      <c r="K43" s="3" t="n">
        <v>2.61</v>
      </c>
      <c r="L43" s="3" t="n">
        <v>2.5</v>
      </c>
    </row>
    <row r="44" customFormat="false" ht="15" hidden="false" customHeight="false" outlineLevel="0" collapsed="false">
      <c r="A44" s="0" t="s">
        <v>144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145</v>
      </c>
      <c r="C45" s="3" t="n">
        <v>0.58</v>
      </c>
      <c r="D45" s="3" t="n">
        <v>0.58</v>
      </c>
      <c r="E45" s="3" t="n">
        <v>0.58</v>
      </c>
      <c r="F45" s="3" t="n">
        <v>0.58</v>
      </c>
      <c r="G45" s="3" t="n">
        <v>0.58</v>
      </c>
      <c r="H45" s="3" t="n">
        <v>0.58</v>
      </c>
      <c r="I45" s="3" t="n">
        <v>0.58</v>
      </c>
      <c r="J45" s="3" t="n">
        <v>0.58</v>
      </c>
      <c r="K45" s="3" t="n">
        <v>0.58</v>
      </c>
      <c r="L45" s="3" t="n">
        <v>0.58</v>
      </c>
    </row>
    <row r="46" customFormat="false" ht="15" hidden="false" customHeight="false" outlineLevel="0" collapsed="false">
      <c r="A46" s="0" t="s">
        <v>146</v>
      </c>
      <c r="C46" s="3" t="n">
        <v>0.9</v>
      </c>
      <c r="D46" s="3" t="n">
        <v>0.9</v>
      </c>
      <c r="E46" s="3" t="n">
        <v>0.9</v>
      </c>
      <c r="F46" s="3" t="n">
        <v>0.9</v>
      </c>
      <c r="G46" s="3" t="n">
        <v>0.9</v>
      </c>
      <c r="H46" s="3" t="n">
        <v>0.9</v>
      </c>
      <c r="I46" s="3" t="n">
        <v>0.9</v>
      </c>
      <c r="J46" s="3" t="n">
        <v>0.9</v>
      </c>
      <c r="K46" s="3" t="n">
        <v>0.9</v>
      </c>
      <c r="L46" s="3" t="n">
        <v>0.9</v>
      </c>
    </row>
    <row r="47" customFormat="false" ht="15" hidden="false" customHeight="false" outlineLevel="0" collapsed="false">
      <c r="A47" s="0" t="s">
        <v>147</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148</v>
      </c>
      <c r="B48" s="3" t="n">
        <v>9.5</v>
      </c>
    </row>
    <row r="49" customFormat="false" ht="15" hidden="false" customHeight="false" outlineLevel="0" collapsed="false">
      <c r="A49" s="0" t="s">
        <v>149</v>
      </c>
      <c r="B49" s="3" t="n">
        <v>3.5</v>
      </c>
    </row>
    <row r="50" customFormat="false" ht="15" hidden="false" customHeight="false" outlineLevel="0" collapsed="false">
      <c r="A50" s="0" t="s">
        <v>150</v>
      </c>
      <c r="B50" s="3" t="n">
        <v>20</v>
      </c>
    </row>
    <row r="51" customFormat="false" ht="15" hidden="false" customHeight="false" outlineLevel="0" collapsed="false">
      <c r="A51" s="0" t="s">
        <v>151</v>
      </c>
      <c r="B51" s="3" t="n">
        <v>-20</v>
      </c>
    </row>
    <row r="52" customFormat="false" ht="15" hidden="false" customHeight="false" outlineLevel="0" collapsed="false">
      <c r="A52" s="0" t="s">
        <v>152</v>
      </c>
      <c r="B52" s="3" t="n">
        <v>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155</v>
      </c>
    </row>
    <row r="3" customFormat="false" ht="15" hidden="false" customHeight="false" outlineLevel="0" collapsed="false">
      <c r="A3" s="0" t="s">
        <v>156</v>
      </c>
      <c r="B3" s="0" t="s">
        <v>118</v>
      </c>
      <c r="C3" s="2" t="s">
        <v>131</v>
      </c>
      <c r="D3" s="2" t="s">
        <v>132</v>
      </c>
      <c r="E3" s="2" t="s">
        <v>133</v>
      </c>
      <c r="F3" s="2" t="s">
        <v>134</v>
      </c>
      <c r="G3" s="2" t="s">
        <v>135</v>
      </c>
      <c r="H3" s="2" t="s">
        <v>136</v>
      </c>
      <c r="I3" s="2" t="s">
        <v>137</v>
      </c>
      <c r="J3" s="2" t="s">
        <v>138</v>
      </c>
      <c r="K3" s="2" t="s">
        <v>139</v>
      </c>
      <c r="L3" s="2" t="s">
        <v>140</v>
      </c>
    </row>
    <row r="4" customFormat="false" ht="15" hidden="false" customHeight="false" outlineLevel="0" collapsed="false">
      <c r="A4" s="0" t="s">
        <v>157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141</v>
      </c>
      <c r="C5" s="4" t="n">
        <f aca="false">Assumptions!C13</f>
        <v>11</v>
      </c>
      <c r="D5" s="4" t="n">
        <f aca="false">Assumptions!D13</f>
        <v>4</v>
      </c>
      <c r="E5" s="4" t="n">
        <f aca="false">Assumptions!E13</f>
        <v>4</v>
      </c>
      <c r="F5" s="4" t="n">
        <f aca="false">Assumptions!F13</f>
        <v>7</v>
      </c>
      <c r="G5" s="4" t="n">
        <f aca="false">Assumptions!G13</f>
        <v>6.5</v>
      </c>
      <c r="H5" s="4" t="n">
        <f aca="false">Assumptions!H13</f>
        <v>6</v>
      </c>
      <c r="I5" s="4" t="n">
        <f aca="false">Assumptions!I13</f>
        <v>5.5</v>
      </c>
      <c r="J5" s="4" t="n">
        <f aca="false">Assumptions!J13</f>
        <v>5</v>
      </c>
      <c r="K5" s="4" t="n">
        <f aca="false">Assumptions!K13</f>
        <v>4.5</v>
      </c>
      <c r="L5" s="4" t="n">
        <f aca="false">Assumptions!L13</f>
        <v>4</v>
      </c>
    </row>
    <row r="6" customFormat="false" ht="15" hidden="false" customHeight="false" outlineLevel="0" collapsed="false">
      <c r="A6" s="0" t="s">
        <v>75</v>
      </c>
      <c r="B6" s="3" t="n">
        <v>2502.8</v>
      </c>
      <c r="C6" s="0" t="n">
        <f aca="false">B6*(1+C5/100)</f>
        <v>2778.108</v>
      </c>
      <c r="D6" s="0" t="n">
        <f aca="false">C6*(1+D5/100)</f>
        <v>2889.23232</v>
      </c>
      <c r="E6" s="0" t="n">
        <f aca="false">D6*(1+E5/100)</f>
        <v>3004.8016128</v>
      </c>
      <c r="F6" s="0" t="n">
        <f aca="false">E6*(1+F5/100)</f>
        <v>3215.137725696</v>
      </c>
      <c r="G6" s="0" t="n">
        <f aca="false">F6*(1+G5/100)</f>
        <v>3424.12167786624</v>
      </c>
      <c r="H6" s="0" t="n">
        <f aca="false">G6*(1+H5/100)</f>
        <v>3629.56897853822</v>
      </c>
      <c r="I6" s="0" t="n">
        <f aca="false">H6*(1+I5/100)</f>
        <v>3829.19527235782</v>
      </c>
      <c r="J6" s="0" t="n">
        <f aca="false">I6*(1+J5/100)</f>
        <v>4020.65503597571</v>
      </c>
      <c r="K6" s="0" t="n">
        <f aca="false">J6*(1+K5/100)</f>
        <v>4201.58451259461</v>
      </c>
      <c r="L6" s="0" t="n">
        <f aca="false">K6*(1+L5/100)</f>
        <v>4369.6478930984</v>
      </c>
    </row>
    <row r="7" customFormat="false" ht="15" hidden="false" customHeight="false" outlineLevel="0" collapsed="false">
      <c r="A7" s="0" t="s">
        <v>142</v>
      </c>
      <c r="C7" s="4" t="n">
        <f aca="false">Assumptions!C14</f>
        <v>26</v>
      </c>
      <c r="D7" s="4" t="n">
        <f aca="false">Assumptions!D14</f>
        <v>25.5</v>
      </c>
      <c r="E7" s="4" t="n">
        <f aca="false">Assumptions!E14</f>
        <v>25</v>
      </c>
      <c r="F7" s="4" t="n">
        <f aca="false">Assumptions!F14</f>
        <v>24.5</v>
      </c>
      <c r="G7" s="4" t="n">
        <f aca="false">Assumptions!G14</f>
        <v>24</v>
      </c>
      <c r="H7" s="4" t="n">
        <f aca="false">Assumptions!H14</f>
        <v>23.5</v>
      </c>
      <c r="I7" s="4" t="n">
        <f aca="false">Assumptions!I14</f>
        <v>23</v>
      </c>
      <c r="J7" s="4" t="n">
        <f aca="false">Assumptions!J14</f>
        <v>23</v>
      </c>
      <c r="K7" s="4" t="n">
        <f aca="false">Assumptions!K14</f>
        <v>23</v>
      </c>
      <c r="L7" s="4" t="n">
        <f aca="false">Assumptions!L14</f>
        <v>23</v>
      </c>
    </row>
    <row r="8" customFormat="false" ht="15" hidden="false" customHeight="false" outlineLevel="0" collapsed="false">
      <c r="A8" s="0" t="s">
        <v>81</v>
      </c>
      <c r="C8" s="0" t="n">
        <f aca="false">C6*C7/100</f>
        <v>722.30808</v>
      </c>
      <c r="D8" s="0" t="n">
        <f aca="false">D6*D7/100</f>
        <v>736.7542416</v>
      </c>
      <c r="E8" s="0" t="n">
        <f aca="false">E6*E7/100</f>
        <v>751.2004032</v>
      </c>
      <c r="F8" s="0" t="n">
        <f aca="false">F6*F7/100</f>
        <v>787.70874279552</v>
      </c>
      <c r="G8" s="0" t="n">
        <f aca="false">G6*G7/100</f>
        <v>821.789202687898</v>
      </c>
      <c r="H8" s="0" t="n">
        <f aca="false">H6*H7/100</f>
        <v>852.948709956481</v>
      </c>
      <c r="I8" s="0" t="n">
        <f aca="false">I6*I7/100</f>
        <v>880.714912642298</v>
      </c>
      <c r="J8" s="0" t="n">
        <f aca="false">J6*J7/100</f>
        <v>924.750658274413</v>
      </c>
      <c r="K8" s="0" t="n">
        <f aca="false">K6*K7/100</f>
        <v>966.364437896761</v>
      </c>
      <c r="L8" s="0" t="n">
        <f aca="false">L6*L7/100</f>
        <v>1005.01901541263</v>
      </c>
    </row>
    <row r="9" customFormat="false" ht="15" hidden="false" customHeight="false" outlineLevel="0" collapsed="false">
      <c r="A9" s="0" t="s">
        <v>143</v>
      </c>
      <c r="C9" s="4" t="n">
        <f aca="false">Assumptions!C15</f>
        <v>3.8</v>
      </c>
      <c r="D9" s="4" t="n">
        <f aca="false">Assumptions!D15</f>
        <v>3.8</v>
      </c>
      <c r="E9" s="4" t="n">
        <f aca="false">Assumptions!E15</f>
        <v>3.8</v>
      </c>
      <c r="F9" s="4" t="n">
        <f aca="false">Assumptions!F15</f>
        <v>3.8</v>
      </c>
      <c r="G9" s="4" t="n">
        <f aca="false">Assumptions!G15</f>
        <v>3.8</v>
      </c>
      <c r="H9" s="4" t="n">
        <f aca="false">Assumptions!H15</f>
        <v>3.8</v>
      </c>
      <c r="I9" s="4" t="n">
        <f aca="false">Assumptions!I15</f>
        <v>3.8</v>
      </c>
      <c r="J9" s="4" t="n">
        <f aca="false">Assumptions!J15</f>
        <v>3.8</v>
      </c>
      <c r="K9" s="4" t="n">
        <f aca="false">Assumptions!K15</f>
        <v>3.8</v>
      </c>
      <c r="L9" s="4" t="n">
        <f aca="false">Assumptions!L15</f>
        <v>3.8</v>
      </c>
    </row>
    <row r="10" customFormat="false" ht="15" hidden="false" customHeight="false" outlineLevel="0" collapsed="false">
      <c r="A10" s="0" t="s">
        <v>158</v>
      </c>
      <c r="C10" s="0" t="n">
        <f aca="false">-C6*C9/100</f>
        <v>-105.568104</v>
      </c>
      <c r="D10" s="0" t="n">
        <f aca="false">-D6*D9/100</f>
        <v>-109.79082816</v>
      </c>
      <c r="E10" s="0" t="n">
        <f aca="false">-E6*E9/100</f>
        <v>-114.1824612864</v>
      </c>
      <c r="F10" s="0" t="n">
        <f aca="false">-F6*F9/100</f>
        <v>-122.175233576448</v>
      </c>
      <c r="G10" s="0" t="n">
        <f aca="false">-G6*G9/100</f>
        <v>-130.116623758917</v>
      </c>
      <c r="H10" s="0" t="n">
        <f aca="false">-H6*H9/100</f>
        <v>-137.923621184452</v>
      </c>
      <c r="I10" s="0" t="n">
        <f aca="false">-I6*I9/100</f>
        <v>-145.509420349597</v>
      </c>
      <c r="J10" s="0" t="n">
        <f aca="false">-J6*J9/100</f>
        <v>-152.784891367077</v>
      </c>
      <c r="K10" s="0" t="n">
        <f aca="false">-K6*K9/100</f>
        <v>-159.660211478595</v>
      </c>
      <c r="L10" s="0" t="n">
        <f aca="false">-L6*L9/100</f>
        <v>-166.046619937739</v>
      </c>
    </row>
    <row r="11" customFormat="false" ht="15" hidden="false" customHeight="false" outlineLevel="0" collapsed="false">
      <c r="A11" s="0" t="s">
        <v>159</v>
      </c>
      <c r="C11" s="0" t="n">
        <f aca="false">C8+C10+C24</f>
        <v>616.739976</v>
      </c>
      <c r="D11" s="0" t="n">
        <f aca="false">D8+D10+D24</f>
        <v>626.96341344</v>
      </c>
      <c r="E11" s="0" t="n">
        <f aca="false">E8+E10+E24</f>
        <v>637.0179419136</v>
      </c>
      <c r="F11" s="0" t="n">
        <f aca="false">F8+F10+F24</f>
        <v>665.533509219072</v>
      </c>
      <c r="G11" s="0" t="n">
        <f aca="false">G8+G10+G24</f>
        <v>691.672578928981</v>
      </c>
      <c r="H11" s="0" t="n">
        <f aca="false">H8+H10+H24</f>
        <v>715.025088772028</v>
      </c>
      <c r="I11" s="0" t="n">
        <f aca="false">I8+I10+I24</f>
        <v>735.205492292701</v>
      </c>
      <c r="J11" s="0" t="n">
        <f aca="false">J8+J10+J24</f>
        <v>771.965766907336</v>
      </c>
      <c r="K11" s="0" t="n">
        <f aca="false">K8+K10+K24</f>
        <v>806.704226418166</v>
      </c>
      <c r="L11" s="0" t="n">
        <f aca="false">L8+L10+L24</f>
        <v>838.972395474893</v>
      </c>
    </row>
    <row r="12" customFormat="false" ht="15" hidden="false" customHeight="false" outlineLevel="0" collapsed="false">
      <c r="A12" s="0" t="s">
        <v>160</v>
      </c>
      <c r="C12" s="4" t="n">
        <f aca="false">-C6*Assumptions!C17/100</f>
        <v>-16.1130264</v>
      </c>
      <c r="D12" s="4" t="n">
        <f aca="false">-D6*Assumptions!D17/100</f>
        <v>-16.757547456</v>
      </c>
      <c r="E12" s="4" t="n">
        <f aca="false">-E6*Assumptions!E17/100</f>
        <v>-17.42784935424</v>
      </c>
      <c r="F12" s="4" t="n">
        <f aca="false">-F6*Assumptions!F17/100</f>
        <v>-18.6477988090368</v>
      </c>
      <c r="G12" s="4" t="n">
        <f aca="false">-G6*Assumptions!G17/100</f>
        <v>-19.8599057316242</v>
      </c>
      <c r="H12" s="4" t="n">
        <f aca="false">-H6*Assumptions!H17/100</f>
        <v>-21.0515000755216</v>
      </c>
      <c r="I12" s="4" t="n">
        <f aca="false">-I6*Assumptions!I17/100</f>
        <v>-22.2093325796753</v>
      </c>
      <c r="J12" s="4" t="n">
        <f aca="false">-J6*Assumptions!J17/100</f>
        <v>-23.3197992086591</v>
      </c>
      <c r="K12" s="4" t="n">
        <f aca="false">-K6*Assumptions!K17/100</f>
        <v>-24.3691901730488</v>
      </c>
      <c r="L12" s="4" t="n">
        <f aca="false">-L6*Assumptions!L17/100</f>
        <v>-25.3439577799707</v>
      </c>
    </row>
    <row r="13" customFormat="false" ht="15" hidden="false" customHeight="false" outlineLevel="0" collapsed="false">
      <c r="A13" s="0" t="s">
        <v>161</v>
      </c>
      <c r="C13" s="0" t="n">
        <f aca="false">C11+C12</f>
        <v>600.6269496</v>
      </c>
      <c r="D13" s="0" t="n">
        <f aca="false">D11+D12</f>
        <v>610.205865984</v>
      </c>
      <c r="E13" s="0" t="n">
        <f aca="false">E11+E12</f>
        <v>619.59009255936</v>
      </c>
      <c r="F13" s="0" t="n">
        <f aca="false">F11+F12</f>
        <v>646.885710410036</v>
      </c>
      <c r="G13" s="0" t="n">
        <f aca="false">G11+G12</f>
        <v>671.812673197356</v>
      </c>
      <c r="H13" s="0" t="n">
        <f aca="false">H11+H12</f>
        <v>693.973588696507</v>
      </c>
      <c r="I13" s="0" t="n">
        <f aca="false">I11+I12</f>
        <v>712.996159713026</v>
      </c>
      <c r="J13" s="0" t="n">
        <f aca="false">J11+J12</f>
        <v>748.645967698677</v>
      </c>
      <c r="K13" s="0" t="n">
        <f aca="false">K11+K12</f>
        <v>782.335036245117</v>
      </c>
      <c r="L13" s="0" t="n">
        <f aca="false">L11+L12</f>
        <v>813.628437694922</v>
      </c>
    </row>
    <row r="14" customFormat="false" ht="15" hidden="false" customHeight="false" outlineLevel="0" collapsed="false">
      <c r="A14" s="0" t="s">
        <v>147</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162</v>
      </c>
      <c r="C15" s="0" t="n">
        <f aca="false">C13-MAX(0,C13)*C14/100</f>
        <v>432.451403712</v>
      </c>
      <c r="D15" s="0" t="n">
        <f aca="false">D13-MAX(0,D13)*D14/100</f>
        <v>439.34822350848</v>
      </c>
      <c r="E15" s="0" t="n">
        <f aca="false">E13-MAX(0,E13)*E14/100</f>
        <v>446.104866642739</v>
      </c>
      <c r="F15" s="0" t="n">
        <f aca="false">F13-MAX(0,F13)*F14/100</f>
        <v>465.757711495226</v>
      </c>
      <c r="G15" s="0" t="n">
        <f aca="false">G13-MAX(0,G13)*G14/100</f>
        <v>483.705124702097</v>
      </c>
      <c r="H15" s="0" t="n">
        <f aca="false">H13-MAX(0,H13)*H14/100</f>
        <v>499.660983861485</v>
      </c>
      <c r="I15" s="0" t="n">
        <f aca="false">I13-MAX(0,I13)*I14/100</f>
        <v>513.357234993378</v>
      </c>
      <c r="J15" s="0" t="n">
        <f aca="false">J13-MAX(0,J13)*J14/100</f>
        <v>539.025096743047</v>
      </c>
      <c r="K15" s="0" t="n">
        <f aca="false">K13-MAX(0,K13)*K14/100</f>
        <v>563.281226096484</v>
      </c>
      <c r="L15" s="0" t="n">
        <f aca="false">L13-MAX(0,L13)*L14/100</f>
        <v>585.812475140344</v>
      </c>
    </row>
    <row r="16" customFormat="false" ht="15" hidden="false" customHeight="false" outlineLevel="0" collapsed="false">
      <c r="A16" s="0" t="s">
        <v>163</v>
      </c>
      <c r="C16" s="0" t="n">
        <f aca="false">-C12</f>
        <v>16.1130264</v>
      </c>
      <c r="D16" s="0" t="n">
        <f aca="false">-D12</f>
        <v>16.757547456</v>
      </c>
      <c r="E16" s="0" t="n">
        <f aca="false">-E12</f>
        <v>17.42784935424</v>
      </c>
      <c r="F16" s="0" t="n">
        <f aca="false">-F12</f>
        <v>18.6477988090368</v>
      </c>
      <c r="G16" s="0" t="n">
        <f aca="false">-G12</f>
        <v>19.8599057316242</v>
      </c>
      <c r="H16" s="0" t="n">
        <f aca="false">-H12</f>
        <v>21.0515000755216</v>
      </c>
      <c r="I16" s="0" t="n">
        <f aca="false">-I12</f>
        <v>22.2093325796753</v>
      </c>
      <c r="J16" s="0" t="n">
        <f aca="false">-J12</f>
        <v>23.3197992086591</v>
      </c>
      <c r="K16" s="0" t="n">
        <f aca="false">-K12</f>
        <v>24.3691901730488</v>
      </c>
      <c r="L16" s="0" t="n">
        <f aca="false">-L12</f>
        <v>25.3439577799707</v>
      </c>
    </row>
    <row r="17" customFormat="false" ht="15" hidden="false" customHeight="false" outlineLevel="0" collapsed="false">
      <c r="A17" s="0" t="s">
        <v>164</v>
      </c>
      <c r="C17" s="4" t="n">
        <f aca="false">-C6*Assumptions!C18/100</f>
        <v>-33.337296</v>
      </c>
      <c r="D17" s="4" t="n">
        <f aca="false">-D6*Assumptions!D18/100</f>
        <v>-34.67078784</v>
      </c>
      <c r="E17" s="4" t="n">
        <f aca="false">-E6*Assumptions!E18/100</f>
        <v>-36.0576193536</v>
      </c>
      <c r="F17" s="4" t="n">
        <f aca="false">-F6*Assumptions!F18/100</f>
        <v>-38.581652708352</v>
      </c>
      <c r="G17" s="4" t="n">
        <f aca="false">-G6*Assumptions!G18/100</f>
        <v>-41.0894601343949</v>
      </c>
      <c r="H17" s="4" t="n">
        <f aca="false">-H6*Assumptions!H18/100</f>
        <v>-43.5548277424586</v>
      </c>
      <c r="I17" s="4" t="n">
        <f aca="false">-I6*Assumptions!I18/100</f>
        <v>-45.9503432682938</v>
      </c>
      <c r="J17" s="4" t="n">
        <f aca="false">-J6*Assumptions!J18/100</f>
        <v>-48.2478604317085</v>
      </c>
      <c r="K17" s="4" t="n">
        <f aca="false">-K6*Assumptions!K18/100</f>
        <v>-50.4190141511354</v>
      </c>
      <c r="L17" s="4" t="n">
        <f aca="false">-L6*Assumptions!L18/100</f>
        <v>-52.4357747171808</v>
      </c>
    </row>
    <row r="18" customFormat="false" ht="15" hidden="false" customHeight="false" outlineLevel="0" collapsed="false">
      <c r="A18" s="0" t="s">
        <v>165</v>
      </c>
      <c r="C18" s="4" t="n">
        <f aca="false">(C6-B6)*Assumptions!$B$23/100</f>
        <v>-82.5924000000001</v>
      </c>
      <c r="D18" s="4" t="n">
        <f aca="false">(D6-C6)*Assumptions!$B$23/100</f>
        <v>-33.337296</v>
      </c>
      <c r="E18" s="4" t="n">
        <f aca="false">(E6-D6)*Assumptions!$B$23/100</f>
        <v>-34.6707878400001</v>
      </c>
      <c r="F18" s="4" t="n">
        <f aca="false">(F6-E6)*Assumptions!$B$23/100</f>
        <v>-63.1008338688</v>
      </c>
      <c r="G18" s="4" t="n">
        <f aca="false">(G6-F6)*Assumptions!$B$23/100</f>
        <v>-62.6951856510719</v>
      </c>
      <c r="H18" s="4" t="n">
        <f aca="false">(H6-G6)*Assumptions!$B$23/100</f>
        <v>-61.6341902015924</v>
      </c>
      <c r="I18" s="4" t="n">
        <f aca="false">(I6-H6)*Assumptions!$B$23/100</f>
        <v>-59.8878881458804</v>
      </c>
      <c r="J18" s="4" t="n">
        <f aca="false">(J6-I6)*Assumptions!$B$23/100</f>
        <v>-57.4379290853673</v>
      </c>
      <c r="K18" s="4" t="n">
        <f aca="false">(K6-J6)*Assumptions!$B$23/100</f>
        <v>-54.2788429856721</v>
      </c>
      <c r="L18" s="4" t="n">
        <f aca="false">(L6-K6)*Assumptions!$B$23/100</f>
        <v>-50.4190141511355</v>
      </c>
    </row>
    <row r="19" customFormat="false" ht="15" hidden="false" customHeight="false" outlineLevel="0" collapsed="false">
      <c r="A19" s="0" t="s">
        <v>166</v>
      </c>
      <c r="C19" s="0" t="n">
        <f aca="false">C15+C16+C17+C18</f>
        <v>332.634734112</v>
      </c>
      <c r="D19" s="0" t="n">
        <f aca="false">D15+D16+D17+D18</f>
        <v>388.09768712448</v>
      </c>
      <c r="E19" s="0" t="n">
        <f aca="false">E15+E16+E17+E18</f>
        <v>392.804308803379</v>
      </c>
      <c r="F19" s="0" t="n">
        <f aca="false">F15+F16+F17+F18</f>
        <v>382.72302372711</v>
      </c>
      <c r="G19" s="0" t="n">
        <f aca="false">G15+G16+G17+G18</f>
        <v>399.780384648254</v>
      </c>
      <c r="H19" s="0" t="n">
        <f aca="false">H15+H16+H17+H18</f>
        <v>415.523465992956</v>
      </c>
      <c r="I19" s="0" t="n">
        <f aca="false">I15+I16+I17+I18</f>
        <v>429.72833615888</v>
      </c>
      <c r="J19" s="0" t="n">
        <f aca="false">J15+J16+J17+J18</f>
        <v>456.659106434631</v>
      </c>
      <c r="K19" s="0" t="n">
        <f aca="false">K15+K16+K17+K18</f>
        <v>482.952559132726</v>
      </c>
      <c r="L19" s="0" t="n">
        <f aca="false">L15+L16+L17+L18</f>
        <v>508.301644051998</v>
      </c>
    </row>
    <row r="20" customFormat="false" ht="15" hidden="false" customHeight="false" outlineLevel="0" collapsed="false">
      <c r="A20" s="0" t="s">
        <v>167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168</v>
      </c>
      <c r="C21" s="0" t="n">
        <f aca="false">C19*C20</f>
        <v>303.776012887671</v>
      </c>
      <c r="D21" s="0" t="n">
        <f aca="false">D19*D20</f>
        <v>323.677727423932</v>
      </c>
      <c r="E21" s="0" t="n">
        <f aca="false">E19*E20</f>
        <v>299.180914632697</v>
      </c>
      <c r="F21" s="0" t="n">
        <f aca="false">F19*F20</f>
        <v>266.212296828907</v>
      </c>
      <c r="G21" s="0" t="n">
        <f aca="false">G19*G20</f>
        <v>253.951560365595</v>
      </c>
      <c r="H21" s="0" t="n">
        <f aca="false">H19*H20</f>
        <v>241.052055865326</v>
      </c>
      <c r="I21" s="0" t="n">
        <f aca="false">I19*I20</f>
        <v>227.66441707526</v>
      </c>
      <c r="J21" s="0" t="n">
        <f aca="false">J19*J20</f>
        <v>220.942451822906</v>
      </c>
      <c r="K21" s="0" t="n">
        <f aca="false">K19*K20</f>
        <v>213.391638999732</v>
      </c>
      <c r="L21" s="0" t="n">
        <f aca="false">L19*L20</f>
        <v>205.106924517965</v>
      </c>
    </row>
    <row r="23" customFormat="false" ht="15" hidden="false" customHeight="false" outlineLevel="0" collapsed="false">
      <c r="A23" s="0" t="s">
        <v>144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169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170</v>
      </c>
    </row>
    <row r="27" customFormat="false" ht="15" hidden="false" customHeight="false" outlineLevel="0" collapsed="false">
      <c r="A27" s="0" t="s">
        <v>148</v>
      </c>
      <c r="B27" s="4" t="n">
        <f aca="false">Assumptions!$B$20</f>
        <v>9.5</v>
      </c>
    </row>
    <row r="28" customFormat="false" ht="15" hidden="false" customHeight="false" outlineLevel="0" collapsed="false">
      <c r="A28" s="0" t="s">
        <v>149</v>
      </c>
      <c r="B28" s="4" t="n">
        <f aca="false">Assumptions!$B$21</f>
        <v>2</v>
      </c>
    </row>
    <row r="29" customFormat="false" ht="15" hidden="false" customHeight="false" outlineLevel="0" collapsed="false">
      <c r="A29" s="0" t="s">
        <v>150</v>
      </c>
      <c r="B29" s="4" t="n">
        <f aca="false">Assumptions!$B$22</f>
        <v>20</v>
      </c>
    </row>
    <row r="30" customFormat="false" ht="15" hidden="false" customHeight="false" outlineLevel="0" collapsed="false">
      <c r="A30" s="0" t="s">
        <v>171</v>
      </c>
      <c r="B30" s="0" t="n">
        <f aca="false">SUM(C21:L21)</f>
        <v>2554.95600041999</v>
      </c>
    </row>
    <row r="31" customFormat="false" ht="15" hidden="false" customHeight="false" outlineLevel="0" collapsed="false">
      <c r="A31" s="0" t="s">
        <v>172</v>
      </c>
      <c r="B31" s="0" t="n">
        <f aca="false">L19</f>
        <v>508.301644051998</v>
      </c>
    </row>
    <row r="32" customFormat="false" ht="15" hidden="false" customHeight="false" outlineLevel="0" collapsed="false">
      <c r="A32" s="0" t="s">
        <v>173</v>
      </c>
      <c r="B32" s="0" t="n">
        <f aca="false">IF(B27&gt;B28,B31*(1+B28/100)/((B27-B28)/100),B31*B29)</f>
        <v>6912.90235910718</v>
      </c>
    </row>
    <row r="33" customFormat="false" ht="15" hidden="false" customHeight="false" outlineLevel="0" collapsed="false">
      <c r="A33" s="0" t="s">
        <v>174</v>
      </c>
      <c r="B33" s="0" t="n">
        <f aca="false">B31*B29</f>
        <v>10166.03288104</v>
      </c>
    </row>
    <row r="34" customFormat="false" ht="15" hidden="false" customHeight="false" outlineLevel="0" collapsed="false">
      <c r="A34" s="0" t="s">
        <v>175</v>
      </c>
      <c r="B34" s="0" t="n">
        <f aca="false">MAX(0,MIN(B32,B33))</f>
        <v>6912.90235910718</v>
      </c>
    </row>
    <row r="35" customFormat="false" ht="15" hidden="false" customHeight="false" outlineLevel="0" collapsed="false">
      <c r="A35" s="0" t="s">
        <v>176</v>
      </c>
      <c r="B35" s="0" t="n">
        <f aca="false">B34/(1+B27/100)^L4</f>
        <v>2789.45417344432</v>
      </c>
    </row>
    <row r="36" customFormat="false" ht="15" hidden="false" customHeight="false" outlineLevel="0" collapsed="false">
      <c r="A36" s="0" t="s">
        <v>177</v>
      </c>
      <c r="B36" s="0" t="n">
        <f aca="false">B30+B35</f>
        <v>5344.41017386431</v>
      </c>
    </row>
    <row r="37" customFormat="false" ht="15" hidden="false" customHeight="false" outlineLevel="0" collapsed="false">
      <c r="A37" s="0" t="s">
        <v>178</v>
      </c>
      <c r="B37" s="0" t="n">
        <f aca="false">B36+Assumptions!$B$5-Assumptions!$B$4</f>
        <v>7218.11017386431</v>
      </c>
    </row>
    <row r="38" customFormat="false" ht="15" hidden="false" customHeight="false" outlineLevel="0" collapsed="false">
      <c r="A38" s="0" t="s">
        <v>179</v>
      </c>
      <c r="B38" s="0" t="n">
        <f aca="false">B37/Assumptions!$B$3*Assumptions!$B$10</f>
        <v>533.121581654901</v>
      </c>
    </row>
    <row r="39" customFormat="false" ht="15" hidden="false" customHeight="false" outlineLevel="0" collapsed="false">
      <c r="A39" s="0" t="s">
        <v>180</v>
      </c>
      <c r="B39" s="4" t="n">
        <f aca="false">B38/Assumptions!$B$2-1</f>
        <v>-0.390021073621395</v>
      </c>
    </row>
    <row r="41" customFormat="false" ht="15" hidden="false" customHeight="false" outlineLevel="0" collapsed="false">
      <c r="A41" s="0" t="s">
        <v>181</v>
      </c>
      <c r="B41" s="0" t="n">
        <f aca="false">SUMPRODUCT(-C10:L10/(1+$B$27/100)^C4:L4)</f>
        <v>811.148534374604</v>
      </c>
    </row>
    <row r="42" customFormat="false" ht="15" hidden="false" customHeight="false" outlineLevel="0" collapsed="false">
      <c r="A42" s="0" t="s">
        <v>182</v>
      </c>
      <c r="B42" s="0" t="n">
        <f aca="false">IF(B27&gt;B28,-L10*(1+B28/100)/((B27-B28)/100),-L10*20)/(1+B27/100)^L4</f>
        <v>911.229468548142</v>
      </c>
    </row>
    <row r="43" customFormat="false" ht="15" hidden="false" customHeight="false" outlineLevel="0" collapsed="false">
      <c r="A43" s="0" t="s">
        <v>183</v>
      </c>
      <c r="B43" s="0" t="n">
        <f aca="false">(B37+B41+B42)/Assumptions!$B$3*Assumptions!$B$10</f>
        <v>660.334503459639</v>
      </c>
    </row>
    <row r="45" customFormat="false" ht="15" hidden="false" customHeight="false" outlineLevel="0" collapsed="false">
      <c r="A45" s="0" t="s">
        <v>124</v>
      </c>
      <c r="B45" s="4" t="n">
        <f aca="false">Assumptions!$B$6</f>
        <v>15</v>
      </c>
    </row>
    <row r="46" customFormat="false" ht="15" hidden="false" customHeight="false" outlineLevel="0" collapsed="false">
      <c r="A46" s="0" t="s">
        <v>184</v>
      </c>
      <c r="B46" s="0" t="n">
        <f aca="false">MAX(0,MIN(IF(B45&gt;B28,B31*(1+B28/100)/((B45-B28)/100),B31*B29),B31*B29))</f>
        <v>3988.21289948491</v>
      </c>
    </row>
    <row r="47" customFormat="false" ht="15" hidden="false" customHeight="false" outlineLevel="0" collapsed="false">
      <c r="A47" s="0" t="s">
        <v>185</v>
      </c>
      <c r="B47" s="0" t="n">
        <f aca="false">(SUMPRODUCT(C19:L19/(1+B45/100)^C4:L4)+B46/(1+B45/100)^L4+Assumptions!$B$5-Assumptions!$B$4)/Assumptions!$B$3*Assumptions!$B$10</f>
        <v>359.80324662217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186</v>
      </c>
    </row>
    <row r="3" customFormat="false" ht="15" hidden="false" customHeight="false" outlineLevel="0" collapsed="false">
      <c r="A3" s="0" t="s">
        <v>156</v>
      </c>
      <c r="B3" s="0" t="s">
        <v>118</v>
      </c>
      <c r="C3" s="2" t="s">
        <v>131</v>
      </c>
      <c r="D3" s="2" t="s">
        <v>132</v>
      </c>
      <c r="E3" s="2" t="s">
        <v>133</v>
      </c>
      <c r="F3" s="2" t="s">
        <v>134</v>
      </c>
      <c r="G3" s="2" t="s">
        <v>135</v>
      </c>
      <c r="H3" s="2" t="s">
        <v>136</v>
      </c>
      <c r="I3" s="2" t="s">
        <v>137</v>
      </c>
      <c r="J3" s="2" t="s">
        <v>138</v>
      </c>
      <c r="K3" s="2" t="s">
        <v>139</v>
      </c>
      <c r="L3" s="2" t="s">
        <v>140</v>
      </c>
    </row>
    <row r="4" customFormat="false" ht="15" hidden="false" customHeight="false" outlineLevel="0" collapsed="false">
      <c r="A4" s="0" t="s">
        <v>157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141</v>
      </c>
      <c r="C5" s="4" t="n">
        <f aca="false">Assumptions!C27</f>
        <v>17</v>
      </c>
      <c r="D5" s="4" t="n">
        <f aca="false">Assumptions!D27</f>
        <v>15.5</v>
      </c>
      <c r="E5" s="4" t="n">
        <f aca="false">Assumptions!E27</f>
        <v>14</v>
      </c>
      <c r="F5" s="4" t="n">
        <f aca="false">Assumptions!F27</f>
        <v>12.5</v>
      </c>
      <c r="G5" s="4" t="n">
        <f aca="false">Assumptions!G27</f>
        <v>11</v>
      </c>
      <c r="H5" s="4" t="n">
        <f aca="false">Assumptions!H27</f>
        <v>9.5</v>
      </c>
      <c r="I5" s="4" t="n">
        <f aca="false">Assumptions!I27</f>
        <v>8.5</v>
      </c>
      <c r="J5" s="4" t="n">
        <f aca="false">Assumptions!J27</f>
        <v>7.5</v>
      </c>
      <c r="K5" s="4" t="n">
        <f aca="false">Assumptions!K27</f>
        <v>6.5</v>
      </c>
      <c r="L5" s="4" t="n">
        <f aca="false">Assumptions!L27</f>
        <v>5.5</v>
      </c>
    </row>
    <row r="6" customFormat="false" ht="15" hidden="false" customHeight="false" outlineLevel="0" collapsed="false">
      <c r="A6" s="0" t="s">
        <v>75</v>
      </c>
      <c r="B6" s="3" t="n">
        <v>2502.8</v>
      </c>
      <c r="C6" s="0" t="n">
        <f aca="false">B6*(1+C5/100)</f>
        <v>2928.276</v>
      </c>
      <c r="D6" s="0" t="n">
        <f aca="false">C6*(1+D5/100)</f>
        <v>3382.15878</v>
      </c>
      <c r="E6" s="0" t="n">
        <f aca="false">D6*(1+E5/100)</f>
        <v>3855.6610092</v>
      </c>
      <c r="F6" s="0" t="n">
        <f aca="false">E6*(1+F5/100)</f>
        <v>4337.61863535</v>
      </c>
      <c r="G6" s="0" t="n">
        <f aca="false">F6*(1+G5/100)</f>
        <v>4814.7566852385</v>
      </c>
      <c r="H6" s="0" t="n">
        <f aca="false">G6*(1+H5/100)</f>
        <v>5272.15857033616</v>
      </c>
      <c r="I6" s="0" t="n">
        <f aca="false">H6*(1+I5/100)</f>
        <v>5720.29204881473</v>
      </c>
      <c r="J6" s="0" t="n">
        <f aca="false">I6*(1+J5/100)</f>
        <v>6149.31395247583</v>
      </c>
      <c r="K6" s="0" t="n">
        <f aca="false">J6*(1+K5/100)</f>
        <v>6549.01935938676</v>
      </c>
      <c r="L6" s="0" t="n">
        <f aca="false">K6*(1+L5/100)</f>
        <v>6909.21542415304</v>
      </c>
    </row>
    <row r="7" customFormat="false" ht="15" hidden="false" customHeight="false" outlineLevel="0" collapsed="false">
      <c r="A7" s="0" t="s">
        <v>142</v>
      </c>
      <c r="C7" s="4" t="n">
        <f aca="false">Assumptions!C28</f>
        <v>28.5</v>
      </c>
      <c r="D7" s="4" t="n">
        <f aca="false">Assumptions!D28</f>
        <v>28.08</v>
      </c>
      <c r="E7" s="4" t="n">
        <f aca="false">Assumptions!E28</f>
        <v>27.67</v>
      </c>
      <c r="F7" s="4" t="n">
        <f aca="false">Assumptions!F28</f>
        <v>27.25</v>
      </c>
      <c r="G7" s="4" t="n">
        <f aca="false">Assumptions!G28</f>
        <v>26.83</v>
      </c>
      <c r="H7" s="4" t="n">
        <f aca="false">Assumptions!H28</f>
        <v>26.42</v>
      </c>
      <c r="I7" s="4" t="n">
        <f aca="false">Assumptions!I28</f>
        <v>26</v>
      </c>
      <c r="J7" s="4" t="n">
        <f aca="false">Assumptions!J28</f>
        <v>26</v>
      </c>
      <c r="K7" s="4" t="n">
        <f aca="false">Assumptions!K28</f>
        <v>26</v>
      </c>
      <c r="L7" s="4" t="n">
        <f aca="false">Assumptions!L28</f>
        <v>26</v>
      </c>
    </row>
    <row r="8" customFormat="false" ht="15" hidden="false" customHeight="false" outlineLevel="0" collapsed="false">
      <c r="A8" s="0" t="s">
        <v>81</v>
      </c>
      <c r="C8" s="0" t="n">
        <f aca="false">C6*C7/100</f>
        <v>834.55866</v>
      </c>
      <c r="D8" s="0" t="n">
        <f aca="false">D6*D7/100</f>
        <v>949.710185424</v>
      </c>
      <c r="E8" s="0" t="n">
        <f aca="false">E6*E7/100</f>
        <v>1066.86140124564</v>
      </c>
      <c r="F8" s="0" t="n">
        <f aca="false">F6*F7/100</f>
        <v>1182.00107813288</v>
      </c>
      <c r="G8" s="0" t="n">
        <f aca="false">G6*G7/100</f>
        <v>1291.79921864949</v>
      </c>
      <c r="H8" s="0" t="n">
        <f aca="false">H6*H7/100</f>
        <v>1392.90429428281</v>
      </c>
      <c r="I8" s="0" t="n">
        <f aca="false">I6*I7/100</f>
        <v>1487.27593269183</v>
      </c>
      <c r="J8" s="0" t="n">
        <f aca="false">J6*J7/100</f>
        <v>1598.82162764372</v>
      </c>
      <c r="K8" s="0" t="n">
        <f aca="false">K6*K7/100</f>
        <v>1702.74503344056</v>
      </c>
      <c r="L8" s="0" t="n">
        <f aca="false">L6*L7/100</f>
        <v>1796.39601027979</v>
      </c>
    </row>
    <row r="9" customFormat="false" ht="15" hidden="false" customHeight="false" outlineLevel="0" collapsed="false">
      <c r="A9" s="0" t="s">
        <v>143</v>
      </c>
      <c r="C9" s="4" t="n">
        <f aca="false">Assumptions!C29</f>
        <v>3.69</v>
      </c>
      <c r="D9" s="4" t="n">
        <f aca="false">Assumptions!D29</f>
        <v>3.59</v>
      </c>
      <c r="E9" s="4" t="n">
        <f aca="false">Assumptions!E29</f>
        <v>3.5</v>
      </c>
      <c r="F9" s="4" t="n">
        <f aca="false">Assumptions!F29</f>
        <v>3.42</v>
      </c>
      <c r="G9" s="4" t="n">
        <f aca="false">Assumptions!G29</f>
        <v>3.35</v>
      </c>
      <c r="H9" s="4" t="n">
        <f aca="false">Assumptions!H29</f>
        <v>3.27</v>
      </c>
      <c r="I9" s="4" t="n">
        <f aca="false">Assumptions!I29</f>
        <v>3.2</v>
      </c>
      <c r="J9" s="4" t="n">
        <f aca="false">Assumptions!J29</f>
        <v>3.13</v>
      </c>
      <c r="K9" s="4" t="n">
        <f aca="false">Assumptions!K29</f>
        <v>3.07</v>
      </c>
      <c r="L9" s="4" t="n">
        <f aca="false">Assumptions!L29</f>
        <v>3</v>
      </c>
    </row>
    <row r="10" customFormat="false" ht="15" hidden="false" customHeight="false" outlineLevel="0" collapsed="false">
      <c r="A10" s="0" t="s">
        <v>158</v>
      </c>
      <c r="C10" s="0" t="n">
        <f aca="false">-C6*C9/100</f>
        <v>-108.0533844</v>
      </c>
      <c r="D10" s="0" t="n">
        <f aca="false">-D6*D9/100</f>
        <v>-121.419500202</v>
      </c>
      <c r="E10" s="0" t="n">
        <f aca="false">-E6*E9/100</f>
        <v>-134.948135322</v>
      </c>
      <c r="F10" s="0" t="n">
        <f aca="false">-F6*F9/100</f>
        <v>-148.34655732897</v>
      </c>
      <c r="G10" s="0" t="n">
        <f aca="false">-G6*G9/100</f>
        <v>-161.29434895549</v>
      </c>
      <c r="H10" s="0" t="n">
        <f aca="false">-H6*H9/100</f>
        <v>-172.399585249992</v>
      </c>
      <c r="I10" s="0" t="n">
        <f aca="false">-I6*I9/100</f>
        <v>-183.049345562071</v>
      </c>
      <c r="J10" s="0" t="n">
        <f aca="false">-J6*J9/100</f>
        <v>-192.473526712494</v>
      </c>
      <c r="K10" s="0" t="n">
        <f aca="false">-K6*K9/100</f>
        <v>-201.054894333174</v>
      </c>
      <c r="L10" s="0" t="n">
        <f aca="false">-L6*L9/100</f>
        <v>-207.276462724591</v>
      </c>
    </row>
    <row r="11" customFormat="false" ht="15" hidden="false" customHeight="false" outlineLevel="0" collapsed="false">
      <c r="A11" s="0" t="s">
        <v>159</v>
      </c>
      <c r="C11" s="0" t="n">
        <f aca="false">C8+C10+C24</f>
        <v>726.5052756</v>
      </c>
      <c r="D11" s="0" t="n">
        <f aca="false">D8+D10+D24</f>
        <v>828.290685222</v>
      </c>
      <c r="E11" s="0" t="n">
        <f aca="false">E8+E10+E24</f>
        <v>931.91326592364</v>
      </c>
      <c r="F11" s="0" t="n">
        <f aca="false">F8+F10+F24</f>
        <v>1033.65452080391</v>
      </c>
      <c r="G11" s="0" t="n">
        <f aca="false">G8+G10+G24</f>
        <v>1130.504869694</v>
      </c>
      <c r="H11" s="0" t="n">
        <f aca="false">H8+H10+H24</f>
        <v>1220.50470903282</v>
      </c>
      <c r="I11" s="0" t="n">
        <f aca="false">I8+I10+I24</f>
        <v>1304.22658712976</v>
      </c>
      <c r="J11" s="0" t="n">
        <f aca="false">J8+J10+J24</f>
        <v>1406.34810093122</v>
      </c>
      <c r="K11" s="0" t="n">
        <f aca="false">K8+K10+K24</f>
        <v>1501.69013910738</v>
      </c>
      <c r="L11" s="0" t="n">
        <f aca="false">L8+L10+L24</f>
        <v>1589.1195475552</v>
      </c>
    </row>
    <row r="12" customFormat="false" ht="15" hidden="false" customHeight="false" outlineLevel="0" collapsed="false">
      <c r="A12" s="0" t="s">
        <v>160</v>
      </c>
      <c r="C12" s="4" t="n">
        <f aca="false">-C6*Assumptions!C31/100</f>
        <v>-16.9840008</v>
      </c>
      <c r="D12" s="4" t="n">
        <f aca="false">-D6*Assumptions!D31/100</f>
        <v>-19.616520924</v>
      </c>
      <c r="E12" s="4" t="n">
        <f aca="false">-E6*Assumptions!E31/100</f>
        <v>-22.36283385336</v>
      </c>
      <c r="F12" s="4" t="n">
        <f aca="false">-F6*Assumptions!F31/100</f>
        <v>-25.15818808503</v>
      </c>
      <c r="G12" s="4" t="n">
        <f aca="false">-G6*Assumptions!G31/100</f>
        <v>-27.9255887743833</v>
      </c>
      <c r="H12" s="4" t="n">
        <f aca="false">-H6*Assumptions!H31/100</f>
        <v>-30.5785197079497</v>
      </c>
      <c r="I12" s="4" t="n">
        <f aca="false">-I6*Assumptions!I31/100</f>
        <v>-33.1776938831254</v>
      </c>
      <c r="J12" s="4" t="n">
        <f aca="false">-J6*Assumptions!J31/100</f>
        <v>-35.6660209243598</v>
      </c>
      <c r="K12" s="4" t="n">
        <f aca="false">-K6*Assumptions!K31/100</f>
        <v>-37.9843122844432</v>
      </c>
      <c r="L12" s="4" t="n">
        <f aca="false">-L6*Assumptions!L31/100</f>
        <v>-40.0734494600876</v>
      </c>
    </row>
    <row r="13" customFormat="false" ht="15" hidden="false" customHeight="false" outlineLevel="0" collapsed="false">
      <c r="A13" s="0" t="s">
        <v>161</v>
      </c>
      <c r="C13" s="0" t="n">
        <f aca="false">C11+C12</f>
        <v>709.5212748</v>
      </c>
      <c r="D13" s="0" t="n">
        <f aca="false">D11+D12</f>
        <v>808.674164298</v>
      </c>
      <c r="E13" s="0" t="n">
        <f aca="false">E11+E12</f>
        <v>909.55043207028</v>
      </c>
      <c r="F13" s="0" t="n">
        <f aca="false">F11+F12</f>
        <v>1008.49633271887</v>
      </c>
      <c r="G13" s="0" t="n">
        <f aca="false">G11+G12</f>
        <v>1102.57928091962</v>
      </c>
      <c r="H13" s="0" t="n">
        <f aca="false">H11+H12</f>
        <v>1189.92618932487</v>
      </c>
      <c r="I13" s="0" t="n">
        <f aca="false">I11+I12</f>
        <v>1271.04889324663</v>
      </c>
      <c r="J13" s="0" t="n">
        <f aca="false">J11+J12</f>
        <v>1370.68208000686</v>
      </c>
      <c r="K13" s="0" t="n">
        <f aca="false">K11+K12</f>
        <v>1463.70582682294</v>
      </c>
      <c r="L13" s="0" t="n">
        <f aca="false">L11+L12</f>
        <v>1549.04609809511</v>
      </c>
    </row>
    <row r="14" customFormat="false" ht="15" hidden="false" customHeight="false" outlineLevel="0" collapsed="false">
      <c r="A14" s="0" t="s">
        <v>147</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162</v>
      </c>
      <c r="C15" s="0" t="n">
        <f aca="false">C13-MAX(0,C13)*C14/100</f>
        <v>525.045743352</v>
      </c>
      <c r="D15" s="0" t="n">
        <f aca="false">D13-MAX(0,D13)*D14/100</f>
        <v>598.41888158052</v>
      </c>
      <c r="E15" s="0" t="n">
        <f aca="false">E13-MAX(0,E13)*E14/100</f>
        <v>673.067319732007</v>
      </c>
      <c r="F15" s="0" t="n">
        <f aca="false">F13-MAX(0,F13)*F14/100</f>
        <v>746.287286211967</v>
      </c>
      <c r="G15" s="0" t="n">
        <f aca="false">G13-MAX(0,G13)*G14/100</f>
        <v>815.908667880516</v>
      </c>
      <c r="H15" s="0" t="n">
        <f aca="false">H13-MAX(0,H13)*H14/100</f>
        <v>880.545380100405</v>
      </c>
      <c r="I15" s="0" t="n">
        <f aca="false">I13-MAX(0,I13)*I14/100</f>
        <v>940.576181002509</v>
      </c>
      <c r="J15" s="0" t="n">
        <f aca="false">J13-MAX(0,J13)*J14/100</f>
        <v>1014.30473920508</v>
      </c>
      <c r="K15" s="0" t="n">
        <f aca="false">K13-MAX(0,K13)*K14/100</f>
        <v>1083.14231184898</v>
      </c>
      <c r="L15" s="0" t="n">
        <f aca="false">L13-MAX(0,L13)*L14/100</f>
        <v>1146.29411259038</v>
      </c>
    </row>
    <row r="16" customFormat="false" ht="15" hidden="false" customHeight="false" outlineLevel="0" collapsed="false">
      <c r="A16" s="0" t="s">
        <v>163</v>
      </c>
      <c r="C16" s="0" t="n">
        <f aca="false">-C12</f>
        <v>16.9840008</v>
      </c>
      <c r="D16" s="0" t="n">
        <f aca="false">-D12</f>
        <v>19.616520924</v>
      </c>
      <c r="E16" s="0" t="n">
        <f aca="false">-E12</f>
        <v>22.36283385336</v>
      </c>
      <c r="F16" s="0" t="n">
        <f aca="false">-F12</f>
        <v>25.15818808503</v>
      </c>
      <c r="G16" s="0" t="n">
        <f aca="false">-G12</f>
        <v>27.9255887743833</v>
      </c>
      <c r="H16" s="0" t="n">
        <f aca="false">-H12</f>
        <v>30.5785197079497</v>
      </c>
      <c r="I16" s="0" t="n">
        <f aca="false">-I12</f>
        <v>33.1776938831254</v>
      </c>
      <c r="J16" s="0" t="n">
        <f aca="false">-J12</f>
        <v>35.6660209243598</v>
      </c>
      <c r="K16" s="0" t="n">
        <f aca="false">-K12</f>
        <v>37.9843122844432</v>
      </c>
      <c r="L16" s="0" t="n">
        <f aca="false">-L12</f>
        <v>40.0734494600876</v>
      </c>
    </row>
    <row r="17" customFormat="false" ht="15" hidden="false" customHeight="false" outlineLevel="0" collapsed="false">
      <c r="A17" s="0" t="s">
        <v>164</v>
      </c>
      <c r="C17" s="4" t="n">
        <f aca="false">-C6*Assumptions!C32/100</f>
        <v>-29.28276</v>
      </c>
      <c r="D17" s="4" t="n">
        <f aca="false">-D6*Assumptions!D32/100</f>
        <v>-33.8215878</v>
      </c>
      <c r="E17" s="4" t="n">
        <f aca="false">-E6*Assumptions!E32/100</f>
        <v>-38.556610092</v>
      </c>
      <c r="F17" s="4" t="n">
        <f aca="false">-F6*Assumptions!F32/100</f>
        <v>-43.3761863535</v>
      </c>
      <c r="G17" s="4" t="n">
        <f aca="false">-G6*Assumptions!G32/100</f>
        <v>-48.147566852385</v>
      </c>
      <c r="H17" s="4" t="n">
        <f aca="false">-H6*Assumptions!H32/100</f>
        <v>-52.7215857033616</v>
      </c>
      <c r="I17" s="4" t="n">
        <f aca="false">-I6*Assumptions!I32/100</f>
        <v>-57.2029204881473</v>
      </c>
      <c r="J17" s="4" t="n">
        <f aca="false">-J6*Assumptions!J32/100</f>
        <v>-61.4931395247583</v>
      </c>
      <c r="K17" s="4" t="n">
        <f aca="false">-K6*Assumptions!K32/100</f>
        <v>-65.4901935938676</v>
      </c>
      <c r="L17" s="4" t="n">
        <f aca="false">-L6*Assumptions!L32/100</f>
        <v>-69.0921542415304</v>
      </c>
    </row>
    <row r="18" customFormat="false" ht="15" hidden="false" customHeight="false" outlineLevel="0" collapsed="false">
      <c r="A18" s="0" t="s">
        <v>165</v>
      </c>
      <c r="C18" s="4" t="n">
        <f aca="false">(C6-B6)*Assumptions!$B$37/100</f>
        <v>-106.369</v>
      </c>
      <c r="D18" s="4" t="n">
        <f aca="false">(D6-C6)*Assumptions!$B$37/100</f>
        <v>-113.470695</v>
      </c>
      <c r="E18" s="4" t="n">
        <f aca="false">(E6-D6)*Assumptions!$B$37/100</f>
        <v>-118.3755573</v>
      </c>
      <c r="F18" s="4" t="n">
        <f aca="false">(F6-E6)*Assumptions!$B$37/100</f>
        <v>-120.4894065375</v>
      </c>
      <c r="G18" s="4" t="n">
        <f aca="false">(G6-F6)*Assumptions!$B$37/100</f>
        <v>-119.284512472125</v>
      </c>
      <c r="H18" s="4" t="n">
        <f aca="false">(H6-G6)*Assumptions!$B$37/100</f>
        <v>-114.350471274414</v>
      </c>
      <c r="I18" s="4" t="n">
        <f aca="false">(I6-H6)*Assumptions!$B$37/100</f>
        <v>-112.033369619643</v>
      </c>
      <c r="J18" s="4" t="n">
        <f aca="false">(J6-I6)*Assumptions!$B$37/100</f>
        <v>-107.255475915276</v>
      </c>
      <c r="K18" s="4" t="n">
        <f aca="false">(K6-J6)*Assumptions!$B$37/100</f>
        <v>-99.9263517277323</v>
      </c>
      <c r="L18" s="4" t="n">
        <f aca="false">(L6-K6)*Assumptions!$B$37/100</f>
        <v>-90.0490161915679</v>
      </c>
    </row>
    <row r="19" customFormat="false" ht="15" hidden="false" customHeight="false" outlineLevel="0" collapsed="false">
      <c r="A19" s="0" t="s">
        <v>166</v>
      </c>
      <c r="C19" s="0" t="n">
        <f aca="false">C15+C16+C17+C18</f>
        <v>406.377984152</v>
      </c>
      <c r="D19" s="0" t="n">
        <f aca="false">D15+D16+D17+D18</f>
        <v>470.74311970452</v>
      </c>
      <c r="E19" s="0" t="n">
        <f aca="false">E15+E16+E17+E18</f>
        <v>538.497986193367</v>
      </c>
      <c r="F19" s="0" t="n">
        <f aca="false">F15+F16+F17+F18</f>
        <v>607.579881405998</v>
      </c>
      <c r="G19" s="0" t="n">
        <f aca="false">G15+G16+G17+G18</f>
        <v>676.402177330389</v>
      </c>
      <c r="H19" s="0" t="n">
        <f aca="false">H15+H16+H17+H18</f>
        <v>744.051842830578</v>
      </c>
      <c r="I19" s="0" t="n">
        <f aca="false">I15+I16+I17+I18</f>
        <v>804.517584777844</v>
      </c>
      <c r="J19" s="0" t="n">
        <f aca="false">J15+J16+J17+J18</f>
        <v>881.222144689405</v>
      </c>
      <c r="K19" s="0" t="n">
        <f aca="false">K15+K16+K17+K18</f>
        <v>955.71007881182</v>
      </c>
      <c r="L19" s="0" t="n">
        <f aca="false">L15+L16+L17+L18</f>
        <v>1027.22639161737</v>
      </c>
    </row>
    <row r="20" customFormat="false" ht="15" hidden="false" customHeight="false" outlineLevel="0" collapsed="false">
      <c r="A20" s="0" t="s">
        <v>167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168</v>
      </c>
      <c r="C21" s="0" t="n">
        <f aca="false">C19*C20</f>
        <v>371.121446714155</v>
      </c>
      <c r="D21" s="0" t="n">
        <f aca="false">D19*D20</f>
        <v>392.604924588328</v>
      </c>
      <c r="E21" s="0" t="n">
        <f aca="false">E19*E20</f>
        <v>410.149065136251</v>
      </c>
      <c r="F21" s="0" t="n">
        <f aca="false">F19*F20</f>
        <v>422.61694674385</v>
      </c>
      <c r="G21" s="0" t="n">
        <f aca="false">G19*G20</f>
        <v>429.669375897151</v>
      </c>
      <c r="H21" s="0" t="n">
        <f aca="false">H19*H20</f>
        <v>431.636817324141</v>
      </c>
      <c r="I21" s="0" t="n">
        <f aca="false">I19*I20</f>
        <v>426.222828595427</v>
      </c>
      <c r="J21" s="0" t="n">
        <f aca="false">J19*J20</f>
        <v>426.356068465236</v>
      </c>
      <c r="K21" s="0" t="n">
        <f aca="false">K19*K20</f>
        <v>422.278619855434</v>
      </c>
      <c r="L21" s="0" t="n">
        <f aca="false">L19*L20</f>
        <v>414.500422010778</v>
      </c>
    </row>
    <row r="23" customFormat="false" ht="15" hidden="false" customHeight="false" outlineLevel="0" collapsed="false">
      <c r="A23" s="0" t="s">
        <v>144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169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170</v>
      </c>
    </row>
    <row r="27" customFormat="false" ht="15" hidden="false" customHeight="false" outlineLevel="0" collapsed="false">
      <c r="A27" s="0" t="s">
        <v>148</v>
      </c>
      <c r="B27" s="4" t="n">
        <f aca="false">Assumptions!$B$34</f>
        <v>9.5</v>
      </c>
    </row>
    <row r="28" customFormat="false" ht="15" hidden="false" customHeight="false" outlineLevel="0" collapsed="false">
      <c r="A28" s="0" t="s">
        <v>149</v>
      </c>
      <c r="B28" s="4" t="n">
        <f aca="false">Assumptions!$B$35</f>
        <v>3</v>
      </c>
    </row>
    <row r="29" customFormat="false" ht="15" hidden="false" customHeight="false" outlineLevel="0" collapsed="false">
      <c r="A29" s="0" t="s">
        <v>150</v>
      </c>
      <c r="B29" s="4" t="n">
        <f aca="false">Assumptions!$B$36</f>
        <v>20</v>
      </c>
    </row>
    <row r="30" customFormat="false" ht="15" hidden="false" customHeight="false" outlineLevel="0" collapsed="false">
      <c r="A30" s="0" t="s">
        <v>171</v>
      </c>
      <c r="B30" s="0" t="n">
        <f aca="false">SUM(C21:L21)</f>
        <v>4147.15651533075</v>
      </c>
    </row>
    <row r="31" customFormat="false" ht="15" hidden="false" customHeight="false" outlineLevel="0" collapsed="false">
      <c r="A31" s="0" t="s">
        <v>172</v>
      </c>
      <c r="B31" s="0" t="n">
        <f aca="false">L19</f>
        <v>1027.22639161737</v>
      </c>
    </row>
    <row r="32" customFormat="false" ht="15" hidden="false" customHeight="false" outlineLevel="0" collapsed="false">
      <c r="A32" s="0" t="s">
        <v>173</v>
      </c>
      <c r="B32" s="0" t="n">
        <f aca="false">IF(B27&gt;B28,B31*(1+B28/100)/((B27-B28)/100),B31*B29)</f>
        <v>16277.5874363983</v>
      </c>
    </row>
    <row r="33" customFormat="false" ht="15" hidden="false" customHeight="false" outlineLevel="0" collapsed="false">
      <c r="A33" s="0" t="s">
        <v>174</v>
      </c>
      <c r="B33" s="0" t="n">
        <f aca="false">B31*B29</f>
        <v>20544.5278323474</v>
      </c>
    </row>
    <row r="34" customFormat="false" ht="15" hidden="false" customHeight="false" outlineLevel="0" collapsed="false">
      <c r="A34" s="0" t="s">
        <v>175</v>
      </c>
      <c r="B34" s="0" t="n">
        <f aca="false">MAX(0,MIN(B32,B33))</f>
        <v>16277.5874363983</v>
      </c>
    </row>
    <row r="35" customFormat="false" ht="15" hidden="false" customHeight="false" outlineLevel="0" collapsed="false">
      <c r="A35" s="0" t="s">
        <v>176</v>
      </c>
      <c r="B35" s="0" t="n">
        <f aca="false">B34/(1+B27/100)^L4</f>
        <v>6568.23745647848</v>
      </c>
    </row>
    <row r="36" customFormat="false" ht="15" hidden="false" customHeight="false" outlineLevel="0" collapsed="false">
      <c r="A36" s="0" t="s">
        <v>177</v>
      </c>
      <c r="B36" s="0" t="n">
        <f aca="false">B30+B35</f>
        <v>10715.3939718092</v>
      </c>
    </row>
    <row r="37" customFormat="false" ht="15" hidden="false" customHeight="false" outlineLevel="0" collapsed="false">
      <c r="A37" s="0" t="s">
        <v>178</v>
      </c>
      <c r="B37" s="0" t="n">
        <f aca="false">B36+Assumptions!$B$5-Assumptions!$B$4</f>
        <v>12589.0939718092</v>
      </c>
    </row>
    <row r="38" customFormat="false" ht="15" hidden="false" customHeight="false" outlineLevel="0" collapsed="false">
      <c r="A38" s="0" t="s">
        <v>179</v>
      </c>
      <c r="B38" s="0" t="n">
        <f aca="false">B37/Assumptions!$B$3*Assumptions!$B$10</f>
        <v>929.816465555556</v>
      </c>
    </row>
    <row r="39" customFormat="false" ht="15" hidden="false" customHeight="false" outlineLevel="0" collapsed="false">
      <c r="A39" s="0" t="s">
        <v>180</v>
      </c>
      <c r="B39" s="4" t="n">
        <f aca="false">B38/Assumptions!$B$2-1</f>
        <v>0.0638632329010942</v>
      </c>
    </row>
    <row r="41" customFormat="false" ht="15" hidden="false" customHeight="false" outlineLevel="0" collapsed="false">
      <c r="A41" s="0" t="s">
        <v>181</v>
      </c>
      <c r="B41" s="0" t="n">
        <f aca="false">SUMPRODUCT(-C10:L10/(1+$B$27/100)^C4:L4)</f>
        <v>970.959467180371</v>
      </c>
    </row>
    <row r="42" customFormat="false" ht="15" hidden="false" customHeight="false" outlineLevel="0" collapsed="false">
      <c r="A42" s="0" t="s">
        <v>182</v>
      </c>
      <c r="B42" s="0" t="n">
        <f aca="false">IF(B27&gt;B28,-L10*(1+B28/100)/((B27-B28)/100),-L10*20)/(1+B27/100)^L4</f>
        <v>1325.35635515598</v>
      </c>
    </row>
    <row r="43" customFormat="false" ht="15" hidden="false" customHeight="false" outlineLevel="0" collapsed="false">
      <c r="A43" s="0" t="s">
        <v>183</v>
      </c>
      <c r="B43" s="0" t="n">
        <f aca="false">(B37+B41+B42)/Assumptions!$B$3*Assumptions!$B$10</f>
        <v>1099.41979574797</v>
      </c>
    </row>
    <row r="45" customFormat="false" ht="15" hidden="false" customHeight="false" outlineLevel="0" collapsed="false">
      <c r="A45" s="0" t="s">
        <v>124</v>
      </c>
      <c r="B45" s="4" t="n">
        <f aca="false">Assumptions!$B$6</f>
        <v>15</v>
      </c>
    </row>
    <row r="46" customFormat="false" ht="15" hidden="false" customHeight="false" outlineLevel="0" collapsed="false">
      <c r="A46" s="0" t="s">
        <v>184</v>
      </c>
      <c r="B46" s="0" t="n">
        <f aca="false">MAX(0,MIN(IF(B45&gt;B28,B31*(1+B28/100)/((B45-B28)/100),B31*B29),B31*B29))</f>
        <v>8817.0265280491</v>
      </c>
    </row>
    <row r="47" customFormat="false" ht="15" hidden="false" customHeight="false" outlineLevel="0" collapsed="false">
      <c r="A47" s="0" t="s">
        <v>185</v>
      </c>
      <c r="B47" s="0" t="n">
        <f aca="false">(SUMPRODUCT(C19:L19/(1+B45/100)^C4:L4)+B46/(1+B45/100)^L4+Assumptions!$B$5-Assumptions!$B$4)/Assumptions!$B$3*Assumptions!$B$10</f>
        <v>534.589614246135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187</v>
      </c>
    </row>
    <row r="3" customFormat="false" ht="15" hidden="false" customHeight="false" outlineLevel="0" collapsed="false">
      <c r="A3" s="0" t="s">
        <v>156</v>
      </c>
      <c r="B3" s="0" t="s">
        <v>118</v>
      </c>
      <c r="C3" s="2" t="s">
        <v>131</v>
      </c>
      <c r="D3" s="2" t="s">
        <v>132</v>
      </c>
      <c r="E3" s="2" t="s">
        <v>133</v>
      </c>
      <c r="F3" s="2" t="s">
        <v>134</v>
      </c>
      <c r="G3" s="2" t="s">
        <v>135</v>
      </c>
      <c r="H3" s="2" t="s">
        <v>136</v>
      </c>
      <c r="I3" s="2" t="s">
        <v>137</v>
      </c>
      <c r="J3" s="2" t="s">
        <v>138</v>
      </c>
      <c r="K3" s="2" t="s">
        <v>139</v>
      </c>
      <c r="L3" s="2" t="s">
        <v>140</v>
      </c>
    </row>
    <row r="4" customFormat="false" ht="15" hidden="false" customHeight="false" outlineLevel="0" collapsed="false">
      <c r="A4" s="0" t="s">
        <v>157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141</v>
      </c>
      <c r="C5" s="4" t="n">
        <f aca="false">Assumptions!C41</f>
        <v>21</v>
      </c>
      <c r="D5" s="4" t="n">
        <f aca="false">Assumptions!D41</f>
        <v>19</v>
      </c>
      <c r="E5" s="4" t="n">
        <f aca="false">Assumptions!E41</f>
        <v>17</v>
      </c>
      <c r="F5" s="4" t="n">
        <f aca="false">Assumptions!F41</f>
        <v>15</v>
      </c>
      <c r="G5" s="4" t="n">
        <f aca="false">Assumptions!G41</f>
        <v>13</v>
      </c>
      <c r="H5" s="4" t="n">
        <f aca="false">Assumptions!H41</f>
        <v>11.5</v>
      </c>
      <c r="I5" s="4" t="n">
        <f aca="false">Assumptions!I41</f>
        <v>10</v>
      </c>
      <c r="J5" s="4" t="n">
        <f aca="false">Assumptions!J41</f>
        <v>9</v>
      </c>
      <c r="K5" s="4" t="n">
        <f aca="false">Assumptions!K41</f>
        <v>8</v>
      </c>
      <c r="L5" s="4" t="n">
        <f aca="false">Assumptions!L41</f>
        <v>7</v>
      </c>
    </row>
    <row r="6" customFormat="false" ht="15" hidden="false" customHeight="false" outlineLevel="0" collapsed="false">
      <c r="A6" s="0" t="s">
        <v>75</v>
      </c>
      <c r="B6" s="3" t="n">
        <v>2502.8</v>
      </c>
      <c r="C6" s="0" t="n">
        <f aca="false">B6*(1+C5/100)</f>
        <v>3028.388</v>
      </c>
      <c r="D6" s="0" t="n">
        <f aca="false">C6*(1+D5/100)</f>
        <v>3603.78172</v>
      </c>
      <c r="E6" s="0" t="n">
        <f aca="false">D6*(1+E5/100)</f>
        <v>4216.4246124</v>
      </c>
      <c r="F6" s="0" t="n">
        <f aca="false">E6*(1+F5/100)</f>
        <v>4848.88830426</v>
      </c>
      <c r="G6" s="0" t="n">
        <f aca="false">F6*(1+G5/100)</f>
        <v>5479.2437838138</v>
      </c>
      <c r="H6" s="0" t="n">
        <f aca="false">G6*(1+H5/100)</f>
        <v>6109.35681895239</v>
      </c>
      <c r="I6" s="0" t="n">
        <f aca="false">H6*(1+I5/100)</f>
        <v>6720.29250084763</v>
      </c>
      <c r="J6" s="0" t="n">
        <f aca="false">I6*(1+J5/100)</f>
        <v>7325.11882592391</v>
      </c>
      <c r="K6" s="0" t="n">
        <f aca="false">J6*(1+K5/100)</f>
        <v>7911.12833199783</v>
      </c>
      <c r="L6" s="0" t="n">
        <f aca="false">K6*(1+L5/100)</f>
        <v>8464.90731523767</v>
      </c>
    </row>
    <row r="7" customFormat="false" ht="15" hidden="false" customHeight="false" outlineLevel="0" collapsed="false">
      <c r="A7" s="0" t="s">
        <v>142</v>
      </c>
      <c r="C7" s="4" t="n">
        <f aca="false">Assumptions!C42</f>
        <v>30.5</v>
      </c>
      <c r="D7" s="4" t="n">
        <f aca="false">Assumptions!D42</f>
        <v>30.42</v>
      </c>
      <c r="E7" s="4" t="n">
        <f aca="false">Assumptions!E42</f>
        <v>30.33</v>
      </c>
      <c r="F7" s="4" t="n">
        <f aca="false">Assumptions!F42</f>
        <v>30.25</v>
      </c>
      <c r="G7" s="4" t="n">
        <f aca="false">Assumptions!G42</f>
        <v>30.17</v>
      </c>
      <c r="H7" s="4" t="n">
        <f aca="false">Assumptions!H42</f>
        <v>30.08</v>
      </c>
      <c r="I7" s="4" t="n">
        <f aca="false">Assumptions!I42</f>
        <v>30</v>
      </c>
      <c r="J7" s="4" t="n">
        <f aca="false">Assumptions!J42</f>
        <v>30</v>
      </c>
      <c r="K7" s="4" t="n">
        <f aca="false">Assumptions!K42</f>
        <v>30</v>
      </c>
      <c r="L7" s="4" t="n">
        <f aca="false">Assumptions!L42</f>
        <v>30</v>
      </c>
    </row>
    <row r="8" customFormat="false" ht="15" hidden="false" customHeight="false" outlineLevel="0" collapsed="false">
      <c r="A8" s="0" t="s">
        <v>81</v>
      </c>
      <c r="C8" s="0" t="n">
        <f aca="false">C6*C7/100</f>
        <v>923.65834</v>
      </c>
      <c r="D8" s="0" t="n">
        <f aca="false">D6*D7/100</f>
        <v>1096.270399224</v>
      </c>
      <c r="E8" s="0" t="n">
        <f aca="false">E6*E7/100</f>
        <v>1278.84158494092</v>
      </c>
      <c r="F8" s="0" t="n">
        <f aca="false">F6*F7/100</f>
        <v>1466.78871203865</v>
      </c>
      <c r="G8" s="0" t="n">
        <f aca="false">G6*G7/100</f>
        <v>1653.08784957662</v>
      </c>
      <c r="H8" s="0" t="n">
        <f aca="false">H6*H7/100</f>
        <v>1837.69453114088</v>
      </c>
      <c r="I8" s="0" t="n">
        <f aca="false">I6*I7/100</f>
        <v>2016.08775025429</v>
      </c>
      <c r="J8" s="0" t="n">
        <f aca="false">J6*J7/100</f>
        <v>2197.53564777717</v>
      </c>
      <c r="K8" s="0" t="n">
        <f aca="false">K6*K7/100</f>
        <v>2373.33849959935</v>
      </c>
      <c r="L8" s="0" t="n">
        <f aca="false">L6*L7/100</f>
        <v>2539.4721945713</v>
      </c>
    </row>
    <row r="9" customFormat="false" ht="15" hidden="false" customHeight="false" outlineLevel="0" collapsed="false">
      <c r="A9" s="0" t="s">
        <v>143</v>
      </c>
      <c r="C9" s="4" t="n">
        <f aca="false">Assumptions!C43</f>
        <v>3.61</v>
      </c>
      <c r="D9" s="4" t="n">
        <f aca="false">Assumptions!D43</f>
        <v>3.45</v>
      </c>
      <c r="E9" s="4" t="n">
        <f aca="false">Assumptions!E43</f>
        <v>3.31</v>
      </c>
      <c r="F9" s="4" t="n">
        <f aca="false">Assumptions!F43</f>
        <v>3.18</v>
      </c>
      <c r="G9" s="4" t="n">
        <f aca="false">Assumptions!G43</f>
        <v>3.06</v>
      </c>
      <c r="H9" s="4" t="n">
        <f aca="false">Assumptions!H43</f>
        <v>2.94</v>
      </c>
      <c r="I9" s="4" t="n">
        <f aca="false">Assumptions!I43</f>
        <v>2.83</v>
      </c>
      <c r="J9" s="4" t="n">
        <f aca="false">Assumptions!J43</f>
        <v>2.72</v>
      </c>
      <c r="K9" s="4" t="n">
        <f aca="false">Assumptions!K43</f>
        <v>2.61</v>
      </c>
      <c r="L9" s="4" t="n">
        <f aca="false">Assumptions!L43</f>
        <v>2.5</v>
      </c>
    </row>
    <row r="10" customFormat="false" ht="15" hidden="false" customHeight="false" outlineLevel="0" collapsed="false">
      <c r="A10" s="0" t="s">
        <v>158</v>
      </c>
      <c r="C10" s="0" t="n">
        <f aca="false">-C6*C9/100</f>
        <v>-109.3248068</v>
      </c>
      <c r="D10" s="0" t="n">
        <f aca="false">-D6*D9/100</f>
        <v>-124.33046934</v>
      </c>
      <c r="E10" s="0" t="n">
        <f aca="false">-E6*E9/100</f>
        <v>-139.56365467044</v>
      </c>
      <c r="F10" s="0" t="n">
        <f aca="false">-F6*F9/100</f>
        <v>-154.194648075468</v>
      </c>
      <c r="G10" s="0" t="n">
        <f aca="false">-G6*G9/100</f>
        <v>-167.664859784702</v>
      </c>
      <c r="H10" s="0" t="n">
        <f aca="false">-H6*H9/100</f>
        <v>-179.6150904772</v>
      </c>
      <c r="I10" s="0" t="n">
        <f aca="false">-I6*I9/100</f>
        <v>-190.184277773988</v>
      </c>
      <c r="J10" s="0" t="n">
        <f aca="false">-J6*J9/100</f>
        <v>-199.24323206513</v>
      </c>
      <c r="K10" s="0" t="n">
        <f aca="false">-K6*K9/100</f>
        <v>-206.480449465143</v>
      </c>
      <c r="L10" s="0" t="n">
        <f aca="false">-L6*L9/100</f>
        <v>-211.622682880942</v>
      </c>
    </row>
    <row r="11" customFormat="false" ht="15" hidden="false" customHeight="false" outlineLevel="0" collapsed="false">
      <c r="A11" s="0" t="s">
        <v>159</v>
      </c>
      <c r="C11" s="0" t="n">
        <f aca="false">C8+C10+C24</f>
        <v>814.3335332</v>
      </c>
      <c r="D11" s="0" t="n">
        <f aca="false">D8+D10+D24</f>
        <v>971.939929884</v>
      </c>
      <c r="E11" s="0" t="n">
        <f aca="false">E8+E10+E24</f>
        <v>1139.27793027048</v>
      </c>
      <c r="F11" s="0" t="n">
        <f aca="false">F8+F10+F24</f>
        <v>1312.59406396318</v>
      </c>
      <c r="G11" s="0" t="n">
        <f aca="false">G8+G10+G24</f>
        <v>1485.42298979192</v>
      </c>
      <c r="H11" s="0" t="n">
        <f aca="false">H8+H10+H24</f>
        <v>1658.07944066368</v>
      </c>
      <c r="I11" s="0" t="n">
        <f aca="false">I8+I10+I24</f>
        <v>1825.9034724803</v>
      </c>
      <c r="J11" s="0" t="n">
        <f aca="false">J8+J10+J24</f>
        <v>1998.29241571204</v>
      </c>
      <c r="K11" s="0" t="n">
        <f aca="false">K8+K10+K24</f>
        <v>2166.85805013421</v>
      </c>
      <c r="L11" s="0" t="n">
        <f aca="false">L8+L10+L24</f>
        <v>2327.84951169036</v>
      </c>
    </row>
    <row r="12" customFormat="false" ht="15" hidden="false" customHeight="false" outlineLevel="0" collapsed="false">
      <c r="A12" s="0" t="s">
        <v>160</v>
      </c>
      <c r="C12" s="4" t="n">
        <f aca="false">-C6*Assumptions!C45/100</f>
        <v>-17.5646504</v>
      </c>
      <c r="D12" s="4" t="n">
        <f aca="false">-D6*Assumptions!D45/100</f>
        <v>-20.901933976</v>
      </c>
      <c r="E12" s="4" t="n">
        <f aca="false">-E6*Assumptions!E45/100</f>
        <v>-24.45526275192</v>
      </c>
      <c r="F12" s="4" t="n">
        <f aca="false">-F6*Assumptions!F45/100</f>
        <v>-28.123552164708</v>
      </c>
      <c r="G12" s="4" t="n">
        <f aca="false">-G6*Assumptions!G45/100</f>
        <v>-31.77961394612</v>
      </c>
      <c r="H12" s="4" t="n">
        <f aca="false">-H6*Assumptions!H45/100</f>
        <v>-35.4342695499238</v>
      </c>
      <c r="I12" s="4" t="n">
        <f aca="false">-I6*Assumptions!I45/100</f>
        <v>-38.9776965049162</v>
      </c>
      <c r="J12" s="4" t="n">
        <f aca="false">-J6*Assumptions!J45/100</f>
        <v>-42.4856891903587</v>
      </c>
      <c r="K12" s="4" t="n">
        <f aca="false">-K6*Assumptions!K45/100</f>
        <v>-45.8845443255874</v>
      </c>
      <c r="L12" s="4" t="n">
        <f aca="false">-L6*Assumptions!L45/100</f>
        <v>-49.0964624283785</v>
      </c>
    </row>
    <row r="13" customFormat="false" ht="15" hidden="false" customHeight="false" outlineLevel="0" collapsed="false">
      <c r="A13" s="0" t="s">
        <v>161</v>
      </c>
      <c r="C13" s="0" t="n">
        <f aca="false">C11+C12</f>
        <v>796.7688828</v>
      </c>
      <c r="D13" s="0" t="n">
        <f aca="false">D11+D12</f>
        <v>951.037995908</v>
      </c>
      <c r="E13" s="0" t="n">
        <f aca="false">E11+E12</f>
        <v>1114.82266751856</v>
      </c>
      <c r="F13" s="0" t="n">
        <f aca="false">F11+F12</f>
        <v>1284.47051179847</v>
      </c>
      <c r="G13" s="0" t="n">
        <f aca="false">G11+G12</f>
        <v>1453.6433758458</v>
      </c>
      <c r="H13" s="0" t="n">
        <f aca="false">H11+H12</f>
        <v>1622.64517111375</v>
      </c>
      <c r="I13" s="0" t="n">
        <f aca="false">I11+I12</f>
        <v>1786.92577597538</v>
      </c>
      <c r="J13" s="0" t="n">
        <f aca="false">J11+J12</f>
        <v>1955.80672652168</v>
      </c>
      <c r="K13" s="0" t="n">
        <f aca="false">K11+K12</f>
        <v>2120.97350580862</v>
      </c>
      <c r="L13" s="0" t="n">
        <f aca="false">L11+L12</f>
        <v>2278.75304926198</v>
      </c>
    </row>
    <row r="14" customFormat="false" ht="15" hidden="false" customHeight="false" outlineLevel="0" collapsed="false">
      <c r="A14" s="0" t="s">
        <v>147</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162</v>
      </c>
      <c r="C15" s="0" t="n">
        <f aca="false">C13-MAX(0,C13)*C14/100</f>
        <v>605.544350928</v>
      </c>
      <c r="D15" s="0" t="n">
        <f aca="false">D13-MAX(0,D13)*D14/100</f>
        <v>722.78887689008</v>
      </c>
      <c r="E15" s="0" t="n">
        <f aca="false">E13-MAX(0,E13)*E14/100</f>
        <v>847.265227314106</v>
      </c>
      <c r="F15" s="0" t="n">
        <f aca="false">F13-MAX(0,F13)*F14/100</f>
        <v>976.19758896684</v>
      </c>
      <c r="G15" s="0" t="n">
        <f aca="false">G13-MAX(0,G13)*G14/100</f>
        <v>1104.76896564281</v>
      </c>
      <c r="H15" s="0" t="n">
        <f aca="false">H13-MAX(0,H13)*H14/100</f>
        <v>1233.21033004645</v>
      </c>
      <c r="I15" s="0" t="n">
        <f aca="false">I13-MAX(0,I13)*I14/100</f>
        <v>1358.06358974129</v>
      </c>
      <c r="J15" s="0" t="n">
        <f aca="false">J13-MAX(0,J13)*J14/100</f>
        <v>1486.41311215648</v>
      </c>
      <c r="K15" s="0" t="n">
        <f aca="false">K13-MAX(0,K13)*K14/100</f>
        <v>1611.93986441455</v>
      </c>
      <c r="L15" s="0" t="n">
        <f aca="false">L13-MAX(0,L13)*L14/100</f>
        <v>1731.85231743911</v>
      </c>
    </row>
    <row r="16" customFormat="false" ht="15" hidden="false" customHeight="false" outlineLevel="0" collapsed="false">
      <c r="A16" s="0" t="s">
        <v>163</v>
      </c>
      <c r="C16" s="0" t="n">
        <f aca="false">-C12</f>
        <v>17.5646504</v>
      </c>
      <c r="D16" s="0" t="n">
        <f aca="false">-D12</f>
        <v>20.901933976</v>
      </c>
      <c r="E16" s="0" t="n">
        <f aca="false">-E12</f>
        <v>24.45526275192</v>
      </c>
      <c r="F16" s="0" t="n">
        <f aca="false">-F12</f>
        <v>28.123552164708</v>
      </c>
      <c r="G16" s="0" t="n">
        <f aca="false">-G12</f>
        <v>31.77961394612</v>
      </c>
      <c r="H16" s="0" t="n">
        <f aca="false">-H12</f>
        <v>35.4342695499238</v>
      </c>
      <c r="I16" s="0" t="n">
        <f aca="false">-I12</f>
        <v>38.9776965049162</v>
      </c>
      <c r="J16" s="0" t="n">
        <f aca="false">-J12</f>
        <v>42.4856891903587</v>
      </c>
      <c r="K16" s="0" t="n">
        <f aca="false">-K12</f>
        <v>45.8845443255874</v>
      </c>
      <c r="L16" s="0" t="n">
        <f aca="false">-L12</f>
        <v>49.0964624283785</v>
      </c>
    </row>
    <row r="17" customFormat="false" ht="15" hidden="false" customHeight="false" outlineLevel="0" collapsed="false">
      <c r="A17" s="0" t="s">
        <v>164</v>
      </c>
      <c r="C17" s="4" t="n">
        <f aca="false">-C6*Assumptions!C46/100</f>
        <v>-27.255492</v>
      </c>
      <c r="D17" s="4" t="n">
        <f aca="false">-D6*Assumptions!D46/100</f>
        <v>-32.43403548</v>
      </c>
      <c r="E17" s="4" t="n">
        <f aca="false">-E6*Assumptions!E46/100</f>
        <v>-37.9478215116</v>
      </c>
      <c r="F17" s="4" t="n">
        <f aca="false">-F6*Assumptions!F46/100</f>
        <v>-43.63999473834</v>
      </c>
      <c r="G17" s="4" t="n">
        <f aca="false">-G6*Assumptions!G46/100</f>
        <v>-49.3131940543242</v>
      </c>
      <c r="H17" s="4" t="n">
        <f aca="false">-H6*Assumptions!H46/100</f>
        <v>-54.9842113705715</v>
      </c>
      <c r="I17" s="4" t="n">
        <f aca="false">-I6*Assumptions!I46/100</f>
        <v>-60.4826325076286</v>
      </c>
      <c r="J17" s="4" t="n">
        <f aca="false">-J6*Assumptions!J46/100</f>
        <v>-65.9260694333152</v>
      </c>
      <c r="K17" s="4" t="n">
        <f aca="false">-K6*Assumptions!K46/100</f>
        <v>-71.2001549879804</v>
      </c>
      <c r="L17" s="4" t="n">
        <f aca="false">-L6*Assumptions!L46/100</f>
        <v>-76.1841658371391</v>
      </c>
    </row>
    <row r="18" customFormat="false" ht="15" hidden="false" customHeight="false" outlineLevel="0" collapsed="false">
      <c r="A18" s="0" t="s">
        <v>165</v>
      </c>
      <c r="C18" s="4" t="n">
        <f aca="false">(C6-B6)*Assumptions!$B$51/100</f>
        <v>-105.1176</v>
      </c>
      <c r="D18" s="4" t="n">
        <f aca="false">(D6-C6)*Assumptions!$B$51/100</f>
        <v>-115.078744</v>
      </c>
      <c r="E18" s="4" t="n">
        <f aca="false">(E6-D6)*Assumptions!$B$51/100</f>
        <v>-122.52857848</v>
      </c>
      <c r="F18" s="4" t="n">
        <f aca="false">(F6-E6)*Assumptions!$B$51/100</f>
        <v>-126.492738372</v>
      </c>
      <c r="G18" s="4" t="n">
        <f aca="false">(G6-F6)*Assumptions!$B$51/100</f>
        <v>-126.07109591076</v>
      </c>
      <c r="H18" s="4" t="n">
        <f aca="false">(H6-G6)*Assumptions!$B$51/100</f>
        <v>-126.022607027717</v>
      </c>
      <c r="I18" s="4" t="n">
        <f aca="false">(I6-H6)*Assumptions!$B$51/100</f>
        <v>-122.187136379048</v>
      </c>
      <c r="J18" s="4" t="n">
        <f aca="false">(J6-I6)*Assumptions!$B$51/100</f>
        <v>-120.965265015257</v>
      </c>
      <c r="K18" s="4" t="n">
        <f aca="false">(K6-J6)*Assumptions!$B$51/100</f>
        <v>-117.201901214783</v>
      </c>
      <c r="L18" s="4" t="n">
        <f aca="false">(L6-K6)*Assumptions!$B$51/100</f>
        <v>-110.75579664797</v>
      </c>
    </row>
    <row r="19" customFormat="false" ht="15" hidden="false" customHeight="false" outlineLevel="0" collapsed="false">
      <c r="A19" s="0" t="s">
        <v>166</v>
      </c>
      <c r="C19" s="0" t="n">
        <f aca="false">C15+C16+C17+C18</f>
        <v>490.735909328</v>
      </c>
      <c r="D19" s="0" t="n">
        <f aca="false">D15+D16+D17+D18</f>
        <v>596.17803138608</v>
      </c>
      <c r="E19" s="0" t="n">
        <f aca="false">E15+E16+E17+E18</f>
        <v>711.244090074426</v>
      </c>
      <c r="F19" s="0" t="n">
        <f aca="false">F15+F16+F17+F18</f>
        <v>834.188408021209</v>
      </c>
      <c r="G19" s="0" t="n">
        <f aca="false">G15+G16+G17+G18</f>
        <v>961.164289623845</v>
      </c>
      <c r="H19" s="0" t="n">
        <f aca="false">H15+H16+H17+H18</f>
        <v>1087.63778119809</v>
      </c>
      <c r="I19" s="0" t="n">
        <f aca="false">I15+I16+I17+I18</f>
        <v>1214.37151735953</v>
      </c>
      <c r="J19" s="0" t="n">
        <f aca="false">J15+J16+J17+J18</f>
        <v>1342.00746689827</v>
      </c>
      <c r="K19" s="0" t="n">
        <f aca="false">K15+K16+K17+K18</f>
        <v>1469.42235253737</v>
      </c>
      <c r="L19" s="0" t="n">
        <f aca="false">L15+L16+L17+L18</f>
        <v>1594.00881738238</v>
      </c>
    </row>
    <row r="20" customFormat="false" ht="15" hidden="false" customHeight="false" outlineLevel="0" collapsed="false">
      <c r="A20" s="0" t="s">
        <v>167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168</v>
      </c>
      <c r="C21" s="0" t="n">
        <f aca="false">C19*C20</f>
        <v>448.160647788128</v>
      </c>
      <c r="D21" s="0" t="n">
        <f aca="false">D19*D20</f>
        <v>497.219016606059</v>
      </c>
      <c r="E21" s="0" t="n">
        <f aca="false">E19*E20</f>
        <v>541.721800465485</v>
      </c>
      <c r="F21" s="0" t="n">
        <f aca="false">F19*F20</f>
        <v>580.240012541593</v>
      </c>
      <c r="G21" s="0" t="n">
        <f aca="false">G19*G20</f>
        <v>610.558147650054</v>
      </c>
      <c r="H21" s="0" t="n">
        <f aca="false">H19*H20</f>
        <v>630.956720020827</v>
      </c>
      <c r="I21" s="0" t="n">
        <f aca="false">I19*I20</f>
        <v>643.358048211744</v>
      </c>
      <c r="J21" s="0" t="n">
        <f aca="false">J19*J20</f>
        <v>649.294880849146</v>
      </c>
      <c r="K21" s="0" t="n">
        <f aca="false">K19*K20</f>
        <v>649.261378289163</v>
      </c>
      <c r="L21" s="0" t="n">
        <f aca="false">L19*L20</f>
        <v>643.205171601553</v>
      </c>
    </row>
    <row r="23" customFormat="false" ht="15" hidden="false" customHeight="false" outlineLevel="0" collapsed="false">
      <c r="A23" s="0" t="s">
        <v>144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169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170</v>
      </c>
    </row>
    <row r="27" customFormat="false" ht="15" hidden="false" customHeight="false" outlineLevel="0" collapsed="false">
      <c r="A27" s="0" t="s">
        <v>148</v>
      </c>
      <c r="B27" s="4" t="n">
        <f aca="false">Assumptions!$B$48</f>
        <v>9.5</v>
      </c>
    </row>
    <row r="28" customFormat="false" ht="15" hidden="false" customHeight="false" outlineLevel="0" collapsed="false">
      <c r="A28" s="0" t="s">
        <v>149</v>
      </c>
      <c r="B28" s="4" t="n">
        <f aca="false">Assumptions!$B$49</f>
        <v>3.5</v>
      </c>
    </row>
    <row r="29" customFormat="false" ht="15" hidden="false" customHeight="false" outlineLevel="0" collapsed="false">
      <c r="A29" s="0" t="s">
        <v>150</v>
      </c>
      <c r="B29" s="4" t="n">
        <f aca="false">Assumptions!$B$50</f>
        <v>20</v>
      </c>
    </row>
    <row r="30" customFormat="false" ht="15" hidden="false" customHeight="false" outlineLevel="0" collapsed="false">
      <c r="A30" s="0" t="s">
        <v>171</v>
      </c>
      <c r="B30" s="0" t="n">
        <f aca="false">SUM(C21:L21)</f>
        <v>5893.97582402375</v>
      </c>
    </row>
    <row r="31" customFormat="false" ht="15" hidden="false" customHeight="false" outlineLevel="0" collapsed="false">
      <c r="A31" s="0" t="s">
        <v>172</v>
      </c>
      <c r="B31" s="0" t="n">
        <f aca="false">L19</f>
        <v>1594.00881738238</v>
      </c>
    </row>
    <row r="32" customFormat="false" ht="15" hidden="false" customHeight="false" outlineLevel="0" collapsed="false">
      <c r="A32" s="0" t="s">
        <v>173</v>
      </c>
      <c r="B32" s="0" t="n">
        <f aca="false">IF(B27&gt;B28,B31*(1+B28/100)/((B27-B28)/100),B31*B29)</f>
        <v>27496.652099846</v>
      </c>
    </row>
    <row r="33" customFormat="false" ht="15" hidden="false" customHeight="false" outlineLevel="0" collapsed="false">
      <c r="A33" s="0" t="s">
        <v>174</v>
      </c>
      <c r="B33" s="0" t="n">
        <f aca="false">B31*B29</f>
        <v>31880.1763476475</v>
      </c>
    </row>
    <row r="34" customFormat="false" ht="15" hidden="false" customHeight="false" outlineLevel="0" collapsed="false">
      <c r="A34" s="0" t="s">
        <v>175</v>
      </c>
      <c r="B34" s="0" t="n">
        <f aca="false">MAX(0,MIN(B32,B33))</f>
        <v>27496.652099846</v>
      </c>
    </row>
    <row r="35" customFormat="false" ht="15" hidden="false" customHeight="false" outlineLevel="0" collapsed="false">
      <c r="A35" s="0" t="s">
        <v>176</v>
      </c>
      <c r="B35" s="0" t="n">
        <f aca="false">B34/(1+B27/100)^L4</f>
        <v>11095.2892101268</v>
      </c>
    </row>
    <row r="36" customFormat="false" ht="15" hidden="false" customHeight="false" outlineLevel="0" collapsed="false">
      <c r="A36" s="0" t="s">
        <v>177</v>
      </c>
      <c r="B36" s="0" t="n">
        <f aca="false">B30+B35</f>
        <v>16989.2650341506</v>
      </c>
    </row>
    <row r="37" customFormat="false" ht="15" hidden="false" customHeight="false" outlineLevel="0" collapsed="false">
      <c r="A37" s="0" t="s">
        <v>178</v>
      </c>
      <c r="B37" s="0" t="n">
        <f aca="false">B36+Assumptions!$B$5-Assumptions!$B$4</f>
        <v>18862.9650341506</v>
      </c>
    </row>
    <row r="38" customFormat="false" ht="15" hidden="false" customHeight="false" outlineLevel="0" collapsed="false">
      <c r="A38" s="0" t="s">
        <v>179</v>
      </c>
      <c r="B38" s="0" t="n">
        <f aca="false">B37/Assumptions!$B$3*Assumptions!$B$10</f>
        <v>1393.19759763707</v>
      </c>
    </row>
    <row r="39" customFormat="false" ht="15" hidden="false" customHeight="false" outlineLevel="0" collapsed="false">
      <c r="A39" s="0" t="s">
        <v>180</v>
      </c>
      <c r="B39" s="4" t="n">
        <f aca="false">B38/Assumptions!$B$2-1</f>
        <v>0.594047594550421</v>
      </c>
    </row>
    <row r="41" customFormat="false" ht="15" hidden="false" customHeight="false" outlineLevel="0" collapsed="false">
      <c r="A41" s="0" t="s">
        <v>181</v>
      </c>
      <c r="B41" s="0" t="n">
        <f aca="false">SUMPRODUCT(-C10:L10/(1+$B$27/100)^C4:L4)</f>
        <v>1001.57050114314</v>
      </c>
    </row>
    <row r="42" customFormat="false" ht="15" hidden="false" customHeight="false" outlineLevel="0" collapsed="false">
      <c r="A42" s="0" t="s">
        <v>182</v>
      </c>
      <c r="B42" s="0" t="n">
        <f aca="false">IF(B27&gt;B28,-L10*(1+B28/100)/((B27-B28)/100),-L10*20)/(1+B27/100)^L4</f>
        <v>1473.02501992607</v>
      </c>
    </row>
    <row r="43" customFormat="false" ht="15" hidden="false" customHeight="false" outlineLevel="0" collapsed="false">
      <c r="A43" s="0" t="s">
        <v>183</v>
      </c>
      <c r="B43" s="0" t="n">
        <f aca="false">(B37+B41+B42)/Assumptions!$B$3*Assumptions!$B$10</f>
        <v>1575.96846790244</v>
      </c>
    </row>
    <row r="45" customFormat="false" ht="15" hidden="false" customHeight="false" outlineLevel="0" collapsed="false">
      <c r="A45" s="0" t="s">
        <v>124</v>
      </c>
      <c r="B45" s="4" t="n">
        <f aca="false">Assumptions!$B$6</f>
        <v>15</v>
      </c>
    </row>
    <row r="46" customFormat="false" ht="15" hidden="false" customHeight="false" outlineLevel="0" collapsed="false">
      <c r="A46" s="0" t="s">
        <v>184</v>
      </c>
      <c r="B46" s="0" t="n">
        <f aca="false">MAX(0,MIN(IF(B45&gt;B28,B31*(1+B28/100)/((B45-B28)/100),B31*B29),B31*B29))</f>
        <v>14346.0793564414</v>
      </c>
    </row>
    <row r="47" customFormat="false" ht="15" hidden="false" customHeight="false" outlineLevel="0" collapsed="false">
      <c r="A47" s="0" t="s">
        <v>185</v>
      </c>
      <c r="B47" s="0" t="n">
        <f aca="false">(SUMPRODUCT(C19:L19/(1+B45/100)^C4:L4)+B46/(1+B45/100)^L4+Assumptions!$B$5-Assumptions!$B$4)/Assumptions!$B$3*Assumptions!$B$10</f>
        <v>730.980762511867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188</v>
      </c>
    </row>
    <row r="3" customFormat="false" ht="15" hidden="false" customHeight="false" outlineLevel="0" collapsed="false">
      <c r="A3" s="2" t="s">
        <v>189</v>
      </c>
      <c r="B3" s="2" t="s">
        <v>190</v>
      </c>
      <c r="C3" s="2" t="s">
        <v>180</v>
      </c>
      <c r="D3" s="2" t="s">
        <v>191</v>
      </c>
      <c r="E3" s="2" t="s">
        <v>183</v>
      </c>
      <c r="F3" s="2" t="s">
        <v>192</v>
      </c>
    </row>
    <row r="4" customFormat="false" ht="15" hidden="false" customHeight="false" outlineLevel="0" collapsed="false">
      <c r="A4" s="0" t="s">
        <v>193</v>
      </c>
      <c r="B4" s="4" t="n">
        <f aca="false">DCF_Bear!$B$38</f>
        <v>533.121581654901</v>
      </c>
      <c r="C4" s="0" t="n">
        <f aca="false">B4/Assumptions!$B$2-1</f>
        <v>-0.390021073621395</v>
      </c>
      <c r="D4" s="4" t="n">
        <f aca="false">Assumptions!$B$24</f>
        <v>0.15</v>
      </c>
      <c r="E4" s="4" t="n">
        <f aca="false">DCF_Bear!$B$43</f>
        <v>660.334503459639</v>
      </c>
      <c r="F4" s="4" t="n">
        <f aca="false">DCF_Bear!$B$47</f>
        <v>359.80324662217</v>
      </c>
    </row>
    <row r="5" customFormat="false" ht="15" hidden="false" customHeight="false" outlineLevel="0" collapsed="false">
      <c r="A5" s="0" t="s">
        <v>194</v>
      </c>
      <c r="B5" s="4" t="n">
        <f aca="false">DCF_Base!$B$38</f>
        <v>929.816465555556</v>
      </c>
      <c r="C5" s="0" t="n">
        <f aca="false">B5/Assumptions!$B$2-1</f>
        <v>0.0638632329010942</v>
      </c>
      <c r="D5" s="4" t="n">
        <f aca="false">Assumptions!$B$38</f>
        <v>0.5</v>
      </c>
      <c r="E5" s="4" t="n">
        <f aca="false">DCF_Base!$B$43</f>
        <v>1099.41979574797</v>
      </c>
      <c r="F5" s="4" t="n">
        <f aca="false">DCF_Base!$B$47</f>
        <v>534.589614246135</v>
      </c>
    </row>
    <row r="6" customFormat="false" ht="15" hidden="false" customHeight="false" outlineLevel="0" collapsed="false">
      <c r="A6" s="0" t="s">
        <v>195</v>
      </c>
      <c r="B6" s="4" t="n">
        <f aca="false">DCF_Bull!$B$38</f>
        <v>1393.19759763707</v>
      </c>
      <c r="C6" s="0" t="n">
        <f aca="false">B6/Assumptions!$B$2-1</f>
        <v>0.594047594550421</v>
      </c>
      <c r="D6" s="4" t="n">
        <f aca="false">Assumptions!$B$52</f>
        <v>0.35</v>
      </c>
      <c r="E6" s="4" t="n">
        <f aca="false">DCF_Bull!$B$43</f>
        <v>1575.96846790244</v>
      </c>
      <c r="F6" s="4" t="n">
        <f aca="false">DCF_Bull!$B$47</f>
        <v>730.980762511867</v>
      </c>
    </row>
    <row r="8" customFormat="false" ht="15" hidden="false" customHeight="false" outlineLevel="0" collapsed="false">
      <c r="A8" s="0" t="s">
        <v>196</v>
      </c>
      <c r="B8" s="0" t="n">
        <f aca="false">SUMPRODUCT(B4:B6,D4:D6)</f>
        <v>1032.49562919899</v>
      </c>
    </row>
    <row r="9" customFormat="false" ht="15" hidden="false" customHeight="false" outlineLevel="0" collapsed="false">
      <c r="A9" s="0" t="s">
        <v>197</v>
      </c>
      <c r="B9" s="0" t="n">
        <f aca="false">SUMPRODUCT(E4:E6,D4:D6)</f>
        <v>1200.34903715879</v>
      </c>
    </row>
    <row r="10" customFormat="false" ht="15" hidden="false" customHeight="false" outlineLevel="0" collapsed="false">
      <c r="A10" s="0" t="s">
        <v>198</v>
      </c>
      <c r="B10" s="0" t="n">
        <f aca="false">1-Assumptions!$B$2/B8</f>
        <v>0.153507312492885</v>
      </c>
    </row>
    <row r="11" customFormat="false" ht="15" hidden="false" customHeight="false" outlineLevel="0" collapsed="false">
      <c r="A11" s="0" t="s">
        <v>199</v>
      </c>
      <c r="B11" s="0" t="n">
        <f aca="false">IF(ABS(B9-B8)&gt;0.01*ABS(B8),(Assumptions!$B$2-B8)/(B9-B8)*100,"n/a")</f>
        <v>-94.4250290330398</v>
      </c>
    </row>
    <row r="12" customFormat="false" ht="15" hidden="false" customHeight="false" outlineLevel="0" collapsed="false">
      <c r="A12" s="0" t="s">
        <v>200</v>
      </c>
      <c r="B12" s="0" t="n">
        <f aca="false">SUMPRODUCT(F4:F6,D4:D6)</f>
        <v>577.108560995546</v>
      </c>
    </row>
    <row r="14" customFormat="false" ht="15" hidden="false" customHeight="false" outlineLevel="0" collapsed="false">
      <c r="A14" s="2" t="s">
        <v>201</v>
      </c>
      <c r="C14" s="0" t="s">
        <v>202</v>
      </c>
    </row>
    <row r="15" customFormat="false" ht="15" hidden="false" customHeight="false" outlineLevel="0" collapsed="false">
      <c r="A15" s="0" t="s">
        <v>203</v>
      </c>
      <c r="B15" s="0" t="n">
        <f aca="false">(SUMPRODUCT(DCF_Base!$C$19:$L$19/(1+$C$15/100)^DCF_Base!$C$4:$L$4)+MAX(0,MIN(IF($C$15&gt;DCF_Base!$B$28,DCF_Base!$L$19*(1+DCF_Base!$B$28/100)/(($C$15-DCF_Base!$B$28)/100),DCF_Base!$L$19*DCF_Base!$B$29),DCF_Base!$L$19*DCF_Base!$B$29))/(1+$C$15/100)^DCF_Base!$L$4+Assumptions!$B$5-Assumptions!$B$4)/Assumptions!$B$3*Assumptions!$B$10</f>
        <v>1002.80926989729</v>
      </c>
      <c r="C15" s="3" t="n">
        <v>9</v>
      </c>
    </row>
    <row r="16" customFormat="false" ht="15" hidden="false" customHeight="false" outlineLevel="0" collapsed="false">
      <c r="A16" s="0" t="s">
        <v>204</v>
      </c>
      <c r="B16" s="0" t="n">
        <f aca="false">(SUMPRODUCT(DCF_Base!$C$19:$L$19/(1+$C$16/100)^DCF_Base!$C$4:$L$4)+MAX(0,MIN(IF($C$16&gt;DCF_Base!$B$28,DCF_Base!$L$19*(1+DCF_Base!$B$28/100)/(($C$16-DCF_Base!$B$28)/100),DCF_Base!$L$19*DCF_Base!$B$29),DCF_Base!$L$19*DCF_Base!$B$29))/(1+$C$16/100)^DCF_Base!$L$4+Assumptions!$B$5-Assumptions!$B$4)/Assumptions!$B$3*Assumptions!$B$10</f>
        <v>929.816465555556</v>
      </c>
      <c r="C16" s="3" t="n">
        <v>9.5</v>
      </c>
    </row>
    <row r="17" customFormat="false" ht="15" hidden="false" customHeight="false" outlineLevel="0" collapsed="false">
      <c r="A17" s="0" t="s">
        <v>205</v>
      </c>
      <c r="B17" s="0" t="n">
        <f aca="false">(SUMPRODUCT(DCF_Base!$C$19:$L$19/(1+$C$17/100)^DCF_Base!$C$4:$L$4)+MAX(0,MIN(IF($C$17&gt;DCF_Base!$B$28,DCF_Base!$L$19*(1+DCF_Base!$B$28/100)/(($C$17-DCF_Base!$B$28)/100),DCF_Base!$L$19*DCF_Base!$B$29),DCF_Base!$L$19*DCF_Base!$B$29))/(1+$C$17/100)^DCF_Base!$L$4+Assumptions!$B$5-Assumptions!$B$4)/Assumptions!$B$3*Assumptions!$B$10</f>
        <v>867.434278860525</v>
      </c>
      <c r="C17" s="3" t="n">
        <v>10</v>
      </c>
    </row>
    <row r="18" customFormat="false" ht="15" hidden="false" customHeight="false" outlineLevel="0" collapsed="false">
      <c r="A18" s="0" t="s">
        <v>206</v>
      </c>
      <c r="B18" s="0" t="n">
        <f aca="false">(SUMPRODUCT(DCF_Base!$C$19:$L$19/(1+$C$18/100)^DCF_Base!$C$4:$L$4)+MAX(0,MIN(IF($C$18&gt;DCF_Base!$B$28,DCF_Base!$L$19*(1+DCF_Base!$B$28/100)/(($C$18-DCF_Base!$B$28)/100),DCF_Base!$L$19*DCF_Base!$B$29),DCF_Base!$L$19*DCF_Base!$B$29))/(1+$C$18/100)^DCF_Base!$L$4+Assumptions!$B$5-Assumptions!$B$4)/Assumptions!$B$3*Assumptions!$B$10</f>
        <v>766.519571592309</v>
      </c>
      <c r="C18" s="3" t="n">
        <v>11</v>
      </c>
    </row>
    <row r="19" customFormat="false" ht="15" hidden="false" customHeight="false" outlineLevel="0" collapsed="false">
      <c r="A19" s="0" t="s">
        <v>207</v>
      </c>
      <c r="B19" s="0" t="n">
        <f aca="false">(SUMPRODUCT(DCF_Base!$C$19:$L$19/(1+$C$19/100)^DCF_Base!$C$4:$L$4)+MAX(0,MIN(IF($C$19&gt;DCF_Base!$B$28,DCF_Base!$L$19*(1+DCF_Base!$B$28/100)/(($C$19-DCF_Base!$B$28)/100),DCF_Base!$L$19*DCF_Base!$B$29),DCF_Base!$L$19*DCF_Base!$B$29))/(1+$C$19/100)^DCF_Base!$L$4+Assumptions!$B$5-Assumptions!$B$4)/Assumptions!$B$3*Assumptions!$B$10</f>
        <v>688.537681293113</v>
      </c>
      <c r="C19" s="3" t="n">
        <v>12</v>
      </c>
    </row>
    <row r="20" customFormat="false" ht="15" hidden="false" customHeight="false" outlineLevel="0" collapsed="false">
      <c r="A20" s="0" t="s">
        <v>208</v>
      </c>
      <c r="B20" s="0" t="n">
        <f aca="false">(SUMPRODUCT(DCF_Base!$C$19:$L$19/(1+$C$20/100)^DCF_Base!$C$4:$L$4)+MAX(0,MIN(IF($C$20&gt;DCF_Base!$B$28,DCF_Base!$L$19*(1+DCF_Base!$B$28/100)/(($C$20-DCF_Base!$B$28)/100),DCF_Base!$L$19*DCF_Base!$B$29),DCF_Base!$L$19*DCF_Base!$B$29))/(1+$C$20/100)^DCF_Base!$L$4+Assumptions!$B$5-Assumptions!$B$4)/Assumptions!$B$3*Assumptions!$B$10</f>
        <v>534.589614246135</v>
      </c>
      <c r="C20" s="3" t="n">
        <v>15</v>
      </c>
    </row>
    <row r="22" customFormat="false" ht="15" hidden="false" customHeight="false" outlineLevel="0" collapsed="false">
      <c r="A22" s="2" t="s">
        <v>209</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1161.04822268782</v>
      </c>
      <c r="C24" s="0" t="n">
        <f aca="false">(SUMPRODUCT(DCF_Base!$C$19:$L$19/(1+$A$24/100)^DCF_Base!$C$4:$L$4)+MAX(0,MIN(IF($A$24&gt;$C$23,DCF_Base!$L$19*(1+$C$23/100)/(($A$24-$C$23)/100),DCF_Base!$L$19*DCF_Base!$B$29),DCF_Base!$L$19*DCF_Base!$B$29))/(1+$A$24/100)^DCF_Base!$L$4+Assumptions!$B$5-Assumptions!$B$4)/Assumptions!$B$3*Assumptions!$B$10</f>
        <v>1214.59231749814</v>
      </c>
      <c r="D24" s="0" t="n">
        <f aca="false">(SUMPRODUCT(DCF_Base!$C$19:$L$19/(1+$A$24/100)^DCF_Base!$C$4:$L$4)+MAX(0,MIN(IF($A$24&gt;$D$23,DCF_Base!$L$19*(1+$D$23/100)/(($A$24-$D$23)/100),DCF_Base!$L$19*DCF_Base!$B$29),DCF_Base!$L$19*DCF_Base!$B$29))/(1+$A$24/100)^DCF_Base!$L$4+Assumptions!$B$5-Assumptions!$B$4)/Assumptions!$B$3*Assumptions!$B$10</f>
        <v>1214.59231749814</v>
      </c>
      <c r="E24" s="0" t="n">
        <f aca="false">(SUMPRODUCT(DCF_Base!$C$19:$L$19/(1+$A$24/100)^DCF_Base!$C$4:$L$4)+MAX(0,MIN(IF($A$24&gt;$E$23,DCF_Base!$L$19*(1+$E$23/100)/(($A$24-$E$23)/100),DCF_Base!$L$19*DCF_Base!$B$29),DCF_Base!$L$19*DCF_Base!$B$29))/(1+$A$24/100)^DCF_Base!$L$4+Assumptions!$B$5-Assumptions!$B$4)/Assumptions!$B$3*Assumptions!$B$10</f>
        <v>1214.59231749814</v>
      </c>
      <c r="F24" s="0" t="n">
        <f aca="false">(SUMPRODUCT(DCF_Base!$C$19:$L$19/(1+$A$24/100)^DCF_Base!$C$4:$L$4)+MAX(0,MIN(IF($A$24&gt;$F$23,DCF_Base!$L$19*(1+$F$23/100)/(($A$24-$F$23)/100),DCF_Base!$L$19*DCF_Base!$B$29),DCF_Base!$L$19*DCF_Base!$B$29))/(1+$A$24/100)^DCF_Base!$L$4+Assumptions!$B$5-Assumptions!$B$4)/Assumptions!$B$3*Assumptions!$B$10</f>
        <v>1214.59231749814</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987.474218515668</v>
      </c>
      <c r="C25" s="0" t="n">
        <f aca="false">(SUMPRODUCT(DCF_Base!$C$19:$L$19/(1+$A$25/100)^DCF_Base!$C$4:$L$4)+MAX(0,MIN(IF($A$25&gt;$C$23,DCF_Base!$L$19*(1+$C$23/100)/(($A$25-$C$23)/100),DCF_Base!$L$19*DCF_Base!$B$29),DCF_Base!$L$19*DCF_Base!$B$29))/(1+$A$25/100)^DCF_Base!$L$4+Assumptions!$B$5-Assumptions!$B$4)/Assumptions!$B$3*Assumptions!$B$10</f>
        <v>1034.15162092993</v>
      </c>
      <c r="D25" s="0" t="n">
        <f aca="false">(SUMPRODUCT(DCF_Base!$C$19:$L$19/(1+$A$25/100)^DCF_Base!$C$4:$L$4)+MAX(0,MIN(IF($A$25&gt;$D$23,DCF_Base!$L$19*(1+$D$23/100)/(($A$25-$D$23)/100),DCF_Base!$L$19*DCF_Base!$B$29),DCF_Base!$L$19*DCF_Base!$B$29))/(1+$A$25/100)^DCF_Base!$L$4+Assumptions!$B$5-Assumptions!$B$4)/Assumptions!$B$3*Assumptions!$B$10</f>
        <v>1089.31582378315</v>
      </c>
      <c r="E25" s="0" t="n">
        <f aca="false">(SUMPRODUCT(DCF_Base!$C$19:$L$19/(1+$A$25/100)^DCF_Base!$C$4:$L$4)+MAX(0,MIN(IF($A$25&gt;$E$23,DCF_Base!$L$19*(1+$E$23/100)/(($A$25-$E$23)/100),DCF_Base!$L$19*DCF_Base!$B$29),DCF_Base!$L$19*DCF_Base!$B$29))/(1+$A$25/100)^DCF_Base!$L$4+Assumptions!$B$5-Assumptions!$B$4)/Assumptions!$B$3*Assumptions!$B$10</f>
        <v>1132.02359373402</v>
      </c>
      <c r="F25" s="0" t="n">
        <f aca="false">(SUMPRODUCT(DCF_Base!$C$19:$L$19/(1+$A$25/100)^DCF_Base!$C$4:$L$4)+MAX(0,MIN(IF($A$25&gt;$F$23,DCF_Base!$L$19*(1+$F$23/100)/(($A$25-$F$23)/100),DCF_Base!$L$19*DCF_Base!$B$29),DCF_Base!$L$19*DCF_Base!$B$29))/(1+$A$25/100)^DCF_Base!$L$4+Assumptions!$B$5-Assumptions!$B$4)/Assumptions!$B$3*Assumptions!$B$10</f>
        <v>1132.02359373402</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861.051499428348</v>
      </c>
      <c r="C26" s="0" t="n">
        <f aca="false">(SUMPRODUCT(DCF_Base!$C$19:$L$19/(1+$A$26/100)^DCF_Base!$C$4:$L$4)+MAX(0,MIN(IF($A$26&gt;$C$23,DCF_Base!$L$19*(1+$C$23/100)/(($A$26-$C$23)/100),DCF_Base!$L$19*DCF_Base!$B$29),DCF_Base!$L$19*DCF_Base!$B$29))/(1+$A$26/100)^DCF_Base!$L$4+Assumptions!$B$5-Assumptions!$B$4)/Assumptions!$B$3*Assumptions!$B$10</f>
        <v>892.978090844552</v>
      </c>
      <c r="D26" s="0" t="n">
        <f aca="false">(SUMPRODUCT(DCF_Base!$C$19:$L$19/(1+$A$26/100)^DCF_Base!$C$4:$L$4)+MAX(0,MIN(IF($A$26&gt;$D$23,DCF_Base!$L$19*(1+$D$23/100)/(($A$26-$D$23)/100),DCF_Base!$L$19*DCF_Base!$B$29),DCF_Base!$L$19*DCF_Base!$B$29))/(1+$A$26/100)^DCF_Base!$L$4+Assumptions!$B$5-Assumptions!$B$4)/Assumptions!$B$3*Assumptions!$B$10</f>
        <v>929.816465555556</v>
      </c>
      <c r="E26" s="0" t="n">
        <f aca="false">(SUMPRODUCT(DCF_Base!$C$19:$L$19/(1+$A$26/100)^DCF_Base!$C$4:$L$4)+MAX(0,MIN(IF($A$26&gt;$E$23,DCF_Base!$L$19*(1+$E$23/100)/(($A$26-$E$23)/100),DCF_Base!$L$19*DCF_Base!$B$29),DCF_Base!$L$19*DCF_Base!$B$29))/(1+$A$26/100)^DCF_Base!$L$4+Assumptions!$B$5-Assumptions!$B$4)/Assumptions!$B$3*Assumptions!$B$10</f>
        <v>972.794569385061</v>
      </c>
      <c r="F26" s="0" t="n">
        <f aca="false">(SUMPRODUCT(DCF_Base!$C$19:$L$19/(1+$A$26/100)^DCF_Base!$C$4:$L$4)+MAX(0,MIN(IF($A$26&gt;$F$23,DCF_Base!$L$19*(1+$F$23/100)/(($A$26-$F$23)/100),DCF_Base!$L$19*DCF_Base!$B$29),DCF_Base!$L$19*DCF_Base!$B$29))/(1+$A$26/100)^DCF_Base!$L$4+Assumptions!$B$5-Assumptions!$B$4)/Assumptions!$B$3*Assumptions!$B$10</f>
        <v>1023.58687391084</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765.080209946295</v>
      </c>
      <c r="C27" s="0" t="n">
        <f aca="false">(SUMPRODUCT(DCF_Base!$C$19:$L$19/(1+$A$27/100)^DCF_Base!$C$4:$L$4)+MAX(0,MIN(IF($A$27&gt;$C$23,DCF_Base!$L$19*(1+$C$23/100)/(($A$27-$C$23)/100),DCF_Base!$L$19*DCF_Base!$B$29),DCF_Base!$L$19*DCF_Base!$B$29))/(1+$A$27/100)^DCF_Base!$L$4+Assumptions!$B$5-Assumptions!$B$4)/Assumptions!$B$3*Assumptions!$B$10</f>
        <v>787.792949215864</v>
      </c>
      <c r="D27" s="0" t="n">
        <f aca="false">(SUMPRODUCT(DCF_Base!$C$19:$L$19/(1+$A$27/100)^DCF_Base!$C$4:$L$4)+MAX(0,MIN(IF($A$27&gt;$D$23,DCF_Base!$L$19*(1+$D$23/100)/(($A$27-$D$23)/100),DCF_Base!$L$19*DCF_Base!$B$29),DCF_Base!$L$19*DCF_Base!$B$29))/(1+$A$27/100)^DCF_Base!$L$4+Assumptions!$B$5-Assumptions!$B$4)/Assumptions!$B$3*Assumptions!$B$10</f>
        <v>813.534053721376</v>
      </c>
      <c r="E27" s="0" t="n">
        <f aca="false">(SUMPRODUCT(DCF_Base!$C$19:$L$19/(1+$A$27/100)^DCF_Base!$C$4:$L$4)+MAX(0,MIN(IF($A$27&gt;$E$23,DCF_Base!$L$19*(1+$E$23/100)/(($A$27-$E$23)/100),DCF_Base!$L$19*DCF_Base!$B$29),DCF_Base!$L$19*DCF_Base!$B$29))/(1+$A$27/100)^DCF_Base!$L$4+Assumptions!$B$5-Assumptions!$B$4)/Assumptions!$B$3*Assumptions!$B$10</f>
        <v>842.952458870532</v>
      </c>
      <c r="F27" s="0" t="n">
        <f aca="false">(SUMPRODUCT(DCF_Base!$C$19:$L$19/(1+$A$27/100)^DCF_Base!$C$4:$L$4)+MAX(0,MIN(IF($A$27&gt;$F$23,DCF_Base!$L$19*(1+$F$23/100)/(($A$27-$F$23)/100),DCF_Base!$L$19*DCF_Base!$B$29),DCF_Base!$L$19*DCF_Base!$B$29))/(1+$A$27/100)^DCF_Base!$L$4+Assumptions!$B$5-Assumptions!$B$4)/Assumptions!$B$3*Assumptions!$B$10</f>
        <v>876.896772504175</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689.8966115972</v>
      </c>
      <c r="C28" s="0" t="n">
        <f aca="false">(SUMPRODUCT(DCF_Base!$C$19:$L$19/(1+$A$28/100)^DCF_Base!$C$4:$L$4)+MAX(0,MIN(IF($A$28&gt;$C$23,DCF_Base!$L$19*(1+$C$23/100)/(($A$28-$C$23)/100),DCF_Base!$L$19*DCF_Base!$B$29),DCF_Base!$L$19*DCF_Base!$B$29))/(1+$A$28/100)^DCF_Base!$L$4+Assumptions!$B$5-Assumptions!$B$4)/Assumptions!$B$3*Assumptions!$B$10</f>
        <v>706.553696875137</v>
      </c>
      <c r="D28" s="0" t="n">
        <f aca="false">(SUMPRODUCT(DCF_Base!$C$19:$L$19/(1+$A$28/100)^DCF_Base!$C$4:$L$4)+MAX(0,MIN(IF($A$28&gt;$D$23,DCF_Base!$L$19*(1+$D$23/100)/(($A$28-$D$23)/100),DCF_Base!$L$19*DCF_Base!$B$29),DCF_Base!$L$19*DCF_Base!$B$29))/(1+$A$28/100)^DCF_Base!$L$4+Assumptions!$B$5-Assumptions!$B$4)/Assumptions!$B$3*Assumptions!$B$10</f>
        <v>725.170439244597</v>
      </c>
      <c r="E28" s="0" t="n">
        <f aca="false">(SUMPRODUCT(DCF_Base!$C$19:$L$19/(1+$A$28/100)^DCF_Base!$C$4:$L$4)+MAX(0,MIN(IF($A$28&gt;$E$23,DCF_Base!$L$19*(1+$E$23/100)/(($A$28-$E$23)/100),DCF_Base!$L$19*DCF_Base!$B$29),DCF_Base!$L$19*DCF_Base!$B$29))/(1+$A$28/100)^DCF_Base!$L$4+Assumptions!$B$5-Assumptions!$B$4)/Assumptions!$B$3*Assumptions!$B$10</f>
        <v>746.114274410239</v>
      </c>
      <c r="F28" s="0" t="n">
        <f aca="false">(SUMPRODUCT(DCF_Base!$C$19:$L$19/(1+$A$28/100)^DCF_Base!$C$4:$L$4)+MAX(0,MIN(IF($A$28&gt;$F$23,DCF_Base!$L$19*(1+$F$23/100)/(($A$28-$F$23)/100),DCF_Base!$L$19*DCF_Base!$B$29),DCF_Base!$L$19*DCF_Base!$B$29))/(1+$A$28/100)^DCF_Base!$L$4+Assumptions!$B$5-Assumptions!$B$4)/Assumptions!$B$3*Assumptions!$B$10</f>
        <v>769.8506209313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2026-10-05T20:30:52Z</dcterms:created>
  <dc:creator>openpyxl</dc:creator>
  <dc:description/>
  <dc:language>en-NZ</dc:language>
  <cp:lastModifiedBy/>
  <dcterms:modified xsi:type="dcterms:W3CDTF">2026-10-05T20:30:52Z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