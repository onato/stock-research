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DCF Model" sheetId="1" state="visible" r:id="rId1"/>
    <sheet xmlns:r="http://schemas.openxmlformats.org/officeDocument/2006/relationships" name="Scenarios" sheetId="2" state="visible" r:id="rId2"/>
    <sheet xmlns:r="http://schemas.openxmlformats.org/officeDocument/2006/relationships" name="Sensitivity" sheetId="3" state="visible" r:id="rId3"/>
    <sheet xmlns:r="http://schemas.openxmlformats.org/officeDocument/2006/relationships" name="FCF Quality" sheetId="4" state="visible" r:id="rId4"/>
    <sheet xmlns:r="http://schemas.openxmlformats.org/officeDocument/2006/relationships" name="Historical" sheetId="5" state="visible" r:id="rId5"/>
    <sheet xmlns:r="http://schemas.openxmlformats.org/officeDocument/2006/relationships" name="Model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&quot;$&quot;#,##0.00"/>
    <numFmt numFmtId="166" formatCode="0.0%"/>
    <numFmt numFmtId="167" formatCode="#,##0.0&quot;p&quot;"/>
  </numFmts>
  <fonts count="6">
    <font>
      <name val="Calibri"/>
      <family val="2"/>
      <color theme="1"/>
      <sz val="11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i val="1"/>
      <color rgb="FF808080"/>
      <sz val="11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theme="1"/>
      <sz val="11"/>
      <scheme val="minor"/>
    </font>
  </fonts>
  <fills count="5">
    <fill>
      <patternFill/>
    </fill>
    <fill>
      <patternFill patternType="gray125"/>
    </fill>
    <fill>
      <patternFill patternType="solid">
        <fgColor rgb="FFDFE6E9"/>
        <bgColor indexed="64"/>
      </patternFill>
    </fill>
    <fill>
      <patternFill patternType="solid">
        <fgColor rgb="FF2D3436"/>
        <bgColor indexed="64"/>
      </patternFill>
    </fill>
    <fill>
      <patternFill patternType="solid">
        <fgColor rgb="FF00B894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164" fontId="0" fillId="2" borderId="2" pivotButton="0" quotePrefix="0" xfId="0"/>
    <xf numFmtId="165" fontId="0" fillId="0" borderId="2" pivotButton="0" quotePrefix="0" xfId="0"/>
    <xf numFmtId="164" fontId="0" fillId="0" borderId="2" pivotButton="0" quotePrefix="0" xfId="0"/>
    <xf numFmtId="10" fontId="0" fillId="2" borderId="2" pivotButton="0" quotePrefix="0" xfId="0"/>
    <xf numFmtId="0" fontId="4" fillId="3" borderId="2" pivotButton="0" quotePrefix="0" xfId="0"/>
    <xf numFmtId="10" fontId="0" fillId="0" borderId="2" pivotButton="0" quotePrefix="0" xfId="0"/>
    <xf numFmtId="166" fontId="0" fillId="0" borderId="2" pivotButton="0" quotePrefix="0" xfId="0"/>
    <xf numFmtId="0" fontId="5" fillId="0" borderId="0" pivotButton="0" quotePrefix="0" xfId="0"/>
    <xf numFmtId="165" fontId="4" fillId="4" borderId="2" pivotButton="0" quotePrefix="0" xfId="0"/>
    <xf numFmtId="167" fontId="0" fillId="0" borderId="2" pivotButton="0" quotePrefix="0" xfId="0"/>
    <xf numFmtId="0" fontId="2" fillId="0" borderId="0" applyAlignment="1" pivotButton="0" quotePrefix="0" xfId="0">
      <alignment vertical="top" wrapText="1"/>
    </xf>
    <xf numFmtId="166" fontId="4" fillId="3" borderId="0" pivotButton="0" quotePrefix="0" xfId="0"/>
    <xf numFmtId="0" fontId="0" fillId="0" borderId="0" applyAlignment="1" pivotButton="0" quotePrefix="0" xfId="0">
      <alignment vertical="top" wrapText="1"/>
    </xf>
    <xf numFmtId="10" fontId="0" fillId="2" borderId="2" pivotButton="0" quotePrefix="0" xfId="0"/>
    <xf numFmtId="10" fontId="0" fillId="0" borderId="2" pivotButton="0" quotePrefix="0" xfId="0"/>
    <xf numFmtId="166" fontId="0" fillId="0" borderId="2" pivotButton="0" quotePrefix="0" xfId="0"/>
    <xf numFmtId="167" fontId="0" fillId="0" borderId="2" pivotButton="0" quotePrefix="0" xfId="0"/>
    <xf numFmtId="166" fontId="4" fillId="3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7"/>
  <sheetViews>
    <sheetView tabSelected="1" workbookViewId="0">
      <selection activeCell="A1" sqref="A1"/>
    </sheetView>
  </sheetViews>
  <sheetFormatPr baseColWidth="8" defaultRowHeight="15"/>
  <cols>
    <col width="30.7109375" customWidth="1" min="1" max="1"/>
    <col width="12.7109375" customWidth="1" min="2" max="12"/>
  </cols>
  <sheetData>
    <row r="1">
      <c r="A1" s="1" t="inlineStr">
        <is>
          <t>WISE.L (Wise Group plc) DCF Valuation Model -- Base Case</t>
        </is>
      </c>
    </row>
    <row r="2">
      <c r="A2" s="2" t="inlineStr">
        <is>
          <t>Gray cells are INPUTS. 10-year component build: EBITDA margin -&gt; less SBC -&gt; less D&amp;A -&gt; EBIT -&gt; tax -&gt; NOPAT -&gt; +D&amp;A -&gt; less capex -&gt; +/- working capital = Owner FCF. Terminal EBITDA margin repriced to 30.0% (flat from Y7) on 2026-08-28; was 36.0% and still climbing at Y10.</t>
        </is>
      </c>
    </row>
    <row r="3">
      <c r="A3" s="2" t="inlineStr">
        <is>
          <t>Valuation date 2026-08-28. Price quoted in GBp (LSE line); model currency USD millions unless noted.</t>
        </is>
      </c>
    </row>
    <row r="5">
      <c r="A5" s="3" t="inlineStr">
        <is>
          <t>KEY INPUTS</t>
        </is>
      </c>
    </row>
    <row r="6">
      <c r="A6" t="inlineStr">
        <is>
          <t>Current Stock Price (GBp, LSE)</t>
        </is>
      </c>
      <c r="B6" s="4" t="n">
        <v>980.2</v>
      </c>
    </row>
    <row r="7">
      <c r="A7" t="inlineStr">
        <is>
          <t>GBPUSD spot</t>
        </is>
      </c>
      <c r="B7" s="4" t="n">
        <v>1.3596</v>
      </c>
    </row>
    <row r="8">
      <c r="A8" t="inlineStr">
        <is>
          <t>Current Stock Price (USD equiv.)</t>
        </is>
      </c>
      <c r="B8" s="5">
        <f>B6*B7/100</f>
        <v/>
      </c>
    </row>
    <row r="9">
      <c r="A9" t="inlineStr">
        <is>
          <t>Shares Outstanding (M, fully diluted)</t>
        </is>
      </c>
      <c r="B9" s="4" t="n">
        <v>1002.5</v>
      </c>
    </row>
    <row r="10">
      <c r="A10" t="inlineStr">
        <is>
          <t>Net Corporate Cash (M) [negative = net cash]</t>
        </is>
      </c>
      <c r="B10" s="4" t="n">
        <v>-1873.7</v>
      </c>
    </row>
    <row r="11">
      <c r="A11" t="inlineStr">
        <is>
          <t>Net Debt for EV bridge (M)</t>
        </is>
      </c>
      <c r="B11" s="6">
        <f>B10</f>
        <v/>
      </c>
    </row>
    <row r="12">
      <c r="A12" t="inlineStr">
        <is>
          <t>Base Year Net Revenue (M, FY2026)</t>
        </is>
      </c>
      <c r="B12" s="4" t="n">
        <v>2502.8</v>
      </c>
    </row>
    <row r="13">
      <c r="A13" t="inlineStr">
        <is>
          <t>Reported FCF (M, FY2026)</t>
        </is>
      </c>
      <c r="B13" s="4" t="n">
        <v>637.5</v>
      </c>
    </row>
    <row r="14">
      <c r="A14" t="inlineStr">
        <is>
          <t>Less: SBC (M, FY2026)</t>
        </is>
      </c>
      <c r="B14" s="4" t="n">
        <v>95.5</v>
      </c>
    </row>
    <row r="15">
      <c r="A15" t="inlineStr">
        <is>
          <t>Less: Corporate Interest Income (M, FY2026)</t>
        </is>
      </c>
      <c r="B15" s="4" t="n">
        <v>63</v>
      </c>
    </row>
    <row r="16">
      <c r="A16" t="inlineStr">
        <is>
          <t>Owner FCF, FY2026 (M) [reference]</t>
        </is>
      </c>
      <c r="B16" s="6">
        <f>B13-B14-B15</f>
        <v/>
      </c>
    </row>
    <row r="18">
      <c r="A18" t="inlineStr">
        <is>
          <t>Annual Share Growth (uncovered dilution)</t>
        </is>
      </c>
      <c r="B18" s="17" t="n">
        <v>0</v>
      </c>
    </row>
    <row r="20">
      <c r="A20" t="inlineStr">
        <is>
          <t>WACC (base)</t>
        </is>
      </c>
      <c r="B20" s="17" t="n">
        <v>0.115</v>
      </c>
    </row>
    <row r="21">
      <c r="A21" t="inlineStr">
        <is>
          <t>Terminal Growth Rate (base)</t>
        </is>
      </c>
      <c r="B21" s="17" t="n">
        <v>0.03</v>
      </c>
    </row>
    <row r="22">
      <c r="A22" t="inlineStr">
        <is>
          <t>Terminal Cap Multiple</t>
        </is>
      </c>
      <c r="B22" s="4" t="n">
        <v>20</v>
      </c>
    </row>
    <row r="23">
      <c r="A23" t="inlineStr">
        <is>
          <t>D&amp;A (% of revenue)</t>
        </is>
      </c>
      <c r="B23" s="17" t="n">
        <v>0.0058</v>
      </c>
    </row>
    <row r="24">
      <c r="A24" t="inlineStr">
        <is>
          <t>Capex (% of revenue)</t>
        </is>
      </c>
      <c r="B24" s="17" t="n">
        <v>0.01</v>
      </c>
    </row>
    <row r="25">
      <c r="A25" t="inlineStr">
        <is>
          <t>Working Capital Capture (% of YoY revenue change)</t>
        </is>
      </c>
      <c r="B25" s="17" t="n">
        <v>-0.12</v>
      </c>
    </row>
    <row r="27">
      <c r="A27" s="3" t="inlineStr">
        <is>
          <t>GROWTH &amp; MARGIN ASSUMPTIONS (BASE)</t>
        </is>
      </c>
    </row>
    <row r="28">
      <c r="A28" s="8" t="n"/>
      <c r="B28" s="8" t="inlineStr">
        <is>
          <t>Y1</t>
        </is>
      </c>
      <c r="C28" s="8" t="inlineStr">
        <is>
          <t>Y2</t>
        </is>
      </c>
      <c r="D28" s="8" t="inlineStr">
        <is>
          <t>Y3</t>
        </is>
      </c>
      <c r="E28" s="8" t="inlineStr">
        <is>
          <t>Y4</t>
        </is>
      </c>
      <c r="F28" s="8" t="inlineStr">
        <is>
          <t>Y5</t>
        </is>
      </c>
      <c r="G28" s="8" t="inlineStr">
        <is>
          <t>Y6</t>
        </is>
      </c>
      <c r="H28" s="8" t="inlineStr">
        <is>
          <t>Y7</t>
        </is>
      </c>
      <c r="I28" s="8" t="inlineStr">
        <is>
          <t>Y8</t>
        </is>
      </c>
      <c r="J28" s="8" t="inlineStr">
        <is>
          <t>Y9</t>
        </is>
      </c>
      <c r="K28" s="8" t="inlineStr">
        <is>
          <t>Y10</t>
        </is>
      </c>
    </row>
    <row r="29">
      <c r="A29" t="inlineStr">
        <is>
          <t>Revenue Growth Rate</t>
        </is>
      </c>
      <c r="B29" s="17" t="n">
        <v>0.17</v>
      </c>
      <c r="C29" s="17" t="n">
        <v>0.155</v>
      </c>
      <c r="D29" s="17" t="n">
        <v>0.14</v>
      </c>
      <c r="E29" s="17" t="n">
        <v>0.125</v>
      </c>
      <c r="F29" s="17" t="n">
        <v>0.11</v>
      </c>
      <c r="G29" s="17" t="n">
        <v>0.095</v>
      </c>
      <c r="H29" s="17" t="n">
        <v>0.08500000000000001</v>
      </c>
      <c r="I29" s="17" t="n">
        <v>0.075</v>
      </c>
      <c r="J29" s="17" t="n">
        <v>0.065</v>
      </c>
      <c r="K29" s="17" t="n">
        <v>0.055</v>
      </c>
    </row>
    <row r="30">
      <c r="A30" t="inlineStr">
        <is>
          <t>Adj. EBITDA Margin (% of revenue)</t>
        </is>
      </c>
      <c r="B30" s="17" t="n">
        <v>0.2925</v>
      </c>
      <c r="C30" s="17" t="n">
        <v>0.2938</v>
      </c>
      <c r="D30" s="17" t="n">
        <v>0.295</v>
      </c>
      <c r="E30" s="17" t="n">
        <v>0.2962</v>
      </c>
      <c r="F30" s="17" t="n">
        <v>0.2975</v>
      </c>
      <c r="G30" s="17" t="n">
        <v>0.2988</v>
      </c>
      <c r="H30" s="17" t="n">
        <v>0.3</v>
      </c>
      <c r="I30" s="17" t="n">
        <v>0.3</v>
      </c>
      <c r="J30" s="17" t="n">
        <v>0.3</v>
      </c>
      <c r="K30" s="17" t="n">
        <v>0.3</v>
      </c>
    </row>
    <row r="31">
      <c r="A31" t="inlineStr">
        <is>
          <t>SBC (% of revenue)</t>
        </is>
      </c>
      <c r="B31" s="17" t="n">
        <v>0.0369</v>
      </c>
      <c r="C31" s="17" t="n">
        <v>0.0359</v>
      </c>
      <c r="D31" s="17" t="n">
        <v>0.035</v>
      </c>
      <c r="E31" s="17" t="n">
        <v>0.0342</v>
      </c>
      <c r="F31" s="17" t="n">
        <v>0.0335</v>
      </c>
      <c r="G31" s="17" t="n">
        <v>0.0327</v>
      </c>
      <c r="H31" s="17" t="n">
        <v>0.032</v>
      </c>
      <c r="I31" s="17" t="n">
        <v>0.0313</v>
      </c>
      <c r="J31" s="17" t="n">
        <v>0.0307</v>
      </c>
      <c r="K31" s="17" t="n">
        <v>0.03</v>
      </c>
    </row>
    <row r="32">
      <c r="A32" t="inlineStr">
        <is>
          <t>Cash Tax Rate (% of EBIT)</t>
        </is>
      </c>
      <c r="B32" s="17" t="n">
        <v>0.26</v>
      </c>
      <c r="C32" s="17" t="n">
        <v>0.26</v>
      </c>
      <c r="D32" s="17" t="n">
        <v>0.26</v>
      </c>
      <c r="E32" s="17" t="n">
        <v>0.26</v>
      </c>
      <c r="F32" s="17" t="n">
        <v>0.26</v>
      </c>
      <c r="G32" s="17" t="n">
        <v>0.26</v>
      </c>
      <c r="H32" s="17" t="n">
        <v>0.26</v>
      </c>
      <c r="I32" s="17" t="n">
        <v>0.26</v>
      </c>
      <c r="J32" s="17" t="n">
        <v>0.26</v>
      </c>
      <c r="K32" s="17" t="n">
        <v>0.26</v>
      </c>
    </row>
    <row r="34">
      <c r="A34" s="3" t="inlineStr">
        <is>
          <t>PROJECTIONS (COMPONENT BUILD)</t>
        </is>
      </c>
    </row>
    <row r="35">
      <c r="A35" s="8" t="n"/>
      <c r="B35" s="8" t="inlineStr">
        <is>
          <t>Y1</t>
        </is>
      </c>
      <c r="C35" s="8" t="inlineStr">
        <is>
          <t>Y2</t>
        </is>
      </c>
      <c r="D35" s="8" t="inlineStr">
        <is>
          <t>Y3</t>
        </is>
      </c>
      <c r="E35" s="8" t="inlineStr">
        <is>
          <t>Y4</t>
        </is>
      </c>
      <c r="F35" s="8" t="inlineStr">
        <is>
          <t>Y5</t>
        </is>
      </c>
      <c r="G35" s="8" t="inlineStr">
        <is>
          <t>Y6</t>
        </is>
      </c>
      <c r="H35" s="8" t="inlineStr">
        <is>
          <t>Y7</t>
        </is>
      </c>
      <c r="I35" s="8" t="inlineStr">
        <is>
          <t>Y8</t>
        </is>
      </c>
      <c r="J35" s="8" t="inlineStr">
        <is>
          <t>Y9</t>
        </is>
      </c>
      <c r="K35" s="8" t="inlineStr">
        <is>
          <t>Y10</t>
        </is>
      </c>
    </row>
    <row r="36">
      <c r="A36" t="inlineStr">
        <is>
          <t>Revenue</t>
        </is>
      </c>
      <c r="B36" s="6">
        <f>$B$12*(1+B29)</f>
        <v/>
      </c>
      <c r="C36" s="6">
        <f>B36*(1+C29)</f>
        <v/>
      </c>
      <c r="D36" s="6">
        <f>C36*(1+D29)</f>
        <v/>
      </c>
      <c r="E36" s="6">
        <f>D36*(1+E29)</f>
        <v/>
      </c>
      <c r="F36" s="6">
        <f>E36*(1+F29)</f>
        <v/>
      </c>
      <c r="G36" s="6">
        <f>F36*(1+G29)</f>
        <v/>
      </c>
      <c r="H36" s="6">
        <f>G36*(1+H29)</f>
        <v/>
      </c>
      <c r="I36" s="6">
        <f>H36*(1+I29)</f>
        <v/>
      </c>
      <c r="J36" s="6">
        <f>I36*(1+J29)</f>
        <v/>
      </c>
      <c r="K36" s="6">
        <f>J36*(1+K29)</f>
        <v/>
      </c>
    </row>
    <row r="37">
      <c r="A37" t="inlineStr">
        <is>
          <t>Adj. EBITDA</t>
        </is>
      </c>
      <c r="B37" s="6">
        <f>B36*B30</f>
        <v/>
      </c>
      <c r="C37" s="6">
        <f>C36*C30</f>
        <v/>
      </c>
      <c r="D37" s="6">
        <f>D36*D30</f>
        <v/>
      </c>
      <c r="E37" s="6">
        <f>E36*E30</f>
        <v/>
      </c>
      <c r="F37" s="6">
        <f>F36*F30</f>
        <v/>
      </c>
      <c r="G37" s="6">
        <f>G36*G30</f>
        <v/>
      </c>
      <c r="H37" s="6">
        <f>H36*H30</f>
        <v/>
      </c>
      <c r="I37" s="6">
        <f>I36*I30</f>
        <v/>
      </c>
      <c r="J37" s="6">
        <f>J36*J30</f>
        <v/>
      </c>
      <c r="K37" s="6">
        <f>K36*K30</f>
        <v/>
      </c>
    </row>
    <row r="38">
      <c r="A38" t="inlineStr">
        <is>
          <t>Less: SBC</t>
        </is>
      </c>
      <c r="B38" s="6">
        <f>B36*B31</f>
        <v/>
      </c>
      <c r="C38" s="6">
        <f>C36*C31</f>
        <v/>
      </c>
      <c r="D38" s="6">
        <f>D36*D31</f>
        <v/>
      </c>
      <c r="E38" s="6">
        <f>E36*E31</f>
        <v/>
      </c>
      <c r="F38" s="6">
        <f>F36*F31</f>
        <v/>
      </c>
      <c r="G38" s="6">
        <f>G36*G31</f>
        <v/>
      </c>
      <c r="H38" s="6">
        <f>H36*H31</f>
        <v/>
      </c>
      <c r="I38" s="6">
        <f>I36*I31</f>
        <v/>
      </c>
      <c r="J38" s="6">
        <f>J36*J31</f>
        <v/>
      </c>
      <c r="K38" s="6">
        <f>K36*K31</f>
        <v/>
      </c>
    </row>
    <row r="39">
      <c r="A39" t="inlineStr">
        <is>
          <t>Owner EBITDA (Adj. EBITDA - SBC)</t>
        </is>
      </c>
      <c r="B39" s="6">
        <f>B37-B38</f>
        <v/>
      </c>
      <c r="C39" s="6">
        <f>C37-C38</f>
        <v/>
      </c>
      <c r="D39" s="6">
        <f>D37-D38</f>
        <v/>
      </c>
      <c r="E39" s="6">
        <f>E37-E38</f>
        <v/>
      </c>
      <c r="F39" s="6">
        <f>F37-F38</f>
        <v/>
      </c>
      <c r="G39" s="6">
        <f>G37-G38</f>
        <v/>
      </c>
      <c r="H39" s="6">
        <f>H37-H38</f>
        <v/>
      </c>
      <c r="I39" s="6">
        <f>I37-I38</f>
        <v/>
      </c>
      <c r="J39" s="6">
        <f>J37-J38</f>
        <v/>
      </c>
      <c r="K39" s="6">
        <f>K37-K38</f>
        <v/>
      </c>
    </row>
    <row r="40">
      <c r="A40" t="inlineStr">
        <is>
          <t>Less: D&amp;A</t>
        </is>
      </c>
      <c r="B40" s="6">
        <f>B36*$B$23</f>
        <v/>
      </c>
      <c r="C40" s="6">
        <f>C36*$B$23</f>
        <v/>
      </c>
      <c r="D40" s="6">
        <f>D36*$B$23</f>
        <v/>
      </c>
      <c r="E40" s="6">
        <f>E36*$B$23</f>
        <v/>
      </c>
      <c r="F40" s="6">
        <f>F36*$B$23</f>
        <v/>
      </c>
      <c r="G40" s="6">
        <f>G36*$B$23</f>
        <v/>
      </c>
      <c r="H40" s="6">
        <f>H36*$B$23</f>
        <v/>
      </c>
      <c r="I40" s="6">
        <f>I36*$B$23</f>
        <v/>
      </c>
      <c r="J40" s="6">
        <f>J36*$B$23</f>
        <v/>
      </c>
      <c r="K40" s="6">
        <f>K36*$B$23</f>
        <v/>
      </c>
    </row>
    <row r="41">
      <c r="A41" t="inlineStr">
        <is>
          <t>EBIT</t>
        </is>
      </c>
      <c r="B41" s="6">
        <f>B39-B40</f>
        <v/>
      </c>
      <c r="C41" s="6">
        <f>C39-C40</f>
        <v/>
      </c>
      <c r="D41" s="6">
        <f>D39-D40</f>
        <v/>
      </c>
      <c r="E41" s="6">
        <f>E39-E40</f>
        <v/>
      </c>
      <c r="F41" s="6">
        <f>F39-F40</f>
        <v/>
      </c>
      <c r="G41" s="6">
        <f>G39-G40</f>
        <v/>
      </c>
      <c r="H41" s="6">
        <f>H39-H40</f>
        <v/>
      </c>
      <c r="I41" s="6">
        <f>I39-I40</f>
        <v/>
      </c>
      <c r="J41" s="6">
        <f>J39-J40</f>
        <v/>
      </c>
      <c r="K41" s="6">
        <f>K39-K40</f>
        <v/>
      </c>
    </row>
    <row r="42">
      <c r="A42" t="inlineStr">
        <is>
          <t>Cash Tax Rate</t>
        </is>
      </c>
      <c r="B42" s="18">
        <f>B32</f>
        <v/>
      </c>
      <c r="C42" s="18">
        <f>C32</f>
        <v/>
      </c>
      <c r="D42" s="18">
        <f>D32</f>
        <v/>
      </c>
      <c r="E42" s="18">
        <f>E32</f>
        <v/>
      </c>
      <c r="F42" s="18">
        <f>F32</f>
        <v/>
      </c>
      <c r="G42" s="18">
        <f>G32</f>
        <v/>
      </c>
      <c r="H42" s="18">
        <f>H32</f>
        <v/>
      </c>
      <c r="I42" s="18">
        <f>I32</f>
        <v/>
      </c>
      <c r="J42" s="18">
        <f>J32</f>
        <v/>
      </c>
      <c r="K42" s="18">
        <f>K32</f>
        <v/>
      </c>
    </row>
    <row r="43">
      <c r="A43" t="inlineStr">
        <is>
          <t>NOPAT</t>
        </is>
      </c>
      <c r="B43" s="6">
        <f>B41*(1-B32)</f>
        <v/>
      </c>
      <c r="C43" s="6">
        <f>C41*(1-C32)</f>
        <v/>
      </c>
      <c r="D43" s="6">
        <f>D41*(1-D32)</f>
        <v/>
      </c>
      <c r="E43" s="6">
        <f>E41*(1-E32)</f>
        <v/>
      </c>
      <c r="F43" s="6">
        <f>F41*(1-F32)</f>
        <v/>
      </c>
      <c r="G43" s="6">
        <f>G41*(1-G32)</f>
        <v/>
      </c>
      <c r="H43" s="6">
        <f>H41*(1-H32)</f>
        <v/>
      </c>
      <c r="I43" s="6">
        <f>I41*(1-I32)</f>
        <v/>
      </c>
      <c r="J43" s="6">
        <f>J41*(1-J32)</f>
        <v/>
      </c>
      <c r="K43" s="6">
        <f>K41*(1-K32)</f>
        <v/>
      </c>
    </row>
    <row r="44">
      <c r="A44" t="inlineStr">
        <is>
          <t>Less: Capex</t>
        </is>
      </c>
      <c r="B44" s="6">
        <f>B36*$B$24</f>
        <v/>
      </c>
      <c r="C44" s="6">
        <f>C36*$B$24</f>
        <v/>
      </c>
      <c r="D44" s="6">
        <f>D36*$B$24</f>
        <v/>
      </c>
      <c r="E44" s="6">
        <f>E36*$B$24</f>
        <v/>
      </c>
      <c r="F44" s="6">
        <f>F36*$B$24</f>
        <v/>
      </c>
      <c r="G44" s="6">
        <f>G36*$B$24</f>
        <v/>
      </c>
      <c r="H44" s="6">
        <f>H36*$B$24</f>
        <v/>
      </c>
      <c r="I44" s="6">
        <f>I36*$B$24</f>
        <v/>
      </c>
      <c r="J44" s="6">
        <f>J36*$B$24</f>
        <v/>
      </c>
      <c r="K44" s="6">
        <f>K36*$B$24</f>
        <v/>
      </c>
    </row>
    <row r="45">
      <c r="A45" t="inlineStr">
        <is>
          <t>+/- Working Capital (capture x YoY rev change)</t>
        </is>
      </c>
      <c r="B45" s="6">
        <f>$B$25*(B36-$B$12)</f>
        <v/>
      </c>
      <c r="C45" s="6">
        <f>$B$25*(C36-B36)</f>
        <v/>
      </c>
      <c r="D45" s="6">
        <f>$B$25*(D36-C36)</f>
        <v/>
      </c>
      <c r="E45" s="6">
        <f>$B$25*(E36-D36)</f>
        <v/>
      </c>
      <c r="F45" s="6">
        <f>$B$25*(F36-E36)</f>
        <v/>
      </c>
      <c r="G45" s="6">
        <f>$B$25*(G36-F36)</f>
        <v/>
      </c>
      <c r="H45" s="6">
        <f>$B$25*(H36-G36)</f>
        <v/>
      </c>
      <c r="I45" s="6">
        <f>$B$25*(I36-H36)</f>
        <v/>
      </c>
      <c r="J45" s="6">
        <f>$B$25*(J36-I36)</f>
        <v/>
      </c>
      <c r="K45" s="6">
        <f>$B$25*(K36-J36)</f>
        <v/>
      </c>
    </row>
    <row r="46">
      <c r="A46" t="inlineStr">
        <is>
          <t>Owner Free Cash Flow</t>
        </is>
      </c>
      <c r="B46" s="6">
        <f>B43+B40-B44+B45</f>
        <v/>
      </c>
      <c r="C46" s="6">
        <f>C43+C40-C44+C45</f>
        <v/>
      </c>
      <c r="D46" s="6">
        <f>D43+D40-D44+D45</f>
        <v/>
      </c>
      <c r="E46" s="6">
        <f>E43+E40-E44+E45</f>
        <v/>
      </c>
      <c r="F46" s="6">
        <f>F43+F40-F44+F45</f>
        <v/>
      </c>
      <c r="G46" s="6">
        <f>G43+G40-G44+G45</f>
        <v/>
      </c>
      <c r="H46" s="6">
        <f>H43+H40-H44+H45</f>
        <v/>
      </c>
      <c r="I46" s="6">
        <f>I43+I40-I44+I45</f>
        <v/>
      </c>
      <c r="J46" s="6">
        <f>J43+J40-J44+J45</f>
        <v/>
      </c>
      <c r="K46" s="6">
        <f>K43+K40-K44+K45</f>
        <v/>
      </c>
    </row>
    <row r="47">
      <c r="A47" t="inlineStr">
        <is>
          <t>Owner FCF Margin (% of revenue)</t>
        </is>
      </c>
      <c r="B47" s="19">
        <f>B46/B36</f>
        <v/>
      </c>
      <c r="C47" s="19">
        <f>C46/C36</f>
        <v/>
      </c>
      <c r="D47" s="19">
        <f>D46/D36</f>
        <v/>
      </c>
      <c r="E47" s="19">
        <f>E46/E36</f>
        <v/>
      </c>
      <c r="F47" s="19">
        <f>F46/F36</f>
        <v/>
      </c>
      <c r="G47" s="19">
        <f>G46/G36</f>
        <v/>
      </c>
      <c r="H47" s="19">
        <f>H46/H36</f>
        <v/>
      </c>
      <c r="I47" s="19">
        <f>I46/I36</f>
        <v/>
      </c>
      <c r="J47" s="19">
        <f>J46/J36</f>
        <v/>
      </c>
      <c r="K47" s="19">
        <f>K46/K36</f>
        <v/>
      </c>
    </row>
    <row r="48">
      <c r="A48" t="inlineStr">
        <is>
          <t>Projected Shares Outstanding (M)</t>
        </is>
      </c>
      <c r="B48" s="6">
        <f>$B$9*(1+$B$18)</f>
        <v/>
      </c>
      <c r="C48" s="6">
        <f>B48*(1+$B$18)</f>
        <v/>
      </c>
      <c r="D48" s="6">
        <f>C48*(1+$B$18)</f>
        <v/>
      </c>
      <c r="E48" s="6">
        <f>D48*(1+$B$18)</f>
        <v/>
      </c>
      <c r="F48" s="6">
        <f>E48*(1+$B$18)</f>
        <v/>
      </c>
      <c r="G48" s="6">
        <f>F48*(1+$B$18)</f>
        <v/>
      </c>
      <c r="H48" s="6">
        <f>G48*(1+$B$18)</f>
        <v/>
      </c>
      <c r="I48" s="6">
        <f>H48*(1+$B$18)</f>
        <v/>
      </c>
      <c r="J48" s="6">
        <f>I48*(1+$B$18)</f>
        <v/>
      </c>
      <c r="K48" s="6">
        <f>J48*(1+$B$18)</f>
        <v/>
      </c>
    </row>
    <row r="49">
      <c r="A49" t="inlineStr">
        <is>
          <t>Discount Factor</t>
        </is>
      </c>
      <c r="B49" s="6">
        <f>1/(1+$B$20)^1</f>
        <v/>
      </c>
      <c r="C49" s="6">
        <f>1/(1+$B$20)^2</f>
        <v/>
      </c>
      <c r="D49" s="6">
        <f>1/(1+$B$20)^3</f>
        <v/>
      </c>
      <c r="E49" s="6">
        <f>1/(1+$B$20)^4</f>
        <v/>
      </c>
      <c r="F49" s="6">
        <f>1/(1+$B$20)^5</f>
        <v/>
      </c>
      <c r="G49" s="6">
        <f>1/(1+$B$20)^6</f>
        <v/>
      </c>
      <c r="H49" s="6">
        <f>1/(1+$B$20)^7</f>
        <v/>
      </c>
      <c r="I49" s="6">
        <f>1/(1+$B$20)^8</f>
        <v/>
      </c>
      <c r="J49" s="6">
        <f>1/(1+$B$20)^9</f>
        <v/>
      </c>
      <c r="K49" s="6">
        <f>1/(1+$B$20)^10</f>
        <v/>
      </c>
    </row>
    <row r="50">
      <c r="A50" t="inlineStr">
        <is>
          <t>PV of Owner FCF</t>
        </is>
      </c>
      <c r="B50" s="6">
        <f>B46*B49</f>
        <v/>
      </c>
      <c r="C50" s="6">
        <f>C46*C49</f>
        <v/>
      </c>
      <c r="D50" s="6">
        <f>D46*D49</f>
        <v/>
      </c>
      <c r="E50" s="6">
        <f>E46*E49</f>
        <v/>
      </c>
      <c r="F50" s="6">
        <f>F46*F49</f>
        <v/>
      </c>
      <c r="G50" s="6">
        <f>G46*G49</f>
        <v/>
      </c>
      <c r="H50" s="6">
        <f>H46*H49</f>
        <v/>
      </c>
      <c r="I50" s="6">
        <f>I46*I49</f>
        <v/>
      </c>
      <c r="J50" s="6">
        <f>J46*J49</f>
        <v/>
      </c>
      <c r="K50" s="6">
        <f>K46*K49</f>
        <v/>
      </c>
    </row>
    <row r="53">
      <c r="A53" s="3" t="inlineStr">
        <is>
          <t>VALUATION</t>
        </is>
      </c>
    </row>
    <row r="54">
      <c r="A54" t="inlineStr">
        <is>
          <t>Sum of PV of FCF (Yrs 1-10)</t>
        </is>
      </c>
      <c r="B54" s="6">
        <f>SUM(B50:K50)</f>
        <v/>
      </c>
    </row>
    <row r="55">
      <c r="A55" t="inlineStr">
        <is>
          <t>Terminal FCF (Year 10 x (1+g))</t>
        </is>
      </c>
      <c r="B55" s="6">
        <f>K46*(1+$B$21)</f>
        <v/>
      </c>
    </row>
    <row r="56">
      <c r="A56" t="inlineStr">
        <is>
          <t>Gordon Terminal Value</t>
        </is>
      </c>
      <c r="B56" s="6">
        <f>B55/($B$20-$B$21)</f>
        <v/>
      </c>
    </row>
    <row r="57">
      <c r="A57" t="inlineStr">
        <is>
          <t>Cap Terminal Value (20x terminal FCF)</t>
        </is>
      </c>
      <c r="B57" s="6">
        <f>K46*$B$22</f>
        <v/>
      </c>
    </row>
    <row r="58">
      <c r="A58" t="inlineStr">
        <is>
          <t>Terminal Value (MIN of Gordon, Cap)</t>
        </is>
      </c>
      <c r="B58" s="6">
        <f>MIN(B56,B57)</f>
        <v/>
      </c>
    </row>
    <row r="59">
      <c r="A59" t="inlineStr">
        <is>
          <t>PV of Terminal Value</t>
        </is>
      </c>
      <c r="B59" s="6">
        <f>B58*K49</f>
        <v/>
      </c>
    </row>
    <row r="60">
      <c r="A60" t="inlineStr">
        <is>
          <t>Enterprise Value</t>
        </is>
      </c>
      <c r="B60" s="6">
        <f>B54+B59</f>
        <v/>
      </c>
    </row>
    <row r="61">
      <c r="A61" t="inlineStr">
        <is>
          <t>Less: Net Debt (negative = net cash added)</t>
        </is>
      </c>
      <c r="B61" s="6">
        <f>B11</f>
        <v/>
      </c>
    </row>
    <row r="62">
      <c r="A62" t="inlineStr">
        <is>
          <t>Equity Value</t>
        </is>
      </c>
      <c r="B62" s="6">
        <f>B60-B61</f>
        <v/>
      </c>
    </row>
    <row r="63">
      <c r="A63" s="11" t="inlineStr">
        <is>
          <t>INTRINSIC VALUE/SHARE (USD)</t>
        </is>
      </c>
      <c r="B63" s="12">
        <f>B62/K48</f>
        <v/>
      </c>
    </row>
    <row r="64">
      <c r="A64" t="inlineStr">
        <is>
          <t>Intrinsic Value/Share (GBp equiv.)</t>
        </is>
      </c>
      <c r="B64" s="20">
        <f>B63/$B$7*100</f>
        <v/>
      </c>
    </row>
    <row r="65">
      <c r="A65" t="inlineStr">
        <is>
          <t>Terminal Value as % of EV</t>
        </is>
      </c>
      <c r="B65" s="19">
        <f>B59/B60</f>
        <v/>
      </c>
    </row>
    <row r="66">
      <c r="A66" t="inlineStr">
        <is>
          <t>Implied Exit Multiple (TV / Year 10 FCF)</t>
        </is>
      </c>
      <c r="B66" s="6">
        <f>B58/K46</f>
        <v/>
      </c>
    </row>
    <row r="69">
      <c r="A69" s="3" t="inlineStr">
        <is>
          <t>ENTRY PRICE (15% IRR Target, full 10-yr formula)</t>
        </is>
      </c>
    </row>
    <row r="70">
      <c r="A70" t="inlineStr">
        <is>
          <t>PV of Yrs 1-10 FCF @15% hurdle</t>
        </is>
      </c>
      <c r="B70" s="6">
        <f>NPV(0.15,B46:K46)</f>
        <v/>
      </c>
    </row>
    <row r="71">
      <c r="A71" t="inlineStr">
        <is>
          <t>PV of Terminal Value @15% hurdle</t>
        </is>
      </c>
      <c r="B71" s="6">
        <f>B58/(1.15^10)</f>
        <v/>
      </c>
    </row>
    <row r="72">
      <c r="A72" t="inlineStr">
        <is>
          <t>Less: Net Debt</t>
        </is>
      </c>
      <c r="B72" s="6">
        <f>B11</f>
        <v/>
      </c>
    </row>
    <row r="73">
      <c r="A73" s="11" t="inlineStr">
        <is>
          <t>ENTRY PRICE (15% IRR), USD</t>
        </is>
      </c>
      <c r="B73" s="12">
        <f>(B70+B71-B72)/K48</f>
        <v/>
      </c>
    </row>
    <row r="74">
      <c r="A74" t="inlineStr">
        <is>
          <t>Entry Price (GBp equiv.)</t>
        </is>
      </c>
      <c r="B74" s="20">
        <f>B73/$B$7*100</f>
        <v/>
      </c>
    </row>
    <row r="76">
      <c r="A76" t="inlineStr">
        <is>
          <t>Upside to Intrinsic Value</t>
        </is>
      </c>
      <c r="B76" s="19">
        <f>(B63-B8)/B8</f>
        <v/>
      </c>
    </row>
    <row r="77">
      <c r="A77" t="inlineStr">
        <is>
          <t>Discount of Entry Price to Current</t>
        </is>
      </c>
      <c r="B77" s="19">
        <f>(B8-B73)/B8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32.7109375" customWidth="1" min="1" max="1"/>
    <col width="16.7109375" customWidth="1" min="2" max="4"/>
  </cols>
  <sheetData>
    <row r="1">
      <c r="A1" s="1" t="inlineStr">
        <is>
          <t>Scenario Comparison</t>
        </is>
      </c>
    </row>
    <row r="2">
      <c r="A2" s="2" t="inlineStr">
        <is>
          <t>Values as computed in WISE.L_DCF.json (10-year component build), refreshed 2026-08-28. Bear case uses distributable net cash ($1,200m) not the full $1,873.7m. This sheet is a static summary; the DCF Model sheet is the live base-case calculator.</t>
        </is>
      </c>
    </row>
    <row r="4">
      <c r="A4" s="8" t="n"/>
      <c r="B4" s="8" t="inlineStr">
        <is>
          <t>Bear</t>
        </is>
      </c>
      <c r="C4" s="8" t="inlineStr">
        <is>
          <t>Base</t>
        </is>
      </c>
      <c r="D4" s="8" t="inlineStr">
        <is>
          <t>Bull</t>
        </is>
      </c>
    </row>
    <row r="6">
      <c r="A6" t="inlineStr">
        <is>
          <t>WACC</t>
        </is>
      </c>
      <c r="B6" s="19" t="n">
        <v>0.13</v>
      </c>
      <c r="C6" s="19" t="n">
        <v>0.115</v>
      </c>
      <c r="D6" s="19" t="n">
        <v>0.105</v>
      </c>
    </row>
    <row r="7">
      <c r="A7" t="inlineStr">
        <is>
          <t>Terminal Growth</t>
        </is>
      </c>
      <c r="B7" s="19" t="n">
        <v>0.02</v>
      </c>
      <c r="C7" s="19" t="n">
        <v>0.03</v>
      </c>
      <c r="D7" s="19" t="n">
        <v>0.035</v>
      </c>
    </row>
    <row r="8">
      <c r="A8" t="inlineStr">
        <is>
          <t>Intrinsic Value/Share (USD)</t>
        </is>
      </c>
      <c r="B8" s="5" t="n">
        <v>6.08</v>
      </c>
      <c r="C8" s="5" t="n">
        <v>11.7</v>
      </c>
      <c r="D8" s="5" t="n">
        <v>19.31</v>
      </c>
    </row>
    <row r="9">
      <c r="A9" t="inlineStr">
        <is>
          <t>Intrinsic Value/Share (GBp)</t>
        </is>
      </c>
      <c r="B9" s="20" t="n">
        <v>447</v>
      </c>
      <c r="C9" s="20" t="n">
        <v>860.9</v>
      </c>
      <c r="D9" s="20" t="n">
        <v>1420.5</v>
      </c>
    </row>
    <row r="10">
      <c r="A10" t="inlineStr">
        <is>
          <t>Upside vs Current (%)</t>
        </is>
      </c>
      <c r="B10" s="19" t="n">
        <v>-0.544</v>
      </c>
      <c r="C10" s="19" t="n">
        <v>-0.122</v>
      </c>
      <c r="D10" s="19" t="n">
        <v>0.449</v>
      </c>
    </row>
    <row r="11">
      <c r="A11" t="inlineStr">
        <is>
          <t>Terminal Value % of EV</t>
        </is>
      </c>
      <c r="B11" s="19" t="n">
        <v>0.408</v>
      </c>
      <c r="C11" s="19" t="n">
        <v>0.529</v>
      </c>
      <c r="D11" s="19" t="n">
        <v>0.614</v>
      </c>
    </row>
    <row r="12">
      <c r="A12" t="inlineStr">
        <is>
          <t>Implied Exit Multiple</t>
        </is>
      </c>
      <c r="B12" s="6" t="n">
        <v>9.300000000000001</v>
      </c>
      <c r="C12" s="6" t="n">
        <v>12.1</v>
      </c>
      <c r="D12" s="6" t="n">
        <v>14.8</v>
      </c>
    </row>
    <row r="13">
      <c r="A13" t="inlineStr">
        <is>
          <t>Terminal Value Bound</t>
        </is>
      </c>
      <c r="B13" t="inlineStr">
        <is>
          <t>gordon</t>
        </is>
      </c>
      <c r="C13" t="inlineStr">
        <is>
          <t>gordon</t>
        </is>
      </c>
      <c r="D13" t="inlineStr">
        <is>
          <t>gordon</t>
        </is>
      </c>
    </row>
    <row r="14">
      <c r="A14" t="inlineStr">
        <is>
          <t>Entry Price (USD, 15% IRR)</t>
        </is>
      </c>
      <c r="B14" s="5" t="n">
        <v>5.52</v>
      </c>
      <c r="C14" s="5" t="n">
        <v>9.609999999999999</v>
      </c>
      <c r="D14" s="5" t="n">
        <v>14.42</v>
      </c>
    </row>
    <row r="15">
      <c r="A15" t="inlineStr">
        <is>
          <t>Entry Price (GBp)</t>
        </is>
      </c>
      <c r="B15" s="20" t="n">
        <v>405.8</v>
      </c>
      <c r="C15" s="20" t="n">
        <v>707</v>
      </c>
      <c r="D15" s="20" t="n">
        <v>1060.8</v>
      </c>
    </row>
    <row r="17">
      <c r="A17" s="11" t="inlineStr">
        <is>
          <t>Probability Weight</t>
        </is>
      </c>
      <c r="B17" s="19" t="n">
        <v>0.25</v>
      </c>
      <c r="C17" s="19" t="n">
        <v>0.5</v>
      </c>
      <c r="D17" s="19" t="n">
        <v>0.25</v>
      </c>
    </row>
    <row r="18">
      <c r="A18" s="11" t="inlineStr">
        <is>
          <t>Weighted Intrinsic Value (USD)</t>
        </is>
      </c>
      <c r="B18" s="5" t="n">
        <v>12.2</v>
      </c>
    </row>
    <row r="19">
      <c r="A19" s="11" t="inlineStr">
        <is>
          <t>Weighted Intrinsic Value (GBp)</t>
        </is>
      </c>
      <c r="B19" s="20" t="n">
        <v>897.3</v>
      </c>
    </row>
    <row r="20">
      <c r="A20" s="11" t="inlineStr">
        <is>
          <t>Weighted Upside (%)</t>
        </is>
      </c>
      <c r="B20" s="19" t="n">
        <v>-0.08500000000000001</v>
      </c>
    </row>
    <row r="22">
      <c r="A22" s="3" t="inlineStr">
        <is>
          <t>SBC Non-Cash Memo</t>
        </is>
      </c>
    </row>
    <row r="23">
      <c r="A23" t="inlineStr">
        <is>
          <t>Base IV if SBC treated as non-cash (USD)</t>
        </is>
      </c>
      <c r="B23" s="5" t="n">
        <v>13.43</v>
      </c>
    </row>
    <row r="24">
      <c r="A24" t="inlineStr">
        <is>
          <t>Base IV, actual (USD)</t>
        </is>
      </c>
      <c r="B24" s="5" t="n">
        <v>11.7</v>
      </c>
    </row>
    <row r="25">
      <c r="A25" t="inlineStr">
        <is>
          <t>Spread per share (USD)</t>
        </is>
      </c>
      <c r="B25" s="5" t="n">
        <v>1.72</v>
      </c>
    </row>
    <row r="26">
      <c r="A26" t="inlineStr">
        <is>
          <t>Spread as % of IV</t>
        </is>
      </c>
      <c r="B26" s="19" t="n">
        <v>0.128</v>
      </c>
    </row>
    <row r="28" ht="45" customHeight="1">
      <c r="A28" s="14" t="inlineStr">
        <is>
          <t>The spread is modest (~13% of base IV) relative to peers like DUOL because Wise's SBC is small (~3.8% of net revenue, declining) and already more than fully offset by buybacks (uncovered_dilution = 0) -- Wise is a buyback-heavy name on this dimension, not a dilution-heavy one.</t>
        </is>
      </c>
    </row>
    <row r="30">
      <c r="A30" s="3" t="inlineStr">
        <is>
          <t>WACC Rationale (Base 11.5%)</t>
        </is>
      </c>
    </row>
    <row r="31">
      <c r="A31" t="inlineStr">
        <is>
          <t>Base unlevered cost of equity ~9.0%</t>
        </is>
      </c>
    </row>
    <row r="32">
      <c r="A32" t="inlineStr">
        <is>
          <t>+ 50bp: OCC national trust bank charter denial (23-24 Jul 2026)</t>
        </is>
      </c>
    </row>
    <row r="33">
      <c r="A33" t="inlineStr">
        <is>
          <t>+ 100bp: Belgian criminal AML investigation (Wise Europe SA)</t>
        </is>
      </c>
    </row>
    <row r="34">
      <c r="A34" t="inlineStr">
        <is>
          <t>+ 50bp: Multi-state Consent Order tail (through Jul-2027) + pattern of repeat AML findings across 3 jurisdictions in ~12 months</t>
        </is>
      </c>
    </row>
    <row r="35">
      <c r="A35" t="inlineStr">
        <is>
          <t>+ 25bp: governance (Class B supervoting extension)</t>
        </is>
      </c>
    </row>
    <row r="36">
      <c r="A36" s="11">
        <f> 11.5% base WACC (10.5% bull / 13.0% bear)</f>
        <v/>
      </c>
    </row>
  </sheetData>
  <mergeCells count="1">
    <mergeCell ref="A28:D2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8.7109375" customWidth="1" min="1" max="1"/>
    <col width="12.7109375" customWidth="1" min="2" max="7"/>
  </cols>
  <sheetData>
    <row r="1">
      <c r="A1" s="1" t="inlineStr">
        <is>
          <t>Sensitivity Analysis</t>
        </is>
      </c>
    </row>
    <row r="2">
      <c r="A2" t="inlineStr">
        <is>
          <t>Intrinsic Value/Share (USD) by WACC &amp; Terminal Growth -- Base Case (terminal EBITDA margin 30.0%, repriced 2026-08-28)</t>
        </is>
      </c>
    </row>
    <row r="4">
      <c r="A4" s="8" t="inlineStr">
        <is>
          <t>WACC \ Term G</t>
        </is>
      </c>
      <c r="B4" s="21" t="n">
        <v>0.02</v>
      </c>
      <c r="C4" s="21" t="n">
        <v>0.025</v>
      </c>
      <c r="D4" s="21" t="n">
        <v>0.03</v>
      </c>
      <c r="E4" s="21" t="n">
        <v>0.035</v>
      </c>
      <c r="F4" s="21" t="n">
        <v>0.04</v>
      </c>
    </row>
    <row r="5">
      <c r="A5" s="21" t="n">
        <v>0.095</v>
      </c>
      <c r="B5" s="5" t="n">
        <v>13.99</v>
      </c>
      <c r="C5" s="5" t="n">
        <v>14.53</v>
      </c>
      <c r="D5" s="5" t="n">
        <v>15.15</v>
      </c>
      <c r="E5" s="5" t="n">
        <v>15.87</v>
      </c>
      <c r="F5" s="5" t="n">
        <v>16.72</v>
      </c>
    </row>
    <row r="6">
      <c r="A6" s="21" t="n">
        <v>0.105</v>
      </c>
      <c r="B6" s="5" t="n">
        <v>12.38</v>
      </c>
      <c r="C6" s="5" t="n">
        <v>12.76</v>
      </c>
      <c r="D6" s="5" t="n">
        <v>13.19</v>
      </c>
      <c r="E6" s="5" t="n">
        <v>13.69</v>
      </c>
      <c r="F6" s="5" t="n">
        <v>14.26</v>
      </c>
    </row>
    <row r="7">
      <c r="A7" s="21" t="n">
        <v>0.115</v>
      </c>
      <c r="B7" s="5" t="n">
        <v>11.11</v>
      </c>
      <c r="C7" s="5" t="n">
        <v>11.39</v>
      </c>
      <c r="D7" s="5" t="n">
        <v>11.7</v>
      </c>
      <c r="E7" s="5" t="n">
        <v>12.06</v>
      </c>
      <c r="F7" s="5" t="n">
        <v>12.46</v>
      </c>
    </row>
    <row r="8">
      <c r="A8" s="21" t="n">
        <v>0.125</v>
      </c>
      <c r="B8" s="5" t="n">
        <v>10.1</v>
      </c>
      <c r="C8" s="5" t="n">
        <v>10.31</v>
      </c>
      <c r="D8" s="5" t="n">
        <v>10.54</v>
      </c>
      <c r="E8" s="5" t="n">
        <v>10.8</v>
      </c>
      <c r="F8" s="5" t="n">
        <v>11.09</v>
      </c>
    </row>
    <row r="9">
      <c r="A9" s="21" t="n">
        <v>0.135</v>
      </c>
      <c r="B9" s="5" t="n">
        <v>9.26</v>
      </c>
      <c r="C9" s="5" t="n">
        <v>9.42</v>
      </c>
      <c r="D9" s="5" t="n">
        <v>9.6</v>
      </c>
      <c r="E9" s="5" t="n">
        <v>9.800000000000001</v>
      </c>
      <c r="F9" s="5" t="n">
        <v>10.01</v>
      </c>
    </row>
    <row r="11">
      <c r="A11" s="14" t="inlineStr">
        <is>
          <t>Matrix is base-case intrinsic value per share (USD) across WACC (rows) and terminal growth (columns); base-case growth path, margin build and shares held constant. WACC range centered on 11.5% base (+/-2pp); terminal growth centered on 3.0% base (+/-1pp).</t>
        </is>
      </c>
    </row>
    <row r="12"/>
    <row r="13"/>
    <row r="15">
      <c r="A15" s="14" t="inlineStr">
        <is>
          <t>Note: this matrix is reproduced from WISE.L_DCF.json (static values). The live</t>
        </is>
      </c>
    </row>
    <row r="16">
      <c r="A16" s="14" t="inlineStr">
        <is>
          <t>DCF Model sheet's Terminal Value formula (row with MIN(Gordon,Cap)) can be used to</t>
        </is>
      </c>
    </row>
    <row r="17">
      <c r="A17" s="14" t="inlineStr">
        <is>
          <t>recompute any single WACC/terminal-growth combination interactively.</t>
        </is>
      </c>
    </row>
  </sheetData>
  <mergeCells count="1">
    <mergeCell ref="A11:G1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30.7109375" customWidth="1" min="1" max="1"/>
    <col width="12.7109375" customWidth="1" min="2" max="8"/>
  </cols>
  <sheetData>
    <row r="1">
      <c r="A1" s="1" t="inlineStr">
        <is>
          <t>FCF Quality: Reported vs Owner FCF Reconciliation</t>
        </is>
      </c>
    </row>
    <row r="2">
      <c r="A2" s="2" t="inlineStr">
        <is>
          <t>All $ millions. Owner FCF = Reported FCF - SBC - Corporate Interest Income.</t>
        </is>
      </c>
    </row>
    <row r="4">
      <c r="A4" s="8" t="n"/>
      <c r="B4" s="8" t="inlineStr">
        <is>
          <t>FY2022</t>
        </is>
      </c>
      <c r="C4" s="8" t="inlineStr">
        <is>
          <t>FY2023</t>
        </is>
      </c>
      <c r="D4" s="8" t="inlineStr">
        <is>
          <t>FY2024</t>
        </is>
      </c>
      <c r="E4" s="8" t="inlineStr">
        <is>
          <t>FY2025</t>
        </is>
      </c>
      <c r="F4" s="8" t="inlineStr">
        <is>
          <t>FY2026</t>
        </is>
      </c>
    </row>
    <row r="5">
      <c r="A5" t="inlineStr">
        <is>
          <t>Reported FCF (company definition)</t>
        </is>
      </c>
      <c r="B5" s="6" t="n">
        <v>154.1</v>
      </c>
      <c r="C5" s="6" t="n">
        <v>253.8</v>
      </c>
      <c r="D5" s="6" t="n">
        <v>611.9</v>
      </c>
      <c r="E5" s="6" t="n">
        <v>785.2</v>
      </c>
      <c r="F5" s="6" t="n">
        <v>637.5</v>
      </c>
    </row>
    <row r="6">
      <c r="A6" t="inlineStr">
        <is>
          <t>Less: SBC</t>
        </is>
      </c>
      <c r="B6" s="6" t="n">
        <v>57.4</v>
      </c>
      <c r="C6" s="6" t="n">
        <v>69.3</v>
      </c>
      <c r="D6" s="6" t="n">
        <v>91.09999999999999</v>
      </c>
      <c r="E6" s="6" t="n">
        <v>74.59999999999999</v>
      </c>
      <c r="F6" s="6" t="n">
        <v>95.5</v>
      </c>
    </row>
    <row r="7">
      <c r="A7" t="inlineStr">
        <is>
          <t>Less: Corporate Interest Income*</t>
        </is>
      </c>
      <c r="B7" t="inlineStr">
        <is>
          <t>n/d</t>
        </is>
      </c>
      <c r="C7" t="inlineStr">
        <is>
          <t>n/d</t>
        </is>
      </c>
      <c r="D7" t="inlineStr">
        <is>
          <t>n/d</t>
        </is>
      </c>
      <c r="E7" t="inlineStr">
        <is>
          <t>n/d</t>
        </is>
      </c>
      <c r="F7" s="6" t="n">
        <v>63</v>
      </c>
    </row>
    <row r="8">
      <c r="A8" t="inlineStr">
        <is>
          <t>Owner FCF (FY2026 basis; prior yrs = Reported FCF - SBC only)</t>
        </is>
      </c>
      <c r="B8" s="6">
        <f>B5-B6</f>
        <v/>
      </c>
      <c r="C8" s="6">
        <f>C5-C6</f>
        <v/>
      </c>
      <c r="D8" s="6">
        <f>D5-D6</f>
        <v/>
      </c>
      <c r="E8" s="6">
        <f>E5-E6</f>
        <v/>
      </c>
      <c r="F8" s="6">
        <f>F5-F6-F7</f>
        <v/>
      </c>
    </row>
    <row r="10">
      <c r="A10" t="inlineStr">
        <is>
          <t>Reported FCF Margin (% of net revenue)</t>
        </is>
      </c>
      <c r="B10" s="19">
        <f>B5/757.7</f>
        <v/>
      </c>
      <c r="C10" s="19">
        <f>C5/1147.4</f>
        <v/>
      </c>
      <c r="D10" s="19">
        <f>D5/1776.1</f>
        <v/>
      </c>
      <c r="E10" s="19">
        <f>E5/2098.9</f>
        <v/>
      </c>
      <c r="F10" s="19">
        <f>F5/2502.8</f>
        <v/>
      </c>
    </row>
    <row r="11">
      <c r="A11" t="inlineStr">
        <is>
          <t>Owner FCF Margin (% of net revenue)</t>
        </is>
      </c>
      <c r="B11" s="19">
        <f>B8/757.7</f>
        <v/>
      </c>
      <c r="C11" s="19">
        <f>C8/1147.4</f>
        <v/>
      </c>
      <c r="D11" s="19">
        <f>D8/1776.1</f>
        <v/>
      </c>
      <c r="E11" s="19">
        <f>E8/2098.9</f>
        <v/>
      </c>
      <c r="F11" s="19">
        <f>F8/2502.8</f>
        <v/>
      </c>
    </row>
    <row r="13">
      <c r="A13" t="inlineStr">
        <is>
          <t>Memo: Cash Taxes Paid</t>
        </is>
      </c>
      <c r="B13" s="6" t="n">
        <v>8.800000000000001</v>
      </c>
      <c r="C13" s="6" t="n">
        <v>9.5</v>
      </c>
      <c r="D13" s="6" t="n">
        <v>16.2</v>
      </c>
      <c r="E13" s="6" t="n">
        <v>16.3</v>
      </c>
      <c r="F13" s="6" t="n">
        <v>44.4</v>
      </c>
    </row>
    <row r="14">
      <c r="A14" t="inlineStr">
        <is>
          <t>Memo: Income Before Tax</t>
        </is>
      </c>
      <c r="B14" s="6" t="n">
        <v>59.7</v>
      </c>
      <c r="C14" s="6" t="n">
        <v>174.3</v>
      </c>
      <c r="D14" s="6" t="n">
        <v>656.7</v>
      </c>
      <c r="E14" s="6" t="n">
        <v>717.5</v>
      </c>
      <c r="F14" s="6" t="n">
        <v>660.4</v>
      </c>
    </row>
    <row r="15">
      <c r="A15" t="inlineStr">
        <is>
          <t>Memo: Cash Tax Rate (Taxes Paid / IBT)</t>
        </is>
      </c>
      <c r="B15" s="19">
        <f>B13/B14</f>
        <v/>
      </c>
      <c r="C15" s="19">
        <f>C13/C14</f>
        <v/>
      </c>
      <c r="D15" s="19">
        <f>D13/D14</f>
        <v/>
      </c>
      <c r="E15" s="19">
        <f>E13/E14</f>
        <v/>
      </c>
      <c r="F15" s="19">
        <f>F13/F14</f>
        <v/>
      </c>
    </row>
    <row r="17" ht="90" customHeight="1">
      <c r="A17" s="14" t="inlineStr">
        <is>
          <t>* Corporate (non-customer) interest income is disclosed separately only for FY2026 ($63.0m, per WISE.L.duckdb kpis / CoreFloat_Inputs.md). For FY2022-25 the CSV's InterestIncome column is TOTAL interest income (predominantly on customer float balances, which is a genuine recurring operating revenue line correctly left inside EBITDA) -- it is NOT stripped in those years because the corporate-only split isn't separately disclosed pre-FY2026. Only FY2026 owner FCF ($479.0m) is the fully adjusted, comparable base used as last_fcf in the DCF; treat FY2022-25 owner-FCF figures above as SBC-only-adjusted, i.e. a conservative approximation that still includes a small amount of corporate interest income.</t>
        </is>
      </c>
    </row>
    <row r="18"/>
    <row r="19"/>
    <row r="20"/>
    <row r="22" ht="70" customHeight="1">
      <c r="A22" s="14" t="inlineStr">
        <is>
          <t>Memo: FY2026 net working-capital items (ex customer-float movements) were a net cash DRAG in every historical year: -$124m (FY2024), -$78m (FY2025), -$157m (FY2026) -- the opposite of a subscription-style deferred-revenue tailwind. This is why the forward model uses a NEGATIVE working-capital capture rate (-12% base case) on the YoY revenue increase.</t>
        </is>
      </c>
    </row>
    <row r="23"/>
    <row r="24"/>
    <row r="25"/>
    <row r="27" ht="70" customHeight="1">
      <c r="A27" s="14" t="inlineStr">
        <is>
          <t>Memo: FY2026 cash tax rate was 24.6% of IBT ($162.5m provision basis differs slightly from cash taxes paid $44.4m shown above, which reflects timing; effective P&amp;L tax rate used for the ramp is ~24.6-25.7%), already close to the UK statutory rate (25%) -- no valuation-allowance release or one-off credit is evident, so the forward cash tax rate is held flat at 26% (base case) rather than ramped from an abnormal start.</t>
        </is>
      </c>
    </row>
    <row r="28"/>
    <row r="29"/>
    <row r="30"/>
  </sheetData>
  <mergeCells count="3">
    <mergeCell ref="A22:H25"/>
    <mergeCell ref="A27:H30"/>
    <mergeCell ref="A17:H2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32.7109375" customWidth="1" min="1" max="1"/>
    <col width="15.7109375" customWidth="1" min="2" max="4"/>
  </cols>
  <sheetData>
    <row r="1">
      <c r="A1" s="1" t="inlineStr">
        <is>
          <t>Historical Growth Rates &amp; Multiples</t>
        </is>
      </c>
    </row>
    <row r="3">
      <c r="A3" s="8" t="inlineStr">
        <is>
          <t>Metric</t>
        </is>
      </c>
      <c r="B3" s="8" t="inlineStr">
        <is>
          <t>3-Year CAGR (%)</t>
        </is>
      </c>
      <c r="C3" s="8" t="inlineStr">
        <is>
          <t>4-Year CAGR since FY22 (%)</t>
        </is>
      </c>
    </row>
    <row r="4">
      <c r="A4" t="inlineStr">
        <is>
          <t>Net Revenue</t>
        </is>
      </c>
      <c r="B4" s="19" t="n">
        <v>0.297</v>
      </c>
      <c r="C4" s="19" t="n">
        <v>0.348</v>
      </c>
    </row>
    <row r="5">
      <c r="A5" t="inlineStr">
        <is>
          <t>EPS</t>
        </is>
      </c>
      <c r="B5" s="19" t="n">
        <v>0.5489999999999999</v>
      </c>
      <c r="C5" s="19" t="n">
        <v>0.83</v>
      </c>
    </row>
    <row r="6">
      <c r="A6" t="inlineStr">
        <is>
          <t>Shareholders Equity</t>
        </is>
      </c>
      <c r="B6" s="19" t="n">
        <v>0.41</v>
      </c>
      <c r="C6" s="19" t="n">
        <v>0.364</v>
      </c>
    </row>
    <row r="7">
      <c r="A7" t="inlineStr">
        <is>
          <t>Owner FCF</t>
        </is>
      </c>
      <c r="B7" s="19" t="n">
        <v>0.383</v>
      </c>
      <c r="C7" s="19" t="n">
        <v>0.492</v>
      </c>
    </row>
    <row r="8">
      <c r="A8" t="inlineStr">
        <is>
          <t>Reported FCF 3yr CAGR (%)</t>
        </is>
      </c>
      <c r="B8" s="19" t="n">
        <v>0.359</v>
      </c>
    </row>
    <row r="10">
      <c r="A10" s="11" t="inlineStr">
        <is>
          <t>Selected Growth Driver:</t>
        </is>
      </c>
      <c r="B10" s="19" t="n">
        <v>0.297</v>
      </c>
    </row>
    <row r="11">
      <c r="A11" t="inlineStr">
        <is>
          <t>Source:</t>
        </is>
      </c>
      <c r="B11" t="inlineStr">
        <is>
          <t>net_revenue_3yr_cagr</t>
        </is>
      </c>
    </row>
    <row r="13">
      <c r="A13" s="14" t="inlineStr">
        <is>
          <t>Equity 3yr CAGR (41.0%) diverges sharply from net revenue 3yr CAGR (29.7%) because equity is inflated by retained earnings compounding off a small FY2022 base and by FX translation gains booked to OCI (e.g. +$67.7m FY2026), not because the underlying business is compounding book value at 41%/yr -- per the ticker-specific mandate, net revenue CAGR (not equity CAGR) is used as the primary growth driver precisely because of this distortion (here from retained-earnings/FX effects rather than buybacks, which is the more common Wise distortion). EPS 3yr CAGR (54.9%) also diverges from revenue growth, reflecting operating leverage off a near-breakeven FY2022 base -- not used as primary driver. Reported FCF CAGR (35.9%) is NOT reliable either: it is inflated by FY2025's outsized 31.8% owner-FCF margin (a working-capital/tax-timing high-water mark) and depressed by FY2026's deliberate heavy-investment year (19.1% owner-FCF margin) -- the owner-FCF series swings between 12.8% (FY2022) and 31.8% (FY2025) margin on net revenue with no clean trend, which is exactly why Step 1c mandates a component build (EBITDA-SBC-D&amp;A-tax-capex-WC) rather than extrapolating any single historical FCF growth rate.</t>
        </is>
      </c>
    </row>
    <row r="14" ht="100" customHeight="1"/>
    <row r="15"/>
    <row r="16"/>
    <row r="18">
      <c r="A18" s="14" t="inlineStr">
        <is>
          <t>SBC-adjusted (owner) FCF 3yr CAGR (38.3%) is actually ABOVE the reported FCF 3yr CAGR (35.9%) for Wise, the opposite of the usual SBC-dilution pattern -- this is because Wise's SBC is a small (~3.8-7.6%) and DECLINING share of net revenue (nil-cost/near-nil-strike option plan, not a Silicon-Valley-style RSU program), and FY2026's step-up in SBC ($95.5m from $74.6m) coincided with a reported-FCF dip, so the SBC deduction understates FY2026 relative to FY2025 by a similar proportion as reported FCF understates it. This is a genuinely different SBC profile than DUOL/US tech peers: Wise's buybacks ($473.4m FY2026) already run ~5x SBC ($95.5m), so uncovered dilution is zero and the share-count mechanism (not the FCF-deduction mechanism) is where SBC would normally bite -- it doesn't, because Wise over-covers it via buybacks.</t>
        </is>
      </c>
    </row>
    <row r="19" ht="100" customHeight="1"/>
    <row r="20"/>
    <row r="21"/>
    <row r="24">
      <c r="A24" s="3" t="inlineStr">
        <is>
          <t>Historical Multiples Sanity Check (FY-end close, USD)</t>
        </is>
      </c>
    </row>
    <row r="25">
      <c r="A25" s="8" t="n"/>
      <c r="B25" s="8" t="inlineStr">
        <is>
          <t>FY2022</t>
        </is>
      </c>
      <c r="C25" s="8" t="inlineStr">
        <is>
          <t>FY2023</t>
        </is>
      </c>
      <c r="D25" s="8" t="inlineStr">
        <is>
          <t>FY2024</t>
        </is>
      </c>
      <c r="E25" s="8" t="inlineStr">
        <is>
          <t>FY2025</t>
        </is>
      </c>
      <c r="F25" s="8" t="inlineStr">
        <is>
          <t>FY2026</t>
        </is>
      </c>
    </row>
    <row r="26">
      <c r="A26" t="inlineStr">
        <is>
          <t>Price (USD)</t>
        </is>
      </c>
      <c r="B26" s="5" t="n">
        <v>5.19</v>
      </c>
      <c r="C26" s="5" t="n">
        <v>6.79</v>
      </c>
      <c r="D26" s="5" t="n">
        <v>9.81</v>
      </c>
      <c r="E26" s="5" t="n">
        <v>12.65</v>
      </c>
      <c r="F26" s="5" t="n">
        <v>14.09</v>
      </c>
    </row>
    <row r="27">
      <c r="A27" t="inlineStr">
        <is>
          <t>P/E</t>
        </is>
      </c>
      <c r="B27" s="6" t="n">
        <v>120.2</v>
      </c>
      <c r="C27" s="6" t="n">
        <v>52.2</v>
      </c>
      <c r="D27" s="6" t="n">
        <v>20.5</v>
      </c>
      <c r="E27" s="6" t="n">
        <v>24</v>
      </c>
      <c r="F27" s="6" t="n">
        <v>29.1</v>
      </c>
    </row>
    <row r="28">
      <c r="A28" t="inlineStr">
        <is>
          <t>P/Sales</t>
        </is>
      </c>
      <c r="B28" s="6" t="n">
        <v>7.09</v>
      </c>
      <c r="C28" s="6" t="n">
        <v>6.17</v>
      </c>
      <c r="D28" s="6" t="n">
        <v>5.79</v>
      </c>
      <c r="E28" s="6" t="n">
        <v>6.3</v>
      </c>
      <c r="F28" s="6" t="n">
        <v>5.8</v>
      </c>
    </row>
    <row r="29">
      <c r="A29" t="inlineStr">
        <is>
          <t>P/Book</t>
        </is>
      </c>
      <c r="B29" s="6" t="n">
        <v>9.65</v>
      </c>
      <c r="C29" s="6" t="n">
        <v>10.31</v>
      </c>
      <c r="D29" s="6" t="n">
        <v>7.02</v>
      </c>
      <c r="E29" s="6" t="n">
        <v>7.61</v>
      </c>
      <c r="F29" s="6" t="n">
        <v>7.54</v>
      </c>
    </row>
    <row r="30">
      <c r="A30" t="inlineStr">
        <is>
          <t>EV / Owner FCF</t>
        </is>
      </c>
      <c r="B30" s="6" t="n">
        <v>51.9</v>
      </c>
      <c r="C30" s="6" t="n">
        <v>36.4</v>
      </c>
      <c r="D30" s="6" t="n">
        <v>18.6</v>
      </c>
      <c r="E30" s="6" t="n">
        <v>17.3</v>
      </c>
      <c r="F30" s="6" t="n">
        <v>26.4</v>
      </c>
    </row>
    <row r="32">
      <c r="A32" t="inlineStr">
        <is>
          <t>FY24-26 avg P/E (ex hypergrowth outliers)</t>
        </is>
      </c>
      <c r="B32" s="6" t="n">
        <v>24.5</v>
      </c>
    </row>
    <row r="33">
      <c r="A33" t="inlineStr">
        <is>
          <t>FY24-26 avg P/S</t>
        </is>
      </c>
      <c r="B33" s="6" t="n">
        <v>5.96</v>
      </c>
    </row>
    <row r="34">
      <c r="A34" t="inlineStr">
        <is>
          <t>FY24-26 avg EV/Owner FCF</t>
        </is>
      </c>
      <c r="B34" s="6" t="n">
        <v>20.8</v>
      </c>
    </row>
    <row r="35">
      <c r="A35" t="inlineStr">
        <is>
          <t>Current trailing P/E (FY26)</t>
        </is>
      </c>
      <c r="B35" s="6" t="n">
        <v>24.7</v>
      </c>
    </row>
    <row r="36">
      <c r="A36" t="inlineStr">
        <is>
          <t>Current trailing EV/Owner FCF (FY26)</t>
        </is>
      </c>
      <c r="B36" s="6" t="n">
        <v>21.1</v>
      </c>
    </row>
    <row r="38">
      <c r="A38" s="14" t="inlineStr">
        <is>
          <t>PASS. No fixes required. Base-case implied multiples sit below the FY24-26 ex-outlier historical average and well below the current trailing multiple, i.e. the DCF does not assume any multiple expansion -- consistent with a decelerating-growth fintech normalizing off a temporarily depressed FY2026 margin, with an explicit regulatory risk premium in WACC reflecting the OCC denial and Belgian AML probe. Bull case (76% upside) is notable but does not breach the &gt;100%-upside trip threshold, and its exit multiple (14.8x) remains below today's trailing 21.1x.</t>
        </is>
      </c>
    </row>
    <row r="39" ht="90" customHeight="1"/>
    <row r="40"/>
    <row r="41"/>
    <row r="42"/>
  </sheetData>
  <mergeCells count="3">
    <mergeCell ref="A38:E42"/>
    <mergeCell ref="A18:D21"/>
    <mergeCell ref="A13:D1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28.7109375" customWidth="1" min="1" max="1"/>
    <col width="90.7109375" customWidth="1" min="2" max="2"/>
  </cols>
  <sheetData>
    <row r="1">
      <c r="A1" s="1" t="inlineStr">
        <is>
          <t>WISE.L DCF Model -- Provenance &amp; Methodology</t>
        </is>
      </c>
    </row>
    <row r="3" ht="45" customHeight="1">
      <c r="A3" s="11" t="inlineStr">
        <is>
          <t>Built by</t>
        </is>
      </c>
      <c r="B3" s="16" t="inlineStr">
        <is>
          <t>Claude (dcf-analyst agent), Stock Research Project</t>
        </is>
      </c>
    </row>
    <row r="4" ht="20" customHeight="1">
      <c r="A4" s="11" t="inlineStr">
        <is>
          <t>Valuation date</t>
        </is>
      </c>
      <c r="B4" s="16" t="inlineStr">
        <is>
          <t>2026-08-28</t>
        </is>
      </c>
    </row>
    <row r="5" ht="200" customHeight="1">
      <c r="A5" s="11" t="inlineStr">
        <is>
          <t>Share price vintage</t>
        </is>
      </c>
      <c r="B5" s="16" t="inlineStr">
        <is>
          <t>980.2 GBp (LSE, WISE.L) fetched live 2026-08-28 03:46:56 UTC; GBPUSD 1.3596 same day -&gt; $13.327. Nasdaq primary line (WSE) $13.12 at 2026-08-28 08:00 -- 1.6% gap is quote timing.</t>
        </is>
      </c>
    </row>
    <row r="6" ht="200" customHeight="1">
      <c r="A6" s="11" t="inlineStr">
        <is>
          <t>Primary data sources</t>
        </is>
      </c>
      <c r="B6" s="16" t="inlineStr">
        <is>
          <t>WISE.L_Metrics.csv (FY2022-FY2026 annual + 19 quarterly rows through Q1 FY2027, USD millions), WISE.L_Analysis.json (refreshed 2026-08-01), WISE.L_CoreFloat_Inputs.md (core-vs-float economics extraction from FY2026 20-F, MIFIDPRU 8 disclosures, and quarterly KPIs)</t>
        </is>
      </c>
    </row>
    <row r="7" ht="200" customHeight="1">
      <c r="A7" s="11" t="inlineStr">
        <is>
          <t>Horizon</t>
        </is>
      </c>
      <c r="B7" s="16" t="inlineStr">
        <is>
          <t>10-year explicit build (not 5-year). Rationale: the component-built owner-FCF margin is still climbing at Year 5 in all three scenarios (base 19.35% Y5 vs 22.94% Y10) -- capitalizing an immature Y5 margin via Gordon growth would understate intrinsic value. FY2026 was a deliberate heavy-investment year (adj-EBITDA-incl-SBC margin fell to ~28% from ~38.7% in FY2025); the business needs several years to both recover from reinvestment AND grow into a permanently larger compliance/servicing cost base.</t>
        </is>
      </c>
    </row>
    <row r="8" ht="200" customHeight="1">
      <c r="A8" s="11" t="inlineStr">
        <is>
          <t>Growth driver</t>
        </is>
      </c>
      <c r="B8" s="16" t="inlineStr">
        <is>
          <t>Net revenue 3-year CAGR (29.7%), NOT equity CAGR (41.0%, inflated by retained-earnings compounding off a small FY2022 base and FX-translation OCI gains) and NOT reported FCF extrapolation (swings 12.8%-31.8% margin on net revenue with no clean trend due to working-capital/tax timing).</t>
        </is>
      </c>
    </row>
    <row r="9" ht="200" customHeight="1">
      <c r="A9" s="11" t="inlineStr">
        <is>
          <t>Owner FCF construction</t>
        </is>
      </c>
      <c r="B9" s="16" t="inlineStr">
        <is>
          <t>owner_fcf = reported_fcf - SBC - corporate interest income. FY2026: $637.5m - $95.5m - $63.0m = $479.0m (last_fcf in JSON). SBC has no separate equity-award-tax add-on: Wise structures employee awards as near-nil-strike options exercised for cash, not RSUs net-settled for tax withholding, so the cash-flow-statement SBC add-back is the complete cost.</t>
        </is>
      </c>
    </row>
    <row r="10" ht="200" customHeight="1">
      <c r="A10" s="11" t="inlineStr">
        <is>
          <t>Interest income treatment</t>
        </is>
      </c>
      <c r="B10" s="16" t="inlineStr">
        <is>
          <t>Only CORPORATE interest income ($63.0m FY2026) is stripped from FCF -- NOT the $609.2m of net interest on CUSTOMER balances, which is a genuine recurring operating revenue line (~24% of group net revenue) correctly left inside EBITDA. Corporate interest is stripped because net corporate cash ($1,873.7m) is ~3.9x the owner-FCF base, well above the 1x materiality threshold for double-count risk.</t>
        </is>
      </c>
    </row>
    <row r="11" ht="200" customHeight="1">
      <c r="A11" s="11" t="inlineStr">
        <is>
          <t>Net debt / net cash</t>
        </is>
      </c>
      <c r="B11" s="16" t="inlineStr">
        <is>
          <t>NEGATIVE $1,873.7m (i.e. net CORPORATE cash of +$1,873.7m ex-leases), reconciled from the 20-F balance sheet per WISE.L_CoreFloat_Inputs.md Section 2. Excludes ~$30bn of customer safeguarded funds (not available to equity holders). Does NOT deduct the ~$550-750m of this cash trapped as regulatory capital in licensed subsidiaries -- a reader wanting the freely-distributable-only view should substitute ~$1.10-1.30bn.</t>
        </is>
      </c>
    </row>
    <row r="12" ht="200" customHeight="1">
      <c r="A12" s="11" t="inlineStr">
        <is>
          <t>Shares outstanding</t>
        </is>
      </c>
      <c r="B12" s="16" t="inlineStr">
        <is>
          <t>1,002.5m (midpoint of ~1,000-1,005m fully diluted per CoreFloat_Inputs.md), NOT the 1,029.7m FY2026 backward-looking weighted-average diluted count. Class B supervoting shares (208.9m, no economic interest) excluded. Uncovered dilution = 0 (buyback cash $473.4m FY2026 is ~5x SBC $95.5m), so share count held flat across the 10-year horizon.</t>
        </is>
      </c>
    </row>
    <row r="13" ht="127" customHeight="1">
      <c r="A13" s="11" t="inlineStr">
        <is>
          <t>SBC path</t>
        </is>
      </c>
      <c r="B13" s="16" t="inlineStr">
        <is>
          <t>Projected as % of revenue, declining gradually from the latest actual (3.69% base case Y1) toward 3.0% by Y10 -- never held flat in dollars.</t>
        </is>
      </c>
    </row>
    <row r="14" ht="200" customHeight="1">
      <c r="A14" s="11" t="inlineStr">
        <is>
          <t>Working capital</t>
        </is>
      </c>
      <c r="B14" s="16" t="inlineStr">
        <is>
          <t>Modeled as a NEGATIVE capture rate (-12% base case) on the YoY revenue INCREASE -- unlike subscription businesses, Wise working capital (ex customer-float movements) has been a consistent net cash DRAG every historical year (-$124m FY2024, -$78m FY2025, -$157m FY2026).</t>
        </is>
      </c>
    </row>
    <row r="15" ht="200" customHeight="1">
      <c r="A15" s="11" t="inlineStr">
        <is>
          <t>Cash tax rate</t>
        </is>
      </c>
      <c r="B15" s="16" t="inlineStr">
        <is>
          <t>Held flat at 26% (base case) -- FY2026 actual (~24.6% of IBT) is already close to the UK statutory rate (25%) with no valuation-allowance release or one-off credit evident, so no ramp needed (unlike names with an abnormal starting rate).</t>
        </is>
      </c>
    </row>
    <row r="16" ht="200" customHeight="1">
      <c r="A16" s="11" t="inlineStr">
        <is>
          <t>WACC (base 11.5%)</t>
        </is>
      </c>
      <c r="B16" s="16" t="inlineStr">
        <is>
          <t>~9.0% base cost of capital + 200bp stacked regulatory premium (50bp OCC charter denial, 100bp Belgian criminal AML investigation into Wise Europe SA, 50bp multi-state Consent Order tail/repeat-AML-finding pattern) + 25bp governance premium (CEO Class B supervoting extension to 2036). See WACC Rationale on the Scenarios sheet and wacc_rationale in the JSON for full detail.</t>
        </is>
      </c>
    </row>
    <row r="17" ht="194" customHeight="1">
      <c r="A17" s="11" t="inlineStr">
        <is>
          <t>Terminal value</t>
        </is>
      </c>
      <c r="B17" s="16" t="inlineStr">
        <is>
          <t>MIN of Gordon Growth and 20x terminal-FCF cap, per scenario. All three scenarios (base/bull/bear) bind on GORDON (Gordon value is lower than the 20x cap in every case) -- see terminal_value_bound in valuation JSON.</t>
        </is>
      </c>
    </row>
    <row r="18" ht="200" customHeight="1">
      <c r="A18" s="11" t="inlineStr">
        <is>
          <t>Entry price</t>
        </is>
      </c>
      <c r="B18" s="16" t="inlineStr">
        <is>
          <t>15%-IRR formula: (sum of PV of Yr1-10 owner FCF at 15% + PV of Year-10 terminal value at 15% - net debt) / projected Year-10 shares. Full interim-FCF-plus-terminal formula per the 2026-07-21 entry-price fix -- NOT terminal-value-only.</t>
        </is>
      </c>
    </row>
    <row r="19" ht="200" customHeight="1">
      <c r="A19" s="11" t="inlineStr">
        <is>
          <t>Regulatory tail risks NOT separately scenario-modeled</t>
        </is>
      </c>
      <c r="B19" s="16" t="inlineStr">
        <is>
          <t>Belgian criminal AML investigation into Wise Europe SA (~27% of group net revenue) is unprovisioned and reflected only via the +100bp WACC premium, not a discrete probability-weighted haircut. A reader wanting an explicit forced-restructuring/fine scenario should consult WISE.L_CoreFloat_Inputs.md Section 5/8/9.</t>
        </is>
      </c>
    </row>
    <row r="20" ht="200" customHeight="1">
      <c r="A20" s="11" t="inlineStr">
        <is>
          <t>What to refresh after next earnings/event</t>
        </is>
      </c>
      <c r="B20" s="16" t="inlineStr">
        <is>
          <t>Re-pull live price and GBPUSD spot. Re-check FY2027 H1/Q2 net revenue growth and adj-EBITDA margin trajectory against the base-case path (17.0% Y1 growth, 29.25% Y1 EBITDA margin) -- if margin recovery is running ahead/behind, adjust the margin ramp. Re-check status of the OCC charter refiling, Belgian criminal proceedings (summons filed? NBB referral?), and the $540m buyback pace (uncovered_dilution assumption depends on buybacks continuing to run &gt;= SBC). Update sbc_pct_of_revenue anchor and cash_tax_rate anchor from the next 20-F/10-Q.</t>
        </is>
      </c>
    </row>
    <row r="21" ht="200" customHeight="1">
      <c r="A21" s="11" t="inlineStr">
        <is>
          <t>Cell colour conventions</t>
        </is>
      </c>
      <c r="B21" s="16" t="inlineStr">
        <is>
          <t>Gray-shaded cells = INPUTS (adjust these to test scenarios). White cells with borders = FORMULAS (do not hardcode). Green cells = key output results (Intrinsic Value, Entry Price). All formulas flow from the gray input cells -- changing WACC, terminal growth, growth rates, margins, SBC%, capex%, or working-capital capture will recompute the entire model.</t>
        </is>
      </c>
    </row>
    <row r="22" ht="200" customHeight="1">
      <c r="A22" s="11" t="inlineStr">
        <is>
          <t>Staleness warning</t>
        </is>
      </c>
      <c r="B22" s="16" t="inlineStr">
        <is>
          <t>All figures are current as of the valuation date above and WILL go stale. Live price, FX, and any post-valuation-date regulatory developments (Belgian summons, OCC refiling, buyback progress) must be re-verified before relying on this model for a new decision.</t>
        </is>
      </c>
    </row>
    <row r="23">
      <c r="A23" t="inlineStr">
        <is>
          <t>Terminal margin reprice (2026-08-28)</t>
        </is>
      </c>
      <c r="B23" t="inlineStr">
        <is>
          <t>Terminal adj-EBITDA margin cut 36.0% -&gt; 30.0% and flattened from Y7 (bull 39-&gt;35, bear 31.5-&gt;26). FY2026 actual was 28.0%; FY2025's 38.7% was the pre-investment peak. Two independent external workbooks put Y10 at 27.5% and 30.0%. Prior path was still climbing at Y10, which Gordon then capitalized -- dcf-methods requires a roughly flat terminal year.</t>
        </is>
      </c>
    </row>
    <row r="24">
      <c r="A24" t="inlineStr">
        <is>
          <t>Bear-case net cash (2026-08-28)</t>
        </is>
      </c>
      <c r="B24" t="inlineStr">
        <is>
          <t>Bear now uses freely-distributable $1,200m; base/bull keep $1,873.7m. CoreFloat_Inputs.md Sec.9: $550-750m trapped as regulatory capital.</t>
        </is>
      </c>
    </row>
    <row r="25">
      <c r="A25" t="inlineStr">
        <is>
          <t>US securities class actions (2026-08-28)</t>
        </is>
      </c>
      <c r="B25" t="inlineStr">
        <is>
          <t>Filed Aug-2026, class period 11-May to 23-Jul-2026, lead-plaintiff deadline 29-Sep-2026. NO WACC change: already inside the 200bp regulatory stack. Judgment made by the main agent, not dcf-analyst; review next full pass.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2026-08-01T06:13:41Z</dcterms:created>
  <dcterms:modified xmlns:dcterms="http://purl.org/dc/terms/" xmlns:xsi="http://www.w3.org/2001/XMLSchema-instance" xsi:type="dcterms:W3CDTF">2026-08-27T22:25:21Z</dcterms:modified>
</cp:coreProperties>
</file>