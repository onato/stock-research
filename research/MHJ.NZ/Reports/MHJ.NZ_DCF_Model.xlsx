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<sst xmlns="http://schemas.openxmlformats.org/spreadsheetml/2006/main" count="360" uniqueCount="168">
  <si>
    <t xml:space="preserve">Ticker</t>
  </si>
  <si>
    <t xml:space="preserve">MHJ.NZ</t>
  </si>
  <si>
    <t xml:space="preserve">Company</t>
  </si>
  <si>
    <t xml:space="preserve">Michael Hill International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</si>
  <si>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</si>
  <si>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</si>
  <si>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</si>
  <si>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</si>
  <si>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2026-09-25T05:00:32Z (Yahoo Finance chart API, MHJ.NZ regular close)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</si>
  <si>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</si>
  <si>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</si>
  <si>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</si>
  <si>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</si>
  <si>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</si>
  <si>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</si>
  <si>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</si>
  <si>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NZD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</si>
  <si>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</si>
  <si>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</si>
  <si>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</si>
  <si>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</si>
  <si>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</si>
  <si>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2026-09-25T14:49:34Z</t>
  </si>
  <si>
    <t xml:space="preserve">Drivers file</t>
  </si>
  <si>
    <t xml:space="preserve">MHJ.NZ_Drivers.json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</si>
  <si>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</si>
  <si>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</si>
  <si>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</si>
  <si>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Michael Hill is a specialty jewellery retailer emerging from a multi-year margin collapse (EBIT margin fell from ~13% in FY2021 to a 2.2% trough in FY2024) with a genuine but single-year (FY2026) recovery: Comparable EBIT margin improved to 3.67% (still far below the FY22/23 pre-trough level of ~9-11% and management's own stated 10% medium-term ambition), net debt was cut from $41.9m to $5.5m, and a dividend was resumed after a two-year suspension. The valuation is built on owner FCF net of the FULL IFRS-16 lease cost (principal, which sits in financing activities and is NOT captured in reported FCF, plus interest, which is already inside reported operating cash flow) -- this is a large and consequential adjustment: owner FCF was actually negative in FY2024 (-$39.6m) and FY2025 (-$3.7m) once the true lease cost is deducted, only turning solidly positive in FY2026 (+$36.7m, a 5.6% owner-FCF margin versus the 13% reported-FCF margin). A mid-cycle margin judgment is used rather than extrapolating FY26's improving trajectory to management's 10% target: base case reaches only ~6.1% EBIT margin by year 10. Given the market is currently pricing the stock at only ~5.5x EV/Comparable-EBIT, a wide bear/bull spread and an above-default 30% bear weight are appropriate -- the market itself appears skeptical that FY26 is the start of a durable structural improvement rather than a cyclical bounce.
key_risks_to_valuation: FY2026's recovery is one audited year deep; Bevilles and New Zealand's positive same-store-sales trends are each less than a full year old; No financial hedging program exists for gold/silver, the single largest identified cost pressure, after prices have 'nearly doubled' over two years per the outgoing Chair; PCP (extended-warranty) revenue recognition is a Key Audit Matter subject to material assumption risk -- a $4.6m negative swing already occurred in H2 FY26; Elevated leadership/governance transition cadence (CEO's sudden death, founder's passing, new CFO, and a Chair handover effective Nov-2026 within ~20 months) creates execution continuity risk right as the turnaround needs sustained focus; Lease treatment materially changes the picture: excluding the $126.5m of lease liabilities from net debt (treatment B) is the correct basis given they are not recourse debt, but a reader applying treatment A (leases as debt) to the same cash flows would derive a very different net-debt bridge -- the two must never be mixed; FY2027 capex step-up to ~$25m for the Canada rollout will pressure free cash flow if same-store-sales momentum stalls before the higher store base matures</t>
  </si>
  <si>
    <t xml:space="preserve">Data sources</t>
  </si>
  <si>
    <t xml:space="preserve">price: Yahoo Finance chart API at inputs.price_as_of; 52-week range NZ$0.38-0.57 (MHJ.NZ); ASX parity cross-check via MHJ.AX and AUDNZD=X, both same-day
financials: research/MHJ.NZ/Reports/MHJ.NZ_Metrics.csv (core_metrics-derived, FY2018-FY2026 + half-years); MHJ.NZ_Annual_FY2024.txt, MHJ.NZ_Annual_FY2025.txt and MHJ.NZ_Annual_FY2026.txt (cash flow statement, segment note, remuneration-report 5-year Comparable EBIT table, lease notes A4/A5) via scripts/dcf_context.py
qualitative: research/MHJ.NZ/Reports/MHJ.NZ_Analysis.json, refreshed 2026-09-26 from the FY2026 Annual Report, FY2026 Investor Presentation (28 Aug 2026) and the 14 Apr 2026 Investor Day</t>
  </si>
  <si>
    <t xml:space="preserve">Scenario narrative: bear</t>
  </si>
  <si>
    <t xml:space="preserve">A consumer downturn meets unmitigated (unhedged) gold-price inflation just as the FY26 recovery is tested for the first time through a full cycle; Bevilles/NZ recoveries prove to be one-off halves, PCP assumptions move against the company again, and leadership churn (new Chair Nov-2026) disrupts execution -- EBIT margin regresses toward the FY24/25 trough.</t>
  </si>
  <si>
    <t xml:space="preserve">Scenario narrative: base</t>
  </si>
  <si>
    <t xml:space="preserve">Partial, credible progress against management's own 10% EBIT margin ambition -- FY26's real but single-year turnaround continues at a measured pace, reaching roughly 6% EBIT margin by year 10 as Canada's rollout and PCP/digital growth offset only some of the structural thinness of jewellery retail margins.</t>
  </si>
  <si>
    <t xml:space="preserve">Scenario narrative: bull</t>
  </si>
  <si>
    <t xml:space="preserve">Management's turnaround thesis plays out close to plan: Canada's 85-90 store target is reached with sustained high growth and margin, Bevilles' recovery holds through a full cycle, and the 10% medium-term EBIT margin ambition is essentially delivered.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</si>
  <si>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</si>
  <si>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</si>
  <si>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</si>
  <si>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</si>
  <si>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</si>
  <si>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</si>
  <si>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</si>
  <si>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</si>
  <si>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</si>
  <si>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</si>
  <si>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</si>
  <si>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</si>
  <si>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</si>
  <si>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</si>
  <si>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</si>
  <si>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</si>
  <si>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</si>
  <si>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</si>
  <si>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</si>
  <si>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</si>
  <si>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</si>
  <si>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</si>
  <si>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</si>
  <si>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</si>
  <si>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</si>
  <si>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</si>
  <si>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</si>
  <si>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</si>
  <si>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SameStoreSalesGrowth</t>
  </si>
  <si>
    <t xml:space="preserve">StoreCount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</si>
  <si>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</si>
  <si>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</si>
  <si>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</si>
  <si>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</si>
  <si>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</si>
  <si>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</si>
  <si>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</si>
  <si>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</si>
  <si>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</si>
  <si>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</si>
  <si>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</si>
  <si>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</si>
  <si>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</si>
  <si>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</si>
  <si>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</si>
  <si>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</si>
  <si>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</si>
  <si>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</si>
  <si>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</si>
  <si>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</si>
  <si>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</si>
  <si>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</si>
  <si>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</si>
  <si>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</si>
  <si>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</si>
  <si>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</si>
  <si>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</si>
  <si>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</si>
  <si>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</si>
  <si>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</si>
  <si>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</si>
  <si>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</si>
  <si>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</si>
  <si>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</si>
  <si>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</si>
  <si>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</si>
  <si>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</si>
  <si>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</si>
  <si>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</si>
  <si>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</si>
  <si>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</si>
  <si>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</si>
  <si>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</si>
  <si>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</si>
  <si>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</si>
  <si>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</si>
  <si>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MHJ.NZ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</si>
  <si>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</si>
  <si>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</si>
  <si>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</si>
  <si>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</si>
  <si>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</si>
  <si>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</si>
  <si>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</si>
  <si>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</si>
  <si>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</si>
  <si>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</si>
  <si>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</si>
  <si>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</si>
  <si>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</si>
  <si>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</si>
  <si>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</si>
  <si>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</si>
  <si>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</si>
  <si>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</si>
  <si>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</si>
  <si>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</si>
  <si>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</si>
  <si>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</si>
  <si>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</si>
  <si>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</si>
  <si>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</si>
  <si>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</si>
  <si>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</si>
  <si>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</si>
  <si>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</si>
  <si>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</si>
  <si>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MHJ.NZ owner-FCF component DCF: base case (millions, AUD)</t>
  </si>
  <si>
    <t xml:space="preserve">MHJ.NZ owner-FCF component DCF: bull case (millions, AUD)</t>
  </si>
  <si>
    <t xml:space="preserve">MHJ.NZ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</si>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</sst>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575.549</v>
      </c>
      <c r="C2" s="0" t="n">
        <v>208.657</v>
      </c>
      <c r="D2" s="0" t="n">
        <v>366.893</v>
      </c>
      <c r="E2" s="0" t="n">
        <v>63.7466141023614</v>
      </c>
      <c r="F2" s="0" t="n">
        <v>50.147</v>
      </c>
      <c r="G2" s="0" t="n">
        <v>8.71289846737637</v>
      </c>
      <c r="H2" s="0" t="n">
        <v>68.841</v>
      </c>
      <c r="I2" s="0" t="n">
        <v>4.61</v>
      </c>
      <c r="J2" s="0" t="n">
        <v>0.800974374032446</v>
      </c>
      <c r="K2" s="0" t="n">
        <v>0.0119</v>
      </c>
      <c r="L2" s="0" t="n">
        <v>54.893</v>
      </c>
      <c r="M2" s="0" t="n">
        <v>24.555</v>
      </c>
      <c r="N2" s="0" t="n">
        <v>30.338</v>
      </c>
      <c r="O2" s="0" t="n">
        <v>189.221</v>
      </c>
      <c r="P2" s="0" t="n">
        <v>375.348</v>
      </c>
      <c r="Q2" s="0" t="n">
        <v>186.127</v>
      </c>
      <c r="R2" s="0" t="n">
        <v>35.213</v>
      </c>
      <c r="S2" s="0" t="n">
        <v>7.22</v>
      </c>
      <c r="T2" s="0" t="n">
        <v>387.938513</v>
      </c>
      <c r="U2" s="0" t="n">
        <v>0.484</v>
      </c>
      <c r="V2" s="0" t="n">
        <v>0.05</v>
      </c>
      <c r="AA2" s="0" t="s">
        <v>18</v>
      </c>
      <c r="AB2" s="0" t="s">
        <v>14</v>
      </c>
      <c r="AD2" s="0" t="n">
        <v>0.4</v>
      </c>
      <c r="AE2" s="0" t="n">
        <v>312</v>
      </c>
    </row>
    <row r="3" customFormat="false" ht="15" hidden="false" customHeight="false" outlineLevel="0" collapsed="false">
      <c r="A3" s="0" t="s">
        <v>68</v>
      </c>
      <c r="B3" s="0" t="n">
        <v>569.5</v>
      </c>
      <c r="D3" s="0" t="n">
        <v>353.032</v>
      </c>
      <c r="E3" s="0" t="n">
        <v>61.9898156277436</v>
      </c>
      <c r="F3" s="0" t="n">
        <v>21.115</v>
      </c>
      <c r="G3" s="0" t="n">
        <v>3.70763827919227</v>
      </c>
      <c r="H3" s="0" t="n">
        <v>40.481</v>
      </c>
      <c r="I3" s="0" t="n">
        <v>16.498</v>
      </c>
      <c r="J3" s="0" t="n">
        <v>2.89692712906058</v>
      </c>
      <c r="K3" s="0" t="n">
        <v>0.0425</v>
      </c>
      <c r="L3" s="0" t="n">
        <v>38.969</v>
      </c>
      <c r="M3" s="0" t="n">
        <v>16.134</v>
      </c>
      <c r="N3" s="0" t="n">
        <v>22.835</v>
      </c>
      <c r="O3" s="0" t="n">
        <v>176.752</v>
      </c>
      <c r="P3" s="0" t="n">
        <v>379.193</v>
      </c>
      <c r="Q3" s="0" t="n">
        <v>202.441</v>
      </c>
      <c r="R3" s="0" t="n">
        <v>32.704</v>
      </c>
      <c r="S3" s="0" t="n">
        <v>7.923</v>
      </c>
      <c r="T3" s="0" t="n">
        <v>388.338356</v>
      </c>
      <c r="U3" s="0" t="n">
        <v>0.106</v>
      </c>
      <c r="V3" s="0" t="n">
        <v>0.04</v>
      </c>
      <c r="AA3" s="0" t="s">
        <v>18</v>
      </c>
      <c r="AB3" s="0" t="s">
        <v>14</v>
      </c>
      <c r="AD3" s="0" t="n">
        <v>-3.3</v>
      </c>
      <c r="AE3" s="0" t="n">
        <v>306</v>
      </c>
    </row>
    <row r="4" customFormat="false" ht="15" hidden="false" customHeight="false" outlineLevel="0" collapsed="false">
      <c r="A4" s="0" t="s">
        <v>69</v>
      </c>
      <c r="B4" s="0" t="n">
        <v>492.06</v>
      </c>
      <c r="D4" s="0" t="n">
        <v>298.204</v>
      </c>
      <c r="E4" s="0" t="n">
        <v>60.6031784741698</v>
      </c>
      <c r="F4" s="0" t="n">
        <v>14.079</v>
      </c>
      <c r="G4" s="0" t="n">
        <v>2.86123643458115</v>
      </c>
      <c r="H4" s="0" t="n">
        <v>69.69</v>
      </c>
      <c r="I4" s="0" t="n">
        <v>3.059</v>
      </c>
      <c r="J4" s="0" t="n">
        <v>0.621672153802382</v>
      </c>
      <c r="K4" s="0" t="n">
        <v>0.0079</v>
      </c>
      <c r="L4" s="0" t="n">
        <v>83.699</v>
      </c>
      <c r="M4" s="0" t="n">
        <v>17.353</v>
      </c>
      <c r="N4" s="0" t="n">
        <v>66.346</v>
      </c>
      <c r="O4" s="0" t="n">
        <v>153.806</v>
      </c>
      <c r="P4" s="0" t="n">
        <v>501.618</v>
      </c>
      <c r="Q4" s="0" t="n">
        <v>347.812</v>
      </c>
      <c r="R4" s="0" t="n">
        <v>10.681</v>
      </c>
      <c r="S4" s="0" t="n">
        <v>11.204</v>
      </c>
      <c r="T4" s="0" t="n">
        <v>388.340494</v>
      </c>
      <c r="U4" s="0" t="n">
        <v>-0.025</v>
      </c>
      <c r="V4" s="0" t="n">
        <v>0.015</v>
      </c>
      <c r="AA4" s="0" t="s">
        <v>18</v>
      </c>
      <c r="AB4" s="0" t="s">
        <v>14</v>
      </c>
      <c r="AC4" s="0" t="n">
        <v>35.52</v>
      </c>
      <c r="AD4" s="0" t="n">
        <v>2.7</v>
      </c>
      <c r="AE4" s="0" t="n">
        <v>290</v>
      </c>
    </row>
    <row r="5" customFormat="false" ht="15" hidden="false" customHeight="false" outlineLevel="0" collapsed="false">
      <c r="A5" s="0" t="s">
        <v>70</v>
      </c>
      <c r="B5" s="0" t="n">
        <v>556.486</v>
      </c>
      <c r="D5" s="0" t="n">
        <v>348.916</v>
      </c>
      <c r="E5" s="0" t="n">
        <v>62.6998702572931</v>
      </c>
      <c r="F5" s="0" t="n">
        <v>72.398</v>
      </c>
      <c r="G5" s="0" t="n">
        <v>13.0098511013754</v>
      </c>
      <c r="H5" s="0" t="n">
        <v>123.691</v>
      </c>
      <c r="I5" s="0" t="n">
        <v>45.328</v>
      </c>
      <c r="J5" s="0" t="n">
        <v>8.14539808728342</v>
      </c>
      <c r="K5" s="0" t="n">
        <v>0.1163</v>
      </c>
      <c r="L5" s="0" t="n">
        <v>143.452</v>
      </c>
      <c r="M5" s="0" t="n">
        <v>19.027</v>
      </c>
      <c r="N5" s="0" t="n">
        <v>124.425</v>
      </c>
      <c r="O5" s="0" t="n">
        <v>193.401</v>
      </c>
      <c r="P5" s="0" t="n">
        <v>508.111</v>
      </c>
      <c r="Q5" s="0" t="n">
        <v>314.71</v>
      </c>
      <c r="R5" s="0" t="n">
        <v>0</v>
      </c>
      <c r="S5" s="0" t="n">
        <v>72.361</v>
      </c>
      <c r="T5" s="0" t="n">
        <v>389.695426</v>
      </c>
      <c r="U5" s="0" t="n">
        <v>0.226</v>
      </c>
      <c r="V5" s="0" t="n">
        <v>0.045</v>
      </c>
      <c r="AA5" s="0" t="s">
        <v>18</v>
      </c>
      <c r="AB5" s="0" t="s">
        <v>14</v>
      </c>
      <c r="AC5" s="0" t="n">
        <v>40.997</v>
      </c>
      <c r="AD5" s="0" t="n">
        <v>8.6</v>
      </c>
      <c r="AE5" s="0" t="n">
        <v>285</v>
      </c>
    </row>
    <row r="6" customFormat="false" ht="15" hidden="false" customHeight="false" outlineLevel="0" collapsed="false">
      <c r="A6" s="0" t="s">
        <v>71</v>
      </c>
      <c r="B6" s="0" t="n">
        <v>595.21</v>
      </c>
      <c r="D6" s="0" t="n">
        <v>384.826</v>
      </c>
      <c r="E6" s="0" t="n">
        <v>64.653819660288</v>
      </c>
      <c r="F6" s="0" t="n">
        <v>73.236</v>
      </c>
      <c r="G6" s="0" t="n">
        <v>12.3042287595975</v>
      </c>
      <c r="H6" s="0" t="n">
        <v>125.18</v>
      </c>
      <c r="I6" s="0" t="n">
        <v>46.712</v>
      </c>
      <c r="J6" s="0" t="n">
        <v>7.84798642495926</v>
      </c>
      <c r="K6" s="0" t="n">
        <v>0.1186</v>
      </c>
      <c r="L6" s="0" t="n">
        <v>111.574</v>
      </c>
      <c r="M6" s="0" t="n">
        <v>22.471</v>
      </c>
      <c r="N6" s="0" t="n">
        <v>89.103</v>
      </c>
      <c r="O6" s="0" t="n">
        <v>195.095</v>
      </c>
      <c r="P6" s="0" t="n">
        <v>511.179</v>
      </c>
      <c r="Q6" s="0" t="n">
        <v>316.084</v>
      </c>
      <c r="R6" s="0" t="n">
        <v>0</v>
      </c>
      <c r="S6" s="0" t="n">
        <v>95.844</v>
      </c>
      <c r="T6" s="0" t="n">
        <v>393.937042</v>
      </c>
      <c r="U6" s="0" t="n">
        <v>0.286</v>
      </c>
      <c r="V6" s="0" t="n">
        <v>0.075</v>
      </c>
      <c r="AA6" s="0" t="s">
        <v>18</v>
      </c>
      <c r="AB6" s="0" t="s">
        <v>14</v>
      </c>
      <c r="AC6" s="0" t="n">
        <v>40.464</v>
      </c>
      <c r="AD6" s="0" t="n">
        <v>8</v>
      </c>
      <c r="AE6" s="0" t="n">
        <v>280</v>
      </c>
    </row>
    <row r="7" customFormat="false" ht="15" hidden="false" customHeight="false" outlineLevel="0" collapsed="false">
      <c r="A7" s="0" t="s">
        <v>72</v>
      </c>
      <c r="B7" s="0" t="n">
        <v>629.562</v>
      </c>
      <c r="D7" s="0" t="n">
        <v>404.44</v>
      </c>
      <c r="E7" s="0" t="n">
        <v>64.2414885269441</v>
      </c>
      <c r="F7" s="0" t="n">
        <v>58.883</v>
      </c>
      <c r="G7" s="0" t="n">
        <v>9.35301050571667</v>
      </c>
      <c r="H7" s="0" t="n">
        <v>116.607</v>
      </c>
      <c r="I7" s="0" t="n">
        <v>35.182</v>
      </c>
      <c r="J7" s="0" t="n">
        <v>5.58832966411569</v>
      </c>
      <c r="K7" s="0" t="n">
        <v>0.09</v>
      </c>
      <c r="L7" s="0" t="n">
        <v>80.072</v>
      </c>
      <c r="M7" s="0" t="n">
        <v>34.271</v>
      </c>
      <c r="N7" s="0" t="n">
        <v>45.801</v>
      </c>
      <c r="O7" s="0" t="n">
        <v>188.615</v>
      </c>
      <c r="P7" s="0" t="n">
        <v>546.488</v>
      </c>
      <c r="Q7" s="0" t="n">
        <v>357.873</v>
      </c>
      <c r="R7" s="0" t="n">
        <v>12.5</v>
      </c>
      <c r="S7" s="0" t="n">
        <v>20.867</v>
      </c>
      <c r="T7" s="0" t="n">
        <v>390.698146</v>
      </c>
      <c r="U7" s="0" t="n">
        <v>1.818</v>
      </c>
      <c r="V7" s="0" t="n">
        <v>0.075</v>
      </c>
      <c r="AA7" s="0" t="s">
        <v>18</v>
      </c>
      <c r="AB7" s="0" t="s">
        <v>14</v>
      </c>
      <c r="AC7" s="0" t="n">
        <v>45.098</v>
      </c>
      <c r="AE7" s="0" t="n">
        <v>304</v>
      </c>
    </row>
    <row r="8" customFormat="false" ht="15" hidden="false" customHeight="false" outlineLevel="0" collapsed="false">
      <c r="A8" s="0" t="s">
        <v>73</v>
      </c>
      <c r="B8" s="0" t="n">
        <v>644.929</v>
      </c>
      <c r="C8" s="0" t="n">
        <v>254.011</v>
      </c>
      <c r="D8" s="0" t="n">
        <v>390.918</v>
      </c>
      <c r="E8" s="0" t="n">
        <v>60.614114111786</v>
      </c>
      <c r="F8" s="0" t="n">
        <v>14.228</v>
      </c>
      <c r="G8" s="0" t="n">
        <v>2.20613431866143</v>
      </c>
      <c r="H8" s="0" t="n">
        <v>82.241</v>
      </c>
      <c r="I8" s="0" t="n">
        <v>-0.479</v>
      </c>
      <c r="J8" s="0" t="n">
        <v>-0.0742717415405417</v>
      </c>
      <c r="K8" s="0" t="n">
        <v>-0.0012</v>
      </c>
      <c r="L8" s="0" t="n">
        <v>37.773</v>
      </c>
      <c r="M8" s="0" t="n">
        <v>27.609</v>
      </c>
      <c r="N8" s="0" t="n">
        <v>10.164</v>
      </c>
      <c r="O8" s="0" t="n">
        <v>166.881</v>
      </c>
      <c r="P8" s="0" t="n">
        <v>545.244</v>
      </c>
      <c r="Q8" s="0" t="n">
        <v>378.363</v>
      </c>
      <c r="R8" s="0" t="n">
        <v>58.9</v>
      </c>
      <c r="S8" s="0" t="n">
        <v>20.174</v>
      </c>
      <c r="T8" s="0" t="n">
        <v>383.793875</v>
      </c>
      <c r="U8" s="0" t="n">
        <v>0.168</v>
      </c>
      <c r="V8" s="0" t="n">
        <v>0.0175</v>
      </c>
      <c r="AA8" s="0" t="s">
        <v>18</v>
      </c>
      <c r="AB8" s="0" t="s">
        <v>14</v>
      </c>
      <c r="AC8" s="0" t="n">
        <v>49.24</v>
      </c>
      <c r="AE8" s="0" t="n">
        <v>300</v>
      </c>
    </row>
    <row r="9" customFormat="false" ht="15" hidden="false" customHeight="false" outlineLevel="0" collapsed="false">
      <c r="A9" s="0" t="s">
        <v>74</v>
      </c>
      <c r="B9" s="0" t="n">
        <v>643.655</v>
      </c>
      <c r="C9" s="0" t="n">
        <v>254.217</v>
      </c>
      <c r="D9" s="0" t="n">
        <v>389.438</v>
      </c>
      <c r="E9" s="0" t="n">
        <v>60.5041520690432</v>
      </c>
      <c r="F9" s="0" t="n">
        <v>18.857</v>
      </c>
      <c r="G9" s="0" t="n">
        <v>2.92967505884364</v>
      </c>
      <c r="H9" s="0" t="n">
        <v>84.393</v>
      </c>
      <c r="I9" s="0" t="n">
        <v>2.099</v>
      </c>
      <c r="J9" s="0" t="n">
        <v>0.326106376863382</v>
      </c>
      <c r="K9" s="0" t="n">
        <v>0.0053</v>
      </c>
      <c r="L9" s="0" t="n">
        <v>55.071</v>
      </c>
      <c r="M9" s="0" t="n">
        <v>10.13</v>
      </c>
      <c r="N9" s="0" t="n">
        <v>44.941</v>
      </c>
      <c r="O9" s="0" t="n">
        <v>170.619</v>
      </c>
      <c r="P9" s="0" t="n">
        <v>518.395</v>
      </c>
      <c r="Q9" s="0" t="n">
        <v>347.776</v>
      </c>
      <c r="R9" s="0" t="n">
        <v>52.1</v>
      </c>
      <c r="S9" s="0" t="n">
        <v>10.248</v>
      </c>
      <c r="T9" s="0" t="n">
        <v>393.216831</v>
      </c>
      <c r="U9" s="0" t="n">
        <v>0.338</v>
      </c>
      <c r="V9" s="0" t="n">
        <v>0</v>
      </c>
      <c r="AA9" s="0" t="s">
        <v>18</v>
      </c>
      <c r="AB9" s="0" t="s">
        <v>14</v>
      </c>
      <c r="AC9" s="0" t="n">
        <v>48.067</v>
      </c>
      <c r="AE9" s="0" t="n">
        <v>287</v>
      </c>
    </row>
    <row r="10" customFormat="false" ht="15" hidden="false" customHeight="false" outlineLevel="0" collapsed="false">
      <c r="A10" s="0" t="s">
        <v>75</v>
      </c>
      <c r="B10" s="0" t="n">
        <v>655.679</v>
      </c>
      <c r="C10" s="0" t="n">
        <v>259.338</v>
      </c>
      <c r="D10" s="0" t="n">
        <v>396.341</v>
      </c>
      <c r="E10" s="0" t="n">
        <v>60.4474140547433</v>
      </c>
      <c r="F10" s="0" t="n">
        <v>31.101</v>
      </c>
      <c r="G10" s="0" t="n">
        <v>4.74332714636278</v>
      </c>
      <c r="H10" s="0" t="n">
        <v>94.107</v>
      </c>
      <c r="I10" s="0" t="n">
        <v>9.995</v>
      </c>
      <c r="J10" s="0" t="n">
        <v>1.52437396957963</v>
      </c>
      <c r="K10" s="0" t="n">
        <v>0.0252</v>
      </c>
      <c r="L10" s="0" t="n">
        <v>99.125</v>
      </c>
      <c r="M10" s="0" t="n">
        <v>14.181</v>
      </c>
      <c r="N10" s="0" t="n">
        <v>84.944</v>
      </c>
      <c r="O10" s="0" t="n">
        <v>173.116</v>
      </c>
      <c r="P10" s="0" t="n">
        <v>485.231</v>
      </c>
      <c r="Q10" s="0" t="n">
        <v>312.115</v>
      </c>
      <c r="R10" s="0" t="n">
        <v>20</v>
      </c>
      <c r="S10" s="0" t="n">
        <v>14.461</v>
      </c>
      <c r="T10" s="0" t="n">
        <v>396.024908</v>
      </c>
      <c r="U10" s="0" t="n">
        <v>-0.145</v>
      </c>
      <c r="V10" s="0" t="n">
        <v>0.02</v>
      </c>
      <c r="AA10" s="0" t="s">
        <v>18</v>
      </c>
      <c r="AB10" s="0" t="s">
        <v>14</v>
      </c>
      <c r="AC10" s="0" t="n">
        <v>47.965</v>
      </c>
      <c r="AD10" s="0" t="n">
        <v>5.2</v>
      </c>
      <c r="AE10" s="0" t="n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0.42</v>
      </c>
    </row>
    <row r="3" customFormat="false" ht="15" hidden="false" customHeight="false" outlineLevel="0" collapsed="false">
      <c r="A3" s="0" t="s">
        <v>79</v>
      </c>
      <c r="B3" s="3" t="n">
        <v>396.025</v>
      </c>
    </row>
    <row r="4" customFormat="false" ht="15" hidden="false" customHeight="false" outlineLevel="0" collapsed="false">
      <c r="A4" s="0" t="s">
        <v>80</v>
      </c>
      <c r="B4" s="3" t="n">
        <v>5.539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655.679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1.2402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-1</v>
      </c>
      <c r="D13" s="3" t="n">
        <v>0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100</v>
      </c>
      <c r="C14" s="3" t="n">
        <v>13</v>
      </c>
      <c r="D14" s="3" t="n">
        <v>12.5</v>
      </c>
      <c r="E14" s="3" t="n">
        <v>12.6</v>
      </c>
      <c r="F14" s="3" t="n">
        <v>12.8</v>
      </c>
      <c r="G14" s="3" t="n">
        <v>13</v>
      </c>
      <c r="H14" s="3" t="n">
        <v>13.2</v>
      </c>
      <c r="I14" s="3" t="n">
        <v>13.3</v>
      </c>
      <c r="J14" s="3" t="n">
        <v>13.4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9.2</v>
      </c>
      <c r="D16" s="3" t="n">
        <v>9.4</v>
      </c>
      <c r="E16" s="3" t="n">
        <v>9.3</v>
      </c>
      <c r="F16" s="3" t="n">
        <v>9.2</v>
      </c>
      <c r="G16" s="3" t="n">
        <v>9.1</v>
      </c>
      <c r="H16" s="3" t="n">
        <v>9</v>
      </c>
      <c r="I16" s="3" t="n">
        <v>9</v>
      </c>
      <c r="J16" s="3" t="n">
        <v>8.9</v>
      </c>
      <c r="K16" s="3" t="n">
        <v>8.9</v>
      </c>
      <c r="L16" s="3" t="n">
        <v>8.8</v>
      </c>
    </row>
    <row r="17" customFormat="false" ht="15" hidden="false" customHeight="false" outlineLevel="0" collapsed="false">
      <c r="A17" s="0" t="s">
        <v>103</v>
      </c>
      <c r="C17" s="3" t="n">
        <v>2.7</v>
      </c>
      <c r="D17" s="3" t="n">
        <v>2.8</v>
      </c>
      <c r="E17" s="3" t="n">
        <v>2.7</v>
      </c>
      <c r="F17" s="3" t="n">
        <v>2.7</v>
      </c>
      <c r="G17" s="3" t="n">
        <v>2.6</v>
      </c>
      <c r="H17" s="3" t="n">
        <v>2.6</v>
      </c>
      <c r="I17" s="3" t="n">
        <v>2.6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104</v>
      </c>
      <c r="C18" s="3" t="n">
        <v>3.2</v>
      </c>
      <c r="D18" s="3" t="n">
        <v>2.6</v>
      </c>
      <c r="E18" s="3" t="n">
        <v>2.3</v>
      </c>
      <c r="F18" s="3" t="n">
        <v>2.2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105</v>
      </c>
      <c r="C19" s="3" t="n">
        <v>28</v>
      </c>
      <c r="D19" s="3" t="n">
        <v>29</v>
      </c>
      <c r="E19" s="3" t="n">
        <v>29.5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106</v>
      </c>
      <c r="B20" s="3" t="n">
        <v>10.5</v>
      </c>
    </row>
    <row r="21" customFormat="false" ht="15" hidden="false" customHeight="false" outlineLevel="0" collapsed="false">
      <c r="A21" s="0" t="s">
        <v>107</v>
      </c>
      <c r="B21" s="3" t="n">
        <v>2.5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-12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4.5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14.6</v>
      </c>
      <c r="D28" s="3" t="n">
        <v>14.9</v>
      </c>
      <c r="E28" s="3" t="n">
        <v>15.2</v>
      </c>
      <c r="F28" s="3" t="n">
        <v>15.5</v>
      </c>
      <c r="G28" s="3" t="n">
        <v>15.8</v>
      </c>
      <c r="H28" s="3" t="n">
        <v>16</v>
      </c>
      <c r="I28" s="3" t="n">
        <v>16.2</v>
      </c>
      <c r="J28" s="3" t="n">
        <v>16.3</v>
      </c>
      <c r="K28" s="3" t="n">
        <v>16.4</v>
      </c>
      <c r="L28" s="3" t="n">
        <v>16.5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8.7</v>
      </c>
      <c r="D30" s="3" t="n">
        <v>8.6</v>
      </c>
      <c r="E30" s="3" t="n">
        <v>8.6</v>
      </c>
      <c r="F30" s="3" t="n">
        <v>8.5</v>
      </c>
      <c r="G30" s="3" t="n">
        <v>8.4</v>
      </c>
      <c r="H30" s="3" t="n">
        <v>8.4</v>
      </c>
      <c r="I30" s="3" t="n">
        <v>8.3</v>
      </c>
      <c r="J30" s="3" t="n">
        <v>8.3</v>
      </c>
      <c r="K30" s="3" t="n">
        <v>8.2</v>
      </c>
      <c r="L30" s="3" t="n">
        <v>8.2</v>
      </c>
    </row>
    <row r="31" customFormat="false" ht="15" hidden="false" customHeight="false" outlineLevel="0" collapsed="false">
      <c r="A31" s="0" t="s">
        <v>103</v>
      </c>
      <c r="C31" s="3" t="n">
        <v>2.5</v>
      </c>
      <c r="D31" s="3" t="n">
        <v>2.5</v>
      </c>
      <c r="E31" s="3" t="n">
        <v>2.4</v>
      </c>
      <c r="F31" s="3" t="n">
        <v>2.4</v>
      </c>
      <c r="G31" s="3" t="n">
        <v>2.3</v>
      </c>
      <c r="H31" s="3" t="n">
        <v>2.3</v>
      </c>
      <c r="I31" s="3" t="n">
        <v>2.3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104</v>
      </c>
      <c r="C32" s="3" t="n">
        <v>3.6</v>
      </c>
      <c r="D32" s="3" t="n">
        <v>3.3</v>
      </c>
      <c r="E32" s="3" t="n">
        <v>3</v>
      </c>
      <c r="F32" s="3" t="n">
        <v>2.8</v>
      </c>
      <c r="G32" s="3" t="n">
        <v>2.6</v>
      </c>
      <c r="H32" s="3" t="n">
        <v>2.5</v>
      </c>
      <c r="I32" s="3" t="n">
        <v>2.4</v>
      </c>
      <c r="J32" s="3" t="n">
        <v>2.4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105</v>
      </c>
      <c r="C33" s="3" t="n">
        <v>25</v>
      </c>
      <c r="D33" s="3" t="n">
        <v>27</v>
      </c>
      <c r="E33" s="3" t="n">
        <v>28</v>
      </c>
      <c r="F33" s="3" t="n">
        <v>28.5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106</v>
      </c>
      <c r="B34" s="3" t="n">
        <v>10.5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-8</v>
      </c>
    </row>
    <row r="38" customFormat="false" ht="15" hidden="false" customHeight="false" outlineLevel="0" collapsed="false">
      <c r="A38" s="0" t="s">
        <v>110</v>
      </c>
      <c r="B38" s="3" t="n">
        <v>0.45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6.5</v>
      </c>
      <c r="D41" s="3" t="n">
        <v>6.5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15.2</v>
      </c>
      <c r="D42" s="3" t="n">
        <v>15.8</v>
      </c>
      <c r="E42" s="3" t="n">
        <v>16.4</v>
      </c>
      <c r="F42" s="3" t="n">
        <v>17</v>
      </c>
      <c r="G42" s="3" t="n">
        <v>17.6</v>
      </c>
      <c r="H42" s="3" t="n">
        <v>18.1</v>
      </c>
      <c r="I42" s="3" t="n">
        <v>18.5</v>
      </c>
      <c r="J42" s="3" t="n">
        <v>18.8</v>
      </c>
      <c r="K42" s="3" t="n">
        <v>19</v>
      </c>
      <c r="L42" s="3" t="n">
        <v>19.2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8.6</v>
      </c>
      <c r="D44" s="3" t="n">
        <v>8.4</v>
      </c>
      <c r="E44" s="3" t="n">
        <v>8.2</v>
      </c>
      <c r="F44" s="3" t="n">
        <v>8</v>
      </c>
      <c r="G44" s="3" t="n">
        <v>7.8</v>
      </c>
      <c r="H44" s="3" t="n">
        <v>7.6</v>
      </c>
      <c r="I44" s="3" t="n">
        <v>7.4</v>
      </c>
      <c r="J44" s="3" t="n">
        <v>7.3</v>
      </c>
      <c r="K44" s="3" t="n">
        <v>7.2</v>
      </c>
      <c r="L44" s="3" t="n">
        <v>7.1</v>
      </c>
    </row>
    <row r="45" customFormat="false" ht="15" hidden="false" customHeight="false" outlineLevel="0" collapsed="false">
      <c r="A45" s="0" t="s">
        <v>103</v>
      </c>
      <c r="C45" s="3" t="n">
        <v>2.4</v>
      </c>
      <c r="D45" s="3" t="n">
        <v>2.3</v>
      </c>
      <c r="E45" s="3" t="n">
        <v>2.3</v>
      </c>
      <c r="F45" s="3" t="n">
        <v>2.2</v>
      </c>
      <c r="G45" s="3" t="n">
        <v>2.2</v>
      </c>
      <c r="H45" s="3" t="n">
        <v>2.1</v>
      </c>
      <c r="I45" s="3" t="n">
        <v>2.1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104</v>
      </c>
      <c r="C46" s="3" t="n">
        <v>3.8</v>
      </c>
      <c r="D46" s="3" t="n">
        <v>3.6</v>
      </c>
      <c r="E46" s="3" t="n">
        <v>3.4</v>
      </c>
      <c r="F46" s="3" t="n">
        <v>3.2</v>
      </c>
      <c r="G46" s="3" t="n">
        <v>3</v>
      </c>
      <c r="H46" s="3" t="n">
        <v>2.9</v>
      </c>
      <c r="I46" s="3" t="n">
        <v>2.8</v>
      </c>
      <c r="J46" s="3" t="n">
        <v>2.7</v>
      </c>
      <c r="K46" s="3" t="n">
        <v>2.6</v>
      </c>
      <c r="L46" s="3" t="n">
        <v>2.6</v>
      </c>
    </row>
    <row r="47" customFormat="false" ht="15" hidden="false" customHeight="false" outlineLevel="0" collapsed="false">
      <c r="A47" s="0" t="s">
        <v>105</v>
      </c>
      <c r="C47" s="3" t="n">
        <v>24</v>
      </c>
      <c r="D47" s="3" t="n">
        <v>26</v>
      </c>
      <c r="E47" s="3" t="n">
        <v>27.5</v>
      </c>
      <c r="F47" s="3" t="n">
        <v>28</v>
      </c>
      <c r="G47" s="3" t="n">
        <v>28.5</v>
      </c>
      <c r="H47" s="3" t="n">
        <v>28.5</v>
      </c>
      <c r="I47" s="3" t="n">
        <v>28.5</v>
      </c>
      <c r="J47" s="3" t="n">
        <v>28.5</v>
      </c>
      <c r="K47" s="3" t="n">
        <v>28.5</v>
      </c>
      <c r="L47" s="3" t="n">
        <v>28.5</v>
      </c>
    </row>
    <row r="48" customFormat="false" ht="15" hidden="false" customHeight="false" outlineLevel="0" collapsed="false">
      <c r="A48" s="0" t="s">
        <v>106</v>
      </c>
      <c r="B48" s="3" t="n">
        <v>10.5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12</v>
      </c>
    </row>
    <row r="51" customFormat="false" ht="15" hidden="false" customHeight="false" outlineLevel="0" collapsed="false">
      <c r="A51" s="0" t="s">
        <v>109</v>
      </c>
      <c r="B51" s="3" t="n">
        <v>-6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655.679</v>
      </c>
      <c r="C6" s="0" t="n">
        <f aca="false">B6*(1+C5/100)</f>
        <v>649.12221</v>
      </c>
      <c r="D6" s="0" t="n">
        <f aca="false">C6*(1+D5/100)</f>
        <v>649.12221</v>
      </c>
      <c r="E6" s="0" t="n">
        <f aca="false">D6*(1+E5/100)</f>
        <v>655.6134321</v>
      </c>
      <c r="F6" s="0" t="n">
        <f aca="false">E6*(1+F5/100)</f>
        <v>665.4476335815</v>
      </c>
      <c r="G6" s="0" t="n">
        <f aca="false">F6*(1+G5/100)</f>
        <v>675.429348085222</v>
      </c>
      <c r="H6" s="0" t="n">
        <f aca="false">G6*(1+H5/100)</f>
        <v>685.560788306501</v>
      </c>
      <c r="I6" s="0" t="n">
        <f aca="false">H6*(1+I5/100)</f>
        <v>695.844200131098</v>
      </c>
      <c r="J6" s="0" t="n">
        <f aca="false">I6*(1+J5/100)</f>
        <v>706.281863133064</v>
      </c>
      <c r="K6" s="0" t="n">
        <f aca="false">J6*(1+K5/100)</f>
        <v>716.87609108006</v>
      </c>
      <c r="L6" s="0" t="n">
        <f aca="false">K6*(1+L5/100)</f>
        <v>727.629232446261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13</v>
      </c>
      <c r="D7" s="4" t="n">
        <f aca="false">Assumptions!D14</f>
        <v>12.5</v>
      </c>
      <c r="E7" s="4" t="n">
        <f aca="false">Assumptions!E14</f>
        <v>12.6</v>
      </c>
      <c r="F7" s="4" t="n">
        <f aca="false">Assumptions!F14</f>
        <v>12.8</v>
      </c>
      <c r="G7" s="4" t="n">
        <f aca="false">Assumptions!G14</f>
        <v>13</v>
      </c>
      <c r="H7" s="4" t="n">
        <f aca="false">Assumptions!H14</f>
        <v>13.2</v>
      </c>
      <c r="I7" s="4" t="n">
        <f aca="false">Assumptions!I14</f>
        <v>13.3</v>
      </c>
      <c r="J7" s="4" t="n">
        <f aca="false">Assumptions!J14</f>
        <v>13.4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84.3858873</v>
      </c>
      <c r="D8" s="0" t="n">
        <f aca="false">D6*D7/100</f>
        <v>81.14027625</v>
      </c>
      <c r="E8" s="0" t="n">
        <f aca="false">E6*E7/100</f>
        <v>82.6072924446</v>
      </c>
      <c r="F8" s="0" t="n">
        <f aca="false">F6*F7/100</f>
        <v>85.177297098432</v>
      </c>
      <c r="G8" s="0" t="n">
        <f aca="false">G6*G7/100</f>
        <v>87.8058152510789</v>
      </c>
      <c r="H8" s="0" t="n">
        <f aca="false">H6*H7/100</f>
        <v>90.4940240564581</v>
      </c>
      <c r="I8" s="0" t="n">
        <f aca="false">I6*I7/100</f>
        <v>92.547278617436</v>
      </c>
      <c r="J8" s="0" t="n">
        <f aca="false">J6*J7/100</f>
        <v>94.6417696598306</v>
      </c>
      <c r="K8" s="0" t="n">
        <f aca="false">K6*K7/100</f>
        <v>96.7782722958082</v>
      </c>
      <c r="L8" s="0" t="n">
        <f aca="false">L6*L7/100</f>
        <v>98.2299463802452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24.66664398</v>
      </c>
      <c r="D11" s="0" t="n">
        <f aca="false">D8+D10+D24</f>
        <v>20.12278851</v>
      </c>
      <c r="E11" s="0" t="n">
        <f aca="false">E8+E10+E24</f>
        <v>21.6352432593</v>
      </c>
      <c r="F11" s="0" t="n">
        <f aca="false">F8+F10+F24</f>
        <v>23.956114808934</v>
      </c>
      <c r="G11" s="0" t="n">
        <f aca="false">G8+G10+G24</f>
        <v>26.3417445753237</v>
      </c>
      <c r="H11" s="0" t="n">
        <f aca="false">H8+H10+H24</f>
        <v>28.793553108873</v>
      </c>
      <c r="I11" s="0" t="n">
        <f aca="false">I8+I10+I24</f>
        <v>29.9213006056372</v>
      </c>
      <c r="J11" s="0" t="n">
        <f aca="false">J8+J10+J24</f>
        <v>31.7826838409879</v>
      </c>
      <c r="K11" s="0" t="n">
        <f aca="false">K8+K10+K24</f>
        <v>32.9763001896828</v>
      </c>
      <c r="L11" s="0" t="n">
        <f aca="false">L8+L10+L24</f>
        <v>34.1985739249743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-17.52629967</v>
      </c>
      <c r="D12" s="4" t="n">
        <f aca="false">-D6*Assumptions!D17/100</f>
        <v>-18.17542188</v>
      </c>
      <c r="E12" s="4" t="n">
        <f aca="false">-E6*Assumptions!E17/100</f>
        <v>-17.7015626667</v>
      </c>
      <c r="F12" s="4" t="n">
        <f aca="false">-F6*Assumptions!F17/100</f>
        <v>-17.9670861067005</v>
      </c>
      <c r="G12" s="4" t="n">
        <f aca="false">-G6*Assumptions!G17/100</f>
        <v>-17.5611630502158</v>
      </c>
      <c r="H12" s="4" t="n">
        <f aca="false">-H6*Assumptions!H17/100</f>
        <v>-17.824580495969</v>
      </c>
      <c r="I12" s="4" t="n">
        <f aca="false">-I6*Assumptions!I17/100</f>
        <v>-18.0919492034086</v>
      </c>
      <c r="J12" s="4" t="n">
        <f aca="false">-J6*Assumptions!J17/100</f>
        <v>-17.6570465783266</v>
      </c>
      <c r="K12" s="4" t="n">
        <f aca="false">-K6*Assumptions!K17/100</f>
        <v>-17.9219022770015</v>
      </c>
      <c r="L12" s="4" t="n">
        <f aca="false">-L6*Assumptions!L17/100</f>
        <v>-18.1907308111565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7.14034431</v>
      </c>
      <c r="D13" s="0" t="n">
        <f aca="false">D11+D12</f>
        <v>1.94736662999999</v>
      </c>
      <c r="E13" s="0" t="n">
        <f aca="false">E11+E12</f>
        <v>3.93368059259999</v>
      </c>
      <c r="F13" s="0" t="n">
        <f aca="false">F11+F12</f>
        <v>5.98902870223352</v>
      </c>
      <c r="G13" s="0" t="n">
        <f aca="false">G11+G12</f>
        <v>8.78058152510789</v>
      </c>
      <c r="H13" s="0" t="n">
        <f aca="false">H11+H12</f>
        <v>10.968972612904</v>
      </c>
      <c r="I13" s="0" t="n">
        <f aca="false">I11+I12</f>
        <v>11.8293514022287</v>
      </c>
      <c r="J13" s="0" t="n">
        <f aca="false">J11+J12</f>
        <v>14.1256372626613</v>
      </c>
      <c r="K13" s="0" t="n">
        <f aca="false">K11+K12</f>
        <v>15.0543979126813</v>
      </c>
      <c r="L13" s="0" t="n">
        <f aca="false">L11+L12</f>
        <v>16.0078431138177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28</v>
      </c>
      <c r="D14" s="4" t="n">
        <f aca="false">Assumptions!D19</f>
        <v>29</v>
      </c>
      <c r="E14" s="4" t="n">
        <f aca="false">Assumptions!E19</f>
        <v>29.5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5.1410479032</v>
      </c>
      <c r="D15" s="0" t="n">
        <f aca="false">D13-MAX(0,D13)*D14/100</f>
        <v>1.3826303073</v>
      </c>
      <c r="E15" s="0" t="n">
        <f aca="false">E13-MAX(0,E13)*E14/100</f>
        <v>2.77324481778299</v>
      </c>
      <c r="F15" s="0" t="n">
        <f aca="false">F13-MAX(0,F13)*F14/100</f>
        <v>4.19232009156346</v>
      </c>
      <c r="G15" s="0" t="n">
        <f aca="false">G13-MAX(0,G13)*G14/100</f>
        <v>6.14640706757552</v>
      </c>
      <c r="H15" s="0" t="n">
        <f aca="false">H13-MAX(0,H13)*H14/100</f>
        <v>7.6782808290328</v>
      </c>
      <c r="I15" s="0" t="n">
        <f aca="false">I13-MAX(0,I13)*I14/100</f>
        <v>8.28054598156007</v>
      </c>
      <c r="J15" s="0" t="n">
        <f aca="false">J13-MAX(0,J13)*J14/100</f>
        <v>9.8879460838629</v>
      </c>
      <c r="K15" s="0" t="n">
        <f aca="false">K13-MAX(0,K13)*K14/100</f>
        <v>10.5380785388769</v>
      </c>
      <c r="L15" s="0" t="n">
        <f aca="false">L13-MAX(0,L13)*L14/100</f>
        <v>11.2054901796724</v>
      </c>
    </row>
    <row r="16" customFormat="false" ht="15" hidden="false" customHeight="false" outlineLevel="0" collapsed="false">
      <c r="A16" s="0" t="s">
        <v>121</v>
      </c>
      <c r="C16" s="0" t="n">
        <f aca="false">-C12</f>
        <v>17.52629967</v>
      </c>
      <c r="D16" s="0" t="n">
        <f aca="false">-D12</f>
        <v>18.17542188</v>
      </c>
      <c r="E16" s="0" t="n">
        <f aca="false">-E12</f>
        <v>17.7015626667</v>
      </c>
      <c r="F16" s="0" t="n">
        <f aca="false">-F12</f>
        <v>17.9670861067005</v>
      </c>
      <c r="G16" s="0" t="n">
        <f aca="false">-G12</f>
        <v>17.5611630502158</v>
      </c>
      <c r="H16" s="0" t="n">
        <f aca="false">-H12</f>
        <v>17.824580495969</v>
      </c>
      <c r="I16" s="0" t="n">
        <f aca="false">-I12</f>
        <v>18.0919492034086</v>
      </c>
      <c r="J16" s="0" t="n">
        <f aca="false">-J12</f>
        <v>17.6570465783266</v>
      </c>
      <c r="K16" s="0" t="n">
        <f aca="false">-K12</f>
        <v>17.9219022770015</v>
      </c>
      <c r="L16" s="0" t="n">
        <f aca="false">-L12</f>
        <v>18.1907308111565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-20.77191072</v>
      </c>
      <c r="D17" s="4" t="n">
        <f aca="false">-D6*Assumptions!D18/100</f>
        <v>-16.87717746</v>
      </c>
      <c r="E17" s="4" t="n">
        <f aca="false">-E6*Assumptions!E18/100</f>
        <v>-15.0791089383</v>
      </c>
      <c r="F17" s="4" t="n">
        <f aca="false">-F6*Assumptions!F18/100</f>
        <v>-14.639847938793</v>
      </c>
      <c r="G17" s="4" t="n">
        <f aca="false">-G6*Assumptions!G18/100</f>
        <v>-14.8594456578749</v>
      </c>
      <c r="H17" s="4" t="n">
        <f aca="false">-H6*Assumptions!H18/100</f>
        <v>-15.082337342743</v>
      </c>
      <c r="I17" s="4" t="n">
        <f aca="false">-I6*Assumptions!I18/100</f>
        <v>-15.3085724028842</v>
      </c>
      <c r="J17" s="4" t="n">
        <f aca="false">-J6*Assumptions!J18/100</f>
        <v>-15.5382009889274</v>
      </c>
      <c r="K17" s="4" t="n">
        <f aca="false">-K6*Assumptions!K18/100</f>
        <v>-15.7712740037613</v>
      </c>
      <c r="L17" s="4" t="n">
        <f aca="false">-L6*Assumptions!L18/100</f>
        <v>-16.0078431138177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0.786814799999997</v>
      </c>
      <c r="D18" s="4" t="n">
        <f aca="false">(D6-C6)*Assumptions!$B$23/100</f>
        <v>-0</v>
      </c>
      <c r="E18" s="4" t="n">
        <f aca="false">(E6-D6)*Assumptions!$B$23/100</f>
        <v>-0.778946651999995</v>
      </c>
      <c r="F18" s="4" t="n">
        <f aca="false">(F6-E6)*Assumptions!$B$23/100</f>
        <v>-1.18010417777999</v>
      </c>
      <c r="G18" s="4" t="n">
        <f aca="false">(G6-F6)*Assumptions!$B$23/100</f>
        <v>-1.19780574044669</v>
      </c>
      <c r="H18" s="4" t="n">
        <f aca="false">(H6-G6)*Assumptions!$B$23/100</f>
        <v>-1.21577282655339</v>
      </c>
      <c r="I18" s="4" t="n">
        <f aca="false">(I6-H6)*Assumptions!$B$23/100</f>
        <v>-1.2340094189517</v>
      </c>
      <c r="J18" s="4" t="n">
        <f aca="false">(J6-I6)*Assumptions!$B$23/100</f>
        <v>-1.25251956023596</v>
      </c>
      <c r="K18" s="4" t="n">
        <f aca="false">(K6-J6)*Assumptions!$B$23/100</f>
        <v>-1.27130735363951</v>
      </c>
      <c r="L18" s="4" t="n">
        <f aca="false">(L6-K6)*Assumptions!$B$23/100</f>
        <v>-1.2903769639441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2.68225165319999</v>
      </c>
      <c r="D19" s="0" t="n">
        <f aca="false">D15+D16+D17+D18</f>
        <v>2.68087472729999</v>
      </c>
      <c r="E19" s="0" t="n">
        <f aca="false">E15+E16+E17+E18</f>
        <v>4.616751894183</v>
      </c>
      <c r="F19" s="0" t="n">
        <f aca="false">F15+F16+F17+F18</f>
        <v>6.33945408169097</v>
      </c>
      <c r="G19" s="0" t="n">
        <f aca="false">G15+G16+G17+G18</f>
        <v>7.65031871946972</v>
      </c>
      <c r="H19" s="0" t="n">
        <f aca="false">H15+H16+H17+H18</f>
        <v>9.20475115570541</v>
      </c>
      <c r="I19" s="0" t="n">
        <f aca="false">I15+I16+I17+I18</f>
        <v>9.82991336313277</v>
      </c>
      <c r="J19" s="0" t="n">
        <f aca="false">J15+J16+J17+J18</f>
        <v>10.7542721130261</v>
      </c>
      <c r="K19" s="0" t="n">
        <f aca="false">K15+K16+K17+K18</f>
        <v>11.4173994584776</v>
      </c>
      <c r="L19" s="0" t="n">
        <f aca="false">L15+L16+L17+L18</f>
        <v>12.0980009130671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2.42737706171945</v>
      </c>
      <c r="D21" s="0" t="n">
        <f aca="false">D19*D20</f>
        <v>2.19559364247251</v>
      </c>
      <c r="E21" s="0" t="n">
        <f aca="false">E19*E20</f>
        <v>3.42176123571204</v>
      </c>
      <c r="F21" s="0" t="n">
        <f aca="false">F19*F20</f>
        <v>4.25209293865644</v>
      </c>
      <c r="G21" s="0" t="n">
        <f aca="false">G19*G20</f>
        <v>4.64374259468208</v>
      </c>
      <c r="H21" s="0" t="n">
        <f aca="false">H19*H20</f>
        <v>5.05636462181445</v>
      </c>
      <c r="I21" s="0" t="n">
        <f aca="false">I19*I20</f>
        <v>4.88667823843078</v>
      </c>
      <c r="J21" s="0" t="n">
        <f aca="false">J19*J20</f>
        <v>4.83818863510193</v>
      </c>
      <c r="K21" s="0" t="n">
        <f aca="false">K19*K20</f>
        <v>4.64843426362341</v>
      </c>
      <c r="L21" s="0" t="n">
        <f aca="false">L19*L20</f>
        <v>4.45749467197557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9.2</v>
      </c>
      <c r="D23" s="4" t="n">
        <f aca="false">Assumptions!D16</f>
        <v>9.4</v>
      </c>
      <c r="E23" s="4" t="n">
        <f aca="false">Assumptions!E16</f>
        <v>9.3</v>
      </c>
      <c r="F23" s="4" t="n">
        <f aca="false">Assumptions!F16</f>
        <v>9.2</v>
      </c>
      <c r="G23" s="4" t="n">
        <f aca="false">Assumptions!G16</f>
        <v>9.1</v>
      </c>
      <c r="H23" s="4" t="n">
        <f aca="false">Assumptions!H16</f>
        <v>9</v>
      </c>
      <c r="I23" s="4" t="n">
        <f aca="false">Assumptions!I16</f>
        <v>9</v>
      </c>
      <c r="J23" s="4" t="n">
        <f aca="false">Assumptions!J16</f>
        <v>8.9</v>
      </c>
      <c r="K23" s="4" t="n">
        <f aca="false">Assumptions!K16</f>
        <v>8.9</v>
      </c>
      <c r="L23" s="4" t="n">
        <f aca="false">Assumptions!L16</f>
        <v>8.8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-59.71924332</v>
      </c>
      <c r="D24" s="0" t="n">
        <f aca="false">-D6*D23/100</f>
        <v>-61.01748774</v>
      </c>
      <c r="E24" s="0" t="n">
        <f aca="false">-E6*E23/100</f>
        <v>-60.9720491853</v>
      </c>
      <c r="F24" s="0" t="n">
        <f aca="false">-F6*F23/100</f>
        <v>-61.221182289498</v>
      </c>
      <c r="G24" s="0" t="n">
        <f aca="false">-G6*G23/100</f>
        <v>-61.4640706757552</v>
      </c>
      <c r="H24" s="0" t="n">
        <f aca="false">-H6*H23/100</f>
        <v>-61.700470947585</v>
      </c>
      <c r="I24" s="0" t="n">
        <f aca="false">-I6*I23/100</f>
        <v>-62.6259780117988</v>
      </c>
      <c r="J24" s="0" t="n">
        <f aca="false">-J6*J23/100</f>
        <v>-62.8590858188427</v>
      </c>
      <c r="K24" s="0" t="n">
        <f aca="false">-K6*K23/100</f>
        <v>-63.8019721061254</v>
      </c>
      <c r="L24" s="0" t="n">
        <f aca="false">-L6*L23/100</f>
        <v>-64.031372455271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40.8277279041887</v>
      </c>
    </row>
    <row r="31" customFormat="false" ht="15" hidden="false" customHeight="false" outlineLevel="0" collapsed="false">
      <c r="A31" s="0" t="s">
        <v>130</v>
      </c>
      <c r="B31" s="0" t="n">
        <f aca="false">L19</f>
        <v>12.0980009130671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155.005636698672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145.176010956805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145.176010956805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53.4899360637068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94.3176639678955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88.7786639678955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0.278021082136188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-0.338045042532885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0.278021082136188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99.2036074871502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0.160440283956798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4.5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655.679</v>
      </c>
      <c r="C6" s="0" t="n">
        <f aca="false">B6*(1+C5/100)</f>
        <v>685.184555</v>
      </c>
      <c r="D6" s="0" t="n">
        <f aca="false">C6*(1+D5/100)</f>
        <v>716.017859975</v>
      </c>
      <c r="E6" s="0" t="n">
        <f aca="false">D6*(1+E5/100)</f>
        <v>744.658574374</v>
      </c>
      <c r="F6" s="0" t="n">
        <f aca="false">E6*(1+F5/100)</f>
        <v>774.44491734896</v>
      </c>
      <c r="G6" s="0" t="n">
        <f aca="false">F6*(1+G5/100)</f>
        <v>801.550489456173</v>
      </c>
      <c r="H6" s="0" t="n">
        <f aca="false">G6*(1+H5/100)</f>
        <v>829.604756587139</v>
      </c>
      <c r="I6" s="0" t="n">
        <f aca="false">H6*(1+I5/100)</f>
        <v>854.492899284754</v>
      </c>
      <c r="J6" s="0" t="n">
        <f aca="false">I6*(1+J5/100)</f>
        <v>880.127686263296</v>
      </c>
      <c r="K6" s="0" t="n">
        <f aca="false">J6*(1+K5/100)</f>
        <v>902.130878419879</v>
      </c>
      <c r="L6" s="0" t="n">
        <f aca="false">K6*(1+L5/100)</f>
        <v>924.684150380375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14.6</v>
      </c>
      <c r="D7" s="4" t="n">
        <f aca="false">Assumptions!D28</f>
        <v>14.9</v>
      </c>
      <c r="E7" s="4" t="n">
        <f aca="false">Assumptions!E28</f>
        <v>15.2</v>
      </c>
      <c r="F7" s="4" t="n">
        <f aca="false">Assumptions!F28</f>
        <v>15.5</v>
      </c>
      <c r="G7" s="4" t="n">
        <f aca="false">Assumptions!G28</f>
        <v>15.8</v>
      </c>
      <c r="H7" s="4" t="n">
        <f aca="false">Assumptions!H28</f>
        <v>16</v>
      </c>
      <c r="I7" s="4" t="n">
        <f aca="false">Assumptions!I28</f>
        <v>16.2</v>
      </c>
      <c r="J7" s="4" t="n">
        <f aca="false">Assumptions!J28</f>
        <v>16.3</v>
      </c>
      <c r="K7" s="4" t="n">
        <f aca="false">Assumptions!K28</f>
        <v>16.4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100.03694503</v>
      </c>
      <c r="D8" s="0" t="n">
        <f aca="false">D6*D7/100</f>
        <v>106.686661136275</v>
      </c>
      <c r="E8" s="0" t="n">
        <f aca="false">E6*E7/100</f>
        <v>113.188103304848</v>
      </c>
      <c r="F8" s="0" t="n">
        <f aca="false">F6*F7/100</f>
        <v>120.038962189089</v>
      </c>
      <c r="G8" s="0" t="n">
        <f aca="false">G6*G7/100</f>
        <v>126.644977334075</v>
      </c>
      <c r="H8" s="0" t="n">
        <f aca="false">H6*H7/100</f>
        <v>132.736761053942</v>
      </c>
      <c r="I8" s="0" t="n">
        <f aca="false">I6*I7/100</f>
        <v>138.42784968413</v>
      </c>
      <c r="J8" s="0" t="n">
        <f aca="false">J6*J7/100</f>
        <v>143.460812860917</v>
      </c>
      <c r="K8" s="0" t="n">
        <f aca="false">K6*K7/100</f>
        <v>147.94946406086</v>
      </c>
      <c r="L8" s="0" t="n">
        <f aca="false">L6*L7/100</f>
        <v>152.572884812762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40.425888745</v>
      </c>
      <c r="D11" s="0" t="n">
        <f aca="false">D8+D10+D24</f>
        <v>45.109125178425</v>
      </c>
      <c r="E11" s="0" t="n">
        <f aca="false">E8+E10+E24</f>
        <v>49.147465908684</v>
      </c>
      <c r="F11" s="0" t="n">
        <f aca="false">F8+F10+F24</f>
        <v>54.2111442144272</v>
      </c>
      <c r="G11" s="0" t="n">
        <f aca="false">G8+G10+G24</f>
        <v>59.3147362197568</v>
      </c>
      <c r="H11" s="0" t="n">
        <f aca="false">H8+H10+H24</f>
        <v>63.0499615006226</v>
      </c>
      <c r="I11" s="0" t="n">
        <f aca="false">I8+I10+I24</f>
        <v>67.5049390434955</v>
      </c>
      <c r="J11" s="0" t="n">
        <f aca="false">J8+J10+J24</f>
        <v>70.4102149010637</v>
      </c>
      <c r="K11" s="0" t="n">
        <f aca="false">K8+K10+K24</f>
        <v>73.97473203043</v>
      </c>
      <c r="L11" s="0" t="n">
        <f aca="false">L8+L10+L24</f>
        <v>76.7487844815712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-17.129613875</v>
      </c>
      <c r="D12" s="4" t="n">
        <f aca="false">-D6*Assumptions!D31/100</f>
        <v>-17.900446499375</v>
      </c>
      <c r="E12" s="4" t="n">
        <f aca="false">-E6*Assumptions!E31/100</f>
        <v>-17.871805784976</v>
      </c>
      <c r="F12" s="4" t="n">
        <f aca="false">-F6*Assumptions!F31/100</f>
        <v>-18.586678016375</v>
      </c>
      <c r="G12" s="4" t="n">
        <f aca="false">-G6*Assumptions!G31/100</f>
        <v>-18.435661257492</v>
      </c>
      <c r="H12" s="4" t="n">
        <f aca="false">-H6*Assumptions!H31/100</f>
        <v>-19.0809094015042</v>
      </c>
      <c r="I12" s="4" t="n">
        <f aca="false">-I6*Assumptions!I31/100</f>
        <v>-19.6533366835493</v>
      </c>
      <c r="J12" s="4" t="n">
        <f aca="false">-J6*Assumptions!J31/100</f>
        <v>-19.3628090977925</v>
      </c>
      <c r="K12" s="4" t="n">
        <f aca="false">-K6*Assumptions!K31/100</f>
        <v>-19.8468793252373</v>
      </c>
      <c r="L12" s="4" t="n">
        <f aca="false">-L6*Assumptions!L31/100</f>
        <v>-20.3430513083683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23.29627487</v>
      </c>
      <c r="D13" s="0" t="n">
        <f aca="false">D11+D12</f>
        <v>27.20867867905</v>
      </c>
      <c r="E13" s="0" t="n">
        <f aca="false">E11+E12</f>
        <v>31.275660123708</v>
      </c>
      <c r="F13" s="0" t="n">
        <f aca="false">F11+F12</f>
        <v>35.6244661980522</v>
      </c>
      <c r="G13" s="0" t="n">
        <f aca="false">G11+G12</f>
        <v>40.8790749622649</v>
      </c>
      <c r="H13" s="0" t="n">
        <f aca="false">H11+H12</f>
        <v>43.9690520991184</v>
      </c>
      <c r="I13" s="0" t="n">
        <f aca="false">I11+I12</f>
        <v>47.8516023599462</v>
      </c>
      <c r="J13" s="0" t="n">
        <f aca="false">J11+J12</f>
        <v>51.0474058032712</v>
      </c>
      <c r="K13" s="0" t="n">
        <f aca="false">K11+K12</f>
        <v>54.1278527051927</v>
      </c>
      <c r="L13" s="0" t="n">
        <f aca="false">L11+L12</f>
        <v>56.4057331732029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25</v>
      </c>
      <c r="D14" s="4" t="n">
        <f aca="false">Assumptions!D33</f>
        <v>27</v>
      </c>
      <c r="E14" s="4" t="n">
        <f aca="false">Assumptions!E33</f>
        <v>28</v>
      </c>
      <c r="F14" s="4" t="n">
        <f aca="false">Assumptions!F33</f>
        <v>28.5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17.4722061525</v>
      </c>
      <c r="D15" s="0" t="n">
        <f aca="false">D13-MAX(0,D13)*D14/100</f>
        <v>19.8623354357065</v>
      </c>
      <c r="E15" s="0" t="n">
        <f aca="false">E13-MAX(0,E13)*E14/100</f>
        <v>22.5184752890698</v>
      </c>
      <c r="F15" s="0" t="n">
        <f aca="false">F13-MAX(0,F13)*F14/100</f>
        <v>25.4714933316073</v>
      </c>
      <c r="G15" s="0" t="n">
        <f aca="false">G13-MAX(0,G13)*G14/100</f>
        <v>29.024143223208</v>
      </c>
      <c r="H15" s="0" t="n">
        <f aca="false">H13-MAX(0,H13)*H14/100</f>
        <v>31.2180269903741</v>
      </c>
      <c r="I15" s="0" t="n">
        <f aca="false">I13-MAX(0,I13)*I14/100</f>
        <v>33.9746376755618</v>
      </c>
      <c r="J15" s="0" t="n">
        <f aca="false">J13-MAX(0,J13)*J14/100</f>
        <v>36.2436581203225</v>
      </c>
      <c r="K15" s="0" t="n">
        <f aca="false">K13-MAX(0,K13)*K14/100</f>
        <v>38.4307754206868</v>
      </c>
      <c r="L15" s="0" t="n">
        <f aca="false">L13-MAX(0,L13)*L14/100</f>
        <v>40.0480705529741</v>
      </c>
    </row>
    <row r="16" customFormat="false" ht="15" hidden="false" customHeight="false" outlineLevel="0" collapsed="false">
      <c r="A16" s="0" t="s">
        <v>121</v>
      </c>
      <c r="C16" s="0" t="n">
        <f aca="false">-C12</f>
        <v>17.129613875</v>
      </c>
      <c r="D16" s="0" t="n">
        <f aca="false">-D12</f>
        <v>17.900446499375</v>
      </c>
      <c r="E16" s="0" t="n">
        <f aca="false">-E12</f>
        <v>17.871805784976</v>
      </c>
      <c r="F16" s="0" t="n">
        <f aca="false">-F12</f>
        <v>18.586678016375</v>
      </c>
      <c r="G16" s="0" t="n">
        <f aca="false">-G12</f>
        <v>18.435661257492</v>
      </c>
      <c r="H16" s="0" t="n">
        <f aca="false">-H12</f>
        <v>19.0809094015042</v>
      </c>
      <c r="I16" s="0" t="n">
        <f aca="false">-I12</f>
        <v>19.6533366835493</v>
      </c>
      <c r="J16" s="0" t="n">
        <f aca="false">-J12</f>
        <v>19.3628090977925</v>
      </c>
      <c r="K16" s="0" t="n">
        <f aca="false">-K12</f>
        <v>19.8468793252373</v>
      </c>
      <c r="L16" s="0" t="n">
        <f aca="false">-L12</f>
        <v>20.3430513083683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-24.66664398</v>
      </c>
      <c r="D17" s="4" t="n">
        <f aca="false">-D6*Assumptions!D32/100</f>
        <v>-23.628589379175</v>
      </c>
      <c r="E17" s="4" t="n">
        <f aca="false">-E6*Assumptions!E32/100</f>
        <v>-22.33975723122</v>
      </c>
      <c r="F17" s="4" t="n">
        <f aca="false">-F6*Assumptions!F32/100</f>
        <v>-21.6844576857709</v>
      </c>
      <c r="G17" s="4" t="n">
        <f aca="false">-G6*Assumptions!G32/100</f>
        <v>-20.8403127258605</v>
      </c>
      <c r="H17" s="4" t="n">
        <f aca="false">-H6*Assumptions!H32/100</f>
        <v>-20.7401189146785</v>
      </c>
      <c r="I17" s="4" t="n">
        <f aca="false">-I6*Assumptions!I32/100</f>
        <v>-20.5078295828341</v>
      </c>
      <c r="J17" s="4" t="n">
        <f aca="false">-J6*Assumptions!J32/100</f>
        <v>-21.1230644703191</v>
      </c>
      <c r="K17" s="4" t="n">
        <f aca="false">-K6*Assumptions!K32/100</f>
        <v>-20.7490102036572</v>
      </c>
      <c r="L17" s="4" t="n">
        <f aca="false">-L6*Assumptions!L32/100</f>
        <v>-21.2677354587486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-2.3604444</v>
      </c>
      <c r="D18" s="4" t="n">
        <f aca="false">(D6-C6)*Assumptions!$B$37/100</f>
        <v>-2.46666439799999</v>
      </c>
      <c r="E18" s="4" t="n">
        <f aca="false">(E6-D6)*Assumptions!$B$37/100</f>
        <v>-2.29125715192</v>
      </c>
      <c r="F18" s="4" t="n">
        <f aca="false">(F6-E6)*Assumptions!$B$37/100</f>
        <v>-2.3829074379968</v>
      </c>
      <c r="G18" s="4" t="n">
        <f aca="false">(G6-F6)*Assumptions!$B$37/100</f>
        <v>-2.16844576857709</v>
      </c>
      <c r="H18" s="4" t="n">
        <f aca="false">(H6-G6)*Assumptions!$B$37/100</f>
        <v>-2.24434137047728</v>
      </c>
      <c r="I18" s="4" t="n">
        <f aca="false">(I6-H6)*Assumptions!$B$37/100</f>
        <v>-1.99105141580913</v>
      </c>
      <c r="J18" s="4" t="n">
        <f aca="false">(J6-I6)*Assumptions!$B$37/100</f>
        <v>-2.05078295828341</v>
      </c>
      <c r="K18" s="4" t="n">
        <f aca="false">(K6-J6)*Assumptions!$B$37/100</f>
        <v>-1.76025537252659</v>
      </c>
      <c r="L18" s="4" t="n">
        <f aca="false">(L6-K6)*Assumptions!$B$37/100</f>
        <v>-1.80426175683975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7.5747316475</v>
      </c>
      <c r="D19" s="0" t="n">
        <f aca="false">D15+D16+D17+D18</f>
        <v>11.6675281579065</v>
      </c>
      <c r="E19" s="0" t="n">
        <f aca="false">E15+E16+E17+E18</f>
        <v>15.7592666909058</v>
      </c>
      <c r="F19" s="0" t="n">
        <f aca="false">F15+F16+F17+F18</f>
        <v>19.9908062242147</v>
      </c>
      <c r="G19" s="0" t="n">
        <f aca="false">G15+G16+G17+G18</f>
        <v>24.4510459862624</v>
      </c>
      <c r="H19" s="0" t="n">
        <f aca="false">H15+H16+H17+H18</f>
        <v>27.3144761067225</v>
      </c>
      <c r="I19" s="0" t="n">
        <f aca="false">I15+I16+I17+I18</f>
        <v>31.1290933604679</v>
      </c>
      <c r="J19" s="0" t="n">
        <f aca="false">J15+J16+J17+J18</f>
        <v>32.4326197895125</v>
      </c>
      <c r="K19" s="0" t="n">
        <f aca="false">K15+K16+K17+K18</f>
        <v>35.7683891697404</v>
      </c>
      <c r="L19" s="0" t="n">
        <f aca="false">L15+L16+L17+L18</f>
        <v>37.3191246457539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6.85496076696833</v>
      </c>
      <c r="D21" s="0" t="n">
        <f aca="false">D19*D20</f>
        <v>9.55551946758379</v>
      </c>
      <c r="E21" s="0" t="n">
        <f aca="false">E19*E20</f>
        <v>11.6801701937097</v>
      </c>
      <c r="F21" s="0" t="n">
        <f aca="false">F19*F20</f>
        <v>13.4085309063961</v>
      </c>
      <c r="G21" s="0" t="n">
        <f aca="false">G19*G20</f>
        <v>14.8417821393469</v>
      </c>
      <c r="H21" s="0" t="n">
        <f aca="false">H19*H20</f>
        <v>15.0044198168053</v>
      </c>
      <c r="I21" s="0" t="n">
        <f aca="false">I19*I20</f>
        <v>15.4749953013013</v>
      </c>
      <c r="J21" s="0" t="n">
        <f aca="false">J19*J20</f>
        <v>14.5909579767968</v>
      </c>
      <c r="K21" s="0" t="n">
        <f aca="false">K19*K20</f>
        <v>14.5625986351719</v>
      </c>
      <c r="L21" s="0" t="n">
        <f aca="false">L19*L20</f>
        <v>13.7501890160684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8.7</v>
      </c>
      <c r="D23" s="4" t="n">
        <f aca="false">Assumptions!D30</f>
        <v>8.6</v>
      </c>
      <c r="E23" s="4" t="n">
        <f aca="false">Assumptions!E30</f>
        <v>8.6</v>
      </c>
      <c r="F23" s="4" t="n">
        <f aca="false">Assumptions!F30</f>
        <v>8.5</v>
      </c>
      <c r="G23" s="4" t="n">
        <f aca="false">Assumptions!G30</f>
        <v>8.4</v>
      </c>
      <c r="H23" s="4" t="n">
        <f aca="false">Assumptions!H30</f>
        <v>8.4</v>
      </c>
      <c r="I23" s="4" t="n">
        <f aca="false">Assumptions!I30</f>
        <v>8.3</v>
      </c>
      <c r="J23" s="4" t="n">
        <f aca="false">Assumptions!J30</f>
        <v>8.3</v>
      </c>
      <c r="K23" s="4" t="n">
        <f aca="false">Assumptions!K30</f>
        <v>8.2</v>
      </c>
      <c r="L23" s="4" t="n">
        <f aca="false">Assumptions!L30</f>
        <v>8.2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-59.611056285</v>
      </c>
      <c r="D24" s="0" t="n">
        <f aca="false">-D6*D23/100</f>
        <v>-61.57753595785</v>
      </c>
      <c r="E24" s="0" t="n">
        <f aca="false">-E6*E23/100</f>
        <v>-64.040637396164</v>
      </c>
      <c r="F24" s="0" t="n">
        <f aca="false">-F6*F23/100</f>
        <v>-65.8278179746616</v>
      </c>
      <c r="G24" s="0" t="n">
        <f aca="false">-G6*G23/100</f>
        <v>-67.3302411143186</v>
      </c>
      <c r="H24" s="0" t="n">
        <f aca="false">-H6*H23/100</f>
        <v>-69.6867995533197</v>
      </c>
      <c r="I24" s="0" t="n">
        <f aca="false">-I6*I23/100</f>
        <v>-70.9229106406346</v>
      </c>
      <c r="J24" s="0" t="n">
        <f aca="false">-J6*J23/100</f>
        <v>-73.0505979598536</v>
      </c>
      <c r="K24" s="0" t="n">
        <f aca="false">-K6*K23/100</f>
        <v>-73.97473203043</v>
      </c>
      <c r="L24" s="0" t="n">
        <f aca="false">-L6*L23/100</f>
        <v>-75.8241003311908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129.724124220149</v>
      </c>
    </row>
    <row r="31" customFormat="false" ht="15" hidden="false" customHeight="false" outlineLevel="0" collapsed="false">
      <c r="A31" s="0" t="s">
        <v>130</v>
      </c>
      <c r="B31" s="0" t="n">
        <f aca="false">L19</f>
        <v>37.3191246457539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478.151284523722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447.829495749047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447.829495749047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165.00226819282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294.726392412969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289.187392412969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0.905625160205957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1.15625038144276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0.905625160205957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306.016822095182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0.541666966545547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6.5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655.679</v>
      </c>
      <c r="C6" s="0" t="n">
        <f aca="false">B6*(1+C5/100)</f>
        <v>698.298135</v>
      </c>
      <c r="D6" s="0" t="n">
        <f aca="false">C6*(1+D5/100)</f>
        <v>743.687513775</v>
      </c>
      <c r="E6" s="0" t="n">
        <f aca="false">D6*(1+E5/100)</f>
        <v>788.3087646015</v>
      </c>
      <c r="F6" s="0" t="n">
        <f aca="false">E6*(1+F5/100)</f>
        <v>835.60729047759</v>
      </c>
      <c r="G6" s="0" t="n">
        <f aca="false">F6*(1+G5/100)</f>
        <v>881.565691453857</v>
      </c>
      <c r="H6" s="0" t="n">
        <f aca="false">G6*(1+H5/100)</f>
        <v>925.64397602655</v>
      </c>
      <c r="I6" s="0" t="n">
        <f aca="false">H6*(1+I5/100)</f>
        <v>967.297954947745</v>
      </c>
      <c r="J6" s="0" t="n">
        <f aca="false">I6*(1+J5/100)</f>
        <v>1005.98987314565</v>
      </c>
      <c r="K6" s="0" t="n">
        <f aca="false">J6*(1+K5/100)</f>
        <v>1041.19951870575</v>
      </c>
      <c r="L6" s="0" t="n">
        <f aca="false">K6*(1+L5/100)</f>
        <v>1072.43550426693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15.2</v>
      </c>
      <c r="D7" s="4" t="n">
        <f aca="false">Assumptions!D42</f>
        <v>15.8</v>
      </c>
      <c r="E7" s="4" t="n">
        <f aca="false">Assumptions!E42</f>
        <v>16.4</v>
      </c>
      <c r="F7" s="4" t="n">
        <f aca="false">Assumptions!F42</f>
        <v>17</v>
      </c>
      <c r="G7" s="4" t="n">
        <f aca="false">Assumptions!G42</f>
        <v>17.6</v>
      </c>
      <c r="H7" s="4" t="n">
        <f aca="false">Assumptions!H42</f>
        <v>18.1</v>
      </c>
      <c r="I7" s="4" t="n">
        <f aca="false">Assumptions!I42</f>
        <v>18.5</v>
      </c>
      <c r="J7" s="4" t="n">
        <f aca="false">Assumptions!J42</f>
        <v>18.8</v>
      </c>
      <c r="K7" s="4" t="n">
        <f aca="false">Assumptions!K42</f>
        <v>19</v>
      </c>
      <c r="L7" s="4" t="n">
        <f aca="false">Assumptions!L42</f>
        <v>19.2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106.14131652</v>
      </c>
      <c r="D8" s="0" t="n">
        <f aca="false">D6*D7/100</f>
        <v>117.50262717645</v>
      </c>
      <c r="E8" s="0" t="n">
        <f aca="false">E6*E7/100</f>
        <v>129.282637394646</v>
      </c>
      <c r="F8" s="0" t="n">
        <f aca="false">F6*F7/100</f>
        <v>142.05323938119</v>
      </c>
      <c r="G8" s="0" t="n">
        <f aca="false">G6*G7/100</f>
        <v>155.155561695879</v>
      </c>
      <c r="H8" s="0" t="n">
        <f aca="false">H6*H7/100</f>
        <v>167.541559660806</v>
      </c>
      <c r="I8" s="0" t="n">
        <f aca="false">I6*I7/100</f>
        <v>178.950121665333</v>
      </c>
      <c r="J8" s="0" t="n">
        <f aca="false">J6*J7/100</f>
        <v>189.126096151383</v>
      </c>
      <c r="K8" s="0" t="n">
        <f aca="false">K6*K7/100</f>
        <v>197.827908554093</v>
      </c>
      <c r="L8" s="0" t="n">
        <f aca="false">L6*L7/100</f>
        <v>205.90761681925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46.08767691</v>
      </c>
      <c r="D11" s="0" t="n">
        <f aca="false">D8+D10+D24</f>
        <v>55.03287601935</v>
      </c>
      <c r="E11" s="0" t="n">
        <f aca="false">E8+E10+E24</f>
        <v>64.641318697323</v>
      </c>
      <c r="F11" s="0" t="n">
        <f aca="false">F8+F10+F24</f>
        <v>75.2046561429831</v>
      </c>
      <c r="G11" s="0" t="n">
        <f aca="false">G8+G10+G24</f>
        <v>86.393437762478</v>
      </c>
      <c r="H11" s="0" t="n">
        <f aca="false">H8+H10+H24</f>
        <v>97.1926174827878</v>
      </c>
      <c r="I11" s="0" t="n">
        <f aca="false">I8+I10+I24</f>
        <v>107.3700729992</v>
      </c>
      <c r="J11" s="0" t="n">
        <f aca="false">J8+J10+J24</f>
        <v>115.68883541175</v>
      </c>
      <c r="K11" s="0" t="n">
        <f aca="false">K8+K10+K24</f>
        <v>122.861543207279</v>
      </c>
      <c r="L11" s="0" t="n">
        <f aca="false">L8+L10+L24</f>
        <v>129.764696016298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-16.75915524</v>
      </c>
      <c r="D12" s="4" t="n">
        <f aca="false">-D6*Assumptions!D45/100</f>
        <v>-17.104812816825</v>
      </c>
      <c r="E12" s="4" t="n">
        <f aca="false">-E6*Assumptions!E45/100</f>
        <v>-18.1311015858345</v>
      </c>
      <c r="F12" s="4" t="n">
        <f aca="false">-F6*Assumptions!F45/100</f>
        <v>-18.383360390507</v>
      </c>
      <c r="G12" s="4" t="n">
        <f aca="false">-G6*Assumptions!G45/100</f>
        <v>-19.3944452119849</v>
      </c>
      <c r="H12" s="4" t="n">
        <f aca="false">-H6*Assumptions!H45/100</f>
        <v>-19.4385234965576</v>
      </c>
      <c r="I12" s="4" t="n">
        <f aca="false">-I6*Assumptions!I45/100</f>
        <v>-20.3132570539026</v>
      </c>
      <c r="J12" s="4" t="n">
        <f aca="false">-J6*Assumptions!J45/100</f>
        <v>-20.1197974629131</v>
      </c>
      <c r="K12" s="4" t="n">
        <f aca="false">-K6*Assumptions!K45/100</f>
        <v>-20.8239903741151</v>
      </c>
      <c r="L12" s="4" t="n">
        <f aca="false">-L6*Assumptions!L45/100</f>
        <v>-21.4487100853385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29.32852167</v>
      </c>
      <c r="D13" s="0" t="n">
        <f aca="false">D11+D12</f>
        <v>37.928063202525</v>
      </c>
      <c r="E13" s="0" t="n">
        <f aca="false">E11+E12</f>
        <v>46.5102171114885</v>
      </c>
      <c r="F13" s="0" t="n">
        <f aca="false">F11+F12</f>
        <v>56.8212957524761</v>
      </c>
      <c r="G13" s="0" t="n">
        <f aca="false">G11+G12</f>
        <v>66.9989925504932</v>
      </c>
      <c r="H13" s="0" t="n">
        <f aca="false">H11+H12</f>
        <v>77.7540939862302</v>
      </c>
      <c r="I13" s="0" t="n">
        <f aca="false">I11+I12</f>
        <v>87.056815945297</v>
      </c>
      <c r="J13" s="0" t="n">
        <f aca="false">J11+J12</f>
        <v>95.5690379488372</v>
      </c>
      <c r="K13" s="0" t="n">
        <f aca="false">K11+K12</f>
        <v>102.037552833164</v>
      </c>
      <c r="L13" s="0" t="n">
        <f aca="false">L11+L12</f>
        <v>108.315985930959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24</v>
      </c>
      <c r="D14" s="4" t="n">
        <f aca="false">Assumptions!D47</f>
        <v>26</v>
      </c>
      <c r="E14" s="4" t="n">
        <f aca="false">Assumptions!E47</f>
        <v>27.5</v>
      </c>
      <c r="F14" s="4" t="n">
        <f aca="false">Assumptions!F47</f>
        <v>28</v>
      </c>
      <c r="G14" s="4" t="n">
        <f aca="false">Assumptions!G47</f>
        <v>28.5</v>
      </c>
      <c r="H14" s="4" t="n">
        <f aca="false">Assumptions!H47</f>
        <v>28.5</v>
      </c>
      <c r="I14" s="4" t="n">
        <f aca="false">Assumptions!I47</f>
        <v>28.5</v>
      </c>
      <c r="J14" s="4" t="n">
        <f aca="false">Assumptions!J47</f>
        <v>28.5</v>
      </c>
      <c r="K14" s="4" t="n">
        <f aca="false">Assumptions!K47</f>
        <v>28.5</v>
      </c>
      <c r="L14" s="4" t="n">
        <f aca="false">Assumptions!L47</f>
        <v>28.5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22.2896764692</v>
      </c>
      <c r="D15" s="0" t="n">
        <f aca="false">D13-MAX(0,D13)*D14/100</f>
        <v>28.0667667698685</v>
      </c>
      <c r="E15" s="0" t="n">
        <f aca="false">E13-MAX(0,E13)*E14/100</f>
        <v>33.7199074058292</v>
      </c>
      <c r="F15" s="0" t="n">
        <f aca="false">F13-MAX(0,F13)*F14/100</f>
        <v>40.9113329417828</v>
      </c>
      <c r="G15" s="0" t="n">
        <f aca="false">G13-MAX(0,G13)*G14/100</f>
        <v>47.9042796736026</v>
      </c>
      <c r="H15" s="0" t="n">
        <f aca="false">H13-MAX(0,H13)*H14/100</f>
        <v>55.5941772001546</v>
      </c>
      <c r="I15" s="0" t="n">
        <f aca="false">I13-MAX(0,I13)*I14/100</f>
        <v>62.2456234008874</v>
      </c>
      <c r="J15" s="0" t="n">
        <f aca="false">J13-MAX(0,J13)*J14/100</f>
        <v>68.3318621334186</v>
      </c>
      <c r="K15" s="0" t="n">
        <f aca="false">K13-MAX(0,K13)*K14/100</f>
        <v>72.9568502757121</v>
      </c>
      <c r="L15" s="0" t="n">
        <f aca="false">L13-MAX(0,L13)*L14/100</f>
        <v>77.445929940636</v>
      </c>
    </row>
    <row r="16" customFormat="false" ht="15" hidden="false" customHeight="false" outlineLevel="0" collapsed="false">
      <c r="A16" s="0" t="s">
        <v>121</v>
      </c>
      <c r="C16" s="0" t="n">
        <f aca="false">-C12</f>
        <v>16.75915524</v>
      </c>
      <c r="D16" s="0" t="n">
        <f aca="false">-D12</f>
        <v>17.104812816825</v>
      </c>
      <c r="E16" s="0" t="n">
        <f aca="false">-E12</f>
        <v>18.1311015858345</v>
      </c>
      <c r="F16" s="0" t="n">
        <f aca="false">-F12</f>
        <v>18.383360390507</v>
      </c>
      <c r="G16" s="0" t="n">
        <f aca="false">-G12</f>
        <v>19.3944452119849</v>
      </c>
      <c r="H16" s="0" t="n">
        <f aca="false">-H12</f>
        <v>19.4385234965576</v>
      </c>
      <c r="I16" s="0" t="n">
        <f aca="false">-I12</f>
        <v>20.3132570539026</v>
      </c>
      <c r="J16" s="0" t="n">
        <f aca="false">-J12</f>
        <v>20.1197974629131</v>
      </c>
      <c r="K16" s="0" t="n">
        <f aca="false">-K12</f>
        <v>20.8239903741151</v>
      </c>
      <c r="L16" s="0" t="n">
        <f aca="false">-L12</f>
        <v>21.4487100853385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-26.53532913</v>
      </c>
      <c r="D17" s="4" t="n">
        <f aca="false">-D6*Assumptions!D46/100</f>
        <v>-26.7727504959</v>
      </c>
      <c r="E17" s="4" t="n">
        <f aca="false">-E6*Assumptions!E46/100</f>
        <v>-26.802497996451</v>
      </c>
      <c r="F17" s="4" t="n">
        <f aca="false">-F6*Assumptions!F46/100</f>
        <v>-26.7394332952829</v>
      </c>
      <c r="G17" s="4" t="n">
        <f aca="false">-G6*Assumptions!G46/100</f>
        <v>-26.4469707436157</v>
      </c>
      <c r="H17" s="4" t="n">
        <f aca="false">-H6*Assumptions!H46/100</f>
        <v>-26.84367530477</v>
      </c>
      <c r="I17" s="4" t="n">
        <f aca="false">-I6*Assumptions!I46/100</f>
        <v>-27.0843427385369</v>
      </c>
      <c r="J17" s="4" t="n">
        <f aca="false">-J6*Assumptions!J46/100</f>
        <v>-27.1617265749327</v>
      </c>
      <c r="K17" s="4" t="n">
        <f aca="false">-K6*Assumptions!K46/100</f>
        <v>-27.0711874863496</v>
      </c>
      <c r="L17" s="4" t="n">
        <f aca="false">-L6*Assumptions!L46/100</f>
        <v>-27.8833231109401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-2.55714809999999</v>
      </c>
      <c r="D18" s="4" t="n">
        <f aca="false">(D6-C6)*Assumptions!$B$51/100</f>
        <v>-2.7233627265</v>
      </c>
      <c r="E18" s="4" t="n">
        <f aca="false">(E6-D6)*Assumptions!$B$51/100</f>
        <v>-2.67727504959</v>
      </c>
      <c r="F18" s="4" t="n">
        <f aca="false">(F6-E6)*Assumptions!$B$51/100</f>
        <v>-2.8379115525654</v>
      </c>
      <c r="G18" s="4" t="n">
        <f aca="false">(G6-F6)*Assumptions!$B$51/100</f>
        <v>-2.75750405857604</v>
      </c>
      <c r="H18" s="4" t="n">
        <f aca="false">(H6-G6)*Assumptions!$B$51/100</f>
        <v>-2.64469707436158</v>
      </c>
      <c r="I18" s="4" t="n">
        <f aca="false">(I6-H6)*Assumptions!$B$51/100</f>
        <v>-2.49923873527168</v>
      </c>
      <c r="J18" s="4" t="n">
        <f aca="false">(J6-I6)*Assumptions!$B$51/100</f>
        <v>-2.32151509187459</v>
      </c>
      <c r="K18" s="4" t="n">
        <f aca="false">(K6-J6)*Assumptions!$B$51/100</f>
        <v>-2.11257873360587</v>
      </c>
      <c r="L18" s="4" t="n">
        <f aca="false">(L6-K6)*Assumptions!$B$51/100</f>
        <v>-1.87415913367036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9.9563544792</v>
      </c>
      <c r="D19" s="0" t="n">
        <f aca="false">D15+D16+D17+D18</f>
        <v>15.6754663642935</v>
      </c>
      <c r="E19" s="0" t="n">
        <f aca="false">E15+E16+E17+E18</f>
        <v>22.3712359456226</v>
      </c>
      <c r="F19" s="0" t="n">
        <f aca="false">F15+F16+F17+F18</f>
        <v>29.7173484844415</v>
      </c>
      <c r="G19" s="0" t="n">
        <f aca="false">G15+G16+G17+G18</f>
        <v>38.0942500833957</v>
      </c>
      <c r="H19" s="0" t="n">
        <f aca="false">H15+H16+H17+H18</f>
        <v>45.5443283175806</v>
      </c>
      <c r="I19" s="0" t="n">
        <f aca="false">I15+I16+I17+I18</f>
        <v>52.9752989809815</v>
      </c>
      <c r="J19" s="0" t="n">
        <f aca="false">J15+J16+J17+J18</f>
        <v>58.9684179295244</v>
      </c>
      <c r="K19" s="0" t="n">
        <f aca="false">K15+K16+K17+K18</f>
        <v>64.5970744298717</v>
      </c>
      <c r="L19" s="0" t="n">
        <f aca="false">L15+L16+L17+L18</f>
        <v>69.1371577813641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9.01027554678733</v>
      </c>
      <c r="D21" s="0" t="n">
        <f aca="false">D19*D20</f>
        <v>12.8379569331451</v>
      </c>
      <c r="E21" s="0" t="n">
        <f aca="false">E19*E20</f>
        <v>16.5807107915306</v>
      </c>
      <c r="F21" s="0" t="n">
        <f aca="false">F19*F20</f>
        <v>19.9324620098173</v>
      </c>
      <c r="G21" s="0" t="n">
        <f aca="false">G19*G20</f>
        <v>23.1232054782938</v>
      </c>
      <c r="H21" s="0" t="n">
        <f aca="false">H19*H20</f>
        <v>25.0184634580345</v>
      </c>
      <c r="I21" s="0" t="n">
        <f aca="false">I19*I20</f>
        <v>26.3352515064512</v>
      </c>
      <c r="J21" s="0" t="n">
        <f aca="false">J19*J20</f>
        <v>26.5290227416689</v>
      </c>
      <c r="K21" s="0" t="n">
        <f aca="false">K19*K20</f>
        <v>26.2997940294267</v>
      </c>
      <c r="L21" s="0" t="n">
        <f aca="false">L19*L20</f>
        <v>25.4735071240654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8.6</v>
      </c>
      <c r="D23" s="4" t="n">
        <f aca="false">Assumptions!D44</f>
        <v>8.4</v>
      </c>
      <c r="E23" s="4" t="n">
        <f aca="false">Assumptions!E44</f>
        <v>8.2</v>
      </c>
      <c r="F23" s="4" t="n">
        <f aca="false">Assumptions!F44</f>
        <v>8</v>
      </c>
      <c r="G23" s="4" t="n">
        <f aca="false">Assumptions!G44</f>
        <v>7.8</v>
      </c>
      <c r="H23" s="4" t="n">
        <f aca="false">Assumptions!H44</f>
        <v>7.6</v>
      </c>
      <c r="I23" s="4" t="n">
        <f aca="false">Assumptions!I44</f>
        <v>7.4</v>
      </c>
      <c r="J23" s="4" t="n">
        <f aca="false">Assumptions!J44</f>
        <v>7.3</v>
      </c>
      <c r="K23" s="4" t="n">
        <f aca="false">Assumptions!K44</f>
        <v>7.2</v>
      </c>
      <c r="L23" s="4" t="n">
        <f aca="false">Assumptions!L44</f>
        <v>7.1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-60.05363961</v>
      </c>
      <c r="D24" s="0" t="n">
        <f aca="false">-D6*D23/100</f>
        <v>-62.4697511571</v>
      </c>
      <c r="E24" s="0" t="n">
        <f aca="false">-E6*E23/100</f>
        <v>-64.641318697323</v>
      </c>
      <c r="F24" s="0" t="n">
        <f aca="false">-F6*F23/100</f>
        <v>-66.8485832382072</v>
      </c>
      <c r="G24" s="0" t="n">
        <f aca="false">-G6*G23/100</f>
        <v>-68.7621239334009</v>
      </c>
      <c r="H24" s="0" t="n">
        <f aca="false">-H6*H23/100</f>
        <v>-70.3489421780178</v>
      </c>
      <c r="I24" s="0" t="n">
        <f aca="false">-I6*I23/100</f>
        <v>-71.5800486661331</v>
      </c>
      <c r="J24" s="0" t="n">
        <f aca="false">-J6*J23/100</f>
        <v>-73.4372607396328</v>
      </c>
      <c r="K24" s="0" t="n">
        <f aca="false">-K6*K23/100</f>
        <v>-74.9663653468142</v>
      </c>
      <c r="L24" s="0" t="n">
        <f aca="false">-L6*L23/100</f>
        <v>-76.1429208029517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211.140649619221</v>
      </c>
    </row>
    <row r="31" customFormat="false" ht="15" hidden="false" customHeight="false" outlineLevel="0" collapsed="false">
      <c r="A31" s="0" t="s">
        <v>130</v>
      </c>
      <c r="B31" s="0" t="n">
        <f aca="false">L19</f>
        <v>69.1371577813641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885.819834073727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829.645893376369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829.645893376369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305.682085488785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516.822735108006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511.283735108006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1.60114661519083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2.81225384569246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1.60114661519083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566.924693807186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0.939740524482067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0.278021082136188</v>
      </c>
      <c r="C4" s="0" t="n">
        <f aca="false">B4/Assumptions!$B$2-1</f>
        <v>-0.338045042532885</v>
      </c>
      <c r="D4" s="4" t="n">
        <f aca="false">Assumptions!$B$24</f>
        <v>0.3</v>
      </c>
      <c r="E4" s="4" t="n">
        <f aca="false">DCF_Bear!$B$43</f>
        <v>0.278021082136188</v>
      </c>
      <c r="F4" s="4" t="n">
        <f aca="false">DCF_Bear!$B$47</f>
        <v>0.160440283956798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0.905625160205957</v>
      </c>
      <c r="C5" s="0" t="n">
        <f aca="false">B5/Assumptions!$B$2-1</f>
        <v>1.15625038144276</v>
      </c>
      <c r="D5" s="4" t="n">
        <f aca="false">Assumptions!$B$38</f>
        <v>0.45</v>
      </c>
      <c r="E5" s="4" t="n">
        <f aca="false">DCF_Base!$B$43</f>
        <v>0.905625160205957</v>
      </c>
      <c r="F5" s="4" t="n">
        <f aca="false">DCF_Base!$B$47</f>
        <v>0.541666966545547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1.60114661519083</v>
      </c>
      <c r="C6" s="0" t="n">
        <f aca="false">B6/Assumptions!$B$2-1</f>
        <v>2.81225384569246</v>
      </c>
      <c r="D6" s="4" t="n">
        <f aca="false">Assumptions!$B$52</f>
        <v>0.25</v>
      </c>
      <c r="E6" s="4" t="n">
        <f aca="false">DCF_Bull!$B$43</f>
        <v>1.60114661519083</v>
      </c>
      <c r="F6" s="4" t="n">
        <f aca="false">DCF_Bull!$B$47</f>
        <v>0.939740524482067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0.891224300531245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0.891224300531245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0.528738164175231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0.526817351253053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1.0160423234267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0.940750182936714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0.905625160205957</v>
      </c>
      <c r="C17" s="3" t="n">
        <v>10.5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0.872067927452995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0.763795229447256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0.541666966545547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1.0563914265565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1.0563914265565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1.0563914265565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1.0563914265565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1.0563914265565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0.977526446358265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0.977526446358265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0.977526446358265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0.977526446358265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0.977526446358265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0.874526001562709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0.905625160205957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0.905625160205957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0.905625160205957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0.905625160205957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0.767200959025944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0.790293576701317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0.815952040785065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0.839999659590013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0.839999659590013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0.680247238090065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0.697774573229614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0.717054641883118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0.738364191447517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0.762041468741294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2026-09-25T14:49:34Z</dcterms:created>
  <dc:creator>openpyxl</dc:creator>
  <dc:description/>
  <dc:language>en-NZ</dc:language>
  <cp:lastModifiedBy/>
  <dcterms:modified xsi:type="dcterms:W3CDTF">2026-09-25T14:49:34Z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