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<sst xmlns="http://schemas.openxmlformats.org/spreadsheetml/2006/main" count="363" uniqueCount="167">
  <si>
    <t xml:space="preserve">Ticker</t>
  </si>
  <si>
    <t xml:space="preserve">BILI</t>
  </si>
  <si>
    <t xml:space="preserve">Company</t>
  </si>
  <si>
    <t xml:space="preserve">Bilibili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</si>
  <si>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</si>
  <si>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</si>
  <si>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</si>
  <si>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</si>
  <si>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2026-10-02T20:00:01Z regular close (Yahoo Finance chart API); 52-week range 14.315-36.40, price sits at the 52-week low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</si>
  <si>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</si>
  <si>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</si>
  <si>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</si>
  <si>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</si>
  <si>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</si>
  <si>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</si>
  <si>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</si>
  <si>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</si>
  <si>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</si>
  <si>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</si>
  <si>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</si>
  <si>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</si>
  <si>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</si>
  <si>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2026-10-03T21:13:11Z</t>
  </si>
  <si>
    <t xml:space="preserve">Drivers file</t>
  </si>
  <si>
    <t xml:space="preserve">BILI_Drivers.json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</si>
  <si>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</si>
  <si>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</si>
  <si>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</si>
  <si>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component DCF in CNY, converted to USD per ADS at the spot rate. SBC fully expensed with a flat diluted count; interest income stripped and the RMB14.1bn pro-forma net cash (including the Sept-2026 converts at face) added back in the bridge; long-term investments added at 50% of book. FY2025's owner FCF is overstated by a RMB2.2bn working-capital inflow, so the forward build starts from components, not from last year's FCF margin.
key_risks_to_valuation: Net cash plus the haircut investment book (~US$5.8 per ADS) is ~40% of the market cap: valuation is highly sensitive to whether onshore RMB cash is realisable for ADS holders (PRC capital controls, VIE structure, dividend withholding).; Margin path is management-target dependent: every 1pp of mature EBITDA margin is worth roughly 4-5% of base value (the bear-to-base margin gap of 5.5pp is most of the bear-to-base value gap).; Games revenue is hit-driven and declined 13% YoY in Q2-2026; the 2026-27 pipeline is unproven.; Convertible notes funding buybacks: US$1.19bn+ of converts (US$1.39bn if the Tencent tranche closes) carried as debt at face; a share-price recovery above HK$155.79-185.63 turns them into dilution instead.; HFCAA/PCAOB delisting tail risk and PRC regulation of games, live-streaming and content are not in the discount rate.</t>
  </si>
  <si>
    <t xml:space="preserve">Data sources</t>
  </si>
  <si>
    <t xml:space="preserve">price: Yahoo Finance chart API at inputs.price_as_of; FX from Yahoo CNY=X and HKD=X; HKEX 9626.HK as the parity check
financials: 20-F FY2025 (research/BILI/Extracted/BILI_20F_FY2025.txt: balance sheet line 13076, statement of operations 13180, cash flows 13405); Q2-2026 results 6-K ex99.1 (SEC accession 0001193125-26-371261, 2026-08-27); HKEX FF301 August 2026 return (0001193125-26-381021); 2031 convertible notes pricing and completion 6-Ks (0001193125-26-384281, 0001193125-26-385939)
qualitative: research/BILI/Reports/BILI_Analysis.json (2026-10-04)</t>
  </si>
  <si>
    <t xml:space="preserve">Scenario narrative: bear</t>
  </si>
  <si>
    <t xml:space="preserve">Bilibili remains outscaled by Douyin, Kuaishou and Tencent for user time and ad budgets; China ad spend stays soft, the game pipeline underdelivers after San Guo matures, and content licensing and AI compute costs absorb the gross-margin gains. Growth slips to low single digits and EBITDA stalls near 16.5%, with PRC content, minor-protection and game-approval rules capping monetisation. VIE/HFCAA structural risk sits behind this case rather than in the discount rate.</t>
  </si>
  <si>
    <t xml:space="preserve">Scenario narrative: base</t>
  </si>
  <si>
    <t xml:space="preserve">Bilibili compounds revenue at high single digits for five years, led by advertising (28% growth in Q2-2026 on AI ad tools and multi-screen inventory) while VAS (premium membership, live gifting) grows mid-single digits and mobile games return to growth from Q4-2026 on a five-title 2026-27 pipeline. Gross margin keeps expanding toward 40% and opex stays flat in RMB, so EBITDA before SBC rises from 14.2% to 22% -- the low end of management's 15-20% non-GAAP operating-margin target. FY2026 absorbs the ~RMB1bn AI compute build (capex 9.5% of revenue) before capex settles at 6.5%. Cash tax ramps from 5.6% to 18% as the loss carryforwards expire.</t>
  </si>
  <si>
    <t xml:space="preserve">Scenario narrative: bull</t>
  </si>
  <si>
    <t xml:space="preserve">The ad business keeps taking wallet share in the Gen-Z+ and ACG niche that Douyin and Kuaishou do not own, AI lifts ad conversion and creator productivity, and Escape from Duckov proves Bilibili can repeatedly self-develop hits, shifting games from licensed revenue-share economics to owned IP. Revenue grows 10-13% for four years and margins reach the top of management's target (gross 45%, EBITDA pre-SBC 25.5%). Tencent stays an aligned capital and content partner.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</si>
  <si>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</si>
  <si>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</si>
  <si>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</si>
  <si>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</si>
  <si>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</si>
  <si>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</si>
  <si>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</si>
  <si>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</si>
  <si>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</si>
  <si>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</si>
  <si>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</si>
  <si>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</si>
  <si>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</si>
  <si>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</si>
  <si>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</si>
  <si>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</si>
  <si>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</si>
  <si>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</si>
  <si>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</si>
  <si>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</si>
  <si>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</si>
  <si>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</si>
  <si>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</si>
  <si>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</si>
  <si>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</si>
  <si>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</si>
  <si>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</si>
  <si>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</si>
  <si>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</si>
  <si>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</si>
  <si>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</si>
  <si>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</si>
  <si>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</si>
  <si>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</si>
  <si>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</si>
  <si>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</si>
  <si>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</si>
  <si>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</si>
  <si>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</si>
  <si>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</si>
  <si>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</si>
  <si>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</si>
  <si>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</si>
  <si>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</si>
  <si>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</si>
  <si>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</si>
  <si>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</si>
  <si>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</si>
  <si>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</si>
  <si>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</si>
  <si>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</si>
  <si>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</si>
  <si>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</si>
  <si>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</si>
  <si>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</si>
  <si>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</si>
  <si>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</si>
  <si>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</si>
  <si>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</si>
  <si>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</si>
  <si>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</si>
  <si>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</si>
  <si>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</si>
  <si>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</si>
  <si>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</si>
  <si>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</si>
  <si>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</si>
  <si>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</si>
  <si>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</si>
  <si>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</si>
  <si>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</si>
  <si>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</si>
  <si>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</si>
  <si>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</si>
  <si>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</si>
  <si>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BILI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</si>
  <si>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</si>
  <si>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</si>
  <si>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</si>
  <si>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</si>
  <si>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</si>
  <si>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</si>
  <si>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</si>
  <si>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</si>
  <si>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</si>
  <si>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</si>
  <si>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</si>
  <si>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</si>
  <si>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</si>
  <si>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</si>
  <si>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</si>
  <si>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</si>
  <si>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</si>
  <si>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</si>
  <si>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</si>
  <si>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</si>
  <si>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</si>
  <si>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</si>
  <si>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</si>
  <si>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</si>
  <si>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</si>
  <si>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</si>
  <si>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</si>
  <si>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</si>
  <si>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</si>
  <si>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</si>
  <si>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BILI owner-FCF component DCF: base case (millions, CNY)</t>
  </si>
  <si>
    <t xml:space="preserve">BILI owner-FCF component DCF: bull case (millions, CNY)</t>
  </si>
  <si>
    <t xml:space="preserve">BILI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</si>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</sst>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O2" s="0" t="n">
        <v>-545.736</v>
      </c>
      <c r="S2" s="0" t="n">
        <v>689.663</v>
      </c>
      <c r="AA2" s="0" t="s">
        <v>18</v>
      </c>
      <c r="AB2" s="0" t="s">
        <v>16</v>
      </c>
    </row>
    <row r="3" customFormat="false" ht="15" hidden="false" customHeight="false" outlineLevel="0" collapsed="false">
      <c r="A3" s="0" t="s">
        <v>65</v>
      </c>
      <c r="B3" s="0" t="n">
        <v>523.31</v>
      </c>
      <c r="C3" s="0" t="n">
        <v>772.812</v>
      </c>
      <c r="D3" s="0" t="n">
        <v>-249.502</v>
      </c>
      <c r="E3" s="0" t="n">
        <v>-47.6776671571344</v>
      </c>
      <c r="F3" s="0" t="n">
        <v>-894.717</v>
      </c>
      <c r="G3" s="0" t="n">
        <v>-170.972654831744</v>
      </c>
      <c r="I3" s="0" t="n">
        <v>-911.496</v>
      </c>
      <c r="J3" s="0" t="n">
        <v>-174.178976132694</v>
      </c>
      <c r="K3" s="0" t="n">
        <v>-20.42</v>
      </c>
      <c r="L3" s="0" t="n">
        <v>-198.967</v>
      </c>
      <c r="M3" s="0" t="n">
        <v>42.204</v>
      </c>
      <c r="N3" s="0" t="n">
        <v>-241.171</v>
      </c>
      <c r="O3" s="0" t="n">
        <v>-1323.003</v>
      </c>
      <c r="S3" s="0" t="n">
        <v>387.198</v>
      </c>
      <c r="T3" s="0" t="n">
        <v>58.03857</v>
      </c>
      <c r="U3" s="0" t="n">
        <v>365.488</v>
      </c>
      <c r="AA3" s="0" t="s">
        <v>18</v>
      </c>
      <c r="AB3" s="0" t="s">
        <v>16</v>
      </c>
    </row>
    <row r="4" customFormat="false" ht="15" hidden="false" customHeight="false" outlineLevel="0" collapsed="false">
      <c r="A4" s="0" t="s">
        <v>66</v>
      </c>
      <c r="B4" s="0" t="n">
        <v>2468.449</v>
      </c>
      <c r="C4" s="0" t="n">
        <v>1919.241</v>
      </c>
      <c r="D4" s="0" t="n">
        <v>549.208</v>
      </c>
      <c r="E4" s="0" t="n">
        <v>22.2491127019436</v>
      </c>
      <c r="F4" s="0" t="n">
        <v>-224.272</v>
      </c>
      <c r="G4" s="0" t="n">
        <v>-9.08554318926581</v>
      </c>
      <c r="I4" s="0" t="n">
        <v>-183.75</v>
      </c>
      <c r="J4" s="0" t="n">
        <v>-7.44394557068021</v>
      </c>
      <c r="K4" s="0" t="n">
        <v>-8.17</v>
      </c>
      <c r="L4" s="0" t="n">
        <v>464.55</v>
      </c>
      <c r="M4" s="0" t="n">
        <v>144.906</v>
      </c>
      <c r="N4" s="0" t="n">
        <v>319.644</v>
      </c>
      <c r="O4" s="0" t="n">
        <v>-1939.512</v>
      </c>
      <c r="P4" s="0" t="n">
        <v>3473.525</v>
      </c>
      <c r="Q4" s="0" t="n">
        <v>1397.994</v>
      </c>
      <c r="S4" s="0" t="n">
        <v>762.882</v>
      </c>
      <c r="T4" s="0" t="n">
        <v>69.93857</v>
      </c>
      <c r="U4" s="0" t="n">
        <v>79.954</v>
      </c>
      <c r="AA4" s="0" t="s">
        <v>18</v>
      </c>
      <c r="AB4" s="0" t="s">
        <v>16</v>
      </c>
    </row>
    <row r="5" customFormat="false" ht="15" hidden="false" customHeight="false" outlineLevel="0" collapsed="false">
      <c r="A5" s="0" t="s">
        <v>67</v>
      </c>
      <c r="B5" s="0" t="n">
        <v>4128.931</v>
      </c>
      <c r="C5" s="0" t="n">
        <v>3273.493</v>
      </c>
      <c r="D5" s="0" t="n">
        <v>855.438</v>
      </c>
      <c r="E5" s="0" t="n">
        <v>20.7181471426866</v>
      </c>
      <c r="F5" s="0" t="n">
        <v>-728.973</v>
      </c>
      <c r="G5" s="0" t="n">
        <v>-17.6552478111162</v>
      </c>
      <c r="I5" s="0" t="n">
        <v>-565.021</v>
      </c>
      <c r="J5" s="0" t="n">
        <v>-13.6844379332084</v>
      </c>
      <c r="K5" s="0" t="n">
        <v>-2.64</v>
      </c>
      <c r="L5" s="0" t="n">
        <v>737.286</v>
      </c>
      <c r="M5" s="0" t="n">
        <v>293.566</v>
      </c>
      <c r="N5" s="0" t="n">
        <v>443.72</v>
      </c>
      <c r="O5" s="0" t="n">
        <v>7191.202</v>
      </c>
      <c r="P5" s="0" t="n">
        <v>10490.036</v>
      </c>
      <c r="Q5" s="0" t="n">
        <v>3298.834</v>
      </c>
      <c r="S5" s="0" t="n">
        <v>3540.031</v>
      </c>
      <c r="T5" s="0" t="n">
        <v>233.047703</v>
      </c>
      <c r="U5" s="0" t="n">
        <v>181.193</v>
      </c>
      <c r="AA5" s="0" t="s">
        <v>18</v>
      </c>
      <c r="AB5" s="0" t="s">
        <v>16</v>
      </c>
    </row>
    <row r="6" customFormat="false" ht="15" hidden="false" customHeight="false" outlineLevel="0" collapsed="false">
      <c r="A6" s="0" t="s">
        <v>68</v>
      </c>
      <c r="B6" s="0" t="n">
        <v>6777.922</v>
      </c>
      <c r="C6" s="0" t="n">
        <v>5587.673</v>
      </c>
      <c r="D6" s="0" t="n">
        <v>1190.249</v>
      </c>
      <c r="E6" s="0" t="n">
        <v>17.5606771514928</v>
      </c>
      <c r="F6" s="0" t="n">
        <v>-1495.175</v>
      </c>
      <c r="G6" s="0" t="n">
        <v>-22.0594896193848</v>
      </c>
      <c r="I6" s="0" t="n">
        <v>-1303.57</v>
      </c>
      <c r="J6" s="0" t="n">
        <v>-19.2325907556918</v>
      </c>
      <c r="K6" s="0" t="n">
        <v>-3.99</v>
      </c>
      <c r="L6" s="0" t="n">
        <v>194.551</v>
      </c>
      <c r="M6" s="0" t="n">
        <v>296.044</v>
      </c>
      <c r="N6" s="0" t="n">
        <v>-101.493</v>
      </c>
      <c r="O6" s="0" t="n">
        <v>7636.46</v>
      </c>
      <c r="P6" s="0" t="n">
        <v>15516.567</v>
      </c>
      <c r="Q6" s="0" t="n">
        <v>7880.107</v>
      </c>
      <c r="R6" s="0" t="n">
        <v>3414.628</v>
      </c>
      <c r="S6" s="0" t="n">
        <v>4962.66</v>
      </c>
      <c r="T6" s="0" t="n">
        <v>323.16168</v>
      </c>
      <c r="U6" s="0" t="n">
        <v>172.55</v>
      </c>
      <c r="AA6" s="0" t="s">
        <v>18</v>
      </c>
      <c r="AB6" s="0" t="s">
        <v>16</v>
      </c>
    </row>
    <row r="7" customFormat="false" ht="15" hidden="false" customHeight="false" outlineLevel="0" collapsed="false">
      <c r="A7" s="0" t="s">
        <v>69</v>
      </c>
      <c r="B7" s="0" t="n">
        <v>11998.976</v>
      </c>
      <c r="C7" s="0" t="n">
        <v>9158.8</v>
      </c>
      <c r="D7" s="0" t="n">
        <v>2840.176</v>
      </c>
      <c r="E7" s="0" t="n">
        <v>23.6701531864052</v>
      </c>
      <c r="F7" s="0" t="n">
        <v>-3140.963</v>
      </c>
      <c r="G7" s="0" t="n">
        <v>-26.1769254309701</v>
      </c>
      <c r="I7" s="0" t="n">
        <v>-3054.017</v>
      </c>
      <c r="J7" s="0" t="n">
        <v>-25.452313597427</v>
      </c>
      <c r="K7" s="0" t="n">
        <v>-8.71</v>
      </c>
      <c r="L7" s="0" t="n">
        <v>753.103</v>
      </c>
      <c r="M7" s="0" t="n">
        <v>602.122</v>
      </c>
      <c r="N7" s="0" t="n">
        <v>150.981</v>
      </c>
      <c r="O7" s="0" t="n">
        <v>7782.204</v>
      </c>
      <c r="P7" s="0" t="n">
        <v>23865.608</v>
      </c>
      <c r="Q7" s="0" t="n">
        <v>16083.404</v>
      </c>
      <c r="R7" s="0" t="n">
        <v>8340.922</v>
      </c>
      <c r="S7" s="0" t="n">
        <v>4678.109</v>
      </c>
      <c r="U7" s="0" t="n">
        <v>385.898</v>
      </c>
      <c r="AA7" s="0" t="s">
        <v>18</v>
      </c>
      <c r="AB7" s="0" t="s">
        <v>16</v>
      </c>
    </row>
    <row r="8" customFormat="false" ht="15" hidden="false" customHeight="false" outlineLevel="0" collapsed="false">
      <c r="A8" s="0" t="s">
        <v>70</v>
      </c>
      <c r="B8" s="0" t="n">
        <v>19383.684</v>
      </c>
      <c r="C8" s="0" t="n">
        <v>15340.537</v>
      </c>
      <c r="D8" s="0" t="n">
        <v>4043.147</v>
      </c>
      <c r="E8" s="0" t="n">
        <v>20.8585065666568</v>
      </c>
      <c r="F8" s="0" t="n">
        <v>-6429.074</v>
      </c>
      <c r="G8" s="0" t="n">
        <v>-33.167451553585</v>
      </c>
      <c r="I8" s="0" t="n">
        <v>-6808.739</v>
      </c>
      <c r="J8" s="0" t="n">
        <v>-35.1261349493729</v>
      </c>
      <c r="K8" s="0" t="n">
        <v>-17.87</v>
      </c>
      <c r="L8" s="0" t="n">
        <v>-2647.008</v>
      </c>
      <c r="M8" s="0" t="n">
        <v>965.41</v>
      </c>
      <c r="N8" s="0" t="n">
        <v>-3612.418</v>
      </c>
      <c r="O8" s="0" t="n">
        <v>21716.066</v>
      </c>
      <c r="P8" s="0" t="n">
        <v>52053.151</v>
      </c>
      <c r="Q8" s="0" t="n">
        <v>30337.085</v>
      </c>
      <c r="R8" s="0" t="n">
        <v>19016.198</v>
      </c>
      <c r="S8" s="0" t="n">
        <v>7523.108</v>
      </c>
      <c r="U8" s="0" t="n">
        <v>999.817</v>
      </c>
      <c r="AA8" s="0" t="s">
        <v>18</v>
      </c>
      <c r="AB8" s="0" t="s">
        <v>16</v>
      </c>
    </row>
    <row r="9" customFormat="false" ht="15" hidden="false" customHeight="false" outlineLevel="0" collapsed="false">
      <c r="A9" s="0" t="s">
        <v>71</v>
      </c>
      <c r="B9" s="0" t="n">
        <v>21899.167</v>
      </c>
      <c r="C9" s="0" t="n">
        <v>18049.872</v>
      </c>
      <c r="D9" s="0" t="n">
        <v>3849.295</v>
      </c>
      <c r="E9" s="0" t="n">
        <v>17.5773580794192</v>
      </c>
      <c r="F9" s="0" t="n">
        <v>-8357.944</v>
      </c>
      <c r="G9" s="0" t="n">
        <v>-38.1655795400802</v>
      </c>
      <c r="I9" s="0" t="n">
        <v>-7507.653</v>
      </c>
      <c r="J9" s="0" t="n">
        <v>-34.2828245476186</v>
      </c>
      <c r="K9" s="0" t="n">
        <v>-18.99</v>
      </c>
      <c r="L9" s="0" t="n">
        <v>-3911.37</v>
      </c>
      <c r="M9" s="0" t="n">
        <v>760.427</v>
      </c>
      <c r="N9" s="0" t="n">
        <v>-4671.797</v>
      </c>
      <c r="O9" s="0" t="n">
        <v>15239.587</v>
      </c>
      <c r="P9" s="0" t="n">
        <v>41830.57</v>
      </c>
      <c r="Q9" s="0" t="n">
        <v>26590.983</v>
      </c>
      <c r="R9" s="0" t="n">
        <v>15304.536</v>
      </c>
      <c r="S9" s="0" t="n">
        <v>10172.584</v>
      </c>
      <c r="U9" s="0" t="n">
        <v>1040.683</v>
      </c>
      <c r="AA9" s="0" t="s">
        <v>18</v>
      </c>
      <c r="AB9" s="0" t="s">
        <v>16</v>
      </c>
    </row>
    <row r="10" customFormat="false" ht="15" hidden="false" customHeight="false" outlineLevel="0" collapsed="false">
      <c r="A10" s="0" t="s">
        <v>72</v>
      </c>
      <c r="B10" s="0" t="n">
        <v>22527.987</v>
      </c>
      <c r="C10" s="0" t="n">
        <v>17086.122</v>
      </c>
      <c r="D10" s="0" t="n">
        <v>5441.865</v>
      </c>
      <c r="E10" s="0" t="n">
        <v>24.1560197988396</v>
      </c>
      <c r="F10" s="0" t="n">
        <v>-5064.187</v>
      </c>
      <c r="G10" s="0" t="n">
        <v>-22.4795362319767</v>
      </c>
      <c r="I10" s="0" t="n">
        <v>-4822.321</v>
      </c>
      <c r="J10" s="0" t="n">
        <v>-21.4059116777722</v>
      </c>
      <c r="K10" s="0" t="n">
        <v>-11.67</v>
      </c>
      <c r="L10" s="0" t="n">
        <v>266.622</v>
      </c>
      <c r="M10" s="0" t="n">
        <v>181.897</v>
      </c>
      <c r="N10" s="0" t="n">
        <v>84.725</v>
      </c>
      <c r="O10" s="0" t="n">
        <v>14404.267</v>
      </c>
      <c r="P10" s="0" t="n">
        <v>33159.067</v>
      </c>
      <c r="Q10" s="0" t="n">
        <v>18754.8</v>
      </c>
      <c r="R10" s="0" t="n">
        <v>7456.399</v>
      </c>
      <c r="S10" s="0" t="n">
        <v>7191.821</v>
      </c>
      <c r="U10" s="0" t="n">
        <v>1132.644</v>
      </c>
      <c r="AA10" s="0" t="s">
        <v>18</v>
      </c>
      <c r="AB10" s="0" t="s">
        <v>16</v>
      </c>
    </row>
    <row r="11" customFormat="false" ht="15" hidden="false" customHeight="false" outlineLevel="0" collapsed="false">
      <c r="A11" s="0" t="s">
        <v>73</v>
      </c>
      <c r="B11" s="0" t="n">
        <v>26831.525</v>
      </c>
      <c r="C11" s="0" t="n">
        <v>18057.562</v>
      </c>
      <c r="D11" s="0" t="n">
        <v>8773.963</v>
      </c>
      <c r="E11" s="0" t="n">
        <v>32.7002024670607</v>
      </c>
      <c r="F11" s="0" t="n">
        <v>-1343.969</v>
      </c>
      <c r="G11" s="0" t="n">
        <v>-5.00891768171954</v>
      </c>
      <c r="I11" s="0" t="n">
        <v>-1363.651</v>
      </c>
      <c r="J11" s="0" t="n">
        <v>-5.08227169346506</v>
      </c>
      <c r="K11" s="0" t="n">
        <v>-3.23</v>
      </c>
      <c r="L11" s="0" t="n">
        <v>6014.854</v>
      </c>
      <c r="M11" s="0" t="n">
        <v>465.367</v>
      </c>
      <c r="N11" s="0" t="n">
        <v>5549.487</v>
      </c>
      <c r="O11" s="0" t="n">
        <v>14108.397</v>
      </c>
      <c r="P11" s="0" t="n">
        <v>32698.5</v>
      </c>
      <c r="Q11" s="0" t="n">
        <v>18594.587</v>
      </c>
      <c r="R11" s="0" t="n">
        <v>4835.989</v>
      </c>
      <c r="S11" s="0" t="n">
        <v>10249.382</v>
      </c>
      <c r="U11" s="0" t="n">
        <v>1116.212</v>
      </c>
      <c r="AA11" s="0" t="s">
        <v>18</v>
      </c>
      <c r="AB11" s="0" t="s">
        <v>16</v>
      </c>
    </row>
    <row r="12" customFormat="false" ht="15" hidden="false" customHeight="false" outlineLevel="0" collapsed="false">
      <c r="A12" s="0" t="s">
        <v>74</v>
      </c>
      <c r="B12" s="0" t="n">
        <v>30347.766</v>
      </c>
      <c r="C12" s="0" t="n">
        <v>19233.654</v>
      </c>
      <c r="D12" s="0" t="n">
        <v>11114.112</v>
      </c>
      <c r="E12" s="0" t="n">
        <v>36.622504602151</v>
      </c>
      <c r="F12" s="0" t="n">
        <v>1124.451</v>
      </c>
      <c r="G12" s="0" t="n">
        <v>3.70521836763866</v>
      </c>
      <c r="I12" s="0" t="n">
        <v>1193.531</v>
      </c>
      <c r="J12" s="0" t="n">
        <v>3.9328463254923</v>
      </c>
      <c r="K12" s="0" t="n">
        <v>2.85</v>
      </c>
      <c r="L12" s="0" t="n">
        <v>7147.108</v>
      </c>
      <c r="M12" s="0" t="n">
        <v>512.858</v>
      </c>
      <c r="N12" s="0" t="n">
        <v>6634.25</v>
      </c>
      <c r="O12" s="0" t="n">
        <v>15573.282</v>
      </c>
      <c r="P12" s="0" t="n">
        <v>41167.763</v>
      </c>
      <c r="Q12" s="0" t="n">
        <v>25619.2</v>
      </c>
      <c r="R12" s="0" t="n">
        <v>9636.717</v>
      </c>
      <c r="S12" s="0" t="n">
        <v>12183.538</v>
      </c>
      <c r="U12" s="0" t="n">
        <v>1170.535</v>
      </c>
      <c r="AA12" s="0" t="s">
        <v>18</v>
      </c>
      <c r="AB12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14.44</v>
      </c>
    </row>
    <row r="3" customFormat="false" ht="15" hidden="false" customHeight="false" outlineLevel="0" collapsed="false">
      <c r="A3" s="0" t="s">
        <v>78</v>
      </c>
      <c r="B3" s="3" t="n">
        <v>417.71</v>
      </c>
    </row>
    <row r="4" customFormat="false" ht="15" hidden="false" customHeight="false" outlineLevel="0" collapsed="false">
      <c r="A4" s="0" t="s">
        <v>79</v>
      </c>
      <c r="B4" s="3" t="n">
        <v>-14061.2</v>
      </c>
    </row>
    <row r="5" customFormat="false" ht="15" hidden="false" customHeight="false" outlineLevel="0" collapsed="false">
      <c r="A5" s="0" t="s">
        <v>80</v>
      </c>
      <c r="B5" s="3" t="n">
        <v>2285.3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30347.766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0.149283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6</v>
      </c>
      <c r="D13" s="3" t="n">
        <v>4</v>
      </c>
      <c r="E13" s="3" t="n">
        <v>4</v>
      </c>
      <c r="F13" s="3" t="n">
        <v>3.5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15</v>
      </c>
      <c r="D14" s="3" t="n">
        <v>15.5</v>
      </c>
      <c r="E14" s="3" t="n">
        <v>16</v>
      </c>
      <c r="F14" s="3" t="n">
        <v>16.3</v>
      </c>
      <c r="G14" s="3" t="n">
        <v>16.5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100</v>
      </c>
      <c r="C15" s="3" t="n">
        <v>3.9</v>
      </c>
      <c r="D15" s="3" t="n">
        <v>3.9</v>
      </c>
      <c r="E15" s="3" t="n">
        <v>3.8</v>
      </c>
      <c r="F15" s="3" t="n">
        <v>3.8</v>
      </c>
      <c r="G15" s="3" t="n">
        <v>3.7</v>
      </c>
      <c r="H15" s="3" t="n">
        <v>3.7</v>
      </c>
      <c r="I15" s="3" t="n">
        <v>3.6</v>
      </c>
      <c r="J15" s="3" t="n">
        <v>3.6</v>
      </c>
      <c r="K15" s="3" t="n">
        <v>3.5</v>
      </c>
      <c r="L15" s="3" t="n">
        <v>3.5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7</v>
      </c>
      <c r="D17" s="3" t="n">
        <v>7.5</v>
      </c>
      <c r="E17" s="3" t="n">
        <v>7.3</v>
      </c>
      <c r="F17" s="3" t="n">
        <v>7</v>
      </c>
      <c r="G17" s="3" t="n">
        <v>6.8</v>
      </c>
      <c r="H17" s="3" t="n">
        <v>6.6</v>
      </c>
      <c r="I17" s="3" t="n">
        <v>6.5</v>
      </c>
      <c r="J17" s="3" t="n">
        <v>6.5</v>
      </c>
      <c r="K17" s="3" t="n">
        <v>6.5</v>
      </c>
      <c r="L17" s="3" t="n">
        <v>6.5</v>
      </c>
    </row>
    <row r="18" customFormat="false" ht="15" hidden="false" customHeight="false" outlineLevel="0" collapsed="false">
      <c r="A18" s="0" t="s">
        <v>103</v>
      </c>
      <c r="C18" s="3" t="n">
        <v>9.5</v>
      </c>
      <c r="D18" s="3" t="n">
        <v>7.5</v>
      </c>
      <c r="E18" s="3" t="n">
        <v>7</v>
      </c>
      <c r="F18" s="3" t="n">
        <v>6.8</v>
      </c>
      <c r="G18" s="3" t="n">
        <v>6.8</v>
      </c>
      <c r="H18" s="3" t="n">
        <v>6.8</v>
      </c>
      <c r="I18" s="3" t="n">
        <v>6.8</v>
      </c>
      <c r="J18" s="3" t="n">
        <v>6.8</v>
      </c>
      <c r="K18" s="3" t="n">
        <v>6.8</v>
      </c>
      <c r="L18" s="3" t="n">
        <v>6.8</v>
      </c>
    </row>
    <row r="19" customFormat="false" ht="15" hidden="false" customHeight="false" outlineLevel="0" collapsed="false">
      <c r="A19" s="0" t="s">
        <v>104</v>
      </c>
      <c r="C19" s="3" t="n">
        <v>8</v>
      </c>
      <c r="D19" s="3" t="n">
        <v>10</v>
      </c>
      <c r="E19" s="3" t="n">
        <v>13</v>
      </c>
      <c r="F19" s="3" t="n">
        <v>16</v>
      </c>
      <c r="G19" s="3" t="n">
        <v>18</v>
      </c>
      <c r="H19" s="3" t="n">
        <v>19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105</v>
      </c>
      <c r="B20" s="3" t="n">
        <v>10.5</v>
      </c>
    </row>
    <row r="21" customFormat="false" ht="15" hidden="false" customHeight="false" outlineLevel="0" collapsed="false">
      <c r="A21" s="0" t="s">
        <v>106</v>
      </c>
      <c r="B21" s="3" t="n">
        <v>1.5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15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7.5</v>
      </c>
      <c r="D27" s="3" t="n">
        <v>9</v>
      </c>
      <c r="E27" s="3" t="n">
        <v>8.5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99</v>
      </c>
      <c r="C28" s="3" t="n">
        <v>15.5</v>
      </c>
      <c r="D28" s="3" t="n">
        <v>17</v>
      </c>
      <c r="E28" s="3" t="n">
        <v>18.3</v>
      </c>
      <c r="F28" s="3" t="n">
        <v>19.4</v>
      </c>
      <c r="G28" s="3" t="n">
        <v>20.3</v>
      </c>
      <c r="H28" s="3" t="n">
        <v>21</v>
      </c>
      <c r="I28" s="3" t="n">
        <v>21.5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100</v>
      </c>
      <c r="C29" s="3" t="n">
        <v>3.9</v>
      </c>
      <c r="D29" s="3" t="n">
        <v>3.8</v>
      </c>
      <c r="E29" s="3" t="n">
        <v>3.7</v>
      </c>
      <c r="F29" s="3" t="n">
        <v>3.6</v>
      </c>
      <c r="G29" s="3" t="n">
        <v>3.5</v>
      </c>
      <c r="H29" s="3" t="n">
        <v>3.4</v>
      </c>
      <c r="I29" s="3" t="n">
        <v>3.3</v>
      </c>
      <c r="J29" s="3" t="n">
        <v>3.2</v>
      </c>
      <c r="K29" s="3" t="n">
        <v>3.1</v>
      </c>
      <c r="L29" s="3" t="n">
        <v>3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7</v>
      </c>
      <c r="D31" s="3" t="n">
        <v>7.5</v>
      </c>
      <c r="E31" s="3" t="n">
        <v>7.2</v>
      </c>
      <c r="F31" s="3" t="n">
        <v>6.9</v>
      </c>
      <c r="G31" s="3" t="n">
        <v>6.6</v>
      </c>
      <c r="H31" s="3" t="n">
        <v>6.4</v>
      </c>
      <c r="I31" s="3" t="n">
        <v>6.2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103</v>
      </c>
      <c r="C32" s="3" t="n">
        <v>9.5</v>
      </c>
      <c r="D32" s="3" t="n">
        <v>7.5</v>
      </c>
      <c r="E32" s="3" t="n">
        <v>6.8</v>
      </c>
      <c r="F32" s="3" t="n">
        <v>6.5</v>
      </c>
      <c r="G32" s="3" t="n">
        <v>6.5</v>
      </c>
      <c r="H32" s="3" t="n">
        <v>6.5</v>
      </c>
      <c r="I32" s="3" t="n">
        <v>6.5</v>
      </c>
      <c r="J32" s="3" t="n">
        <v>6.5</v>
      </c>
      <c r="K32" s="3" t="n">
        <v>6.5</v>
      </c>
      <c r="L32" s="3" t="n">
        <v>6.5</v>
      </c>
    </row>
    <row r="33" customFormat="false" ht="15" hidden="false" customHeight="false" outlineLevel="0" collapsed="false">
      <c r="A33" s="0" t="s">
        <v>104</v>
      </c>
      <c r="C33" s="3" t="n">
        <v>8</v>
      </c>
      <c r="D33" s="3" t="n">
        <v>10</v>
      </c>
      <c r="E33" s="3" t="n">
        <v>12</v>
      </c>
      <c r="F33" s="3" t="n">
        <v>14</v>
      </c>
      <c r="G33" s="3" t="n">
        <v>16</v>
      </c>
      <c r="H33" s="3" t="n">
        <v>17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105</v>
      </c>
      <c r="B34" s="3" t="n">
        <v>10.5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20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8.5</v>
      </c>
      <c r="D41" s="3" t="n">
        <v>13</v>
      </c>
      <c r="E41" s="3" t="n">
        <v>12</v>
      </c>
      <c r="F41" s="3" t="n">
        <v>11</v>
      </c>
      <c r="G41" s="3" t="n">
        <v>10</v>
      </c>
      <c r="H41" s="3" t="n">
        <v>8.5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99</v>
      </c>
      <c r="C42" s="3" t="n">
        <v>16</v>
      </c>
      <c r="D42" s="3" t="n">
        <v>18</v>
      </c>
      <c r="E42" s="3" t="n">
        <v>20</v>
      </c>
      <c r="F42" s="3" t="n">
        <v>21.8</v>
      </c>
      <c r="G42" s="3" t="n">
        <v>23.2</v>
      </c>
      <c r="H42" s="3" t="n">
        <v>24.2</v>
      </c>
      <c r="I42" s="3" t="n">
        <v>25</v>
      </c>
      <c r="J42" s="3" t="n">
        <v>25.5</v>
      </c>
      <c r="K42" s="3" t="n">
        <v>25.5</v>
      </c>
      <c r="L42" s="3" t="n">
        <v>25.5</v>
      </c>
    </row>
    <row r="43" customFormat="false" ht="15" hidden="false" customHeight="false" outlineLevel="0" collapsed="false">
      <c r="A43" s="0" t="s">
        <v>100</v>
      </c>
      <c r="C43" s="3" t="n">
        <v>3.9</v>
      </c>
      <c r="D43" s="3" t="n">
        <v>3.8</v>
      </c>
      <c r="E43" s="3" t="n">
        <v>3.7</v>
      </c>
      <c r="F43" s="3" t="n">
        <v>3.6</v>
      </c>
      <c r="G43" s="3" t="n">
        <v>3.5</v>
      </c>
      <c r="H43" s="3" t="n">
        <v>3.4</v>
      </c>
      <c r="I43" s="3" t="n">
        <v>3.3</v>
      </c>
      <c r="J43" s="3" t="n">
        <v>3.2</v>
      </c>
      <c r="K43" s="3" t="n">
        <v>3.1</v>
      </c>
      <c r="L43" s="3" t="n">
        <v>3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7</v>
      </c>
      <c r="D45" s="3" t="n">
        <v>7.5</v>
      </c>
      <c r="E45" s="3" t="n">
        <v>7.2</v>
      </c>
      <c r="F45" s="3" t="n">
        <v>6.9</v>
      </c>
      <c r="G45" s="3" t="n">
        <v>6.6</v>
      </c>
      <c r="H45" s="3" t="n">
        <v>6.4</v>
      </c>
      <c r="I45" s="3" t="n">
        <v>6.2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103</v>
      </c>
      <c r="C46" s="3" t="n">
        <v>9.5</v>
      </c>
      <c r="D46" s="3" t="n">
        <v>7.5</v>
      </c>
      <c r="E46" s="3" t="n">
        <v>6.8</v>
      </c>
      <c r="F46" s="3" t="n">
        <v>6.5</v>
      </c>
      <c r="G46" s="3" t="n">
        <v>6.5</v>
      </c>
      <c r="H46" s="3" t="n">
        <v>6.5</v>
      </c>
      <c r="I46" s="3" t="n">
        <v>6.5</v>
      </c>
      <c r="J46" s="3" t="n">
        <v>6.5</v>
      </c>
      <c r="K46" s="3" t="n">
        <v>6.5</v>
      </c>
      <c r="L46" s="3" t="n">
        <v>6.5</v>
      </c>
    </row>
    <row r="47" customFormat="false" ht="15" hidden="false" customHeight="false" outlineLevel="0" collapsed="false">
      <c r="A47" s="0" t="s">
        <v>104</v>
      </c>
      <c r="C47" s="3" t="n">
        <v>8</v>
      </c>
      <c r="D47" s="3" t="n">
        <v>10</v>
      </c>
      <c r="E47" s="3" t="n">
        <v>12</v>
      </c>
      <c r="F47" s="3" t="n">
        <v>14</v>
      </c>
      <c r="G47" s="3" t="n">
        <v>16</v>
      </c>
      <c r="H47" s="3" t="n">
        <v>17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105</v>
      </c>
      <c r="B48" s="3" t="n">
        <v>10.5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25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6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3.5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30347.766</v>
      </c>
      <c r="C6" s="0" t="n">
        <f aca="false">B6*(1+C5/100)</f>
        <v>32168.63196</v>
      </c>
      <c r="D6" s="0" t="n">
        <f aca="false">C6*(1+D5/100)</f>
        <v>33455.3772384</v>
      </c>
      <c r="E6" s="0" t="n">
        <f aca="false">D6*(1+E5/100)</f>
        <v>34793.592327936</v>
      </c>
      <c r="F6" s="0" t="n">
        <f aca="false">E6*(1+F5/100)</f>
        <v>36011.3680594138</v>
      </c>
      <c r="G6" s="0" t="n">
        <f aca="false">F6*(1+G5/100)</f>
        <v>37091.7091011962</v>
      </c>
      <c r="H6" s="0" t="n">
        <f aca="false">G6*(1+H5/100)</f>
        <v>38204.4603742321</v>
      </c>
      <c r="I6" s="0" t="n">
        <f aca="false">H6*(1+I5/100)</f>
        <v>39159.5718835879</v>
      </c>
      <c r="J6" s="0" t="n">
        <f aca="false">I6*(1+J5/100)</f>
        <v>40138.5611806776</v>
      </c>
      <c r="K6" s="0" t="n">
        <f aca="false">J6*(1+K5/100)</f>
        <v>40941.3324042911</v>
      </c>
      <c r="L6" s="0" t="n">
        <f aca="false">K6*(1+L5/100)</f>
        <v>41760.1590523769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15</v>
      </c>
      <c r="D7" s="4" t="n">
        <f aca="false">Assumptions!D14</f>
        <v>15.5</v>
      </c>
      <c r="E7" s="4" t="n">
        <f aca="false">Assumptions!E14</f>
        <v>16</v>
      </c>
      <c r="F7" s="4" t="n">
        <f aca="false">Assumptions!F14</f>
        <v>16.3</v>
      </c>
      <c r="G7" s="4" t="n">
        <f aca="false">Assumptions!G14</f>
        <v>16.5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4825.294794</v>
      </c>
      <c r="D8" s="0" t="n">
        <f aca="false">D6*D7/100</f>
        <v>5185.583471952</v>
      </c>
      <c r="E8" s="0" t="n">
        <f aca="false">E6*E7/100</f>
        <v>5566.97477246976</v>
      </c>
      <c r="F8" s="0" t="n">
        <f aca="false">F6*F7/100</f>
        <v>5869.85299368444</v>
      </c>
      <c r="G8" s="0" t="n">
        <f aca="false">G6*G7/100</f>
        <v>6120.13200169737</v>
      </c>
      <c r="H8" s="0" t="n">
        <f aca="false">H6*H7/100</f>
        <v>6303.73596174829</v>
      </c>
      <c r="I8" s="0" t="n">
        <f aca="false">I6*I7/100</f>
        <v>6461.329360792</v>
      </c>
      <c r="J8" s="0" t="n">
        <f aca="false">J6*J7/100</f>
        <v>6622.8625948118</v>
      </c>
      <c r="K8" s="0" t="n">
        <f aca="false">K6*K7/100</f>
        <v>6755.31984670803</v>
      </c>
      <c r="L8" s="0" t="n">
        <f aca="false">L6*L7/100</f>
        <v>6890.42624364219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3.9</v>
      </c>
      <c r="D9" s="4" t="n">
        <f aca="false">Assumptions!D15</f>
        <v>3.9</v>
      </c>
      <c r="E9" s="4" t="n">
        <f aca="false">Assumptions!E15</f>
        <v>3.8</v>
      </c>
      <c r="F9" s="4" t="n">
        <f aca="false">Assumptions!F15</f>
        <v>3.8</v>
      </c>
      <c r="G9" s="4" t="n">
        <f aca="false">Assumptions!G15</f>
        <v>3.7</v>
      </c>
      <c r="H9" s="4" t="n">
        <f aca="false">Assumptions!H15</f>
        <v>3.7</v>
      </c>
      <c r="I9" s="4" t="n">
        <f aca="false">Assumptions!I15</f>
        <v>3.6</v>
      </c>
      <c r="J9" s="4" t="n">
        <f aca="false">Assumptions!J15</f>
        <v>3.6</v>
      </c>
      <c r="K9" s="4" t="n">
        <f aca="false">Assumptions!K15</f>
        <v>3.5</v>
      </c>
      <c r="L9" s="4" t="n">
        <f aca="false">Assumptions!L15</f>
        <v>3.5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-1254.57664644</v>
      </c>
      <c r="D10" s="0" t="n">
        <f aca="false">-D6*D9/100</f>
        <v>-1304.7597122976</v>
      </c>
      <c r="E10" s="0" t="n">
        <f aca="false">-E6*E9/100</f>
        <v>-1322.15650846157</v>
      </c>
      <c r="F10" s="0" t="n">
        <f aca="false">-F6*F9/100</f>
        <v>-1368.43198625772</v>
      </c>
      <c r="G10" s="0" t="n">
        <f aca="false">-G6*G9/100</f>
        <v>-1372.39323674426</v>
      </c>
      <c r="H10" s="0" t="n">
        <f aca="false">-H6*H9/100</f>
        <v>-1413.56503384659</v>
      </c>
      <c r="I10" s="0" t="n">
        <f aca="false">-I6*I9/100</f>
        <v>-1409.74458780916</v>
      </c>
      <c r="J10" s="0" t="n">
        <f aca="false">-J6*J9/100</f>
        <v>-1444.98820250439</v>
      </c>
      <c r="K10" s="0" t="n">
        <f aca="false">-K6*K9/100</f>
        <v>-1432.94663415019</v>
      </c>
      <c r="L10" s="0" t="n">
        <f aca="false">-L6*L9/100</f>
        <v>-1461.60556683319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3570.71814756</v>
      </c>
      <c r="D11" s="0" t="n">
        <f aca="false">D8+D10+D24</f>
        <v>3880.8237596544</v>
      </c>
      <c r="E11" s="0" t="n">
        <f aca="false">E8+E10+E24</f>
        <v>4244.81826400819</v>
      </c>
      <c r="F11" s="0" t="n">
        <f aca="false">F8+F10+F24</f>
        <v>4501.42100742672</v>
      </c>
      <c r="G11" s="0" t="n">
        <f aca="false">G8+G10+G24</f>
        <v>4747.73876495311</v>
      </c>
      <c r="H11" s="0" t="n">
        <f aca="false">H8+H10+H24</f>
        <v>4890.1709279017</v>
      </c>
      <c r="I11" s="0" t="n">
        <f aca="false">I8+I10+I24</f>
        <v>5051.58477298283</v>
      </c>
      <c r="J11" s="0" t="n">
        <f aca="false">J8+J10+J24</f>
        <v>5177.8743923074</v>
      </c>
      <c r="K11" s="0" t="n">
        <f aca="false">K8+K10+K24</f>
        <v>5322.37321255784</v>
      </c>
      <c r="L11" s="0" t="n">
        <f aca="false">L8+L10+L24</f>
        <v>5428.820676809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-2251.8042372</v>
      </c>
      <c r="D12" s="4" t="n">
        <f aca="false">-D6*Assumptions!D17/100</f>
        <v>-2509.15329288</v>
      </c>
      <c r="E12" s="4" t="n">
        <f aca="false">-E6*Assumptions!E17/100</f>
        <v>-2539.93223993933</v>
      </c>
      <c r="F12" s="4" t="n">
        <f aca="false">-F6*Assumptions!F17/100</f>
        <v>-2520.79576415896</v>
      </c>
      <c r="G12" s="4" t="n">
        <f aca="false">-G6*Assumptions!G17/100</f>
        <v>-2522.23621888134</v>
      </c>
      <c r="H12" s="4" t="n">
        <f aca="false">-H6*Assumptions!H17/100</f>
        <v>-2521.49438469932</v>
      </c>
      <c r="I12" s="4" t="n">
        <f aca="false">-I6*Assumptions!I17/100</f>
        <v>-2545.37217243321</v>
      </c>
      <c r="J12" s="4" t="n">
        <f aca="false">-J6*Assumptions!J17/100</f>
        <v>-2609.00647674404</v>
      </c>
      <c r="K12" s="4" t="n">
        <f aca="false">-K6*Assumptions!K17/100</f>
        <v>-2661.18660627892</v>
      </c>
      <c r="L12" s="4" t="n">
        <f aca="false">-L6*Assumptions!L17/100</f>
        <v>-2714.4103384045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1318.91391036</v>
      </c>
      <c r="D13" s="0" t="n">
        <f aca="false">D11+D12</f>
        <v>1371.6704667744</v>
      </c>
      <c r="E13" s="0" t="n">
        <f aca="false">E11+E12</f>
        <v>1704.88602406886</v>
      </c>
      <c r="F13" s="0" t="n">
        <f aca="false">F11+F12</f>
        <v>1980.62524326776</v>
      </c>
      <c r="G13" s="0" t="n">
        <f aca="false">G11+G12</f>
        <v>2225.50254607177</v>
      </c>
      <c r="H13" s="0" t="n">
        <f aca="false">H11+H12</f>
        <v>2368.67654320239</v>
      </c>
      <c r="I13" s="0" t="n">
        <f aca="false">I11+I12</f>
        <v>2506.21260054962</v>
      </c>
      <c r="J13" s="0" t="n">
        <f aca="false">J11+J12</f>
        <v>2568.86791556336</v>
      </c>
      <c r="K13" s="0" t="n">
        <f aca="false">K11+K12</f>
        <v>2661.18660627892</v>
      </c>
      <c r="L13" s="0" t="n">
        <f aca="false">L11+L12</f>
        <v>2714.4103384045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8</v>
      </c>
      <c r="D14" s="4" t="n">
        <f aca="false">Assumptions!D19</f>
        <v>10</v>
      </c>
      <c r="E14" s="4" t="n">
        <f aca="false">Assumptions!E19</f>
        <v>13</v>
      </c>
      <c r="F14" s="4" t="n">
        <f aca="false">Assumptions!F19</f>
        <v>16</v>
      </c>
      <c r="G14" s="4" t="n">
        <f aca="false">Assumptions!G19</f>
        <v>18</v>
      </c>
      <c r="H14" s="4" t="n">
        <f aca="false">Assumptions!H19</f>
        <v>19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1213.4007975312</v>
      </c>
      <c r="D15" s="0" t="n">
        <f aca="false">D13-MAX(0,D13)*D14/100</f>
        <v>1234.50342009696</v>
      </c>
      <c r="E15" s="0" t="n">
        <f aca="false">E13-MAX(0,E13)*E14/100</f>
        <v>1483.25084093991</v>
      </c>
      <c r="F15" s="0" t="n">
        <f aca="false">F13-MAX(0,F13)*F14/100</f>
        <v>1663.72520434492</v>
      </c>
      <c r="G15" s="0" t="n">
        <f aca="false">G13-MAX(0,G13)*G14/100</f>
        <v>1824.91208777885</v>
      </c>
      <c r="H15" s="0" t="n">
        <f aca="false">H13-MAX(0,H13)*H14/100</f>
        <v>1918.62799999393</v>
      </c>
      <c r="I15" s="0" t="n">
        <f aca="false">I13-MAX(0,I13)*I14/100</f>
        <v>2004.9700804397</v>
      </c>
      <c r="J15" s="0" t="n">
        <f aca="false">J13-MAX(0,J13)*J14/100</f>
        <v>2055.09433245069</v>
      </c>
      <c r="K15" s="0" t="n">
        <f aca="false">K13-MAX(0,K13)*K14/100</f>
        <v>2128.94928502314</v>
      </c>
      <c r="L15" s="0" t="n">
        <f aca="false">L13-MAX(0,L13)*L14/100</f>
        <v>2171.5282707236</v>
      </c>
    </row>
    <row r="16" customFormat="false" ht="15" hidden="false" customHeight="false" outlineLevel="0" collapsed="false">
      <c r="A16" s="0" t="s">
        <v>120</v>
      </c>
      <c r="C16" s="0" t="n">
        <f aca="false">-C12</f>
        <v>2251.8042372</v>
      </c>
      <c r="D16" s="0" t="n">
        <f aca="false">-D12</f>
        <v>2509.15329288</v>
      </c>
      <c r="E16" s="0" t="n">
        <f aca="false">-E12</f>
        <v>2539.93223993933</v>
      </c>
      <c r="F16" s="0" t="n">
        <f aca="false">-F12</f>
        <v>2520.79576415896</v>
      </c>
      <c r="G16" s="0" t="n">
        <f aca="false">-G12</f>
        <v>2522.23621888134</v>
      </c>
      <c r="H16" s="0" t="n">
        <f aca="false">-H12</f>
        <v>2521.49438469932</v>
      </c>
      <c r="I16" s="0" t="n">
        <f aca="false">-I12</f>
        <v>2545.37217243321</v>
      </c>
      <c r="J16" s="0" t="n">
        <f aca="false">-J12</f>
        <v>2609.00647674404</v>
      </c>
      <c r="K16" s="0" t="n">
        <f aca="false">-K12</f>
        <v>2661.18660627892</v>
      </c>
      <c r="L16" s="0" t="n">
        <f aca="false">-L12</f>
        <v>2714.4103384045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-3056.0200362</v>
      </c>
      <c r="D17" s="4" t="n">
        <f aca="false">-D6*Assumptions!D18/100</f>
        <v>-2509.15329288</v>
      </c>
      <c r="E17" s="4" t="n">
        <f aca="false">-E6*Assumptions!E18/100</f>
        <v>-2435.55146295552</v>
      </c>
      <c r="F17" s="4" t="n">
        <f aca="false">-F6*Assumptions!F18/100</f>
        <v>-2448.77302804014</v>
      </c>
      <c r="G17" s="4" t="n">
        <f aca="false">-G6*Assumptions!G18/100</f>
        <v>-2522.23621888134</v>
      </c>
      <c r="H17" s="4" t="n">
        <f aca="false">-H6*Assumptions!H18/100</f>
        <v>-2597.90330544778</v>
      </c>
      <c r="I17" s="4" t="n">
        <f aca="false">-I6*Assumptions!I18/100</f>
        <v>-2662.85088808397</v>
      </c>
      <c r="J17" s="4" t="n">
        <f aca="false">-J6*Assumptions!J18/100</f>
        <v>-2729.42216028607</v>
      </c>
      <c r="K17" s="4" t="n">
        <f aca="false">-K6*Assumptions!K18/100</f>
        <v>-2784.01060349179</v>
      </c>
      <c r="L17" s="4" t="n">
        <f aca="false">-L6*Assumptions!L18/100</f>
        <v>-2839.69081556163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273.129894</v>
      </c>
      <c r="D18" s="4" t="n">
        <f aca="false">(D6-C6)*Assumptions!$B$23/100</f>
        <v>193.01179176</v>
      </c>
      <c r="E18" s="4" t="n">
        <f aca="false">(E6-D6)*Assumptions!$B$23/100</f>
        <v>200.7322634304</v>
      </c>
      <c r="F18" s="4" t="n">
        <f aca="false">(F6-E6)*Assumptions!$B$23/100</f>
        <v>182.666359721663</v>
      </c>
      <c r="G18" s="4" t="n">
        <f aca="false">(G6-F6)*Assumptions!$B$23/100</f>
        <v>162.051156267362</v>
      </c>
      <c r="H18" s="4" t="n">
        <f aca="false">(H6-G6)*Assumptions!$B$23/100</f>
        <v>166.912690955383</v>
      </c>
      <c r="I18" s="4" t="n">
        <f aca="false">(I6-H6)*Assumptions!$B$23/100</f>
        <v>143.266726403369</v>
      </c>
      <c r="J18" s="4" t="n">
        <f aca="false">(J6-I6)*Assumptions!$B$23/100</f>
        <v>146.848394563454</v>
      </c>
      <c r="K18" s="4" t="n">
        <f aca="false">(K6-J6)*Assumptions!$B$23/100</f>
        <v>120.415683542032</v>
      </c>
      <c r="L18" s="4" t="n">
        <f aca="false">(L6-K6)*Assumptions!$B$23/100</f>
        <v>122.823997212873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682.3148925312</v>
      </c>
      <c r="D19" s="0" t="n">
        <f aca="false">D15+D16+D17+D18</f>
        <v>1427.51521185696</v>
      </c>
      <c r="E19" s="0" t="n">
        <f aca="false">E15+E16+E17+E18</f>
        <v>1788.36388135412</v>
      </c>
      <c r="F19" s="0" t="n">
        <f aca="false">F15+F16+F17+F18</f>
        <v>1918.41430018541</v>
      </c>
      <c r="G19" s="0" t="n">
        <f aca="false">G15+G16+G17+G18</f>
        <v>1986.96324404621</v>
      </c>
      <c r="H19" s="0" t="n">
        <f aca="false">H15+H16+H17+H18</f>
        <v>2009.13177020085</v>
      </c>
      <c r="I19" s="0" t="n">
        <f aca="false">I15+I16+I17+I18</f>
        <v>2030.75809119231</v>
      </c>
      <c r="J19" s="0" t="n">
        <f aca="false">J15+J16+J17+J18</f>
        <v>2081.52704347211</v>
      </c>
      <c r="K19" s="0" t="n">
        <f aca="false">K15+K16+K17+K18</f>
        <v>2126.5409713523</v>
      </c>
      <c r="L19" s="0" t="n">
        <f aca="false">L15+L16+L17+L18</f>
        <v>2169.07179077934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617.479540752217</v>
      </c>
      <c r="D21" s="0" t="n">
        <f aca="false">D19*D20</f>
        <v>1169.11219005095</v>
      </c>
      <c r="E21" s="0" t="n">
        <f aca="false">E19*E20</f>
        <v>1325.46741623159</v>
      </c>
      <c r="F21" s="0" t="n">
        <f aca="false">F19*F20</f>
        <v>1286.74737510837</v>
      </c>
      <c r="G21" s="0" t="n">
        <f aca="false">G19*G20</f>
        <v>1206.08646368718</v>
      </c>
      <c r="H21" s="0" t="n">
        <f aca="false">H19*H20</f>
        <v>1103.6586032106</v>
      </c>
      <c r="I21" s="0" t="n">
        <f aca="false">I19*I20</f>
        <v>1009.53701270303</v>
      </c>
      <c r="J21" s="0" t="n">
        <f aca="false">J19*J20</f>
        <v>936.448360199645</v>
      </c>
      <c r="K21" s="0" t="n">
        <f aca="false">K19*K20</f>
        <v>865.791369583134</v>
      </c>
      <c r="L21" s="0" t="n">
        <f aca="false">L19*L20</f>
        <v>799.192033461355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10319.5203649881</v>
      </c>
    </row>
    <row r="31" customFormat="false" ht="15" hidden="false" customHeight="false" outlineLevel="0" collapsed="false">
      <c r="A31" s="0" t="s">
        <v>129</v>
      </c>
      <c r="B31" s="0" t="n">
        <f aca="false">L19</f>
        <v>2169.07179077934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24462.3096404559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32536.0768616901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24462.3096404559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9013.1101551475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19332.6305201356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35679.1305201356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12.751161431226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-0.116955579554988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8184.098617008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6073.3867976362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17.846563014033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16308.2064269706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10.2798469914496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7.5</v>
      </c>
      <c r="D5" s="4" t="n">
        <f aca="false">Assumptions!D27</f>
        <v>9</v>
      </c>
      <c r="E5" s="4" t="n">
        <f aca="false">Assumptions!E27</f>
        <v>8.5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30347.766</v>
      </c>
      <c r="C6" s="0" t="n">
        <f aca="false">B6*(1+C5/100)</f>
        <v>32623.84845</v>
      </c>
      <c r="D6" s="0" t="n">
        <f aca="false">C6*(1+D5/100)</f>
        <v>35559.9948105</v>
      </c>
      <c r="E6" s="0" t="n">
        <f aca="false">D6*(1+E5/100)</f>
        <v>38582.5943693925</v>
      </c>
      <c r="F6" s="0" t="n">
        <f aca="false">E6*(1+F5/100)</f>
        <v>41669.2019189439</v>
      </c>
      <c r="G6" s="0" t="n">
        <f aca="false">F6*(1+G5/100)</f>
        <v>44586.04605327</v>
      </c>
      <c r="H6" s="0" t="n">
        <f aca="false">G6*(1+H5/100)</f>
        <v>47261.2088164662</v>
      </c>
      <c r="I6" s="0" t="n">
        <f aca="false">H6*(1+I5/100)</f>
        <v>49624.2692572895</v>
      </c>
      <c r="J6" s="0" t="n">
        <f aca="false">I6*(1+J5/100)</f>
        <v>51857.3613738675</v>
      </c>
      <c r="K6" s="0" t="n">
        <f aca="false">J6*(1+K5/100)</f>
        <v>53931.6558288222</v>
      </c>
      <c r="L6" s="0" t="n">
        <f aca="false">K6*(1+L5/100)</f>
        <v>55819.263782831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15.5</v>
      </c>
      <c r="D7" s="4" t="n">
        <f aca="false">Assumptions!D28</f>
        <v>17</v>
      </c>
      <c r="E7" s="4" t="n">
        <f aca="false">Assumptions!E28</f>
        <v>18.3</v>
      </c>
      <c r="F7" s="4" t="n">
        <f aca="false">Assumptions!F28</f>
        <v>19.4</v>
      </c>
      <c r="G7" s="4" t="n">
        <f aca="false">Assumptions!G28</f>
        <v>20.3</v>
      </c>
      <c r="H7" s="4" t="n">
        <f aca="false">Assumptions!H28</f>
        <v>21</v>
      </c>
      <c r="I7" s="4" t="n">
        <f aca="false">Assumptions!I28</f>
        <v>21.5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5056.69650975</v>
      </c>
      <c r="D8" s="0" t="n">
        <f aca="false">D6*D7/100</f>
        <v>6045.199117785</v>
      </c>
      <c r="E8" s="0" t="n">
        <f aca="false">E6*E7/100</f>
        <v>7060.61476959883</v>
      </c>
      <c r="F8" s="0" t="n">
        <f aca="false">F6*F7/100</f>
        <v>8083.82517227512</v>
      </c>
      <c r="G8" s="0" t="n">
        <f aca="false">G6*G7/100</f>
        <v>9050.96734881381</v>
      </c>
      <c r="H8" s="0" t="n">
        <f aca="false">H6*H7/100</f>
        <v>9924.8538514579</v>
      </c>
      <c r="I8" s="0" t="n">
        <f aca="false">I6*I7/100</f>
        <v>10669.2178903172</v>
      </c>
      <c r="J8" s="0" t="n">
        <f aca="false">J6*J7/100</f>
        <v>11408.6195022509</v>
      </c>
      <c r="K8" s="0" t="n">
        <f aca="false">K6*K7/100</f>
        <v>11864.9642823409</v>
      </c>
      <c r="L8" s="0" t="n">
        <f aca="false">L6*L7/100</f>
        <v>12280.2380322228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3.9</v>
      </c>
      <c r="D9" s="4" t="n">
        <f aca="false">Assumptions!D29</f>
        <v>3.8</v>
      </c>
      <c r="E9" s="4" t="n">
        <f aca="false">Assumptions!E29</f>
        <v>3.7</v>
      </c>
      <c r="F9" s="4" t="n">
        <f aca="false">Assumptions!F29</f>
        <v>3.6</v>
      </c>
      <c r="G9" s="4" t="n">
        <f aca="false">Assumptions!G29</f>
        <v>3.5</v>
      </c>
      <c r="H9" s="4" t="n">
        <f aca="false">Assumptions!H29</f>
        <v>3.4</v>
      </c>
      <c r="I9" s="4" t="n">
        <f aca="false">Assumptions!I29</f>
        <v>3.3</v>
      </c>
      <c r="J9" s="4" t="n">
        <f aca="false">Assumptions!J29</f>
        <v>3.2</v>
      </c>
      <c r="K9" s="4" t="n">
        <f aca="false">Assumptions!K29</f>
        <v>3.1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-1272.33008955</v>
      </c>
      <c r="D10" s="0" t="n">
        <f aca="false">-D6*D9/100</f>
        <v>-1351.279802799</v>
      </c>
      <c r="E10" s="0" t="n">
        <f aca="false">-E6*E9/100</f>
        <v>-1427.55599166752</v>
      </c>
      <c r="F10" s="0" t="n">
        <f aca="false">-F6*F9/100</f>
        <v>-1500.09126908198</v>
      </c>
      <c r="G10" s="0" t="n">
        <f aca="false">-G6*G9/100</f>
        <v>-1560.51161186445</v>
      </c>
      <c r="H10" s="0" t="n">
        <f aca="false">-H6*H9/100</f>
        <v>-1606.88109975985</v>
      </c>
      <c r="I10" s="0" t="n">
        <f aca="false">-I6*I9/100</f>
        <v>-1637.60088549055</v>
      </c>
      <c r="J10" s="0" t="n">
        <f aca="false">-J6*J9/100</f>
        <v>-1659.43556396376</v>
      </c>
      <c r="K10" s="0" t="n">
        <f aca="false">-K6*K9/100</f>
        <v>-1671.88133069349</v>
      </c>
      <c r="L10" s="0" t="n">
        <f aca="false">-L6*L9/100</f>
        <v>-1674.57791348493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3784.3664202</v>
      </c>
      <c r="D11" s="0" t="n">
        <f aca="false">D8+D10+D24</f>
        <v>4693.919314986</v>
      </c>
      <c r="E11" s="0" t="n">
        <f aca="false">E8+E10+E24</f>
        <v>5633.05877793131</v>
      </c>
      <c r="F11" s="0" t="n">
        <f aca="false">F8+F10+F24</f>
        <v>6583.73390319314</v>
      </c>
      <c r="G11" s="0" t="n">
        <f aca="false">G8+G10+G24</f>
        <v>7490.45573694936</v>
      </c>
      <c r="H11" s="0" t="n">
        <f aca="false">H8+H10+H24</f>
        <v>8317.97275169805</v>
      </c>
      <c r="I11" s="0" t="n">
        <f aca="false">I8+I10+I24</f>
        <v>9031.61700482669</v>
      </c>
      <c r="J11" s="0" t="n">
        <f aca="false">J8+J10+J24</f>
        <v>9749.18393828709</v>
      </c>
      <c r="K11" s="0" t="n">
        <f aca="false">K8+K10+K24</f>
        <v>10193.0829516474</v>
      </c>
      <c r="L11" s="0" t="n">
        <f aca="false">L8+L10+L24</f>
        <v>10605.6601187379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-2283.6693915</v>
      </c>
      <c r="D12" s="4" t="n">
        <f aca="false">-D6*Assumptions!D31/100</f>
        <v>-2666.9996107875</v>
      </c>
      <c r="E12" s="4" t="n">
        <f aca="false">-E6*Assumptions!E31/100</f>
        <v>-2777.94679459626</v>
      </c>
      <c r="F12" s="4" t="n">
        <f aca="false">-F6*Assumptions!F31/100</f>
        <v>-2875.17493240713</v>
      </c>
      <c r="G12" s="4" t="n">
        <f aca="false">-G6*Assumptions!G31/100</f>
        <v>-2942.67903951582</v>
      </c>
      <c r="H12" s="4" t="n">
        <f aca="false">-H6*Assumptions!H31/100</f>
        <v>-3024.71736425384</v>
      </c>
      <c r="I12" s="4" t="n">
        <f aca="false">-I6*Assumptions!I31/100</f>
        <v>-3076.70469395195</v>
      </c>
      <c r="J12" s="4" t="n">
        <f aca="false">-J6*Assumptions!J31/100</f>
        <v>-3111.44168243205</v>
      </c>
      <c r="K12" s="4" t="n">
        <f aca="false">-K6*Assumptions!K31/100</f>
        <v>-3235.89934972933</v>
      </c>
      <c r="L12" s="4" t="n">
        <f aca="false">-L6*Assumptions!L31/100</f>
        <v>-3349.15582696986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1500.6970287</v>
      </c>
      <c r="D13" s="0" t="n">
        <f aca="false">D11+D12</f>
        <v>2026.9197041985</v>
      </c>
      <c r="E13" s="0" t="n">
        <f aca="false">E11+E12</f>
        <v>2855.11198333504</v>
      </c>
      <c r="F13" s="0" t="n">
        <f aca="false">F11+F12</f>
        <v>3708.55897078601</v>
      </c>
      <c r="G13" s="0" t="n">
        <f aca="false">G11+G12</f>
        <v>4547.77669743354</v>
      </c>
      <c r="H13" s="0" t="n">
        <f aca="false">H11+H12</f>
        <v>5293.25538744421</v>
      </c>
      <c r="I13" s="0" t="n">
        <f aca="false">I11+I12</f>
        <v>5954.91231087474</v>
      </c>
      <c r="J13" s="0" t="n">
        <f aca="false">J11+J12</f>
        <v>6637.74225585504</v>
      </c>
      <c r="K13" s="0" t="n">
        <f aca="false">K11+K12</f>
        <v>6957.18360191807</v>
      </c>
      <c r="L13" s="0" t="n">
        <f aca="false">L11+L12</f>
        <v>7256.50429176803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8</v>
      </c>
      <c r="D14" s="4" t="n">
        <f aca="false">Assumptions!D33</f>
        <v>10</v>
      </c>
      <c r="E14" s="4" t="n">
        <f aca="false">Assumptions!E33</f>
        <v>12</v>
      </c>
      <c r="F14" s="4" t="n">
        <f aca="false">Assumptions!F33</f>
        <v>14</v>
      </c>
      <c r="G14" s="4" t="n">
        <f aca="false">Assumptions!G33</f>
        <v>16</v>
      </c>
      <c r="H14" s="4" t="n">
        <f aca="false">Assumptions!H33</f>
        <v>17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1380.641266404</v>
      </c>
      <c r="D15" s="0" t="n">
        <f aca="false">D13-MAX(0,D13)*D14/100</f>
        <v>1824.22773377865</v>
      </c>
      <c r="E15" s="0" t="n">
        <f aca="false">E13-MAX(0,E13)*E14/100</f>
        <v>2512.49854533484</v>
      </c>
      <c r="F15" s="0" t="n">
        <f aca="false">F13-MAX(0,F13)*F14/100</f>
        <v>3189.36071487597</v>
      </c>
      <c r="G15" s="0" t="n">
        <f aca="false">G13-MAX(0,G13)*G14/100</f>
        <v>3820.13242584417</v>
      </c>
      <c r="H15" s="0" t="n">
        <f aca="false">H13-MAX(0,H13)*H14/100</f>
        <v>4393.4019715787</v>
      </c>
      <c r="I15" s="0" t="n">
        <f aca="false">I13-MAX(0,I13)*I14/100</f>
        <v>4883.02809491729</v>
      </c>
      <c r="J15" s="0" t="n">
        <f aca="false">J13-MAX(0,J13)*J14/100</f>
        <v>5442.94864980114</v>
      </c>
      <c r="K15" s="0" t="n">
        <f aca="false">K13-MAX(0,K13)*K14/100</f>
        <v>5704.89055357282</v>
      </c>
      <c r="L15" s="0" t="n">
        <f aca="false">L13-MAX(0,L13)*L14/100</f>
        <v>5950.33351924978</v>
      </c>
    </row>
    <row r="16" customFormat="false" ht="15" hidden="false" customHeight="false" outlineLevel="0" collapsed="false">
      <c r="A16" s="0" t="s">
        <v>120</v>
      </c>
      <c r="C16" s="0" t="n">
        <f aca="false">-C12</f>
        <v>2283.6693915</v>
      </c>
      <c r="D16" s="0" t="n">
        <f aca="false">-D12</f>
        <v>2666.9996107875</v>
      </c>
      <c r="E16" s="0" t="n">
        <f aca="false">-E12</f>
        <v>2777.94679459626</v>
      </c>
      <c r="F16" s="0" t="n">
        <f aca="false">-F12</f>
        <v>2875.17493240713</v>
      </c>
      <c r="G16" s="0" t="n">
        <f aca="false">-G12</f>
        <v>2942.67903951582</v>
      </c>
      <c r="H16" s="0" t="n">
        <f aca="false">-H12</f>
        <v>3024.71736425384</v>
      </c>
      <c r="I16" s="0" t="n">
        <f aca="false">-I12</f>
        <v>3076.70469395195</v>
      </c>
      <c r="J16" s="0" t="n">
        <f aca="false">-J12</f>
        <v>3111.44168243205</v>
      </c>
      <c r="K16" s="0" t="n">
        <f aca="false">-K12</f>
        <v>3235.89934972933</v>
      </c>
      <c r="L16" s="0" t="n">
        <f aca="false">-L12</f>
        <v>3349.15582696986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-3099.26560275</v>
      </c>
      <c r="D17" s="4" t="n">
        <f aca="false">-D6*Assumptions!D32/100</f>
        <v>-2666.9996107875</v>
      </c>
      <c r="E17" s="4" t="n">
        <f aca="false">-E6*Assumptions!E32/100</f>
        <v>-2623.61641711869</v>
      </c>
      <c r="F17" s="4" t="n">
        <f aca="false">-F6*Assumptions!F32/100</f>
        <v>-2708.49812473135</v>
      </c>
      <c r="G17" s="4" t="n">
        <f aca="false">-G6*Assumptions!G32/100</f>
        <v>-2898.09299346255</v>
      </c>
      <c r="H17" s="4" t="n">
        <f aca="false">-H6*Assumptions!H32/100</f>
        <v>-3071.9785730703</v>
      </c>
      <c r="I17" s="4" t="n">
        <f aca="false">-I6*Assumptions!I32/100</f>
        <v>-3225.57750172382</v>
      </c>
      <c r="J17" s="4" t="n">
        <f aca="false">-J6*Assumptions!J32/100</f>
        <v>-3370.72848930139</v>
      </c>
      <c r="K17" s="4" t="n">
        <f aca="false">-K6*Assumptions!K32/100</f>
        <v>-3505.55762887344</v>
      </c>
      <c r="L17" s="4" t="n">
        <f aca="false">-L6*Assumptions!L32/100</f>
        <v>-3628.25214588401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455.21649</v>
      </c>
      <c r="D18" s="4" t="n">
        <f aca="false">(D6-C6)*Assumptions!$B$37/100</f>
        <v>587.229272100001</v>
      </c>
      <c r="E18" s="4" t="n">
        <f aca="false">(E6-D6)*Assumptions!$B$37/100</f>
        <v>604.5199117785</v>
      </c>
      <c r="F18" s="4" t="n">
        <f aca="false">(F6-E6)*Assumptions!$B$37/100</f>
        <v>617.32150991028</v>
      </c>
      <c r="G18" s="4" t="n">
        <f aca="false">(G6-F6)*Assumptions!$B$37/100</f>
        <v>583.368826865216</v>
      </c>
      <c r="H18" s="4" t="n">
        <f aca="false">(H6-G6)*Assumptions!$B$37/100</f>
        <v>535.032552639241</v>
      </c>
      <c r="I18" s="4" t="n">
        <f aca="false">(I6-H6)*Assumptions!$B$37/100</f>
        <v>472.612088164662</v>
      </c>
      <c r="J18" s="4" t="n">
        <f aca="false">(J6-I6)*Assumptions!$B$37/100</f>
        <v>446.618423315605</v>
      </c>
      <c r="K18" s="4" t="n">
        <f aca="false">(K6-J6)*Assumptions!$B$37/100</f>
        <v>414.858890990941</v>
      </c>
      <c r="L18" s="4" t="n">
        <f aca="false">(L6-K6)*Assumptions!$B$37/100</f>
        <v>377.521590801755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1020.261545154</v>
      </c>
      <c r="D19" s="0" t="n">
        <f aca="false">D15+D16+D17+D18</f>
        <v>2411.45700587865</v>
      </c>
      <c r="E19" s="0" t="n">
        <f aca="false">E15+E16+E17+E18</f>
        <v>3271.34883459091</v>
      </c>
      <c r="F19" s="0" t="n">
        <f aca="false">F15+F16+F17+F18</f>
        <v>3973.35903246202</v>
      </c>
      <c r="G19" s="0" t="n">
        <f aca="false">G15+G16+G17+G18</f>
        <v>4448.08729876266</v>
      </c>
      <c r="H19" s="0" t="n">
        <f aca="false">H15+H16+H17+H18</f>
        <v>4881.17331540147</v>
      </c>
      <c r="I19" s="0" t="n">
        <f aca="false">I15+I16+I17+I18</f>
        <v>5206.76737531008</v>
      </c>
      <c r="J19" s="0" t="n">
        <f aca="false">J15+J16+J17+J18</f>
        <v>5630.2802662474</v>
      </c>
      <c r="K19" s="0" t="n">
        <f aca="false">K15+K16+K17+K18</f>
        <v>5850.09116541965</v>
      </c>
      <c r="L19" s="0" t="n">
        <f aca="false">L15+L16+L17+L18</f>
        <v>6048.75879113738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923.313615523982</v>
      </c>
      <c r="D21" s="0" t="n">
        <f aca="false">D19*D20</f>
        <v>1974.94482576413</v>
      </c>
      <c r="E21" s="0" t="n">
        <f aca="false">E19*E20</f>
        <v>2424.59956420851</v>
      </c>
      <c r="F21" s="0" t="n">
        <f aca="false">F19*F20</f>
        <v>2665.07047246756</v>
      </c>
      <c r="G21" s="0" t="n">
        <f aca="false">G19*G20</f>
        <v>2699.988485651</v>
      </c>
      <c r="H21" s="0" t="n">
        <f aca="false">H19*H20</f>
        <v>2681.3318086978</v>
      </c>
      <c r="I21" s="0" t="n">
        <f aca="false">I19*I20</f>
        <v>2588.40499255329</v>
      </c>
      <c r="J21" s="0" t="n">
        <f aca="false">J19*J20</f>
        <v>2532.98016921126</v>
      </c>
      <c r="K21" s="0" t="n">
        <f aca="false">K19*K20</f>
        <v>2381.78267455341</v>
      </c>
      <c r="L21" s="0" t="n">
        <f aca="false">L19*L20</f>
        <v>2228.65829464752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23101.0749032785</v>
      </c>
    </row>
    <row r="31" customFormat="false" ht="15" hidden="false" customHeight="false" outlineLevel="0" collapsed="false">
      <c r="A31" s="0" t="s">
        <v>129</v>
      </c>
      <c r="B31" s="0" t="n">
        <f aca="false">L19</f>
        <v>6048.75879113738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72585.1054936486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90731.3818670607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72585.1054936486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26743.8995357702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49844.9744390487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66191.4744390487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23.6557943996661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0.638212908564131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9010.56900135632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7403.95592376392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29.5220880588955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47459.4920535395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16.6144165979542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8.5</v>
      </c>
      <c r="D5" s="4" t="n">
        <f aca="false">Assumptions!D41</f>
        <v>13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8.5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30347.766</v>
      </c>
      <c r="C6" s="0" t="n">
        <f aca="false">B6*(1+C5/100)</f>
        <v>32927.32611</v>
      </c>
      <c r="D6" s="0" t="n">
        <f aca="false">C6*(1+D5/100)</f>
        <v>37207.8785043</v>
      </c>
      <c r="E6" s="0" t="n">
        <f aca="false">D6*(1+E5/100)</f>
        <v>41672.823924816</v>
      </c>
      <c r="F6" s="0" t="n">
        <f aca="false">E6*(1+F5/100)</f>
        <v>46256.8345565458</v>
      </c>
      <c r="G6" s="0" t="n">
        <f aca="false">F6*(1+G5/100)</f>
        <v>50882.5180122003</v>
      </c>
      <c r="H6" s="0" t="n">
        <f aca="false">G6*(1+H5/100)</f>
        <v>55207.5320432374</v>
      </c>
      <c r="I6" s="0" t="n">
        <f aca="false">H6*(1+I5/100)</f>
        <v>59072.059286264</v>
      </c>
      <c r="J6" s="0" t="n">
        <f aca="false">I6*(1+J5/100)</f>
        <v>62616.3828434398</v>
      </c>
      <c r="K6" s="0" t="n">
        <f aca="false">J6*(1+K5/100)</f>
        <v>65747.2019856118</v>
      </c>
      <c r="L6" s="0" t="n">
        <f aca="false">K6*(1+L5/100)</f>
        <v>68377.0900650363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16</v>
      </c>
      <c r="D7" s="4" t="n">
        <f aca="false">Assumptions!D42</f>
        <v>18</v>
      </c>
      <c r="E7" s="4" t="n">
        <f aca="false">Assumptions!E42</f>
        <v>20</v>
      </c>
      <c r="F7" s="4" t="n">
        <f aca="false">Assumptions!F42</f>
        <v>21.8</v>
      </c>
      <c r="G7" s="4" t="n">
        <f aca="false">Assumptions!G42</f>
        <v>23.2</v>
      </c>
      <c r="H7" s="4" t="n">
        <f aca="false">Assumptions!H42</f>
        <v>24.2</v>
      </c>
      <c r="I7" s="4" t="n">
        <f aca="false">Assumptions!I42</f>
        <v>25</v>
      </c>
      <c r="J7" s="4" t="n">
        <f aca="false">Assumptions!J42</f>
        <v>25.5</v>
      </c>
      <c r="K7" s="4" t="n">
        <f aca="false">Assumptions!K42</f>
        <v>25.5</v>
      </c>
      <c r="L7" s="4" t="n">
        <f aca="false">Assumptions!L42</f>
        <v>25.5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5268.3721776</v>
      </c>
      <c r="D8" s="0" t="n">
        <f aca="false">D6*D7/100</f>
        <v>6697.418130774</v>
      </c>
      <c r="E8" s="0" t="n">
        <f aca="false">E6*E7/100</f>
        <v>8334.5647849632</v>
      </c>
      <c r="F8" s="0" t="n">
        <f aca="false">F6*F7/100</f>
        <v>10083.989933327</v>
      </c>
      <c r="G8" s="0" t="n">
        <f aca="false">G6*G7/100</f>
        <v>11804.7441788305</v>
      </c>
      <c r="H8" s="0" t="n">
        <f aca="false">H6*H7/100</f>
        <v>13360.2227544634</v>
      </c>
      <c r="I8" s="0" t="n">
        <f aca="false">I6*I7/100</f>
        <v>14768.014821566</v>
      </c>
      <c r="J8" s="0" t="n">
        <f aca="false">J6*J7/100</f>
        <v>15967.1776250772</v>
      </c>
      <c r="K8" s="0" t="n">
        <f aca="false">K6*K7/100</f>
        <v>16765.536506331</v>
      </c>
      <c r="L8" s="0" t="n">
        <f aca="false">L6*L7/100</f>
        <v>17436.1579665843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3.9</v>
      </c>
      <c r="D9" s="4" t="n">
        <f aca="false">Assumptions!D43</f>
        <v>3.8</v>
      </c>
      <c r="E9" s="4" t="n">
        <f aca="false">Assumptions!E43</f>
        <v>3.7</v>
      </c>
      <c r="F9" s="4" t="n">
        <f aca="false">Assumptions!F43</f>
        <v>3.6</v>
      </c>
      <c r="G9" s="4" t="n">
        <f aca="false">Assumptions!G43</f>
        <v>3.5</v>
      </c>
      <c r="H9" s="4" t="n">
        <f aca="false">Assumptions!H43</f>
        <v>3.4</v>
      </c>
      <c r="I9" s="4" t="n">
        <f aca="false">Assumptions!I43</f>
        <v>3.3</v>
      </c>
      <c r="J9" s="4" t="n">
        <f aca="false">Assumptions!J43</f>
        <v>3.2</v>
      </c>
      <c r="K9" s="4" t="n">
        <f aca="false">Assumptions!K43</f>
        <v>3.1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-1284.16571829</v>
      </c>
      <c r="D10" s="0" t="n">
        <f aca="false">-D6*D9/100</f>
        <v>-1413.8993831634</v>
      </c>
      <c r="E10" s="0" t="n">
        <f aca="false">-E6*E9/100</f>
        <v>-1541.89448521819</v>
      </c>
      <c r="F10" s="0" t="n">
        <f aca="false">-F6*F9/100</f>
        <v>-1665.24604403565</v>
      </c>
      <c r="G10" s="0" t="n">
        <f aca="false">-G6*G9/100</f>
        <v>-1780.88813042701</v>
      </c>
      <c r="H10" s="0" t="n">
        <f aca="false">-H6*H9/100</f>
        <v>-1877.05608947007</v>
      </c>
      <c r="I10" s="0" t="n">
        <f aca="false">-I6*I9/100</f>
        <v>-1949.37795644671</v>
      </c>
      <c r="J10" s="0" t="n">
        <f aca="false">-J6*J9/100</f>
        <v>-2003.72425099007</v>
      </c>
      <c r="K10" s="0" t="n">
        <f aca="false">-K6*K9/100</f>
        <v>-2038.16326155397</v>
      </c>
      <c r="L10" s="0" t="n">
        <f aca="false">-L6*L9/100</f>
        <v>-2051.31270195109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3984.20645931</v>
      </c>
      <c r="D11" s="0" t="n">
        <f aca="false">D8+D10+D24</f>
        <v>5283.5187476106</v>
      </c>
      <c r="E11" s="0" t="n">
        <f aca="false">E8+E10+E24</f>
        <v>6792.67029974501</v>
      </c>
      <c r="F11" s="0" t="n">
        <f aca="false">F8+F10+F24</f>
        <v>8418.74388929133</v>
      </c>
      <c r="G11" s="0" t="n">
        <f aca="false">G8+G10+G24</f>
        <v>10023.8560484035</v>
      </c>
      <c r="H11" s="0" t="n">
        <f aca="false">H8+H10+H24</f>
        <v>11483.1666649934</v>
      </c>
      <c r="I11" s="0" t="n">
        <f aca="false">I8+I10+I24</f>
        <v>12818.6368651193</v>
      </c>
      <c r="J11" s="0" t="n">
        <f aca="false">J8+J10+J24</f>
        <v>13963.4533740871</v>
      </c>
      <c r="K11" s="0" t="n">
        <f aca="false">K8+K10+K24</f>
        <v>14727.373244777</v>
      </c>
      <c r="L11" s="0" t="n">
        <f aca="false">L8+L10+L24</f>
        <v>15384.8452646332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-2304.9128277</v>
      </c>
      <c r="D12" s="4" t="n">
        <f aca="false">-D6*Assumptions!D45/100</f>
        <v>-2790.5908878225</v>
      </c>
      <c r="E12" s="4" t="n">
        <f aca="false">-E6*Assumptions!E45/100</f>
        <v>-3000.44332258675</v>
      </c>
      <c r="F12" s="4" t="n">
        <f aca="false">-F6*Assumptions!F45/100</f>
        <v>-3191.72158440166</v>
      </c>
      <c r="G12" s="4" t="n">
        <f aca="false">-G6*Assumptions!G45/100</f>
        <v>-3358.24618880522</v>
      </c>
      <c r="H12" s="4" t="n">
        <f aca="false">-H6*Assumptions!H45/100</f>
        <v>-3533.28205076719</v>
      </c>
      <c r="I12" s="4" t="n">
        <f aca="false">-I6*Assumptions!I45/100</f>
        <v>-3662.46767574837</v>
      </c>
      <c r="J12" s="4" t="n">
        <f aca="false">-J6*Assumptions!J45/100</f>
        <v>-3756.98297060639</v>
      </c>
      <c r="K12" s="4" t="n">
        <f aca="false">-K6*Assumptions!K45/100</f>
        <v>-3944.83211913671</v>
      </c>
      <c r="L12" s="4" t="n">
        <f aca="false">-L6*Assumptions!L45/100</f>
        <v>-4102.62540390218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1679.29363161</v>
      </c>
      <c r="D13" s="0" t="n">
        <f aca="false">D11+D12</f>
        <v>2492.9278597881</v>
      </c>
      <c r="E13" s="0" t="n">
        <f aca="false">E11+E12</f>
        <v>3792.22697715825</v>
      </c>
      <c r="F13" s="0" t="n">
        <f aca="false">F11+F12</f>
        <v>5227.02230488967</v>
      </c>
      <c r="G13" s="0" t="n">
        <f aca="false">G11+G12</f>
        <v>6665.60985959825</v>
      </c>
      <c r="H13" s="0" t="n">
        <f aca="false">H11+H12</f>
        <v>7949.88461422618</v>
      </c>
      <c r="I13" s="0" t="n">
        <f aca="false">I11+I12</f>
        <v>9156.16918937092</v>
      </c>
      <c r="J13" s="0" t="n">
        <f aca="false">J11+J12</f>
        <v>10206.4704034807</v>
      </c>
      <c r="K13" s="0" t="n">
        <f aca="false">K11+K12</f>
        <v>10782.5411256403</v>
      </c>
      <c r="L13" s="0" t="n">
        <f aca="false">L11+L12</f>
        <v>11282.219860731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8</v>
      </c>
      <c r="D14" s="4" t="n">
        <f aca="false">Assumptions!D47</f>
        <v>10</v>
      </c>
      <c r="E14" s="4" t="n">
        <f aca="false">Assumptions!E47</f>
        <v>12</v>
      </c>
      <c r="F14" s="4" t="n">
        <f aca="false">Assumptions!F47</f>
        <v>14</v>
      </c>
      <c r="G14" s="4" t="n">
        <f aca="false">Assumptions!G47</f>
        <v>16</v>
      </c>
      <c r="H14" s="4" t="n">
        <f aca="false">Assumptions!H47</f>
        <v>17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1544.9501410812</v>
      </c>
      <c r="D15" s="0" t="n">
        <f aca="false">D13-MAX(0,D13)*D14/100</f>
        <v>2243.63507380929</v>
      </c>
      <c r="E15" s="0" t="n">
        <f aca="false">E13-MAX(0,E13)*E14/100</f>
        <v>3337.15973989926</v>
      </c>
      <c r="F15" s="0" t="n">
        <f aca="false">F13-MAX(0,F13)*F14/100</f>
        <v>4495.23918220512</v>
      </c>
      <c r="G15" s="0" t="n">
        <f aca="false">G13-MAX(0,G13)*G14/100</f>
        <v>5599.11228206253</v>
      </c>
      <c r="H15" s="0" t="n">
        <f aca="false">H13-MAX(0,H13)*H14/100</f>
        <v>6598.40422980773</v>
      </c>
      <c r="I15" s="0" t="n">
        <f aca="false">I13-MAX(0,I13)*I14/100</f>
        <v>7508.05873528415</v>
      </c>
      <c r="J15" s="0" t="n">
        <f aca="false">J13-MAX(0,J13)*J14/100</f>
        <v>8369.30573085417</v>
      </c>
      <c r="K15" s="0" t="n">
        <f aca="false">K13-MAX(0,K13)*K14/100</f>
        <v>8841.68372302508</v>
      </c>
      <c r="L15" s="0" t="n">
        <f aca="false">L13-MAX(0,L13)*L14/100</f>
        <v>9251.42028579941</v>
      </c>
    </row>
    <row r="16" customFormat="false" ht="15" hidden="false" customHeight="false" outlineLevel="0" collapsed="false">
      <c r="A16" s="0" t="s">
        <v>120</v>
      </c>
      <c r="C16" s="0" t="n">
        <f aca="false">-C12</f>
        <v>2304.9128277</v>
      </c>
      <c r="D16" s="0" t="n">
        <f aca="false">-D12</f>
        <v>2790.5908878225</v>
      </c>
      <c r="E16" s="0" t="n">
        <f aca="false">-E12</f>
        <v>3000.44332258675</v>
      </c>
      <c r="F16" s="0" t="n">
        <f aca="false">-F12</f>
        <v>3191.72158440166</v>
      </c>
      <c r="G16" s="0" t="n">
        <f aca="false">-G12</f>
        <v>3358.24618880522</v>
      </c>
      <c r="H16" s="0" t="n">
        <f aca="false">-H12</f>
        <v>3533.28205076719</v>
      </c>
      <c r="I16" s="0" t="n">
        <f aca="false">-I12</f>
        <v>3662.46767574837</v>
      </c>
      <c r="J16" s="0" t="n">
        <f aca="false">-J12</f>
        <v>3756.98297060639</v>
      </c>
      <c r="K16" s="0" t="n">
        <f aca="false">-K12</f>
        <v>3944.83211913671</v>
      </c>
      <c r="L16" s="0" t="n">
        <f aca="false">-L12</f>
        <v>4102.62540390218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-3128.09598045</v>
      </c>
      <c r="D17" s="4" t="n">
        <f aca="false">-D6*Assumptions!D46/100</f>
        <v>-2790.5908878225</v>
      </c>
      <c r="E17" s="4" t="n">
        <f aca="false">-E6*Assumptions!E46/100</f>
        <v>-2833.75202688749</v>
      </c>
      <c r="F17" s="4" t="n">
        <f aca="false">-F6*Assumptions!F46/100</f>
        <v>-3006.69424617547</v>
      </c>
      <c r="G17" s="4" t="n">
        <f aca="false">-G6*Assumptions!G46/100</f>
        <v>-3307.36367079302</v>
      </c>
      <c r="H17" s="4" t="n">
        <f aca="false">-H6*Assumptions!H46/100</f>
        <v>-3588.48958281043</v>
      </c>
      <c r="I17" s="4" t="n">
        <f aca="false">-I6*Assumptions!I46/100</f>
        <v>-3839.68385360716</v>
      </c>
      <c r="J17" s="4" t="n">
        <f aca="false">-J6*Assumptions!J46/100</f>
        <v>-4070.06488482359</v>
      </c>
      <c r="K17" s="4" t="n">
        <f aca="false">-K6*Assumptions!K46/100</f>
        <v>-4273.56812906477</v>
      </c>
      <c r="L17" s="4" t="n">
        <f aca="false">-L6*Assumptions!L46/100</f>
        <v>-4444.51085422736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644.890027500001</v>
      </c>
      <c r="D18" s="4" t="n">
        <f aca="false">(D6-C6)*Assumptions!$B$51/100</f>
        <v>1070.138098575</v>
      </c>
      <c r="E18" s="4" t="n">
        <f aca="false">(E6-D6)*Assumptions!$B$51/100</f>
        <v>1116.236355129</v>
      </c>
      <c r="F18" s="4" t="n">
        <f aca="false">(F6-E6)*Assumptions!$B$51/100</f>
        <v>1146.00265793244</v>
      </c>
      <c r="G18" s="4" t="n">
        <f aca="false">(G6-F6)*Assumptions!$B$51/100</f>
        <v>1156.42086391365</v>
      </c>
      <c r="H18" s="4" t="n">
        <f aca="false">(H6-G6)*Assumptions!$B$51/100</f>
        <v>1081.25350775926</v>
      </c>
      <c r="I18" s="4" t="n">
        <f aca="false">(I6-H6)*Assumptions!$B$51/100</f>
        <v>966.131810756655</v>
      </c>
      <c r="J18" s="4" t="n">
        <f aca="false">(J6-I6)*Assumptions!$B$51/100</f>
        <v>886.08088929396</v>
      </c>
      <c r="K18" s="4" t="n">
        <f aca="false">(K6-J6)*Assumptions!$B$51/100</f>
        <v>782.704785542998</v>
      </c>
      <c r="L18" s="4" t="n">
        <f aca="false">(L6-K6)*Assumptions!$B$51/100</f>
        <v>657.472019856119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1366.6570158312</v>
      </c>
      <c r="D19" s="0" t="n">
        <f aca="false">D15+D16+D17+D18</f>
        <v>3313.77317238429</v>
      </c>
      <c r="E19" s="0" t="n">
        <f aca="false">E15+E16+E17+E18</f>
        <v>4620.08739072753</v>
      </c>
      <c r="F19" s="0" t="n">
        <f aca="false">F15+F16+F17+F18</f>
        <v>5826.26917836374</v>
      </c>
      <c r="G19" s="0" t="n">
        <f aca="false">G15+G16+G17+G18</f>
        <v>6806.41566398837</v>
      </c>
      <c r="H19" s="0" t="n">
        <f aca="false">H15+H16+H17+H18</f>
        <v>7624.45020552375</v>
      </c>
      <c r="I19" s="0" t="n">
        <f aca="false">I15+I16+I17+I18</f>
        <v>8296.97436818202</v>
      </c>
      <c r="J19" s="0" t="n">
        <f aca="false">J15+J16+J17+J18</f>
        <v>8942.30470593093</v>
      </c>
      <c r="K19" s="0" t="n">
        <f aca="false">K15+K16+K17+K18</f>
        <v>9295.65249864002</v>
      </c>
      <c r="L19" s="0" t="n">
        <f aca="false">L15+L16+L17+L18</f>
        <v>9567.00685533035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1236.79367948525</v>
      </c>
      <c r="D21" s="0" t="n">
        <f aca="false">D19*D20</f>
        <v>2713.92737444712</v>
      </c>
      <c r="E21" s="0" t="n">
        <f aca="false">E19*E20</f>
        <v>3424.23337912358</v>
      </c>
      <c r="F21" s="0" t="n">
        <f aca="false">F19*F20</f>
        <v>3907.88192686522</v>
      </c>
      <c r="G21" s="0" t="n">
        <f aca="false">G19*G20</f>
        <v>4131.49353575755</v>
      </c>
      <c r="H21" s="0" t="n">
        <f aca="false">H19*H20</f>
        <v>4188.27186393848</v>
      </c>
      <c r="I21" s="0" t="n">
        <f aca="false">I19*I20</f>
        <v>4124.6186606157</v>
      </c>
      <c r="J21" s="0" t="n">
        <f aca="false">J19*J20</f>
        <v>4023.01118524323</v>
      </c>
      <c r="K21" s="0" t="n">
        <f aca="false">K19*K20</f>
        <v>3784.59470867779</v>
      </c>
      <c r="L21" s="0" t="n">
        <f aca="false">L19*L20</f>
        <v>3524.95279102912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35059.779105183</v>
      </c>
    </row>
    <row r="31" customFormat="false" ht="15" hidden="false" customHeight="false" outlineLevel="0" collapsed="false">
      <c r="A31" s="0" t="s">
        <v>129</v>
      </c>
      <c r="B31" s="0" t="n">
        <f aca="false">L19</f>
        <v>9567.00685533035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122577.27533392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143505.102829955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122577.27533392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45163.4576350607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80223.2367402437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96569.7367402437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34.512508701716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1.39006292948172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10148.0802893612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9683.73658676873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41.6000888858613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78449.4562137089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22.7049582520336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12.751161431226</v>
      </c>
      <c r="C4" s="0" t="n">
        <f aca="false">B4/Assumptions!$B$2-1</f>
        <v>-0.116955579554988</v>
      </c>
      <c r="D4" s="4" t="n">
        <f aca="false">Assumptions!$B$24</f>
        <v>0.25</v>
      </c>
      <c r="E4" s="4" t="n">
        <f aca="false">DCF_Bear!$B$43</f>
        <v>17.846563014033</v>
      </c>
      <c r="F4" s="4" t="n">
        <f aca="false">DCF_Bear!$B$47</f>
        <v>10.2798469914496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23.6557943996661</v>
      </c>
      <c r="C5" s="0" t="n">
        <f aca="false">B5/Assumptions!$B$2-1</f>
        <v>0.638212908564131</v>
      </c>
      <c r="D5" s="4" t="n">
        <f aca="false">Assumptions!$B$38</f>
        <v>0.5</v>
      </c>
      <c r="E5" s="4" t="n">
        <f aca="false">DCF_Base!$B$43</f>
        <v>29.5220880588955</v>
      </c>
      <c r="F5" s="4" t="n">
        <f aca="false">DCF_Base!$B$47</f>
        <v>16.6144165979542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34.512508701716</v>
      </c>
      <c r="C6" s="0" t="n">
        <f aca="false">B6/Assumptions!$B$2-1</f>
        <v>1.39006292948172</v>
      </c>
      <c r="D6" s="4" t="n">
        <f aca="false">Assumptions!$B$52</f>
        <v>0.25</v>
      </c>
      <c r="E6" s="4" t="n">
        <f aca="false">DCF_Bull!$B$43</f>
        <v>41.6000888858613</v>
      </c>
      <c r="F6" s="4" t="n">
        <f aca="false">DCF_Bull!$B$47</f>
        <v>22.7049582520336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23.6438147330685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29.6227070044213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0.389269448985995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-153.938460760827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16.5534096098479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28.093252705355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24.9458188071829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23.6557943996661</v>
      </c>
      <c r="C17" s="3" t="n">
        <v>10.5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22.5127094476328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20.5787864786877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16.6144165979542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27.9103620876975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28.8983344716602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29.3763856251905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29.3763856251905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29.3763856251905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24.9140282446531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25.6163494268143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26.4123134332636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27.3219865834913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27.6335184842543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22.5658641280729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23.0805534229919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23.6557943996661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24.3029404984245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25.0363727436841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20.6796469465544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21.066110592543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21.4932546223198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21.9678590998496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22.4982993982652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19.1340018698869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19.4300133297584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19.7542163572367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20.1108396874629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20.5050023156076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2026-10-03T21:13:11Z</dcterms:created>
  <dc:creator>openpyxl</dc:creator>
  <dc:description/>
  <dc:language>en-NZ</dc:language>
  <cp:lastModifiedBy/>
  <dcterms:modified xsi:type="dcterms:W3CDTF">2026-10-03T21:13:11Z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