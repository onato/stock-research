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<sst xmlns="http://schemas.openxmlformats.org/spreadsheetml/2006/main" count="354" uniqueCount="165">
  <si>
    <t xml:space="preserve">Ticker</t>
  </si>
  <si>
    <t xml:space="preserve">3606.HK</t>
  </si>
  <si>
    <t xml:space="preserve">Company</t>
  </si>
  <si>
    <t xml:space="preserve">Fuyao Glass Industry Group Co., Ltd.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</si>
  <si>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</si>
  <si>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</si>
  <si>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</si>
  <si>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</si>
  <si>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2026-10-22T08:08:34Z (HKEX closing print, 16:08 HKT; regular session, not volatile)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</si>
  <si>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</si>
  <si>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</si>
  <si>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</si>
  <si>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</si>
  <si>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</si>
  <si>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</si>
  <si>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</si>
  <si>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</si>
  <si>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</si>
  <si>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</si>
  <si>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</si>
  <si>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</si>
  <si>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</si>
  <si>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2026-10-22T10:21:29Z</t>
  </si>
  <si>
    <t xml:space="preserve">Drivers file</t>
  </si>
  <si>
    <t xml:space="preserve">3606.HK_Drivers.json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</si>
  <si>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</si>
  <si>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</si>
  <si>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</si>
  <si>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Fuyao as a mature, dominant, cash-generative industrial on unlevered owner FCF: strip interest income and FX gains from the flows, charge the full lease cash, model working capital as a cash consumer on growth, let capex normalise only gradually from a real investment peak, and refuse to capitalise anything above a 15x terminal multiple. The dividend stream, not buybacks, is the cash return mechanism, so the share count is flat. Quoted in HKD, modelled in CNY; the AH discount is a market-structure fact and is not 'corrected' in the valuation.
key_risks_to_valuation: Global light-vehicle production: Fuyao's volume is tied to OEM build rates in China, the US and Europe; a cyclical downturn hits revenue and margin together.; OEM pricing pressure in China's auto price war passing through to suppliers; annual price-downs may exceed the ASP lift from content.; FX: ~46% of revenue is outside China; RMB appreciation produces both translation headwinds and the P&amp;L FX losses seen in 2026 (RMB1.07bn in 9M).; US tariffs and trade policy on Chinese-origin components, and the economics of the US expansion.; Input costs: soda ash, natural gas, PVB; energy is ~36% of float-glass cost.; Capex overrun or under-utilisation of the 2024-27 capacity additions (Anhui, Fujian, US, aluminium trim) would delay the capex normalisation the base case assumes.; H-share governance/geopolitical discount: the valuation is in HKD at a market FX rate; offshore holders may continue to demand a discount to A-share value.</t>
  </si>
  <si>
    <t xml:space="preserve">Data sources</t>
  </si>
  <si>
    <t xml:space="preserve">price: Yahoo Finance chart API for 3606.HK at inputs.price_as_of (HKEX regular close); 52-week range HKD 47.70-72.50. A-share parity from 600660.SS same day; FX from Yahoo HKDCNY=X.
financials: research/3606.HK/Reports/3606.HK_Metrics.csv (FY2018-FY2025 annual, H1-2024/25/26, Q1/Q3 2024-26; CNY millions) adjudicated from the HKEX annual/interim/quarterly reports; FY2025 Annual Report (cash-flow statement, lease note 16, capex note 6.3, commitments note, segment table), H1-2026 Interim Report (FX loss, outlook), Q3-2026 Report (9M results, 30 Sep 2026 balance sheet).
qualitative: 3606.HK_Analysis.json was not yet written when this DCF was built; scenario axes taken directly from the FY2025 annual report business plan (new aluminium-components and Anhui projects, RMB7.73bn 2026 capex plan), the H1-2026 outlook (smart/integrated glass, cockpit-system positioning) and the Q3-2026 FX bridge.</t>
  </si>
  <si>
    <t xml:space="preserve">Scenario narrative: bear</t>
  </si>
  <si>
    <t xml:space="preserve">A prolonged global auto downturn plus Chinese OEM price pressure, tariffs and a strong RMB hold growth at 2-3% and compress margins to 26%; the market treats Fuyao as a cyclical auto-parts supplier on a 13x terminal multiple.</t>
  </si>
  <si>
    <t xml:space="preserve">Scenario narrative: base</t>
  </si>
  <si>
    <t xml:space="preserve">Fuyao remains the structural share-gainer in a flat global auto market: the 2026 slowdown (+2.5% revenue) reflects China purchase-tax reinstatement and RMB translation, not lost share; the FX loss that drove the reported 15% profit decline is non-operating and is set to zero going forward. Growth recovers to 6-7% in FY2027-29 on content per vehicle and new-capacity fill, fading to 3%. Underlying EBITDA margin ~30%; capex normalises from the 2025-27 peak; a 75% dividend payout returns the cash.</t>
  </si>
  <si>
    <t xml:space="preserve">Scenario narrative: bull</t>
  </si>
  <si>
    <t xml:space="preserve">Smart-glass content and share gains compound at 9-10% for three years, margins expand to 33% on vertical integration and operating leverage, the US and aluminium-trim bets both pay. The H-share re-rates toward the A-share.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</si>
  <si>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</si>
  <si>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</si>
  <si>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</si>
  <si>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</si>
  <si>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</si>
  <si>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</si>
  <si>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</si>
  <si>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</si>
  <si>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</si>
  <si>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</si>
  <si>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</si>
  <si>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</si>
  <si>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</si>
  <si>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</si>
  <si>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</si>
  <si>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</si>
  <si>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</si>
  <si>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</si>
  <si>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</si>
  <si>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</si>
  <si>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</si>
  <si>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</si>
  <si>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</si>
  <si>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</si>
  <si>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</si>
  <si>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</si>
  <si>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</si>
  <si>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</si>
  <si>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</si>
  <si>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</si>
  <si>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</si>
  <si>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</si>
  <si>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</si>
  <si>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</si>
  <si>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</si>
  <si>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</si>
  <si>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</si>
  <si>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</si>
  <si>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</si>
  <si>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</si>
  <si>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</si>
  <si>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</si>
  <si>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</si>
  <si>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</si>
  <si>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</si>
  <si>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</si>
  <si>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</si>
  <si>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</si>
  <si>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</si>
  <si>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</si>
  <si>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</si>
  <si>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</si>
  <si>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</si>
  <si>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</si>
  <si>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</si>
  <si>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</si>
  <si>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</si>
  <si>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</si>
  <si>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</si>
  <si>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</si>
  <si>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</si>
  <si>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</si>
  <si>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</si>
  <si>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</si>
  <si>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</si>
  <si>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</si>
  <si>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</si>
  <si>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</si>
  <si>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</si>
  <si>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</si>
  <si>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</si>
  <si>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</si>
  <si>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</si>
  <si>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3606.HK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</si>
  <si>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</si>
  <si>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</si>
  <si>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</si>
  <si>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</si>
  <si>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</si>
  <si>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</si>
  <si>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</si>
  <si>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</si>
  <si>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</si>
  <si>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</si>
  <si>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</si>
  <si>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</si>
  <si>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</si>
  <si>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</si>
  <si>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</si>
  <si>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</si>
  <si>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</si>
  <si>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</si>
  <si>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</si>
  <si>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</si>
  <si>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</si>
  <si>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</si>
  <si>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</si>
  <si>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</si>
  <si>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</si>
  <si>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</si>
  <si>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</si>
  <si>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</si>
  <si>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</si>
  <si>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</si>
  <si>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3606.HK owner-FCF component DCF: base case (millions, CNY)</t>
  </si>
  <si>
    <t xml:space="preserve">3606.HK owner-FCF component DCF: bull case (millions, CNY)</t>
  </si>
  <si>
    <t xml:space="preserve">3606.HK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</si>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</sst>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51.45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20224.986</v>
      </c>
      <c r="C2" s="0" t="n">
        <v>11828.463</v>
      </c>
      <c r="D2" s="0" t="n">
        <v>8396.523</v>
      </c>
      <c r="E2" s="0" t="n">
        <v>41.5</v>
      </c>
      <c r="F2" s="0" t="n">
        <v>5098.26</v>
      </c>
      <c r="G2" s="0" t="n">
        <v>25.2</v>
      </c>
      <c r="H2" s="0" t="n">
        <v>6785.981</v>
      </c>
      <c r="I2" s="0" t="n">
        <v>4119.935</v>
      </c>
      <c r="J2" s="0" t="n">
        <v>20.4</v>
      </c>
      <c r="K2" s="0" t="n">
        <v>1.64</v>
      </c>
      <c r="L2" s="0" t="n">
        <v>5451.39</v>
      </c>
      <c r="M2" s="0" t="n">
        <v>3591.741</v>
      </c>
      <c r="N2" s="0" t="n">
        <v>1859.649</v>
      </c>
      <c r="O2" s="0" t="n">
        <v>20203.708</v>
      </c>
      <c r="P2" s="0" t="n">
        <v>34503.241</v>
      </c>
      <c r="Q2" s="0" t="n">
        <v>14300.567</v>
      </c>
      <c r="R2" s="0" t="n">
        <v>8400.201</v>
      </c>
      <c r="S2" s="0" t="n">
        <v>6357.656</v>
      </c>
      <c r="T2" s="0" t="n">
        <v>2508.618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21103.878</v>
      </c>
      <c r="C3" s="0" t="n">
        <v>13399.311</v>
      </c>
      <c r="D3" s="0" t="n">
        <v>7704.567</v>
      </c>
      <c r="E3" s="0" t="n">
        <v>36.5</v>
      </c>
      <c r="F3" s="0" t="n">
        <v>3384.764</v>
      </c>
      <c r="G3" s="0" t="n">
        <v>16</v>
      </c>
      <c r="H3" s="0" t="n">
        <v>5515.487</v>
      </c>
      <c r="I3" s="0" t="n">
        <v>2897.868</v>
      </c>
      <c r="J3" s="0" t="n">
        <v>13.7</v>
      </c>
      <c r="K3" s="0" t="n">
        <v>1.16</v>
      </c>
      <c r="L3" s="0" t="n">
        <v>4700.911</v>
      </c>
      <c r="M3" s="0" t="n">
        <v>2779.502</v>
      </c>
      <c r="N3" s="0" t="n">
        <v>1921.409</v>
      </c>
      <c r="O3" s="0" t="n">
        <v>21382.603</v>
      </c>
      <c r="P3" s="0" t="n">
        <v>38838.517</v>
      </c>
      <c r="Q3" s="0" t="n">
        <v>17457.199</v>
      </c>
      <c r="R3" s="0" t="n">
        <v>10718.806</v>
      </c>
      <c r="S3" s="0" t="n">
        <v>8352.669</v>
      </c>
      <c r="T3" s="0" t="n">
        <v>2508.618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19906.593</v>
      </c>
      <c r="C4" s="0" t="n">
        <v>12870.07</v>
      </c>
      <c r="D4" s="0" t="n">
        <v>7036.523</v>
      </c>
      <c r="E4" s="0" t="n">
        <v>35.3</v>
      </c>
      <c r="F4" s="0" t="n">
        <v>3161.682</v>
      </c>
      <c r="G4" s="0" t="n">
        <v>15.9</v>
      </c>
      <c r="H4" s="0" t="n">
        <v>5404.216</v>
      </c>
      <c r="I4" s="0" t="n">
        <v>2600.245</v>
      </c>
      <c r="J4" s="0" t="n">
        <v>13.1</v>
      </c>
      <c r="K4" s="0" t="n">
        <v>1.04</v>
      </c>
      <c r="L4" s="0" t="n">
        <v>4849.518</v>
      </c>
      <c r="M4" s="0" t="n">
        <v>1772.543</v>
      </c>
      <c r="N4" s="0" t="n">
        <v>3076.975</v>
      </c>
      <c r="O4" s="0" t="n">
        <v>21606.224</v>
      </c>
      <c r="P4" s="0" t="n">
        <v>38435.332</v>
      </c>
      <c r="Q4" s="0" t="n">
        <v>16832.718</v>
      </c>
      <c r="R4" s="0" t="n">
        <v>9829.723</v>
      </c>
      <c r="S4" s="0" t="n">
        <v>8807.952</v>
      </c>
      <c r="T4" s="0" t="n">
        <v>2508.618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23603.063</v>
      </c>
      <c r="C5" s="0" t="n">
        <v>15352.658</v>
      </c>
      <c r="D5" s="0" t="n">
        <v>8250.405</v>
      </c>
      <c r="E5" s="0" t="n">
        <v>35</v>
      </c>
      <c r="F5" s="0" t="n">
        <v>3941.455</v>
      </c>
      <c r="G5" s="0" t="n">
        <v>16.7</v>
      </c>
      <c r="H5" s="0" t="n">
        <v>6193.621</v>
      </c>
      <c r="I5" s="0" t="n">
        <v>3145.652</v>
      </c>
      <c r="J5" s="0" t="n">
        <v>13.3</v>
      </c>
      <c r="K5" s="0" t="n">
        <v>1.23</v>
      </c>
      <c r="L5" s="0" t="n">
        <v>5490.396</v>
      </c>
      <c r="M5" s="0" t="n">
        <v>2328.512</v>
      </c>
      <c r="N5" s="0" t="n">
        <v>3161.884</v>
      </c>
      <c r="O5" s="0" t="n">
        <v>26317.208</v>
      </c>
      <c r="P5" s="0" t="n">
        <v>44796.085</v>
      </c>
      <c r="Q5" s="0" t="n">
        <v>18490.789</v>
      </c>
      <c r="R5" s="0" t="n">
        <v>10588.44</v>
      </c>
      <c r="S5" s="0" t="n">
        <v>14325.322</v>
      </c>
      <c r="T5" s="0" t="n">
        <v>2567.61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28098.754</v>
      </c>
      <c r="C6" s="0" t="n">
        <v>18901.092</v>
      </c>
      <c r="D6" s="0" t="n">
        <v>9197.662</v>
      </c>
      <c r="E6" s="0" t="n">
        <v>32.7</v>
      </c>
      <c r="F6" s="0" t="n">
        <v>5582.968</v>
      </c>
      <c r="G6" s="0" t="n">
        <v>19.9</v>
      </c>
      <c r="H6" s="0" t="n">
        <v>7928.6</v>
      </c>
      <c r="I6" s="0" t="n">
        <v>4755.033</v>
      </c>
      <c r="J6" s="0" t="n">
        <v>16.9</v>
      </c>
      <c r="K6" s="0" t="n">
        <v>1.82</v>
      </c>
      <c r="L6" s="0" t="n">
        <v>5590.337</v>
      </c>
      <c r="M6" s="0" t="n">
        <v>3130.253</v>
      </c>
      <c r="N6" s="0" t="n">
        <v>2460.084</v>
      </c>
      <c r="O6" s="0" t="n">
        <v>29013.638</v>
      </c>
      <c r="P6" s="0" t="n">
        <v>50778.126</v>
      </c>
      <c r="Q6" s="0" t="n">
        <v>21779.2</v>
      </c>
      <c r="R6" s="0" t="n">
        <v>12412.383</v>
      </c>
      <c r="S6" s="0" t="n">
        <v>12237.862</v>
      </c>
      <c r="T6" s="0" t="n">
        <v>2609.744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33160.997</v>
      </c>
      <c r="C7" s="0" t="n">
        <v>21840.391</v>
      </c>
      <c r="D7" s="0" t="n">
        <v>11320.606</v>
      </c>
      <c r="E7" s="0" t="n">
        <v>34.1</v>
      </c>
      <c r="F7" s="0" t="n">
        <v>6378.97</v>
      </c>
      <c r="G7" s="0" t="n">
        <v>19.2</v>
      </c>
      <c r="H7" s="0" t="n">
        <v>8901.987</v>
      </c>
      <c r="I7" s="0" t="n">
        <v>5628.684</v>
      </c>
      <c r="J7" s="0" t="n">
        <v>17</v>
      </c>
      <c r="K7" s="0" t="n">
        <v>2.16</v>
      </c>
      <c r="L7" s="0" t="n">
        <v>7624.582</v>
      </c>
      <c r="M7" s="0" t="n">
        <v>4474.711</v>
      </c>
      <c r="N7" s="0" t="n">
        <v>3149.871</v>
      </c>
      <c r="O7" s="0" t="n">
        <v>31436.239</v>
      </c>
      <c r="P7" s="0" t="n">
        <v>56640.463</v>
      </c>
      <c r="Q7" s="0" t="n">
        <v>25219.084</v>
      </c>
      <c r="R7" s="0" t="n">
        <v>14004.799</v>
      </c>
      <c r="S7" s="0" t="n">
        <v>13351.25</v>
      </c>
      <c r="T7" s="0" t="n">
        <v>2609.744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39251.657</v>
      </c>
      <c r="C8" s="0" t="n">
        <v>25303.908</v>
      </c>
      <c r="D8" s="0" t="n">
        <v>13947.749</v>
      </c>
      <c r="E8" s="0" t="n">
        <v>35.5</v>
      </c>
      <c r="F8" s="0" t="n">
        <v>8315.353</v>
      </c>
      <c r="G8" s="0" t="n">
        <v>21.2</v>
      </c>
      <c r="H8" s="0" t="n">
        <v>11043.439</v>
      </c>
      <c r="I8" s="0" t="n">
        <v>7497.392</v>
      </c>
      <c r="J8" s="0" t="n">
        <v>19.1</v>
      </c>
      <c r="K8" s="0" t="n">
        <v>2.87</v>
      </c>
      <c r="L8" s="0" t="n">
        <v>8562.188</v>
      </c>
      <c r="M8" s="0" t="n">
        <v>5480.872</v>
      </c>
      <c r="N8" s="0" t="n">
        <v>3081.316</v>
      </c>
      <c r="O8" s="0" t="n">
        <v>35703.839</v>
      </c>
      <c r="P8" s="0" t="n">
        <v>63263.654</v>
      </c>
      <c r="Q8" s="0" t="n">
        <v>27568.612</v>
      </c>
      <c r="R8" s="0" t="n">
        <v>14687.439</v>
      </c>
      <c r="S8" s="0" t="n">
        <v>18733.774</v>
      </c>
      <c r="T8" s="0" t="n">
        <v>2609.744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45787.436</v>
      </c>
      <c r="C9" s="0" t="n">
        <v>28957.205</v>
      </c>
      <c r="D9" s="0" t="n">
        <v>16830.231</v>
      </c>
      <c r="E9" s="0" t="n">
        <v>36.8</v>
      </c>
      <c r="F9" s="0" t="n">
        <v>10635.049</v>
      </c>
      <c r="G9" s="0" t="n">
        <v>23.2</v>
      </c>
      <c r="H9" s="0" t="n">
        <v>13717.585</v>
      </c>
      <c r="I9" s="0" t="n">
        <v>9311.874</v>
      </c>
      <c r="J9" s="0" t="n">
        <v>20.3</v>
      </c>
      <c r="K9" s="0" t="n">
        <v>3.57</v>
      </c>
      <c r="L9" s="0" t="n">
        <v>12055.09</v>
      </c>
      <c r="M9" s="0" t="n">
        <v>6164.082</v>
      </c>
      <c r="N9" s="0" t="n">
        <v>5891.008</v>
      </c>
      <c r="O9" s="0" t="n">
        <v>37565.508</v>
      </c>
      <c r="P9" s="0" t="n">
        <v>70071.397</v>
      </c>
      <c r="Q9" s="0" t="n">
        <v>32510.194</v>
      </c>
      <c r="R9" s="0" t="n">
        <v>16964.111</v>
      </c>
      <c r="S9" s="0" t="n">
        <v>19240.786</v>
      </c>
      <c r="T9" s="0" t="n">
        <v>2609.744</v>
      </c>
      <c r="U9" s="0" t="n">
        <v>0</v>
      </c>
      <c r="V9" s="0" t="n">
        <v>2.1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51.45</v>
      </c>
    </row>
    <row r="3" customFormat="false" ht="15" hidden="false" customHeight="false" outlineLevel="0" collapsed="false">
      <c r="A3" s="0" t="s">
        <v>75</v>
      </c>
      <c r="B3" s="3" t="n">
        <v>2609.744</v>
      </c>
    </row>
    <row r="4" customFormat="false" ht="15" hidden="false" customHeight="false" outlineLevel="0" collapsed="false">
      <c r="A4" s="0" t="s">
        <v>76</v>
      </c>
      <c r="B4" s="3" t="n">
        <v>-1380</v>
      </c>
    </row>
    <row r="5" customFormat="false" ht="15" hidden="false" customHeight="false" outlineLevel="0" collapsed="false">
      <c r="A5" s="0" t="s">
        <v>77</v>
      </c>
      <c r="B5" s="3" t="n">
        <v>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46915</v>
      </c>
    </row>
    <row r="8" customFormat="false" ht="15" hidden="false" customHeight="false" outlineLevel="0" collapsed="false">
      <c r="A8" s="0" t="s">
        <v>80</v>
      </c>
      <c r="B8" s="3" t="s">
        <v>81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1.1752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2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27</v>
      </c>
      <c r="D14" s="3" t="n">
        <v>26.5</v>
      </c>
      <c r="E14" s="3" t="n">
        <v>26</v>
      </c>
      <c r="F14" s="3" t="n">
        <v>26</v>
      </c>
      <c r="G14" s="3" t="n">
        <v>26</v>
      </c>
      <c r="H14" s="3" t="n">
        <v>26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0.4</v>
      </c>
      <c r="D16" s="3" t="n">
        <v>0.4</v>
      </c>
      <c r="E16" s="3" t="n">
        <v>0.4</v>
      </c>
      <c r="F16" s="3" t="n">
        <v>0.4</v>
      </c>
      <c r="G16" s="3" t="n">
        <v>0.4</v>
      </c>
      <c r="H16" s="3" t="n">
        <v>0.4</v>
      </c>
      <c r="I16" s="3" t="n">
        <v>0.4</v>
      </c>
      <c r="J16" s="3" t="n">
        <v>0.4</v>
      </c>
      <c r="K16" s="3" t="n">
        <v>0.4</v>
      </c>
      <c r="L16" s="3" t="n">
        <v>0.4</v>
      </c>
    </row>
    <row r="17" customFormat="false" ht="15" hidden="false" customHeight="false" outlineLevel="0" collapsed="false">
      <c r="A17" s="0" t="s">
        <v>100</v>
      </c>
      <c r="C17" s="3" t="n">
        <v>7</v>
      </c>
      <c r="D17" s="3" t="n">
        <v>7.3</v>
      </c>
      <c r="E17" s="3" t="n">
        <v>7.5</v>
      </c>
      <c r="F17" s="3" t="n">
        <v>7.6</v>
      </c>
      <c r="G17" s="3" t="n">
        <v>7.6</v>
      </c>
      <c r="H17" s="3" t="n">
        <v>7.6</v>
      </c>
      <c r="I17" s="3" t="n">
        <v>7.6</v>
      </c>
      <c r="J17" s="3" t="n">
        <v>7.6</v>
      </c>
      <c r="K17" s="3" t="n">
        <v>7.6</v>
      </c>
      <c r="L17" s="3" t="n">
        <v>7.6</v>
      </c>
    </row>
    <row r="18" customFormat="false" ht="15" hidden="false" customHeight="false" outlineLevel="0" collapsed="false">
      <c r="A18" s="0" t="s">
        <v>101</v>
      </c>
      <c r="C18" s="3" t="n">
        <v>12</v>
      </c>
      <c r="D18" s="3" t="n">
        <v>11</v>
      </c>
      <c r="E18" s="3" t="n">
        <v>10</v>
      </c>
      <c r="F18" s="3" t="n">
        <v>9</v>
      </c>
      <c r="G18" s="3" t="n">
        <v>8.5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102</v>
      </c>
      <c r="C19" s="3" t="n">
        <v>15</v>
      </c>
      <c r="D19" s="3" t="n">
        <v>16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103</v>
      </c>
      <c r="B20" s="3" t="n">
        <v>8.5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13</v>
      </c>
    </row>
    <row r="23" customFormat="false" ht="15" hidden="false" customHeight="false" outlineLevel="0" collapsed="false">
      <c r="A23" s="0" t="s">
        <v>106</v>
      </c>
      <c r="B23" s="3" t="n">
        <v>-15</v>
      </c>
    </row>
    <row r="24" customFormat="false" ht="15" hidden="false" customHeight="false" outlineLevel="0" collapsed="false">
      <c r="A24" s="0" t="s">
        <v>107</v>
      </c>
      <c r="B24" s="3" t="n">
        <v>0.2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6</v>
      </c>
      <c r="D27" s="3" t="n">
        <v>7</v>
      </c>
      <c r="E27" s="3" t="n">
        <v>7</v>
      </c>
      <c r="F27" s="3" t="n">
        <v>6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30</v>
      </c>
      <c r="D28" s="3" t="n">
        <v>30.5</v>
      </c>
      <c r="E28" s="3" t="n">
        <v>30.5</v>
      </c>
      <c r="F28" s="3" t="n">
        <v>30.5</v>
      </c>
      <c r="G28" s="3" t="n">
        <v>30.5</v>
      </c>
      <c r="H28" s="3" t="n">
        <v>30.5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0.4</v>
      </c>
      <c r="D30" s="3" t="n">
        <v>0.4</v>
      </c>
      <c r="E30" s="3" t="n">
        <v>0.4</v>
      </c>
      <c r="F30" s="3" t="n">
        <v>0.4</v>
      </c>
      <c r="G30" s="3" t="n">
        <v>0.4</v>
      </c>
      <c r="H30" s="3" t="n">
        <v>0.4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100</v>
      </c>
      <c r="C31" s="3" t="n">
        <v>7</v>
      </c>
      <c r="D31" s="3" t="n">
        <v>7.2</v>
      </c>
      <c r="E31" s="3" t="n">
        <v>7.4</v>
      </c>
      <c r="F31" s="3" t="n">
        <v>7.5</v>
      </c>
      <c r="G31" s="3" t="n">
        <v>7.5</v>
      </c>
      <c r="H31" s="3" t="n">
        <v>7.5</v>
      </c>
      <c r="I31" s="3" t="n">
        <v>7.5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101</v>
      </c>
      <c r="C32" s="3" t="n">
        <v>12.5</v>
      </c>
      <c r="D32" s="3" t="n">
        <v>12</v>
      </c>
      <c r="E32" s="3" t="n">
        <v>11</v>
      </c>
      <c r="F32" s="3" t="n">
        <v>10</v>
      </c>
      <c r="G32" s="3" t="n">
        <v>9.5</v>
      </c>
      <c r="H32" s="3" t="n">
        <v>9</v>
      </c>
      <c r="I32" s="3" t="n">
        <v>8.5</v>
      </c>
      <c r="J32" s="3" t="n">
        <v>8.5</v>
      </c>
      <c r="K32" s="3" t="n">
        <v>8.5</v>
      </c>
      <c r="L32" s="3" t="n">
        <v>8.5</v>
      </c>
    </row>
    <row r="33" customFormat="false" ht="15" hidden="false" customHeight="false" outlineLevel="0" collapsed="false">
      <c r="A33" s="0" t="s">
        <v>102</v>
      </c>
      <c r="C33" s="3" t="n">
        <v>14</v>
      </c>
      <c r="D33" s="3" t="n">
        <v>15</v>
      </c>
      <c r="E33" s="3" t="n">
        <v>16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103</v>
      </c>
      <c r="B34" s="3" t="n">
        <v>8.5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-15</v>
      </c>
    </row>
    <row r="38" customFormat="false" ht="15" hidden="false" customHeight="false" outlineLevel="0" collapsed="false">
      <c r="A38" s="0" t="s">
        <v>107</v>
      </c>
      <c r="B38" s="3" t="n">
        <v>0.55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9</v>
      </c>
      <c r="D41" s="3" t="n">
        <v>10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97</v>
      </c>
      <c r="C42" s="3" t="n">
        <v>31</v>
      </c>
      <c r="D42" s="3" t="n">
        <v>32</v>
      </c>
      <c r="E42" s="3" t="n">
        <v>32.5</v>
      </c>
      <c r="F42" s="3" t="n">
        <v>33</v>
      </c>
      <c r="G42" s="3" t="n">
        <v>33</v>
      </c>
      <c r="H42" s="3" t="n">
        <v>33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0.4</v>
      </c>
      <c r="D44" s="3" t="n">
        <v>0.4</v>
      </c>
      <c r="E44" s="3" t="n">
        <v>0.4</v>
      </c>
      <c r="F44" s="3" t="n">
        <v>0.4</v>
      </c>
      <c r="G44" s="3" t="n">
        <v>0.4</v>
      </c>
      <c r="H44" s="3" t="n">
        <v>0.4</v>
      </c>
      <c r="I44" s="3" t="n">
        <v>0.4</v>
      </c>
      <c r="J44" s="3" t="n">
        <v>0.4</v>
      </c>
      <c r="K44" s="3" t="n">
        <v>0.4</v>
      </c>
      <c r="L44" s="3" t="n">
        <v>0.4</v>
      </c>
    </row>
    <row r="45" customFormat="false" ht="15" hidden="false" customHeight="false" outlineLevel="0" collapsed="false">
      <c r="A45" s="0" t="s">
        <v>100</v>
      </c>
      <c r="C45" s="3" t="n">
        <v>7</v>
      </c>
      <c r="D45" s="3" t="n">
        <v>7.2</v>
      </c>
      <c r="E45" s="3" t="n">
        <v>7.4</v>
      </c>
      <c r="F45" s="3" t="n">
        <v>7.5</v>
      </c>
      <c r="G45" s="3" t="n">
        <v>7.5</v>
      </c>
      <c r="H45" s="3" t="n">
        <v>7.5</v>
      </c>
      <c r="I45" s="3" t="n">
        <v>7.5</v>
      </c>
      <c r="J45" s="3" t="n">
        <v>7.5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101</v>
      </c>
      <c r="C46" s="3" t="n">
        <v>12.5</v>
      </c>
      <c r="D46" s="3" t="n">
        <v>12</v>
      </c>
      <c r="E46" s="3" t="n">
        <v>11.5</v>
      </c>
      <c r="F46" s="3" t="n">
        <v>10.5</v>
      </c>
      <c r="G46" s="3" t="n">
        <v>10</v>
      </c>
      <c r="H46" s="3" t="n">
        <v>9.5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102</v>
      </c>
      <c r="C47" s="3" t="n">
        <v>14</v>
      </c>
      <c r="D47" s="3" t="n">
        <v>15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103</v>
      </c>
      <c r="B48" s="3" t="n">
        <v>8.5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-15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2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46915</v>
      </c>
      <c r="C6" s="0" t="n">
        <f aca="false">B6*(1+C5/100)</f>
        <v>47853.3</v>
      </c>
      <c r="D6" s="0" t="n">
        <f aca="false">C6*(1+D5/100)</f>
        <v>49288.899</v>
      </c>
      <c r="E6" s="0" t="n">
        <f aca="false">D6*(1+E5/100)</f>
        <v>50767.56597</v>
      </c>
      <c r="F6" s="0" t="n">
        <f aca="false">E6*(1+F5/100)</f>
        <v>52290.5929491</v>
      </c>
      <c r="G6" s="0" t="n">
        <f aca="false">F6*(1+G5/100)</f>
        <v>53859.310737573</v>
      </c>
      <c r="H6" s="0" t="n">
        <f aca="false">G6*(1+H5/100)</f>
        <v>55205.7935060123</v>
      </c>
      <c r="I6" s="0" t="n">
        <f aca="false">H6*(1+I5/100)</f>
        <v>56585.9383436626</v>
      </c>
      <c r="J6" s="0" t="n">
        <f aca="false">I6*(1+J5/100)</f>
        <v>57717.6571105359</v>
      </c>
      <c r="K6" s="0" t="n">
        <f aca="false">J6*(1+K5/100)</f>
        <v>58872.0102527466</v>
      </c>
      <c r="L6" s="0" t="n">
        <f aca="false">K6*(1+L5/100)</f>
        <v>60049.4504578015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27</v>
      </c>
      <c r="D7" s="4" t="n">
        <f aca="false">Assumptions!D14</f>
        <v>26.5</v>
      </c>
      <c r="E7" s="4" t="n">
        <f aca="false">Assumptions!E14</f>
        <v>26</v>
      </c>
      <c r="F7" s="4" t="n">
        <f aca="false">Assumptions!F14</f>
        <v>26</v>
      </c>
      <c r="G7" s="4" t="n">
        <f aca="false">Assumptions!G14</f>
        <v>26</v>
      </c>
      <c r="H7" s="4" t="n">
        <f aca="false">Assumptions!H14</f>
        <v>26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12920.391</v>
      </c>
      <c r="D8" s="0" t="n">
        <f aca="false">D6*D7/100</f>
        <v>13061.558235</v>
      </c>
      <c r="E8" s="0" t="n">
        <f aca="false">E6*E7/100</f>
        <v>13199.5671522</v>
      </c>
      <c r="F8" s="0" t="n">
        <f aca="false">F6*F7/100</f>
        <v>13595.554166766</v>
      </c>
      <c r="G8" s="0" t="n">
        <f aca="false">G6*G7/100</f>
        <v>14003.420791769</v>
      </c>
      <c r="H8" s="0" t="n">
        <f aca="false">H6*H7/100</f>
        <v>14353.5063115632</v>
      </c>
      <c r="I8" s="0" t="n">
        <f aca="false">I6*I7/100</f>
        <v>14712.3439693523</v>
      </c>
      <c r="J8" s="0" t="n">
        <f aca="false">J6*J7/100</f>
        <v>15006.5908487393</v>
      </c>
      <c r="K8" s="0" t="n">
        <f aca="false">K6*K7/100</f>
        <v>15306.7226657141</v>
      </c>
      <c r="L8" s="0" t="n">
        <f aca="false">L6*L7/100</f>
        <v>15612.8571190284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12728.9778</v>
      </c>
      <c r="D11" s="0" t="n">
        <f aca="false">D8+D10+D24</f>
        <v>12864.402639</v>
      </c>
      <c r="E11" s="0" t="n">
        <f aca="false">E8+E10+E24</f>
        <v>12996.49688832</v>
      </c>
      <c r="F11" s="0" t="n">
        <f aca="false">F8+F10+F24</f>
        <v>13386.3917949696</v>
      </c>
      <c r="G11" s="0" t="n">
        <f aca="false">G8+G10+G24</f>
        <v>13787.9835488187</v>
      </c>
      <c r="H11" s="0" t="n">
        <f aca="false">H8+H10+H24</f>
        <v>14132.6831375392</v>
      </c>
      <c r="I11" s="0" t="n">
        <f aca="false">I8+I10+I24</f>
        <v>14486.0002159776</v>
      </c>
      <c r="J11" s="0" t="n">
        <f aca="false">J8+J10+J24</f>
        <v>14775.7202202972</v>
      </c>
      <c r="K11" s="0" t="n">
        <f aca="false">K8+K10+K24</f>
        <v>15071.2346247031</v>
      </c>
      <c r="L11" s="0" t="n">
        <f aca="false">L8+L10+L24</f>
        <v>15372.6593171972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-3349.731</v>
      </c>
      <c r="D12" s="4" t="n">
        <f aca="false">-D6*Assumptions!D17/100</f>
        <v>-3598.089627</v>
      </c>
      <c r="E12" s="4" t="n">
        <f aca="false">-E6*Assumptions!E17/100</f>
        <v>-3807.56744775</v>
      </c>
      <c r="F12" s="4" t="n">
        <f aca="false">-F6*Assumptions!F17/100</f>
        <v>-3974.0850641316</v>
      </c>
      <c r="G12" s="4" t="n">
        <f aca="false">-G6*Assumptions!G17/100</f>
        <v>-4093.30761605555</v>
      </c>
      <c r="H12" s="4" t="n">
        <f aca="false">-H6*Assumptions!H17/100</f>
        <v>-4195.64030645694</v>
      </c>
      <c r="I12" s="4" t="n">
        <f aca="false">-I6*Assumptions!I17/100</f>
        <v>-4300.53131411836</v>
      </c>
      <c r="J12" s="4" t="n">
        <f aca="false">-J6*Assumptions!J17/100</f>
        <v>-4386.54194040073</v>
      </c>
      <c r="K12" s="4" t="n">
        <f aca="false">-K6*Assumptions!K17/100</f>
        <v>-4474.27277920874</v>
      </c>
      <c r="L12" s="4" t="n">
        <f aca="false">-L6*Assumptions!L17/100</f>
        <v>-4563.75823479292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9379.2468</v>
      </c>
      <c r="D13" s="0" t="n">
        <f aca="false">D11+D12</f>
        <v>9266.313012</v>
      </c>
      <c r="E13" s="0" t="n">
        <f aca="false">E11+E12</f>
        <v>9188.92944057</v>
      </c>
      <c r="F13" s="0" t="n">
        <f aca="false">F11+F12</f>
        <v>9412.306730838</v>
      </c>
      <c r="G13" s="0" t="n">
        <f aca="false">G11+G12</f>
        <v>9694.67593276314</v>
      </c>
      <c r="H13" s="0" t="n">
        <f aca="false">H11+H12</f>
        <v>9937.04283108222</v>
      </c>
      <c r="I13" s="0" t="n">
        <f aca="false">I11+I12</f>
        <v>10185.4689018593</v>
      </c>
      <c r="J13" s="0" t="n">
        <f aca="false">J11+J12</f>
        <v>10389.1782798965</v>
      </c>
      <c r="K13" s="0" t="n">
        <f aca="false">K11+K12</f>
        <v>10596.9618454944</v>
      </c>
      <c r="L13" s="0" t="n">
        <f aca="false">L11+L12</f>
        <v>10808.9010824043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15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7972.35978</v>
      </c>
      <c r="D15" s="0" t="n">
        <f aca="false">D13-MAX(0,D13)*D14/100</f>
        <v>7783.70293008</v>
      </c>
      <c r="E15" s="0" t="n">
        <f aca="false">E13-MAX(0,E13)*E14/100</f>
        <v>7626.8114356731</v>
      </c>
      <c r="F15" s="0" t="n">
        <f aca="false">F13-MAX(0,F13)*F14/100</f>
        <v>7812.21458659554</v>
      </c>
      <c r="G15" s="0" t="n">
        <f aca="false">G13-MAX(0,G13)*G14/100</f>
        <v>8046.58102419341</v>
      </c>
      <c r="H15" s="0" t="n">
        <f aca="false">H13-MAX(0,H13)*H14/100</f>
        <v>8247.74554979824</v>
      </c>
      <c r="I15" s="0" t="n">
        <f aca="false">I13-MAX(0,I13)*I14/100</f>
        <v>8453.9391885432</v>
      </c>
      <c r="J15" s="0" t="n">
        <f aca="false">J13-MAX(0,J13)*J14/100</f>
        <v>8623.01797231406</v>
      </c>
      <c r="K15" s="0" t="n">
        <f aca="false">K13-MAX(0,K13)*K14/100</f>
        <v>8795.47833176034</v>
      </c>
      <c r="L15" s="0" t="n">
        <f aca="false">L13-MAX(0,L13)*L14/100</f>
        <v>8971.38789839555</v>
      </c>
    </row>
    <row r="16" customFormat="false" ht="15" hidden="false" customHeight="false" outlineLevel="0" collapsed="false">
      <c r="A16" s="0" t="s">
        <v>118</v>
      </c>
      <c r="C16" s="0" t="n">
        <f aca="false">-C12</f>
        <v>3349.731</v>
      </c>
      <c r="D16" s="0" t="n">
        <f aca="false">-D12</f>
        <v>3598.089627</v>
      </c>
      <c r="E16" s="0" t="n">
        <f aca="false">-E12</f>
        <v>3807.56744775</v>
      </c>
      <c r="F16" s="0" t="n">
        <f aca="false">-F12</f>
        <v>3974.0850641316</v>
      </c>
      <c r="G16" s="0" t="n">
        <f aca="false">-G12</f>
        <v>4093.30761605555</v>
      </c>
      <c r="H16" s="0" t="n">
        <f aca="false">-H12</f>
        <v>4195.64030645694</v>
      </c>
      <c r="I16" s="0" t="n">
        <f aca="false">-I12</f>
        <v>4300.53131411836</v>
      </c>
      <c r="J16" s="0" t="n">
        <f aca="false">-J12</f>
        <v>4386.54194040073</v>
      </c>
      <c r="K16" s="0" t="n">
        <f aca="false">-K12</f>
        <v>4474.27277920874</v>
      </c>
      <c r="L16" s="0" t="n">
        <f aca="false">-L12</f>
        <v>4563.75823479292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-5742.396</v>
      </c>
      <c r="D17" s="4" t="n">
        <f aca="false">-D6*Assumptions!D18/100</f>
        <v>-5421.77889</v>
      </c>
      <c r="E17" s="4" t="n">
        <f aca="false">-E6*Assumptions!E18/100</f>
        <v>-5076.756597</v>
      </c>
      <c r="F17" s="4" t="n">
        <f aca="false">-F6*Assumptions!F18/100</f>
        <v>-4706.153365419</v>
      </c>
      <c r="G17" s="4" t="n">
        <f aca="false">-G6*Assumptions!G18/100</f>
        <v>-4578.04141269371</v>
      </c>
      <c r="H17" s="4" t="n">
        <f aca="false">-H6*Assumptions!H18/100</f>
        <v>-4416.46348048099</v>
      </c>
      <c r="I17" s="4" t="n">
        <f aca="false">-I6*Assumptions!I18/100</f>
        <v>-4526.87506749301</v>
      </c>
      <c r="J17" s="4" t="n">
        <f aca="false">-J6*Assumptions!J18/100</f>
        <v>-4617.41256884287</v>
      </c>
      <c r="K17" s="4" t="n">
        <f aca="false">-K6*Assumptions!K18/100</f>
        <v>-4709.76082021973</v>
      </c>
      <c r="L17" s="4" t="n">
        <f aca="false">-L6*Assumptions!L18/100</f>
        <v>-4803.95603662412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-140.745</v>
      </c>
      <c r="D18" s="4" t="n">
        <f aca="false">(D6-C6)*Assumptions!$B$23/100</f>
        <v>-215.33985</v>
      </c>
      <c r="E18" s="4" t="n">
        <f aca="false">(E6-D6)*Assumptions!$B$23/100</f>
        <v>-221.8000455</v>
      </c>
      <c r="F18" s="4" t="n">
        <f aca="false">(F6-E6)*Assumptions!$B$23/100</f>
        <v>-228.454046865</v>
      </c>
      <c r="G18" s="4" t="n">
        <f aca="false">(G6-F6)*Assumptions!$B$23/100</f>
        <v>-235.307668270951</v>
      </c>
      <c r="H18" s="4" t="n">
        <f aca="false">(H6-G6)*Assumptions!$B$23/100</f>
        <v>-201.972415265899</v>
      </c>
      <c r="I18" s="4" t="n">
        <f aca="false">(I6-H6)*Assumptions!$B$23/100</f>
        <v>-207.021725647545</v>
      </c>
      <c r="J18" s="4" t="n">
        <f aca="false">(J6-I6)*Assumptions!$B$23/100</f>
        <v>-169.757815030988</v>
      </c>
      <c r="K18" s="4" t="n">
        <f aca="false">(K6-J6)*Assumptions!$B$23/100</f>
        <v>-173.152971331608</v>
      </c>
      <c r="L18" s="4" t="n">
        <f aca="false">(L6-K6)*Assumptions!$B$23/100</f>
        <v>-176.61603075824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5438.94978</v>
      </c>
      <c r="D19" s="0" t="n">
        <f aca="false">D15+D16+D17+D18</f>
        <v>5744.67381708</v>
      </c>
      <c r="E19" s="0" t="n">
        <f aca="false">E15+E16+E17+E18</f>
        <v>6135.8222409231</v>
      </c>
      <c r="F19" s="0" t="n">
        <f aca="false">F15+F16+F17+F18</f>
        <v>6851.69223844314</v>
      </c>
      <c r="G19" s="0" t="n">
        <f aca="false">G15+G16+G17+G18</f>
        <v>7326.5395592843</v>
      </c>
      <c r="H19" s="0" t="n">
        <f aca="false">H15+H16+H17+H18</f>
        <v>7824.9499605083</v>
      </c>
      <c r="I19" s="0" t="n">
        <f aca="false">I15+I16+I17+I18</f>
        <v>8020.573709521</v>
      </c>
      <c r="J19" s="0" t="n">
        <f aca="false">J15+J16+J17+J18</f>
        <v>8222.38952884093</v>
      </c>
      <c r="K19" s="0" t="n">
        <f aca="false">K15+K16+K17+K18</f>
        <v>8386.83731941775</v>
      </c>
      <c r="L19" s="0" t="n">
        <f aca="false">L15+L16+L17+L18</f>
        <v>8554.5740658061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5012.85694009217</v>
      </c>
      <c r="D21" s="0" t="n">
        <f aca="false">D19*D20</f>
        <v>4879.84354484487</v>
      </c>
      <c r="E21" s="0" t="n">
        <f aca="false">E19*E20</f>
        <v>4803.78492295008</v>
      </c>
      <c r="F21" s="0" t="n">
        <f aca="false">F19*F20</f>
        <v>4944.0049229789</v>
      </c>
      <c r="G21" s="0" t="n">
        <f aca="false">G19*G20</f>
        <v>4872.4816024437</v>
      </c>
      <c r="H21" s="0" t="n">
        <f aca="false">H19*H20</f>
        <v>4796.26466239361</v>
      </c>
      <c r="I21" s="0" t="n">
        <f aca="false">I19*I20</f>
        <v>4531.03343682346</v>
      </c>
      <c r="J21" s="0" t="n">
        <f aca="false">J19*J20</f>
        <v>4281.14701489408</v>
      </c>
      <c r="K21" s="0" t="n">
        <f aca="false">K19*K20</f>
        <v>4024.67276976218</v>
      </c>
      <c r="L21" s="0" t="n">
        <f aca="false">L19*L20</f>
        <v>3783.56334115891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0.4</v>
      </c>
      <c r="D23" s="4" t="n">
        <f aca="false">Assumptions!D16</f>
        <v>0.4</v>
      </c>
      <c r="E23" s="4" t="n">
        <f aca="false">Assumptions!E16</f>
        <v>0.4</v>
      </c>
      <c r="F23" s="4" t="n">
        <f aca="false">Assumptions!F16</f>
        <v>0.4</v>
      </c>
      <c r="G23" s="4" t="n">
        <f aca="false">Assumptions!G16</f>
        <v>0.4</v>
      </c>
      <c r="H23" s="4" t="n">
        <f aca="false">Assumptions!H16</f>
        <v>0.4</v>
      </c>
      <c r="I23" s="4" t="n">
        <f aca="false">Assumptions!I16</f>
        <v>0.4</v>
      </c>
      <c r="J23" s="4" t="n">
        <f aca="false">Assumptions!J16</f>
        <v>0.4</v>
      </c>
      <c r="K23" s="4" t="n">
        <f aca="false">Assumptions!K16</f>
        <v>0.4</v>
      </c>
      <c r="L23" s="4" t="n">
        <f aca="false">Assumptions!L16</f>
        <v>0.4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-191.4132</v>
      </c>
      <c r="D24" s="0" t="n">
        <f aca="false">-D6*D23/100</f>
        <v>-197.155596</v>
      </c>
      <c r="E24" s="0" t="n">
        <f aca="false">-E6*E23/100</f>
        <v>-203.07026388</v>
      </c>
      <c r="F24" s="0" t="n">
        <f aca="false">-F6*F23/100</f>
        <v>-209.1623717964</v>
      </c>
      <c r="G24" s="0" t="n">
        <f aca="false">-G6*G23/100</f>
        <v>-215.437242950292</v>
      </c>
      <c r="H24" s="0" t="n">
        <f aca="false">-H6*H23/100</f>
        <v>-220.823174024049</v>
      </c>
      <c r="I24" s="0" t="n">
        <f aca="false">-I6*I23/100</f>
        <v>-226.343753374651</v>
      </c>
      <c r="J24" s="0" t="n">
        <f aca="false">-J6*J23/100</f>
        <v>-230.870628442144</v>
      </c>
      <c r="K24" s="0" t="n">
        <f aca="false">-K6*K23/100</f>
        <v>-235.488041010986</v>
      </c>
      <c r="L24" s="0" t="n">
        <f aca="false">-L6*L23/100</f>
        <v>-240.197801831206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45929.653158342</v>
      </c>
    </row>
    <row r="31" customFormat="false" ht="15" hidden="false" customHeight="false" outlineLevel="0" collapsed="false">
      <c r="A31" s="0" t="s">
        <v>127</v>
      </c>
      <c r="B31" s="0" t="n">
        <f aca="false">L19</f>
        <v>8554.5740658061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134241.008417265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111209.462855479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111209.462855479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49186.3234350659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95115.9765934079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96495.9765934079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43.4533317032525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-0.155426011598592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43.4533317032525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67120.5042086325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23.5169582552187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6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46915</v>
      </c>
      <c r="C6" s="0" t="n">
        <f aca="false">B6*(1+C5/100)</f>
        <v>49729.9</v>
      </c>
      <c r="D6" s="0" t="n">
        <f aca="false">C6*(1+D5/100)</f>
        <v>53210.993</v>
      </c>
      <c r="E6" s="0" t="n">
        <f aca="false">D6*(1+E5/100)</f>
        <v>56935.76251</v>
      </c>
      <c r="F6" s="0" t="n">
        <f aca="false">E6*(1+F5/100)</f>
        <v>60351.9082606</v>
      </c>
      <c r="G6" s="0" t="n">
        <f aca="false">F6*(1+G5/100)</f>
        <v>63369.50367363</v>
      </c>
      <c r="H6" s="0" t="n">
        <f aca="false">G6*(1+H5/100)</f>
        <v>66221.1313389434</v>
      </c>
      <c r="I6" s="0" t="n">
        <f aca="false">H6*(1+I5/100)</f>
        <v>68869.9765925011</v>
      </c>
      <c r="J6" s="0" t="n">
        <f aca="false">I6*(1+J5/100)</f>
        <v>71280.4257732386</v>
      </c>
      <c r="K6" s="0" t="n">
        <f aca="false">J6*(1+K5/100)</f>
        <v>73418.8385464358</v>
      </c>
      <c r="L6" s="0" t="n">
        <f aca="false">K6*(1+L5/100)</f>
        <v>75621.4037028289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30</v>
      </c>
      <c r="D7" s="4" t="n">
        <f aca="false">Assumptions!D28</f>
        <v>30.5</v>
      </c>
      <c r="E7" s="4" t="n">
        <f aca="false">Assumptions!E28</f>
        <v>30.5</v>
      </c>
      <c r="F7" s="4" t="n">
        <f aca="false">Assumptions!F28</f>
        <v>30.5</v>
      </c>
      <c r="G7" s="4" t="n">
        <f aca="false">Assumptions!G28</f>
        <v>30.5</v>
      </c>
      <c r="H7" s="4" t="n">
        <f aca="false">Assumptions!H28</f>
        <v>30.5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14918.97</v>
      </c>
      <c r="D8" s="0" t="n">
        <f aca="false">D6*D7/100</f>
        <v>16229.352865</v>
      </c>
      <c r="E8" s="0" t="n">
        <f aca="false">E6*E7/100</f>
        <v>17365.40756555</v>
      </c>
      <c r="F8" s="0" t="n">
        <f aca="false">F6*F7/100</f>
        <v>18407.332019483</v>
      </c>
      <c r="G8" s="0" t="n">
        <f aca="false">G6*G7/100</f>
        <v>19327.6986204572</v>
      </c>
      <c r="H8" s="0" t="n">
        <f aca="false">H6*H7/100</f>
        <v>20197.4450583777</v>
      </c>
      <c r="I8" s="0" t="n">
        <f aca="false">I6*I7/100</f>
        <v>20660.9929777503</v>
      </c>
      <c r="J8" s="0" t="n">
        <f aca="false">J6*J7/100</f>
        <v>21384.1277319716</v>
      </c>
      <c r="K8" s="0" t="n">
        <f aca="false">K6*K7/100</f>
        <v>22025.6515639307</v>
      </c>
      <c r="L8" s="0" t="n">
        <f aca="false">L6*L7/100</f>
        <v>22686.4211108487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14720.0504</v>
      </c>
      <c r="D11" s="0" t="n">
        <f aca="false">D8+D10+D24</f>
        <v>16016.508893</v>
      </c>
      <c r="E11" s="0" t="n">
        <f aca="false">E8+E10+E24</f>
        <v>17137.66451551</v>
      </c>
      <c r="F11" s="0" t="n">
        <f aca="false">F8+F10+F24</f>
        <v>18165.9243864406</v>
      </c>
      <c r="G11" s="0" t="n">
        <f aca="false">G8+G10+G24</f>
        <v>19074.2206057626</v>
      </c>
      <c r="H11" s="0" t="n">
        <f aca="false">H8+H10+H24</f>
        <v>19932.5605330219</v>
      </c>
      <c r="I11" s="0" t="n">
        <f aca="false">I8+I10+I24</f>
        <v>20385.5130713803</v>
      </c>
      <c r="J11" s="0" t="n">
        <f aca="false">J8+J10+J24</f>
        <v>21099.0060288786</v>
      </c>
      <c r="K11" s="0" t="n">
        <f aca="false">K8+K10+K24</f>
        <v>21731.976209745</v>
      </c>
      <c r="L11" s="0" t="n">
        <f aca="false">L8+L10+L24</f>
        <v>22383.9354960373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-3481.093</v>
      </c>
      <c r="D12" s="4" t="n">
        <f aca="false">-D6*Assumptions!D31/100</f>
        <v>-3831.191496</v>
      </c>
      <c r="E12" s="4" t="n">
        <f aca="false">-E6*Assumptions!E31/100</f>
        <v>-4213.24642574</v>
      </c>
      <c r="F12" s="4" t="n">
        <f aca="false">-F6*Assumptions!F31/100</f>
        <v>-4526.393119545</v>
      </c>
      <c r="G12" s="4" t="n">
        <f aca="false">-G6*Assumptions!G31/100</f>
        <v>-4752.71277552225</v>
      </c>
      <c r="H12" s="4" t="n">
        <f aca="false">-H6*Assumptions!H31/100</f>
        <v>-4966.58485042075</v>
      </c>
      <c r="I12" s="4" t="n">
        <f aca="false">-I6*Assumptions!I31/100</f>
        <v>-5165.24824443758</v>
      </c>
      <c r="J12" s="4" t="n">
        <f aca="false">-J6*Assumptions!J31/100</f>
        <v>-5346.0319329929</v>
      </c>
      <c r="K12" s="4" t="n">
        <f aca="false">-K6*Assumptions!K31/100</f>
        <v>-5506.41289098268</v>
      </c>
      <c r="L12" s="4" t="n">
        <f aca="false">-L6*Assumptions!L31/100</f>
        <v>-5671.60527771217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11238.9574</v>
      </c>
      <c r="D13" s="0" t="n">
        <f aca="false">D11+D12</f>
        <v>12185.317397</v>
      </c>
      <c r="E13" s="0" t="n">
        <f aca="false">E11+E12</f>
        <v>12924.41808977</v>
      </c>
      <c r="F13" s="0" t="n">
        <f aca="false">F11+F12</f>
        <v>13639.5312668956</v>
      </c>
      <c r="G13" s="0" t="n">
        <f aca="false">G11+G12</f>
        <v>14321.5078302404</v>
      </c>
      <c r="H13" s="0" t="n">
        <f aca="false">H11+H12</f>
        <v>14965.9756826012</v>
      </c>
      <c r="I13" s="0" t="n">
        <f aca="false">I11+I12</f>
        <v>15220.2648269427</v>
      </c>
      <c r="J13" s="0" t="n">
        <f aca="false">J11+J12</f>
        <v>15752.9740958857</v>
      </c>
      <c r="K13" s="0" t="n">
        <f aca="false">K11+K12</f>
        <v>16225.5633187623</v>
      </c>
      <c r="L13" s="0" t="n">
        <f aca="false">L11+L12</f>
        <v>16712.3302183252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14</v>
      </c>
      <c r="D14" s="4" t="n">
        <f aca="false">Assumptions!D33</f>
        <v>15</v>
      </c>
      <c r="E14" s="4" t="n">
        <f aca="false">Assumptions!E33</f>
        <v>16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9665.503364</v>
      </c>
      <c r="D15" s="0" t="n">
        <f aca="false">D13-MAX(0,D13)*D14/100</f>
        <v>10357.51978745</v>
      </c>
      <c r="E15" s="0" t="n">
        <f aca="false">E13-MAX(0,E13)*E14/100</f>
        <v>10856.5111954068</v>
      </c>
      <c r="F15" s="0" t="n">
        <f aca="false">F13-MAX(0,F13)*F14/100</f>
        <v>11457.2062641923</v>
      </c>
      <c r="G15" s="0" t="n">
        <f aca="false">G13-MAX(0,G13)*G14/100</f>
        <v>12030.0665774019</v>
      </c>
      <c r="H15" s="0" t="n">
        <f aca="false">H13-MAX(0,H13)*H14/100</f>
        <v>12571.419573385</v>
      </c>
      <c r="I15" s="0" t="n">
        <f aca="false">I13-MAX(0,I13)*I14/100</f>
        <v>12785.0224546319</v>
      </c>
      <c r="J15" s="0" t="n">
        <f aca="false">J13-MAX(0,J13)*J14/100</f>
        <v>13232.498240544</v>
      </c>
      <c r="K15" s="0" t="n">
        <f aca="false">K13-MAX(0,K13)*K14/100</f>
        <v>13629.4731877603</v>
      </c>
      <c r="L15" s="0" t="n">
        <f aca="false">L13-MAX(0,L13)*L14/100</f>
        <v>14038.3573833932</v>
      </c>
    </row>
    <row r="16" customFormat="false" ht="15" hidden="false" customHeight="false" outlineLevel="0" collapsed="false">
      <c r="A16" s="0" t="s">
        <v>118</v>
      </c>
      <c r="C16" s="0" t="n">
        <f aca="false">-C12</f>
        <v>3481.093</v>
      </c>
      <c r="D16" s="0" t="n">
        <f aca="false">-D12</f>
        <v>3831.191496</v>
      </c>
      <c r="E16" s="0" t="n">
        <f aca="false">-E12</f>
        <v>4213.24642574</v>
      </c>
      <c r="F16" s="0" t="n">
        <f aca="false">-F12</f>
        <v>4526.393119545</v>
      </c>
      <c r="G16" s="0" t="n">
        <f aca="false">-G12</f>
        <v>4752.71277552225</v>
      </c>
      <c r="H16" s="0" t="n">
        <f aca="false">-H12</f>
        <v>4966.58485042075</v>
      </c>
      <c r="I16" s="0" t="n">
        <f aca="false">-I12</f>
        <v>5165.24824443758</v>
      </c>
      <c r="J16" s="0" t="n">
        <f aca="false">-J12</f>
        <v>5346.0319329929</v>
      </c>
      <c r="K16" s="0" t="n">
        <f aca="false">-K12</f>
        <v>5506.41289098268</v>
      </c>
      <c r="L16" s="0" t="n">
        <f aca="false">-L12</f>
        <v>5671.60527771217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-6216.2375</v>
      </c>
      <c r="D17" s="4" t="n">
        <f aca="false">-D6*Assumptions!D32/100</f>
        <v>-6385.31916</v>
      </c>
      <c r="E17" s="4" t="n">
        <f aca="false">-E6*Assumptions!E32/100</f>
        <v>-6262.9338761</v>
      </c>
      <c r="F17" s="4" t="n">
        <f aca="false">-F6*Assumptions!F32/100</f>
        <v>-6035.19082606</v>
      </c>
      <c r="G17" s="4" t="n">
        <f aca="false">-G6*Assumptions!G32/100</f>
        <v>-6020.10284899485</v>
      </c>
      <c r="H17" s="4" t="n">
        <f aca="false">-H6*Assumptions!H32/100</f>
        <v>-5959.9018205049</v>
      </c>
      <c r="I17" s="4" t="n">
        <f aca="false">-I6*Assumptions!I32/100</f>
        <v>-5853.94801036259</v>
      </c>
      <c r="J17" s="4" t="n">
        <f aca="false">-J6*Assumptions!J32/100</f>
        <v>-6058.83619072528</v>
      </c>
      <c r="K17" s="4" t="n">
        <f aca="false">-K6*Assumptions!K32/100</f>
        <v>-6240.60127644704</v>
      </c>
      <c r="L17" s="4" t="n">
        <f aca="false">-L6*Assumptions!L32/100</f>
        <v>-6427.81931474045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-422.235</v>
      </c>
      <c r="D18" s="4" t="n">
        <f aca="false">(D6-C6)*Assumptions!$B$37/100</f>
        <v>-522.16395</v>
      </c>
      <c r="E18" s="4" t="n">
        <f aca="false">(E6-D6)*Assumptions!$B$37/100</f>
        <v>-558.715426500001</v>
      </c>
      <c r="F18" s="4" t="n">
        <f aca="false">(F6-E6)*Assumptions!$B$37/100</f>
        <v>-512.42186259</v>
      </c>
      <c r="G18" s="4" t="n">
        <f aca="false">(G6-F6)*Assumptions!$B$37/100</f>
        <v>-452.6393119545</v>
      </c>
      <c r="H18" s="4" t="n">
        <f aca="false">(H6-G6)*Assumptions!$B$37/100</f>
        <v>-427.744149797001</v>
      </c>
      <c r="I18" s="4" t="n">
        <f aca="false">(I6-H6)*Assumptions!$B$37/100</f>
        <v>-397.326788033661</v>
      </c>
      <c r="J18" s="4" t="n">
        <f aca="false">(J6-I6)*Assumptions!$B$37/100</f>
        <v>-361.56737711063</v>
      </c>
      <c r="K18" s="4" t="n">
        <f aca="false">(K6-J6)*Assumptions!$B$37/100</f>
        <v>-320.761915979575</v>
      </c>
      <c r="L18" s="4" t="n">
        <f aca="false">(L6-K6)*Assumptions!$B$37/100</f>
        <v>-330.384773458961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6508.123864</v>
      </c>
      <c r="D19" s="0" t="n">
        <f aca="false">D15+D16+D17+D18</f>
        <v>7281.22817345</v>
      </c>
      <c r="E19" s="0" t="n">
        <f aca="false">E15+E16+E17+E18</f>
        <v>8248.1083185468</v>
      </c>
      <c r="F19" s="0" t="n">
        <f aca="false">F15+F16+F17+F18</f>
        <v>9435.9866950873</v>
      </c>
      <c r="G19" s="0" t="n">
        <f aca="false">G15+G16+G17+G18</f>
        <v>10310.0371919748</v>
      </c>
      <c r="H19" s="0" t="n">
        <f aca="false">H15+H16+H17+H18</f>
        <v>11150.3584535039</v>
      </c>
      <c r="I19" s="0" t="n">
        <f aca="false">I15+I16+I17+I18</f>
        <v>11698.9959006732</v>
      </c>
      <c r="J19" s="0" t="n">
        <f aca="false">J15+J16+J17+J18</f>
        <v>12158.126605701</v>
      </c>
      <c r="K19" s="0" t="n">
        <f aca="false">K15+K16+K17+K18</f>
        <v>12574.5228863164</v>
      </c>
      <c r="L19" s="0" t="n">
        <f aca="false">L15+L16+L17+L18</f>
        <v>12951.7585729059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5998.27084239631</v>
      </c>
      <c r="D21" s="0" t="n">
        <f aca="false">D19*D20</f>
        <v>6185.07776631485</v>
      </c>
      <c r="E21" s="0" t="n">
        <f aca="false">E19*E20</f>
        <v>6457.51079932416</v>
      </c>
      <c r="F21" s="0" t="n">
        <f aca="false">F19*F20</f>
        <v>6808.76534586955</v>
      </c>
      <c r="G21" s="0" t="n">
        <f aca="false">G19*G20</f>
        <v>6856.64304845642</v>
      </c>
      <c r="H21" s="0" t="n">
        <f aca="false">H19*H20</f>
        <v>6834.55747237628</v>
      </c>
      <c r="I21" s="0" t="n">
        <f aca="false">I19*I20</f>
        <v>6609.07106187255</v>
      </c>
      <c r="J21" s="0" t="n">
        <f aca="false">J19*J20</f>
        <v>6330.36506506138</v>
      </c>
      <c r="K21" s="0" t="n">
        <f aca="false">K19*K20</f>
        <v>6034.25795992695</v>
      </c>
      <c r="L21" s="0" t="n">
        <f aca="false">L19*L20</f>
        <v>5728.37391587536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0.4</v>
      </c>
      <c r="D23" s="4" t="n">
        <f aca="false">Assumptions!D30</f>
        <v>0.4</v>
      </c>
      <c r="E23" s="4" t="n">
        <f aca="false">Assumptions!E30</f>
        <v>0.4</v>
      </c>
      <c r="F23" s="4" t="n">
        <f aca="false">Assumptions!F30</f>
        <v>0.4</v>
      </c>
      <c r="G23" s="4" t="n">
        <f aca="false">Assumptions!G30</f>
        <v>0.4</v>
      </c>
      <c r="H23" s="4" t="n">
        <f aca="false">Assumptions!H30</f>
        <v>0.4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-198.9196</v>
      </c>
      <c r="D24" s="0" t="n">
        <f aca="false">-D6*D23/100</f>
        <v>-212.843972</v>
      </c>
      <c r="E24" s="0" t="n">
        <f aca="false">-E6*E23/100</f>
        <v>-227.74305004</v>
      </c>
      <c r="F24" s="0" t="n">
        <f aca="false">-F6*F23/100</f>
        <v>-241.4076330424</v>
      </c>
      <c r="G24" s="0" t="n">
        <f aca="false">-G6*G23/100</f>
        <v>-253.47801469452</v>
      </c>
      <c r="H24" s="0" t="n">
        <f aca="false">-H6*H23/100</f>
        <v>-264.884525355773</v>
      </c>
      <c r="I24" s="0" t="n">
        <f aca="false">-I6*I23/100</f>
        <v>-275.479906370004</v>
      </c>
      <c r="J24" s="0" t="n">
        <f aca="false">-J6*J23/100</f>
        <v>-285.121703092955</v>
      </c>
      <c r="K24" s="0" t="n">
        <f aca="false">-K6*K23/100</f>
        <v>-293.675354185743</v>
      </c>
      <c r="L24" s="0" t="n">
        <f aca="false">-L6*L23/100</f>
        <v>-302.485614811316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63842.8932774738</v>
      </c>
    </row>
    <row r="31" customFormat="false" ht="15" hidden="false" customHeight="false" outlineLevel="0" collapsed="false">
      <c r="A31" s="0" t="s">
        <v>127</v>
      </c>
      <c r="B31" s="0" t="n">
        <f aca="false">L19</f>
        <v>12951.7585729059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221259.208953809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194276.378593589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194276.378593589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85925.6087381303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149768.502015604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151148.502015604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68.0640398325422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0.322916226094114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68.0640398325422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106204.420297828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33.6430083163402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46915</v>
      </c>
      <c r="C6" s="0" t="n">
        <f aca="false">B6*(1+C5/100)</f>
        <v>51137.35</v>
      </c>
      <c r="D6" s="0" t="n">
        <f aca="false">C6*(1+D5/100)</f>
        <v>56251.085</v>
      </c>
      <c r="E6" s="0" t="n">
        <f aca="false">D6*(1+E5/100)</f>
        <v>61876.1935</v>
      </c>
      <c r="F6" s="0" t="n">
        <f aca="false">E6*(1+F5/100)</f>
        <v>67445.050915</v>
      </c>
      <c r="G6" s="0" t="n">
        <f aca="false">F6*(1+G5/100)</f>
        <v>72840.6549882</v>
      </c>
      <c r="H6" s="0" t="n">
        <f aca="false">G6*(1+H5/100)</f>
        <v>77939.500837374</v>
      </c>
      <c r="I6" s="0" t="n">
        <f aca="false">H6*(1+I5/100)</f>
        <v>82615.8708876165</v>
      </c>
      <c r="J6" s="0" t="n">
        <f aca="false">I6*(1+J5/100)</f>
        <v>86746.6644319973</v>
      </c>
      <c r="K6" s="0" t="n">
        <f aca="false">J6*(1+K5/100)</f>
        <v>90216.5310092772</v>
      </c>
      <c r="L6" s="0" t="n">
        <f aca="false">K6*(1+L5/100)</f>
        <v>93374.1095946019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31</v>
      </c>
      <c r="D7" s="4" t="n">
        <f aca="false">Assumptions!D42</f>
        <v>32</v>
      </c>
      <c r="E7" s="4" t="n">
        <f aca="false">Assumptions!E42</f>
        <v>32.5</v>
      </c>
      <c r="F7" s="4" t="n">
        <f aca="false">Assumptions!F42</f>
        <v>33</v>
      </c>
      <c r="G7" s="4" t="n">
        <f aca="false">Assumptions!G42</f>
        <v>33</v>
      </c>
      <c r="H7" s="4" t="n">
        <f aca="false">Assumptions!H42</f>
        <v>33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15852.5785</v>
      </c>
      <c r="D8" s="0" t="n">
        <f aca="false">D6*D7/100</f>
        <v>18000.3472</v>
      </c>
      <c r="E8" s="0" t="n">
        <f aca="false">E6*E7/100</f>
        <v>20109.7628875</v>
      </c>
      <c r="F8" s="0" t="n">
        <f aca="false">F6*F7/100</f>
        <v>22256.86680195</v>
      </c>
      <c r="G8" s="0" t="n">
        <f aca="false">G6*G7/100</f>
        <v>24037.416146106</v>
      </c>
      <c r="H8" s="0" t="n">
        <f aca="false">H6*H7/100</f>
        <v>25720.0352763334</v>
      </c>
      <c r="I8" s="0" t="n">
        <f aca="false">I6*I7/100</f>
        <v>27263.2373929134</v>
      </c>
      <c r="J8" s="0" t="n">
        <f aca="false">J6*J7/100</f>
        <v>28626.3992625591</v>
      </c>
      <c r="K8" s="0" t="n">
        <f aca="false">K6*K7/100</f>
        <v>29771.4552330615</v>
      </c>
      <c r="L8" s="0" t="n">
        <f aca="false">L6*L7/100</f>
        <v>30813.4561662186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15648.0291</v>
      </c>
      <c r="D11" s="0" t="n">
        <f aca="false">D8+D10+D24</f>
        <v>17775.34286</v>
      </c>
      <c r="E11" s="0" t="n">
        <f aca="false">E8+E10+E24</f>
        <v>19862.2581135</v>
      </c>
      <c r="F11" s="0" t="n">
        <f aca="false">F8+F10+F24</f>
        <v>21987.08659829</v>
      </c>
      <c r="G11" s="0" t="n">
        <f aca="false">G8+G10+G24</f>
        <v>23746.0535261532</v>
      </c>
      <c r="H11" s="0" t="n">
        <f aca="false">H8+H10+H24</f>
        <v>25408.2772729839</v>
      </c>
      <c r="I11" s="0" t="n">
        <f aca="false">I8+I10+I24</f>
        <v>26932.773909363</v>
      </c>
      <c r="J11" s="0" t="n">
        <f aca="false">J8+J10+J24</f>
        <v>28279.4126048311</v>
      </c>
      <c r="K11" s="0" t="n">
        <f aca="false">K8+K10+K24</f>
        <v>29410.5891090244</v>
      </c>
      <c r="L11" s="0" t="n">
        <f aca="false">L8+L10+L24</f>
        <v>30439.9597278402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-3579.6145</v>
      </c>
      <c r="D12" s="4" t="n">
        <f aca="false">-D6*Assumptions!D45/100</f>
        <v>-4050.07812</v>
      </c>
      <c r="E12" s="4" t="n">
        <f aca="false">-E6*Assumptions!E45/100</f>
        <v>-4578.838319</v>
      </c>
      <c r="F12" s="4" t="n">
        <f aca="false">-F6*Assumptions!F45/100</f>
        <v>-5058.378818625</v>
      </c>
      <c r="G12" s="4" t="n">
        <f aca="false">-G6*Assumptions!G45/100</f>
        <v>-5463.049124115</v>
      </c>
      <c r="H12" s="4" t="n">
        <f aca="false">-H6*Assumptions!H45/100</f>
        <v>-5845.46256280305</v>
      </c>
      <c r="I12" s="4" t="n">
        <f aca="false">-I6*Assumptions!I45/100</f>
        <v>-6196.19031657124</v>
      </c>
      <c r="J12" s="4" t="n">
        <f aca="false">-J6*Assumptions!J45/100</f>
        <v>-6505.9998323998</v>
      </c>
      <c r="K12" s="4" t="n">
        <f aca="false">-K6*Assumptions!K45/100</f>
        <v>-6766.23982569579</v>
      </c>
      <c r="L12" s="4" t="n">
        <f aca="false">-L6*Assumptions!L45/100</f>
        <v>-7003.05821959514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12068.4146</v>
      </c>
      <c r="D13" s="0" t="n">
        <f aca="false">D11+D12</f>
        <v>13725.26474</v>
      </c>
      <c r="E13" s="0" t="n">
        <f aca="false">E11+E12</f>
        <v>15283.4197945</v>
      </c>
      <c r="F13" s="0" t="n">
        <f aca="false">F11+F12</f>
        <v>16928.707779665</v>
      </c>
      <c r="G13" s="0" t="n">
        <f aca="false">G11+G12</f>
        <v>18283.0044020382</v>
      </c>
      <c r="H13" s="0" t="n">
        <f aca="false">H11+H12</f>
        <v>19562.8147101809</v>
      </c>
      <c r="I13" s="0" t="n">
        <f aca="false">I11+I12</f>
        <v>20736.5835927917</v>
      </c>
      <c r="J13" s="0" t="n">
        <f aca="false">J11+J12</f>
        <v>21773.4127724313</v>
      </c>
      <c r="K13" s="0" t="n">
        <f aca="false">K11+K12</f>
        <v>22644.3492833286</v>
      </c>
      <c r="L13" s="0" t="n">
        <f aca="false">L11+L12</f>
        <v>23436.9015082451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14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10378.836556</v>
      </c>
      <c r="D15" s="0" t="n">
        <f aca="false">D13-MAX(0,D13)*D14/100</f>
        <v>11666.475029</v>
      </c>
      <c r="E15" s="0" t="n">
        <f aca="false">E13-MAX(0,E13)*E14/100</f>
        <v>12838.07262738</v>
      </c>
      <c r="F15" s="0" t="n">
        <f aca="false">F13-MAX(0,F13)*F14/100</f>
        <v>14220.1145349186</v>
      </c>
      <c r="G15" s="0" t="n">
        <f aca="false">G13-MAX(0,G13)*G14/100</f>
        <v>15357.7236977121</v>
      </c>
      <c r="H15" s="0" t="n">
        <f aca="false">H13-MAX(0,H13)*H14/100</f>
        <v>16432.7643565519</v>
      </c>
      <c r="I15" s="0" t="n">
        <f aca="false">I13-MAX(0,I13)*I14/100</f>
        <v>17418.7302179451</v>
      </c>
      <c r="J15" s="0" t="n">
        <f aca="false">J13-MAX(0,J13)*J14/100</f>
        <v>18289.6667288423</v>
      </c>
      <c r="K15" s="0" t="n">
        <f aca="false">K13-MAX(0,K13)*K14/100</f>
        <v>19021.253397996</v>
      </c>
      <c r="L15" s="0" t="n">
        <f aca="false">L13-MAX(0,L13)*L14/100</f>
        <v>19686.9972669259</v>
      </c>
    </row>
    <row r="16" customFormat="false" ht="15" hidden="false" customHeight="false" outlineLevel="0" collapsed="false">
      <c r="A16" s="0" t="s">
        <v>118</v>
      </c>
      <c r="C16" s="0" t="n">
        <f aca="false">-C12</f>
        <v>3579.6145</v>
      </c>
      <c r="D16" s="0" t="n">
        <f aca="false">-D12</f>
        <v>4050.07812</v>
      </c>
      <c r="E16" s="0" t="n">
        <f aca="false">-E12</f>
        <v>4578.838319</v>
      </c>
      <c r="F16" s="0" t="n">
        <f aca="false">-F12</f>
        <v>5058.378818625</v>
      </c>
      <c r="G16" s="0" t="n">
        <f aca="false">-G12</f>
        <v>5463.049124115</v>
      </c>
      <c r="H16" s="0" t="n">
        <f aca="false">-H12</f>
        <v>5845.46256280305</v>
      </c>
      <c r="I16" s="0" t="n">
        <f aca="false">-I12</f>
        <v>6196.19031657124</v>
      </c>
      <c r="J16" s="0" t="n">
        <f aca="false">-J12</f>
        <v>6505.9998323998</v>
      </c>
      <c r="K16" s="0" t="n">
        <f aca="false">-K12</f>
        <v>6766.23982569579</v>
      </c>
      <c r="L16" s="0" t="n">
        <f aca="false">-L12</f>
        <v>7003.05821959514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-6392.16875</v>
      </c>
      <c r="D17" s="4" t="n">
        <f aca="false">-D6*Assumptions!D46/100</f>
        <v>-6750.1302</v>
      </c>
      <c r="E17" s="4" t="n">
        <f aca="false">-E6*Assumptions!E46/100</f>
        <v>-7115.7622525</v>
      </c>
      <c r="F17" s="4" t="n">
        <f aca="false">-F6*Assumptions!F46/100</f>
        <v>-7081.730346075</v>
      </c>
      <c r="G17" s="4" t="n">
        <f aca="false">-G6*Assumptions!G46/100</f>
        <v>-7284.06549882</v>
      </c>
      <c r="H17" s="4" t="n">
        <f aca="false">-H6*Assumptions!H46/100</f>
        <v>-7404.25257955053</v>
      </c>
      <c r="I17" s="4" t="n">
        <f aca="false">-I6*Assumptions!I46/100</f>
        <v>-7435.42837988549</v>
      </c>
      <c r="J17" s="4" t="n">
        <f aca="false">-J6*Assumptions!J46/100</f>
        <v>-7807.19979887976</v>
      </c>
      <c r="K17" s="4" t="n">
        <f aca="false">-K6*Assumptions!K46/100</f>
        <v>-8119.48779083495</v>
      </c>
      <c r="L17" s="4" t="n">
        <f aca="false">-L6*Assumptions!L46/100</f>
        <v>-8403.66986351417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-633.352500000001</v>
      </c>
      <c r="D18" s="4" t="n">
        <f aca="false">(D6-C6)*Assumptions!$B$51/100</f>
        <v>-767.060250000001</v>
      </c>
      <c r="E18" s="4" t="n">
        <f aca="false">(E6-D6)*Assumptions!$B$51/100</f>
        <v>-843.766275000001</v>
      </c>
      <c r="F18" s="4" t="n">
        <f aca="false">(F6-E6)*Assumptions!$B$51/100</f>
        <v>-835.328612250001</v>
      </c>
      <c r="G18" s="4" t="n">
        <f aca="false">(G6-F6)*Assumptions!$B$51/100</f>
        <v>-809.340610980002</v>
      </c>
      <c r="H18" s="4" t="n">
        <f aca="false">(H6-G6)*Assumptions!$B$51/100</f>
        <v>-764.8268773761</v>
      </c>
      <c r="I18" s="4" t="n">
        <f aca="false">(I6-H6)*Assumptions!$B$51/100</f>
        <v>-701.455507536367</v>
      </c>
      <c r="J18" s="4" t="n">
        <f aca="false">(J6-I6)*Assumptions!$B$51/100</f>
        <v>-619.619031657124</v>
      </c>
      <c r="K18" s="4" t="n">
        <f aca="false">(K6-J6)*Assumptions!$B$51/100</f>
        <v>-520.479986591985</v>
      </c>
      <c r="L18" s="4" t="n">
        <f aca="false">(L6-K6)*Assumptions!$B$51/100</f>
        <v>-473.636787798704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6932.929806</v>
      </c>
      <c r="D19" s="0" t="n">
        <f aca="false">D15+D16+D17+D18</f>
        <v>8199.362699</v>
      </c>
      <c r="E19" s="0" t="n">
        <f aca="false">E15+E16+E17+E18</f>
        <v>9457.38241888</v>
      </c>
      <c r="F19" s="0" t="n">
        <f aca="false">F15+F16+F17+F18</f>
        <v>11361.4343952186</v>
      </c>
      <c r="G19" s="0" t="n">
        <f aca="false">G15+G16+G17+G18</f>
        <v>12727.3667120271</v>
      </c>
      <c r="H19" s="0" t="n">
        <f aca="false">H15+H16+H17+H18</f>
        <v>14109.1474624284</v>
      </c>
      <c r="I19" s="0" t="n">
        <f aca="false">I15+I16+I17+I18</f>
        <v>15478.0366470944</v>
      </c>
      <c r="J19" s="0" t="n">
        <f aca="false">J15+J16+J17+J18</f>
        <v>16368.8477307052</v>
      </c>
      <c r="K19" s="0" t="n">
        <f aca="false">K15+K16+K17+K18</f>
        <v>17147.5254462649</v>
      </c>
      <c r="L19" s="0" t="n">
        <f aca="false">L15+L16+L17+L18</f>
        <v>17812.7488352081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6389.7970562212</v>
      </c>
      <c r="D21" s="0" t="n">
        <f aca="false">D19*D20</f>
        <v>6964.99199303447</v>
      </c>
      <c r="E21" s="0" t="n">
        <f aca="false">E19*E20</f>
        <v>7404.26128569755</v>
      </c>
      <c r="F21" s="0" t="n">
        <f aca="false">F19*F20</f>
        <v>8198.11889198717</v>
      </c>
      <c r="G21" s="0" t="n">
        <f aca="false">G19*G20</f>
        <v>8464.27698234721</v>
      </c>
      <c r="H21" s="0" t="n">
        <f aca="false">H19*H20</f>
        <v>8648.13266948354</v>
      </c>
      <c r="I21" s="0" t="n">
        <f aca="false">I19*I20</f>
        <v>8743.95076016977</v>
      </c>
      <c r="J21" s="0" t="n">
        <f aca="false">J19*J20</f>
        <v>8522.75890770683</v>
      </c>
      <c r="K21" s="0" t="n">
        <f aca="false">K19*K20</f>
        <v>8228.74894360982</v>
      </c>
      <c r="L21" s="0" t="n">
        <f aca="false">L19*L20</f>
        <v>7878.31901152801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0.4</v>
      </c>
      <c r="D23" s="4" t="n">
        <f aca="false">Assumptions!D44</f>
        <v>0.4</v>
      </c>
      <c r="E23" s="4" t="n">
        <f aca="false">Assumptions!E44</f>
        <v>0.4</v>
      </c>
      <c r="F23" s="4" t="n">
        <f aca="false">Assumptions!F44</f>
        <v>0.4</v>
      </c>
      <c r="G23" s="4" t="n">
        <f aca="false">Assumptions!G44</f>
        <v>0.4</v>
      </c>
      <c r="H23" s="4" t="n">
        <f aca="false">Assumptions!H44</f>
        <v>0.4</v>
      </c>
      <c r="I23" s="4" t="n">
        <f aca="false">Assumptions!I44</f>
        <v>0.4</v>
      </c>
      <c r="J23" s="4" t="n">
        <f aca="false">Assumptions!J44</f>
        <v>0.4</v>
      </c>
      <c r="K23" s="4" t="n">
        <f aca="false">Assumptions!K44</f>
        <v>0.4</v>
      </c>
      <c r="L23" s="4" t="n">
        <f aca="false">Assumptions!L44</f>
        <v>0.4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-204.5494</v>
      </c>
      <c r="D24" s="0" t="n">
        <f aca="false">-D6*D23/100</f>
        <v>-225.00434</v>
      </c>
      <c r="E24" s="0" t="n">
        <f aca="false">-E6*E23/100</f>
        <v>-247.504774</v>
      </c>
      <c r="F24" s="0" t="n">
        <f aca="false">-F6*F23/100</f>
        <v>-269.78020366</v>
      </c>
      <c r="G24" s="0" t="n">
        <f aca="false">-G6*G23/100</f>
        <v>-291.3626199528</v>
      </c>
      <c r="H24" s="0" t="n">
        <f aca="false">-H6*H23/100</f>
        <v>-311.758003349496</v>
      </c>
      <c r="I24" s="0" t="n">
        <f aca="false">-I6*I23/100</f>
        <v>-330.463483550466</v>
      </c>
      <c r="J24" s="0" t="n">
        <f aca="false">-J6*J23/100</f>
        <v>-346.986657727989</v>
      </c>
      <c r="K24" s="0" t="n">
        <f aca="false">-K6*K23/100</f>
        <v>-360.866124037109</v>
      </c>
      <c r="L24" s="0" t="n">
        <f aca="false">-L6*L23/100</f>
        <v>-373.496438378408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79443.3565017856</v>
      </c>
    </row>
    <row r="31" customFormat="false" ht="15" hidden="false" customHeight="false" outlineLevel="0" collapsed="false">
      <c r="A31" s="0" t="s">
        <v>127</v>
      </c>
      <c r="B31" s="0" t="n">
        <f aca="false">L19</f>
        <v>17812.7488352081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333584.205459352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267191.232528122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267191.232528122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118174.78517292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197618.141674706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198998.141674706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89.6113243659585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0.741716702934082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89.6113243659585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152892.760835537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43.6759476331056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43.4533317032525</v>
      </c>
      <c r="C4" s="0" t="n">
        <f aca="false">B4/Assumptions!$B$2-1</f>
        <v>-0.155426011598592</v>
      </c>
      <c r="D4" s="4" t="n">
        <f aca="false">Assumptions!$B$24</f>
        <v>0.2</v>
      </c>
      <c r="E4" s="4" t="n">
        <f aca="false">DCF_Bear!$B$43</f>
        <v>43.4533317032525</v>
      </c>
      <c r="F4" s="4" t="n">
        <f aca="false">DCF_Bear!$B$47</f>
        <v>23.5169582552187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68.0640398325422</v>
      </c>
      <c r="C5" s="0" t="n">
        <f aca="false">B5/Assumptions!$B$2-1</f>
        <v>0.322916226094114</v>
      </c>
      <c r="D5" s="4" t="n">
        <f aca="false">Assumptions!$B$38</f>
        <v>0.55</v>
      </c>
      <c r="E5" s="4" t="n">
        <f aca="false">DCF_Base!$B$43</f>
        <v>68.0640398325422</v>
      </c>
      <c r="F5" s="4" t="n">
        <f aca="false">DCF_Base!$B$47</f>
        <v>33.6430083163402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89.6113243659585</v>
      </c>
      <c r="C6" s="0" t="n">
        <f aca="false">B6/Assumptions!$B$2-1</f>
        <v>0.741716702934082</v>
      </c>
      <c r="D6" s="4" t="n">
        <f aca="false">Assumptions!$B$52</f>
        <v>0.25</v>
      </c>
      <c r="E6" s="4" t="n">
        <f aca="false">DCF_Bull!$B$43</f>
        <v>89.6113243659585</v>
      </c>
      <c r="F6" s="4" t="n">
        <f aca="false">DCF_Bull!$B$47</f>
        <v>43.6759476331056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68.5287193400383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68.5287193400383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0.249219881890599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34.1260331333073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68.0640398325422</v>
      </c>
      <c r="C15" s="3" t="n">
        <v>8.5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65.6145397637971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58.0440224408923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50.8278465107077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45.149568224799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33.6430083163402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79.0951211436418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79.0951211436418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79.0951211436418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79.0951211436418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79.0951211436418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73.3196743830101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73.3196743830101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73.3196743830101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73.3196743830101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73.3196743830101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66.7742610216824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68.0640398325422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68.0640398325422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68.0640398325422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68.0640398325422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57.8334969290606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59.9810024881289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62.4352945556355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63.2758055376583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63.2758055376583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50.9095741162117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52.4615704190626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54.2075662597697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56.1863615459045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58.4478418729158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2026-10-22T10:21:29Z</dcterms:created>
  <dc:creator>openpyxl</dc:creator>
  <dc:description/>
  <dc:language>en-NZ</dc:language>
  <cp:lastModifiedBy/>
  <dcterms:modified xsi:type="dcterms:W3CDTF">2026-10-22T10:21:29Z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