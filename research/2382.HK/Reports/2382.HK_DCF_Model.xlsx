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<sst xmlns="http://schemas.openxmlformats.org/spreadsheetml/2006/main" count="367" uniqueCount="173">
  <si>
    <t xml:space="preserve">Ticker</t>
  </si>
  <si>
    <t xml:space="preserve">2382.HK</t>
  </si>
  <si>
    <t xml:space="preserve">Company</t>
  </si>
  <si>
    <t xml:space="preserve">Sunny Optical Technology (Group) Company Limited</t>
  </si>
  <si>
    <t xml:space="preserve">Valuation date</t>
  </si>
  <si>
    <t xml:space="preserve">2026-10-18</t>
  </si>
  <si>
    <t xml:space="preserve">Current price</t>
  </si>
  <si>
    <t xml:space="preserve">Price as of</t>
  </si>
  <si>
    <t xml:space="preserve">2026-10-16T08:08:14Z regular close (HKEX), Yahoo Finance chart API</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</si>
  <si>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</si>
  <si>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</si>
  <si>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</si>
  <si>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</si>
  <si>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</si>
  <si>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</si>
  <si>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</si>
  <si>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</si>
  <si>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</si>
  <si>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</si>
  <si>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</si>
  <si>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</si>
  <si>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</si>
  <si>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2026-10-18T03:44:20Z</t>
  </si>
  <si>
    <t xml:space="preserve">Drivers file</t>
  </si>
  <si>
    <t xml:space="preserve">2382.HK_Drivers.json</t>
  </si>
  <si>
    <t xml:space="preserve">Convention</t>
  </si>
  <si>
    <t xml:space="preserve">Percents stored as percents; formulas divide by 100. Blue = input, green = link, black = formula.</t>
  </si>
  <si>
    <t xml:space="preserve">Methodology</t>
  </si>
  <si>
    <t xml:space="preserve">summary: A mid-cycle owner-FCF valuation of a cyclical Chinese optics manufacturer. The headline rests on three judgments: (1) the RMB20.7bn liquidity pile (mostly bank wealth-management products) counts as net cash less a RMB3bn operating float, worth ~RMB10.8/share; (2) the RMB919m Goertek share-swap gain is excluded from the margin base (it never entered FCF); (3) margins normalise at ~16.5% pre-SBC rather than the 19-20% FY2020-21 peak. SBC is small (0.5% of revenue) so house and street values sit close together.
key_risks_to_valuation: Cash treatment: counting the full RMB20.7bn with no operating float adds ~RMB2.8/share (~HK$3.3); treating all WMPs as operating subtracts ~RMB12/share.; PRC repatriation: dividend withholding on moving the cash pile to the Cayman parent (5-10%) is not haircut.; Terminal value is capped at 12x FCF in the base; cyclical hardware peers have traded below that at troughs.; Vehicle spin-off (Sunny Smart Autotech) could move more profit to NCI than the 6% leakage assumed.; Associates carried at book (Goertek Optical stake marked at swap-date fair value Dec-2025); no market check.</t>
  </si>
  <si>
    <t xml:space="preserve">Data sources</t>
  </si>
  <si>
    <t xml:space="preserve">price: Yahoo Finance chart API at inputs.price_as_of; 52-week range HK$51.5-87.6.
fx: Yahoo Finance CNYHKD=X, see inputs.fx_note.
financials: 2382.HK_Metrics.csv / core_metrics and kpis (FY2016-H1 FY2026); FY2025 Annual Report consolidated cash flow statement; H1 2026 Interim Report balance sheet (30-Jun-2026), EPS note 8 and share repurchase disclosure.
qualitative: 2382.HK_Analysis.json (2026-10-18).</t>
  </si>
  <si>
    <t xml:space="preserve">Scenario narrative: bear</t>
  </si>
  <si>
    <t xml:space="preserve">The 2026 smartphone volume decline deepens and Android OEMs squeeze component pricing to absorb memory-cost inflation; a top customer re-sources modules to Q Technology/OFILM or in-house, handset gross margin compresses from ~14.7%, and US export controls on advanced optics/LiDAR cap the vehicle and XR upside. FY2027 revenue stalls (+1%), EBITDA margin falls back to the FY2023-24 trough range (~14%), and the vehicle spin-off moves a larger share of the growth engine's profit to minority holders (leakage rising to ~23%).</t>
  </si>
  <si>
    <t xml:space="preserve">Scenario narrative: base</t>
  </si>
  <si>
    <t xml:space="preserve">Handset (63% of revenue) is flat-to-low-single-digit: global smartphone units decline in 2026 on memory-chip-driven price rises, but Sunny keeps its No.1 lens-set and module share and premiumisation (periscope, 200MP, large aperture) lifts ASP enough to hold handset revenue roughly level. Growth comes from vehicle optics (ADAS camera count, L3 rollout in China, LiDAR optics) and Pan-IoT/robotics, with AI-glasses XR growth offset by the MR decline. Revenue +9% in FY2026 decaying to ~3.5%; pre-SBC EBITDA margin settles at a mid-cycle 16.5%; capex eases from the overseas-capacity build to 6% of revenue; the vehicle spin-off IPO lifts NCI leakage modestly.</t>
  </si>
  <si>
    <t xml:space="preserve">Scenario narrative: bull</t>
  </si>
  <si>
    <t xml:space="preserve">Vehicle optics becomes a second core business: China L3 approvals and camera/LiDAR content per vehicle compound vehicle revenue at 20%+, AI/AR glasses scale into a real category where the Goertek Optical tie-up gives Sunny the leading lens and optical-engine supply, and robotics vision (lawn mowers, AMR, humanoids) adds a third leg. Handset premiumisation continues and domestic substitution favours the scaled Chinese champion. Revenue grows 12% for two years and stays high-single-digit to year 5; mix lifts EBITDA margin toward the FY2020-21 range (18%).</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</si>
  <si>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</si>
  <si>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</si>
  <si>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</si>
  <si>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</si>
  <si>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</si>
  <si>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</si>
  <si>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</si>
  <si>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</si>
  <si>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</si>
  <si>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</si>
  <si>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</si>
  <si>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</si>
  <si>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</si>
  <si>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</si>
  <si>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</si>
  <si>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</si>
  <si>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</si>
  <si>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</si>
  <si>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</si>
  <si>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</si>
  <si>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</si>
  <si>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</si>
  <si>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</si>
  <si>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</si>
  <si>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</si>
  <si>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</si>
  <si>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</si>
  <si>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</si>
  <si>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EPSBasic</t>
  </si>
  <si>
    <t xml:space="preserve">NetIncomeInclNCI</t>
  </si>
  <si>
    <t xml:space="preserve">ResearchAndDevelopment</t>
  </si>
  <si>
    <t xml:space="preserve">ShareAwardSchemePurchases</t>
  </si>
  <si>
    <t xml:space="preserve">ShortTermInvestments</t>
  </si>
  <si>
    <t xml:space="preserve">TotalEquityInclNCI</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</si>
  <si>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</si>
  <si>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</si>
  <si>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</si>
  <si>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</si>
  <si>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</si>
  <si>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</si>
  <si>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</si>
  <si>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</si>
  <si>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</si>
  <si>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</si>
  <si>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</si>
  <si>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</si>
  <si>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</si>
  <si>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</si>
  <si>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</si>
  <si>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</si>
  <si>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</si>
  <si>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</si>
  <si>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</si>
  <si>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</si>
  <si>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</si>
  <si>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</si>
  <si>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</si>
  <si>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</si>
  <si>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</si>
  <si>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</si>
  <si>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</si>
  <si>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</si>
  <si>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</si>
  <si>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</si>
  <si>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</si>
  <si>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</si>
  <si>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</si>
  <si>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</si>
  <si>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</si>
  <si>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</si>
  <si>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</si>
  <si>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</si>
  <si>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</si>
  <si>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</si>
  <si>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</si>
  <si>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</si>
  <si>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</si>
  <si>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</si>
  <si>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</si>
  <si>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</si>
  <si>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</si>
  <si>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2382.HK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</si>
  <si>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</si>
  <si>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</si>
  <si>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</si>
  <si>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</si>
  <si>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</si>
  <si>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</si>
  <si>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</si>
  <si>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</si>
  <si>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</si>
  <si>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</si>
  <si>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</si>
  <si>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</si>
  <si>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</si>
  <si>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</si>
  <si>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</si>
  <si>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</si>
  <si>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</si>
  <si>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</si>
  <si>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</si>
  <si>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</si>
  <si>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</si>
  <si>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</si>
  <si>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</si>
  <si>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</si>
  <si>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</si>
  <si>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</si>
  <si>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</si>
  <si>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</si>
  <si>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</si>
  <si>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</si>
  <si>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2382.HK owner-FCF component DCF: base case (millions, CNY)</t>
  </si>
  <si>
    <t xml:space="preserve">2382.HK owner-FCF component DCF: bull case (millions, CNY)</t>
  </si>
  <si>
    <t xml:space="preserve">2382.HK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</si>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</sst>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57.7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14611.8</v>
      </c>
      <c r="C2" s="0" t="n">
        <v>11931.7</v>
      </c>
      <c r="D2" s="0" t="n">
        <v>2680.1</v>
      </c>
      <c r="E2" s="0" t="n">
        <v>18.3</v>
      </c>
      <c r="I2" s="0" t="n">
        <v>1270.8</v>
      </c>
      <c r="J2" s="0" t="n">
        <v>8.7</v>
      </c>
      <c r="O2" s="0" t="n">
        <v>4895.3</v>
      </c>
      <c r="P2" s="0" t="n">
        <v>11636.6</v>
      </c>
      <c r="Q2" s="0" t="n">
        <v>6723.3</v>
      </c>
      <c r="R2" s="0" t="n">
        <v>904.3</v>
      </c>
      <c r="AA2" s="0" t="s">
        <v>18</v>
      </c>
      <c r="AB2" s="0" t="s">
        <v>14</v>
      </c>
      <c r="AD2" s="0" t="n">
        <v>1.18</v>
      </c>
      <c r="AE2" s="0" t="n">
        <v>1271.6</v>
      </c>
      <c r="AI2" s="0" t="n">
        <v>4913.3</v>
      </c>
    </row>
    <row r="3" customFormat="false" ht="15" hidden="false" customHeight="false" outlineLevel="0" collapsed="false">
      <c r="A3" s="0" t="s">
        <v>72</v>
      </c>
      <c r="B3" s="0" t="n">
        <v>22366.3</v>
      </c>
      <c r="C3" s="0" t="n">
        <v>17563.5</v>
      </c>
      <c r="D3" s="0" t="n">
        <v>4802.8</v>
      </c>
      <c r="E3" s="0" t="n">
        <v>21.5</v>
      </c>
      <c r="I3" s="0" t="n">
        <v>2901.554</v>
      </c>
      <c r="J3" s="0" t="n">
        <v>13</v>
      </c>
      <c r="K3" s="0" t="n">
        <v>2.6561</v>
      </c>
      <c r="L3" s="0" t="n">
        <v>2436.276</v>
      </c>
      <c r="M3" s="0" t="n">
        <v>1762.008</v>
      </c>
      <c r="N3" s="0" t="n">
        <v>674.268</v>
      </c>
      <c r="O3" s="0" t="n">
        <v>7488.5</v>
      </c>
      <c r="P3" s="0" t="n">
        <v>15726.3</v>
      </c>
      <c r="Q3" s="0" t="n">
        <v>8207.1</v>
      </c>
      <c r="R3" s="0" t="n">
        <v>1347.881</v>
      </c>
      <c r="S3" s="0" t="n">
        <v>1226.877</v>
      </c>
      <c r="T3" s="0" t="n">
        <v>1092.41</v>
      </c>
      <c r="U3" s="0" t="n">
        <v>89.158</v>
      </c>
      <c r="AA3" s="0" t="s">
        <v>18</v>
      </c>
      <c r="AB3" s="0" t="s">
        <v>14</v>
      </c>
      <c r="AC3" s="0" t="n">
        <v>1141.79</v>
      </c>
      <c r="AE3" s="0" t="n">
        <v>2914.1</v>
      </c>
      <c r="AG3" s="0" t="n">
        <v>80.518</v>
      </c>
      <c r="AI3" s="0" t="n">
        <v>7519.2</v>
      </c>
    </row>
    <row r="4" customFormat="false" ht="15" hidden="false" customHeight="false" outlineLevel="0" collapsed="false">
      <c r="A4" s="0" t="s">
        <v>73</v>
      </c>
      <c r="B4" s="0" t="n">
        <v>25931.852</v>
      </c>
      <c r="C4" s="0" t="n">
        <v>21018.737</v>
      </c>
      <c r="D4" s="0" t="n">
        <v>4913.115</v>
      </c>
      <c r="E4" s="0" t="n">
        <v>18.9</v>
      </c>
      <c r="F4" s="0" t="n">
        <v>3077.198</v>
      </c>
      <c r="G4" s="0" t="n">
        <v>11.9</v>
      </c>
      <c r="H4" s="0" t="n">
        <v>3901.445</v>
      </c>
      <c r="I4" s="0" t="n">
        <v>2490.872</v>
      </c>
      <c r="J4" s="0" t="n">
        <v>9.6</v>
      </c>
      <c r="K4" s="0" t="n">
        <v>2.2725</v>
      </c>
      <c r="L4" s="0" t="n">
        <v>3567.892</v>
      </c>
      <c r="M4" s="0" t="n">
        <v>2617.393</v>
      </c>
      <c r="N4" s="0" t="n">
        <v>950.499</v>
      </c>
      <c r="O4" s="0" t="n">
        <v>9234.097</v>
      </c>
      <c r="P4" s="0" t="n">
        <v>22852.1</v>
      </c>
      <c r="Q4" s="0" t="n">
        <v>13564</v>
      </c>
      <c r="R4" s="0" t="n">
        <v>5562.388</v>
      </c>
      <c r="S4" s="0" t="n">
        <v>2254.299</v>
      </c>
      <c r="T4" s="0" t="n">
        <v>1096.09</v>
      </c>
      <c r="U4" s="0" t="n">
        <v>93.132</v>
      </c>
      <c r="AA4" s="0" t="s">
        <v>18</v>
      </c>
      <c r="AB4" s="0" t="s">
        <v>14</v>
      </c>
      <c r="AC4" s="0" t="n">
        <v>2134.098</v>
      </c>
      <c r="AE4" s="0" t="n">
        <v>2512.679</v>
      </c>
      <c r="AF4" s="0" t="n">
        <v>1362.345</v>
      </c>
      <c r="AG4" s="0" t="n">
        <v>78.272</v>
      </c>
      <c r="AI4" s="0" t="n">
        <v>9288.144</v>
      </c>
    </row>
    <row r="5" customFormat="false" ht="15" hidden="false" customHeight="false" outlineLevel="0" collapsed="false">
      <c r="A5" s="0" t="s">
        <v>74</v>
      </c>
      <c r="B5" s="0" t="n">
        <v>37848.704</v>
      </c>
      <c r="C5" s="0" t="n">
        <v>30098.05</v>
      </c>
      <c r="D5" s="0" t="n">
        <v>7750.654</v>
      </c>
      <c r="E5" s="0" t="n">
        <v>20.5</v>
      </c>
      <c r="F5" s="0" t="n">
        <v>4806.279</v>
      </c>
      <c r="G5" s="0" t="n">
        <v>12.7</v>
      </c>
      <c r="H5" s="0" t="n">
        <v>6084.157</v>
      </c>
      <c r="I5" s="0" t="n">
        <v>3991.298</v>
      </c>
      <c r="J5" s="0" t="n">
        <v>10.5</v>
      </c>
      <c r="K5" s="0" t="n">
        <v>3.6419</v>
      </c>
      <c r="L5" s="0" t="n">
        <v>4661.622</v>
      </c>
      <c r="M5" s="0" t="n">
        <v>3167.925</v>
      </c>
      <c r="N5" s="0" t="n">
        <v>1493.697</v>
      </c>
      <c r="O5" s="0" t="n">
        <v>12552.887</v>
      </c>
      <c r="P5" s="0" t="n">
        <v>30693.1</v>
      </c>
      <c r="Q5" s="0" t="n">
        <v>17966.9</v>
      </c>
      <c r="R5" s="0" t="n">
        <v>5274.646</v>
      </c>
      <c r="S5" s="0" t="n">
        <v>1917.239</v>
      </c>
      <c r="T5" s="0" t="n">
        <v>1095.94</v>
      </c>
      <c r="U5" s="0" t="n">
        <v>123.808</v>
      </c>
      <c r="AA5" s="0" t="s">
        <v>18</v>
      </c>
      <c r="AB5" s="0" t="s">
        <v>14</v>
      </c>
      <c r="AC5" s="0" t="n">
        <v>2770.095</v>
      </c>
      <c r="AE5" s="0" t="n">
        <v>4019.375</v>
      </c>
      <c r="AF5" s="0" t="n">
        <v>2209.337</v>
      </c>
      <c r="AG5" s="0" t="n">
        <v>170.255</v>
      </c>
      <c r="AI5" s="0" t="n">
        <v>12726.177</v>
      </c>
    </row>
    <row r="6" customFormat="false" ht="15" hidden="false" customHeight="false" outlineLevel="0" collapsed="false">
      <c r="A6" s="0" t="s">
        <v>75</v>
      </c>
      <c r="B6" s="0" t="n">
        <v>38001.765</v>
      </c>
      <c r="C6" s="0" t="n">
        <v>29303.89</v>
      </c>
      <c r="D6" s="0" t="n">
        <v>8697.875</v>
      </c>
      <c r="E6" s="0" t="n">
        <v>22.9</v>
      </c>
      <c r="F6" s="0" t="n">
        <v>5876.604</v>
      </c>
      <c r="G6" s="0" t="n">
        <v>15.5</v>
      </c>
      <c r="H6" s="0" t="n">
        <v>7504.889</v>
      </c>
      <c r="I6" s="0" t="n">
        <v>4871.793</v>
      </c>
      <c r="J6" s="0" t="n">
        <v>12.8</v>
      </c>
      <c r="K6" s="0" t="n">
        <v>4.4514</v>
      </c>
      <c r="L6" s="0" t="n">
        <v>7160.011</v>
      </c>
      <c r="M6" s="0" t="n">
        <v>2798.35</v>
      </c>
      <c r="N6" s="0" t="n">
        <v>4361.661</v>
      </c>
      <c r="O6" s="0" t="n">
        <v>16597.224</v>
      </c>
      <c r="P6" s="0" t="n">
        <v>35438.115</v>
      </c>
      <c r="Q6" s="0" t="n">
        <v>18611.998</v>
      </c>
      <c r="R6" s="0" t="n">
        <v>5966.499</v>
      </c>
      <c r="S6" s="0" t="n">
        <v>2841.771</v>
      </c>
      <c r="T6" s="0" t="n">
        <v>1094.44</v>
      </c>
      <c r="U6" s="0" t="n">
        <v>151.811</v>
      </c>
      <c r="AA6" s="0" t="s">
        <v>18</v>
      </c>
      <c r="AB6" s="0" t="s">
        <v>14</v>
      </c>
      <c r="AC6" s="0" t="n">
        <v>2332.864</v>
      </c>
      <c r="AE6" s="0" t="n">
        <v>4940.254</v>
      </c>
      <c r="AF6" s="0" t="n">
        <v>2499.09</v>
      </c>
      <c r="AG6" s="0" t="n">
        <v>151.397</v>
      </c>
      <c r="AH6" s="0" t="n">
        <v>9215.103</v>
      </c>
      <c r="AI6" s="0" t="n">
        <v>16826.117</v>
      </c>
    </row>
    <row r="7" customFormat="false" ht="15" hidden="false" customHeight="false" outlineLevel="0" collapsed="false">
      <c r="A7" s="0" t="s">
        <v>76</v>
      </c>
      <c r="B7" s="0" t="n">
        <v>37496.852</v>
      </c>
      <c r="C7" s="0" t="n">
        <v>28760.659</v>
      </c>
      <c r="D7" s="0" t="n">
        <v>8736.193</v>
      </c>
      <c r="E7" s="0" t="n">
        <v>23.3</v>
      </c>
      <c r="F7" s="0" t="n">
        <v>5846.132</v>
      </c>
      <c r="G7" s="0" t="n">
        <v>15.6</v>
      </c>
      <c r="H7" s="0" t="n">
        <v>7605.888</v>
      </c>
      <c r="I7" s="0" t="n">
        <v>4988.007</v>
      </c>
      <c r="J7" s="0" t="n">
        <v>13.3</v>
      </c>
      <c r="K7" s="0" t="n">
        <v>4.5593</v>
      </c>
      <c r="L7" s="0" t="n">
        <v>6978.962</v>
      </c>
      <c r="M7" s="0" t="n">
        <v>2588.937</v>
      </c>
      <c r="N7" s="0" t="n">
        <v>4390.025</v>
      </c>
      <c r="O7" s="0" t="n">
        <v>20588.072</v>
      </c>
      <c r="P7" s="0" t="n">
        <v>38773.84</v>
      </c>
      <c r="Q7" s="0" t="n">
        <v>17878.574</v>
      </c>
      <c r="R7" s="0" t="n">
        <v>6054.52</v>
      </c>
      <c r="S7" s="0" t="n">
        <v>5605.179</v>
      </c>
      <c r="T7" s="0" t="n">
        <v>1094.03</v>
      </c>
      <c r="U7" s="0" t="n">
        <v>188.278</v>
      </c>
      <c r="AA7" s="0" t="s">
        <v>18</v>
      </c>
      <c r="AB7" s="0" t="s">
        <v>14</v>
      </c>
      <c r="AC7" s="0" t="n">
        <v>2082.924</v>
      </c>
      <c r="AE7" s="0" t="n">
        <v>5055.915</v>
      </c>
      <c r="AF7" s="0" t="n">
        <v>2642.196</v>
      </c>
      <c r="AG7" s="0" t="n">
        <v>212.183</v>
      </c>
      <c r="AH7" s="0" t="n">
        <v>9908.057</v>
      </c>
      <c r="AI7" s="0" t="n">
        <v>20895.266</v>
      </c>
    </row>
    <row r="8" customFormat="false" ht="15" hidden="false" customHeight="false" outlineLevel="0" collapsed="false">
      <c r="A8" s="0" t="s">
        <v>77</v>
      </c>
      <c r="B8" s="0" t="n">
        <v>33196.937</v>
      </c>
      <c r="C8" s="0" t="n">
        <v>26591.94</v>
      </c>
      <c r="D8" s="0" t="n">
        <v>6604.997</v>
      </c>
      <c r="E8" s="0" t="n">
        <v>19.9</v>
      </c>
      <c r="F8" s="0" t="n">
        <v>3013.912</v>
      </c>
      <c r="G8" s="0" t="n">
        <v>9.1</v>
      </c>
      <c r="H8" s="0" t="n">
        <v>4954.491</v>
      </c>
      <c r="I8" s="0" t="n">
        <v>2407.796</v>
      </c>
      <c r="J8" s="0" t="n">
        <v>7.3</v>
      </c>
      <c r="K8" s="0" t="n">
        <v>2.2015</v>
      </c>
      <c r="L8" s="0" t="n">
        <v>7377.296</v>
      </c>
      <c r="M8" s="0" t="n">
        <v>3113.752</v>
      </c>
      <c r="N8" s="0" t="n">
        <v>4263.544</v>
      </c>
      <c r="O8" s="0" t="n">
        <v>21838.387</v>
      </c>
      <c r="P8" s="0" t="n">
        <v>43001.288</v>
      </c>
      <c r="Q8" s="0" t="n">
        <v>20818.902</v>
      </c>
      <c r="R8" s="0" t="n">
        <v>6198.063</v>
      </c>
      <c r="S8" s="0" t="n">
        <v>7033.194</v>
      </c>
      <c r="T8" s="0" t="n">
        <v>1093.71</v>
      </c>
      <c r="U8" s="0" t="n">
        <v>243.399</v>
      </c>
      <c r="AA8" s="0" t="s">
        <v>18</v>
      </c>
      <c r="AB8" s="0" t="s">
        <v>14</v>
      </c>
      <c r="AC8" s="0" t="n">
        <v>2604.193</v>
      </c>
      <c r="AE8" s="0" t="n">
        <v>2474.148</v>
      </c>
      <c r="AF8" s="0" t="n">
        <v>2803.398</v>
      </c>
      <c r="AG8" s="0" t="n">
        <v>358.857</v>
      </c>
      <c r="AH8" s="0" t="n">
        <v>11261.591</v>
      </c>
      <c r="AI8" s="0" t="n">
        <v>22182.386</v>
      </c>
    </row>
    <row r="9" customFormat="false" ht="15" hidden="false" customHeight="false" outlineLevel="0" collapsed="false">
      <c r="A9" s="0" t="s">
        <v>78</v>
      </c>
      <c r="B9" s="0" t="n">
        <v>31681.261</v>
      </c>
      <c r="C9" s="0" t="n">
        <v>27090.82</v>
      </c>
      <c r="D9" s="0" t="n">
        <v>4590.441</v>
      </c>
      <c r="E9" s="0" t="n">
        <v>14.5</v>
      </c>
      <c r="F9" s="0" t="n">
        <v>1784.784</v>
      </c>
      <c r="G9" s="0" t="n">
        <v>5.6</v>
      </c>
      <c r="H9" s="0" t="n">
        <v>3852.015</v>
      </c>
      <c r="I9" s="0" t="n">
        <v>1099.415</v>
      </c>
      <c r="J9" s="0" t="n">
        <v>3.5</v>
      </c>
      <c r="K9" s="0" t="n">
        <v>1.0063</v>
      </c>
      <c r="L9" s="0" t="n">
        <v>2664.473</v>
      </c>
      <c r="M9" s="0" t="n">
        <v>2487.783</v>
      </c>
      <c r="N9" s="0" t="n">
        <v>176.69</v>
      </c>
      <c r="O9" s="0" t="n">
        <v>22422.967</v>
      </c>
      <c r="P9" s="0" t="n">
        <v>50297.076</v>
      </c>
      <c r="Q9" s="0" t="n">
        <v>27415.446</v>
      </c>
      <c r="R9" s="0" t="n">
        <v>5561.798</v>
      </c>
      <c r="S9" s="0" t="n">
        <v>13084.519</v>
      </c>
      <c r="T9" s="0" t="n">
        <v>1092.53</v>
      </c>
      <c r="U9" s="0" t="n">
        <v>280.396</v>
      </c>
      <c r="AA9" s="0" t="s">
        <v>18</v>
      </c>
      <c r="AB9" s="0" t="s">
        <v>14</v>
      </c>
      <c r="AC9" s="0" t="n">
        <v>1767.541</v>
      </c>
      <c r="AE9" s="0" t="n">
        <v>1150.323</v>
      </c>
      <c r="AF9" s="0" t="n">
        <v>2566.475</v>
      </c>
      <c r="AG9" s="0" t="n">
        <v>269.887</v>
      </c>
      <c r="AH9" s="0" t="n">
        <v>9915.597</v>
      </c>
      <c r="AI9" s="0" t="n">
        <v>22881.63</v>
      </c>
    </row>
    <row r="10" customFormat="false" ht="15" hidden="false" customHeight="false" outlineLevel="0" collapsed="false">
      <c r="A10" s="0" t="s">
        <v>79</v>
      </c>
      <c r="B10" s="0" t="n">
        <v>38294.491</v>
      </c>
      <c r="C10" s="0" t="n">
        <v>31288.458</v>
      </c>
      <c r="D10" s="0" t="n">
        <v>7006.033</v>
      </c>
      <c r="E10" s="0" t="n">
        <v>18.3</v>
      </c>
      <c r="F10" s="0" t="n">
        <v>3524.536</v>
      </c>
      <c r="G10" s="0" t="n">
        <v>9.2</v>
      </c>
      <c r="H10" s="0" t="n">
        <v>5750.814</v>
      </c>
      <c r="I10" s="0" t="n">
        <v>2699.159</v>
      </c>
      <c r="J10" s="0" t="n">
        <v>7</v>
      </c>
      <c r="K10" s="0" t="n">
        <v>2.4788</v>
      </c>
      <c r="L10" s="0" t="n">
        <v>3455.314</v>
      </c>
      <c r="M10" s="0" t="n">
        <v>2260.381</v>
      </c>
      <c r="N10" s="0" t="n">
        <v>1194.933</v>
      </c>
      <c r="O10" s="0" t="n">
        <v>24764.515</v>
      </c>
      <c r="P10" s="0" t="n">
        <v>53807.258</v>
      </c>
      <c r="Q10" s="0" t="n">
        <v>28514.31</v>
      </c>
      <c r="R10" s="0" t="n">
        <v>5903.659</v>
      </c>
      <c r="S10" s="0" t="n">
        <v>4508.657</v>
      </c>
      <c r="T10" s="0" t="n">
        <v>1088.9</v>
      </c>
      <c r="U10" s="0" t="n">
        <v>294.719</v>
      </c>
      <c r="AA10" s="0" t="s">
        <v>18</v>
      </c>
      <c r="AB10" s="0" t="s">
        <v>14</v>
      </c>
      <c r="AC10" s="0" t="n">
        <v>1454.783</v>
      </c>
      <c r="AE10" s="0" t="n">
        <v>2777.024</v>
      </c>
      <c r="AF10" s="0" t="n">
        <v>2924.111</v>
      </c>
      <c r="AG10" s="0" t="n">
        <v>298.437</v>
      </c>
      <c r="AH10" s="0" t="n">
        <v>18719.03</v>
      </c>
      <c r="AI10" s="0" t="n">
        <v>25292.948</v>
      </c>
    </row>
    <row r="11" customFormat="false" ht="15" hidden="false" customHeight="false" outlineLevel="0" collapsed="false">
      <c r="A11" s="0" t="s">
        <v>80</v>
      </c>
      <c r="B11" s="0" t="n">
        <v>43229.126</v>
      </c>
      <c r="C11" s="0" t="n">
        <v>34713.238</v>
      </c>
      <c r="D11" s="0" t="n">
        <v>8515.888</v>
      </c>
      <c r="E11" s="0" t="n">
        <v>19.7</v>
      </c>
      <c r="F11" s="0" t="n">
        <v>5680.552</v>
      </c>
      <c r="G11" s="0" t="n">
        <v>13.1</v>
      </c>
      <c r="H11" s="0" t="n">
        <v>8062.552</v>
      </c>
      <c r="I11" s="0" t="n">
        <v>4639.107</v>
      </c>
      <c r="J11" s="0" t="n">
        <v>10.7</v>
      </c>
      <c r="K11" s="0" t="n">
        <v>4.2479</v>
      </c>
      <c r="L11" s="0" t="n">
        <v>6079.499</v>
      </c>
      <c r="M11" s="0" t="n">
        <v>2930.958</v>
      </c>
      <c r="N11" s="0" t="n">
        <v>3148.541</v>
      </c>
      <c r="O11" s="0" t="n">
        <v>29148.588</v>
      </c>
      <c r="P11" s="0" t="n">
        <v>59214.751</v>
      </c>
      <c r="Q11" s="0" t="n">
        <v>29450.425</v>
      </c>
      <c r="R11" s="0" t="n">
        <v>6060.769</v>
      </c>
      <c r="S11" s="0" t="n">
        <v>7482.149</v>
      </c>
      <c r="T11" s="0" t="n">
        <v>1092.09</v>
      </c>
      <c r="U11" s="0" t="n">
        <v>231.408</v>
      </c>
      <c r="AA11" s="0" t="s">
        <v>18</v>
      </c>
      <c r="AB11" s="0" t="s">
        <v>14</v>
      </c>
      <c r="AC11" s="0" t="n">
        <v>2113.849</v>
      </c>
      <c r="AE11" s="0" t="n">
        <v>4806.99</v>
      </c>
      <c r="AF11" s="0" t="n">
        <v>3258.58</v>
      </c>
      <c r="AG11" s="0" t="n">
        <v>47.104</v>
      </c>
      <c r="AH11" s="0" t="n">
        <v>17230.214</v>
      </c>
      <c r="AI11" s="0" t="n">
        <v>29764.326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57.7</v>
      </c>
    </row>
    <row r="3" customFormat="false" ht="15" hidden="false" customHeight="false" outlineLevel="0" collapsed="false">
      <c r="A3" s="0" t="s">
        <v>84</v>
      </c>
      <c r="B3" s="3" t="n">
        <v>1078.619</v>
      </c>
    </row>
    <row r="4" customFormat="false" ht="15" hidden="false" customHeight="false" outlineLevel="0" collapsed="false">
      <c r="A4" s="0" t="s">
        <v>85</v>
      </c>
      <c r="B4" s="3" t="n">
        <v>-11666.9</v>
      </c>
    </row>
    <row r="5" customFormat="false" ht="15" hidden="false" customHeight="false" outlineLevel="0" collapsed="false">
      <c r="A5" s="0" t="s">
        <v>86</v>
      </c>
      <c r="B5" s="3" t="n">
        <v>4258.7</v>
      </c>
    </row>
    <row r="6" customFormat="false" ht="15" hidden="false" customHeight="false" outlineLevel="0" collapsed="false">
      <c r="A6" s="0" t="s">
        <v>87</v>
      </c>
      <c r="B6" s="3" t="n">
        <v>15</v>
      </c>
    </row>
    <row r="7" customFormat="false" ht="15" hidden="false" customHeight="false" outlineLevel="0" collapsed="false">
      <c r="A7" s="0" t="s">
        <v>88</v>
      </c>
      <c r="B7" s="3" t="n">
        <v>43229.126</v>
      </c>
    </row>
    <row r="8" customFormat="false" ht="15" hidden="false" customHeight="false" outlineLevel="0" collapsed="false">
      <c r="A8" s="0" t="s">
        <v>89</v>
      </c>
      <c r="B8" s="3" t="s">
        <v>80</v>
      </c>
    </row>
    <row r="9" customFormat="false" ht="15" hidden="false" customHeight="false" outlineLevel="0" collapsed="false">
      <c r="A9" s="0" t="s">
        <v>90</v>
      </c>
      <c r="B9" s="3" t="s">
        <v>91</v>
      </c>
    </row>
    <row r="10" customFormat="false" ht="15" hidden="false" customHeight="false" outlineLevel="0" collapsed="false">
      <c r="A10" s="0" t="s">
        <v>92</v>
      </c>
      <c r="B10" s="3" t="n">
        <v>1.1724</v>
      </c>
    </row>
    <row r="12" customFormat="false" ht="15" hidden="false" customHeight="false" outlineLevel="0" collapsed="false">
      <c r="A12" s="2" t="s">
        <v>93</v>
      </c>
      <c r="C12" s="2" t="s">
        <v>94</v>
      </c>
      <c r="D12" s="2" t="s">
        <v>95</v>
      </c>
      <c r="E12" s="2" t="s">
        <v>96</v>
      </c>
      <c r="F12" s="2" t="s">
        <v>97</v>
      </c>
      <c r="G12" s="2" t="s">
        <v>98</v>
      </c>
      <c r="H12" s="2" t="s">
        <v>99</v>
      </c>
      <c r="I12" s="2" t="s">
        <v>100</v>
      </c>
      <c r="J12" s="2" t="s">
        <v>101</v>
      </c>
      <c r="K12" s="2" t="s">
        <v>102</v>
      </c>
      <c r="L12" s="2" t="s">
        <v>103</v>
      </c>
    </row>
    <row r="13" customFormat="false" ht="15" hidden="false" customHeight="false" outlineLevel="0" collapsed="false">
      <c r="A13" s="0" t="s">
        <v>104</v>
      </c>
      <c r="C13" s="3" t="n">
        <v>6</v>
      </c>
      <c r="D13" s="3" t="n">
        <v>1</v>
      </c>
      <c r="E13" s="3" t="n">
        <v>2</v>
      </c>
      <c r="F13" s="3" t="n">
        <v>3</v>
      </c>
      <c r="G13" s="3" t="n">
        <v>3</v>
      </c>
      <c r="H13" s="3" t="n">
        <v>3</v>
      </c>
      <c r="I13" s="3" t="n">
        <v>2.5</v>
      </c>
      <c r="J13" s="3" t="n">
        <v>2.5</v>
      </c>
      <c r="K13" s="3" t="n">
        <v>2</v>
      </c>
      <c r="L13" s="3" t="n">
        <v>2</v>
      </c>
    </row>
    <row r="14" customFormat="false" ht="15" hidden="false" customHeight="false" outlineLevel="0" collapsed="false">
      <c r="A14" s="0" t="s">
        <v>105</v>
      </c>
      <c r="C14" s="3" t="n">
        <v>15.5</v>
      </c>
      <c r="D14" s="3" t="n">
        <v>14.5</v>
      </c>
      <c r="E14" s="3" t="n">
        <v>14</v>
      </c>
      <c r="F14" s="3" t="n">
        <v>14</v>
      </c>
      <c r="G14" s="3" t="n">
        <v>14</v>
      </c>
      <c r="H14" s="3" t="n">
        <v>14</v>
      </c>
      <c r="I14" s="3" t="n">
        <v>14</v>
      </c>
      <c r="J14" s="3" t="n">
        <v>14</v>
      </c>
      <c r="K14" s="3" t="n">
        <v>14</v>
      </c>
      <c r="L14" s="3" t="n">
        <v>14</v>
      </c>
    </row>
    <row r="15" customFormat="false" ht="15" hidden="false" customHeight="false" outlineLevel="0" collapsed="false">
      <c r="A15" s="0" t="s">
        <v>106</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107</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108</v>
      </c>
      <c r="C17" s="3" t="n">
        <v>5.5</v>
      </c>
      <c r="D17" s="3" t="n">
        <v>5.6</v>
      </c>
      <c r="E17" s="3" t="n">
        <v>5.7</v>
      </c>
      <c r="F17" s="3" t="n">
        <v>5.7</v>
      </c>
      <c r="G17" s="3" t="n">
        <v>5.7</v>
      </c>
      <c r="H17" s="3" t="n">
        <v>5.7</v>
      </c>
      <c r="I17" s="3" t="n">
        <v>5.7</v>
      </c>
      <c r="J17" s="3" t="n">
        <v>5.7</v>
      </c>
      <c r="K17" s="3" t="n">
        <v>5.7</v>
      </c>
      <c r="L17" s="3" t="n">
        <v>5.7</v>
      </c>
    </row>
    <row r="18" customFormat="false" ht="15" hidden="false" customHeight="false" outlineLevel="0" collapsed="false">
      <c r="A18" s="0" t="s">
        <v>109</v>
      </c>
      <c r="C18" s="3" t="n">
        <v>7</v>
      </c>
      <c r="D18" s="3" t="n">
        <v>6.5</v>
      </c>
      <c r="E18" s="3" t="n">
        <v>6</v>
      </c>
      <c r="F18" s="3" t="n">
        <v>6</v>
      </c>
      <c r="G18" s="3" t="n">
        <v>6</v>
      </c>
      <c r="H18" s="3" t="n">
        <v>6</v>
      </c>
      <c r="I18" s="3" t="n">
        <v>6</v>
      </c>
      <c r="J18" s="3" t="n">
        <v>6</v>
      </c>
      <c r="K18" s="3" t="n">
        <v>6</v>
      </c>
      <c r="L18" s="3" t="n">
        <v>6</v>
      </c>
    </row>
    <row r="19" customFormat="false" ht="15" hidden="false" customHeight="false" outlineLevel="0" collapsed="false">
      <c r="A19" s="0" t="s">
        <v>110</v>
      </c>
      <c r="C19" s="3" t="n">
        <v>17.3</v>
      </c>
      <c r="D19" s="3" t="n">
        <v>18.5</v>
      </c>
      <c r="E19" s="3" t="n">
        <v>19.5</v>
      </c>
      <c r="F19" s="3" t="n">
        <v>20.5</v>
      </c>
      <c r="G19" s="3" t="n">
        <v>21.5</v>
      </c>
      <c r="H19" s="3" t="n">
        <v>22.5</v>
      </c>
      <c r="I19" s="3" t="n">
        <v>23</v>
      </c>
      <c r="J19" s="3" t="n">
        <v>23</v>
      </c>
      <c r="K19" s="3" t="n">
        <v>23</v>
      </c>
      <c r="L19" s="3" t="n">
        <v>23</v>
      </c>
    </row>
    <row r="20" customFormat="false" ht="15" hidden="false" customHeight="false" outlineLevel="0" collapsed="false">
      <c r="A20" s="0" t="s">
        <v>111</v>
      </c>
      <c r="B20" s="3" t="n">
        <v>9.5</v>
      </c>
    </row>
    <row r="21" customFormat="false" ht="15" hidden="false" customHeight="false" outlineLevel="0" collapsed="false">
      <c r="A21" s="0" t="s">
        <v>112</v>
      </c>
      <c r="B21" s="3" t="n">
        <v>1.5</v>
      </c>
    </row>
    <row r="22" customFormat="false" ht="15" hidden="false" customHeight="false" outlineLevel="0" collapsed="false">
      <c r="A22" s="0" t="s">
        <v>113</v>
      </c>
      <c r="B22" s="3" t="n">
        <v>10</v>
      </c>
    </row>
    <row r="23" customFormat="false" ht="15" hidden="false" customHeight="false" outlineLevel="0" collapsed="false">
      <c r="A23" s="0" t="s">
        <v>114</v>
      </c>
      <c r="B23" s="3" t="n">
        <v>-10</v>
      </c>
    </row>
    <row r="24" customFormat="false" ht="15" hidden="false" customHeight="false" outlineLevel="0" collapsed="false">
      <c r="A24" s="0" t="s">
        <v>115</v>
      </c>
      <c r="B24" s="3" t="n">
        <v>0.25</v>
      </c>
    </row>
    <row r="26" customFormat="false" ht="15" hidden="false" customHeight="false" outlineLevel="0" collapsed="false">
      <c r="A26" s="2" t="s">
        <v>116</v>
      </c>
      <c r="C26" s="2" t="s">
        <v>94</v>
      </c>
      <c r="D26" s="2" t="s">
        <v>95</v>
      </c>
      <c r="E26" s="2" t="s">
        <v>96</v>
      </c>
      <c r="F26" s="2" t="s">
        <v>97</v>
      </c>
      <c r="G26" s="2" t="s">
        <v>98</v>
      </c>
      <c r="H26" s="2" t="s">
        <v>99</v>
      </c>
      <c r="I26" s="2" t="s">
        <v>100</v>
      </c>
      <c r="J26" s="2" t="s">
        <v>101</v>
      </c>
      <c r="K26" s="2" t="s">
        <v>102</v>
      </c>
      <c r="L26" s="2" t="s">
        <v>103</v>
      </c>
    </row>
    <row r="27" customFormat="false" ht="15" hidden="false" customHeight="false" outlineLevel="0" collapsed="false">
      <c r="A27" s="0" t="s">
        <v>104</v>
      </c>
      <c r="C27" s="3" t="n">
        <v>9</v>
      </c>
      <c r="D27" s="3" t="n">
        <v>8</v>
      </c>
      <c r="E27" s="3" t="n">
        <v>7</v>
      </c>
      <c r="F27" s="3" t="n">
        <v>6.5</v>
      </c>
      <c r="G27" s="3" t="n">
        <v>6</v>
      </c>
      <c r="H27" s="3" t="n">
        <v>5.5</v>
      </c>
      <c r="I27" s="3" t="n">
        <v>5</v>
      </c>
      <c r="J27" s="3" t="n">
        <v>4.5</v>
      </c>
      <c r="K27" s="3" t="n">
        <v>4</v>
      </c>
      <c r="L27" s="3" t="n">
        <v>3.5</v>
      </c>
    </row>
    <row r="28" customFormat="false" ht="15" hidden="false" customHeight="false" outlineLevel="0" collapsed="false">
      <c r="A28" s="0" t="s">
        <v>105</v>
      </c>
      <c r="C28" s="3" t="n">
        <v>16</v>
      </c>
      <c r="D28" s="3" t="n">
        <v>16.2</v>
      </c>
      <c r="E28" s="3" t="n">
        <v>16.4</v>
      </c>
      <c r="F28" s="3" t="n">
        <v>16.5</v>
      </c>
      <c r="G28" s="3" t="n">
        <v>16.5</v>
      </c>
      <c r="H28" s="3" t="n">
        <v>16.5</v>
      </c>
      <c r="I28" s="3" t="n">
        <v>16.5</v>
      </c>
      <c r="J28" s="3" t="n">
        <v>16.5</v>
      </c>
      <c r="K28" s="3" t="n">
        <v>16.5</v>
      </c>
      <c r="L28" s="3" t="n">
        <v>16.5</v>
      </c>
    </row>
    <row r="29" customFormat="false" ht="15" hidden="false" customHeight="false" outlineLevel="0" collapsed="false">
      <c r="A29" s="0" t="s">
        <v>106</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107</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108</v>
      </c>
      <c r="C31" s="3" t="n">
        <v>5.5</v>
      </c>
      <c r="D31" s="3" t="n">
        <v>5.5</v>
      </c>
      <c r="E31" s="3" t="n">
        <v>5.5</v>
      </c>
      <c r="F31" s="3" t="n">
        <v>5.5</v>
      </c>
      <c r="G31" s="3" t="n">
        <v>5.5</v>
      </c>
      <c r="H31" s="3" t="n">
        <v>5.5</v>
      </c>
      <c r="I31" s="3" t="n">
        <v>5.5</v>
      </c>
      <c r="J31" s="3" t="n">
        <v>5.5</v>
      </c>
      <c r="K31" s="3" t="n">
        <v>5.5</v>
      </c>
      <c r="L31" s="3" t="n">
        <v>5.5</v>
      </c>
    </row>
    <row r="32" customFormat="false" ht="15" hidden="false" customHeight="false" outlineLevel="0" collapsed="false">
      <c r="A32" s="0" t="s">
        <v>109</v>
      </c>
      <c r="C32" s="3" t="n">
        <v>7</v>
      </c>
      <c r="D32" s="3" t="n">
        <v>6.8</v>
      </c>
      <c r="E32" s="3" t="n">
        <v>6.5</v>
      </c>
      <c r="F32" s="3" t="n">
        <v>6.3</v>
      </c>
      <c r="G32" s="3" t="n">
        <v>6.2</v>
      </c>
      <c r="H32" s="3" t="n">
        <v>6.1</v>
      </c>
      <c r="I32" s="3" t="n">
        <v>6</v>
      </c>
      <c r="J32" s="3" t="n">
        <v>6</v>
      </c>
      <c r="K32" s="3" t="n">
        <v>6</v>
      </c>
      <c r="L32" s="3" t="n">
        <v>6</v>
      </c>
    </row>
    <row r="33" customFormat="false" ht="15" hidden="false" customHeight="false" outlineLevel="0" collapsed="false">
      <c r="A33" s="0" t="s">
        <v>110</v>
      </c>
      <c r="C33" s="3" t="n">
        <v>17.3</v>
      </c>
      <c r="D33" s="3" t="n">
        <v>17.8</v>
      </c>
      <c r="E33" s="3" t="n">
        <v>18.3</v>
      </c>
      <c r="F33" s="3" t="n">
        <v>18.8</v>
      </c>
      <c r="G33" s="3" t="n">
        <v>19.2</v>
      </c>
      <c r="H33" s="3" t="n">
        <v>19.2</v>
      </c>
      <c r="I33" s="3" t="n">
        <v>19.2</v>
      </c>
      <c r="J33" s="3" t="n">
        <v>19.2</v>
      </c>
      <c r="K33" s="3" t="n">
        <v>19.2</v>
      </c>
      <c r="L33" s="3" t="n">
        <v>19.2</v>
      </c>
    </row>
    <row r="34" customFormat="false" ht="15" hidden="false" customHeight="false" outlineLevel="0" collapsed="false">
      <c r="A34" s="0" t="s">
        <v>111</v>
      </c>
      <c r="B34" s="3" t="n">
        <v>9.5</v>
      </c>
    </row>
    <row r="35" customFormat="false" ht="15" hidden="false" customHeight="false" outlineLevel="0" collapsed="false">
      <c r="A35" s="0" t="s">
        <v>112</v>
      </c>
      <c r="B35" s="3" t="n">
        <v>2</v>
      </c>
    </row>
    <row r="36" customFormat="false" ht="15" hidden="false" customHeight="false" outlineLevel="0" collapsed="false">
      <c r="A36" s="0" t="s">
        <v>113</v>
      </c>
      <c r="B36" s="3" t="n">
        <v>12</v>
      </c>
    </row>
    <row r="37" customFormat="false" ht="15" hidden="false" customHeight="false" outlineLevel="0" collapsed="false">
      <c r="A37" s="0" t="s">
        <v>114</v>
      </c>
      <c r="B37" s="3" t="n">
        <v>-10</v>
      </c>
    </row>
    <row r="38" customFormat="false" ht="15" hidden="false" customHeight="false" outlineLevel="0" collapsed="false">
      <c r="A38" s="0" t="s">
        <v>115</v>
      </c>
      <c r="B38" s="3" t="n">
        <v>0.5</v>
      </c>
    </row>
    <row r="40" customFormat="false" ht="15" hidden="false" customHeight="false" outlineLevel="0" collapsed="false">
      <c r="A40" s="2" t="s">
        <v>117</v>
      </c>
      <c r="C40" s="2" t="s">
        <v>94</v>
      </c>
      <c r="D40" s="2" t="s">
        <v>95</v>
      </c>
      <c r="E40" s="2" t="s">
        <v>96</v>
      </c>
      <c r="F40" s="2" t="s">
        <v>97</v>
      </c>
      <c r="G40" s="2" t="s">
        <v>98</v>
      </c>
      <c r="H40" s="2" t="s">
        <v>99</v>
      </c>
      <c r="I40" s="2" t="s">
        <v>100</v>
      </c>
      <c r="J40" s="2" t="s">
        <v>101</v>
      </c>
      <c r="K40" s="2" t="s">
        <v>102</v>
      </c>
      <c r="L40" s="2" t="s">
        <v>103</v>
      </c>
    </row>
    <row r="41" customFormat="false" ht="15" hidden="false" customHeight="false" outlineLevel="0" collapsed="false">
      <c r="A41" s="0" t="s">
        <v>104</v>
      </c>
      <c r="C41" s="3" t="n">
        <v>12</v>
      </c>
      <c r="D41" s="3" t="n">
        <v>12</v>
      </c>
      <c r="E41" s="3" t="n">
        <v>11</v>
      </c>
      <c r="F41" s="3" t="n">
        <v>10</v>
      </c>
      <c r="G41" s="3" t="n">
        <v>9</v>
      </c>
      <c r="H41" s="3" t="n">
        <v>8</v>
      </c>
      <c r="I41" s="3" t="n">
        <v>7</v>
      </c>
      <c r="J41" s="3" t="n">
        <v>6</v>
      </c>
      <c r="K41" s="3" t="n">
        <v>5</v>
      </c>
      <c r="L41" s="3" t="n">
        <v>4</v>
      </c>
    </row>
    <row r="42" customFormat="false" ht="15" hidden="false" customHeight="false" outlineLevel="0" collapsed="false">
      <c r="A42" s="0" t="s">
        <v>105</v>
      </c>
      <c r="C42" s="3" t="n">
        <v>16.3</v>
      </c>
      <c r="D42" s="3" t="n">
        <v>16.7</v>
      </c>
      <c r="E42" s="3" t="n">
        <v>17.1</v>
      </c>
      <c r="F42" s="3" t="n">
        <v>17.5</v>
      </c>
      <c r="G42" s="3" t="n">
        <v>17.8</v>
      </c>
      <c r="H42" s="3" t="n">
        <v>18</v>
      </c>
      <c r="I42" s="3" t="n">
        <v>18</v>
      </c>
      <c r="J42" s="3" t="n">
        <v>18</v>
      </c>
      <c r="K42" s="3" t="n">
        <v>18</v>
      </c>
      <c r="L42" s="3" t="n">
        <v>18</v>
      </c>
    </row>
    <row r="43" customFormat="false" ht="15" hidden="false" customHeight="false" outlineLevel="0" collapsed="false">
      <c r="A43" s="0" t="s">
        <v>106</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107</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108</v>
      </c>
      <c r="C45" s="3" t="n">
        <v>5.5</v>
      </c>
      <c r="D45" s="3" t="n">
        <v>5.5</v>
      </c>
      <c r="E45" s="3" t="n">
        <v>5.5</v>
      </c>
      <c r="F45" s="3" t="n">
        <v>5.5</v>
      </c>
      <c r="G45" s="3" t="n">
        <v>5.5</v>
      </c>
      <c r="H45" s="3" t="n">
        <v>5.5</v>
      </c>
      <c r="I45" s="3" t="n">
        <v>5.5</v>
      </c>
      <c r="J45" s="3" t="n">
        <v>5.5</v>
      </c>
      <c r="K45" s="3" t="n">
        <v>5.5</v>
      </c>
      <c r="L45" s="3" t="n">
        <v>5.5</v>
      </c>
    </row>
    <row r="46" customFormat="false" ht="15" hidden="false" customHeight="false" outlineLevel="0" collapsed="false">
      <c r="A46" s="0" t="s">
        <v>109</v>
      </c>
      <c r="C46" s="3" t="n">
        <v>7.5</v>
      </c>
      <c r="D46" s="3" t="n">
        <v>7.3</v>
      </c>
      <c r="E46" s="3" t="n">
        <v>7</v>
      </c>
      <c r="F46" s="3" t="n">
        <v>6.8</v>
      </c>
      <c r="G46" s="3" t="n">
        <v>6.5</v>
      </c>
      <c r="H46" s="3" t="n">
        <v>6.3</v>
      </c>
      <c r="I46" s="3" t="n">
        <v>6.2</v>
      </c>
      <c r="J46" s="3" t="n">
        <v>6.2</v>
      </c>
      <c r="K46" s="3" t="n">
        <v>6.2</v>
      </c>
      <c r="L46" s="3" t="n">
        <v>6.2</v>
      </c>
    </row>
    <row r="47" customFormat="false" ht="15" hidden="false" customHeight="false" outlineLevel="0" collapsed="false">
      <c r="A47" s="0" t="s">
        <v>110</v>
      </c>
      <c r="C47" s="3" t="n">
        <v>17.3</v>
      </c>
      <c r="D47" s="3" t="n">
        <v>17.5</v>
      </c>
      <c r="E47" s="3" t="n">
        <v>17.8</v>
      </c>
      <c r="F47" s="3" t="n">
        <v>18</v>
      </c>
      <c r="G47" s="3" t="n">
        <v>18.3</v>
      </c>
      <c r="H47" s="3" t="n">
        <v>18.5</v>
      </c>
      <c r="I47" s="3" t="n">
        <v>18.5</v>
      </c>
      <c r="J47" s="3" t="n">
        <v>18.5</v>
      </c>
      <c r="K47" s="3" t="n">
        <v>18.5</v>
      </c>
      <c r="L47" s="3" t="n">
        <v>18.5</v>
      </c>
    </row>
    <row r="48" customFormat="false" ht="15" hidden="false" customHeight="false" outlineLevel="0" collapsed="false">
      <c r="A48" s="0" t="s">
        <v>111</v>
      </c>
      <c r="B48" s="3" t="n">
        <v>9.5</v>
      </c>
    </row>
    <row r="49" customFormat="false" ht="15" hidden="false" customHeight="false" outlineLevel="0" collapsed="false">
      <c r="A49" s="0" t="s">
        <v>112</v>
      </c>
      <c r="B49" s="3" t="n">
        <v>2.5</v>
      </c>
    </row>
    <row r="50" customFormat="false" ht="15" hidden="false" customHeight="false" outlineLevel="0" collapsed="false">
      <c r="A50" s="0" t="s">
        <v>113</v>
      </c>
      <c r="B50" s="3" t="n">
        <v>13</v>
      </c>
    </row>
    <row r="51" customFormat="false" ht="15" hidden="false" customHeight="false" outlineLevel="0" collapsed="false">
      <c r="A51" s="0" t="s">
        <v>114</v>
      </c>
      <c r="B51" s="3" t="n">
        <v>-10</v>
      </c>
    </row>
    <row r="52" customFormat="false" ht="15" hidden="false" customHeight="false" outlineLevel="0" collapsed="false">
      <c r="A52" s="0" t="s">
        <v>115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118</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Assumptions!C13</f>
        <v>6</v>
      </c>
      <c r="D5" s="4" t="n">
        <f aca="false">Assumptions!D13</f>
        <v>1</v>
      </c>
      <c r="E5" s="4" t="n">
        <f aca="false">Assumptions!E13</f>
        <v>2</v>
      </c>
      <c r="F5" s="4" t="n">
        <f aca="false">Assumptions!F13</f>
        <v>3</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43229.126</v>
      </c>
      <c r="C6" s="0" t="n">
        <f aca="false">B6*(1+C5/100)</f>
        <v>45822.87356</v>
      </c>
      <c r="D6" s="0" t="n">
        <f aca="false">C6*(1+D5/100)</f>
        <v>46281.1022956</v>
      </c>
      <c r="E6" s="0" t="n">
        <f aca="false">D6*(1+E5/100)</f>
        <v>47206.724341512</v>
      </c>
      <c r="F6" s="0" t="n">
        <f aca="false">E6*(1+F5/100)</f>
        <v>48622.9260717574</v>
      </c>
      <c r="G6" s="0" t="n">
        <f aca="false">F6*(1+G5/100)</f>
        <v>50081.6138539101</v>
      </c>
      <c r="H6" s="0" t="n">
        <f aca="false">G6*(1+H5/100)</f>
        <v>51584.0622695274</v>
      </c>
      <c r="I6" s="0" t="n">
        <f aca="false">H6*(1+I5/100)</f>
        <v>52873.6638262656</v>
      </c>
      <c r="J6" s="0" t="n">
        <f aca="false">I6*(1+J5/100)</f>
        <v>54195.5054219222</v>
      </c>
      <c r="K6" s="0" t="n">
        <f aca="false">J6*(1+K5/100)</f>
        <v>55279.4155303607</v>
      </c>
      <c r="L6" s="0" t="n">
        <f aca="false">K6*(1+L5/100)</f>
        <v>56385.0038409679</v>
      </c>
    </row>
    <row r="7" customFormat="false" ht="15" hidden="false" customHeight="false" outlineLevel="0" collapsed="false">
      <c r="A7" s="0" t="s">
        <v>105</v>
      </c>
      <c r="C7" s="4" t="n">
        <f aca="false">Assumptions!C14</f>
        <v>15.5</v>
      </c>
      <c r="D7" s="4" t="n">
        <f aca="false">Assumptions!D14</f>
        <v>14.5</v>
      </c>
      <c r="E7" s="4" t="n">
        <f aca="false">Assumptions!E14</f>
        <v>14</v>
      </c>
      <c r="F7" s="4" t="n">
        <f aca="false">Assumptions!F14</f>
        <v>14</v>
      </c>
      <c r="G7" s="4" t="n">
        <f aca="false">Assumptions!G14</f>
        <v>14</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44</v>
      </c>
      <c r="C8" s="0" t="n">
        <f aca="false">C6*C7/100</f>
        <v>7102.5454018</v>
      </c>
      <c r="D8" s="0" t="n">
        <f aca="false">D6*D7/100</f>
        <v>6710.759832862</v>
      </c>
      <c r="E8" s="0" t="n">
        <f aca="false">E6*E7/100</f>
        <v>6608.94140781168</v>
      </c>
      <c r="F8" s="0" t="n">
        <f aca="false">F6*F7/100</f>
        <v>6807.20965004603</v>
      </c>
      <c r="G8" s="0" t="n">
        <f aca="false">G6*G7/100</f>
        <v>7011.42593954741</v>
      </c>
      <c r="H8" s="0" t="n">
        <f aca="false">H6*H7/100</f>
        <v>7221.76871773384</v>
      </c>
      <c r="I8" s="0" t="n">
        <f aca="false">I6*I7/100</f>
        <v>7402.31293567718</v>
      </c>
      <c r="J8" s="0" t="n">
        <f aca="false">J6*J7/100</f>
        <v>7587.37075906911</v>
      </c>
      <c r="K8" s="0" t="n">
        <f aca="false">K6*K7/100</f>
        <v>7739.11817425049</v>
      </c>
      <c r="L8" s="0" t="n">
        <f aca="false">L6*L7/100</f>
        <v>7893.9005377355</v>
      </c>
    </row>
    <row r="9" customFormat="false" ht="15" hidden="false" customHeight="false" outlineLevel="0" collapsed="false">
      <c r="A9" s="0" t="s">
        <v>106</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121</v>
      </c>
      <c r="C10" s="0" t="n">
        <f aca="false">-C6*C9/100</f>
        <v>-229.1143678</v>
      </c>
      <c r="D10" s="0" t="n">
        <f aca="false">-D6*D9/100</f>
        <v>-231.405511478</v>
      </c>
      <c r="E10" s="0" t="n">
        <f aca="false">-E6*E9/100</f>
        <v>-236.03362170756</v>
      </c>
      <c r="F10" s="0" t="n">
        <f aca="false">-F6*F9/100</f>
        <v>-243.114630358787</v>
      </c>
      <c r="G10" s="0" t="n">
        <f aca="false">-G6*G9/100</f>
        <v>-250.40806926955</v>
      </c>
      <c r="H10" s="0" t="n">
        <f aca="false">-H6*H9/100</f>
        <v>-257.920311347637</v>
      </c>
      <c r="I10" s="0" t="n">
        <f aca="false">-I6*I9/100</f>
        <v>-264.368319131328</v>
      </c>
      <c r="J10" s="0" t="n">
        <f aca="false">-J6*J9/100</f>
        <v>-270.977527109611</v>
      </c>
      <c r="K10" s="0" t="n">
        <f aca="false">-K6*K9/100</f>
        <v>-276.397077651803</v>
      </c>
      <c r="L10" s="0" t="n">
        <f aca="false">-L6*L9/100</f>
        <v>-281.925019204839</v>
      </c>
    </row>
    <row r="11" customFormat="false" ht="15" hidden="false" customHeight="false" outlineLevel="0" collapsed="false">
      <c r="A11" s="0" t="s">
        <v>122</v>
      </c>
      <c r="C11" s="0" t="n">
        <f aca="false">C8+C10+C24</f>
        <v>6873.431034</v>
      </c>
      <c r="D11" s="0" t="n">
        <f aca="false">D8+D10+D24</f>
        <v>6479.354321384</v>
      </c>
      <c r="E11" s="0" t="n">
        <f aca="false">E8+E10+E24</f>
        <v>6372.90778610412</v>
      </c>
      <c r="F11" s="0" t="n">
        <f aca="false">F8+F10+F24</f>
        <v>6564.09501968724</v>
      </c>
      <c r="G11" s="0" t="n">
        <f aca="false">G8+G10+G24</f>
        <v>6761.01787027786</v>
      </c>
      <c r="H11" s="0" t="n">
        <f aca="false">H8+H10+H24</f>
        <v>6963.8484063862</v>
      </c>
      <c r="I11" s="0" t="n">
        <f aca="false">I8+I10+I24</f>
        <v>7137.94461654585</v>
      </c>
      <c r="J11" s="0" t="n">
        <f aca="false">J8+J10+J24</f>
        <v>7316.3932319595</v>
      </c>
      <c r="K11" s="0" t="n">
        <f aca="false">K8+K10+K24</f>
        <v>7462.72109659869</v>
      </c>
      <c r="L11" s="0" t="n">
        <f aca="false">L8+L10+L24</f>
        <v>7611.97551853066</v>
      </c>
    </row>
    <row r="12" customFormat="false" ht="15" hidden="false" customHeight="false" outlineLevel="0" collapsed="false">
      <c r="A12" s="0" t="s">
        <v>123</v>
      </c>
      <c r="C12" s="4" t="n">
        <f aca="false">-C6*Assumptions!C17/100</f>
        <v>-2520.2580458</v>
      </c>
      <c r="D12" s="4" t="n">
        <f aca="false">-D6*Assumptions!D17/100</f>
        <v>-2591.7417285536</v>
      </c>
      <c r="E12" s="4" t="n">
        <f aca="false">-E6*Assumptions!E17/100</f>
        <v>-2690.78328746618</v>
      </c>
      <c r="F12" s="4" t="n">
        <f aca="false">-F6*Assumptions!F17/100</f>
        <v>-2771.50678609017</v>
      </c>
      <c r="G12" s="4" t="n">
        <f aca="false">-G6*Assumptions!G17/100</f>
        <v>-2854.65198967288</v>
      </c>
      <c r="H12" s="4" t="n">
        <f aca="false">-H6*Assumptions!H17/100</f>
        <v>-2940.29154936306</v>
      </c>
      <c r="I12" s="4" t="n">
        <f aca="false">-I6*Assumptions!I17/100</f>
        <v>-3013.79883809714</v>
      </c>
      <c r="J12" s="4" t="n">
        <f aca="false">-J6*Assumptions!J17/100</f>
        <v>-3089.14380904957</v>
      </c>
      <c r="K12" s="4" t="n">
        <f aca="false">-K6*Assumptions!K17/100</f>
        <v>-3150.92668523056</v>
      </c>
      <c r="L12" s="4" t="n">
        <f aca="false">-L6*Assumptions!L17/100</f>
        <v>-3213.94521893517</v>
      </c>
    </row>
    <row r="13" customFormat="false" ht="15" hidden="false" customHeight="false" outlineLevel="0" collapsed="false">
      <c r="A13" s="0" t="s">
        <v>124</v>
      </c>
      <c r="C13" s="0" t="n">
        <f aca="false">C11+C12</f>
        <v>4353.1729882</v>
      </c>
      <c r="D13" s="0" t="n">
        <f aca="false">D11+D12</f>
        <v>3887.6125928304</v>
      </c>
      <c r="E13" s="0" t="n">
        <f aca="false">E11+E12</f>
        <v>3682.12449863794</v>
      </c>
      <c r="F13" s="0" t="n">
        <f aca="false">F11+F12</f>
        <v>3792.58823359707</v>
      </c>
      <c r="G13" s="0" t="n">
        <f aca="false">G11+G12</f>
        <v>3906.36588060499</v>
      </c>
      <c r="H13" s="0" t="n">
        <f aca="false">H11+H12</f>
        <v>4023.55685702314</v>
      </c>
      <c r="I13" s="0" t="n">
        <f aca="false">I11+I12</f>
        <v>4124.14577844871</v>
      </c>
      <c r="J13" s="0" t="n">
        <f aca="false">J11+J12</f>
        <v>4227.24942290993</v>
      </c>
      <c r="K13" s="0" t="n">
        <f aca="false">K11+K12</f>
        <v>4311.79441136813</v>
      </c>
      <c r="L13" s="0" t="n">
        <f aca="false">L11+L12</f>
        <v>4398.03029959549</v>
      </c>
    </row>
    <row r="14" customFormat="false" ht="15" hidden="false" customHeight="false" outlineLevel="0" collapsed="false">
      <c r="A14" s="0" t="s">
        <v>110</v>
      </c>
      <c r="C14" s="4" t="n">
        <f aca="false">Assumptions!C19</f>
        <v>17.3</v>
      </c>
      <c r="D14" s="4" t="n">
        <f aca="false">Assumptions!D19</f>
        <v>18.5</v>
      </c>
      <c r="E14" s="4" t="n">
        <f aca="false">Assumptions!E19</f>
        <v>19.5</v>
      </c>
      <c r="F14" s="4" t="n">
        <f aca="false">Assumptions!F19</f>
        <v>20.5</v>
      </c>
      <c r="G14" s="4" t="n">
        <f aca="false">Assumptions!G19</f>
        <v>21.5</v>
      </c>
      <c r="H14" s="4" t="n">
        <f aca="false">Assumptions!H19</f>
        <v>22.5</v>
      </c>
      <c r="I14" s="4" t="n">
        <f aca="false">Assumptions!I19</f>
        <v>23</v>
      </c>
      <c r="J14" s="4" t="n">
        <f aca="false">Assumptions!J19</f>
        <v>23</v>
      </c>
      <c r="K14" s="4" t="n">
        <f aca="false">Assumptions!K19</f>
        <v>23</v>
      </c>
      <c r="L14" s="4" t="n">
        <f aca="false">Assumptions!L19</f>
        <v>23</v>
      </c>
    </row>
    <row r="15" customFormat="false" ht="15" hidden="false" customHeight="false" outlineLevel="0" collapsed="false">
      <c r="A15" s="0" t="s">
        <v>125</v>
      </c>
      <c r="C15" s="0" t="n">
        <f aca="false">C13-MAX(0,C13)*C14/100</f>
        <v>3600.0740612414</v>
      </c>
      <c r="D15" s="0" t="n">
        <f aca="false">D13-MAX(0,D13)*D14/100</f>
        <v>3168.40426315678</v>
      </c>
      <c r="E15" s="0" t="n">
        <f aca="false">E13-MAX(0,E13)*E14/100</f>
        <v>2964.11022140354</v>
      </c>
      <c r="F15" s="0" t="n">
        <f aca="false">F13-MAX(0,F13)*F14/100</f>
        <v>3015.10764570967</v>
      </c>
      <c r="G15" s="0" t="n">
        <f aca="false">G13-MAX(0,G13)*G14/100</f>
        <v>3066.49721627492</v>
      </c>
      <c r="H15" s="0" t="n">
        <f aca="false">H13-MAX(0,H13)*H14/100</f>
        <v>3118.25656419293</v>
      </c>
      <c r="I15" s="0" t="n">
        <f aca="false">I13-MAX(0,I13)*I14/100</f>
        <v>3175.59224940551</v>
      </c>
      <c r="J15" s="0" t="n">
        <f aca="false">J13-MAX(0,J13)*J14/100</f>
        <v>3254.98205564065</v>
      </c>
      <c r="K15" s="0" t="n">
        <f aca="false">K13-MAX(0,K13)*K14/100</f>
        <v>3320.08169675346</v>
      </c>
      <c r="L15" s="0" t="n">
        <f aca="false">L13-MAX(0,L13)*L14/100</f>
        <v>3386.48333068853</v>
      </c>
    </row>
    <row r="16" customFormat="false" ht="15" hidden="false" customHeight="false" outlineLevel="0" collapsed="false">
      <c r="A16" s="0" t="s">
        <v>126</v>
      </c>
      <c r="C16" s="0" t="n">
        <f aca="false">-C12</f>
        <v>2520.2580458</v>
      </c>
      <c r="D16" s="0" t="n">
        <f aca="false">-D12</f>
        <v>2591.7417285536</v>
      </c>
      <c r="E16" s="0" t="n">
        <f aca="false">-E12</f>
        <v>2690.78328746618</v>
      </c>
      <c r="F16" s="0" t="n">
        <f aca="false">-F12</f>
        <v>2771.50678609017</v>
      </c>
      <c r="G16" s="0" t="n">
        <f aca="false">-G12</f>
        <v>2854.65198967288</v>
      </c>
      <c r="H16" s="0" t="n">
        <f aca="false">-H12</f>
        <v>2940.29154936306</v>
      </c>
      <c r="I16" s="0" t="n">
        <f aca="false">-I12</f>
        <v>3013.79883809714</v>
      </c>
      <c r="J16" s="0" t="n">
        <f aca="false">-J12</f>
        <v>3089.14380904957</v>
      </c>
      <c r="K16" s="0" t="n">
        <f aca="false">-K12</f>
        <v>3150.92668523056</v>
      </c>
      <c r="L16" s="0" t="n">
        <f aca="false">-L12</f>
        <v>3213.94521893517</v>
      </c>
    </row>
    <row r="17" customFormat="false" ht="15" hidden="false" customHeight="false" outlineLevel="0" collapsed="false">
      <c r="A17" s="0" t="s">
        <v>127</v>
      </c>
      <c r="C17" s="4" t="n">
        <f aca="false">-C6*Assumptions!C18/100</f>
        <v>-3207.6011492</v>
      </c>
      <c r="D17" s="4" t="n">
        <f aca="false">-D6*Assumptions!D18/100</f>
        <v>-3008.271649214</v>
      </c>
      <c r="E17" s="4" t="n">
        <f aca="false">-E6*Assumptions!E18/100</f>
        <v>-2832.40346049072</v>
      </c>
      <c r="F17" s="4" t="n">
        <f aca="false">-F6*Assumptions!F18/100</f>
        <v>-2917.37556430544</v>
      </c>
      <c r="G17" s="4" t="n">
        <f aca="false">-G6*Assumptions!G18/100</f>
        <v>-3004.89683123461</v>
      </c>
      <c r="H17" s="4" t="n">
        <f aca="false">-H6*Assumptions!H18/100</f>
        <v>-3095.04373617164</v>
      </c>
      <c r="I17" s="4" t="n">
        <f aca="false">-I6*Assumptions!I18/100</f>
        <v>-3172.41982957593</v>
      </c>
      <c r="J17" s="4" t="n">
        <f aca="false">-J6*Assumptions!J18/100</f>
        <v>-3251.73032531533</v>
      </c>
      <c r="K17" s="4" t="n">
        <f aca="false">-K6*Assumptions!K18/100</f>
        <v>-3316.76493182164</v>
      </c>
      <c r="L17" s="4" t="n">
        <f aca="false">-L6*Assumptions!L18/100</f>
        <v>-3383.10023045807</v>
      </c>
    </row>
    <row r="18" customFormat="false" ht="15" hidden="false" customHeight="false" outlineLevel="0" collapsed="false">
      <c r="A18" s="0" t="s">
        <v>128</v>
      </c>
      <c r="C18" s="4" t="n">
        <f aca="false">(C6-B6)*Assumptions!$B$23/100</f>
        <v>-259.374756</v>
      </c>
      <c r="D18" s="4" t="n">
        <f aca="false">(D6-C6)*Assumptions!$B$23/100</f>
        <v>-45.8228735600002</v>
      </c>
      <c r="E18" s="4" t="n">
        <f aca="false">(E6-D6)*Assumptions!$B$23/100</f>
        <v>-92.5622045912001</v>
      </c>
      <c r="F18" s="4" t="n">
        <f aca="false">(F6-E6)*Assumptions!$B$23/100</f>
        <v>-141.620173024536</v>
      </c>
      <c r="G18" s="4" t="n">
        <f aca="false">(G6-F6)*Assumptions!$B$23/100</f>
        <v>-145.868778215272</v>
      </c>
      <c r="H18" s="4" t="n">
        <f aca="false">(H6-G6)*Assumptions!$B$23/100</f>
        <v>-150.244841561731</v>
      </c>
      <c r="I18" s="4" t="n">
        <f aca="false">(I6-H6)*Assumptions!$B$23/100</f>
        <v>-128.960155673818</v>
      </c>
      <c r="J18" s="4" t="n">
        <f aca="false">(J6-I6)*Assumptions!$B$23/100</f>
        <v>-132.184159565663</v>
      </c>
      <c r="K18" s="4" t="n">
        <f aca="false">(K6-J6)*Assumptions!$B$23/100</f>
        <v>-108.391010843845</v>
      </c>
      <c r="L18" s="4" t="n">
        <f aca="false">(L6-K6)*Assumptions!$B$23/100</f>
        <v>-110.558831060721</v>
      </c>
    </row>
    <row r="19" customFormat="false" ht="15" hidden="false" customHeight="false" outlineLevel="0" collapsed="false">
      <c r="A19" s="0" t="s">
        <v>129</v>
      </c>
      <c r="C19" s="0" t="n">
        <f aca="false">C15+C16+C17+C18</f>
        <v>2653.3562018414</v>
      </c>
      <c r="D19" s="0" t="n">
        <f aca="false">D15+D16+D17+D18</f>
        <v>2706.05146893637</v>
      </c>
      <c r="E19" s="0" t="n">
        <f aca="false">E15+E16+E17+E18</f>
        <v>2729.9278437878</v>
      </c>
      <c r="F19" s="0" t="n">
        <f aca="false">F15+F16+F17+F18</f>
        <v>2727.61869446987</v>
      </c>
      <c r="G19" s="0" t="n">
        <f aca="false">G15+G16+G17+G18</f>
        <v>2770.38359649791</v>
      </c>
      <c r="H19" s="0" t="n">
        <f aca="false">H15+H16+H17+H18</f>
        <v>2813.25953582262</v>
      </c>
      <c r="I19" s="0" t="n">
        <f aca="false">I15+I16+I17+I18</f>
        <v>2888.01110225289</v>
      </c>
      <c r="J19" s="0" t="n">
        <f aca="false">J15+J16+J17+J18</f>
        <v>2960.21137980922</v>
      </c>
      <c r="K19" s="0" t="n">
        <f aca="false">K15+K16+K17+K18</f>
        <v>3045.85243931854</v>
      </c>
      <c r="L19" s="0" t="n">
        <f aca="false">L15+L16+L17+L18</f>
        <v>3106.7694881049</v>
      </c>
    </row>
    <row r="20" customFormat="false" ht="15" hidden="false" customHeight="false" outlineLevel="0" collapsed="false">
      <c r="A20" s="0" t="s">
        <v>130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131</v>
      </c>
      <c r="C21" s="0" t="n">
        <f aca="false">C19*C20</f>
        <v>2423.15634871361</v>
      </c>
      <c r="D21" s="0" t="n">
        <f aca="false">D19*D20</f>
        <v>2256.87660302027</v>
      </c>
      <c r="E21" s="0" t="n">
        <f aca="false">E19*E20</f>
        <v>2079.26005616839</v>
      </c>
      <c r="F21" s="0" t="n">
        <f aca="false">F19*F20</f>
        <v>1897.26144629864</v>
      </c>
      <c r="G21" s="0" t="n">
        <f aca="false">G19*G20</f>
        <v>1759.82430393854</v>
      </c>
      <c r="H21" s="0" t="n">
        <f aca="false">H19*H20</f>
        <v>1632.01852673291</v>
      </c>
      <c r="I21" s="0" t="n">
        <f aca="false">I19*I20</f>
        <v>1530.0302744248</v>
      </c>
      <c r="J21" s="0" t="n">
        <f aca="false">J19*J20</f>
        <v>1432.22011989537</v>
      </c>
      <c r="K21" s="0" t="n">
        <f aca="false">K19*K20</f>
        <v>1345.80391362807</v>
      </c>
      <c r="L21" s="0" t="n">
        <f aca="false">L19*L20</f>
        <v>1253.62556337957</v>
      </c>
    </row>
    <row r="23" customFormat="false" ht="15" hidden="false" customHeight="false" outlineLevel="0" collapsed="false">
      <c r="A23" s="0" t="s">
        <v>107</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Assumptions!$B$20</f>
        <v>9.5</v>
      </c>
    </row>
    <row r="28" customFormat="false" ht="15" hidden="false" customHeight="false" outlineLevel="0" collapsed="false">
      <c r="A28" s="0" t="s">
        <v>112</v>
      </c>
      <c r="B28" s="4" t="n">
        <f aca="false">Assumptions!$B$21</f>
        <v>1.5</v>
      </c>
    </row>
    <row r="29" customFormat="false" ht="15" hidden="false" customHeight="false" outlineLevel="0" collapsed="false">
      <c r="A29" s="0" t="s">
        <v>113</v>
      </c>
      <c r="B29" s="4" t="n">
        <f aca="false">Assumptions!$B$22</f>
        <v>10</v>
      </c>
    </row>
    <row r="30" customFormat="false" ht="15" hidden="false" customHeight="false" outlineLevel="0" collapsed="false">
      <c r="A30" s="0" t="s">
        <v>134</v>
      </c>
      <c r="B30" s="0" t="n">
        <f aca="false">SUM(C21:L21)</f>
        <v>17610.0771562002</v>
      </c>
    </row>
    <row r="31" customFormat="false" ht="15" hidden="false" customHeight="false" outlineLevel="0" collapsed="false">
      <c r="A31" s="0" t="s">
        <v>135</v>
      </c>
      <c r="B31" s="0" t="n">
        <f aca="false">L19</f>
        <v>3106.7694881049</v>
      </c>
    </row>
    <row r="32" customFormat="false" ht="15" hidden="false" customHeight="false" outlineLevel="0" collapsed="false">
      <c r="A32" s="0" t="s">
        <v>136</v>
      </c>
      <c r="B32" s="0" t="n">
        <f aca="false">IF(B27&gt;B28,B31*(1+B28/100)/((B27-B28)/100),B31*B29)</f>
        <v>39417.137880331</v>
      </c>
    </row>
    <row r="33" customFormat="false" ht="15" hidden="false" customHeight="false" outlineLevel="0" collapsed="false">
      <c r="A33" s="0" t="s">
        <v>137</v>
      </c>
      <c r="B33" s="0" t="n">
        <f aca="false">B31*B29</f>
        <v>31067.694881049</v>
      </c>
    </row>
    <row r="34" customFormat="false" ht="15" hidden="false" customHeight="false" outlineLevel="0" collapsed="false">
      <c r="A34" s="0" t="s">
        <v>138</v>
      </c>
      <c r="B34" s="0" t="n">
        <f aca="false">MAX(0,MIN(B32,B33))</f>
        <v>31067.694881049</v>
      </c>
    </row>
    <row r="35" customFormat="false" ht="15" hidden="false" customHeight="false" outlineLevel="0" collapsed="false">
      <c r="A35" s="0" t="s">
        <v>139</v>
      </c>
      <c r="B35" s="0" t="n">
        <f aca="false">B34/(1+B27/100)^L4</f>
        <v>12536.2556337957</v>
      </c>
    </row>
    <row r="36" customFormat="false" ht="15" hidden="false" customHeight="false" outlineLevel="0" collapsed="false">
      <c r="A36" s="0" t="s">
        <v>140</v>
      </c>
      <c r="B36" s="0" t="n">
        <f aca="false">B30+B35</f>
        <v>30146.3327899959</v>
      </c>
    </row>
    <row r="37" customFormat="false" ht="15" hidden="false" customHeight="false" outlineLevel="0" collapsed="false">
      <c r="A37" s="0" t="s">
        <v>141</v>
      </c>
      <c r="B37" s="0" t="n">
        <f aca="false">B36+Assumptions!$B$5-Assumptions!$B$4</f>
        <v>46071.9327899959</v>
      </c>
    </row>
    <row r="38" customFormat="false" ht="15" hidden="false" customHeight="false" outlineLevel="0" collapsed="false">
      <c r="A38" s="0" t="s">
        <v>142</v>
      </c>
      <c r="B38" s="0" t="n">
        <f aca="false">B37/Assumptions!$B$3*Assumptions!$B$10</f>
        <v>50.0776771065512</v>
      </c>
    </row>
    <row r="39" customFormat="false" ht="15" hidden="false" customHeight="false" outlineLevel="0" collapsed="false">
      <c r="A39" s="0" t="s">
        <v>143</v>
      </c>
      <c r="B39" s="4" t="n">
        <f aca="false">B38/Assumptions!$B$2-1</f>
        <v>-0.132102649799806</v>
      </c>
    </row>
    <row r="41" customFormat="false" ht="15" hidden="false" customHeight="false" outlineLevel="0" collapsed="false">
      <c r="A41" s="0" t="s">
        <v>144</v>
      </c>
      <c r="B41" s="0" t="n">
        <f aca="false">SUMPRODUCT(-C10:L10/(1+$B$27/100)^C4:L4)</f>
        <v>1566.8522175232</v>
      </c>
    </row>
    <row r="42" customFormat="false" ht="15" hidden="false" customHeight="false" outlineLevel="0" collapsed="false">
      <c r="A42" s="0" t="s">
        <v>145</v>
      </c>
      <c r="B42" s="0" t="n">
        <f aca="false">IF(B27&gt;B28,-L10*(1+B28/100)/((B27-B28)/100),-L10*20)/(1+B27/100)^L4</f>
        <v>1443.3394502329</v>
      </c>
    </row>
    <row r="43" customFormat="false" ht="15" hidden="false" customHeight="false" outlineLevel="0" collapsed="false">
      <c r="A43" s="0" t="s">
        <v>146</v>
      </c>
      <c r="B43" s="0" t="n">
        <f aca="false">(B37+B41+B42)/Assumptions!$B$3*Assumptions!$B$10</f>
        <v>53.3495912034448</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23358.303929085</v>
      </c>
    </row>
    <row r="47" customFormat="false" ht="15" hidden="false" customHeight="false" outlineLevel="0" collapsed="false">
      <c r="A47" s="0" t="s">
        <v>148</v>
      </c>
      <c r="B47" s="0" t="n">
        <f aca="false">(SUMPRODUCT(C19:L19/(1+B45/100)^C4:L4)+B46/(1+B45/100)^L4+Assumptions!$B$5-Assumptions!$B$4)/Assumptions!$B$3*Assumptions!$B$10</f>
        <v>38.7910588657557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Assumptions!C27</f>
        <v>9</v>
      </c>
      <c r="D5" s="4" t="n">
        <f aca="false">Assumptions!D27</f>
        <v>8</v>
      </c>
      <c r="E5" s="4" t="n">
        <f aca="false">Assumptions!E27</f>
        <v>7</v>
      </c>
      <c r="F5" s="4" t="n">
        <f aca="false">Assumptions!F27</f>
        <v>6.5</v>
      </c>
      <c r="G5" s="4" t="n">
        <f aca="false">Assumptions!G27</f>
        <v>6</v>
      </c>
      <c r="H5" s="4" t="n">
        <f aca="false">Assumptions!H27</f>
        <v>5.5</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38</v>
      </c>
      <c r="B6" s="3" t="n">
        <v>43229.126</v>
      </c>
      <c r="C6" s="0" t="n">
        <f aca="false">B6*(1+C5/100)</f>
        <v>47119.74734</v>
      </c>
      <c r="D6" s="0" t="n">
        <f aca="false">C6*(1+D5/100)</f>
        <v>50889.3271272</v>
      </c>
      <c r="E6" s="0" t="n">
        <f aca="false">D6*(1+E5/100)</f>
        <v>54451.580026104</v>
      </c>
      <c r="F6" s="0" t="n">
        <f aca="false">E6*(1+F5/100)</f>
        <v>57990.9327278008</v>
      </c>
      <c r="G6" s="0" t="n">
        <f aca="false">F6*(1+G5/100)</f>
        <v>61470.3886914688</v>
      </c>
      <c r="H6" s="0" t="n">
        <f aca="false">G6*(1+H5/100)</f>
        <v>64851.2600694996</v>
      </c>
      <c r="I6" s="0" t="n">
        <f aca="false">H6*(1+I5/100)</f>
        <v>68093.8230729746</v>
      </c>
      <c r="J6" s="0" t="n">
        <f aca="false">I6*(1+J5/100)</f>
        <v>71158.0451112584</v>
      </c>
      <c r="K6" s="0" t="n">
        <f aca="false">J6*(1+K5/100)</f>
        <v>74004.3669157088</v>
      </c>
      <c r="L6" s="0" t="n">
        <f aca="false">K6*(1+L5/100)</f>
        <v>76594.5197577586</v>
      </c>
    </row>
    <row r="7" customFormat="false" ht="15" hidden="false" customHeight="false" outlineLevel="0" collapsed="false">
      <c r="A7" s="0" t="s">
        <v>105</v>
      </c>
      <c r="C7" s="4" t="n">
        <f aca="false">Assumptions!C28</f>
        <v>16</v>
      </c>
      <c r="D7" s="4" t="n">
        <f aca="false">Assumptions!D28</f>
        <v>16.2</v>
      </c>
      <c r="E7" s="4" t="n">
        <f aca="false">Assumptions!E28</f>
        <v>16.4</v>
      </c>
      <c r="F7" s="4" t="n">
        <f aca="false">Assumptions!F28</f>
        <v>16.5</v>
      </c>
      <c r="G7" s="4" t="n">
        <f aca="false">Assumptions!G28</f>
        <v>16.5</v>
      </c>
      <c r="H7" s="4" t="n">
        <f aca="false">Assumptions!H28</f>
        <v>16.5</v>
      </c>
      <c r="I7" s="4" t="n">
        <f aca="false">Assumptions!I28</f>
        <v>16.5</v>
      </c>
      <c r="J7" s="4" t="n">
        <f aca="false">Assumptions!J28</f>
        <v>16.5</v>
      </c>
      <c r="K7" s="4" t="n">
        <f aca="false">Assumptions!K28</f>
        <v>16.5</v>
      </c>
      <c r="L7" s="4" t="n">
        <f aca="false">Assumptions!L28</f>
        <v>16.5</v>
      </c>
    </row>
    <row r="8" customFormat="false" ht="15" hidden="false" customHeight="false" outlineLevel="0" collapsed="false">
      <c r="A8" s="0" t="s">
        <v>44</v>
      </c>
      <c r="C8" s="0" t="n">
        <f aca="false">C6*C7/100</f>
        <v>7539.1595744</v>
      </c>
      <c r="D8" s="0" t="n">
        <f aca="false">D6*D7/100</f>
        <v>8244.0709946064</v>
      </c>
      <c r="E8" s="0" t="n">
        <f aca="false">E6*E7/100</f>
        <v>8930.05912428106</v>
      </c>
      <c r="F8" s="0" t="n">
        <f aca="false">F6*F7/100</f>
        <v>9568.50390008713</v>
      </c>
      <c r="G8" s="0" t="n">
        <f aca="false">G6*G7/100</f>
        <v>10142.6141340924</v>
      </c>
      <c r="H8" s="0" t="n">
        <f aca="false">H6*H7/100</f>
        <v>10700.4579114674</v>
      </c>
      <c r="I8" s="0" t="n">
        <f aca="false">I6*I7/100</f>
        <v>11235.4808070408</v>
      </c>
      <c r="J8" s="0" t="n">
        <f aca="false">J6*J7/100</f>
        <v>11741.0774433576</v>
      </c>
      <c r="K8" s="0" t="n">
        <f aca="false">K6*K7/100</f>
        <v>12210.7205410919</v>
      </c>
      <c r="L8" s="0" t="n">
        <f aca="false">L6*L7/100</f>
        <v>12638.0957600302</v>
      </c>
    </row>
    <row r="9" customFormat="false" ht="15" hidden="false" customHeight="false" outlineLevel="0" collapsed="false">
      <c r="A9" s="0" t="s">
        <v>106</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121</v>
      </c>
      <c r="C10" s="0" t="n">
        <f aca="false">-C6*C9/100</f>
        <v>-235.5987367</v>
      </c>
      <c r="D10" s="0" t="n">
        <f aca="false">-D6*D9/100</f>
        <v>-254.446635636</v>
      </c>
      <c r="E10" s="0" t="n">
        <f aca="false">-E6*E9/100</f>
        <v>-272.25790013052</v>
      </c>
      <c r="F10" s="0" t="n">
        <f aca="false">-F6*F9/100</f>
        <v>-289.954663639004</v>
      </c>
      <c r="G10" s="0" t="n">
        <f aca="false">-G6*G9/100</f>
        <v>-307.351943457344</v>
      </c>
      <c r="H10" s="0" t="n">
        <f aca="false">-H6*H9/100</f>
        <v>-324.256300347498</v>
      </c>
      <c r="I10" s="0" t="n">
        <f aca="false">-I6*I9/100</f>
        <v>-340.469115364873</v>
      </c>
      <c r="J10" s="0" t="n">
        <f aca="false">-J6*J9/100</f>
        <v>-355.790225556292</v>
      </c>
      <c r="K10" s="0" t="n">
        <f aca="false">-K6*K9/100</f>
        <v>-370.021834578544</v>
      </c>
      <c r="L10" s="0" t="n">
        <f aca="false">-L6*L9/100</f>
        <v>-382.972598788793</v>
      </c>
    </row>
    <row r="11" customFormat="false" ht="15" hidden="false" customHeight="false" outlineLevel="0" collapsed="false">
      <c r="A11" s="0" t="s">
        <v>122</v>
      </c>
      <c r="C11" s="0" t="n">
        <f aca="false">C8+C10+C24</f>
        <v>7303.5608377</v>
      </c>
      <c r="D11" s="0" t="n">
        <f aca="false">D8+D10+D24</f>
        <v>7989.6243589704</v>
      </c>
      <c r="E11" s="0" t="n">
        <f aca="false">E8+E10+E24</f>
        <v>8657.80122415054</v>
      </c>
      <c r="F11" s="0" t="n">
        <f aca="false">F8+F10+F24</f>
        <v>9278.54923644812</v>
      </c>
      <c r="G11" s="0" t="n">
        <f aca="false">G8+G10+G24</f>
        <v>9835.26219063501</v>
      </c>
      <c r="H11" s="0" t="n">
        <f aca="false">H8+H10+H24</f>
        <v>10376.2016111199</v>
      </c>
      <c r="I11" s="0" t="n">
        <f aca="false">I8+I10+I24</f>
        <v>10895.0116916759</v>
      </c>
      <c r="J11" s="0" t="n">
        <f aca="false">J8+J10+J24</f>
        <v>11385.2872178014</v>
      </c>
      <c r="K11" s="0" t="n">
        <f aca="false">K8+K10+K24</f>
        <v>11840.6987065134</v>
      </c>
      <c r="L11" s="0" t="n">
        <f aca="false">L8+L10+L24</f>
        <v>12255.1231612414</v>
      </c>
    </row>
    <row r="12" customFormat="false" ht="15" hidden="false" customHeight="false" outlineLevel="0" collapsed="false">
      <c r="A12" s="0" t="s">
        <v>123</v>
      </c>
      <c r="C12" s="4" t="n">
        <f aca="false">-C6*Assumptions!C31/100</f>
        <v>-2591.5861037</v>
      </c>
      <c r="D12" s="4" t="n">
        <f aca="false">-D6*Assumptions!D31/100</f>
        <v>-2798.912991996</v>
      </c>
      <c r="E12" s="4" t="n">
        <f aca="false">-E6*Assumptions!E31/100</f>
        <v>-2994.83690143572</v>
      </c>
      <c r="F12" s="4" t="n">
        <f aca="false">-F6*Assumptions!F31/100</f>
        <v>-3189.50130002904</v>
      </c>
      <c r="G12" s="4" t="n">
        <f aca="false">-G6*Assumptions!G31/100</f>
        <v>-3380.87137803078</v>
      </c>
      <c r="H12" s="4" t="n">
        <f aca="false">-H6*Assumptions!H31/100</f>
        <v>-3566.81930382248</v>
      </c>
      <c r="I12" s="4" t="n">
        <f aca="false">-I6*Assumptions!I31/100</f>
        <v>-3745.1602690136</v>
      </c>
      <c r="J12" s="4" t="n">
        <f aca="false">-J6*Assumptions!J31/100</f>
        <v>-3913.69248111921</v>
      </c>
      <c r="K12" s="4" t="n">
        <f aca="false">-K6*Assumptions!K31/100</f>
        <v>-4070.24018036398</v>
      </c>
      <c r="L12" s="4" t="n">
        <f aca="false">-L6*Assumptions!L31/100</f>
        <v>-4212.69858667672</v>
      </c>
    </row>
    <row r="13" customFormat="false" ht="15" hidden="false" customHeight="false" outlineLevel="0" collapsed="false">
      <c r="A13" s="0" t="s">
        <v>124</v>
      </c>
      <c r="C13" s="0" t="n">
        <f aca="false">C11+C12</f>
        <v>4711.974734</v>
      </c>
      <c r="D13" s="0" t="n">
        <f aca="false">D11+D12</f>
        <v>5190.7113669744</v>
      </c>
      <c r="E13" s="0" t="n">
        <f aca="false">E11+E12</f>
        <v>5662.96432271481</v>
      </c>
      <c r="F13" s="0" t="n">
        <f aca="false">F11+F12</f>
        <v>6089.04793641908</v>
      </c>
      <c r="G13" s="0" t="n">
        <f aca="false">G11+G12</f>
        <v>6454.39081260423</v>
      </c>
      <c r="H13" s="0" t="n">
        <f aca="false">H11+H12</f>
        <v>6809.38230729746</v>
      </c>
      <c r="I13" s="0" t="n">
        <f aca="false">I11+I12</f>
        <v>7149.85142266233</v>
      </c>
      <c r="J13" s="0" t="n">
        <f aca="false">J11+J12</f>
        <v>7471.59473668214</v>
      </c>
      <c r="K13" s="0" t="n">
        <f aca="false">K11+K12</f>
        <v>7770.45852614942</v>
      </c>
      <c r="L13" s="0" t="n">
        <f aca="false">L11+L12</f>
        <v>8042.42457456465</v>
      </c>
    </row>
    <row r="14" customFormat="false" ht="15" hidden="false" customHeight="false" outlineLevel="0" collapsed="false">
      <c r="A14" s="0" t="s">
        <v>110</v>
      </c>
      <c r="C14" s="4" t="n">
        <f aca="false">Assumptions!C33</f>
        <v>17.3</v>
      </c>
      <c r="D14" s="4" t="n">
        <f aca="false">Assumptions!D33</f>
        <v>17.8</v>
      </c>
      <c r="E14" s="4" t="n">
        <f aca="false">Assumptions!E33</f>
        <v>18.3</v>
      </c>
      <c r="F14" s="4" t="n">
        <f aca="false">Assumptions!F33</f>
        <v>18.8</v>
      </c>
      <c r="G14" s="4" t="n">
        <f aca="false">Assumptions!G33</f>
        <v>19.2</v>
      </c>
      <c r="H14" s="4" t="n">
        <f aca="false">Assumptions!H33</f>
        <v>19.2</v>
      </c>
      <c r="I14" s="4" t="n">
        <f aca="false">Assumptions!I33</f>
        <v>19.2</v>
      </c>
      <c r="J14" s="4" t="n">
        <f aca="false">Assumptions!J33</f>
        <v>19.2</v>
      </c>
      <c r="K14" s="4" t="n">
        <f aca="false">Assumptions!K33</f>
        <v>19.2</v>
      </c>
      <c r="L14" s="4" t="n">
        <f aca="false">Assumptions!L33</f>
        <v>19.2</v>
      </c>
    </row>
    <row r="15" customFormat="false" ht="15" hidden="false" customHeight="false" outlineLevel="0" collapsed="false">
      <c r="A15" s="0" t="s">
        <v>125</v>
      </c>
      <c r="C15" s="0" t="n">
        <f aca="false">C13-MAX(0,C13)*C14/100</f>
        <v>3896.803105018</v>
      </c>
      <c r="D15" s="0" t="n">
        <f aca="false">D13-MAX(0,D13)*D14/100</f>
        <v>4266.76474365296</v>
      </c>
      <c r="E15" s="0" t="n">
        <f aca="false">E13-MAX(0,E13)*E14/100</f>
        <v>4626.641851658</v>
      </c>
      <c r="F15" s="0" t="n">
        <f aca="false">F13-MAX(0,F13)*F14/100</f>
        <v>4944.30692437229</v>
      </c>
      <c r="G15" s="0" t="n">
        <f aca="false">G13-MAX(0,G13)*G14/100</f>
        <v>5215.14777658422</v>
      </c>
      <c r="H15" s="0" t="n">
        <f aca="false">H13-MAX(0,H13)*H14/100</f>
        <v>5501.98090429635</v>
      </c>
      <c r="I15" s="0" t="n">
        <f aca="false">I13-MAX(0,I13)*I14/100</f>
        <v>5777.07994951116</v>
      </c>
      <c r="J15" s="0" t="n">
        <f aca="false">J13-MAX(0,J13)*J14/100</f>
        <v>6037.04854723917</v>
      </c>
      <c r="K15" s="0" t="n">
        <f aca="false">K13-MAX(0,K13)*K14/100</f>
        <v>6278.53048912873</v>
      </c>
      <c r="L15" s="0" t="n">
        <f aca="false">L13-MAX(0,L13)*L14/100</f>
        <v>6498.27905624824</v>
      </c>
    </row>
    <row r="16" customFormat="false" ht="15" hidden="false" customHeight="false" outlineLevel="0" collapsed="false">
      <c r="A16" s="0" t="s">
        <v>126</v>
      </c>
      <c r="C16" s="0" t="n">
        <f aca="false">-C12</f>
        <v>2591.5861037</v>
      </c>
      <c r="D16" s="0" t="n">
        <f aca="false">-D12</f>
        <v>2798.912991996</v>
      </c>
      <c r="E16" s="0" t="n">
        <f aca="false">-E12</f>
        <v>2994.83690143572</v>
      </c>
      <c r="F16" s="0" t="n">
        <f aca="false">-F12</f>
        <v>3189.50130002904</v>
      </c>
      <c r="G16" s="0" t="n">
        <f aca="false">-G12</f>
        <v>3380.87137803078</v>
      </c>
      <c r="H16" s="0" t="n">
        <f aca="false">-H12</f>
        <v>3566.81930382248</v>
      </c>
      <c r="I16" s="0" t="n">
        <f aca="false">-I12</f>
        <v>3745.1602690136</v>
      </c>
      <c r="J16" s="0" t="n">
        <f aca="false">-J12</f>
        <v>3913.69248111921</v>
      </c>
      <c r="K16" s="0" t="n">
        <f aca="false">-K12</f>
        <v>4070.24018036398</v>
      </c>
      <c r="L16" s="0" t="n">
        <f aca="false">-L12</f>
        <v>4212.69858667672</v>
      </c>
    </row>
    <row r="17" customFormat="false" ht="15" hidden="false" customHeight="false" outlineLevel="0" collapsed="false">
      <c r="A17" s="0" t="s">
        <v>127</v>
      </c>
      <c r="C17" s="4" t="n">
        <f aca="false">-C6*Assumptions!C32/100</f>
        <v>-3298.3823138</v>
      </c>
      <c r="D17" s="4" t="n">
        <f aca="false">-D6*Assumptions!D32/100</f>
        <v>-3460.4742446496</v>
      </c>
      <c r="E17" s="4" t="n">
        <f aca="false">-E6*Assumptions!E32/100</f>
        <v>-3539.35270169676</v>
      </c>
      <c r="F17" s="4" t="n">
        <f aca="false">-F6*Assumptions!F32/100</f>
        <v>-3653.42876185145</v>
      </c>
      <c r="G17" s="4" t="n">
        <f aca="false">-G6*Assumptions!G32/100</f>
        <v>-3811.16409887107</v>
      </c>
      <c r="H17" s="4" t="n">
        <f aca="false">-H6*Assumptions!H32/100</f>
        <v>-3955.92686423948</v>
      </c>
      <c r="I17" s="4" t="n">
        <f aca="false">-I6*Assumptions!I32/100</f>
        <v>-4085.62938437847</v>
      </c>
      <c r="J17" s="4" t="n">
        <f aca="false">-J6*Assumptions!J32/100</f>
        <v>-4269.48270667551</v>
      </c>
      <c r="K17" s="4" t="n">
        <f aca="false">-K6*Assumptions!K32/100</f>
        <v>-4440.26201494253</v>
      </c>
      <c r="L17" s="4" t="n">
        <f aca="false">-L6*Assumptions!L32/100</f>
        <v>-4595.67118546551</v>
      </c>
    </row>
    <row r="18" customFormat="false" ht="15" hidden="false" customHeight="false" outlineLevel="0" collapsed="false">
      <c r="A18" s="0" t="s">
        <v>128</v>
      </c>
      <c r="C18" s="4" t="n">
        <f aca="false">(C6-B6)*Assumptions!$B$37/100</f>
        <v>-389.062134000001</v>
      </c>
      <c r="D18" s="4" t="n">
        <f aca="false">(D6-C6)*Assumptions!$B$37/100</f>
        <v>-376.95797872</v>
      </c>
      <c r="E18" s="4" t="n">
        <f aca="false">(E6-D6)*Assumptions!$B$37/100</f>
        <v>-356.2252898904</v>
      </c>
      <c r="F18" s="4" t="n">
        <f aca="false">(F6-E6)*Assumptions!$B$37/100</f>
        <v>-353.935270169676</v>
      </c>
      <c r="G18" s="4" t="n">
        <f aca="false">(G6-F6)*Assumptions!$B$37/100</f>
        <v>-347.945596366805</v>
      </c>
      <c r="H18" s="4" t="n">
        <f aca="false">(H6-G6)*Assumptions!$B$37/100</f>
        <v>-338.087137803078</v>
      </c>
      <c r="I18" s="4" t="n">
        <f aca="false">(I6-H6)*Assumptions!$B$37/100</f>
        <v>-324.256300347498</v>
      </c>
      <c r="J18" s="4" t="n">
        <f aca="false">(J6-I6)*Assumptions!$B$37/100</f>
        <v>-306.422203828386</v>
      </c>
      <c r="K18" s="4" t="n">
        <f aca="false">(K6-J6)*Assumptions!$B$37/100</f>
        <v>-284.632180445034</v>
      </c>
      <c r="L18" s="4" t="n">
        <f aca="false">(L6-K6)*Assumptions!$B$37/100</f>
        <v>-259.015284204981</v>
      </c>
    </row>
    <row r="19" customFormat="false" ht="15" hidden="false" customHeight="false" outlineLevel="0" collapsed="false">
      <c r="A19" s="0" t="s">
        <v>129</v>
      </c>
      <c r="C19" s="0" t="n">
        <f aca="false">C15+C16+C17+C18</f>
        <v>2800.944760918</v>
      </c>
      <c r="D19" s="0" t="n">
        <f aca="false">D15+D16+D17+D18</f>
        <v>3228.24551227936</v>
      </c>
      <c r="E19" s="0" t="n">
        <f aca="false">E15+E16+E17+E18</f>
        <v>3725.90076150656</v>
      </c>
      <c r="F19" s="0" t="n">
        <f aca="false">F15+F16+F17+F18</f>
        <v>4126.44419238021</v>
      </c>
      <c r="G19" s="0" t="n">
        <f aca="false">G15+G16+G17+G18</f>
        <v>4436.90945937713</v>
      </c>
      <c r="H19" s="0" t="n">
        <f aca="false">H15+H16+H17+H18</f>
        <v>4774.78620607627</v>
      </c>
      <c r="I19" s="0" t="n">
        <f aca="false">I15+I16+I17+I18</f>
        <v>5112.35453379879</v>
      </c>
      <c r="J19" s="0" t="n">
        <f aca="false">J15+J16+J17+J18</f>
        <v>5374.83611785449</v>
      </c>
      <c r="K19" s="0" t="n">
        <f aca="false">K15+K16+K17+K18</f>
        <v>5623.87647410516</v>
      </c>
      <c r="L19" s="0" t="n">
        <f aca="false">L15+L16+L17+L18</f>
        <v>5856.29117325446</v>
      </c>
    </row>
    <row r="20" customFormat="false" ht="15" hidden="false" customHeight="false" outlineLevel="0" collapsed="false">
      <c r="A20" s="0" t="s">
        <v>130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131</v>
      </c>
      <c r="C21" s="0" t="n">
        <f aca="false">C19*C20</f>
        <v>2557.94042092968</v>
      </c>
      <c r="D21" s="0" t="n">
        <f aca="false">D19*D20</f>
        <v>2692.39216219792</v>
      </c>
      <c r="E21" s="0" t="n">
        <f aca="false">E19*E20</f>
        <v>2837.84666480371</v>
      </c>
      <c r="F21" s="0" t="n">
        <f aca="false">F19*F20</f>
        <v>2870.24850371453</v>
      </c>
      <c r="G21" s="0" t="n">
        <f aca="false">G19*G20</f>
        <v>2818.44763694714</v>
      </c>
      <c r="H21" s="0" t="n">
        <f aca="false">H19*H20</f>
        <v>2769.93268849851</v>
      </c>
      <c r="I21" s="0" t="n">
        <f aca="false">I19*I20</f>
        <v>2708.45815107954</v>
      </c>
      <c r="J21" s="0" t="n">
        <f aca="false">J19*J20</f>
        <v>2600.47254788529</v>
      </c>
      <c r="K21" s="0" t="n">
        <f aca="false">K19*K20</f>
        <v>2484.89876623994</v>
      </c>
      <c r="L21" s="0" t="n">
        <f aca="false">L19*L20</f>
        <v>2363.09657008516</v>
      </c>
    </row>
    <row r="23" customFormat="false" ht="15" hidden="false" customHeight="false" outlineLevel="0" collapsed="false">
      <c r="A23" s="0" t="s">
        <v>107</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Assumptions!$B$34</f>
        <v>9.5</v>
      </c>
    </row>
    <row r="28" customFormat="false" ht="15" hidden="false" customHeight="false" outlineLevel="0" collapsed="false">
      <c r="A28" s="0" t="s">
        <v>112</v>
      </c>
      <c r="B28" s="4" t="n">
        <f aca="false">Assumptions!$B$35</f>
        <v>2</v>
      </c>
    </row>
    <row r="29" customFormat="false" ht="15" hidden="false" customHeight="false" outlineLevel="0" collapsed="false">
      <c r="A29" s="0" t="s">
        <v>113</v>
      </c>
      <c r="B29" s="4" t="n">
        <f aca="false">Assumptions!$B$36</f>
        <v>12</v>
      </c>
    </row>
    <row r="30" customFormat="false" ht="15" hidden="false" customHeight="false" outlineLevel="0" collapsed="false">
      <c r="A30" s="0" t="s">
        <v>134</v>
      </c>
      <c r="B30" s="0" t="n">
        <f aca="false">SUM(C21:L21)</f>
        <v>26703.7341123814</v>
      </c>
    </row>
    <row r="31" customFormat="false" ht="15" hidden="false" customHeight="false" outlineLevel="0" collapsed="false">
      <c r="A31" s="0" t="s">
        <v>135</v>
      </c>
      <c r="B31" s="0" t="n">
        <f aca="false">L19</f>
        <v>5856.29117325446</v>
      </c>
    </row>
    <row r="32" customFormat="false" ht="15" hidden="false" customHeight="false" outlineLevel="0" collapsed="false">
      <c r="A32" s="0" t="s">
        <v>136</v>
      </c>
      <c r="B32" s="0" t="n">
        <f aca="false">IF(B27&gt;B28,B31*(1+B28/100)/((B27-B28)/100),B31*B29)</f>
        <v>79645.5599562607</v>
      </c>
    </row>
    <row r="33" customFormat="false" ht="15" hidden="false" customHeight="false" outlineLevel="0" collapsed="false">
      <c r="A33" s="0" t="s">
        <v>137</v>
      </c>
      <c r="B33" s="0" t="n">
        <f aca="false">B31*B29</f>
        <v>70275.4940790536</v>
      </c>
    </row>
    <row r="34" customFormat="false" ht="15" hidden="false" customHeight="false" outlineLevel="0" collapsed="false">
      <c r="A34" s="0" t="s">
        <v>138</v>
      </c>
      <c r="B34" s="0" t="n">
        <f aca="false">MAX(0,MIN(B32,B33))</f>
        <v>70275.4940790536</v>
      </c>
    </row>
    <row r="35" customFormat="false" ht="15" hidden="false" customHeight="false" outlineLevel="0" collapsed="false">
      <c r="A35" s="0" t="s">
        <v>139</v>
      </c>
      <c r="B35" s="0" t="n">
        <f aca="false">B34/(1+B27/100)^L4</f>
        <v>28357.1588410219</v>
      </c>
    </row>
    <row r="36" customFormat="false" ht="15" hidden="false" customHeight="false" outlineLevel="0" collapsed="false">
      <c r="A36" s="0" t="s">
        <v>140</v>
      </c>
      <c r="B36" s="0" t="n">
        <f aca="false">B30+B35</f>
        <v>55060.8929534034</v>
      </c>
    </row>
    <row r="37" customFormat="false" ht="15" hidden="false" customHeight="false" outlineLevel="0" collapsed="false">
      <c r="A37" s="0" t="s">
        <v>141</v>
      </c>
      <c r="B37" s="0" t="n">
        <f aca="false">B36+Assumptions!$B$5-Assumptions!$B$4</f>
        <v>70986.4929534034</v>
      </c>
    </row>
    <row r="38" customFormat="false" ht="15" hidden="false" customHeight="false" outlineLevel="0" collapsed="false">
      <c r="A38" s="0" t="s">
        <v>142</v>
      </c>
      <c r="B38" s="0" t="n">
        <f aca="false">B37/Assumptions!$B$3*Assumptions!$B$10</f>
        <v>77.1584445838337</v>
      </c>
    </row>
    <row r="39" customFormat="false" ht="15" hidden="false" customHeight="false" outlineLevel="0" collapsed="false">
      <c r="A39" s="0" t="s">
        <v>143</v>
      </c>
      <c r="B39" s="4" t="n">
        <f aca="false">B38/Assumptions!$B$2-1</f>
        <v>0.337234741487586</v>
      </c>
    </row>
    <row r="41" customFormat="false" ht="15" hidden="false" customHeight="false" outlineLevel="0" collapsed="false">
      <c r="A41" s="0" t="s">
        <v>144</v>
      </c>
      <c r="B41" s="0" t="n">
        <f aca="false">SUMPRODUCT(-C10:L10/(1+$B$27/100)^C4:L4)</f>
        <v>1890.31021396448</v>
      </c>
    </row>
    <row r="42" customFormat="false" ht="15" hidden="false" customHeight="false" outlineLevel="0" collapsed="false">
      <c r="A42" s="0" t="s">
        <v>145</v>
      </c>
      <c r="B42" s="0" t="n">
        <f aca="false">IF(B27&gt;B28,-L10*(1+B28/100)/((B27-B28)/100),-L10*20)/(1+B27/100)^L4</f>
        <v>2101.67432371502</v>
      </c>
    </row>
    <row r="43" customFormat="false" ht="15" hidden="false" customHeight="false" outlineLevel="0" collapsed="false">
      <c r="A43" s="0" t="s">
        <v>146</v>
      </c>
      <c r="B43" s="0" t="n">
        <f aca="false">(B37+B41+B42)/Assumptions!$B$3*Assumptions!$B$10</f>
        <v>81.4975139604861</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45949.3615132273</v>
      </c>
    </row>
    <row r="47" customFormat="false" ht="15" hidden="false" customHeight="false" outlineLevel="0" collapsed="false">
      <c r="A47" s="0" t="s">
        <v>148</v>
      </c>
      <c r="B47" s="0" t="n">
        <f aca="false">(SUMPRODUCT(C19:L19/(1+B45/100)^C4:L4)+B46/(1+B45/100)^L4+Assumptions!$B$5-Assumptions!$B$4)/Assumptions!$B$3*Assumptions!$B$10</f>
        <v>52.1350751033589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119</v>
      </c>
      <c r="B3" s="0" t="s">
        <v>80</v>
      </c>
      <c r="C3" s="2" t="s">
        <v>94</v>
      </c>
      <c r="D3" s="2" t="s">
        <v>95</v>
      </c>
      <c r="E3" s="2" t="s">
        <v>96</v>
      </c>
      <c r="F3" s="2" t="s">
        <v>97</v>
      </c>
      <c r="G3" s="2" t="s">
        <v>98</v>
      </c>
      <c r="H3" s="2" t="s">
        <v>99</v>
      </c>
      <c r="I3" s="2" t="s">
        <v>100</v>
      </c>
      <c r="J3" s="2" t="s">
        <v>101</v>
      </c>
      <c r="K3" s="2" t="s">
        <v>102</v>
      </c>
      <c r="L3" s="2" t="s">
        <v>103</v>
      </c>
    </row>
    <row r="4" customFormat="false" ht="15" hidden="false" customHeight="false" outlineLevel="0" collapsed="false">
      <c r="A4" s="0" t="s">
        <v>120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104</v>
      </c>
      <c r="C5" s="4" t="n">
        <f aca="false">Assumptions!C41</f>
        <v>12</v>
      </c>
      <c r="D5" s="4" t="n">
        <f aca="false">Assumptions!D41</f>
        <v>12</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43229.126</v>
      </c>
      <c r="C6" s="0" t="n">
        <f aca="false">B6*(1+C5/100)</f>
        <v>48416.62112</v>
      </c>
      <c r="D6" s="0" t="n">
        <f aca="false">C6*(1+D5/100)</f>
        <v>54226.6156544</v>
      </c>
      <c r="E6" s="0" t="n">
        <f aca="false">D6*(1+E5/100)</f>
        <v>60191.543376384</v>
      </c>
      <c r="F6" s="0" t="n">
        <f aca="false">E6*(1+F5/100)</f>
        <v>66210.6977140224</v>
      </c>
      <c r="G6" s="0" t="n">
        <f aca="false">F6*(1+G5/100)</f>
        <v>72169.6605082845</v>
      </c>
      <c r="H6" s="0" t="n">
        <f aca="false">G6*(1+H5/100)</f>
        <v>77943.2333489472</v>
      </c>
      <c r="I6" s="0" t="n">
        <f aca="false">H6*(1+I5/100)</f>
        <v>83399.2596833735</v>
      </c>
      <c r="J6" s="0" t="n">
        <f aca="false">I6*(1+J5/100)</f>
        <v>88403.215264376</v>
      </c>
      <c r="K6" s="0" t="n">
        <f aca="false">J6*(1+K5/100)</f>
        <v>92823.3760275947</v>
      </c>
      <c r="L6" s="0" t="n">
        <f aca="false">K6*(1+L5/100)</f>
        <v>96536.3110686985</v>
      </c>
    </row>
    <row r="7" customFormat="false" ht="15" hidden="false" customHeight="false" outlineLevel="0" collapsed="false">
      <c r="A7" s="0" t="s">
        <v>105</v>
      </c>
      <c r="C7" s="4" t="n">
        <f aca="false">Assumptions!C42</f>
        <v>16.3</v>
      </c>
      <c r="D7" s="4" t="n">
        <f aca="false">Assumptions!D42</f>
        <v>16.7</v>
      </c>
      <c r="E7" s="4" t="n">
        <f aca="false">Assumptions!E42</f>
        <v>17.1</v>
      </c>
      <c r="F7" s="4" t="n">
        <f aca="false">Assumptions!F42</f>
        <v>17.5</v>
      </c>
      <c r="G7" s="4" t="n">
        <f aca="false">Assumptions!G42</f>
        <v>17.8</v>
      </c>
      <c r="H7" s="4" t="n">
        <f aca="false">Assumptions!H42</f>
        <v>18</v>
      </c>
      <c r="I7" s="4" t="n">
        <f aca="false">Assumptions!I42</f>
        <v>18</v>
      </c>
      <c r="J7" s="4" t="n">
        <f aca="false">Assumptions!J42</f>
        <v>18</v>
      </c>
      <c r="K7" s="4" t="n">
        <f aca="false">Assumptions!K42</f>
        <v>18</v>
      </c>
      <c r="L7" s="4" t="n">
        <f aca="false">Assumptions!L42</f>
        <v>18</v>
      </c>
    </row>
    <row r="8" customFormat="false" ht="15" hidden="false" customHeight="false" outlineLevel="0" collapsed="false">
      <c r="A8" s="0" t="s">
        <v>44</v>
      </c>
      <c r="C8" s="0" t="n">
        <f aca="false">C6*C7/100</f>
        <v>7891.90924256</v>
      </c>
      <c r="D8" s="0" t="n">
        <f aca="false">D6*D7/100</f>
        <v>9055.8448142848</v>
      </c>
      <c r="E8" s="0" t="n">
        <f aca="false">E6*E7/100</f>
        <v>10292.7539173617</v>
      </c>
      <c r="F8" s="0" t="n">
        <f aca="false">F6*F7/100</f>
        <v>11586.8720999539</v>
      </c>
      <c r="G8" s="0" t="n">
        <f aca="false">G6*G7/100</f>
        <v>12846.1995704746</v>
      </c>
      <c r="H8" s="0" t="n">
        <f aca="false">H6*H7/100</f>
        <v>14029.7820028105</v>
      </c>
      <c r="I8" s="0" t="n">
        <f aca="false">I6*I7/100</f>
        <v>15011.8667430072</v>
      </c>
      <c r="J8" s="0" t="n">
        <f aca="false">J6*J7/100</f>
        <v>15912.5787475877</v>
      </c>
      <c r="K8" s="0" t="n">
        <f aca="false">K6*K7/100</f>
        <v>16708.2076849671</v>
      </c>
      <c r="L8" s="0" t="n">
        <f aca="false">L6*L7/100</f>
        <v>17376.5359923657</v>
      </c>
    </row>
    <row r="9" customFormat="false" ht="15" hidden="false" customHeight="false" outlineLevel="0" collapsed="false">
      <c r="A9" s="0" t="s">
        <v>106</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121</v>
      </c>
      <c r="C10" s="0" t="n">
        <f aca="false">-C6*C9/100</f>
        <v>-242.0831056</v>
      </c>
      <c r="D10" s="0" t="n">
        <f aca="false">-D6*D9/100</f>
        <v>-271.133078272</v>
      </c>
      <c r="E10" s="0" t="n">
        <f aca="false">-E6*E9/100</f>
        <v>-300.95771688192</v>
      </c>
      <c r="F10" s="0" t="n">
        <f aca="false">-F6*F9/100</f>
        <v>-331.053488570112</v>
      </c>
      <c r="G10" s="0" t="n">
        <f aca="false">-G6*G9/100</f>
        <v>-360.848302541422</v>
      </c>
      <c r="H10" s="0" t="n">
        <f aca="false">-H6*H9/100</f>
        <v>-389.716166744736</v>
      </c>
      <c r="I10" s="0" t="n">
        <f aca="false">-I6*I9/100</f>
        <v>-416.996298416868</v>
      </c>
      <c r="J10" s="0" t="n">
        <f aca="false">-J6*J9/100</f>
        <v>-442.01607632188</v>
      </c>
      <c r="K10" s="0" t="n">
        <f aca="false">-K6*K9/100</f>
        <v>-464.116880137974</v>
      </c>
      <c r="L10" s="0" t="n">
        <f aca="false">-L6*L9/100</f>
        <v>-482.681555343493</v>
      </c>
    </row>
    <row r="11" customFormat="false" ht="15" hidden="false" customHeight="false" outlineLevel="0" collapsed="false">
      <c r="A11" s="0" t="s">
        <v>122</v>
      </c>
      <c r="C11" s="0" t="n">
        <f aca="false">C8+C10+C24</f>
        <v>7649.82613696</v>
      </c>
      <c r="D11" s="0" t="n">
        <f aca="false">D8+D10+D24</f>
        <v>8784.7117360128</v>
      </c>
      <c r="E11" s="0" t="n">
        <f aca="false">E8+E10+E24</f>
        <v>9991.79620047975</v>
      </c>
      <c r="F11" s="0" t="n">
        <f aca="false">F8+F10+F24</f>
        <v>11255.8186113838</v>
      </c>
      <c r="G11" s="0" t="n">
        <f aca="false">G8+G10+G24</f>
        <v>12485.3512679332</v>
      </c>
      <c r="H11" s="0" t="n">
        <f aca="false">H8+H10+H24</f>
        <v>13640.0658360658</v>
      </c>
      <c r="I11" s="0" t="n">
        <f aca="false">I8+I10+I24</f>
        <v>14594.8704445904</v>
      </c>
      <c r="J11" s="0" t="n">
        <f aca="false">J8+J10+J24</f>
        <v>15470.5626712658</v>
      </c>
      <c r="K11" s="0" t="n">
        <f aca="false">K8+K10+K24</f>
        <v>16244.0908048291</v>
      </c>
      <c r="L11" s="0" t="n">
        <f aca="false">L8+L10+L24</f>
        <v>16893.8544370222</v>
      </c>
    </row>
    <row r="12" customFormat="false" ht="15" hidden="false" customHeight="false" outlineLevel="0" collapsed="false">
      <c r="A12" s="0" t="s">
        <v>123</v>
      </c>
      <c r="C12" s="4" t="n">
        <f aca="false">-C6*Assumptions!C45/100</f>
        <v>-2662.9141616</v>
      </c>
      <c r="D12" s="4" t="n">
        <f aca="false">-D6*Assumptions!D45/100</f>
        <v>-2982.463860992</v>
      </c>
      <c r="E12" s="4" t="n">
        <f aca="false">-E6*Assumptions!E45/100</f>
        <v>-3310.53488570112</v>
      </c>
      <c r="F12" s="4" t="n">
        <f aca="false">-F6*Assumptions!F45/100</f>
        <v>-3641.58837427123</v>
      </c>
      <c r="G12" s="4" t="n">
        <f aca="false">-G6*Assumptions!G45/100</f>
        <v>-3969.33132795565</v>
      </c>
      <c r="H12" s="4" t="n">
        <f aca="false">-H6*Assumptions!H45/100</f>
        <v>-4286.8778341921</v>
      </c>
      <c r="I12" s="4" t="n">
        <f aca="false">-I6*Assumptions!I45/100</f>
        <v>-4586.95928258554</v>
      </c>
      <c r="J12" s="4" t="n">
        <f aca="false">-J6*Assumptions!J45/100</f>
        <v>-4862.17683954068</v>
      </c>
      <c r="K12" s="4" t="n">
        <f aca="false">-K6*Assumptions!K45/100</f>
        <v>-5105.28568151771</v>
      </c>
      <c r="L12" s="4" t="n">
        <f aca="false">-L6*Assumptions!L45/100</f>
        <v>-5309.49710877842</v>
      </c>
    </row>
    <row r="13" customFormat="false" ht="15" hidden="false" customHeight="false" outlineLevel="0" collapsed="false">
      <c r="A13" s="0" t="s">
        <v>124</v>
      </c>
      <c r="C13" s="0" t="n">
        <f aca="false">C11+C12</f>
        <v>4986.91197536</v>
      </c>
      <c r="D13" s="0" t="n">
        <f aca="false">D11+D12</f>
        <v>5802.2478750208</v>
      </c>
      <c r="E13" s="0" t="n">
        <f aca="false">E11+E12</f>
        <v>6681.26131477863</v>
      </c>
      <c r="F13" s="0" t="n">
        <f aca="false">F11+F12</f>
        <v>7614.23023711258</v>
      </c>
      <c r="G13" s="0" t="n">
        <f aca="false">G11+G12</f>
        <v>8516.01993997757</v>
      </c>
      <c r="H13" s="0" t="n">
        <f aca="false">H11+H12</f>
        <v>9353.18800187367</v>
      </c>
      <c r="I13" s="0" t="n">
        <f aca="false">I11+I12</f>
        <v>10007.9111620048</v>
      </c>
      <c r="J13" s="0" t="n">
        <f aca="false">J11+J12</f>
        <v>10608.3858317251</v>
      </c>
      <c r="K13" s="0" t="n">
        <f aca="false">K11+K12</f>
        <v>11138.8051233114</v>
      </c>
      <c r="L13" s="0" t="n">
        <f aca="false">L11+L12</f>
        <v>11584.3573282438</v>
      </c>
    </row>
    <row r="14" customFormat="false" ht="15" hidden="false" customHeight="false" outlineLevel="0" collapsed="false">
      <c r="A14" s="0" t="s">
        <v>110</v>
      </c>
      <c r="C14" s="4" t="n">
        <f aca="false">Assumptions!C47</f>
        <v>17.3</v>
      </c>
      <c r="D14" s="4" t="n">
        <f aca="false">Assumptions!D47</f>
        <v>17.5</v>
      </c>
      <c r="E14" s="4" t="n">
        <f aca="false">Assumptions!E47</f>
        <v>17.8</v>
      </c>
      <c r="F14" s="4" t="n">
        <f aca="false">Assumptions!F47</f>
        <v>18</v>
      </c>
      <c r="G14" s="4" t="n">
        <f aca="false">Assumptions!G47</f>
        <v>18.3</v>
      </c>
      <c r="H14" s="4" t="n">
        <f aca="false">Assumptions!H47</f>
        <v>18.5</v>
      </c>
      <c r="I14" s="4" t="n">
        <f aca="false">Assumptions!I47</f>
        <v>18.5</v>
      </c>
      <c r="J14" s="4" t="n">
        <f aca="false">Assumptions!J47</f>
        <v>18.5</v>
      </c>
      <c r="K14" s="4" t="n">
        <f aca="false">Assumptions!K47</f>
        <v>18.5</v>
      </c>
      <c r="L14" s="4" t="n">
        <f aca="false">Assumptions!L47</f>
        <v>18.5</v>
      </c>
    </row>
    <row r="15" customFormat="false" ht="15" hidden="false" customHeight="false" outlineLevel="0" collapsed="false">
      <c r="A15" s="0" t="s">
        <v>125</v>
      </c>
      <c r="C15" s="0" t="n">
        <f aca="false">C13-MAX(0,C13)*C14/100</f>
        <v>4124.17620362272</v>
      </c>
      <c r="D15" s="0" t="n">
        <f aca="false">D13-MAX(0,D13)*D14/100</f>
        <v>4786.85449689216</v>
      </c>
      <c r="E15" s="0" t="n">
        <f aca="false">E13-MAX(0,E13)*E14/100</f>
        <v>5491.99680074803</v>
      </c>
      <c r="F15" s="0" t="n">
        <f aca="false">F13-MAX(0,F13)*F14/100</f>
        <v>6243.66879443232</v>
      </c>
      <c r="G15" s="0" t="n">
        <f aca="false">G13-MAX(0,G13)*G14/100</f>
        <v>6957.58829096167</v>
      </c>
      <c r="H15" s="0" t="n">
        <f aca="false">H13-MAX(0,H13)*H14/100</f>
        <v>7622.84822152704</v>
      </c>
      <c r="I15" s="0" t="n">
        <f aca="false">I13-MAX(0,I13)*I14/100</f>
        <v>8156.44759703393</v>
      </c>
      <c r="J15" s="0" t="n">
        <f aca="false">J13-MAX(0,J13)*J14/100</f>
        <v>8645.83445285597</v>
      </c>
      <c r="K15" s="0" t="n">
        <f aca="false">K13-MAX(0,K13)*K14/100</f>
        <v>9078.12617549877</v>
      </c>
      <c r="L15" s="0" t="n">
        <f aca="false">L13-MAX(0,L13)*L14/100</f>
        <v>9441.25122251872</v>
      </c>
    </row>
    <row r="16" customFormat="false" ht="15" hidden="false" customHeight="false" outlineLevel="0" collapsed="false">
      <c r="A16" s="0" t="s">
        <v>126</v>
      </c>
      <c r="C16" s="0" t="n">
        <f aca="false">-C12</f>
        <v>2662.9141616</v>
      </c>
      <c r="D16" s="0" t="n">
        <f aca="false">-D12</f>
        <v>2982.463860992</v>
      </c>
      <c r="E16" s="0" t="n">
        <f aca="false">-E12</f>
        <v>3310.53488570112</v>
      </c>
      <c r="F16" s="0" t="n">
        <f aca="false">-F12</f>
        <v>3641.58837427123</v>
      </c>
      <c r="G16" s="0" t="n">
        <f aca="false">-G12</f>
        <v>3969.33132795565</v>
      </c>
      <c r="H16" s="0" t="n">
        <f aca="false">-H12</f>
        <v>4286.8778341921</v>
      </c>
      <c r="I16" s="0" t="n">
        <f aca="false">-I12</f>
        <v>4586.95928258554</v>
      </c>
      <c r="J16" s="0" t="n">
        <f aca="false">-J12</f>
        <v>4862.17683954068</v>
      </c>
      <c r="K16" s="0" t="n">
        <f aca="false">-K12</f>
        <v>5105.28568151771</v>
      </c>
      <c r="L16" s="0" t="n">
        <f aca="false">-L12</f>
        <v>5309.49710877842</v>
      </c>
    </row>
    <row r="17" customFormat="false" ht="15" hidden="false" customHeight="false" outlineLevel="0" collapsed="false">
      <c r="A17" s="0" t="s">
        <v>127</v>
      </c>
      <c r="C17" s="4" t="n">
        <f aca="false">-C6*Assumptions!C46/100</f>
        <v>-3631.246584</v>
      </c>
      <c r="D17" s="4" t="n">
        <f aca="false">-D6*Assumptions!D46/100</f>
        <v>-3958.5429427712</v>
      </c>
      <c r="E17" s="4" t="n">
        <f aca="false">-E6*Assumptions!E46/100</f>
        <v>-4213.40803634688</v>
      </c>
      <c r="F17" s="4" t="n">
        <f aca="false">-F6*Assumptions!F46/100</f>
        <v>-4502.32744455353</v>
      </c>
      <c r="G17" s="4" t="n">
        <f aca="false">-G6*Assumptions!G46/100</f>
        <v>-4691.02793303849</v>
      </c>
      <c r="H17" s="4" t="n">
        <f aca="false">-H6*Assumptions!H46/100</f>
        <v>-4910.42370098368</v>
      </c>
      <c r="I17" s="4" t="n">
        <f aca="false">-I6*Assumptions!I46/100</f>
        <v>-5170.75410036916</v>
      </c>
      <c r="J17" s="4" t="n">
        <f aca="false">-J6*Assumptions!J46/100</f>
        <v>-5480.99934639131</v>
      </c>
      <c r="K17" s="4" t="n">
        <f aca="false">-K6*Assumptions!K46/100</f>
        <v>-5755.04931371087</v>
      </c>
      <c r="L17" s="4" t="n">
        <f aca="false">-L6*Assumptions!L46/100</f>
        <v>-5985.25128625931</v>
      </c>
    </row>
    <row r="18" customFormat="false" ht="15" hidden="false" customHeight="false" outlineLevel="0" collapsed="false">
      <c r="A18" s="0" t="s">
        <v>128</v>
      </c>
      <c r="C18" s="4" t="n">
        <f aca="false">(C6-B6)*Assumptions!$B$51/100</f>
        <v>-518.749512000001</v>
      </c>
      <c r="D18" s="4" t="n">
        <f aca="false">(D6-C6)*Assumptions!$B$51/100</f>
        <v>-580.999453440001</v>
      </c>
      <c r="E18" s="4" t="n">
        <f aca="false">(E6-D6)*Assumptions!$B$51/100</f>
        <v>-596.492772198401</v>
      </c>
      <c r="F18" s="4" t="n">
        <f aca="false">(F6-E6)*Assumptions!$B$51/100</f>
        <v>-601.915433763841</v>
      </c>
      <c r="G18" s="4" t="n">
        <f aca="false">(G6-F6)*Assumptions!$B$51/100</f>
        <v>-595.896279426203</v>
      </c>
      <c r="H18" s="4" t="n">
        <f aca="false">(H6-G6)*Assumptions!$B$51/100</f>
        <v>-577.357284066276</v>
      </c>
      <c r="I18" s="4" t="n">
        <f aca="false">(I6-H6)*Assumptions!$B$51/100</f>
        <v>-545.602633442631</v>
      </c>
      <c r="J18" s="4" t="n">
        <f aca="false">(J6-I6)*Assumptions!$B$51/100</f>
        <v>-500.395558100242</v>
      </c>
      <c r="K18" s="4" t="n">
        <f aca="false">(K6-J6)*Assumptions!$B$51/100</f>
        <v>-442.01607632188</v>
      </c>
      <c r="L18" s="4" t="n">
        <f aca="false">(L6-K6)*Assumptions!$B$51/100</f>
        <v>-371.293504110379</v>
      </c>
    </row>
    <row r="19" customFormat="false" ht="15" hidden="false" customHeight="false" outlineLevel="0" collapsed="false">
      <c r="A19" s="0" t="s">
        <v>129</v>
      </c>
      <c r="C19" s="0" t="n">
        <f aca="false">C15+C16+C17+C18</f>
        <v>2637.09426922272</v>
      </c>
      <c r="D19" s="0" t="n">
        <f aca="false">D15+D16+D17+D18</f>
        <v>3229.77596167296</v>
      </c>
      <c r="E19" s="0" t="n">
        <f aca="false">E15+E16+E17+E18</f>
        <v>3992.63087790387</v>
      </c>
      <c r="F19" s="0" t="n">
        <f aca="false">F15+F16+F17+F18</f>
        <v>4781.01429038618</v>
      </c>
      <c r="G19" s="0" t="n">
        <f aca="false">G15+G16+G17+G18</f>
        <v>5639.99540645262</v>
      </c>
      <c r="H19" s="0" t="n">
        <f aca="false">H15+H16+H17+H18</f>
        <v>6421.94507066918</v>
      </c>
      <c r="I19" s="0" t="n">
        <f aca="false">I15+I16+I17+I18</f>
        <v>7027.05014580769</v>
      </c>
      <c r="J19" s="0" t="n">
        <f aca="false">J15+J16+J17+J18</f>
        <v>7526.61638790509</v>
      </c>
      <c r="K19" s="0" t="n">
        <f aca="false">K15+K16+K17+K18</f>
        <v>7986.34646698373</v>
      </c>
      <c r="L19" s="0" t="n">
        <f aca="false">L15+L16+L17+L18</f>
        <v>8394.20354092745</v>
      </c>
    </row>
    <row r="20" customFormat="false" ht="15" hidden="false" customHeight="false" outlineLevel="0" collapsed="false">
      <c r="A20" s="0" t="s">
        <v>130</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131</v>
      </c>
      <c r="C21" s="0" t="n">
        <f aca="false">C19*C20</f>
        <v>2408.30526869655</v>
      </c>
      <c r="D21" s="0" t="n">
        <f aca="false">D19*D20</f>
        <v>2693.66857377699</v>
      </c>
      <c r="E21" s="0" t="n">
        <f aca="false">E19*E20</f>
        <v>3041.00268523264</v>
      </c>
      <c r="F21" s="0" t="n">
        <f aca="false">F19*F20</f>
        <v>3325.55063717055</v>
      </c>
      <c r="G21" s="0" t="n">
        <f aca="false">G19*G20</f>
        <v>3582.68111424132</v>
      </c>
      <c r="H21" s="0" t="n">
        <f aca="false">H19*H20</f>
        <v>3725.47687105894</v>
      </c>
      <c r="I21" s="0" t="n">
        <f aca="false">I19*I20</f>
        <v>3722.83868805069</v>
      </c>
      <c r="J21" s="0" t="n">
        <f aca="false">J19*J20</f>
        <v>3641.55461971996</v>
      </c>
      <c r="K21" s="0" t="n">
        <f aca="false">K19*K20</f>
        <v>3528.75148911059</v>
      </c>
      <c r="L21" s="0" t="n">
        <f aca="false">L19*L20</f>
        <v>3387.1802151427</v>
      </c>
    </row>
    <row r="23" customFormat="false" ht="15" hidden="false" customHeight="false" outlineLevel="0" collapsed="false">
      <c r="A23" s="0" t="s">
        <v>107</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132</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133</v>
      </c>
    </row>
    <row r="27" customFormat="false" ht="15" hidden="false" customHeight="false" outlineLevel="0" collapsed="false">
      <c r="A27" s="0" t="s">
        <v>111</v>
      </c>
      <c r="B27" s="4" t="n">
        <f aca="false">Assumptions!$B$48</f>
        <v>9.5</v>
      </c>
    </row>
    <row r="28" customFormat="false" ht="15" hidden="false" customHeight="false" outlineLevel="0" collapsed="false">
      <c r="A28" s="0" t="s">
        <v>112</v>
      </c>
      <c r="B28" s="4" t="n">
        <f aca="false">Assumptions!$B$49</f>
        <v>2.5</v>
      </c>
    </row>
    <row r="29" customFormat="false" ht="15" hidden="false" customHeight="false" outlineLevel="0" collapsed="false">
      <c r="A29" s="0" t="s">
        <v>113</v>
      </c>
      <c r="B29" s="4" t="n">
        <f aca="false">Assumptions!$B$50</f>
        <v>13</v>
      </c>
    </row>
    <row r="30" customFormat="false" ht="15" hidden="false" customHeight="false" outlineLevel="0" collapsed="false">
      <c r="A30" s="0" t="s">
        <v>134</v>
      </c>
      <c r="B30" s="0" t="n">
        <f aca="false">SUM(C21:L21)</f>
        <v>33057.0101622009</v>
      </c>
    </row>
    <row r="31" customFormat="false" ht="15" hidden="false" customHeight="false" outlineLevel="0" collapsed="false">
      <c r="A31" s="0" t="s">
        <v>135</v>
      </c>
      <c r="B31" s="0" t="n">
        <f aca="false">L19</f>
        <v>8394.20354092745</v>
      </c>
    </row>
    <row r="32" customFormat="false" ht="15" hidden="false" customHeight="false" outlineLevel="0" collapsed="false">
      <c r="A32" s="0" t="s">
        <v>136</v>
      </c>
      <c r="B32" s="0" t="n">
        <f aca="false">IF(B27&gt;B28,B31*(1+B28/100)/((B27-B28)/100),B31*B29)</f>
        <v>122915.123277866</v>
      </c>
    </row>
    <row r="33" customFormat="false" ht="15" hidden="false" customHeight="false" outlineLevel="0" collapsed="false">
      <c r="A33" s="0" t="s">
        <v>137</v>
      </c>
      <c r="B33" s="0" t="n">
        <f aca="false">B31*B29</f>
        <v>109124.646032057</v>
      </c>
    </row>
    <row r="34" customFormat="false" ht="15" hidden="false" customHeight="false" outlineLevel="0" collapsed="false">
      <c r="A34" s="0" t="s">
        <v>138</v>
      </c>
      <c r="B34" s="0" t="n">
        <f aca="false">MAX(0,MIN(B32,B33))</f>
        <v>109124.646032057</v>
      </c>
    </row>
    <row r="35" customFormat="false" ht="15" hidden="false" customHeight="false" outlineLevel="0" collapsed="false">
      <c r="A35" s="0" t="s">
        <v>139</v>
      </c>
      <c r="B35" s="0" t="n">
        <f aca="false">B34/(1+B27/100)^L4</f>
        <v>44033.3427968552</v>
      </c>
    </row>
    <row r="36" customFormat="false" ht="15" hidden="false" customHeight="false" outlineLevel="0" collapsed="false">
      <c r="A36" s="0" t="s">
        <v>140</v>
      </c>
      <c r="B36" s="0" t="n">
        <f aca="false">B30+B35</f>
        <v>77090.3529590561</v>
      </c>
    </row>
    <row r="37" customFormat="false" ht="15" hidden="false" customHeight="false" outlineLevel="0" collapsed="false">
      <c r="A37" s="0" t="s">
        <v>141</v>
      </c>
      <c r="B37" s="0" t="n">
        <f aca="false">B36+Assumptions!$B$5-Assumptions!$B$4</f>
        <v>93015.9529590561</v>
      </c>
    </row>
    <row r="38" customFormat="false" ht="15" hidden="false" customHeight="false" outlineLevel="0" collapsed="false">
      <c r="A38" s="0" t="s">
        <v>142</v>
      </c>
      <c r="B38" s="0" t="n">
        <f aca="false">B37/Assumptions!$B$3*Assumptions!$B$10</f>
        <v>101.10326561019</v>
      </c>
    </row>
    <row r="39" customFormat="false" ht="15" hidden="false" customHeight="false" outlineLevel="0" collapsed="false">
      <c r="A39" s="0" t="s">
        <v>143</v>
      </c>
      <c r="B39" s="4" t="n">
        <f aca="false">B38/Assumptions!$B$2-1</f>
        <v>0.752222974180067</v>
      </c>
    </row>
    <row r="41" customFormat="false" ht="15" hidden="false" customHeight="false" outlineLevel="0" collapsed="false">
      <c r="A41" s="0" t="s">
        <v>144</v>
      </c>
      <c r="B41" s="0" t="n">
        <f aca="false">SUMPRODUCT(-C10:L10/(1+$B$27/100)^C4:L4)</f>
        <v>2196.62290723298</v>
      </c>
    </row>
    <row r="42" customFormat="false" ht="15" hidden="false" customHeight="false" outlineLevel="0" collapsed="false">
      <c r="A42" s="0" t="s">
        <v>145</v>
      </c>
      <c r="B42" s="0" t="n">
        <f aca="false">IF(B27&gt;B28,-L10*(1+B28/100)/((B27-B28)/100),-L10*20)/(1+B27/100)^L4</f>
        <v>2851.97252342891</v>
      </c>
    </row>
    <row r="43" customFormat="false" ht="15" hidden="false" customHeight="false" outlineLevel="0" collapsed="false">
      <c r="A43" s="0" t="s">
        <v>146</v>
      </c>
      <c r="B43" s="0" t="n">
        <f aca="false">(B37+B41+B42)/Assumptions!$B$3*Assumptions!$B$10</f>
        <v>106.590813375349</v>
      </c>
    </row>
    <row r="45" customFormat="false" ht="15" hidden="false" customHeight="false" outlineLevel="0" collapsed="false">
      <c r="A45" s="0" t="s">
        <v>87</v>
      </c>
      <c r="B45" s="4" t="n">
        <f aca="false">Assumptions!$B$6</f>
        <v>15</v>
      </c>
    </row>
    <row r="46" customFormat="false" ht="15" hidden="false" customHeight="false" outlineLevel="0" collapsed="false">
      <c r="A46" s="0" t="s">
        <v>147</v>
      </c>
      <c r="B46" s="0" t="n">
        <f aca="false">MAX(0,MIN(IF(B45&gt;B28,B31*(1+B28/100)/((B45-B28)/100),B31*B29),B31*B29))</f>
        <v>68832.4690356051</v>
      </c>
    </row>
    <row r="47" customFormat="false" ht="15" hidden="false" customHeight="false" outlineLevel="0" collapsed="false">
      <c r="A47" s="0" t="s">
        <v>148</v>
      </c>
      <c r="B47" s="0" t="n">
        <f aca="false">(SUMPRODUCT(C19:L19/(1+B45/100)^C4:L4)+B46/(1+B45/100)^L4+Assumptions!$B$5-Assumptions!$B$4)/Assumptions!$B$3*Assumptions!$B$10</f>
        <v>63.1100105938601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151</v>
      </c>
    </row>
    <row r="3" customFormat="false" ht="15" hidden="false" customHeight="false" outlineLevel="0" collapsed="false">
      <c r="A3" s="2" t="s">
        <v>152</v>
      </c>
      <c r="B3" s="2" t="s">
        <v>153</v>
      </c>
      <c r="C3" s="2" t="s">
        <v>143</v>
      </c>
      <c r="D3" s="2" t="s">
        <v>154</v>
      </c>
      <c r="E3" s="2" t="s">
        <v>146</v>
      </c>
      <c r="F3" s="2" t="s">
        <v>155</v>
      </c>
    </row>
    <row r="4" customFormat="false" ht="15" hidden="false" customHeight="false" outlineLevel="0" collapsed="false">
      <c r="A4" s="0" t="s">
        <v>156</v>
      </c>
      <c r="B4" s="4" t="n">
        <f aca="false">DCF_Bear!$B$38</f>
        <v>50.0776771065512</v>
      </c>
      <c r="C4" s="0" t="n">
        <f aca="false">B4/Assumptions!$B$2-1</f>
        <v>-0.132102649799806</v>
      </c>
      <c r="D4" s="4" t="n">
        <f aca="false">Assumptions!$B$24</f>
        <v>0.25</v>
      </c>
      <c r="E4" s="4" t="n">
        <f aca="false">DCF_Bear!$B$43</f>
        <v>53.3495912034448</v>
      </c>
      <c r="F4" s="4" t="n">
        <f aca="false">DCF_Bear!$B$47</f>
        <v>38.7910588657557</v>
      </c>
    </row>
    <row r="5" customFormat="false" ht="15" hidden="false" customHeight="false" outlineLevel="0" collapsed="false">
      <c r="A5" s="0" t="s">
        <v>157</v>
      </c>
      <c r="B5" s="4" t="n">
        <f aca="false">DCF_Base!$B$38</f>
        <v>77.1584445838337</v>
      </c>
      <c r="C5" s="0" t="n">
        <f aca="false">B5/Assumptions!$B$2-1</f>
        <v>0.337234741487586</v>
      </c>
      <c r="D5" s="4" t="n">
        <f aca="false">Assumptions!$B$38</f>
        <v>0.5</v>
      </c>
      <c r="E5" s="4" t="n">
        <f aca="false">DCF_Base!$B$43</f>
        <v>81.4975139604861</v>
      </c>
      <c r="F5" s="4" t="n">
        <f aca="false">DCF_Base!$B$47</f>
        <v>52.1350751033589</v>
      </c>
    </row>
    <row r="6" customFormat="false" ht="15" hidden="false" customHeight="false" outlineLevel="0" collapsed="false">
      <c r="A6" s="0" t="s">
        <v>158</v>
      </c>
      <c r="B6" s="4" t="n">
        <f aca="false">DCF_Bull!$B$38</f>
        <v>101.10326561019</v>
      </c>
      <c r="C6" s="0" t="n">
        <f aca="false">B6/Assumptions!$B$2-1</f>
        <v>0.752222974180067</v>
      </c>
      <c r="D6" s="4" t="n">
        <f aca="false">Assumptions!$B$52</f>
        <v>0.25</v>
      </c>
      <c r="E6" s="4" t="n">
        <f aca="false">DCF_Bull!$B$43</f>
        <v>106.590813375349</v>
      </c>
      <c r="F6" s="4" t="n">
        <f aca="false">DCF_Bull!$B$47</f>
        <v>63.1100105938601</v>
      </c>
    </row>
    <row r="8" customFormat="false" ht="15" hidden="false" customHeight="false" outlineLevel="0" collapsed="false">
      <c r="A8" s="0" t="s">
        <v>159</v>
      </c>
      <c r="B8" s="0" t="n">
        <f aca="false">SUMPRODUCT(B4:B6,D4:D6)</f>
        <v>76.3744579711021</v>
      </c>
    </row>
    <row r="9" customFormat="false" ht="15" hidden="false" customHeight="false" outlineLevel="0" collapsed="false">
      <c r="A9" s="0" t="s">
        <v>160</v>
      </c>
      <c r="B9" s="0" t="n">
        <f aca="false">SUMPRODUCT(E4:E6,D4:D6)</f>
        <v>80.7338581249415</v>
      </c>
    </row>
    <row r="10" customFormat="false" ht="15" hidden="false" customHeight="false" outlineLevel="0" collapsed="false">
      <c r="A10" s="0" t="s">
        <v>161</v>
      </c>
      <c r="B10" s="0" t="n">
        <f aca="false">1-Assumptions!$B$2/B8</f>
        <v>0.244511823287414</v>
      </c>
    </row>
    <row r="11" customFormat="false" ht="15" hidden="false" customHeight="false" outlineLevel="0" collapsed="false">
      <c r="A11" s="0" t="s">
        <v>162</v>
      </c>
      <c r="B11" s="0" t="n">
        <f aca="false">IF(ABS(B9-B8)&gt;0.01*ABS(B8),(Assumptions!$B$2-B8)/(B9-B8)*100,"n/a")</f>
        <v>-428.372191404715</v>
      </c>
    </row>
    <row r="12" customFormat="false" ht="15" hidden="false" customHeight="false" outlineLevel="0" collapsed="false">
      <c r="A12" s="0" t="s">
        <v>163</v>
      </c>
      <c r="B12" s="0" t="n">
        <f aca="false">SUMPRODUCT(F4:F6,D4:D6)</f>
        <v>51.5428049165834</v>
      </c>
    </row>
    <row r="14" customFormat="false" ht="15" hidden="false" customHeight="false" outlineLevel="0" collapsed="false">
      <c r="A14" s="2" t="s">
        <v>164</v>
      </c>
      <c r="C14" s="0" t="s">
        <v>165</v>
      </c>
    </row>
    <row r="15" customFormat="false" ht="15" hidden="false" customHeight="false" outlineLevel="0" collapsed="false">
      <c r="A15" s="0" t="s">
        <v>166</v>
      </c>
      <c r="B15" s="0" t="n">
        <f aca="false">(SUMPRODUCT(DCF_Base!$C$19:$L$19/(1+$C$15/100)^DCF_Base!$C$4:$L$4)+MAX(0,MIN(IF($C$15&gt;DCF_Base!$B$28,DCF_Base!$L$19*(1+DCF_Base!$B$28/100)/(($C$15-DCF_Base!$B$28)/100),DCF_Base!$L$19*DCF_Base!$B$29),DCF_Base!$L$19*DCF_Base!$B$29))/(1+$C$15/100)^DCF_Base!$L$4+Assumptions!$B$5-Assumptions!$B$4)/Assumptions!$B$3*Assumptions!$B$10</f>
        <v>79.3316642054468</v>
      </c>
      <c r="C15" s="3" t="n">
        <v>9</v>
      </c>
    </row>
    <row r="16" customFormat="false" ht="15" hidden="false" customHeight="false" outlineLevel="0" collapsed="false">
      <c r="A16" s="0" t="s">
        <v>167</v>
      </c>
      <c r="B16" s="0" t="n">
        <f aca="false">(SUMPRODUCT(DCF_Base!$C$19:$L$19/(1+$C$16/100)^DCF_Base!$C$4:$L$4)+MAX(0,MIN(IF($C$16&gt;DCF_Base!$B$28,DCF_Base!$L$19*(1+DCF_Base!$B$28/100)/(($C$16-DCF_Base!$B$28)/100),DCF_Base!$L$19*DCF_Base!$B$29),DCF_Base!$L$19*DCF_Base!$B$29))/(1+$C$16/100)^DCF_Base!$L$4+Assumptions!$B$5-Assumptions!$B$4)/Assumptions!$B$3*Assumptions!$B$10</f>
        <v>77.1584445838337</v>
      </c>
      <c r="C16" s="3" t="n">
        <v>9.5</v>
      </c>
    </row>
    <row r="17" customFormat="false" ht="15" hidden="false" customHeight="false" outlineLevel="0" collapsed="false">
      <c r="A17" s="0" t="s">
        <v>168</v>
      </c>
      <c r="B17" s="0" t="n">
        <f aca="false">(SUMPRODUCT(DCF_Base!$C$19:$L$19/(1+$C$17/100)^DCF_Base!$C$4:$L$4)+MAX(0,MIN(IF($C$17&gt;DCF_Base!$B$28,DCF_Base!$L$19*(1+DCF_Base!$B$28/100)/(($C$17-DCF_Base!$B$28)/100),DCF_Base!$L$19*DCF_Base!$B$29),DCF_Base!$L$19*DCF_Base!$B$29))/(1+$C$17/100)^DCF_Base!$L$4+Assumptions!$B$5-Assumptions!$B$4)/Assumptions!$B$3*Assumptions!$B$10</f>
        <v>75.0816894250067</v>
      </c>
      <c r="C17" s="3" t="n">
        <v>10</v>
      </c>
    </row>
    <row r="18" customFormat="false" ht="15" hidden="false" customHeight="false" outlineLevel="0" collapsed="false">
      <c r="A18" s="0" t="s">
        <v>169</v>
      </c>
      <c r="B18" s="0" t="n">
        <f aca="false">(SUMPRODUCT(DCF_Base!$C$19:$L$19/(1+$C$18/100)^DCF_Base!$C$4:$L$4)+MAX(0,MIN(IF($C$18&gt;DCF_Base!$B$28,DCF_Base!$L$19*(1+DCF_Base!$B$28/100)/(($C$18-DCF_Base!$B$28)/100),DCF_Base!$L$19*DCF_Base!$B$29),DCF_Base!$L$19*DCF_Base!$B$29))/(1+$C$18/100)^DCF_Base!$L$4+Assumptions!$B$5-Assumptions!$B$4)/Assumptions!$B$3*Assumptions!$B$10</f>
        <v>69.7038329331182</v>
      </c>
      <c r="C18" s="3" t="n">
        <v>11</v>
      </c>
    </row>
    <row r="19" customFormat="false" ht="15" hidden="false" customHeight="false" outlineLevel="0" collapsed="false">
      <c r="A19" s="0" t="s">
        <v>170</v>
      </c>
      <c r="B19" s="0" t="n">
        <f aca="false">(SUMPRODUCT(DCF_Base!$C$19:$L$19/(1+$C$19/100)^DCF_Base!$C$4:$L$4)+MAX(0,MIN(IF($C$19&gt;DCF_Base!$B$28,DCF_Base!$L$19*(1+DCF_Base!$B$28/100)/(($C$19-DCF_Base!$B$28)/100),DCF_Base!$L$19*DCF_Base!$B$29),DCF_Base!$L$19*DCF_Base!$B$29))/(1+$C$19/100)^DCF_Base!$L$4+Assumptions!$B$5-Assumptions!$B$4)/Assumptions!$B$3*Assumptions!$B$10</f>
        <v>63.9568319206388</v>
      </c>
      <c r="C19" s="3" t="n">
        <v>12</v>
      </c>
    </row>
    <row r="20" customFormat="false" ht="15" hidden="false" customHeight="false" outlineLevel="0" collapsed="false">
      <c r="A20" s="0" t="s">
        <v>171</v>
      </c>
      <c r="B20" s="0" t="n">
        <f aca="false">(SUMPRODUCT(DCF_Base!$C$19:$L$19/(1+$C$20/100)^DCF_Base!$C$4:$L$4)+MAX(0,MIN(IF($C$20&gt;DCF_Base!$B$28,DCF_Base!$L$19*(1+DCF_Base!$B$28/100)/(($C$20-DCF_Base!$B$28)/100),DCF_Base!$L$19*DCF_Base!$B$29),DCF_Base!$L$19*DCF_Base!$B$29))/(1+$C$20/100)^DCF_Base!$L$4+Assumptions!$B$5-Assumptions!$B$4)/Assumptions!$B$3*Assumptions!$B$10</f>
        <v>52.1350751033589</v>
      </c>
      <c r="C20" s="3" t="n">
        <v>15</v>
      </c>
    </row>
    <row r="22" customFormat="false" ht="15" hidden="false" customHeight="false" outlineLevel="0" collapsed="false">
      <c r="A22" s="2" t="s">
        <v>172</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86.4831925565301</v>
      </c>
      <c r="C24" s="0" t="n">
        <f aca="false">(SUMPRODUCT(DCF_Base!$C$19:$L$19/(1+$A$24/100)^DCF_Base!$C$4:$L$4)+MAX(0,MIN(IF($A$24&gt;$C$23,DCF_Base!$L$19*(1+$C$23/100)/(($A$24-$C$23)/100),DCF_Base!$L$19*DCF_Base!$B$29),DCF_Base!$L$19*DCF_Base!$B$29))/(1+$A$24/100)^DCF_Base!$L$4+Assumptions!$B$5-Assumptions!$B$4)/Assumptions!$B$3*Assumptions!$B$10</f>
        <v>86.4831925565301</v>
      </c>
      <c r="D24" s="0" t="n">
        <f aca="false">(SUMPRODUCT(DCF_Base!$C$19:$L$19/(1+$A$24/100)^DCF_Base!$C$4:$L$4)+MAX(0,MIN(IF($A$24&gt;$D$23,DCF_Base!$L$19*(1+$D$23/100)/(($A$24-$D$23)/100),DCF_Base!$L$19*DCF_Base!$B$29),DCF_Base!$L$19*DCF_Base!$B$29))/(1+$A$24/100)^DCF_Base!$L$4+Assumptions!$B$5-Assumptions!$B$4)/Assumptions!$B$3*Assumptions!$B$10</f>
        <v>86.4831925565301</v>
      </c>
      <c r="E24" s="0" t="n">
        <f aca="false">(SUMPRODUCT(DCF_Base!$C$19:$L$19/(1+$A$24/100)^DCF_Base!$C$4:$L$4)+MAX(0,MIN(IF($A$24&gt;$E$23,DCF_Base!$L$19*(1+$E$23/100)/(($A$24-$E$23)/100),DCF_Base!$L$19*DCF_Base!$B$29),DCF_Base!$L$19*DCF_Base!$B$29))/(1+$A$24/100)^DCF_Base!$L$4+Assumptions!$B$5-Assumptions!$B$4)/Assumptions!$B$3*Assumptions!$B$10</f>
        <v>86.4831925565301</v>
      </c>
      <c r="F24" s="0" t="n">
        <f aca="false">(SUMPRODUCT(DCF_Base!$C$19:$L$19/(1+$A$24/100)^DCF_Base!$C$4:$L$4)+MAX(0,MIN(IF($A$24&gt;$F$23,DCF_Base!$L$19*(1+$F$23/100)/(($A$24-$F$23)/100),DCF_Base!$L$19*DCF_Base!$B$29),DCF_Base!$L$19*DCF_Base!$B$29))/(1+$A$24/100)^DCF_Base!$L$4+Assumptions!$B$5-Assumptions!$B$4)/Assumptions!$B$3*Assumptions!$B$10</f>
        <v>86.4831925565301</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81.6065015674086</v>
      </c>
      <c r="C25" s="0" t="n">
        <f aca="false">(SUMPRODUCT(DCF_Base!$C$19:$L$19/(1+$A$25/100)^DCF_Base!$C$4:$L$4)+MAX(0,MIN(IF($A$25&gt;$C$23,DCF_Base!$L$19*(1+$C$23/100)/(($A$25-$C$23)/100),DCF_Base!$L$19*DCF_Base!$B$29),DCF_Base!$L$19*DCF_Base!$B$29))/(1+$A$25/100)^DCF_Base!$L$4+Assumptions!$B$5-Assumptions!$B$4)/Assumptions!$B$3*Assumptions!$B$10</f>
        <v>81.6065015674086</v>
      </c>
      <c r="D25" s="0" t="n">
        <f aca="false">(SUMPRODUCT(DCF_Base!$C$19:$L$19/(1+$A$25/100)^DCF_Base!$C$4:$L$4)+MAX(0,MIN(IF($A$25&gt;$D$23,DCF_Base!$L$19*(1+$D$23/100)/(($A$25-$D$23)/100),DCF_Base!$L$19*DCF_Base!$B$29),DCF_Base!$L$19*DCF_Base!$B$29))/(1+$A$25/100)^DCF_Base!$L$4+Assumptions!$B$5-Assumptions!$B$4)/Assumptions!$B$3*Assumptions!$B$10</f>
        <v>81.6065015674086</v>
      </c>
      <c r="E25" s="0" t="n">
        <f aca="false">(SUMPRODUCT(DCF_Base!$C$19:$L$19/(1+$A$25/100)^DCF_Base!$C$4:$L$4)+MAX(0,MIN(IF($A$25&gt;$E$23,DCF_Base!$L$19*(1+$E$23/100)/(($A$25-$E$23)/100),DCF_Base!$L$19*DCF_Base!$B$29),DCF_Base!$L$19*DCF_Base!$B$29))/(1+$A$25/100)^DCF_Base!$L$4+Assumptions!$B$5-Assumptions!$B$4)/Assumptions!$B$3*Assumptions!$B$10</f>
        <v>81.6065015674086</v>
      </c>
      <c r="F25" s="0" t="n">
        <f aca="false">(SUMPRODUCT(DCF_Base!$C$19:$L$19/(1+$A$25/100)^DCF_Base!$C$4:$L$4)+MAX(0,MIN(IF($A$25&gt;$F$23,DCF_Base!$L$19*(1+$F$23/100)/(($A$25-$F$23)/100),DCF_Base!$L$19*DCF_Base!$B$29),DCF_Base!$L$19*DCF_Base!$B$29))/(1+$A$25/100)^DCF_Base!$L$4+Assumptions!$B$5-Assumptions!$B$4)/Assumptions!$B$3*Assumptions!$B$10</f>
        <v>81.6065015674086</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76.8562614034381</v>
      </c>
      <c r="C26" s="0" t="n">
        <f aca="false">(SUMPRODUCT(DCF_Base!$C$19:$L$19/(1+$A$26/100)^DCF_Base!$C$4:$L$4)+MAX(0,MIN(IF($A$26&gt;$C$23,DCF_Base!$L$19*(1+$C$23/100)/(($A$26-$C$23)/100),DCF_Base!$L$19*DCF_Base!$B$29),DCF_Base!$L$19*DCF_Base!$B$29))/(1+$A$26/100)^DCF_Base!$L$4+Assumptions!$B$5-Assumptions!$B$4)/Assumptions!$B$3*Assumptions!$B$10</f>
        <v>77.1584445838337</v>
      </c>
      <c r="D26" s="0" t="n">
        <f aca="false">(SUMPRODUCT(DCF_Base!$C$19:$L$19/(1+$A$26/100)^DCF_Base!$C$4:$L$4)+MAX(0,MIN(IF($A$26&gt;$D$23,DCF_Base!$L$19*(1+$D$23/100)/(($A$26-$D$23)/100),DCF_Base!$L$19*DCF_Base!$B$29),DCF_Base!$L$19*DCF_Base!$B$29))/(1+$A$26/100)^DCF_Base!$L$4+Assumptions!$B$5-Assumptions!$B$4)/Assumptions!$B$3*Assumptions!$B$10</f>
        <v>77.1584445838337</v>
      </c>
      <c r="E26" s="0" t="n">
        <f aca="false">(SUMPRODUCT(DCF_Base!$C$19:$L$19/(1+$A$26/100)^DCF_Base!$C$4:$L$4)+MAX(0,MIN(IF($A$26&gt;$E$23,DCF_Base!$L$19*(1+$E$23/100)/(($A$26-$E$23)/100),DCF_Base!$L$19*DCF_Base!$B$29),DCF_Base!$L$19*DCF_Base!$B$29))/(1+$A$26/100)^DCF_Base!$L$4+Assumptions!$B$5-Assumptions!$B$4)/Assumptions!$B$3*Assumptions!$B$10</f>
        <v>77.1584445838337</v>
      </c>
      <c r="F26" s="0" t="n">
        <f aca="false">(SUMPRODUCT(DCF_Base!$C$19:$L$19/(1+$A$26/100)^DCF_Base!$C$4:$L$4)+MAX(0,MIN(IF($A$26&gt;$F$23,DCF_Base!$L$19*(1+$F$23/100)/(($A$26-$F$23)/100),DCF_Base!$L$19*DCF_Base!$B$29),DCF_Base!$L$19*DCF_Base!$B$29))/(1+$A$26/100)^DCF_Base!$L$4+Assumptions!$B$5-Assumptions!$B$4)/Assumptions!$B$3*Assumptions!$B$10</f>
        <v>77.1584445838337</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69.8871068437799</v>
      </c>
      <c r="C27" s="0" t="n">
        <f aca="false">(SUMPRODUCT(DCF_Base!$C$19:$L$19/(1+$A$27/100)^DCF_Base!$C$4:$L$4)+MAX(0,MIN(IF($A$27&gt;$C$23,DCF_Base!$L$19*(1+$C$23/100)/(($A$27-$C$23)/100),DCF_Base!$L$19*DCF_Base!$B$29),DCF_Base!$L$19*DCF_Base!$B$29))/(1+$A$27/100)^DCF_Base!$L$4+Assumptions!$B$5-Assumptions!$B$4)/Assumptions!$B$3*Assumptions!$B$10</f>
        <v>71.4026691404989</v>
      </c>
      <c r="D27" s="0" t="n">
        <f aca="false">(SUMPRODUCT(DCF_Base!$C$19:$L$19/(1+$A$27/100)^DCF_Base!$C$4:$L$4)+MAX(0,MIN(IF($A$27&gt;$D$23,DCF_Base!$L$19*(1+$D$23/100)/(($A$27-$D$23)/100),DCF_Base!$L$19*DCF_Base!$B$29),DCF_Base!$L$19*DCF_Base!$B$29))/(1+$A$27/100)^DCF_Base!$L$4+Assumptions!$B$5-Assumptions!$B$4)/Assumptions!$B$3*Assumptions!$B$10</f>
        <v>73.0965328838908</v>
      </c>
      <c r="E27" s="0" t="n">
        <f aca="false">(SUMPRODUCT(DCF_Base!$C$19:$L$19/(1+$A$27/100)^DCF_Base!$C$4:$L$4)+MAX(0,MIN(IF($A$27&gt;$E$23,DCF_Base!$L$19*(1+$E$23/100)/(($A$27-$E$23)/100),DCF_Base!$L$19*DCF_Base!$B$29),DCF_Base!$L$19*DCF_Base!$B$29))/(1+$A$27/100)^DCF_Base!$L$4+Assumptions!$B$5-Assumptions!$B$4)/Assumptions!$B$3*Assumptions!$B$10</f>
        <v>73.0965328838908</v>
      </c>
      <c r="F27" s="0" t="n">
        <f aca="false">(SUMPRODUCT(DCF_Base!$C$19:$L$19/(1+$A$27/100)^DCF_Base!$C$4:$L$4)+MAX(0,MIN(IF($A$27&gt;$F$23,DCF_Base!$L$19*(1+$F$23/100)/(($A$27-$F$23)/100),DCF_Base!$L$19*DCF_Base!$B$29),DCF_Base!$L$19*DCF_Base!$B$29))/(1+$A$27/100)^DCF_Base!$L$4+Assumptions!$B$5-Assumptions!$B$4)/Assumptions!$B$3*Assumptions!$B$10</f>
        <v>73.0965328838908</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64.2798056009684</v>
      </c>
      <c r="C28" s="0" t="n">
        <f aca="false">(SUMPRODUCT(DCF_Base!$C$19:$L$19/(1+$A$28/100)^DCF_Base!$C$4:$L$4)+MAX(0,MIN(IF($A$28&gt;$C$23,DCF_Base!$L$19*(1+$C$23/100)/(($A$28-$C$23)/100),DCF_Base!$L$19*DCF_Base!$B$29),DCF_Base!$L$19*DCF_Base!$B$29))/(1+$A$28/100)^DCF_Base!$L$4+Assumptions!$B$5-Assumptions!$B$4)/Assumptions!$B$3*Assumptions!$B$10</f>
        <v>65.4177926092371</v>
      </c>
      <c r="D28" s="0" t="n">
        <f aca="false">(SUMPRODUCT(DCF_Base!$C$19:$L$19/(1+$A$28/100)^DCF_Base!$C$4:$L$4)+MAX(0,MIN(IF($A$28&gt;$D$23,DCF_Base!$L$19*(1+$D$23/100)/(($A$28-$D$23)/100),DCF_Base!$L$19*DCF_Base!$B$29),DCF_Base!$L$19*DCF_Base!$B$29))/(1+$A$28/100)^DCF_Base!$L$4+Assumptions!$B$5-Assumptions!$B$4)/Assumptions!$B$3*Assumptions!$B$10</f>
        <v>66.6755677236394</v>
      </c>
      <c r="E28" s="0" t="n">
        <f aca="false">(SUMPRODUCT(DCF_Base!$C$19:$L$19/(1+$A$28/100)^DCF_Base!$C$4:$L$4)+MAX(0,MIN(IF($A$28&gt;$E$23,DCF_Base!$L$19*(1+$E$23/100)/(($A$28-$E$23)/100),DCF_Base!$L$19*DCF_Base!$B$29),DCF_Base!$L$19*DCF_Base!$B$29))/(1+$A$28/100)^DCF_Base!$L$4+Assumptions!$B$5-Assumptions!$B$4)/Assumptions!$B$3*Assumptions!$B$10</f>
        <v>68.0730956285308</v>
      </c>
      <c r="F28" s="0" t="n">
        <f aca="false">(SUMPRODUCT(DCF_Base!$C$19:$L$19/(1+$A$28/100)^DCF_Base!$C$4:$L$4)+MAX(0,MIN(IF($A$28&gt;$F$23,DCF_Base!$L$19*(1+$F$23/100)/(($A$28-$F$23)/100),DCF_Base!$L$19*DCF_Base!$B$29),DCF_Base!$L$19*DCF_Base!$B$29))/(1+$A$28/100)^DCF_Base!$L$4+Assumptions!$B$5-Assumptions!$B$4)/Assumptions!$B$3*Assumptions!$B$10</f>
        <v>69.3828863555366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2026-10-18T03:44:20Z</dcterms:created>
  <dc:creator>openpyxl</dc:creator>
  <dc:description/>
  <dc:language>en-NZ</dc:language>
  <cp:lastModifiedBy/>
  <dcterms:modified xsi:type="dcterms:W3CDTF">2026-10-18T03:44:20Z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