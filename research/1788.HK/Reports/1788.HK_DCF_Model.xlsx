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<sst xmlns="http://schemas.openxmlformats.org/spreadsheetml/2006/main" count="355" uniqueCount="164">
  <si>
    <t xml:space="preserve">Ticker</t>
  </si>
  <si>
    <t xml:space="preserve">1788.HK</t>
  </si>
  <si>
    <t xml:space="preserve">Company</t>
  </si>
  <si>
    <t xml:space="preserve">Guotai Junan International Holdings Limited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</si>
  <si>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</si>
  <si>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</si>
  <si>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</si>
  <si>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</si>
  <si>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regular close (HKEX)</t>
  </si>
  <si>
    <t xml:space="preserve">Balance sheet date</t>
  </si>
  <si>
    <t xml:space="preserve">2026-06-30</t>
  </si>
  <si>
    <t xml:space="preserve">Model</t>
  </si>
  <si>
    <t xml:space="preserve">Broker FCFE capitalisation at cost of equity (bank-style, net debt held at zero, engine route) with deal-completes vs deal-breaks overlay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</si>
  <si>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</si>
  <si>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</si>
  <si>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</si>
  <si>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</si>
  <si>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</si>
  <si>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</si>
  <si>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</si>
  <si>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</si>
  <si>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2026-10-16T18:30:14Z</t>
  </si>
  <si>
    <t xml:space="preserve">Drivers file</t>
  </si>
  <si>
    <t xml:space="preserve">1788.HK_Drivers.json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</si>
  <si>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</si>
  <si>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</si>
  <si>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</si>
  <si>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securities broker is valued on the dividends its ordinary equity can sustain, discounted at the cost of equity; reported FCF is meaningless here and borrowings are operating funding, so net debt is zero. Guotai Junan International's ROE on ordinary equity has averaged ~6% over eight years and ~8% mid-cycle against an 11.5% HKD cost of equity, so on fundamentals it is worth 0.3-0.9x book (HK$0.45-1.5/share), ~HK$1.0 weighted. The HK$3.00 parent privatisation at 1.8x book is the only reason the stock trades near the offer price. The valuation therefore has two layers: the standalone probability-weighted IV (what you own if the scheme lapses) and the deal-weighted IV (85% x PV of HK$3.00 + 15% x standalone). At the current price the market is paying for near-certain completion; the 15% hurdle is not met on either layer.
key_risks_to_valuation: Scheme lapses (NDRC/SAFE registration not obtained by the extended deadline, or &gt;10% of disinterested shares vote against): price reverts toward standalone value, ~HK$1.0 weighted, 65% below the current price.; Scheme completes: capped at HK$3.00 (a low-single-digit spread above the current price), with the cancellation price reduced by any dividend declared in the interim.; Standalone ROE: every 1pt of sustained ROE is worth ~HK$0.2/share at an 11.5% CoE; the FY2022-24 trough shows ROE can sit near zero for three years.; Leverage: nominal leverage 12.4x and gearing 2.22x at H1 FY2026, wholesale MTN/GSN-funded; a funding or mark-to-market shock would force the bear path and possibly a parent capital injection.; Cost of equity: at 10.5% (CITIC Bank-level) the standalone base rises ~15%; at 12.5% it falls ~12% — the conclusion does not change at any rate between 9% and 14%.</t>
  </si>
  <si>
    <t xml:space="preserve">Data sources</t>
  </si>
  <si>
    <t xml:space="preserve">price: Yahoo Finance chart API at inputs.price_as_of (HKEX regular close); 52-week range 1.90-4.24
financials: 1788.HK_Metrics.csv (core_metrics, HKD millions) from annual reports FY2018-FY2025 and interim reports H1 2024-H1 2026; balance sheet, share count and ROE anchors from the H1 FY2026 interim report (30 June 2026); dividend policy and FY2025 highlights from the FY2025 annual report.
qualitative: 1788.HK_Analysis.json (2026-10-17); interim report note 27 (events after the reporting period) and 'Dividend' section for the privatisation; joint announcement of 7 Aug 2026 and subsequent progress announcements via ACN Newswire / press coverage for the HK$3.00 cancellation price, premium statistics, Shanghai SASAC completion, NDRC pending status and the 7 Nov 2026 despatch deadline.</t>
  </si>
  <si>
    <t xml:space="preserve">Scenario narrative: bear</t>
  </si>
  <si>
    <t xml:space="preserve">STANDALONE bear. The FY2022-24 cycle repeats — China property/credit stress, HK turnover collapse, structured-note and fixed-income marks reverse — but on a balance sheet that is now 12.4x nominally levered (8.7x a year ago) with gearing 2.22x and wholesale MTN/GSN funding. Pre-tax margin drops to 8% then recovers only to 16%; dividends are cut to the 30% policy floor. Fair value ~0.3x book; an equity injection from the parent is the realistic end-state rather than insolvency (parent ownership 65.5%, stable BBB+/Baa2).</t>
  </si>
  <si>
    <t xml:space="preserve">Scenario narrative: base</t>
  </si>
  <si>
    <t xml:space="preserve">STANDALONE (deal-breaks world). FY2026 lands near FY2025's profit (H1 NI HK$675m, +23%) on 20% higher revenue and a compressed 21% pre-tax margin as financing costs on the 41%-larger balance sheet bite. Thereafter HK capital-markets activity normalises: revenue growth fades from 6% to 3%, pre-tax margin settles at the 22% cycle average, ROE on ordinary equity ~7.9%, payout ~62%. Because ROE stays below the 11.5% cost of equity, retained earnings earn less than they cost and fair value sits at ~0.6x book — where the stock traded (0.7-0.8x) through 2023-24 before the mid-2025 virtual-asset rally.</t>
  </si>
  <si>
    <t xml:space="preserve">Scenario narrative: bull</t>
  </si>
  <si>
    <t xml:space="preserve">STANDALONE bull. The HK IPO/ECM revival (record HK$286bn raised in 2025, +22% in H1 2026), Bond Connect Southbound and Wealth Management Connect expansion, and the cross-border financial-products book (HK$89bn, +88%) let revenue compound 8-10% for three years with pre-tax margin at 26% — FY2019/FY2025-type conditions sustained. ROE reaches ~10.5%, close to but still below the cost of equity, so fair value is ~0.9x book. The HK$3.00 deal price (1.8x book) is NOT reachable on fundamentals in any standalone case; it is paid for synergy and simplification by the parent.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</si>
  <si>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</si>
  <si>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</si>
  <si>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</si>
  <si>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</si>
  <si>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</si>
  <si>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</si>
  <si>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</si>
  <si>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</si>
  <si>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</si>
  <si>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</si>
  <si>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</si>
  <si>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</si>
  <si>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</si>
  <si>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</si>
  <si>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</si>
  <si>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</si>
  <si>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</si>
  <si>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</si>
  <si>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</si>
  <si>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</si>
  <si>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</si>
  <si>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</si>
  <si>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</si>
  <si>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</si>
  <si>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</si>
  <si>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</si>
  <si>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</si>
  <si>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TotalEquity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</si>
  <si>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</si>
  <si>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</si>
  <si>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</si>
  <si>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</si>
  <si>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</si>
  <si>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</si>
  <si>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</si>
  <si>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</si>
  <si>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</si>
  <si>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</si>
  <si>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</si>
  <si>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</si>
  <si>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</si>
  <si>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</si>
  <si>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</si>
  <si>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</si>
  <si>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</si>
  <si>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</si>
  <si>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</si>
  <si>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</si>
  <si>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</si>
  <si>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</si>
  <si>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</si>
  <si>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</si>
  <si>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</si>
  <si>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</si>
  <si>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</si>
  <si>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</si>
  <si>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</si>
  <si>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</si>
  <si>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</si>
  <si>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</si>
  <si>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</si>
  <si>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</si>
  <si>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</si>
  <si>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</si>
  <si>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</si>
  <si>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</si>
  <si>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</si>
  <si>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</si>
  <si>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</si>
  <si>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</si>
  <si>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</si>
  <si>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</si>
  <si>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</si>
  <si>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1788.HK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</si>
  <si>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</si>
  <si>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</si>
  <si>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</si>
  <si>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</si>
  <si>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</si>
  <si>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</si>
  <si>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</si>
  <si>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</si>
  <si>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</si>
  <si>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</si>
  <si>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</si>
  <si>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</si>
  <si>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</si>
  <si>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</si>
  <si>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</si>
  <si>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</si>
  <si>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</si>
  <si>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</si>
  <si>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</si>
  <si>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</si>
  <si>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</si>
  <si>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</si>
  <si>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</si>
  <si>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</si>
  <si>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</si>
  <si>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</si>
  <si>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</si>
  <si>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</si>
  <si>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</si>
  <si>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</si>
  <si>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1788.HK owner-FCF component DCF: base case (millions, HKD)</t>
  </si>
  <si>
    <t xml:space="preserve">1788.HK owner-FCF component DCF: bull case (millions, HKD)</t>
  </si>
  <si>
    <t xml:space="preserve">1788.HK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</si>
  <si>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</si>
  <si>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</si>
  <si>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</si>
  <si>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</si>
  <si>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</si>
  <si>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</si>
  <si>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</si>
  <si>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</si>
  <si>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</si>
  <si>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</si>
  <si>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</si>
  <si>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</si>
  <si>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</si>
  <si>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</si>
  <si>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</si>
  <si>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</si>
  <si>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</si>
  <si>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11.5%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</si>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</sst>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2.88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3012.208</v>
      </c>
      <c r="F2" s="0" t="n">
        <v>1683.344</v>
      </c>
      <c r="G2" s="0" t="n">
        <v>55.9</v>
      </c>
      <c r="I2" s="0" t="n">
        <v>796.835</v>
      </c>
      <c r="J2" s="0" t="n">
        <v>26.5</v>
      </c>
      <c r="K2" s="0" t="n">
        <v>0.105</v>
      </c>
      <c r="L2" s="0" t="n">
        <v>-2984.199</v>
      </c>
      <c r="M2" s="0" t="n">
        <v>28.186</v>
      </c>
      <c r="N2" s="0" t="n">
        <v>-3012.385</v>
      </c>
      <c r="O2" s="0" t="n">
        <v>10831.931</v>
      </c>
      <c r="P2" s="0" t="n">
        <v>88034.291</v>
      </c>
      <c r="Q2" s="0" t="n">
        <v>76522.272</v>
      </c>
      <c r="R2" s="0" t="n">
        <v>35440.355</v>
      </c>
      <c r="S2" s="0" t="n">
        <v>4105.672</v>
      </c>
      <c r="AA2" s="0" t="s">
        <v>17</v>
      </c>
      <c r="AB2" s="0" t="s">
        <v>14</v>
      </c>
      <c r="AC2" s="0" t="n">
        <v>11512.019</v>
      </c>
    </row>
    <row r="3" customFormat="false" ht="15" hidden="false" customHeight="false" outlineLevel="0" collapsed="false">
      <c r="A3" s="0" t="s">
        <v>65</v>
      </c>
      <c r="B3" s="0" t="n">
        <v>4245.536</v>
      </c>
      <c r="F3" s="0" t="n">
        <v>1884.737</v>
      </c>
      <c r="G3" s="0" t="n">
        <v>44.4</v>
      </c>
      <c r="I3" s="0" t="n">
        <v>895.303</v>
      </c>
      <c r="J3" s="0" t="n">
        <v>21.1</v>
      </c>
      <c r="K3" s="0" t="n">
        <v>0.117</v>
      </c>
      <c r="L3" s="0" t="n">
        <v>-3786.919</v>
      </c>
      <c r="M3" s="0" t="n">
        <v>28.075</v>
      </c>
      <c r="N3" s="0" t="n">
        <v>-3814.994</v>
      </c>
      <c r="O3" s="0" t="n">
        <v>11295.924</v>
      </c>
      <c r="P3" s="0" t="n">
        <v>96738.157</v>
      </c>
      <c r="Q3" s="0" t="n">
        <v>85326.37</v>
      </c>
      <c r="R3" s="0" t="n">
        <v>44749.463</v>
      </c>
      <c r="S3" s="0" t="n">
        <v>7150.847</v>
      </c>
      <c r="AA3" s="0" t="s">
        <v>17</v>
      </c>
      <c r="AB3" s="0" t="s">
        <v>14</v>
      </c>
      <c r="AC3" s="0" t="n">
        <v>11411.787</v>
      </c>
    </row>
    <row r="4" customFormat="false" ht="15" hidden="false" customHeight="false" outlineLevel="0" collapsed="false">
      <c r="A4" s="0" t="s">
        <v>66</v>
      </c>
      <c r="B4" s="0" t="n">
        <v>4872.952</v>
      </c>
      <c r="F4" s="0" t="n">
        <v>2644.935</v>
      </c>
      <c r="G4" s="0" t="n">
        <v>54.3</v>
      </c>
      <c r="I4" s="0" t="n">
        <v>1562.587</v>
      </c>
      <c r="J4" s="0" t="n">
        <v>32.1</v>
      </c>
      <c r="K4" s="0" t="n">
        <v>0.168</v>
      </c>
      <c r="L4" s="0" t="n">
        <v>-15072.535</v>
      </c>
      <c r="M4" s="0" t="n">
        <v>35.646</v>
      </c>
      <c r="N4" s="0" t="n">
        <v>-15108.181</v>
      </c>
      <c r="O4" s="0" t="n">
        <v>15118.119</v>
      </c>
      <c r="P4" s="0" t="n">
        <v>121720.741</v>
      </c>
      <c r="Q4" s="0" t="n">
        <v>106481.574</v>
      </c>
      <c r="R4" s="0" t="n">
        <v>57659.269</v>
      </c>
      <c r="S4" s="0" t="n">
        <v>5508.779</v>
      </c>
      <c r="T4" s="0" t="n">
        <v>9617.229</v>
      </c>
      <c r="AA4" s="0" t="s">
        <v>17</v>
      </c>
      <c r="AB4" s="0" t="s">
        <v>14</v>
      </c>
      <c r="AC4" s="0" t="n">
        <v>15239.167</v>
      </c>
    </row>
    <row r="5" customFormat="false" ht="15" hidden="false" customHeight="false" outlineLevel="0" collapsed="false">
      <c r="A5" s="0" t="s">
        <v>67</v>
      </c>
      <c r="B5" s="0" t="n">
        <v>3966.415</v>
      </c>
      <c r="F5" s="0" t="n">
        <v>2062.509</v>
      </c>
      <c r="G5" s="0" t="n">
        <v>52</v>
      </c>
      <c r="I5" s="0" t="n">
        <v>1094.743</v>
      </c>
      <c r="J5" s="0" t="n">
        <v>27.6</v>
      </c>
      <c r="K5" s="0" t="n">
        <v>0.114</v>
      </c>
      <c r="L5" s="0" t="n">
        <v>5879.052</v>
      </c>
      <c r="M5" s="0" t="n">
        <v>43.062</v>
      </c>
      <c r="N5" s="0" t="n">
        <v>5835.99</v>
      </c>
      <c r="O5" s="0" t="n">
        <v>15307.361</v>
      </c>
      <c r="P5" s="0" t="n">
        <v>106288.093</v>
      </c>
      <c r="Q5" s="0" t="n">
        <v>90851.154</v>
      </c>
      <c r="R5" s="0" t="n">
        <v>50866.986</v>
      </c>
      <c r="S5" s="0" t="n">
        <v>5277.874</v>
      </c>
      <c r="T5" s="0" t="n">
        <v>9618.995</v>
      </c>
      <c r="AA5" s="0" t="s">
        <v>17</v>
      </c>
      <c r="AB5" s="0" t="s">
        <v>14</v>
      </c>
      <c r="AC5" s="0" t="n">
        <v>15436.939</v>
      </c>
    </row>
    <row r="6" customFormat="false" ht="15" hidden="false" customHeight="false" outlineLevel="0" collapsed="false">
      <c r="A6" s="0" t="s">
        <v>68</v>
      </c>
      <c r="B6" s="0" t="n">
        <v>2314.917</v>
      </c>
      <c r="F6" s="0" t="n">
        <v>703.321</v>
      </c>
      <c r="G6" s="0" t="n">
        <v>30.4</v>
      </c>
      <c r="I6" s="0" t="n">
        <v>80.381</v>
      </c>
      <c r="J6" s="0" t="n">
        <v>3.5</v>
      </c>
      <c r="K6" s="0" t="n">
        <v>0.008</v>
      </c>
      <c r="L6" s="0" t="n">
        <v>1663.221</v>
      </c>
      <c r="M6" s="0" t="n">
        <v>39.296</v>
      </c>
      <c r="N6" s="0" t="n">
        <v>1623.925</v>
      </c>
      <c r="O6" s="0" t="n">
        <v>14806.699</v>
      </c>
      <c r="P6" s="0" t="n">
        <v>94455.086</v>
      </c>
      <c r="Q6" s="0" t="n">
        <v>79518.89</v>
      </c>
      <c r="R6" s="0" t="n">
        <v>50837.275</v>
      </c>
      <c r="S6" s="0" t="n">
        <v>7756.58</v>
      </c>
      <c r="T6" s="0" t="n">
        <v>9553.99</v>
      </c>
      <c r="AA6" s="0" t="s">
        <v>17</v>
      </c>
      <c r="AB6" s="0" t="s">
        <v>14</v>
      </c>
      <c r="AC6" s="0" t="n">
        <v>14936.196</v>
      </c>
    </row>
    <row r="7" customFormat="false" ht="15" hidden="false" customHeight="false" outlineLevel="0" collapsed="false">
      <c r="A7" s="0" t="s">
        <v>69</v>
      </c>
      <c r="B7" s="0" t="n">
        <v>3217.372</v>
      </c>
      <c r="F7" s="0" t="n">
        <v>1686.422</v>
      </c>
      <c r="G7" s="0" t="n">
        <v>52.4</v>
      </c>
      <c r="I7" s="0" t="n">
        <v>201.261</v>
      </c>
      <c r="J7" s="0" t="n">
        <v>6.3</v>
      </c>
      <c r="K7" s="0" t="n">
        <v>0.021</v>
      </c>
      <c r="L7" s="0" t="n">
        <v>-4906.371</v>
      </c>
      <c r="M7" s="0" t="n">
        <v>32.67</v>
      </c>
      <c r="N7" s="0" t="n">
        <v>-4939.041</v>
      </c>
      <c r="O7" s="0" t="n">
        <v>14839.473</v>
      </c>
      <c r="P7" s="0" t="n">
        <v>107535.153</v>
      </c>
      <c r="Q7" s="0" t="n">
        <v>92573.155</v>
      </c>
      <c r="R7" s="0" t="n">
        <v>55703.133</v>
      </c>
      <c r="S7" s="0" t="n">
        <v>7407.815</v>
      </c>
      <c r="T7" s="0" t="n">
        <v>9553.99</v>
      </c>
      <c r="AA7" s="0" t="s">
        <v>17</v>
      </c>
      <c r="AB7" s="0" t="s">
        <v>14</v>
      </c>
      <c r="AC7" s="0" t="n">
        <v>14961.998</v>
      </c>
    </row>
    <row r="8" customFormat="false" ht="15" hidden="false" customHeight="false" outlineLevel="0" collapsed="false">
      <c r="A8" s="0" t="s">
        <v>70</v>
      </c>
      <c r="B8" s="0" t="n">
        <v>4421.609</v>
      </c>
      <c r="F8" s="0" t="n">
        <v>2796.738</v>
      </c>
      <c r="G8" s="0" t="n">
        <v>63.3</v>
      </c>
      <c r="I8" s="0" t="n">
        <v>347.783</v>
      </c>
      <c r="J8" s="0" t="n">
        <v>7.9</v>
      </c>
      <c r="K8" s="0" t="n">
        <v>0.036</v>
      </c>
      <c r="L8" s="0" t="n">
        <v>1781.11</v>
      </c>
      <c r="M8" s="0" t="n">
        <v>45.75</v>
      </c>
      <c r="N8" s="0" t="n">
        <v>1735.36</v>
      </c>
      <c r="O8" s="0" t="n">
        <v>14914.657</v>
      </c>
      <c r="P8" s="0" t="n">
        <v>130173.149</v>
      </c>
      <c r="Q8" s="0" t="n">
        <v>115146.446</v>
      </c>
      <c r="R8" s="0" t="n">
        <v>54315.052</v>
      </c>
      <c r="S8" s="0" t="n">
        <v>7204.149</v>
      </c>
      <c r="T8" s="0" t="n">
        <v>9539.5</v>
      </c>
      <c r="AA8" s="0" t="s">
        <v>17</v>
      </c>
      <c r="AB8" s="0" t="s">
        <v>14</v>
      </c>
      <c r="AC8" s="0" t="n">
        <v>15026.703</v>
      </c>
    </row>
    <row r="9" customFormat="false" ht="15" hidden="false" customHeight="false" outlineLevel="0" collapsed="false">
      <c r="A9" s="0" t="s">
        <v>71</v>
      </c>
      <c r="B9" s="0" t="n">
        <v>6230.008</v>
      </c>
      <c r="F9" s="0" t="n">
        <v>4099.152</v>
      </c>
      <c r="G9" s="0" t="n">
        <v>65.8</v>
      </c>
      <c r="I9" s="0" t="n">
        <v>1345.354</v>
      </c>
      <c r="J9" s="0" t="n">
        <v>21.6</v>
      </c>
      <c r="K9" s="0" t="n">
        <v>0.141</v>
      </c>
      <c r="L9" s="0" t="n">
        <v>-8283.302</v>
      </c>
      <c r="M9" s="0" t="n">
        <v>28.937</v>
      </c>
      <c r="N9" s="0" t="n">
        <v>-8312.239</v>
      </c>
      <c r="O9" s="0" t="n">
        <v>15859.368</v>
      </c>
      <c r="P9" s="0" t="n">
        <v>153500.261</v>
      </c>
      <c r="Q9" s="0" t="n">
        <v>137529.62</v>
      </c>
      <c r="R9" s="0" t="n">
        <v>65258.981</v>
      </c>
      <c r="S9" s="0" t="n">
        <v>7571.895</v>
      </c>
      <c r="T9" s="0" t="n">
        <v>9529.94</v>
      </c>
      <c r="AA9" s="0" t="s">
        <v>17</v>
      </c>
      <c r="AB9" s="0" t="s">
        <v>14</v>
      </c>
      <c r="AC9" s="0" t="n">
        <v>15970.641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2.88</v>
      </c>
    </row>
    <row r="3" customFormat="false" ht="15" hidden="false" customHeight="false" outlineLevel="0" collapsed="false">
      <c r="A3" s="0" t="s">
        <v>75</v>
      </c>
      <c r="B3" s="3" t="n">
        <v>9531.2</v>
      </c>
    </row>
    <row r="4" customFormat="false" ht="15" hidden="false" customHeight="false" outlineLevel="0" collapsed="false">
      <c r="A4" s="0" t="s">
        <v>76</v>
      </c>
      <c r="B4" s="3" t="n">
        <v>0</v>
      </c>
    </row>
    <row r="5" customFormat="false" ht="15" hidden="false" customHeight="false" outlineLevel="0" collapsed="false">
      <c r="A5" s="0" t="s">
        <v>77</v>
      </c>
      <c r="B5" s="3" t="n">
        <v>0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6230.008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10</v>
      </c>
      <c r="D13" s="3" t="n">
        <v>-10</v>
      </c>
      <c r="E13" s="3" t="n">
        <v>0</v>
      </c>
      <c r="F13" s="3" t="n">
        <v>2</v>
      </c>
      <c r="G13" s="3" t="n">
        <v>2</v>
      </c>
      <c r="H13" s="3" t="n">
        <v>2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96</v>
      </c>
      <c r="C14" s="3" t="n">
        <v>15</v>
      </c>
      <c r="D14" s="3" t="n">
        <v>8</v>
      </c>
      <c r="E14" s="3" t="n">
        <v>10</v>
      </c>
      <c r="F14" s="3" t="n">
        <v>12</v>
      </c>
      <c r="G14" s="3" t="n">
        <v>14</v>
      </c>
      <c r="H14" s="3" t="n">
        <v>16</v>
      </c>
      <c r="I14" s="3" t="n">
        <v>16</v>
      </c>
      <c r="J14" s="3" t="n">
        <v>16</v>
      </c>
      <c r="K14" s="3" t="n">
        <v>16</v>
      </c>
      <c r="L14" s="3" t="n">
        <v>16</v>
      </c>
    </row>
    <row r="15" customFormat="false" ht="15" hidden="false" customHeight="false" outlineLevel="0" collapsed="false">
      <c r="A15" s="0" t="s">
        <v>97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99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100</v>
      </c>
      <c r="C18" s="3" t="n">
        <v>7</v>
      </c>
      <c r="D18" s="3" t="n">
        <v>4.5</v>
      </c>
      <c r="E18" s="3" t="n">
        <v>5.5</v>
      </c>
      <c r="F18" s="3" t="n">
        <v>6</v>
      </c>
      <c r="G18" s="3" t="n">
        <v>5.5</v>
      </c>
      <c r="H18" s="3" t="n">
        <v>5.5</v>
      </c>
      <c r="I18" s="3" t="n">
        <v>5.2</v>
      </c>
      <c r="J18" s="3" t="n">
        <v>5.2</v>
      </c>
      <c r="K18" s="3" t="n">
        <v>5.2</v>
      </c>
      <c r="L18" s="3" t="n">
        <v>5.2</v>
      </c>
    </row>
    <row r="19" customFormat="false" ht="15" hidden="false" customHeight="false" outlineLevel="0" collapsed="false">
      <c r="A19" s="0" t="s">
        <v>101</v>
      </c>
      <c r="C19" s="3" t="n">
        <v>17</v>
      </c>
      <c r="D19" s="3" t="n">
        <v>18</v>
      </c>
      <c r="E19" s="3" t="n">
        <v>19</v>
      </c>
      <c r="F19" s="3" t="n">
        <v>19</v>
      </c>
      <c r="G19" s="3" t="n">
        <v>19</v>
      </c>
      <c r="H19" s="3" t="n">
        <v>19</v>
      </c>
      <c r="I19" s="3" t="n">
        <v>19</v>
      </c>
      <c r="J19" s="3" t="n">
        <v>19</v>
      </c>
      <c r="K19" s="3" t="n">
        <v>19</v>
      </c>
      <c r="L19" s="3" t="n">
        <v>19</v>
      </c>
    </row>
    <row r="20" customFormat="false" ht="15" hidden="false" customHeight="false" outlineLevel="0" collapsed="false">
      <c r="A20" s="0" t="s">
        <v>102</v>
      </c>
      <c r="B20" s="3" t="n">
        <v>11.5</v>
      </c>
    </row>
    <row r="21" customFormat="false" ht="15" hidden="false" customHeight="false" outlineLevel="0" collapsed="false">
      <c r="A21" s="0" t="s">
        <v>103</v>
      </c>
      <c r="B21" s="3" t="n">
        <v>2.5</v>
      </c>
    </row>
    <row r="22" customFormat="false" ht="15" hidden="false" customHeight="false" outlineLevel="0" collapsed="false">
      <c r="A22" s="0" t="s">
        <v>104</v>
      </c>
      <c r="B22" s="3" t="n">
        <v>15</v>
      </c>
    </row>
    <row r="23" customFormat="false" ht="15" hidden="false" customHeight="false" outlineLevel="0" collapsed="false">
      <c r="A23" s="0" t="s">
        <v>105</v>
      </c>
      <c r="B23" s="3" t="n">
        <v>0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20</v>
      </c>
      <c r="D27" s="3" t="n">
        <v>6</v>
      </c>
      <c r="E27" s="3" t="n">
        <v>5</v>
      </c>
      <c r="F27" s="3" t="n">
        <v>4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96</v>
      </c>
      <c r="C28" s="3" t="n">
        <v>21</v>
      </c>
      <c r="D28" s="3" t="n">
        <v>21.5</v>
      </c>
      <c r="E28" s="3" t="n">
        <v>22</v>
      </c>
      <c r="F28" s="3" t="n">
        <v>22</v>
      </c>
      <c r="G28" s="3" t="n">
        <v>22</v>
      </c>
      <c r="H28" s="3" t="n">
        <v>22</v>
      </c>
      <c r="I28" s="3" t="n">
        <v>22</v>
      </c>
      <c r="J28" s="3" t="n">
        <v>22</v>
      </c>
      <c r="K28" s="3" t="n">
        <v>22</v>
      </c>
      <c r="L28" s="3" t="n">
        <v>22</v>
      </c>
    </row>
    <row r="29" customFormat="false" ht="15" hidden="false" customHeight="false" outlineLevel="0" collapsed="false">
      <c r="A29" s="0" t="s">
        <v>97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99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100</v>
      </c>
      <c r="C32" s="3" t="n">
        <v>8.9</v>
      </c>
      <c r="D32" s="3" t="n">
        <v>8.5</v>
      </c>
      <c r="E32" s="3" t="n">
        <v>8</v>
      </c>
      <c r="F32" s="3" t="n">
        <v>7.5</v>
      </c>
      <c r="G32" s="3" t="n">
        <v>7</v>
      </c>
      <c r="H32" s="3" t="n">
        <v>7</v>
      </c>
      <c r="I32" s="3" t="n">
        <v>6.8</v>
      </c>
      <c r="J32" s="3" t="n">
        <v>6.8</v>
      </c>
      <c r="K32" s="3" t="n">
        <v>6.8</v>
      </c>
      <c r="L32" s="3" t="n">
        <v>6.8</v>
      </c>
    </row>
    <row r="33" customFormat="false" ht="15" hidden="false" customHeight="false" outlineLevel="0" collapsed="false">
      <c r="A33" s="0" t="s">
        <v>101</v>
      </c>
      <c r="C33" s="3" t="n">
        <v>17</v>
      </c>
      <c r="D33" s="3" t="n">
        <v>18</v>
      </c>
      <c r="E33" s="3" t="n">
        <v>19</v>
      </c>
      <c r="F33" s="3" t="n">
        <v>19</v>
      </c>
      <c r="G33" s="3" t="n">
        <v>19</v>
      </c>
      <c r="H33" s="3" t="n">
        <v>19</v>
      </c>
      <c r="I33" s="3" t="n">
        <v>19</v>
      </c>
      <c r="J33" s="3" t="n">
        <v>19</v>
      </c>
      <c r="K33" s="3" t="n">
        <v>19</v>
      </c>
      <c r="L33" s="3" t="n">
        <v>19</v>
      </c>
    </row>
    <row r="34" customFormat="false" ht="15" hidden="false" customHeight="false" outlineLevel="0" collapsed="false">
      <c r="A34" s="0" t="s">
        <v>102</v>
      </c>
      <c r="B34" s="3" t="n">
        <v>11.5</v>
      </c>
    </row>
    <row r="35" customFormat="false" ht="15" hidden="false" customHeight="false" outlineLevel="0" collapsed="false">
      <c r="A35" s="0" t="s">
        <v>103</v>
      </c>
      <c r="B35" s="3" t="n">
        <v>3</v>
      </c>
    </row>
    <row r="36" customFormat="false" ht="15" hidden="false" customHeight="false" outlineLevel="0" collapsed="false">
      <c r="A36" s="0" t="s">
        <v>104</v>
      </c>
      <c r="B36" s="3" t="n">
        <v>15</v>
      </c>
    </row>
    <row r="37" customFormat="false" ht="15" hidden="false" customHeight="false" outlineLevel="0" collapsed="false">
      <c r="A37" s="0" t="s">
        <v>105</v>
      </c>
      <c r="B37" s="3" t="n">
        <v>0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25</v>
      </c>
      <c r="D41" s="3" t="n">
        <v>10</v>
      </c>
      <c r="E41" s="3" t="n">
        <v>8</v>
      </c>
      <c r="F41" s="3" t="n">
        <v>6</v>
      </c>
      <c r="G41" s="3" t="n">
        <v>5</v>
      </c>
      <c r="H41" s="3" t="n">
        <v>4</v>
      </c>
      <c r="I41" s="3" t="n">
        <v>4</v>
      </c>
      <c r="J41" s="3" t="n">
        <v>3.5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96</v>
      </c>
      <c r="C42" s="3" t="n">
        <v>23</v>
      </c>
      <c r="D42" s="3" t="n">
        <v>25</v>
      </c>
      <c r="E42" s="3" t="n">
        <v>26</v>
      </c>
      <c r="F42" s="3" t="n">
        <v>26</v>
      </c>
      <c r="G42" s="3" t="n">
        <v>26</v>
      </c>
      <c r="H42" s="3" t="n">
        <v>26</v>
      </c>
      <c r="I42" s="3" t="n">
        <v>26</v>
      </c>
      <c r="J42" s="3" t="n">
        <v>26</v>
      </c>
      <c r="K42" s="3" t="n">
        <v>26</v>
      </c>
      <c r="L42" s="3" t="n">
        <v>26</v>
      </c>
    </row>
    <row r="43" customFormat="false" ht="15" hidden="false" customHeight="false" outlineLevel="0" collapsed="false">
      <c r="A43" s="0" t="s">
        <v>97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99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100</v>
      </c>
      <c r="C46" s="3" t="n">
        <v>9.5</v>
      </c>
      <c r="D46" s="3" t="n">
        <v>9</v>
      </c>
      <c r="E46" s="3" t="n">
        <v>8.5</v>
      </c>
      <c r="F46" s="3" t="n">
        <v>8</v>
      </c>
      <c r="G46" s="3" t="n">
        <v>7.5</v>
      </c>
      <c r="H46" s="3" t="n">
        <v>7</v>
      </c>
      <c r="I46" s="3" t="n">
        <v>7</v>
      </c>
      <c r="J46" s="3" t="n">
        <v>7</v>
      </c>
      <c r="K46" s="3" t="n">
        <v>7</v>
      </c>
      <c r="L46" s="3" t="n">
        <v>7</v>
      </c>
    </row>
    <row r="47" customFormat="false" ht="15" hidden="false" customHeight="false" outlineLevel="0" collapsed="false">
      <c r="A47" s="0" t="s">
        <v>101</v>
      </c>
      <c r="C47" s="3" t="n">
        <v>17</v>
      </c>
      <c r="D47" s="3" t="n">
        <v>18</v>
      </c>
      <c r="E47" s="3" t="n">
        <v>18</v>
      </c>
      <c r="F47" s="3" t="n">
        <v>18</v>
      </c>
      <c r="G47" s="3" t="n">
        <v>18</v>
      </c>
      <c r="H47" s="3" t="n">
        <v>18</v>
      </c>
      <c r="I47" s="3" t="n">
        <v>18</v>
      </c>
      <c r="J47" s="3" t="n">
        <v>18</v>
      </c>
      <c r="K47" s="3" t="n">
        <v>18</v>
      </c>
      <c r="L47" s="3" t="n">
        <v>18</v>
      </c>
    </row>
    <row r="48" customFormat="false" ht="15" hidden="false" customHeight="false" outlineLevel="0" collapsed="false">
      <c r="A48" s="0" t="s">
        <v>102</v>
      </c>
      <c r="B48" s="3" t="n">
        <v>11.5</v>
      </c>
    </row>
    <row r="49" customFormat="false" ht="15" hidden="false" customHeight="false" outlineLevel="0" collapsed="false">
      <c r="A49" s="0" t="s">
        <v>103</v>
      </c>
      <c r="B49" s="3" t="n">
        <v>3.5</v>
      </c>
    </row>
    <row r="50" customFormat="false" ht="15" hidden="false" customHeight="false" outlineLevel="0" collapsed="false">
      <c r="A50" s="0" t="s">
        <v>104</v>
      </c>
      <c r="B50" s="3" t="n">
        <v>15</v>
      </c>
    </row>
    <row r="51" customFormat="false" ht="15" hidden="false" customHeight="false" outlineLevel="0" collapsed="false">
      <c r="A51" s="0" t="s">
        <v>105</v>
      </c>
      <c r="B51" s="3" t="n">
        <v>0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10</v>
      </c>
      <c r="D5" s="4" t="n">
        <f aca="false">Assumptions!D13</f>
        <v>-10</v>
      </c>
      <c r="E5" s="4" t="n">
        <f aca="false">Assumptions!E13</f>
        <v>0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6230.008</v>
      </c>
      <c r="C6" s="0" t="n">
        <f aca="false">B6*(1+C5/100)</f>
        <v>6853.0088</v>
      </c>
      <c r="D6" s="0" t="n">
        <f aca="false">C6*(1+D5/100)</f>
        <v>6167.70792</v>
      </c>
      <c r="E6" s="0" t="n">
        <f aca="false">D6*(1+E5/100)</f>
        <v>6167.70792</v>
      </c>
      <c r="F6" s="0" t="n">
        <f aca="false">E6*(1+F5/100)</f>
        <v>6291.0620784</v>
      </c>
      <c r="G6" s="0" t="n">
        <f aca="false">F6*(1+G5/100)</f>
        <v>6416.883319968</v>
      </c>
      <c r="H6" s="0" t="n">
        <f aca="false">G6*(1+H5/100)</f>
        <v>6545.22098636736</v>
      </c>
      <c r="I6" s="0" t="n">
        <f aca="false">H6*(1+I5/100)</f>
        <v>6708.85151102655</v>
      </c>
      <c r="J6" s="0" t="n">
        <f aca="false">I6*(1+J5/100)</f>
        <v>6876.57279880221</v>
      </c>
      <c r="K6" s="0" t="n">
        <f aca="false">J6*(1+K5/100)</f>
        <v>7048.48711877226</v>
      </c>
      <c r="L6" s="0" t="n">
        <f aca="false">K6*(1+L5/100)</f>
        <v>7224.69929674157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15</v>
      </c>
      <c r="D7" s="4" t="n">
        <f aca="false">Assumptions!D14</f>
        <v>8</v>
      </c>
      <c r="E7" s="4" t="n">
        <f aca="false">Assumptions!E14</f>
        <v>10</v>
      </c>
      <c r="F7" s="4" t="n">
        <f aca="false">Assumptions!F14</f>
        <v>12</v>
      </c>
      <c r="G7" s="4" t="n">
        <f aca="false">Assumptions!G14</f>
        <v>14</v>
      </c>
      <c r="H7" s="4" t="n">
        <f aca="false">Assumptions!H14</f>
        <v>16</v>
      </c>
      <c r="I7" s="4" t="n">
        <f aca="false">Assumptions!I14</f>
        <v>16</v>
      </c>
      <c r="J7" s="4" t="n">
        <f aca="false">Assumptions!J14</f>
        <v>16</v>
      </c>
      <c r="K7" s="4" t="n">
        <f aca="false">Assumptions!K14</f>
        <v>16</v>
      </c>
      <c r="L7" s="4" t="n">
        <f aca="false">Assumptions!L14</f>
        <v>16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1027.95132</v>
      </c>
      <c r="D8" s="0" t="n">
        <f aca="false">D6*D7/100</f>
        <v>493.4166336</v>
      </c>
      <c r="E8" s="0" t="n">
        <f aca="false">E6*E7/100</f>
        <v>616.770792</v>
      </c>
      <c r="F8" s="0" t="n">
        <f aca="false">F6*F7/100</f>
        <v>754.927449408</v>
      </c>
      <c r="G8" s="0" t="n">
        <f aca="false">G6*G7/100</f>
        <v>898.36366479552</v>
      </c>
      <c r="H8" s="0" t="n">
        <f aca="false">H6*H7/100</f>
        <v>1047.23535781878</v>
      </c>
      <c r="I8" s="0" t="n">
        <f aca="false">I6*I7/100</f>
        <v>1073.41624176425</v>
      </c>
      <c r="J8" s="0" t="n">
        <f aca="false">J6*J7/100</f>
        <v>1100.25164780835</v>
      </c>
      <c r="K8" s="0" t="n">
        <f aca="false">K6*K7/100</f>
        <v>1127.75793900356</v>
      </c>
      <c r="L8" s="0" t="n">
        <f aca="false">L6*L7/100</f>
        <v>1155.95188747865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1027.95132</v>
      </c>
      <c r="D11" s="0" t="n">
        <f aca="false">D8+D10+D24</f>
        <v>493.4166336</v>
      </c>
      <c r="E11" s="0" t="n">
        <f aca="false">E8+E10+E24</f>
        <v>616.770792</v>
      </c>
      <c r="F11" s="0" t="n">
        <f aca="false">F8+F10+F24</f>
        <v>754.927449408</v>
      </c>
      <c r="G11" s="0" t="n">
        <f aca="false">G8+G10+G24</f>
        <v>898.36366479552</v>
      </c>
      <c r="H11" s="0" t="n">
        <f aca="false">H8+H10+H24</f>
        <v>1047.23535781878</v>
      </c>
      <c r="I11" s="0" t="n">
        <f aca="false">I8+I10+I24</f>
        <v>1073.41624176425</v>
      </c>
      <c r="J11" s="0" t="n">
        <f aca="false">J8+J10+J24</f>
        <v>1100.25164780835</v>
      </c>
      <c r="K11" s="0" t="n">
        <f aca="false">K8+K10+K24</f>
        <v>1127.75793900356</v>
      </c>
      <c r="L11" s="0" t="n">
        <f aca="false">L8+L10+L24</f>
        <v>1155.95188747865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1027.95132</v>
      </c>
      <c r="D13" s="0" t="n">
        <f aca="false">D11+D12</f>
        <v>493.4166336</v>
      </c>
      <c r="E13" s="0" t="n">
        <f aca="false">E11+E12</f>
        <v>616.770792</v>
      </c>
      <c r="F13" s="0" t="n">
        <f aca="false">F11+F12</f>
        <v>754.927449408</v>
      </c>
      <c r="G13" s="0" t="n">
        <f aca="false">G11+G12</f>
        <v>898.36366479552</v>
      </c>
      <c r="H13" s="0" t="n">
        <f aca="false">H11+H12</f>
        <v>1047.23535781878</v>
      </c>
      <c r="I13" s="0" t="n">
        <f aca="false">I11+I12</f>
        <v>1073.41624176425</v>
      </c>
      <c r="J13" s="0" t="n">
        <f aca="false">J11+J12</f>
        <v>1100.25164780835</v>
      </c>
      <c r="K13" s="0" t="n">
        <f aca="false">K11+K12</f>
        <v>1127.75793900356</v>
      </c>
      <c r="L13" s="0" t="n">
        <f aca="false">L11+L12</f>
        <v>1155.95188747865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17</v>
      </c>
      <c r="D14" s="4" t="n">
        <f aca="false">Assumptions!D19</f>
        <v>18</v>
      </c>
      <c r="E14" s="4" t="n">
        <f aca="false">Assumptions!E19</f>
        <v>19</v>
      </c>
      <c r="F14" s="4" t="n">
        <f aca="false">Assumptions!F19</f>
        <v>19</v>
      </c>
      <c r="G14" s="4" t="n">
        <f aca="false">Assumptions!G19</f>
        <v>19</v>
      </c>
      <c r="H14" s="4" t="n">
        <f aca="false">Assumptions!H19</f>
        <v>19</v>
      </c>
      <c r="I14" s="4" t="n">
        <f aca="false">Assumptions!I19</f>
        <v>19</v>
      </c>
      <c r="J14" s="4" t="n">
        <f aca="false">Assumptions!J19</f>
        <v>19</v>
      </c>
      <c r="K14" s="4" t="n">
        <f aca="false">Assumptions!K19</f>
        <v>19</v>
      </c>
      <c r="L14" s="4" t="n">
        <f aca="false">Assumptions!L19</f>
        <v>19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853.1995956</v>
      </c>
      <c r="D15" s="0" t="n">
        <f aca="false">D13-MAX(0,D13)*D14/100</f>
        <v>404.601639552</v>
      </c>
      <c r="E15" s="0" t="n">
        <f aca="false">E13-MAX(0,E13)*E14/100</f>
        <v>499.58434152</v>
      </c>
      <c r="F15" s="0" t="n">
        <f aca="false">F13-MAX(0,F13)*F14/100</f>
        <v>611.49123402048</v>
      </c>
      <c r="G15" s="0" t="n">
        <f aca="false">G13-MAX(0,G13)*G14/100</f>
        <v>727.674568484371</v>
      </c>
      <c r="H15" s="0" t="n">
        <f aca="false">H13-MAX(0,H13)*H14/100</f>
        <v>848.26063983321</v>
      </c>
      <c r="I15" s="0" t="n">
        <f aca="false">I13-MAX(0,I13)*I14/100</f>
        <v>869.46715582904</v>
      </c>
      <c r="J15" s="0" t="n">
        <f aca="false">J13-MAX(0,J13)*J14/100</f>
        <v>891.203834724766</v>
      </c>
      <c r="K15" s="0" t="n">
        <f aca="false">K13-MAX(0,K13)*K14/100</f>
        <v>913.483930592885</v>
      </c>
      <c r="L15" s="0" t="n">
        <f aca="false">L13-MAX(0,L13)*L14/100</f>
        <v>936.321028857708</v>
      </c>
    </row>
    <row r="16" customFormat="false" ht="15" hidden="false" customHeight="false" outlineLevel="0" collapsed="false">
      <c r="A16" s="0" t="s">
        <v>117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-479.710616</v>
      </c>
      <c r="D17" s="4" t="n">
        <f aca="false">-D6*Assumptions!D18/100</f>
        <v>-277.5468564</v>
      </c>
      <c r="E17" s="4" t="n">
        <f aca="false">-E6*Assumptions!E18/100</f>
        <v>-339.2239356</v>
      </c>
      <c r="F17" s="4" t="n">
        <f aca="false">-F6*Assumptions!F18/100</f>
        <v>-377.463724704</v>
      </c>
      <c r="G17" s="4" t="n">
        <f aca="false">-G6*Assumptions!G18/100</f>
        <v>-352.92858259824</v>
      </c>
      <c r="H17" s="4" t="n">
        <f aca="false">-H6*Assumptions!H18/100</f>
        <v>-359.987154250205</v>
      </c>
      <c r="I17" s="4" t="n">
        <f aca="false">-I6*Assumptions!I18/100</f>
        <v>-348.86027857338</v>
      </c>
      <c r="J17" s="4" t="n">
        <f aca="false">-J6*Assumptions!J18/100</f>
        <v>-357.581785537715</v>
      </c>
      <c r="K17" s="4" t="n">
        <f aca="false">-K6*Assumptions!K18/100</f>
        <v>-366.521330176158</v>
      </c>
      <c r="L17" s="4" t="n">
        <f aca="false">-L6*Assumptions!L18/100</f>
        <v>-375.684363430562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373.4889796</v>
      </c>
      <c r="D19" s="0" t="n">
        <f aca="false">D15+D16+D17+D18</f>
        <v>127.054783152</v>
      </c>
      <c r="E19" s="0" t="n">
        <f aca="false">E15+E16+E17+E18</f>
        <v>160.36040592</v>
      </c>
      <c r="F19" s="0" t="n">
        <f aca="false">F15+F16+F17+F18</f>
        <v>234.02750931648</v>
      </c>
      <c r="G19" s="0" t="n">
        <f aca="false">G15+G16+G17+G18</f>
        <v>374.745985886131</v>
      </c>
      <c r="H19" s="0" t="n">
        <f aca="false">H15+H16+H17+H18</f>
        <v>488.273485583005</v>
      </c>
      <c r="I19" s="0" t="n">
        <f aca="false">I15+I16+I17+I18</f>
        <v>520.60687725566</v>
      </c>
      <c r="J19" s="0" t="n">
        <f aca="false">J15+J16+J17+J18</f>
        <v>533.622049187051</v>
      </c>
      <c r="K19" s="0" t="n">
        <f aca="false">K15+K16+K17+K18</f>
        <v>546.962600416728</v>
      </c>
      <c r="L19" s="0" t="n">
        <f aca="false">L15+L16+L17+L18</f>
        <v>560.636665427146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334.96769470852</v>
      </c>
      <c r="D21" s="0" t="n">
        <f aca="false">D19*D20</f>
        <v>102.197738262985</v>
      </c>
      <c r="E21" s="0" t="n">
        <f aca="false">E19*E20</f>
        <v>115.683799679464</v>
      </c>
      <c r="F21" s="0" t="n">
        <f aca="false">F19*F20</f>
        <v>151.414491032687</v>
      </c>
      <c r="G21" s="0" t="n">
        <f aca="false">G19*G20</f>
        <v>217.451622591135</v>
      </c>
      <c r="H21" s="0" t="n">
        <f aca="false">H19*H20</f>
        <v>254.105425182822</v>
      </c>
      <c r="I21" s="0" t="n">
        <f aca="false">I19*I20</f>
        <v>242.988561043553</v>
      </c>
      <c r="J21" s="0" t="n">
        <f aca="false">J19*J20</f>
        <v>223.375134591607</v>
      </c>
      <c r="K21" s="0" t="n">
        <f aca="false">K19*K20</f>
        <v>205.344854669415</v>
      </c>
      <c r="L21" s="0" t="n">
        <f aca="false">L19*L20</f>
        <v>188.769933664708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11.5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2036.2992554269</v>
      </c>
    </row>
    <row r="31" customFormat="false" ht="15" hidden="false" customHeight="false" outlineLevel="0" collapsed="false">
      <c r="A31" s="0" t="s">
        <v>126</v>
      </c>
      <c r="B31" s="0" t="n">
        <f aca="false">L19</f>
        <v>560.636665427146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6385.02868958694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8409.54998140719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6385.02868958694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2149.87980007029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4186.17905549719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4186.17905549719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0.439207975438265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-0.847497230750603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0.439207975438265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4597.2206565026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0.299865819480336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20</v>
      </c>
      <c r="D5" s="4" t="n">
        <f aca="false">Assumptions!D27</f>
        <v>6</v>
      </c>
      <c r="E5" s="4" t="n">
        <f aca="false">Assumptions!E27</f>
        <v>5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6230.008</v>
      </c>
      <c r="C6" s="0" t="n">
        <f aca="false">B6*(1+C5/100)</f>
        <v>7476.0096</v>
      </c>
      <c r="D6" s="0" t="n">
        <f aca="false">C6*(1+D5/100)</f>
        <v>7924.570176</v>
      </c>
      <c r="E6" s="0" t="n">
        <f aca="false">D6*(1+E5/100)</f>
        <v>8320.7986848</v>
      </c>
      <c r="F6" s="0" t="n">
        <f aca="false">E6*(1+F5/100)</f>
        <v>8653.630632192</v>
      </c>
      <c r="G6" s="0" t="n">
        <f aca="false">F6*(1+G5/100)</f>
        <v>8999.77585747968</v>
      </c>
      <c r="H6" s="0" t="n">
        <f aca="false">G6*(1+H5/100)</f>
        <v>9314.76801249147</v>
      </c>
      <c r="I6" s="0" t="n">
        <f aca="false">H6*(1+I5/100)</f>
        <v>9594.21105286621</v>
      </c>
      <c r="J6" s="0" t="n">
        <f aca="false">I6*(1+J5/100)</f>
        <v>9882.0373844522</v>
      </c>
      <c r="K6" s="0" t="n">
        <f aca="false">J6*(1+K5/100)</f>
        <v>10178.4985059858</v>
      </c>
      <c r="L6" s="0" t="n">
        <f aca="false">K6*(1+L5/100)</f>
        <v>10483.8534611653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21</v>
      </c>
      <c r="D7" s="4" t="n">
        <f aca="false">Assumptions!D28</f>
        <v>21.5</v>
      </c>
      <c r="E7" s="4" t="n">
        <f aca="false">Assumptions!E28</f>
        <v>22</v>
      </c>
      <c r="F7" s="4" t="n">
        <f aca="false">Assumptions!F28</f>
        <v>22</v>
      </c>
      <c r="G7" s="4" t="n">
        <f aca="false">Assumptions!G28</f>
        <v>22</v>
      </c>
      <c r="H7" s="4" t="n">
        <f aca="false">Assumptions!H28</f>
        <v>22</v>
      </c>
      <c r="I7" s="4" t="n">
        <f aca="false">Assumptions!I28</f>
        <v>22</v>
      </c>
      <c r="J7" s="4" t="n">
        <f aca="false">Assumptions!J28</f>
        <v>22</v>
      </c>
      <c r="K7" s="4" t="n">
        <f aca="false">Assumptions!K28</f>
        <v>22</v>
      </c>
      <c r="L7" s="4" t="n">
        <f aca="false">Assumptions!L28</f>
        <v>22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1569.962016</v>
      </c>
      <c r="D8" s="0" t="n">
        <f aca="false">D6*D7/100</f>
        <v>1703.78258784</v>
      </c>
      <c r="E8" s="0" t="n">
        <f aca="false">E6*E7/100</f>
        <v>1830.575710656</v>
      </c>
      <c r="F8" s="0" t="n">
        <f aca="false">F6*F7/100</f>
        <v>1903.79873908224</v>
      </c>
      <c r="G8" s="0" t="n">
        <f aca="false">G6*G7/100</f>
        <v>1979.95068864553</v>
      </c>
      <c r="H8" s="0" t="n">
        <f aca="false">H6*H7/100</f>
        <v>2049.24896274812</v>
      </c>
      <c r="I8" s="0" t="n">
        <f aca="false">I6*I7/100</f>
        <v>2110.72643163057</v>
      </c>
      <c r="J8" s="0" t="n">
        <f aca="false">J6*J7/100</f>
        <v>2174.04822457948</v>
      </c>
      <c r="K8" s="0" t="n">
        <f aca="false">K6*K7/100</f>
        <v>2239.26967131687</v>
      </c>
      <c r="L8" s="0" t="n">
        <f aca="false">L6*L7/100</f>
        <v>2306.44776145638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1569.962016</v>
      </c>
      <c r="D11" s="0" t="n">
        <f aca="false">D8+D10+D24</f>
        <v>1703.78258784</v>
      </c>
      <c r="E11" s="0" t="n">
        <f aca="false">E8+E10+E24</f>
        <v>1830.575710656</v>
      </c>
      <c r="F11" s="0" t="n">
        <f aca="false">F8+F10+F24</f>
        <v>1903.79873908224</v>
      </c>
      <c r="G11" s="0" t="n">
        <f aca="false">G8+G10+G24</f>
        <v>1979.95068864553</v>
      </c>
      <c r="H11" s="0" t="n">
        <f aca="false">H8+H10+H24</f>
        <v>2049.24896274812</v>
      </c>
      <c r="I11" s="0" t="n">
        <f aca="false">I8+I10+I24</f>
        <v>2110.72643163057</v>
      </c>
      <c r="J11" s="0" t="n">
        <f aca="false">J8+J10+J24</f>
        <v>2174.04822457948</v>
      </c>
      <c r="K11" s="0" t="n">
        <f aca="false">K8+K10+K24</f>
        <v>2239.26967131687</v>
      </c>
      <c r="L11" s="0" t="n">
        <f aca="false">L8+L10+L24</f>
        <v>2306.44776145638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1569.962016</v>
      </c>
      <c r="D13" s="0" t="n">
        <f aca="false">D11+D12</f>
        <v>1703.78258784</v>
      </c>
      <c r="E13" s="0" t="n">
        <f aca="false">E11+E12</f>
        <v>1830.575710656</v>
      </c>
      <c r="F13" s="0" t="n">
        <f aca="false">F11+F12</f>
        <v>1903.79873908224</v>
      </c>
      <c r="G13" s="0" t="n">
        <f aca="false">G11+G12</f>
        <v>1979.95068864553</v>
      </c>
      <c r="H13" s="0" t="n">
        <f aca="false">H11+H12</f>
        <v>2049.24896274812</v>
      </c>
      <c r="I13" s="0" t="n">
        <f aca="false">I11+I12</f>
        <v>2110.72643163057</v>
      </c>
      <c r="J13" s="0" t="n">
        <f aca="false">J11+J12</f>
        <v>2174.04822457948</v>
      </c>
      <c r="K13" s="0" t="n">
        <f aca="false">K11+K12</f>
        <v>2239.26967131687</v>
      </c>
      <c r="L13" s="0" t="n">
        <f aca="false">L11+L12</f>
        <v>2306.44776145638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17</v>
      </c>
      <c r="D14" s="4" t="n">
        <f aca="false">Assumptions!D33</f>
        <v>18</v>
      </c>
      <c r="E14" s="4" t="n">
        <f aca="false">Assumptions!E33</f>
        <v>19</v>
      </c>
      <c r="F14" s="4" t="n">
        <f aca="false">Assumptions!F33</f>
        <v>19</v>
      </c>
      <c r="G14" s="4" t="n">
        <f aca="false">Assumptions!G33</f>
        <v>19</v>
      </c>
      <c r="H14" s="4" t="n">
        <f aca="false">Assumptions!H33</f>
        <v>19</v>
      </c>
      <c r="I14" s="4" t="n">
        <f aca="false">Assumptions!I33</f>
        <v>19</v>
      </c>
      <c r="J14" s="4" t="n">
        <f aca="false">Assumptions!J33</f>
        <v>19</v>
      </c>
      <c r="K14" s="4" t="n">
        <f aca="false">Assumptions!K33</f>
        <v>19</v>
      </c>
      <c r="L14" s="4" t="n">
        <f aca="false">Assumptions!L33</f>
        <v>19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1303.06847328</v>
      </c>
      <c r="D15" s="0" t="n">
        <f aca="false">D13-MAX(0,D13)*D14/100</f>
        <v>1397.1017220288</v>
      </c>
      <c r="E15" s="0" t="n">
        <f aca="false">E13-MAX(0,E13)*E14/100</f>
        <v>1482.76632563136</v>
      </c>
      <c r="F15" s="0" t="n">
        <f aca="false">F13-MAX(0,F13)*F14/100</f>
        <v>1542.07697865661</v>
      </c>
      <c r="G15" s="0" t="n">
        <f aca="false">G13-MAX(0,G13)*G14/100</f>
        <v>1603.76005780288</v>
      </c>
      <c r="H15" s="0" t="n">
        <f aca="false">H13-MAX(0,H13)*H14/100</f>
        <v>1659.89165982598</v>
      </c>
      <c r="I15" s="0" t="n">
        <f aca="false">I13-MAX(0,I13)*I14/100</f>
        <v>1709.68840962076</v>
      </c>
      <c r="J15" s="0" t="n">
        <f aca="false">J13-MAX(0,J13)*J14/100</f>
        <v>1760.97906190938</v>
      </c>
      <c r="K15" s="0" t="n">
        <f aca="false">K13-MAX(0,K13)*K14/100</f>
        <v>1813.80843376666</v>
      </c>
      <c r="L15" s="0" t="n">
        <f aca="false">L13-MAX(0,L13)*L14/100</f>
        <v>1868.22268677966</v>
      </c>
    </row>
    <row r="16" customFormat="false" ht="15" hidden="false" customHeight="false" outlineLevel="0" collapsed="false">
      <c r="A16" s="0" t="s">
        <v>117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-665.3648544</v>
      </c>
      <c r="D17" s="4" t="n">
        <f aca="false">-D6*Assumptions!D32/100</f>
        <v>-673.58846496</v>
      </c>
      <c r="E17" s="4" t="n">
        <f aca="false">-E6*Assumptions!E32/100</f>
        <v>-665.663894784</v>
      </c>
      <c r="F17" s="4" t="n">
        <f aca="false">-F6*Assumptions!F32/100</f>
        <v>-649.0222974144</v>
      </c>
      <c r="G17" s="4" t="n">
        <f aca="false">-G6*Assumptions!G32/100</f>
        <v>-629.984310023578</v>
      </c>
      <c r="H17" s="4" t="n">
        <f aca="false">-H6*Assumptions!H32/100</f>
        <v>-652.033760874403</v>
      </c>
      <c r="I17" s="4" t="n">
        <f aca="false">-I6*Assumptions!I32/100</f>
        <v>-652.406351594903</v>
      </c>
      <c r="J17" s="4" t="n">
        <f aca="false">-J6*Assumptions!J32/100</f>
        <v>-671.97854214275</v>
      </c>
      <c r="K17" s="4" t="n">
        <f aca="false">-K6*Assumptions!K32/100</f>
        <v>-692.137898407032</v>
      </c>
      <c r="L17" s="4" t="n">
        <f aca="false">-L6*Assumptions!L32/100</f>
        <v>-712.902035359243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637.70361888</v>
      </c>
      <c r="D19" s="0" t="n">
        <f aca="false">D15+D16+D17+D18</f>
        <v>723.5132570688</v>
      </c>
      <c r="E19" s="0" t="n">
        <f aca="false">E15+E16+E17+E18</f>
        <v>817.10243084736</v>
      </c>
      <c r="F19" s="0" t="n">
        <f aca="false">F15+F16+F17+F18</f>
        <v>893.054681242214</v>
      </c>
      <c r="G19" s="0" t="n">
        <f aca="false">G15+G16+G17+G18</f>
        <v>973.775747779302</v>
      </c>
      <c r="H19" s="0" t="n">
        <f aca="false">H15+H16+H17+H18</f>
        <v>1007.85789895158</v>
      </c>
      <c r="I19" s="0" t="n">
        <f aca="false">I15+I16+I17+I18</f>
        <v>1057.28205802586</v>
      </c>
      <c r="J19" s="0" t="n">
        <f aca="false">J15+J16+J17+J18</f>
        <v>1089.00051976663</v>
      </c>
      <c r="K19" s="0" t="n">
        <f aca="false">K15+K16+K17+K18</f>
        <v>1121.67053535963</v>
      </c>
      <c r="L19" s="0" t="n">
        <f aca="false">L15+L16+L17+L18</f>
        <v>1155.32065142042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571.931496753363</v>
      </c>
      <c r="D21" s="0" t="n">
        <f aca="false">D19*D20</f>
        <v>581.964855170062</v>
      </c>
      <c r="E21" s="0" t="n">
        <f aca="false">E19*E20</f>
        <v>589.45668904646</v>
      </c>
      <c r="F21" s="0" t="n">
        <f aca="false">F19*F20</f>
        <v>577.801389330628</v>
      </c>
      <c r="G21" s="0" t="n">
        <f aca="false">G19*G20</f>
        <v>565.047056858526</v>
      </c>
      <c r="H21" s="0" t="n">
        <f aca="false">H19*H20</f>
        <v>524.505563989753</v>
      </c>
      <c r="I21" s="0" t="n">
        <f aca="false">I19*I20</f>
        <v>493.476857722544</v>
      </c>
      <c r="J21" s="0" t="n">
        <f aca="false">J19*J20</f>
        <v>455.857545698852</v>
      </c>
      <c r="K21" s="0" t="n">
        <f aca="false">K19*K20</f>
        <v>421.106073605218</v>
      </c>
      <c r="L21" s="0" t="n">
        <f aca="false">L19*L20</f>
        <v>389.003816872982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11.5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5170.15134504839</v>
      </c>
    </row>
    <row r="31" customFormat="false" ht="15" hidden="false" customHeight="false" outlineLevel="0" collapsed="false">
      <c r="A31" s="0" t="s">
        <v>126</v>
      </c>
      <c r="B31" s="0" t="n">
        <f aca="false">L19</f>
        <v>1155.32065142042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13999.7678936827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17329.8097713063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13999.7678936827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4713.81095740201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9883.9623024504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9883.9623024504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1.03701132097222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-0.639926624662424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1.03701132097222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9916.50225802528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0.72167566103028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25</v>
      </c>
      <c r="D5" s="4" t="n">
        <f aca="false">Assumptions!D41</f>
        <v>10</v>
      </c>
      <c r="E5" s="4" t="n">
        <f aca="false">Assumptions!E41</f>
        <v>8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6230.008</v>
      </c>
      <c r="C6" s="0" t="n">
        <f aca="false">B6*(1+C5/100)</f>
        <v>7787.51</v>
      </c>
      <c r="D6" s="0" t="n">
        <f aca="false">C6*(1+D5/100)</f>
        <v>8566.261</v>
      </c>
      <c r="E6" s="0" t="n">
        <f aca="false">D6*(1+E5/100)</f>
        <v>9251.56188</v>
      </c>
      <c r="F6" s="0" t="n">
        <f aca="false">E6*(1+F5/100)</f>
        <v>9806.6555928</v>
      </c>
      <c r="G6" s="0" t="n">
        <f aca="false">F6*(1+G5/100)</f>
        <v>10296.98837244</v>
      </c>
      <c r="H6" s="0" t="n">
        <f aca="false">G6*(1+H5/100)</f>
        <v>10708.8679073376</v>
      </c>
      <c r="I6" s="0" t="n">
        <f aca="false">H6*(1+I5/100)</f>
        <v>11137.2226236311</v>
      </c>
      <c r="J6" s="0" t="n">
        <f aca="false">I6*(1+J5/100)</f>
        <v>11527.0254154582</v>
      </c>
      <c r="K6" s="0" t="n">
        <f aca="false">J6*(1+K5/100)</f>
        <v>11930.4713049992</v>
      </c>
      <c r="L6" s="0" t="n">
        <f aca="false">K6*(1+L5/100)</f>
        <v>12348.0378006742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23</v>
      </c>
      <c r="D7" s="4" t="n">
        <f aca="false">Assumptions!D42</f>
        <v>25</v>
      </c>
      <c r="E7" s="4" t="n">
        <f aca="false">Assumptions!E42</f>
        <v>26</v>
      </c>
      <c r="F7" s="4" t="n">
        <f aca="false">Assumptions!F42</f>
        <v>26</v>
      </c>
      <c r="G7" s="4" t="n">
        <f aca="false">Assumptions!G42</f>
        <v>26</v>
      </c>
      <c r="H7" s="4" t="n">
        <f aca="false">Assumptions!H42</f>
        <v>26</v>
      </c>
      <c r="I7" s="4" t="n">
        <f aca="false">Assumptions!I42</f>
        <v>26</v>
      </c>
      <c r="J7" s="4" t="n">
        <f aca="false">Assumptions!J42</f>
        <v>26</v>
      </c>
      <c r="K7" s="4" t="n">
        <f aca="false">Assumptions!K42</f>
        <v>26</v>
      </c>
      <c r="L7" s="4" t="n">
        <f aca="false">Assumptions!L42</f>
        <v>26</v>
      </c>
    </row>
    <row r="8" customFormat="false" ht="15" hidden="false" customHeight="false" outlineLevel="0" collapsed="false">
      <c r="A8" s="0" t="s">
        <v>43</v>
      </c>
      <c r="C8" s="0" t="n">
        <f aca="false">C6*C7/100</f>
        <v>1791.1273</v>
      </c>
      <c r="D8" s="0" t="n">
        <f aca="false">D6*D7/100</f>
        <v>2141.56525</v>
      </c>
      <c r="E8" s="0" t="n">
        <f aca="false">E6*E7/100</f>
        <v>2405.4060888</v>
      </c>
      <c r="F8" s="0" t="n">
        <f aca="false">F6*F7/100</f>
        <v>2549.730454128</v>
      </c>
      <c r="G8" s="0" t="n">
        <f aca="false">G6*G7/100</f>
        <v>2677.2169768344</v>
      </c>
      <c r="H8" s="0" t="n">
        <f aca="false">H6*H7/100</f>
        <v>2784.30565590778</v>
      </c>
      <c r="I8" s="0" t="n">
        <f aca="false">I6*I7/100</f>
        <v>2895.67788214409</v>
      </c>
      <c r="J8" s="0" t="n">
        <f aca="false">J6*J7/100</f>
        <v>2997.02660801913</v>
      </c>
      <c r="K8" s="0" t="n">
        <f aca="false">K6*K7/100</f>
        <v>3101.9225392998</v>
      </c>
      <c r="L8" s="0" t="n">
        <f aca="false">L6*L7/100</f>
        <v>3210.48982817529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1791.1273</v>
      </c>
      <c r="D11" s="0" t="n">
        <f aca="false">D8+D10+D24</f>
        <v>2141.56525</v>
      </c>
      <c r="E11" s="0" t="n">
        <f aca="false">E8+E10+E24</f>
        <v>2405.4060888</v>
      </c>
      <c r="F11" s="0" t="n">
        <f aca="false">F8+F10+F24</f>
        <v>2549.730454128</v>
      </c>
      <c r="G11" s="0" t="n">
        <f aca="false">G8+G10+G24</f>
        <v>2677.2169768344</v>
      </c>
      <c r="H11" s="0" t="n">
        <f aca="false">H8+H10+H24</f>
        <v>2784.30565590778</v>
      </c>
      <c r="I11" s="0" t="n">
        <f aca="false">I8+I10+I24</f>
        <v>2895.67788214409</v>
      </c>
      <c r="J11" s="0" t="n">
        <f aca="false">J8+J10+J24</f>
        <v>2997.02660801913</v>
      </c>
      <c r="K11" s="0" t="n">
        <f aca="false">K8+K10+K24</f>
        <v>3101.9225392998</v>
      </c>
      <c r="L11" s="0" t="n">
        <f aca="false">L8+L10+L24</f>
        <v>3210.48982817529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1791.1273</v>
      </c>
      <c r="D13" s="0" t="n">
        <f aca="false">D11+D12</f>
        <v>2141.56525</v>
      </c>
      <c r="E13" s="0" t="n">
        <f aca="false">E11+E12</f>
        <v>2405.4060888</v>
      </c>
      <c r="F13" s="0" t="n">
        <f aca="false">F11+F12</f>
        <v>2549.730454128</v>
      </c>
      <c r="G13" s="0" t="n">
        <f aca="false">G11+G12</f>
        <v>2677.2169768344</v>
      </c>
      <c r="H13" s="0" t="n">
        <f aca="false">H11+H12</f>
        <v>2784.30565590778</v>
      </c>
      <c r="I13" s="0" t="n">
        <f aca="false">I11+I12</f>
        <v>2895.67788214409</v>
      </c>
      <c r="J13" s="0" t="n">
        <f aca="false">J11+J12</f>
        <v>2997.02660801913</v>
      </c>
      <c r="K13" s="0" t="n">
        <f aca="false">K11+K12</f>
        <v>3101.9225392998</v>
      </c>
      <c r="L13" s="0" t="n">
        <f aca="false">L11+L12</f>
        <v>3210.48982817529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17</v>
      </c>
      <c r="D14" s="4" t="n">
        <f aca="false">Assumptions!D47</f>
        <v>18</v>
      </c>
      <c r="E14" s="4" t="n">
        <f aca="false">Assumptions!E47</f>
        <v>18</v>
      </c>
      <c r="F14" s="4" t="n">
        <f aca="false">Assumptions!F47</f>
        <v>18</v>
      </c>
      <c r="G14" s="4" t="n">
        <f aca="false">Assumptions!G47</f>
        <v>18</v>
      </c>
      <c r="H14" s="4" t="n">
        <f aca="false">Assumptions!H47</f>
        <v>18</v>
      </c>
      <c r="I14" s="4" t="n">
        <f aca="false">Assumptions!I47</f>
        <v>18</v>
      </c>
      <c r="J14" s="4" t="n">
        <f aca="false">Assumptions!J47</f>
        <v>18</v>
      </c>
      <c r="K14" s="4" t="n">
        <f aca="false">Assumptions!K47</f>
        <v>18</v>
      </c>
      <c r="L14" s="4" t="n">
        <f aca="false">Assumptions!L47</f>
        <v>18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1486.635659</v>
      </c>
      <c r="D15" s="0" t="n">
        <f aca="false">D13-MAX(0,D13)*D14/100</f>
        <v>1756.083505</v>
      </c>
      <c r="E15" s="0" t="n">
        <f aca="false">E13-MAX(0,E13)*E14/100</f>
        <v>1972.432992816</v>
      </c>
      <c r="F15" s="0" t="n">
        <f aca="false">F13-MAX(0,F13)*F14/100</f>
        <v>2090.77897238496</v>
      </c>
      <c r="G15" s="0" t="n">
        <f aca="false">G13-MAX(0,G13)*G14/100</f>
        <v>2195.31792100421</v>
      </c>
      <c r="H15" s="0" t="n">
        <f aca="false">H13-MAX(0,H13)*H14/100</f>
        <v>2283.13063784438</v>
      </c>
      <c r="I15" s="0" t="n">
        <f aca="false">I13-MAX(0,I13)*I14/100</f>
        <v>2374.45586335815</v>
      </c>
      <c r="J15" s="0" t="n">
        <f aca="false">J13-MAX(0,J13)*J14/100</f>
        <v>2457.56181857569</v>
      </c>
      <c r="K15" s="0" t="n">
        <f aca="false">K13-MAX(0,K13)*K14/100</f>
        <v>2543.57648222584</v>
      </c>
      <c r="L15" s="0" t="n">
        <f aca="false">L13-MAX(0,L13)*L14/100</f>
        <v>2632.60165910374</v>
      </c>
    </row>
    <row r="16" customFormat="false" ht="15" hidden="false" customHeight="false" outlineLevel="0" collapsed="false">
      <c r="A16" s="0" t="s">
        <v>117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-739.81345</v>
      </c>
      <c r="D17" s="4" t="n">
        <f aca="false">-D6*Assumptions!D46/100</f>
        <v>-770.96349</v>
      </c>
      <c r="E17" s="4" t="n">
        <f aca="false">-E6*Assumptions!E46/100</f>
        <v>-786.3827598</v>
      </c>
      <c r="F17" s="4" t="n">
        <f aca="false">-F6*Assumptions!F46/100</f>
        <v>-784.532447424</v>
      </c>
      <c r="G17" s="4" t="n">
        <f aca="false">-G6*Assumptions!G46/100</f>
        <v>-772.274127933</v>
      </c>
      <c r="H17" s="4" t="n">
        <f aca="false">-H6*Assumptions!H46/100</f>
        <v>-749.620753513632</v>
      </c>
      <c r="I17" s="4" t="n">
        <f aca="false">-I6*Assumptions!I46/100</f>
        <v>-779.605583654178</v>
      </c>
      <c r="J17" s="4" t="n">
        <f aca="false">-J6*Assumptions!J46/100</f>
        <v>-806.891779082074</v>
      </c>
      <c r="K17" s="4" t="n">
        <f aca="false">-K6*Assumptions!K46/100</f>
        <v>-835.132991349946</v>
      </c>
      <c r="L17" s="4" t="n">
        <f aca="false">-L6*Assumptions!L46/100</f>
        <v>-864.362646047194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746.822209</v>
      </c>
      <c r="D19" s="0" t="n">
        <f aca="false">D15+D16+D17+D18</f>
        <v>985.120015</v>
      </c>
      <c r="E19" s="0" t="n">
        <f aca="false">E15+E16+E17+E18</f>
        <v>1186.050233016</v>
      </c>
      <c r="F19" s="0" t="n">
        <f aca="false">F15+F16+F17+F18</f>
        <v>1306.24652496096</v>
      </c>
      <c r="G19" s="0" t="n">
        <f aca="false">G15+G16+G17+G18</f>
        <v>1423.04379307121</v>
      </c>
      <c r="H19" s="0" t="n">
        <f aca="false">H15+H16+H17+H18</f>
        <v>1533.50988433074</v>
      </c>
      <c r="I19" s="0" t="n">
        <f aca="false">I15+I16+I17+I18</f>
        <v>1594.85027970397</v>
      </c>
      <c r="J19" s="0" t="n">
        <f aca="false">J15+J16+J17+J18</f>
        <v>1650.67003949361</v>
      </c>
      <c r="K19" s="0" t="n">
        <f aca="false">K15+K16+K17+K18</f>
        <v>1708.44349087589</v>
      </c>
      <c r="L19" s="0" t="n">
        <f aca="false">L15+L16+L17+L18</f>
        <v>1768.23901305655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0.896860986547085</v>
      </c>
      <c r="D20" s="0" t="n">
        <f aca="false">1/(1+$B$27/100)^D4</f>
        <v>0.804359629190211</v>
      </c>
      <c r="E20" s="0" t="n">
        <f aca="false">1/(1+$B$27/100)^E4</f>
        <v>0.72139877057418</v>
      </c>
      <c r="F20" s="0" t="n">
        <f aca="false">1/(1+$B$27/100)^F4</f>
        <v>0.646994413071014</v>
      </c>
      <c r="G20" s="0" t="n">
        <f aca="false">1/(1+$B$27/100)^G4</f>
        <v>0.580264047597322</v>
      </c>
      <c r="H20" s="0" t="n">
        <f aca="false">1/(1+$B$27/100)^H4</f>
        <v>0.520416186185939</v>
      </c>
      <c r="I20" s="0" t="n">
        <f aca="false">1/(1+$B$27/100)^I4</f>
        <v>0.466740974157793</v>
      </c>
      <c r="J20" s="0" t="n">
        <f aca="false">1/(1+$B$27/100)^J4</f>
        <v>0.418601770545106</v>
      </c>
      <c r="K20" s="0" t="n">
        <f aca="false">1/(1+$B$27/100)^K4</f>
        <v>0.37542759690144</v>
      </c>
      <c r="L20" s="0" t="n">
        <f aca="false">1/(1+$B$27/100)^L4</f>
        <v>0.336706364934027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669.795703139014</v>
      </c>
      <c r="D21" s="0" t="n">
        <f aca="false">D19*D20</f>
        <v>792.390769973255</v>
      </c>
      <c r="E21" s="0" t="n">
        <f aca="false">E19*E20</f>
        <v>855.615179936963</v>
      </c>
      <c r="F21" s="0" t="n">
        <f aca="false">F19*F20</f>
        <v>845.134203743168</v>
      </c>
      <c r="G21" s="0" t="n">
        <f aca="false">G19*G20</f>
        <v>825.741151275745</v>
      </c>
      <c r="H21" s="0" t="n">
        <f aca="false">H19*H20</f>
        <v>798.063365481846</v>
      </c>
      <c r="I21" s="0" t="n">
        <f aca="false">I19*I20</f>
        <v>744.381973184861</v>
      </c>
      <c r="J21" s="0" t="n">
        <f aca="false">J19*J20</f>
        <v>690.973401117786</v>
      </c>
      <c r="K21" s="0" t="n">
        <f aca="false">K19*K20</f>
        <v>641.396834221442</v>
      </c>
      <c r="L21" s="0" t="n">
        <f aca="false">L19*L20</f>
        <v>595.377330420801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11.5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7458.86991249488</v>
      </c>
    </row>
    <row r="31" customFormat="false" ht="15" hidden="false" customHeight="false" outlineLevel="0" collapsed="false">
      <c r="A31" s="0" t="s">
        <v>126</v>
      </c>
      <c r="B31" s="0" t="n">
        <f aca="false">L19</f>
        <v>1768.23901305655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22876.5922314191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26523.5851958482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22876.5922314191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7702.69421231911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15161.564124814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15161.564124814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1.5907298267599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-0.447663254597256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1.5907298267599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15914.1511175089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1.07930970809755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0.439207975438265</v>
      </c>
      <c r="C4" s="0" t="n">
        <f aca="false">B4/Assumptions!$B$2-1</f>
        <v>-0.847497230750603</v>
      </c>
      <c r="D4" s="4" t="n">
        <f aca="false">Assumptions!$B$24</f>
        <v>0.25</v>
      </c>
      <c r="E4" s="4" t="n">
        <f aca="false">DCF_Bear!$B$43</f>
        <v>0.439207975438265</v>
      </c>
      <c r="F4" s="4" t="n">
        <f aca="false">DCF_Bear!$B$47</f>
        <v>0.299865819480336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1.03701132097222</v>
      </c>
      <c r="C5" s="0" t="n">
        <f aca="false">B5/Assumptions!$B$2-1</f>
        <v>-0.639926624662424</v>
      </c>
      <c r="D5" s="4" t="n">
        <f aca="false">Assumptions!$B$38</f>
        <v>0.5</v>
      </c>
      <c r="E5" s="4" t="n">
        <f aca="false">DCF_Base!$B$43</f>
        <v>1.03701132097222</v>
      </c>
      <c r="F5" s="4" t="n">
        <f aca="false">DCF_Base!$B$47</f>
        <v>0.72167566103028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1.5907298267599</v>
      </c>
      <c r="C6" s="0" t="n">
        <f aca="false">B6/Assumptions!$B$2-1</f>
        <v>-0.447663254597256</v>
      </c>
      <c r="D6" s="4" t="n">
        <f aca="false">Assumptions!$B$52</f>
        <v>0.25</v>
      </c>
      <c r="E6" s="4" t="n">
        <f aca="false">DCF_Bull!$B$43</f>
        <v>1.5907298267599</v>
      </c>
      <c r="F6" s="4" t="n">
        <f aca="false">DCF_Bull!$B$47</f>
        <v>1.07930970809755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1.02599011103565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1.02599011103565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-1.80704459918515</v>
      </c>
    </row>
    <row r="11" customFormat="false" ht="15" hidden="false" customHeight="false" outlineLevel="0" collapsed="false">
      <c r="A11" s="0" t="s">
        <v>153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0.705631712409611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1.37874986304104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1.26961173693655</v>
      </c>
      <c r="C16" s="3" t="n">
        <v>10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1.10479540186137</v>
      </c>
      <c r="C17" s="3" t="n">
        <v>11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1.03701132097222</v>
      </c>
      <c r="C18" s="3" t="n">
        <v>11.5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0.976808361071141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0.72167566103028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9.5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1.26128401222013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1.3122920458884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1.32976055056931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1.32976055056931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1.32976055056931</v>
      </c>
    </row>
    <row r="25" customFormat="false" ht="15" hidden="false" customHeight="false" outlineLevel="0" collapsed="false">
      <c r="A25" s="3" t="n">
        <v>10.5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1.10426531524439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1.14055268943532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1.18167838018504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1.22867916961329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1.23824946610321</v>
      </c>
    </row>
    <row r="26" customFormat="false" ht="15" hidden="false" customHeight="false" outlineLevel="0" collapsed="false">
      <c r="A26" s="3" t="n">
        <v>11.5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0.980655521357048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1.00726798228643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1.03701132097222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1.07047257699372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1.1083953338181</v>
      </c>
    </row>
    <row r="27" customFormat="false" ht="15" hidden="false" customHeight="false" outlineLevel="0" collapsed="false">
      <c r="A27" s="3" t="n">
        <v>12.5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0.880889551815128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0.900886464805809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0.922988316006037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0.947545928450734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0.974992671771277</v>
      </c>
    </row>
    <row r="28" customFormat="false" ht="15" hidden="false" customHeight="false" outlineLevel="0" collapsed="false">
      <c r="A28" s="3" t="n">
        <v>13.5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0.79873067255013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0.814058185042312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0.830845460628987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0.849311463774329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0.869721256724445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2026-10-16T18:30:14Z</dcterms:created>
  <dc:creator>openpyxl</dc:creator>
  <dc:description/>
  <dc:language>en-NZ</dc:language>
  <cp:lastModifiedBy/>
  <dcterms:modified xsi:type="dcterms:W3CDTF">2026-10-16T18:30:14Z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