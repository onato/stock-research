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<sst xmlns="http://schemas.openxmlformats.org/spreadsheetml/2006/main" count="367" uniqueCount="176">
  <si>
    <t xml:space="preserve">Ticker</t>
  </si>
  <si>
    <t xml:space="preserve">1288.HK</t>
  </si>
  <si>
    <t xml:space="preserve">Company</t>
  </si>
  <si>
    <t xml:space="preserve">Agricultural Bank of China Limited</t>
  </si>
  <si>
    <t xml:space="preserve">Valuation date</t>
  </si>
  <si>
    <t xml:space="preserve">2026-10-16</t>
  </si>
  <si>
    <t xml:space="preserve">Current price</t>
  </si>
  <si>
    <t xml:space="preserve">Price as of</t>
  </si>
  <si>
    <t xml:space="preserve">2026-10-16T07:40:17Z HKEX regular close (Friday)</t>
  </si>
  <si>
    <t xml:space="preserve">Balance sheet date</t>
  </si>
  <si>
    <t xml:space="preserve">2026-06-30</t>
  </si>
  <si>
    <t xml:space="preserve">Model</t>
  </si>
  <si>
    <t xml:space="preserve">Bank FCFE at cost of equity (engine route), net debt zero, CET1 retention on risk-weighted-asset growth, AT1 and preference distributions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</si>
  <si>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</si>
  <si>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</si>
  <si>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</si>
  <si>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</si>
  <si>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</si>
  <si>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</si>
  <si>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</si>
  <si>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</si>
  <si>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</si>
  <si>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2026-10-16T08:01:26Z</t>
  </si>
  <si>
    <t xml:space="preserve">Drivers file</t>
  </si>
  <si>
    <t xml:space="preserve">1288.HK_Drivers.json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</si>
  <si>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</si>
  <si>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</si>
  <si>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</si>
  <si>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Agricultural Bank of China that flow is net profit to ordinary shareholders (after tax, NCI, preference dividends and perpetual-bond coupons) less the equity retained to hold CET1 at 10.8% on growing risk-weighted assets. Today that FCFE (~RMB47bn) is roughly half the ~RMB91bn ordinary dividend, so the headline 4.3% yield is financed by capital-ratio drift and by the Ministry of Finance's RMB160bn placement; the model credits only the FCFE plus the placement cash and lets FCFE rise as RWA growth decelerates. Net debt is zero by construction; deposits are operating funding. The H share trades at 0.70x H1 2026 book; the base terminal P/B is ~0.7x, consistent with a ~7.5% ROE at a 9.5% cost of equity.
key_risks_to_valuation: CET1 target: holding 10.8% is the single largest driver. Allowing a drift to 10.0% (still ~1.5pt above the G-SIB minimum) would release ~RMB216bn once and add ~CNY 0.5/share; a regulator-driven rise to 11.5% would subtract the same.; RWA growth path: every 1pt of extra annual RWA growth costs ~RMB29bn of FCFE per year (0.01 x 0.108 x 27tn). ABC's policy mandate (County Area loans growing faster than the book) makes the deceleration assumption the main judgment.; Deduction rate: the FY2025 (15.4%) vs H1 2026 (23.2%) spread on tax + NCI + AT1 coupons is worth ~CNY 0.7/share in the base case; the paths use 21%.; Placement terms: issue price and share count are assumed (CNY 7.30, ~21.9bn shares); the per-share effect of a different price is small (+/-0.25% on the count) but a larger or repeated below-book raise would dilute further.; Credit cost: ABC's property NPL ratio is the highest of the Big Four; a 0.5pt rise in credit cost on a RMB27tn loan book is ~RMB135bn of pre-tax profit, roughly the base-to-bear margin gap.; NIM: at a 1.28% margin on RMB48tn of interest-earning assets, every 5bp is ~RMB24bn of operating income (~3%).; Currency: the H share is quoted in HKD against RMB flows; a 5% RMB depreciation against the HKD-pegged USD moves every HKD value 5% with no change to the business.</t>
  </si>
  <si>
    <t xml:space="preserve">Data sources</t>
  </si>
  <si>
    <t xml:space="preserve">price: Yahoo Finance chart API (1288.HK) at inputs.price_as_of; 52-week range HKD 5.08-6.815. CNY/HKD from CNYHKD=X, triangulated via USDCNY=X and USDHKD=X; 601288.SS A-share close for the A/H premium.
financials: 1288.HK_Metrics.csv and kpis (core_metrics) from the FY2018-FY2025 annual reports and the H1 2024-H1 2026 interim reports; H1 2026 interim (research/1288.HK/Extracted/1288.HK_HalfYear_H1-2026.txt) for CET1/RWA (lines 405-475), dividends (4972-4995), EPS note (6372-6390), tax (1037-1042), preference-share conversion-price adjustment on the placement (8652-8665); FY2025 annual for the other-equity distributions (line 9590), lease liabilities (14792), effective tax rate (1707-1710).
qualitative: research/1288.HK/Reports/1288.HK_Analysis.json (2026-10-16): NIM, NPL, County Area growth, H1 2026 results, Sep-2026 RMB160bn placement, DBS HKD 7.10 target.</t>
  </si>
  <si>
    <t xml:space="preserve">Scenario narrative: bear</t>
  </si>
  <si>
    <t xml:space="preserve">Deflation keeps the LPR falling, NIM slips below 1.1%, operating income is flat for two more years and the property/LGFV cycle lifts credit cost toward 1% of loans, compressing the pre-tax margin to 36%. Meanwhile the policy mandate keeps RWA growing 7-8%, so holding CET1 at 10.8% consumes more than ordinary profit in FY2027-28: FCFE is negative, the dividend is paid out of capital, and a second discounted state recapitalisation dilutes H-share holders. Terminal ROE ~5.6% implies a terminal P/B of ~0.45x. This is the FY2022-2025 status quo extended, not a tail event.</t>
  </si>
  <si>
    <t xml:space="preserve">Scenario narrative: base</t>
  </si>
  <si>
    <t xml:space="preserve">ABC remains what it is: a state-directed, deposit-rich Big Four bank whose NIM has stopped falling at ~1.3% and whose loan book grows 7-9% a year on County Area, inclusive and 'Five Priorities' lending. Operating income grows 3-3.5%, the pre-tax margin holds ~43.5% with credit cost ~0.5%, and CET1 is held at 10.8% on RWA decelerating from 7.5% to 3%. Because RWA grows faster than earnings for the first half of the horizon, FCFE starts at roughly half the dividend and only overtakes it around FY2030; the RMB160bn MOF placement bridges the gap. Terminal ROE ~7.5% against a 9.5% cost of equity implies a terminal P/B of ~0.7x, i.e. the H share is roughly fairly priced today at 0.70x book.</t>
  </si>
  <si>
    <t xml:space="preserve">Scenario narrative: bull</t>
  </si>
  <si>
    <t xml:space="preserve">Deposit repricing drives a real NIM recovery to ~1.4% by FY2028 while property-sector provisioning normalises down, so the pre-tax margin reaches 46.5% and operating income grows 4-5%. Advanced-approach RWA savings let CET1 hold at 10.8% with less retention, FCFE exceeds the dividend from FY2027, and terminal ROE of ~9.5% supports a terminal P/B near 1.0x. This is the sell-side 'margin trough is in' case plus a multi-year credit-cost tailwind.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</si>
  <si>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</si>
  <si>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</si>
  <si>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</si>
  <si>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</si>
  <si>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</si>
  <si>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</si>
  <si>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</si>
  <si>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</si>
  <si>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</si>
  <si>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</si>
  <si>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</si>
  <si>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</si>
  <si>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</si>
  <si>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</si>
  <si>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</si>
  <si>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</si>
  <si>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</si>
  <si>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</si>
  <si>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</si>
  <si>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</si>
  <si>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</si>
  <si>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</si>
  <si>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</si>
  <si>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</si>
  <si>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</si>
  <si>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</si>
  <si>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</si>
  <si>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</si>
  <si>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CreditImpairmentCharge</t>
  </si>
  <si>
    <t xml:space="preserve">CustomerDeposits</t>
  </si>
  <si>
    <t xml:space="preserve">GrossInterestIncome</t>
  </si>
  <si>
    <t xml:space="preserve">GrossLoansAndAdvances</t>
  </si>
  <si>
    <t xml:space="preserve">NetFeeAndCommissionIncome</t>
  </si>
  <si>
    <t xml:space="preserve">NetIncomeInclNCI</t>
  </si>
  <si>
    <t xml:space="preserve">NetInterestIncome</t>
  </si>
  <si>
    <t xml:space="preserve">OperatingExpenses</t>
  </si>
  <si>
    <t xml:space="preserve">OrdinaryShareholdersEquity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</si>
  <si>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</si>
  <si>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</si>
  <si>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</si>
  <si>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</si>
  <si>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</si>
  <si>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</si>
  <si>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</si>
  <si>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</si>
  <si>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</si>
  <si>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</si>
  <si>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</si>
  <si>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</si>
  <si>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</si>
  <si>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</si>
  <si>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</si>
  <si>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</si>
  <si>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</si>
  <si>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</si>
  <si>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</si>
  <si>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</si>
  <si>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</si>
  <si>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</si>
  <si>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</si>
  <si>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</si>
  <si>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</si>
  <si>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</si>
  <si>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</si>
  <si>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</si>
  <si>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</si>
  <si>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</si>
  <si>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</si>
  <si>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</si>
  <si>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</si>
  <si>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</si>
  <si>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</si>
  <si>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</si>
  <si>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</si>
  <si>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</si>
  <si>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</si>
  <si>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</si>
  <si>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</si>
  <si>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</si>
  <si>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</si>
  <si>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</si>
  <si>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</si>
  <si>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</si>
  <si>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</si>
  <si>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1288.HK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</si>
  <si>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</si>
  <si>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</si>
  <si>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</si>
  <si>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</si>
  <si>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</si>
  <si>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</si>
  <si>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</si>
  <si>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</si>
  <si>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</si>
  <si>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</si>
  <si>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</si>
  <si>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</si>
  <si>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</si>
  <si>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</si>
  <si>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</si>
  <si>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</si>
  <si>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</si>
  <si>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</si>
  <si>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</si>
  <si>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</si>
  <si>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</si>
  <si>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</si>
  <si>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</si>
  <si>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</si>
  <si>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</si>
  <si>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</si>
  <si>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</si>
  <si>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</si>
  <si>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</si>
  <si>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</si>
  <si>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1288.HK owner-FCF component DCF: base case (millions, CNY)</t>
  </si>
  <si>
    <t xml:space="preserve">1288.HK owner-FCF component DCF: bull case (millions, CNY)</t>
  </si>
  <si>
    <t xml:space="preserve">1288.HK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</si>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</sst>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6.74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row>
    <row r="2" customFormat="false" ht="15" hidden="false" customHeight="false" outlineLevel="0" collapsed="false">
      <c r="A2" s="0" t="s">
        <v>74</v>
      </c>
      <c r="B2" s="0" t="n">
        <v>542898</v>
      </c>
      <c r="F2" s="0" t="n">
        <v>239464</v>
      </c>
      <c r="G2" s="0" t="n">
        <v>44.1</v>
      </c>
      <c r="I2" s="0" t="n">
        <v>192962</v>
      </c>
      <c r="J2" s="0" t="n">
        <v>35.5</v>
      </c>
      <c r="K2" s="0" t="n">
        <v>0.58</v>
      </c>
      <c r="L2" s="0" t="n">
        <v>633417</v>
      </c>
      <c r="M2" s="0" t="n">
        <v>16011</v>
      </c>
      <c r="O2" s="0" t="n">
        <v>1426415</v>
      </c>
      <c r="P2" s="0" t="n">
        <v>21053382</v>
      </c>
      <c r="Q2" s="0" t="n">
        <v>19623985</v>
      </c>
      <c r="R2" s="0" t="n">
        <v>475017</v>
      </c>
      <c r="S2" s="0" t="n">
        <v>1001246</v>
      </c>
      <c r="T2" s="0" t="n">
        <v>324794</v>
      </c>
      <c r="U2" s="0" t="n">
        <v>0</v>
      </c>
      <c r="AA2" s="0" t="s">
        <v>18</v>
      </c>
      <c r="AB2" s="0" t="s">
        <v>14</v>
      </c>
      <c r="AC2" s="0" t="n">
        <v>4.15</v>
      </c>
      <c r="AI2" s="0" t="n">
        <v>193133</v>
      </c>
      <c r="AL2" s="0" t="n">
        <v>1346516</v>
      </c>
    </row>
    <row r="3" customFormat="false" ht="15" hidden="false" customHeight="false" outlineLevel="0" collapsed="false">
      <c r="A3" s="0" t="s">
        <v>75</v>
      </c>
      <c r="B3" s="0" t="n">
        <v>602557</v>
      </c>
      <c r="F3" s="0" t="n">
        <v>251696</v>
      </c>
      <c r="G3" s="0" t="n">
        <v>41.8</v>
      </c>
      <c r="I3" s="0" t="n">
        <v>202783</v>
      </c>
      <c r="J3" s="0" t="n">
        <v>33.7</v>
      </c>
      <c r="K3" s="0" t="n">
        <v>0.59</v>
      </c>
      <c r="L3" s="0" t="n">
        <v>105927</v>
      </c>
      <c r="M3" s="0" t="n">
        <v>17048</v>
      </c>
      <c r="O3" s="0" t="n">
        <v>1670294</v>
      </c>
      <c r="P3" s="0" t="n">
        <v>22609471</v>
      </c>
      <c r="Q3" s="0" t="n">
        <v>20934684</v>
      </c>
      <c r="R3" s="0" t="n">
        <v>780673</v>
      </c>
      <c r="S3" s="0" t="n">
        <v>978441</v>
      </c>
      <c r="T3" s="0" t="n">
        <v>349983</v>
      </c>
      <c r="U3" s="0" t="n">
        <v>0</v>
      </c>
      <c r="AA3" s="0" t="s">
        <v>18</v>
      </c>
      <c r="AB3" s="0" t="s">
        <v>14</v>
      </c>
      <c r="AC3" s="0" t="n">
        <v>4.54</v>
      </c>
      <c r="AI3" s="0" t="n">
        <v>202631</v>
      </c>
      <c r="AL3" s="0" t="n">
        <v>1590395</v>
      </c>
    </row>
    <row r="4" customFormat="false" ht="15" hidden="false" customHeight="false" outlineLevel="0" collapsed="false">
      <c r="A4" s="0" t="s">
        <v>76</v>
      </c>
      <c r="B4" s="0" t="n">
        <v>629350</v>
      </c>
      <c r="F4" s="0" t="n">
        <v>266531</v>
      </c>
      <c r="G4" s="0" t="n">
        <v>42.4</v>
      </c>
      <c r="I4" s="0" t="n">
        <v>212098</v>
      </c>
      <c r="J4" s="0" t="n">
        <v>33.7</v>
      </c>
      <c r="K4" s="0" t="n">
        <v>0.59</v>
      </c>
      <c r="L4" s="0" t="n">
        <v>352571</v>
      </c>
      <c r="M4" s="0" t="n">
        <v>14110</v>
      </c>
      <c r="O4" s="0" t="n">
        <v>1948355</v>
      </c>
      <c r="P4" s="0" t="n">
        <v>24878288</v>
      </c>
      <c r="Q4" s="0" t="n">
        <v>22918526</v>
      </c>
      <c r="R4" s="0" t="n">
        <v>1108212</v>
      </c>
      <c r="S4" s="0" t="n">
        <v>1454581</v>
      </c>
      <c r="T4" s="0" t="n">
        <v>349983</v>
      </c>
      <c r="U4" s="0" t="n">
        <v>0</v>
      </c>
      <c r="AA4" s="0" t="s">
        <v>18</v>
      </c>
      <c r="AB4" s="0" t="s">
        <v>14</v>
      </c>
      <c r="AC4" s="0" t="n">
        <v>5</v>
      </c>
      <c r="AI4" s="0" t="n">
        <v>212924</v>
      </c>
      <c r="AL4" s="0" t="n">
        <v>1748469</v>
      </c>
    </row>
    <row r="5" customFormat="false" ht="15" hidden="false" customHeight="false" outlineLevel="0" collapsed="false">
      <c r="A5" s="0" t="s">
        <v>77</v>
      </c>
      <c r="B5" s="0" t="n">
        <v>659332</v>
      </c>
      <c r="F5" s="0" t="n">
        <v>264532</v>
      </c>
      <c r="G5" s="0" t="n">
        <v>40.1</v>
      </c>
      <c r="I5" s="0" t="n">
        <v>215925</v>
      </c>
      <c r="J5" s="0" t="n">
        <v>32.7</v>
      </c>
      <c r="K5" s="0" t="n">
        <v>0.59</v>
      </c>
      <c r="L5" s="0" t="n">
        <v>-60936</v>
      </c>
      <c r="M5" s="0" t="n">
        <v>22844</v>
      </c>
      <c r="O5" s="0" t="n">
        <v>2204789</v>
      </c>
      <c r="P5" s="0" t="n">
        <v>27205047</v>
      </c>
      <c r="Q5" s="0" t="n">
        <v>24994301</v>
      </c>
      <c r="R5" s="0" t="n">
        <v>1371845</v>
      </c>
      <c r="S5" s="0" t="n">
        <v>1175153</v>
      </c>
      <c r="T5" s="0" t="n">
        <v>349983</v>
      </c>
      <c r="U5" s="0" t="n">
        <v>0</v>
      </c>
      <c r="AA5" s="0" t="s">
        <v>18</v>
      </c>
      <c r="AB5" s="0" t="s">
        <v>14</v>
      </c>
      <c r="AC5" s="0" t="n">
        <v>5.39</v>
      </c>
      <c r="AI5" s="0" t="n">
        <v>216400</v>
      </c>
      <c r="AL5" s="0" t="n">
        <v>1884914</v>
      </c>
    </row>
    <row r="6" customFormat="false" ht="15" hidden="false" customHeight="false" outlineLevel="0" collapsed="false">
      <c r="A6" s="0" t="s">
        <v>78</v>
      </c>
      <c r="B6" s="0" t="n">
        <v>721746</v>
      </c>
      <c r="F6" s="0" t="n">
        <v>295471</v>
      </c>
      <c r="G6" s="0" t="n">
        <v>40.9</v>
      </c>
      <c r="I6" s="0" t="n">
        <v>241183</v>
      </c>
      <c r="J6" s="0" t="n">
        <v>33.4</v>
      </c>
      <c r="K6" s="0" t="n">
        <v>0.65</v>
      </c>
      <c r="L6" s="0" t="n">
        <v>239615</v>
      </c>
      <c r="M6" s="0" t="n">
        <v>26033</v>
      </c>
      <c r="O6" s="0" t="n">
        <v>2414605</v>
      </c>
      <c r="P6" s="0" t="n">
        <v>29069155</v>
      </c>
      <c r="Q6" s="0" t="n">
        <v>26647796</v>
      </c>
      <c r="R6" s="0" t="n">
        <v>1507657</v>
      </c>
      <c r="S6" s="0" t="n">
        <v>1124762</v>
      </c>
      <c r="T6" s="0" t="n">
        <v>349983</v>
      </c>
      <c r="U6" s="0" t="n">
        <v>0</v>
      </c>
      <c r="AA6" s="0" t="s">
        <v>18</v>
      </c>
      <c r="AB6" s="0" t="s">
        <v>14</v>
      </c>
      <c r="AC6" s="0" t="n">
        <v>5.87</v>
      </c>
      <c r="AI6" s="0" t="n">
        <v>241936</v>
      </c>
      <c r="AL6" s="0" t="n">
        <v>2054733</v>
      </c>
    </row>
    <row r="7" customFormat="false" ht="15" hidden="false" customHeight="false" outlineLevel="0" collapsed="false">
      <c r="A7" s="0" t="s">
        <v>79</v>
      </c>
      <c r="B7" s="0" t="n">
        <v>695283</v>
      </c>
      <c r="F7" s="0" t="n">
        <v>306387</v>
      </c>
      <c r="G7" s="0" t="n">
        <v>44.1</v>
      </c>
      <c r="I7" s="0" t="n">
        <v>259232</v>
      </c>
      <c r="J7" s="0" t="n">
        <v>37.3</v>
      </c>
      <c r="K7" s="0" t="n">
        <v>0.69</v>
      </c>
      <c r="L7" s="0" t="n">
        <v>1322003</v>
      </c>
      <c r="M7" s="0" t="n">
        <v>22092</v>
      </c>
      <c r="O7" s="0" t="n">
        <v>2668063</v>
      </c>
      <c r="P7" s="0" t="n">
        <v>33925488</v>
      </c>
      <c r="Q7" s="0" t="n">
        <v>31251728</v>
      </c>
      <c r="R7" s="0" t="n">
        <v>1869398</v>
      </c>
      <c r="S7" s="0" t="n">
        <v>1705633</v>
      </c>
      <c r="T7" s="0" t="n">
        <v>349983</v>
      </c>
      <c r="U7" s="0" t="n">
        <v>0</v>
      </c>
      <c r="AA7" s="0" t="s">
        <v>18</v>
      </c>
      <c r="AB7" s="0" t="s">
        <v>14</v>
      </c>
      <c r="AC7" s="0" t="n">
        <v>6.37</v>
      </c>
      <c r="AI7" s="0" t="n">
        <v>258866</v>
      </c>
      <c r="AL7" s="0" t="n">
        <v>2228063</v>
      </c>
    </row>
    <row r="8" customFormat="false" ht="15" hidden="false" customHeight="false" outlineLevel="0" collapsed="false">
      <c r="A8" s="0" t="s">
        <v>80</v>
      </c>
      <c r="B8" s="0" t="n">
        <v>695468</v>
      </c>
      <c r="F8" s="0" t="n">
        <v>307230</v>
      </c>
      <c r="G8" s="0" t="n">
        <v>44.2</v>
      </c>
      <c r="I8" s="0" t="n">
        <v>269356</v>
      </c>
      <c r="J8" s="0" t="n">
        <v>38.7</v>
      </c>
      <c r="K8" s="0" t="n">
        <v>0.72</v>
      </c>
      <c r="L8" s="0" t="n">
        <v>1825282</v>
      </c>
      <c r="M8" s="0" t="n">
        <v>28827</v>
      </c>
      <c r="O8" s="0" t="n">
        <v>2889248</v>
      </c>
      <c r="P8" s="0" t="n">
        <v>39872989</v>
      </c>
      <c r="Q8" s="0" t="n">
        <v>36976122</v>
      </c>
      <c r="R8" s="0" t="n">
        <v>2295921</v>
      </c>
      <c r="S8" s="0" t="n">
        <v>2512725</v>
      </c>
      <c r="T8" s="0" t="n">
        <v>349983</v>
      </c>
      <c r="U8" s="0" t="n">
        <v>0</v>
      </c>
      <c r="AA8" s="0" t="s">
        <v>18</v>
      </c>
      <c r="AB8" s="0" t="s">
        <v>14</v>
      </c>
      <c r="AC8" s="0" t="n">
        <v>6.88</v>
      </c>
      <c r="AI8" s="0" t="n">
        <v>269820</v>
      </c>
      <c r="AL8" s="0" t="n">
        <v>2409248</v>
      </c>
    </row>
    <row r="9" customFormat="false" ht="15" hidden="false" customHeight="false" outlineLevel="0" collapsed="false">
      <c r="A9" s="0" t="s">
        <v>81</v>
      </c>
      <c r="B9" s="0" t="n">
        <v>711416</v>
      </c>
      <c r="F9" s="0" t="n">
        <v>319129</v>
      </c>
      <c r="G9" s="0" t="n">
        <v>44.9</v>
      </c>
      <c r="I9" s="0" t="n">
        <v>282083</v>
      </c>
      <c r="J9" s="0" t="n">
        <v>39.7</v>
      </c>
      <c r="K9" s="0" t="n">
        <v>0.75</v>
      </c>
      <c r="L9" s="0" t="n">
        <v>1353042</v>
      </c>
      <c r="M9" s="0" t="n">
        <v>24223</v>
      </c>
      <c r="O9" s="0" t="n">
        <v>3090808</v>
      </c>
      <c r="P9" s="0" t="n">
        <v>43238135</v>
      </c>
      <c r="Q9" s="0" t="n">
        <v>40140862</v>
      </c>
      <c r="R9" s="0" t="n">
        <v>2678509</v>
      </c>
      <c r="S9" s="0" t="n">
        <v>1846612</v>
      </c>
      <c r="T9" s="0" t="n">
        <v>349983</v>
      </c>
      <c r="U9" s="0" t="n">
        <v>0</v>
      </c>
      <c r="AA9" s="0" t="s">
        <v>18</v>
      </c>
      <c r="AB9" s="0" t="s">
        <v>14</v>
      </c>
      <c r="AC9" s="0" t="n">
        <v>7.4</v>
      </c>
      <c r="AD9" s="0" t="n">
        <v>130840</v>
      </c>
      <c r="AE9" s="0" t="n">
        <v>30305357</v>
      </c>
      <c r="AF9" s="0" t="n">
        <v>1275680</v>
      </c>
      <c r="AG9" s="0" t="n">
        <v>23977013</v>
      </c>
      <c r="AH9" s="0" t="n">
        <v>75567</v>
      </c>
      <c r="AI9" s="0" t="n">
        <v>282671</v>
      </c>
      <c r="AJ9" s="0" t="n">
        <v>580692</v>
      </c>
      <c r="AK9" s="0" t="n">
        <v>261180</v>
      </c>
      <c r="AL9" s="0" t="n">
        <v>2590808</v>
      </c>
    </row>
    <row r="10" customFormat="false" ht="15" hidden="false" customHeight="false" outlineLevel="0" collapsed="false">
      <c r="A10" s="0" t="s">
        <v>82</v>
      </c>
      <c r="B10" s="0" t="n">
        <v>725131</v>
      </c>
      <c r="F10" s="0" t="n">
        <v>322553</v>
      </c>
      <c r="G10" s="0" t="n">
        <v>44.5</v>
      </c>
      <c r="I10" s="0" t="n">
        <v>291041</v>
      </c>
      <c r="J10" s="0" t="n">
        <v>40.1</v>
      </c>
      <c r="K10" s="0" t="n">
        <v>0.78</v>
      </c>
      <c r="L10" s="0" t="n">
        <v>2112907</v>
      </c>
      <c r="M10" s="0" t="n">
        <v>27348</v>
      </c>
      <c r="O10" s="0" t="n">
        <v>3237182</v>
      </c>
      <c r="P10" s="0" t="n">
        <v>48784674</v>
      </c>
      <c r="Q10" s="0" t="n">
        <v>45541303</v>
      </c>
      <c r="R10" s="0" t="n">
        <v>3263887</v>
      </c>
      <c r="S10" s="0" t="n">
        <v>2239342</v>
      </c>
      <c r="T10" s="0" t="n">
        <v>349983</v>
      </c>
      <c r="U10" s="0" t="n">
        <v>0</v>
      </c>
      <c r="AA10" s="0" t="s">
        <v>18</v>
      </c>
      <c r="AB10" s="0" t="s">
        <v>14</v>
      </c>
      <c r="AC10" s="0" t="n">
        <v>7.91</v>
      </c>
      <c r="AD10" s="0" t="n">
        <v>127189</v>
      </c>
      <c r="AE10" s="0" t="n">
        <v>32649947</v>
      </c>
      <c r="AF10" s="0" t="n">
        <v>1201338</v>
      </c>
      <c r="AG10" s="0" t="n">
        <v>26178354</v>
      </c>
      <c r="AH10" s="0" t="n">
        <v>88085</v>
      </c>
      <c r="AI10" s="0" t="n">
        <v>292003</v>
      </c>
      <c r="AJ10" s="0" t="n">
        <v>569594</v>
      </c>
      <c r="AK10" s="0" t="n">
        <v>275371</v>
      </c>
      <c r="AL10" s="0" t="n">
        <v>2767182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6.74</v>
      </c>
    </row>
    <row r="3" customFormat="false" ht="15" hidden="false" customHeight="false" outlineLevel="0" collapsed="false">
      <c r="A3" s="0" t="s">
        <v>86</v>
      </c>
      <c r="B3" s="3" t="n">
        <v>371901</v>
      </c>
    </row>
    <row r="4" customFormat="false" ht="15" hidden="false" customHeight="false" outlineLevel="0" collapsed="false">
      <c r="A4" s="0" t="s">
        <v>87</v>
      </c>
      <c r="B4" s="3" t="n">
        <v>0</v>
      </c>
    </row>
    <row r="5" customFormat="false" ht="15" hidden="false" customHeight="false" outlineLevel="0" collapsed="false">
      <c r="A5" s="0" t="s">
        <v>88</v>
      </c>
      <c r="B5" s="3" t="n">
        <v>160000</v>
      </c>
    </row>
    <row r="6" customFormat="false" ht="15" hidden="false" customHeight="false" outlineLevel="0" collapsed="false">
      <c r="A6" s="0" t="s">
        <v>89</v>
      </c>
      <c r="B6" s="3" t="n">
        <v>15</v>
      </c>
    </row>
    <row r="7" customFormat="false" ht="15" hidden="false" customHeight="false" outlineLevel="0" collapsed="false">
      <c r="A7" s="0" t="s">
        <v>90</v>
      </c>
      <c r="B7" s="3" t="n">
        <v>780000</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1.1732</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0</v>
      </c>
      <c r="D13" s="3" t="n">
        <v>0</v>
      </c>
      <c r="E13" s="3" t="n">
        <v>1</v>
      </c>
      <c r="F13" s="3" t="n">
        <v>1</v>
      </c>
      <c r="G13" s="3" t="n">
        <v>2</v>
      </c>
      <c r="H13" s="3" t="n">
        <v>2</v>
      </c>
      <c r="I13" s="3" t="n">
        <v>2</v>
      </c>
      <c r="J13" s="3" t="n">
        <v>2</v>
      </c>
      <c r="K13" s="3" t="n">
        <v>2</v>
      </c>
      <c r="L13" s="3" t="n">
        <v>2</v>
      </c>
    </row>
    <row r="14" customFormat="false" ht="15" hidden="false" customHeight="false" outlineLevel="0" collapsed="false">
      <c r="A14" s="0" t="s">
        <v>108</v>
      </c>
      <c r="C14" s="3" t="n">
        <v>38</v>
      </c>
      <c r="D14" s="3" t="n">
        <v>36</v>
      </c>
      <c r="E14" s="3" t="n">
        <v>36</v>
      </c>
      <c r="F14" s="3" t="n">
        <v>37</v>
      </c>
      <c r="G14" s="3" t="n">
        <v>38</v>
      </c>
      <c r="H14" s="3" t="n">
        <v>38</v>
      </c>
      <c r="I14" s="3" t="n">
        <v>38</v>
      </c>
      <c r="J14" s="3" t="n">
        <v>38</v>
      </c>
      <c r="K14" s="3" t="n">
        <v>38</v>
      </c>
      <c r="L14" s="3" t="n">
        <v>38</v>
      </c>
    </row>
    <row r="15" customFormat="false" ht="15" hidden="false" customHeight="false" outlineLevel="0" collapsed="false">
      <c r="A15" s="0" t="s">
        <v>109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29.91</v>
      </c>
      <c r="D18" s="3" t="n">
        <v>28.26</v>
      </c>
      <c r="E18" s="3" t="n">
        <v>25.66</v>
      </c>
      <c r="F18" s="3" t="n">
        <v>24.69</v>
      </c>
      <c r="G18" s="3" t="n">
        <v>23.22</v>
      </c>
      <c r="H18" s="3" t="n">
        <v>21.51</v>
      </c>
      <c r="I18" s="3" t="n">
        <v>19.59</v>
      </c>
      <c r="J18" s="3" t="n">
        <v>17.48</v>
      </c>
      <c r="K18" s="3" t="n">
        <v>15.2</v>
      </c>
      <c r="L18" s="3" t="n">
        <v>15.35</v>
      </c>
    </row>
    <row r="19" customFormat="false" ht="15" hidden="false" customHeight="false" outlineLevel="0" collapsed="false">
      <c r="A19" s="0" t="s">
        <v>113</v>
      </c>
      <c r="C19" s="3" t="n">
        <v>22.5</v>
      </c>
      <c r="D19" s="3" t="n">
        <v>22.5</v>
      </c>
      <c r="E19" s="3" t="n">
        <v>22.5</v>
      </c>
      <c r="F19" s="3" t="n">
        <v>22.5</v>
      </c>
      <c r="G19" s="3" t="n">
        <v>22.5</v>
      </c>
      <c r="H19" s="3" t="n">
        <v>22.5</v>
      </c>
      <c r="I19" s="3" t="n">
        <v>22.5</v>
      </c>
      <c r="J19" s="3" t="n">
        <v>22.5</v>
      </c>
      <c r="K19" s="3" t="n">
        <v>22.5</v>
      </c>
      <c r="L19" s="3" t="n">
        <v>22.5</v>
      </c>
    </row>
    <row r="20" customFormat="false" ht="15" hidden="false" customHeight="false" outlineLevel="0" collapsed="false">
      <c r="A20" s="0" t="s">
        <v>114</v>
      </c>
      <c r="B20" s="3" t="n">
        <v>9.5</v>
      </c>
    </row>
    <row r="21" customFormat="false" ht="15" hidden="false" customHeight="false" outlineLevel="0" collapsed="false">
      <c r="A21" s="0" t="s">
        <v>115</v>
      </c>
      <c r="B21" s="3" t="n">
        <v>2.5</v>
      </c>
    </row>
    <row r="22" customFormat="false" ht="15" hidden="false" customHeight="false" outlineLevel="0" collapsed="false">
      <c r="A22" s="0" t="s">
        <v>116</v>
      </c>
      <c r="B22" s="3" t="n">
        <v>18</v>
      </c>
    </row>
    <row r="23" customFormat="false" ht="15" hidden="false" customHeight="false" outlineLevel="0" collapsed="false">
      <c r="A23" s="0" t="s">
        <v>117</v>
      </c>
      <c r="B23" s="3" t="n">
        <v>0</v>
      </c>
    </row>
    <row r="24" customFormat="false" ht="15" hidden="false" customHeight="false" outlineLevel="0" collapsed="false">
      <c r="A24" s="0" t="s">
        <v>118</v>
      </c>
      <c r="B24" s="3" t="n">
        <v>0.3</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3.5</v>
      </c>
      <c r="D27" s="3" t="n">
        <v>3.5</v>
      </c>
      <c r="E27" s="3" t="n">
        <v>3.5</v>
      </c>
      <c r="F27" s="3" t="n">
        <v>3.5</v>
      </c>
      <c r="G27" s="3" t="n">
        <v>3</v>
      </c>
      <c r="H27" s="3" t="n">
        <v>3</v>
      </c>
      <c r="I27" s="3" t="n">
        <v>3</v>
      </c>
      <c r="J27" s="3" t="n">
        <v>3</v>
      </c>
      <c r="K27" s="3" t="n">
        <v>3</v>
      </c>
      <c r="L27" s="3" t="n">
        <v>3</v>
      </c>
    </row>
    <row r="28" customFormat="false" ht="15" hidden="false" customHeight="false" outlineLevel="0" collapsed="false">
      <c r="A28" s="0" t="s">
        <v>108</v>
      </c>
      <c r="C28" s="3" t="n">
        <v>43.5</v>
      </c>
      <c r="D28" s="3" t="n">
        <v>43.5</v>
      </c>
      <c r="E28" s="3" t="n">
        <v>43.5</v>
      </c>
      <c r="F28" s="3" t="n">
        <v>43.5</v>
      </c>
      <c r="G28" s="3" t="n">
        <v>43.5</v>
      </c>
      <c r="H28" s="3" t="n">
        <v>43.5</v>
      </c>
      <c r="I28" s="3" t="n">
        <v>43.5</v>
      </c>
      <c r="J28" s="3" t="n">
        <v>43.5</v>
      </c>
      <c r="K28" s="3" t="n">
        <v>43.5</v>
      </c>
      <c r="L28" s="3" t="n">
        <v>43.5</v>
      </c>
    </row>
    <row r="29" customFormat="false" ht="15" hidden="false" customHeight="false" outlineLevel="0" collapsed="false">
      <c r="A29" s="0" t="s">
        <v>109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27.09</v>
      </c>
      <c r="D32" s="3" t="n">
        <v>26.26</v>
      </c>
      <c r="E32" s="3" t="n">
        <v>25.21</v>
      </c>
      <c r="F32" s="3" t="n">
        <v>23.95</v>
      </c>
      <c r="G32" s="3" t="n">
        <v>22.59</v>
      </c>
      <c r="H32" s="3" t="n">
        <v>21.03</v>
      </c>
      <c r="I32" s="3" t="n">
        <v>19.3</v>
      </c>
      <c r="J32" s="3" t="n">
        <v>17.4</v>
      </c>
      <c r="K32" s="3" t="n">
        <v>15.38</v>
      </c>
      <c r="L32" s="3" t="n">
        <v>13.24</v>
      </c>
    </row>
    <row r="33" customFormat="false" ht="15" hidden="false" customHeight="false" outlineLevel="0" collapsed="false">
      <c r="A33" s="0" t="s">
        <v>113</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114</v>
      </c>
      <c r="B34" s="3" t="n">
        <v>9.5</v>
      </c>
    </row>
    <row r="35" customFormat="false" ht="15" hidden="false" customHeight="false" outlineLevel="0" collapsed="false">
      <c r="A35" s="0" t="s">
        <v>115</v>
      </c>
      <c r="B35" s="3" t="n">
        <v>3</v>
      </c>
    </row>
    <row r="36" customFormat="false" ht="15" hidden="false" customHeight="false" outlineLevel="0" collapsed="false">
      <c r="A36" s="0" t="s">
        <v>116</v>
      </c>
      <c r="B36" s="3" t="n">
        <v>18</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5</v>
      </c>
      <c r="D41" s="3" t="n">
        <v>5</v>
      </c>
      <c r="E41" s="3" t="n">
        <v>4.5</v>
      </c>
      <c r="F41" s="3" t="n">
        <v>4.5</v>
      </c>
      <c r="G41" s="3" t="n">
        <v>4</v>
      </c>
      <c r="H41" s="3" t="n">
        <v>4</v>
      </c>
      <c r="I41" s="3" t="n">
        <v>3.5</v>
      </c>
      <c r="J41" s="3" t="n">
        <v>3.5</v>
      </c>
      <c r="K41" s="3" t="n">
        <v>3.5</v>
      </c>
      <c r="L41" s="3" t="n">
        <v>3.5</v>
      </c>
    </row>
    <row r="42" customFormat="false" ht="15" hidden="false" customHeight="false" outlineLevel="0" collapsed="false">
      <c r="A42" s="0" t="s">
        <v>108</v>
      </c>
      <c r="C42" s="3" t="n">
        <v>45</v>
      </c>
      <c r="D42" s="3" t="n">
        <v>45.5</v>
      </c>
      <c r="E42" s="3" t="n">
        <v>46</v>
      </c>
      <c r="F42" s="3" t="n">
        <v>46</v>
      </c>
      <c r="G42" s="3" t="n">
        <v>46.5</v>
      </c>
      <c r="H42" s="3" t="n">
        <v>46.5</v>
      </c>
      <c r="I42" s="3" t="n">
        <v>46.5</v>
      </c>
      <c r="J42" s="3" t="n">
        <v>46.5</v>
      </c>
      <c r="K42" s="3" t="n">
        <v>46.5</v>
      </c>
      <c r="L42" s="3" t="n">
        <v>46.5</v>
      </c>
    </row>
    <row r="43" customFormat="false" ht="15" hidden="false" customHeight="false" outlineLevel="0" collapsed="false">
      <c r="A43" s="0" t="s">
        <v>109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23.14</v>
      </c>
      <c r="D46" s="3" t="n">
        <v>21.67</v>
      </c>
      <c r="E46" s="3" t="n">
        <v>20.15</v>
      </c>
      <c r="F46" s="3" t="n">
        <v>18.49</v>
      </c>
      <c r="G46" s="3" t="n">
        <v>16.8</v>
      </c>
      <c r="H46" s="3" t="n">
        <v>15.01</v>
      </c>
      <c r="I46" s="3" t="n">
        <v>13.19</v>
      </c>
      <c r="J46" s="3" t="n">
        <v>13.19</v>
      </c>
      <c r="K46" s="3" t="n">
        <v>11.31</v>
      </c>
      <c r="L46" s="3" t="n">
        <v>11.25</v>
      </c>
    </row>
    <row r="47" customFormat="false" ht="15" hidden="false" customHeight="false" outlineLevel="0" collapsed="false">
      <c r="A47" s="0" t="s">
        <v>113</v>
      </c>
      <c r="C47" s="3" t="n">
        <v>20</v>
      </c>
      <c r="D47" s="3" t="n">
        <v>20</v>
      </c>
      <c r="E47" s="3" t="n">
        <v>20</v>
      </c>
      <c r="F47" s="3" t="n">
        <v>20</v>
      </c>
      <c r="G47" s="3" t="n">
        <v>20</v>
      </c>
      <c r="H47" s="3" t="n">
        <v>20</v>
      </c>
      <c r="I47" s="3" t="n">
        <v>20</v>
      </c>
      <c r="J47" s="3" t="n">
        <v>20</v>
      </c>
      <c r="K47" s="3" t="n">
        <v>20</v>
      </c>
      <c r="L47" s="3" t="n">
        <v>20</v>
      </c>
    </row>
    <row r="48" customFormat="false" ht="15" hidden="false" customHeight="false" outlineLevel="0" collapsed="false">
      <c r="A48" s="0" t="s">
        <v>114</v>
      </c>
      <c r="B48" s="3" t="n">
        <v>9.5</v>
      </c>
    </row>
    <row r="49" customFormat="false" ht="15" hidden="false" customHeight="false" outlineLevel="0" collapsed="false">
      <c r="A49" s="0" t="s">
        <v>115</v>
      </c>
      <c r="B49" s="3" t="n">
        <v>3.5</v>
      </c>
    </row>
    <row r="50" customFormat="false" ht="15" hidden="false" customHeight="false" outlineLevel="0" collapsed="false">
      <c r="A50" s="0" t="s">
        <v>116</v>
      </c>
      <c r="B50" s="3" t="n">
        <v>18</v>
      </c>
    </row>
    <row r="51" customFormat="false" ht="15" hidden="false" customHeight="false" outlineLevel="0" collapsed="false">
      <c r="A51" s="0" t="s">
        <v>117</v>
      </c>
      <c r="B51" s="3" t="n">
        <v>0</v>
      </c>
    </row>
    <row r="52" customFormat="false" ht="15" hidden="false" customHeight="false" outlineLevel="0" collapsed="false">
      <c r="A52" s="0" t="s">
        <v>118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0</v>
      </c>
      <c r="D5" s="4" t="n">
        <f aca="false">Assumptions!D13</f>
        <v>0</v>
      </c>
      <c r="E5" s="4" t="n">
        <f aca="false">Assumptions!E13</f>
        <v>1</v>
      </c>
      <c r="F5" s="4" t="n">
        <f aca="false">Assumptions!F13</f>
        <v>1</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780000</v>
      </c>
      <c r="C6" s="0" t="n">
        <f aca="false">B6*(1+C5/100)</f>
        <v>780000</v>
      </c>
      <c r="D6" s="0" t="n">
        <f aca="false">C6*(1+D5/100)</f>
        <v>780000</v>
      </c>
      <c r="E6" s="0" t="n">
        <f aca="false">D6*(1+E5/100)</f>
        <v>787800</v>
      </c>
      <c r="F6" s="0" t="n">
        <f aca="false">E6*(1+F5/100)</f>
        <v>795678</v>
      </c>
      <c r="G6" s="0" t="n">
        <f aca="false">F6*(1+G5/100)</f>
        <v>811591.56</v>
      </c>
      <c r="H6" s="0" t="n">
        <f aca="false">G6*(1+H5/100)</f>
        <v>827823.3912</v>
      </c>
      <c r="I6" s="0" t="n">
        <f aca="false">H6*(1+I5/100)</f>
        <v>844379.859024</v>
      </c>
      <c r="J6" s="0" t="n">
        <f aca="false">I6*(1+J5/100)</f>
        <v>861267.45620448</v>
      </c>
      <c r="K6" s="0" t="n">
        <f aca="false">J6*(1+K5/100)</f>
        <v>878492.80532857</v>
      </c>
      <c r="L6" s="0" t="n">
        <f aca="false">K6*(1+L5/100)</f>
        <v>896062.661435141</v>
      </c>
    </row>
    <row r="7" customFormat="false" ht="15" hidden="false" customHeight="false" outlineLevel="0" collapsed="false">
      <c r="A7" s="0" t="s">
        <v>108</v>
      </c>
      <c r="C7" s="4" t="n">
        <f aca="false">Assumptions!C14</f>
        <v>38</v>
      </c>
      <c r="D7" s="4" t="n">
        <f aca="false">Assumptions!D14</f>
        <v>36</v>
      </c>
      <c r="E7" s="4" t="n">
        <f aca="false">Assumptions!E14</f>
        <v>36</v>
      </c>
      <c r="F7" s="4" t="n">
        <f aca="false">Assumptions!F14</f>
        <v>37</v>
      </c>
      <c r="G7" s="4" t="n">
        <f aca="false">Assumptions!G14</f>
        <v>38</v>
      </c>
      <c r="H7" s="4" t="n">
        <f aca="false">Assumptions!H14</f>
        <v>38</v>
      </c>
      <c r="I7" s="4" t="n">
        <f aca="false">Assumptions!I14</f>
        <v>38</v>
      </c>
      <c r="J7" s="4" t="n">
        <f aca="false">Assumptions!J14</f>
        <v>38</v>
      </c>
      <c r="K7" s="4" t="n">
        <f aca="false">Assumptions!K14</f>
        <v>38</v>
      </c>
      <c r="L7" s="4" t="n">
        <f aca="false">Assumptions!L14</f>
        <v>38</v>
      </c>
    </row>
    <row r="8" customFormat="false" ht="15" hidden="false" customHeight="false" outlineLevel="0" collapsed="false">
      <c r="A8" s="0" t="s">
        <v>44</v>
      </c>
      <c r="C8" s="0" t="n">
        <f aca="false">C6*C7/100</f>
        <v>296400</v>
      </c>
      <c r="D8" s="0" t="n">
        <f aca="false">D6*D7/100</f>
        <v>280800</v>
      </c>
      <c r="E8" s="0" t="n">
        <f aca="false">E6*E7/100</f>
        <v>283608</v>
      </c>
      <c r="F8" s="0" t="n">
        <f aca="false">F6*F7/100</f>
        <v>294400.86</v>
      </c>
      <c r="G8" s="0" t="n">
        <f aca="false">G6*G7/100</f>
        <v>308404.7928</v>
      </c>
      <c r="H8" s="0" t="n">
        <f aca="false">H6*H7/100</f>
        <v>314572.888656</v>
      </c>
      <c r="I8" s="0" t="n">
        <f aca="false">I6*I7/100</f>
        <v>320864.34642912</v>
      </c>
      <c r="J8" s="0" t="n">
        <f aca="false">J6*J7/100</f>
        <v>327281.633357702</v>
      </c>
      <c r="K8" s="0" t="n">
        <f aca="false">K6*K7/100</f>
        <v>333827.266024857</v>
      </c>
      <c r="L8" s="0" t="n">
        <f aca="false">L6*L7/100</f>
        <v>340503.811345354</v>
      </c>
    </row>
    <row r="9" customFormat="false" ht="15" hidden="false" customHeight="false" outlineLevel="0" collapsed="false">
      <c r="A9" s="0" t="s">
        <v>109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296400</v>
      </c>
      <c r="D11" s="0" t="n">
        <f aca="false">D8+D10+D24</f>
        <v>280800</v>
      </c>
      <c r="E11" s="0" t="n">
        <f aca="false">E8+E10+E24</f>
        <v>283608</v>
      </c>
      <c r="F11" s="0" t="n">
        <f aca="false">F8+F10+F24</f>
        <v>294400.86</v>
      </c>
      <c r="G11" s="0" t="n">
        <f aca="false">G8+G10+G24</f>
        <v>308404.7928</v>
      </c>
      <c r="H11" s="0" t="n">
        <f aca="false">H8+H10+H24</f>
        <v>314572.888656</v>
      </c>
      <c r="I11" s="0" t="n">
        <f aca="false">I8+I10+I24</f>
        <v>320864.34642912</v>
      </c>
      <c r="J11" s="0" t="n">
        <f aca="false">J8+J10+J24</f>
        <v>327281.633357702</v>
      </c>
      <c r="K11" s="0" t="n">
        <f aca="false">K8+K10+K24</f>
        <v>333827.266024857</v>
      </c>
      <c r="L11" s="0" t="n">
        <f aca="false">L8+L10+L24</f>
        <v>340503.811345354</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296400</v>
      </c>
      <c r="D13" s="0" t="n">
        <f aca="false">D11+D12</f>
        <v>280800</v>
      </c>
      <c r="E13" s="0" t="n">
        <f aca="false">E11+E12</f>
        <v>283608</v>
      </c>
      <c r="F13" s="0" t="n">
        <f aca="false">F11+F12</f>
        <v>294400.86</v>
      </c>
      <c r="G13" s="0" t="n">
        <f aca="false">G11+G12</f>
        <v>308404.7928</v>
      </c>
      <c r="H13" s="0" t="n">
        <f aca="false">H11+H12</f>
        <v>314572.888656</v>
      </c>
      <c r="I13" s="0" t="n">
        <f aca="false">I11+I12</f>
        <v>320864.34642912</v>
      </c>
      <c r="J13" s="0" t="n">
        <f aca="false">J11+J12</f>
        <v>327281.633357702</v>
      </c>
      <c r="K13" s="0" t="n">
        <f aca="false">K11+K12</f>
        <v>333827.266024857</v>
      </c>
      <c r="L13" s="0" t="n">
        <f aca="false">L11+L12</f>
        <v>340503.811345354</v>
      </c>
    </row>
    <row r="14" customFormat="false" ht="15" hidden="false" customHeight="false" outlineLevel="0" collapsed="false">
      <c r="A14" s="0" t="s">
        <v>113</v>
      </c>
      <c r="C14" s="4" t="n">
        <f aca="false">Assumptions!C19</f>
        <v>22.5</v>
      </c>
      <c r="D14" s="4" t="n">
        <f aca="false">Assumptions!D19</f>
        <v>22.5</v>
      </c>
      <c r="E14" s="4" t="n">
        <f aca="false">Assumptions!E19</f>
        <v>22.5</v>
      </c>
      <c r="F14" s="4" t="n">
        <f aca="false">Assumptions!F19</f>
        <v>22.5</v>
      </c>
      <c r="G14" s="4" t="n">
        <f aca="false">Assumptions!G19</f>
        <v>22.5</v>
      </c>
      <c r="H14" s="4" t="n">
        <f aca="false">Assumptions!H19</f>
        <v>22.5</v>
      </c>
      <c r="I14" s="4" t="n">
        <f aca="false">Assumptions!I19</f>
        <v>22.5</v>
      </c>
      <c r="J14" s="4" t="n">
        <f aca="false">Assumptions!J19</f>
        <v>22.5</v>
      </c>
      <c r="K14" s="4" t="n">
        <f aca="false">Assumptions!K19</f>
        <v>22.5</v>
      </c>
      <c r="L14" s="4" t="n">
        <f aca="false">Assumptions!L19</f>
        <v>22.5</v>
      </c>
    </row>
    <row r="15" customFormat="false" ht="15" hidden="false" customHeight="false" outlineLevel="0" collapsed="false">
      <c r="A15" s="0" t="s">
        <v>128</v>
      </c>
      <c r="C15" s="0" t="n">
        <f aca="false">C13-MAX(0,C13)*C14/100</f>
        <v>229710</v>
      </c>
      <c r="D15" s="0" t="n">
        <f aca="false">D13-MAX(0,D13)*D14/100</f>
        <v>217620</v>
      </c>
      <c r="E15" s="0" t="n">
        <f aca="false">E13-MAX(0,E13)*E14/100</f>
        <v>219796.2</v>
      </c>
      <c r="F15" s="0" t="n">
        <f aca="false">F13-MAX(0,F13)*F14/100</f>
        <v>228160.6665</v>
      </c>
      <c r="G15" s="0" t="n">
        <f aca="false">G13-MAX(0,G13)*G14/100</f>
        <v>239013.71442</v>
      </c>
      <c r="H15" s="0" t="n">
        <f aca="false">H13-MAX(0,H13)*H14/100</f>
        <v>243793.9887084</v>
      </c>
      <c r="I15" s="0" t="n">
        <f aca="false">I13-MAX(0,I13)*I14/100</f>
        <v>248669.868482568</v>
      </c>
      <c r="J15" s="0" t="n">
        <f aca="false">J13-MAX(0,J13)*J14/100</f>
        <v>253643.265852219</v>
      </c>
      <c r="K15" s="0" t="n">
        <f aca="false">K13-MAX(0,K13)*K14/100</f>
        <v>258716.131169264</v>
      </c>
      <c r="L15" s="0" t="n">
        <f aca="false">L13-MAX(0,L13)*L14/100</f>
        <v>263890.453792649</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-233298</v>
      </c>
      <c r="D17" s="4" t="n">
        <f aca="false">-D6*Assumptions!D18/100</f>
        <v>-220428</v>
      </c>
      <c r="E17" s="4" t="n">
        <f aca="false">-E6*Assumptions!E18/100</f>
        <v>-202149.48</v>
      </c>
      <c r="F17" s="4" t="n">
        <f aca="false">-F6*Assumptions!F18/100</f>
        <v>-196452.8982</v>
      </c>
      <c r="G17" s="4" t="n">
        <f aca="false">-G6*Assumptions!G18/100</f>
        <v>-188451.560232</v>
      </c>
      <c r="H17" s="4" t="n">
        <f aca="false">-H6*Assumptions!H18/100</f>
        <v>-178064.81144712</v>
      </c>
      <c r="I17" s="4" t="n">
        <f aca="false">-I6*Assumptions!I18/100</f>
        <v>-165414.014382802</v>
      </c>
      <c r="J17" s="4" t="n">
        <f aca="false">-J6*Assumptions!J18/100</f>
        <v>-150549.551344543</v>
      </c>
      <c r="K17" s="4" t="n">
        <f aca="false">-K6*Assumptions!K18/100</f>
        <v>-133530.906409943</v>
      </c>
      <c r="L17" s="4" t="n">
        <f aca="false">-L6*Assumptions!L18/100</f>
        <v>-137545.618530294</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-3588</v>
      </c>
      <c r="D19" s="0" t="n">
        <f aca="false">D15+D16+D17+D18</f>
        <v>-2808</v>
      </c>
      <c r="E19" s="0" t="n">
        <f aca="false">E15+E16+E17+E18</f>
        <v>17646.72</v>
      </c>
      <c r="F19" s="0" t="n">
        <f aca="false">F15+F16+F17+F18</f>
        <v>31707.7683</v>
      </c>
      <c r="G19" s="0" t="n">
        <f aca="false">G15+G16+G17+G18</f>
        <v>50562.154188</v>
      </c>
      <c r="H19" s="0" t="n">
        <f aca="false">H15+H16+H17+H18</f>
        <v>65729.17726128</v>
      </c>
      <c r="I19" s="0" t="n">
        <f aca="false">I15+I16+I17+I18</f>
        <v>83255.8540997664</v>
      </c>
      <c r="J19" s="0" t="n">
        <f aca="false">J15+J16+J17+J18</f>
        <v>103093.714507676</v>
      </c>
      <c r="K19" s="0" t="n">
        <f aca="false">K15+K16+K17+K18</f>
        <v>125185.224759321</v>
      </c>
      <c r="L19" s="0" t="n">
        <f aca="false">L15+L16+L17+L18</f>
        <v>126344.835262355</v>
      </c>
    </row>
    <row r="20" customFormat="false" ht="15" hidden="false" customHeight="false" outlineLevel="0" collapsed="false">
      <c r="A20" s="0" t="s">
        <v>133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134</v>
      </c>
      <c r="C21" s="0" t="n">
        <f aca="false">C19*C20</f>
        <v>-3276.71232876712</v>
      </c>
      <c r="D21" s="0" t="n">
        <f aca="false">D19*D20</f>
        <v>-2341.90279602177</v>
      </c>
      <c r="E21" s="0" t="n">
        <f aca="false">E19*E20</f>
        <v>13440.6922519524</v>
      </c>
      <c r="F21" s="0" t="n">
        <f aca="false">F19*F20</f>
        <v>22055.1085332154</v>
      </c>
      <c r="G21" s="0" t="n">
        <f aca="false">G19*G20</f>
        <v>32118.4791564647</v>
      </c>
      <c r="H21" s="0" t="n">
        <f aca="false">H19*H20</f>
        <v>38130.5861302105</v>
      </c>
      <c r="I21" s="0" t="n">
        <f aca="false">I19*I20</f>
        <v>44107.8558168862</v>
      </c>
      <c r="J21" s="0" t="n">
        <f aca="false">J19*J20</f>
        <v>49879.1718590578</v>
      </c>
      <c r="K21" s="0" t="n">
        <f aca="false">K19*K20</f>
        <v>55312.8455058045</v>
      </c>
      <c r="L21" s="0" t="n">
        <f aca="false">L19*L20</f>
        <v>50981.9334496183</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9.5</v>
      </c>
    </row>
    <row r="28" customFormat="false" ht="15" hidden="false" customHeight="false" outlineLevel="0" collapsed="false">
      <c r="A28" s="0" t="s">
        <v>115</v>
      </c>
      <c r="B28" s="4" t="n">
        <f aca="false">Assumptions!$B$21</f>
        <v>2.5</v>
      </c>
    </row>
    <row r="29" customFormat="false" ht="15" hidden="false" customHeight="false" outlineLevel="0" collapsed="false">
      <c r="A29" s="0" t="s">
        <v>116</v>
      </c>
      <c r="B29" s="4" t="n">
        <f aca="false">Assumptions!$B$22</f>
        <v>18</v>
      </c>
    </row>
    <row r="30" customFormat="false" ht="15" hidden="false" customHeight="false" outlineLevel="0" collapsed="false">
      <c r="A30" s="0" t="s">
        <v>137</v>
      </c>
      <c r="B30" s="0" t="n">
        <f aca="false">SUM(C21:L21)</f>
        <v>300408.057578421</v>
      </c>
    </row>
    <row r="31" customFormat="false" ht="15" hidden="false" customHeight="false" outlineLevel="0" collapsed="false">
      <c r="A31" s="0" t="s">
        <v>138</v>
      </c>
      <c r="B31" s="0" t="n">
        <f aca="false">L19</f>
        <v>126344.835262355</v>
      </c>
    </row>
    <row r="32" customFormat="false" ht="15" hidden="false" customHeight="false" outlineLevel="0" collapsed="false">
      <c r="A32" s="0" t="s">
        <v>139</v>
      </c>
      <c r="B32" s="0" t="n">
        <f aca="false">IF(B27&gt;B28,B31*(1+B28/100)/((B27-B28)/100),B31*B29)</f>
        <v>1850049.37348448</v>
      </c>
    </row>
    <row r="33" customFormat="false" ht="15" hidden="false" customHeight="false" outlineLevel="0" collapsed="false">
      <c r="A33" s="0" t="s">
        <v>140</v>
      </c>
      <c r="B33" s="0" t="n">
        <f aca="false">B31*B29</f>
        <v>2274207.03472239</v>
      </c>
    </row>
    <row r="34" customFormat="false" ht="15" hidden="false" customHeight="false" outlineLevel="0" collapsed="false">
      <c r="A34" s="0" t="s">
        <v>141</v>
      </c>
      <c r="B34" s="0" t="n">
        <f aca="false">MAX(0,MIN(B32,B33))</f>
        <v>1850049.37348448</v>
      </c>
    </row>
    <row r="35" customFormat="false" ht="15" hidden="false" customHeight="false" outlineLevel="0" collapsed="false">
      <c r="A35" s="0" t="s">
        <v>142</v>
      </c>
      <c r="B35" s="0" t="n">
        <f aca="false">B34/(1+B27/100)^L4</f>
        <v>746521.16836941</v>
      </c>
    </row>
    <row r="36" customFormat="false" ht="15" hidden="false" customHeight="false" outlineLevel="0" collapsed="false">
      <c r="A36" s="0" t="s">
        <v>143</v>
      </c>
      <c r="B36" s="0" t="n">
        <f aca="false">B30+B35</f>
        <v>1046929.22594783</v>
      </c>
    </row>
    <row r="37" customFormat="false" ht="15" hidden="false" customHeight="false" outlineLevel="0" collapsed="false">
      <c r="A37" s="0" t="s">
        <v>144</v>
      </c>
      <c r="B37" s="0" t="n">
        <f aca="false">B36+Assumptions!$B$5-Assumptions!$B$4</f>
        <v>1206929.22594783</v>
      </c>
    </row>
    <row r="38" customFormat="false" ht="15" hidden="false" customHeight="false" outlineLevel="0" collapsed="false">
      <c r="A38" s="0" t="s">
        <v>145</v>
      </c>
      <c r="B38" s="0" t="n">
        <f aca="false">B37/Assumptions!$B$3*Assumptions!$B$10</f>
        <v>3.80738252352641</v>
      </c>
    </row>
    <row r="39" customFormat="false" ht="15" hidden="false" customHeight="false" outlineLevel="0" collapsed="false">
      <c r="A39" s="0" t="s">
        <v>146</v>
      </c>
      <c r="B39" s="4" t="n">
        <f aca="false">B38/Assumptions!$B$2-1</f>
        <v>-0.43510645051537</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3.80738252352641</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1036027.64915131</v>
      </c>
    </row>
    <row r="47" customFormat="false" ht="15" hidden="false" customHeight="false" outlineLevel="0" collapsed="false">
      <c r="A47" s="0" t="s">
        <v>151</v>
      </c>
      <c r="B47" s="0" t="n">
        <f aca="false">(SUMPRODUCT(C19:L19/(1+B45/100)^C4:L4)+B46/(1+B45/100)^L4+Assumptions!$B$5-Assumptions!$B$4)/Assumptions!$B$3*Assumptions!$B$10</f>
        <v>1.97462457972866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3.5</v>
      </c>
      <c r="D5" s="4" t="n">
        <f aca="false">Assumptions!D27</f>
        <v>3.5</v>
      </c>
      <c r="E5" s="4" t="n">
        <f aca="false">Assumptions!E27</f>
        <v>3.5</v>
      </c>
      <c r="F5" s="4" t="n">
        <f aca="false">Assumptions!F27</f>
        <v>3.5</v>
      </c>
      <c r="G5" s="4" t="n">
        <f aca="false">Assumptions!G27</f>
        <v>3</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780000</v>
      </c>
      <c r="C6" s="0" t="n">
        <f aca="false">B6*(1+C5/100)</f>
        <v>807300</v>
      </c>
      <c r="D6" s="0" t="n">
        <f aca="false">C6*(1+D5/100)</f>
        <v>835555.5</v>
      </c>
      <c r="E6" s="0" t="n">
        <f aca="false">D6*(1+E5/100)</f>
        <v>864799.9425</v>
      </c>
      <c r="F6" s="0" t="n">
        <f aca="false">E6*(1+F5/100)</f>
        <v>895067.9404875</v>
      </c>
      <c r="G6" s="0" t="n">
        <f aca="false">F6*(1+G5/100)</f>
        <v>921919.978702125</v>
      </c>
      <c r="H6" s="0" t="n">
        <f aca="false">G6*(1+H5/100)</f>
        <v>949577.578063188</v>
      </c>
      <c r="I6" s="0" t="n">
        <f aca="false">H6*(1+I5/100)</f>
        <v>978064.905405084</v>
      </c>
      <c r="J6" s="0" t="n">
        <f aca="false">I6*(1+J5/100)</f>
        <v>1007406.85256724</v>
      </c>
      <c r="K6" s="0" t="n">
        <f aca="false">J6*(1+K5/100)</f>
        <v>1037629.05814425</v>
      </c>
      <c r="L6" s="0" t="n">
        <f aca="false">K6*(1+L5/100)</f>
        <v>1068757.92988858</v>
      </c>
    </row>
    <row r="7" customFormat="false" ht="15" hidden="false" customHeight="false" outlineLevel="0" collapsed="false">
      <c r="A7" s="0" t="s">
        <v>108</v>
      </c>
      <c r="C7" s="4" t="n">
        <f aca="false">Assumptions!C28</f>
        <v>43.5</v>
      </c>
      <c r="D7" s="4" t="n">
        <f aca="false">Assumptions!D28</f>
        <v>43.5</v>
      </c>
      <c r="E7" s="4" t="n">
        <f aca="false">Assumptions!E28</f>
        <v>43.5</v>
      </c>
      <c r="F7" s="4" t="n">
        <f aca="false">Assumptions!F28</f>
        <v>43.5</v>
      </c>
      <c r="G7" s="4" t="n">
        <f aca="false">Assumptions!G28</f>
        <v>43.5</v>
      </c>
      <c r="H7" s="4" t="n">
        <f aca="false">Assumptions!H28</f>
        <v>43.5</v>
      </c>
      <c r="I7" s="4" t="n">
        <f aca="false">Assumptions!I28</f>
        <v>43.5</v>
      </c>
      <c r="J7" s="4" t="n">
        <f aca="false">Assumptions!J28</f>
        <v>43.5</v>
      </c>
      <c r="K7" s="4" t="n">
        <f aca="false">Assumptions!K28</f>
        <v>43.5</v>
      </c>
      <c r="L7" s="4" t="n">
        <f aca="false">Assumptions!L28</f>
        <v>43.5</v>
      </c>
    </row>
    <row r="8" customFormat="false" ht="15" hidden="false" customHeight="false" outlineLevel="0" collapsed="false">
      <c r="A8" s="0" t="s">
        <v>44</v>
      </c>
      <c r="C8" s="0" t="n">
        <f aca="false">C6*C7/100</f>
        <v>351175.5</v>
      </c>
      <c r="D8" s="0" t="n">
        <f aca="false">D6*D7/100</f>
        <v>363466.6425</v>
      </c>
      <c r="E8" s="0" t="n">
        <f aca="false">E6*E7/100</f>
        <v>376187.9749875</v>
      </c>
      <c r="F8" s="0" t="n">
        <f aca="false">F6*F7/100</f>
        <v>389354.554112062</v>
      </c>
      <c r="G8" s="0" t="n">
        <f aca="false">G6*G7/100</f>
        <v>401035.190735424</v>
      </c>
      <c r="H8" s="0" t="n">
        <f aca="false">H6*H7/100</f>
        <v>413066.246457487</v>
      </c>
      <c r="I8" s="0" t="n">
        <f aca="false">I6*I7/100</f>
        <v>425458.233851212</v>
      </c>
      <c r="J8" s="0" t="n">
        <f aca="false">J6*J7/100</f>
        <v>438221.980866748</v>
      </c>
      <c r="K8" s="0" t="n">
        <f aca="false">K6*K7/100</f>
        <v>451368.64029275</v>
      </c>
      <c r="L8" s="0" t="n">
        <f aca="false">L6*L7/100</f>
        <v>464909.699501533</v>
      </c>
    </row>
    <row r="9" customFormat="false" ht="15" hidden="false" customHeight="false" outlineLevel="0" collapsed="false">
      <c r="A9" s="0" t="s">
        <v>109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351175.5</v>
      </c>
      <c r="D11" s="0" t="n">
        <f aca="false">D8+D10+D24</f>
        <v>363466.6425</v>
      </c>
      <c r="E11" s="0" t="n">
        <f aca="false">E8+E10+E24</f>
        <v>376187.9749875</v>
      </c>
      <c r="F11" s="0" t="n">
        <f aca="false">F8+F10+F24</f>
        <v>389354.554112062</v>
      </c>
      <c r="G11" s="0" t="n">
        <f aca="false">G8+G10+G24</f>
        <v>401035.190735424</v>
      </c>
      <c r="H11" s="0" t="n">
        <f aca="false">H8+H10+H24</f>
        <v>413066.246457487</v>
      </c>
      <c r="I11" s="0" t="n">
        <f aca="false">I8+I10+I24</f>
        <v>425458.233851212</v>
      </c>
      <c r="J11" s="0" t="n">
        <f aca="false">J8+J10+J24</f>
        <v>438221.980866748</v>
      </c>
      <c r="K11" s="0" t="n">
        <f aca="false">K8+K10+K24</f>
        <v>451368.64029275</v>
      </c>
      <c r="L11" s="0" t="n">
        <f aca="false">L8+L10+L24</f>
        <v>464909.699501533</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351175.5</v>
      </c>
      <c r="D13" s="0" t="n">
        <f aca="false">D11+D12</f>
        <v>363466.6425</v>
      </c>
      <c r="E13" s="0" t="n">
        <f aca="false">E11+E12</f>
        <v>376187.9749875</v>
      </c>
      <c r="F13" s="0" t="n">
        <f aca="false">F11+F12</f>
        <v>389354.554112062</v>
      </c>
      <c r="G13" s="0" t="n">
        <f aca="false">G11+G12</f>
        <v>401035.190735424</v>
      </c>
      <c r="H13" s="0" t="n">
        <f aca="false">H11+H12</f>
        <v>413066.246457487</v>
      </c>
      <c r="I13" s="0" t="n">
        <f aca="false">I11+I12</f>
        <v>425458.233851212</v>
      </c>
      <c r="J13" s="0" t="n">
        <f aca="false">J11+J12</f>
        <v>438221.980866748</v>
      </c>
      <c r="K13" s="0" t="n">
        <f aca="false">K11+K12</f>
        <v>451368.64029275</v>
      </c>
      <c r="L13" s="0" t="n">
        <f aca="false">L11+L12</f>
        <v>464909.699501533</v>
      </c>
    </row>
    <row r="14" customFormat="false" ht="15" hidden="false" customHeight="false" outlineLevel="0" collapsed="false">
      <c r="A14" s="0" t="s">
        <v>113</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128</v>
      </c>
      <c r="C15" s="0" t="n">
        <f aca="false">C13-MAX(0,C13)*C14/100</f>
        <v>277428.645</v>
      </c>
      <c r="D15" s="0" t="n">
        <f aca="false">D13-MAX(0,D13)*D14/100</f>
        <v>287138.647575</v>
      </c>
      <c r="E15" s="0" t="n">
        <f aca="false">E13-MAX(0,E13)*E14/100</f>
        <v>297188.500240125</v>
      </c>
      <c r="F15" s="0" t="n">
        <f aca="false">F13-MAX(0,F13)*F14/100</f>
        <v>307590.097748529</v>
      </c>
      <c r="G15" s="0" t="n">
        <f aca="false">G13-MAX(0,G13)*G14/100</f>
        <v>316817.800680985</v>
      </c>
      <c r="H15" s="0" t="n">
        <f aca="false">H13-MAX(0,H13)*H14/100</f>
        <v>326322.334701415</v>
      </c>
      <c r="I15" s="0" t="n">
        <f aca="false">I13-MAX(0,I13)*I14/100</f>
        <v>336112.004742457</v>
      </c>
      <c r="J15" s="0" t="n">
        <f aca="false">J13-MAX(0,J13)*J14/100</f>
        <v>346195.364884731</v>
      </c>
      <c r="K15" s="0" t="n">
        <f aca="false">K13-MAX(0,K13)*K14/100</f>
        <v>356581.225831273</v>
      </c>
      <c r="L15" s="0" t="n">
        <f aca="false">L13-MAX(0,L13)*L14/100</f>
        <v>367278.662606211</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-218697.57</v>
      </c>
      <c r="D17" s="4" t="n">
        <f aca="false">-D6*Assumptions!D32/100</f>
        <v>-219416.8743</v>
      </c>
      <c r="E17" s="4" t="n">
        <f aca="false">-E6*Assumptions!E32/100</f>
        <v>-218016.06550425</v>
      </c>
      <c r="F17" s="4" t="n">
        <f aca="false">-F6*Assumptions!F32/100</f>
        <v>-214368.771746756</v>
      </c>
      <c r="G17" s="4" t="n">
        <f aca="false">-G6*Assumptions!G32/100</f>
        <v>-208261.72318881</v>
      </c>
      <c r="H17" s="4" t="n">
        <f aca="false">-H6*Assumptions!H32/100</f>
        <v>-199696.164666689</v>
      </c>
      <c r="I17" s="4" t="n">
        <f aca="false">-I6*Assumptions!I32/100</f>
        <v>-188766.526743181</v>
      </c>
      <c r="J17" s="4" t="n">
        <f aca="false">-J6*Assumptions!J32/100</f>
        <v>-175288.792346699</v>
      </c>
      <c r="K17" s="4" t="n">
        <f aca="false">-K6*Assumptions!K32/100</f>
        <v>-159587.349142586</v>
      </c>
      <c r="L17" s="4" t="n">
        <f aca="false">-L6*Assumptions!L32/100</f>
        <v>-141503.549917248</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58731.075</v>
      </c>
      <c r="D19" s="0" t="n">
        <f aca="false">D15+D16+D17+D18</f>
        <v>67721.773275</v>
      </c>
      <c r="E19" s="0" t="n">
        <f aca="false">E15+E16+E17+E18</f>
        <v>79172.4347358749</v>
      </c>
      <c r="F19" s="0" t="n">
        <f aca="false">F15+F16+F17+F18</f>
        <v>93221.3260017731</v>
      </c>
      <c r="G19" s="0" t="n">
        <f aca="false">G15+G16+G17+G18</f>
        <v>108556.077492175</v>
      </c>
      <c r="H19" s="0" t="n">
        <f aca="false">H15+H16+H17+H18</f>
        <v>126626.170034726</v>
      </c>
      <c r="I19" s="0" t="n">
        <f aca="false">I15+I16+I17+I18</f>
        <v>147345.477999276</v>
      </c>
      <c r="J19" s="0" t="n">
        <f aca="false">J15+J16+J17+J18</f>
        <v>170906.572538032</v>
      </c>
      <c r="K19" s="0" t="n">
        <f aca="false">K15+K16+K17+K18</f>
        <v>196993.876688687</v>
      </c>
      <c r="L19" s="0" t="n">
        <f aca="false">L15+L16+L17+L18</f>
        <v>225775.112688963</v>
      </c>
    </row>
    <row r="20" customFormat="false" ht="15" hidden="false" customHeight="false" outlineLevel="0" collapsed="false">
      <c r="A20" s="0" t="s">
        <v>133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134</v>
      </c>
      <c r="C21" s="0" t="n">
        <f aca="false">C19*C20</f>
        <v>53635.6849315069</v>
      </c>
      <c r="D21" s="0" t="n">
        <f aca="false">D19*D20</f>
        <v>56480.7016325765</v>
      </c>
      <c r="E21" s="0" t="n">
        <f aca="false">E19*E20</f>
        <v>60301.9898384903</v>
      </c>
      <c r="F21" s="0" t="n">
        <f aca="false">F19*F20</f>
        <v>64842.3579712912</v>
      </c>
      <c r="G21" s="0" t="n">
        <f aca="false">G19*G20</f>
        <v>68957.8236575113</v>
      </c>
      <c r="H21" s="0" t="n">
        <f aca="false">H19*H20</f>
        <v>73457.9418764777</v>
      </c>
      <c r="I21" s="0" t="n">
        <f aca="false">I19*I20</f>
        <v>78061.6951100435</v>
      </c>
      <c r="J21" s="0" t="n">
        <f aca="false">J19*J20</f>
        <v>82688.6328053712</v>
      </c>
      <c r="K21" s="0" t="n">
        <f aca="false">K19*K20</f>
        <v>87041.3572194309</v>
      </c>
      <c r="L21" s="0" t="n">
        <f aca="false">L19*L20</f>
        <v>91103.4609826933</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9.5</v>
      </c>
    </row>
    <row r="28" customFormat="false" ht="15" hidden="false" customHeight="false" outlineLevel="0" collapsed="false">
      <c r="A28" s="0" t="s">
        <v>115</v>
      </c>
      <c r="B28" s="4" t="n">
        <f aca="false">Assumptions!$B$35</f>
        <v>3</v>
      </c>
    </row>
    <row r="29" customFormat="false" ht="15" hidden="false" customHeight="false" outlineLevel="0" collapsed="false">
      <c r="A29" s="0" t="s">
        <v>116</v>
      </c>
      <c r="B29" s="4" t="n">
        <f aca="false">Assumptions!$B$36</f>
        <v>18</v>
      </c>
    </row>
    <row r="30" customFormat="false" ht="15" hidden="false" customHeight="false" outlineLevel="0" collapsed="false">
      <c r="A30" s="0" t="s">
        <v>137</v>
      </c>
      <c r="B30" s="0" t="n">
        <f aca="false">SUM(C21:L21)</f>
        <v>716571.646025393</v>
      </c>
    </row>
    <row r="31" customFormat="false" ht="15" hidden="false" customHeight="false" outlineLevel="0" collapsed="false">
      <c r="A31" s="0" t="s">
        <v>138</v>
      </c>
      <c r="B31" s="0" t="n">
        <f aca="false">L19</f>
        <v>225775.112688963</v>
      </c>
    </row>
    <row r="32" customFormat="false" ht="15" hidden="false" customHeight="false" outlineLevel="0" collapsed="false">
      <c r="A32" s="0" t="s">
        <v>139</v>
      </c>
      <c r="B32" s="0" t="n">
        <f aca="false">IF(B27&gt;B28,B31*(1+B28/100)/((B27-B28)/100),B31*B29)</f>
        <v>3577667.17030203</v>
      </c>
    </row>
    <row r="33" customFormat="false" ht="15" hidden="false" customHeight="false" outlineLevel="0" collapsed="false">
      <c r="A33" s="0" t="s">
        <v>140</v>
      </c>
      <c r="B33" s="0" t="n">
        <f aca="false">B31*B29</f>
        <v>4063952.02840133</v>
      </c>
    </row>
    <row r="34" customFormat="false" ht="15" hidden="false" customHeight="false" outlineLevel="0" collapsed="false">
      <c r="A34" s="0" t="s">
        <v>141</v>
      </c>
      <c r="B34" s="0" t="n">
        <f aca="false">MAX(0,MIN(B32,B33))</f>
        <v>3577667.17030203</v>
      </c>
    </row>
    <row r="35" customFormat="false" ht="15" hidden="false" customHeight="false" outlineLevel="0" collapsed="false">
      <c r="A35" s="0" t="s">
        <v>142</v>
      </c>
      <c r="B35" s="0" t="n">
        <f aca="false">B34/(1+B27/100)^L4</f>
        <v>1443639.45864883</v>
      </c>
    </row>
    <row r="36" customFormat="false" ht="15" hidden="false" customHeight="false" outlineLevel="0" collapsed="false">
      <c r="A36" s="0" t="s">
        <v>143</v>
      </c>
      <c r="B36" s="0" t="n">
        <f aca="false">B30+B35</f>
        <v>2160211.10467422</v>
      </c>
    </row>
    <row r="37" customFormat="false" ht="15" hidden="false" customHeight="false" outlineLevel="0" collapsed="false">
      <c r="A37" s="0" t="s">
        <v>144</v>
      </c>
      <c r="B37" s="0" t="n">
        <f aca="false">B36+Assumptions!$B$5-Assumptions!$B$4</f>
        <v>2320211.10467422</v>
      </c>
    </row>
    <row r="38" customFormat="false" ht="15" hidden="false" customHeight="false" outlineLevel="0" collapsed="false">
      <c r="A38" s="0" t="s">
        <v>145</v>
      </c>
      <c r="B38" s="0" t="n">
        <f aca="false">B37/Assumptions!$B$3*Assumptions!$B$10</f>
        <v>7.3193448471604</v>
      </c>
    </row>
    <row r="39" customFormat="false" ht="15" hidden="false" customHeight="false" outlineLevel="0" collapsed="false">
      <c r="A39" s="0" t="s">
        <v>146</v>
      </c>
      <c r="B39" s="4" t="n">
        <f aca="false">B38/Assumptions!$B$2-1</f>
        <v>0.0859562087775077</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7.3193448471604</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1937903.05058026</v>
      </c>
    </row>
    <row r="47" customFormat="false" ht="15" hidden="false" customHeight="false" outlineLevel="0" collapsed="false">
      <c r="A47" s="0" t="s">
        <v>151</v>
      </c>
      <c r="B47" s="0" t="n">
        <f aca="false">(SUMPRODUCT(C19:L19/(1+B45/100)^C4:L4)+B46/(1+B45/100)^L4+Assumptions!$B$5-Assumptions!$B$4)/Assumptions!$B$3*Assumptions!$B$10</f>
        <v>3.7175058490906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5</v>
      </c>
      <c r="D5" s="4" t="n">
        <f aca="false">Assumptions!D41</f>
        <v>5</v>
      </c>
      <c r="E5" s="4" t="n">
        <f aca="false">Assumptions!E41</f>
        <v>4.5</v>
      </c>
      <c r="F5" s="4" t="n">
        <f aca="false">Assumptions!F41</f>
        <v>4.5</v>
      </c>
      <c r="G5" s="4" t="n">
        <f aca="false">Assumptions!G41</f>
        <v>4</v>
      </c>
      <c r="H5" s="4" t="n">
        <f aca="false">Assumptions!H41</f>
        <v>4</v>
      </c>
      <c r="I5" s="4" t="n">
        <f aca="false">Assumptions!I41</f>
        <v>3.5</v>
      </c>
      <c r="J5" s="4" t="n">
        <f aca="false">Assumptions!J41</f>
        <v>3.5</v>
      </c>
      <c r="K5" s="4" t="n">
        <f aca="false">Assumptions!K41</f>
        <v>3.5</v>
      </c>
      <c r="L5" s="4" t="n">
        <f aca="false">Assumptions!L41</f>
        <v>3.5</v>
      </c>
    </row>
    <row r="6" customFormat="false" ht="15" hidden="false" customHeight="false" outlineLevel="0" collapsed="false">
      <c r="A6" s="0" t="s">
        <v>38</v>
      </c>
      <c r="B6" s="3" t="n">
        <v>780000</v>
      </c>
      <c r="C6" s="0" t="n">
        <f aca="false">B6*(1+C5/100)</f>
        <v>819000</v>
      </c>
      <c r="D6" s="0" t="n">
        <f aca="false">C6*(1+D5/100)</f>
        <v>859950</v>
      </c>
      <c r="E6" s="0" t="n">
        <f aca="false">D6*(1+E5/100)</f>
        <v>898647.75</v>
      </c>
      <c r="F6" s="0" t="n">
        <f aca="false">E6*(1+F5/100)</f>
        <v>939086.89875</v>
      </c>
      <c r="G6" s="0" t="n">
        <f aca="false">F6*(1+G5/100)</f>
        <v>976650.3747</v>
      </c>
      <c r="H6" s="0" t="n">
        <f aca="false">G6*(1+H5/100)</f>
        <v>1015716.389688</v>
      </c>
      <c r="I6" s="0" t="n">
        <f aca="false">H6*(1+I5/100)</f>
        <v>1051266.46332708</v>
      </c>
      <c r="J6" s="0" t="n">
        <f aca="false">I6*(1+J5/100)</f>
        <v>1088060.78954353</v>
      </c>
      <c r="K6" s="0" t="n">
        <f aca="false">J6*(1+K5/100)</f>
        <v>1126142.91717755</v>
      </c>
      <c r="L6" s="0" t="n">
        <f aca="false">K6*(1+L5/100)</f>
        <v>1165557.91927876</v>
      </c>
    </row>
    <row r="7" customFormat="false" ht="15" hidden="false" customHeight="false" outlineLevel="0" collapsed="false">
      <c r="A7" s="0" t="s">
        <v>108</v>
      </c>
      <c r="C7" s="4" t="n">
        <f aca="false">Assumptions!C42</f>
        <v>45</v>
      </c>
      <c r="D7" s="4" t="n">
        <f aca="false">Assumptions!D42</f>
        <v>45.5</v>
      </c>
      <c r="E7" s="4" t="n">
        <f aca="false">Assumptions!E42</f>
        <v>46</v>
      </c>
      <c r="F7" s="4" t="n">
        <f aca="false">Assumptions!F42</f>
        <v>46</v>
      </c>
      <c r="G7" s="4" t="n">
        <f aca="false">Assumptions!G42</f>
        <v>46.5</v>
      </c>
      <c r="H7" s="4" t="n">
        <f aca="false">Assumptions!H42</f>
        <v>46.5</v>
      </c>
      <c r="I7" s="4" t="n">
        <f aca="false">Assumptions!I42</f>
        <v>46.5</v>
      </c>
      <c r="J7" s="4" t="n">
        <f aca="false">Assumptions!J42</f>
        <v>46.5</v>
      </c>
      <c r="K7" s="4" t="n">
        <f aca="false">Assumptions!K42</f>
        <v>46.5</v>
      </c>
      <c r="L7" s="4" t="n">
        <f aca="false">Assumptions!L42</f>
        <v>46.5</v>
      </c>
    </row>
    <row r="8" customFormat="false" ht="15" hidden="false" customHeight="false" outlineLevel="0" collapsed="false">
      <c r="A8" s="0" t="s">
        <v>44</v>
      </c>
      <c r="C8" s="0" t="n">
        <f aca="false">C6*C7/100</f>
        <v>368550</v>
      </c>
      <c r="D8" s="0" t="n">
        <f aca="false">D6*D7/100</f>
        <v>391277.25</v>
      </c>
      <c r="E8" s="0" t="n">
        <f aca="false">E6*E7/100</f>
        <v>413377.965</v>
      </c>
      <c r="F8" s="0" t="n">
        <f aca="false">F6*F7/100</f>
        <v>431979.973425</v>
      </c>
      <c r="G8" s="0" t="n">
        <f aca="false">G6*G7/100</f>
        <v>454142.4242355</v>
      </c>
      <c r="H8" s="0" t="n">
        <f aca="false">H6*H7/100</f>
        <v>472308.12120492</v>
      </c>
      <c r="I8" s="0" t="n">
        <f aca="false">I6*I7/100</f>
        <v>488838.905447092</v>
      </c>
      <c r="J8" s="0" t="n">
        <f aca="false">J6*J7/100</f>
        <v>505948.26713774</v>
      </c>
      <c r="K8" s="0" t="n">
        <f aca="false">K6*K7/100</f>
        <v>523656.456487561</v>
      </c>
      <c r="L8" s="0" t="n">
        <f aca="false">L6*L7/100</f>
        <v>541984.432464626</v>
      </c>
    </row>
    <row r="9" customFormat="false" ht="15" hidden="false" customHeight="false" outlineLevel="0" collapsed="false">
      <c r="A9" s="0" t="s">
        <v>109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124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125</v>
      </c>
      <c r="C11" s="0" t="n">
        <f aca="false">C8+C10+C24</f>
        <v>368550</v>
      </c>
      <c r="D11" s="0" t="n">
        <f aca="false">D8+D10+D24</f>
        <v>391277.25</v>
      </c>
      <c r="E11" s="0" t="n">
        <f aca="false">E8+E10+E24</f>
        <v>413377.965</v>
      </c>
      <c r="F11" s="0" t="n">
        <f aca="false">F8+F10+F24</f>
        <v>431979.973425</v>
      </c>
      <c r="G11" s="0" t="n">
        <f aca="false">G8+G10+G24</f>
        <v>454142.4242355</v>
      </c>
      <c r="H11" s="0" t="n">
        <f aca="false">H8+H10+H24</f>
        <v>472308.12120492</v>
      </c>
      <c r="I11" s="0" t="n">
        <f aca="false">I8+I10+I24</f>
        <v>488838.905447092</v>
      </c>
      <c r="J11" s="0" t="n">
        <f aca="false">J8+J10+J24</f>
        <v>505948.26713774</v>
      </c>
      <c r="K11" s="0" t="n">
        <f aca="false">K8+K10+K24</f>
        <v>523656.456487561</v>
      </c>
      <c r="L11" s="0" t="n">
        <f aca="false">L8+L10+L24</f>
        <v>541984.432464626</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368550</v>
      </c>
      <c r="D13" s="0" t="n">
        <f aca="false">D11+D12</f>
        <v>391277.25</v>
      </c>
      <c r="E13" s="0" t="n">
        <f aca="false">E11+E12</f>
        <v>413377.965</v>
      </c>
      <c r="F13" s="0" t="n">
        <f aca="false">F11+F12</f>
        <v>431979.973425</v>
      </c>
      <c r="G13" s="0" t="n">
        <f aca="false">G11+G12</f>
        <v>454142.4242355</v>
      </c>
      <c r="H13" s="0" t="n">
        <f aca="false">H11+H12</f>
        <v>472308.12120492</v>
      </c>
      <c r="I13" s="0" t="n">
        <f aca="false">I11+I12</f>
        <v>488838.905447092</v>
      </c>
      <c r="J13" s="0" t="n">
        <f aca="false">J11+J12</f>
        <v>505948.26713774</v>
      </c>
      <c r="K13" s="0" t="n">
        <f aca="false">K11+K12</f>
        <v>523656.456487561</v>
      </c>
      <c r="L13" s="0" t="n">
        <f aca="false">L11+L12</f>
        <v>541984.432464626</v>
      </c>
    </row>
    <row r="14" customFormat="false" ht="15" hidden="false" customHeight="false" outlineLevel="0" collapsed="false">
      <c r="A14" s="0" t="s">
        <v>113</v>
      </c>
      <c r="C14" s="4" t="n">
        <f aca="false">Assumptions!C47</f>
        <v>20</v>
      </c>
      <c r="D14" s="4" t="n">
        <f aca="false">Assumptions!D47</f>
        <v>20</v>
      </c>
      <c r="E14" s="4" t="n">
        <f aca="false">Assumptions!E47</f>
        <v>20</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128</v>
      </c>
      <c r="C15" s="0" t="n">
        <f aca="false">C13-MAX(0,C13)*C14/100</f>
        <v>294840</v>
      </c>
      <c r="D15" s="0" t="n">
        <f aca="false">D13-MAX(0,D13)*D14/100</f>
        <v>313021.8</v>
      </c>
      <c r="E15" s="0" t="n">
        <f aca="false">E13-MAX(0,E13)*E14/100</f>
        <v>330702.372</v>
      </c>
      <c r="F15" s="0" t="n">
        <f aca="false">F13-MAX(0,F13)*F14/100</f>
        <v>345583.97874</v>
      </c>
      <c r="G15" s="0" t="n">
        <f aca="false">G13-MAX(0,G13)*G14/100</f>
        <v>363313.9393884</v>
      </c>
      <c r="H15" s="0" t="n">
        <f aca="false">H13-MAX(0,H13)*H14/100</f>
        <v>377846.496963936</v>
      </c>
      <c r="I15" s="0" t="n">
        <f aca="false">I13-MAX(0,I13)*I14/100</f>
        <v>391071.124357674</v>
      </c>
      <c r="J15" s="0" t="n">
        <f aca="false">J13-MAX(0,J13)*J14/100</f>
        <v>404758.613710192</v>
      </c>
      <c r="K15" s="0" t="n">
        <f aca="false">K13-MAX(0,K13)*K14/100</f>
        <v>418925.165190049</v>
      </c>
      <c r="L15" s="0" t="n">
        <f aca="false">L13-MAX(0,L13)*L14/100</f>
        <v>433587.545971701</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-189516.6</v>
      </c>
      <c r="D17" s="4" t="n">
        <f aca="false">-D6*Assumptions!D46/100</f>
        <v>-186351.165</v>
      </c>
      <c r="E17" s="4" t="n">
        <f aca="false">-E6*Assumptions!E46/100</f>
        <v>-181077.521625</v>
      </c>
      <c r="F17" s="4" t="n">
        <f aca="false">-F6*Assumptions!F46/100</f>
        <v>-173637.167578875</v>
      </c>
      <c r="G17" s="4" t="n">
        <f aca="false">-G6*Assumptions!G46/100</f>
        <v>-164077.2629496</v>
      </c>
      <c r="H17" s="4" t="n">
        <f aca="false">-H6*Assumptions!H46/100</f>
        <v>-152459.030092169</v>
      </c>
      <c r="I17" s="4" t="n">
        <f aca="false">-I6*Assumptions!I46/100</f>
        <v>-138662.046512842</v>
      </c>
      <c r="J17" s="4" t="n">
        <f aca="false">-J6*Assumptions!J46/100</f>
        <v>-143515.218140791</v>
      </c>
      <c r="K17" s="4" t="n">
        <f aca="false">-K6*Assumptions!K46/100</f>
        <v>-127366.763932781</v>
      </c>
      <c r="L17" s="4" t="n">
        <f aca="false">-L6*Assumptions!L46/100</f>
        <v>-131125.265918861</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105323.4</v>
      </c>
      <c r="D19" s="0" t="n">
        <f aca="false">D15+D16+D17+D18</f>
        <v>126670.635</v>
      </c>
      <c r="E19" s="0" t="n">
        <f aca="false">E15+E16+E17+E18</f>
        <v>149624.850375</v>
      </c>
      <c r="F19" s="0" t="n">
        <f aca="false">F15+F16+F17+F18</f>
        <v>171946.811161125</v>
      </c>
      <c r="G19" s="0" t="n">
        <f aca="false">G15+G16+G17+G18</f>
        <v>199236.6764388</v>
      </c>
      <c r="H19" s="0" t="n">
        <f aca="false">H15+H16+H17+H18</f>
        <v>225387.466871767</v>
      </c>
      <c r="I19" s="0" t="n">
        <f aca="false">I15+I16+I17+I18</f>
        <v>252409.077844832</v>
      </c>
      <c r="J19" s="0" t="n">
        <f aca="false">J15+J16+J17+J18</f>
        <v>261243.395569401</v>
      </c>
      <c r="K19" s="0" t="n">
        <f aca="false">K15+K16+K17+K18</f>
        <v>291558.401257268</v>
      </c>
      <c r="L19" s="0" t="n">
        <f aca="false">L15+L16+L17+L18</f>
        <v>302462.28005284</v>
      </c>
    </row>
    <row r="20" customFormat="false" ht="15" hidden="false" customHeight="false" outlineLevel="0" collapsed="false">
      <c r="A20" s="0" t="s">
        <v>133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134</v>
      </c>
      <c r="C21" s="0" t="n">
        <f aca="false">C19*C20</f>
        <v>96185.7534246575</v>
      </c>
      <c r="D21" s="0" t="n">
        <f aca="false">D19*D20</f>
        <v>105644.698817789</v>
      </c>
      <c r="E21" s="0" t="n">
        <f aca="false">E19*E20</f>
        <v>113962.343547968</v>
      </c>
      <c r="F21" s="0" t="n">
        <f aca="false">F19*F20</f>
        <v>119601.781690164</v>
      </c>
      <c r="G21" s="0" t="n">
        <f aca="false">G19*G20</f>
        <v>126560.648812737</v>
      </c>
      <c r="H21" s="0" t="n">
        <f aca="false">H19*H20</f>
        <v>130751.008552279</v>
      </c>
      <c r="I21" s="0" t="n">
        <f aca="false">I19*I20</f>
        <v>133723.007623127</v>
      </c>
      <c r="J21" s="0" t="n">
        <f aca="false">J19*J20</f>
        <v>126395.719534189</v>
      </c>
      <c r="K21" s="0" t="n">
        <f aca="false">K19*K20</f>
        <v>128824.506531565</v>
      </c>
      <c r="L21" s="0" t="n">
        <f aca="false">L19*L20</f>
        <v>122047.82095488</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9.5</v>
      </c>
    </row>
    <row r="28" customFormat="false" ht="15" hidden="false" customHeight="false" outlineLevel="0" collapsed="false">
      <c r="A28" s="0" t="s">
        <v>115</v>
      </c>
      <c r="B28" s="4" t="n">
        <f aca="false">Assumptions!$B$49</f>
        <v>3.5</v>
      </c>
    </row>
    <row r="29" customFormat="false" ht="15" hidden="false" customHeight="false" outlineLevel="0" collapsed="false">
      <c r="A29" s="0" t="s">
        <v>116</v>
      </c>
      <c r="B29" s="4" t="n">
        <f aca="false">Assumptions!$B$50</f>
        <v>18</v>
      </c>
    </row>
    <row r="30" customFormat="false" ht="15" hidden="false" customHeight="false" outlineLevel="0" collapsed="false">
      <c r="A30" s="0" t="s">
        <v>137</v>
      </c>
      <c r="B30" s="0" t="n">
        <f aca="false">SUM(C21:L21)</f>
        <v>1203697.28948936</v>
      </c>
    </row>
    <row r="31" customFormat="false" ht="15" hidden="false" customHeight="false" outlineLevel="0" collapsed="false">
      <c r="A31" s="0" t="s">
        <v>138</v>
      </c>
      <c r="B31" s="0" t="n">
        <f aca="false">L19</f>
        <v>302462.28005284</v>
      </c>
    </row>
    <row r="32" customFormat="false" ht="15" hidden="false" customHeight="false" outlineLevel="0" collapsed="false">
      <c r="A32" s="0" t="s">
        <v>139</v>
      </c>
      <c r="B32" s="0" t="n">
        <f aca="false">IF(B27&gt;B28,B31*(1+B28/100)/((B27-B28)/100),B31*B29)</f>
        <v>5217474.33091148</v>
      </c>
    </row>
    <row r="33" customFormat="false" ht="15" hidden="false" customHeight="false" outlineLevel="0" collapsed="false">
      <c r="A33" s="0" t="s">
        <v>140</v>
      </c>
      <c r="B33" s="0" t="n">
        <f aca="false">B31*B29</f>
        <v>5444321.04095111</v>
      </c>
    </row>
    <row r="34" customFormat="false" ht="15" hidden="false" customHeight="false" outlineLevel="0" collapsed="false">
      <c r="A34" s="0" t="s">
        <v>141</v>
      </c>
      <c r="B34" s="0" t="n">
        <f aca="false">MAX(0,MIN(B32,B33))</f>
        <v>5217474.33091148</v>
      </c>
    </row>
    <row r="35" customFormat="false" ht="15" hidden="false" customHeight="false" outlineLevel="0" collapsed="false">
      <c r="A35" s="0" t="s">
        <v>142</v>
      </c>
      <c r="B35" s="0" t="n">
        <f aca="false">B34/(1+B27/100)^L4</f>
        <v>2105324.91147167</v>
      </c>
    </row>
    <row r="36" customFormat="false" ht="15" hidden="false" customHeight="false" outlineLevel="0" collapsed="false">
      <c r="A36" s="0" t="s">
        <v>143</v>
      </c>
      <c r="B36" s="0" t="n">
        <f aca="false">B30+B35</f>
        <v>3309022.20096103</v>
      </c>
    </row>
    <row r="37" customFormat="false" ht="15" hidden="false" customHeight="false" outlineLevel="0" collapsed="false">
      <c r="A37" s="0" t="s">
        <v>144</v>
      </c>
      <c r="B37" s="0" t="n">
        <f aca="false">B36+Assumptions!$B$5-Assumptions!$B$4</f>
        <v>3469022.20096103</v>
      </c>
    </row>
    <row r="38" customFormat="false" ht="15" hidden="false" customHeight="false" outlineLevel="0" collapsed="false">
      <c r="A38" s="0" t="s">
        <v>145</v>
      </c>
      <c r="B38" s="0" t="n">
        <f aca="false">B37/Assumptions!$B$3*Assumptions!$B$10</f>
        <v>10.9433877461138</v>
      </c>
    </row>
    <row r="39" customFormat="false" ht="15" hidden="false" customHeight="false" outlineLevel="0" collapsed="false">
      <c r="A39" s="0" t="s">
        <v>146</v>
      </c>
      <c r="B39" s="4" t="n">
        <f aca="false">B38/Assumptions!$B$2-1</f>
        <v>0.623648033548047</v>
      </c>
    </row>
    <row r="41" customFormat="false" ht="15" hidden="false" customHeight="false" outlineLevel="0" collapsed="false">
      <c r="A41" s="0" t="s">
        <v>147</v>
      </c>
      <c r="B41" s="0" t="n">
        <f aca="false">SUMPRODUCT(-C10:L10/(1+$B$27/100)^C4:L4)</f>
        <v>0</v>
      </c>
    </row>
    <row r="42" customFormat="false" ht="15" hidden="false" customHeight="false" outlineLevel="0" collapsed="false">
      <c r="A42" s="0" t="s">
        <v>148</v>
      </c>
      <c r="B42" s="0" t="n">
        <f aca="false">IF(B27&gt;B28,-L10*(1+B28/100)/((B27-B28)/100),-L10*20)/(1+B27/100)^L4</f>
        <v>0</v>
      </c>
    </row>
    <row r="43" customFormat="false" ht="15" hidden="false" customHeight="false" outlineLevel="0" collapsed="false">
      <c r="A43" s="0" t="s">
        <v>149</v>
      </c>
      <c r="B43" s="0" t="n">
        <f aca="false">(B37+B41+B42)/Assumptions!$B$3*Assumptions!$B$10</f>
        <v>10.9433877461138</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2722160.52047556</v>
      </c>
    </row>
    <row r="47" customFormat="false" ht="15" hidden="false" customHeight="false" outlineLevel="0" collapsed="false">
      <c r="A47" s="0" t="s">
        <v>151</v>
      </c>
      <c r="B47" s="0" t="n">
        <f aca="false">(SUMPRODUCT(C19:L19/(1+B45/100)^C4:L4)+B46/(1+B45/100)^L4+Assumptions!$B$5-Assumptions!$B$4)/Assumptions!$B$3*Assumptions!$B$10</f>
        <v>5.52486497107505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3.80738252352641</v>
      </c>
      <c r="C4" s="0" t="n">
        <f aca="false">B4/Assumptions!$B$2-1</f>
        <v>-0.43510645051537</v>
      </c>
      <c r="D4" s="4" t="n">
        <f aca="false">Assumptions!$B$24</f>
        <v>0.3</v>
      </c>
      <c r="E4" s="4" t="n">
        <f aca="false">DCF_Bear!$B$43</f>
        <v>3.80738252352641</v>
      </c>
      <c r="F4" s="4" t="n">
        <f aca="false">DCF_Bear!$B$47</f>
        <v>1.97462457972866</v>
      </c>
    </row>
    <row r="5" customFormat="false" ht="15" hidden="false" customHeight="false" outlineLevel="0" collapsed="false">
      <c r="A5" s="0" t="s">
        <v>160</v>
      </c>
      <c r="B5" s="4" t="n">
        <f aca="false">DCF_Base!$B$38</f>
        <v>7.3193448471604</v>
      </c>
      <c r="C5" s="0" t="n">
        <f aca="false">B5/Assumptions!$B$2-1</f>
        <v>0.0859562087775077</v>
      </c>
      <c r="D5" s="4" t="n">
        <f aca="false">Assumptions!$B$38</f>
        <v>0.5</v>
      </c>
      <c r="E5" s="4" t="n">
        <f aca="false">DCF_Base!$B$43</f>
        <v>7.3193448471604</v>
      </c>
      <c r="F5" s="4" t="n">
        <f aca="false">DCF_Base!$B$47</f>
        <v>3.7175058490906</v>
      </c>
    </row>
    <row r="6" customFormat="false" ht="15" hidden="false" customHeight="false" outlineLevel="0" collapsed="false">
      <c r="A6" s="0" t="s">
        <v>161</v>
      </c>
      <c r="B6" s="4" t="n">
        <f aca="false">DCF_Bull!$B$38</f>
        <v>10.9433877461138</v>
      </c>
      <c r="C6" s="0" t="n">
        <f aca="false">B6/Assumptions!$B$2-1</f>
        <v>0.623648033548047</v>
      </c>
      <c r="D6" s="4" t="n">
        <f aca="false">Assumptions!$B$52</f>
        <v>0.2</v>
      </c>
      <c r="E6" s="4" t="n">
        <f aca="false">DCF_Bull!$B$43</f>
        <v>10.9433877461138</v>
      </c>
      <c r="F6" s="4" t="n">
        <f aca="false">DCF_Bull!$B$47</f>
        <v>5.52486497107505</v>
      </c>
    </row>
    <row r="8" customFormat="false" ht="15" hidden="false" customHeight="false" outlineLevel="0" collapsed="false">
      <c r="A8" s="0" t="s">
        <v>162</v>
      </c>
      <c r="B8" s="0" t="n">
        <f aca="false">SUMPRODUCT(B4:B6,D4:D6)</f>
        <v>6.99056472986089</v>
      </c>
    </row>
    <row r="9" customFormat="false" ht="15" hidden="false" customHeight="false" outlineLevel="0" collapsed="false">
      <c r="A9" s="0" t="s">
        <v>163</v>
      </c>
      <c r="B9" s="0" t="n">
        <f aca="false">SUMPRODUCT(E4:E6,D4:D6)</f>
        <v>6.99056472986089</v>
      </c>
    </row>
    <row r="10" customFormat="false" ht="15" hidden="false" customHeight="false" outlineLevel="0" collapsed="false">
      <c r="A10" s="0" t="s">
        <v>164</v>
      </c>
      <c r="B10" s="0" t="n">
        <f aca="false">1-Assumptions!$B$2/B8</f>
        <v>0.0358432744053678</v>
      </c>
    </row>
    <row r="11" customFormat="false" ht="15" hidden="false" customHeight="false" outlineLevel="0" collapsed="false">
      <c r="A11" s="0" t="s">
        <v>165</v>
      </c>
      <c r="B11" s="0" t="str">
        <f aca="false">IF(ABS(B9-B8)&gt;0.01*ABS(B8),(Assumptions!$B$2-B8)/(B9-B8)*100,"n/a")</f>
        <v>n/a</v>
      </c>
    </row>
    <row r="12" customFormat="false" ht="15" hidden="false" customHeight="false" outlineLevel="0" collapsed="false">
      <c r="A12" s="0" t="s">
        <v>166</v>
      </c>
      <c r="B12" s="0" t="n">
        <f aca="false">SUMPRODUCT(F4:F6,D4:D6)</f>
        <v>3.55611329267891</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7.99295561769869</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7.3193448471604</v>
      </c>
      <c r="C16" s="3" t="n">
        <v>9.5</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6.74501244032392</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5.81929627537795</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5.10768105336666</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3.7175058490906</v>
      </c>
      <c r="C20" s="3" t="n">
        <v>15</v>
      </c>
    </row>
    <row r="22" customFormat="false" ht="15" hidden="false" customHeight="false" outlineLevel="0" collapsed="false">
      <c r="A22" s="2" t="s">
        <v>175</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9.25299961120472</v>
      </c>
      <c r="C24" s="0" t="n">
        <f aca="false">(SUMPRODUCT(DCF_Base!$C$19:$L$19/(1+$A$24/100)^DCF_Base!$C$4:$L$4)+MAX(0,MIN(IF($A$24&gt;$C$23,DCF_Base!$L$19*(1+$C$23/100)/(($A$24-$C$23)/100),DCF_Base!$L$19*DCF_Base!$B$29),DCF_Base!$L$19*DCF_Base!$B$29))/(1+$A$24/100)^DCF_Base!$L$4+Assumptions!$B$5-Assumptions!$B$4)/Assumptions!$B$3*Assumptions!$B$10</f>
        <v>9.25299961120472</v>
      </c>
      <c r="D24" s="0" t="n">
        <f aca="false">(SUMPRODUCT(DCF_Base!$C$19:$L$19/(1+$A$24/100)^DCF_Base!$C$4:$L$4)+MAX(0,MIN(IF($A$24&gt;$D$23,DCF_Base!$L$19*(1+$D$23/100)/(($A$24-$D$23)/100),DCF_Base!$L$19*DCF_Base!$B$29),DCF_Base!$L$19*DCF_Base!$B$29))/(1+$A$24/100)^DCF_Base!$L$4+Assumptions!$B$5-Assumptions!$B$4)/Assumptions!$B$3*Assumptions!$B$10</f>
        <v>9.25299961120472</v>
      </c>
      <c r="E24" s="0" t="n">
        <f aca="false">(SUMPRODUCT(DCF_Base!$C$19:$L$19/(1+$A$24/100)^DCF_Base!$C$4:$L$4)+MAX(0,MIN(IF($A$24&gt;$E$23,DCF_Base!$L$19*(1+$E$23/100)/(($A$24-$E$23)/100),DCF_Base!$L$19*DCF_Base!$B$29),DCF_Base!$L$19*DCF_Base!$B$29))/(1+$A$24/100)^DCF_Base!$L$4+Assumptions!$B$5-Assumptions!$B$4)/Assumptions!$B$3*Assumptions!$B$10</f>
        <v>9.25299961120472</v>
      </c>
      <c r="F24" s="0" t="n">
        <f aca="false">(SUMPRODUCT(DCF_Base!$C$19:$L$19/(1+$A$24/100)^DCF_Base!$C$4:$L$4)+MAX(0,MIN(IF($A$24&gt;$F$23,DCF_Base!$L$19*(1+$F$23/100)/(($A$24-$F$23)/100),DCF_Base!$L$19*DCF_Base!$B$29),DCF_Base!$L$19*DCF_Base!$B$29))/(1+$A$24/100)^DCF_Base!$L$4+Assumptions!$B$5-Assumptions!$B$4)/Assumptions!$B$3*Assumptions!$B$10</f>
        <v>9.25299961120472</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7.83704345748088</v>
      </c>
      <c r="C25" s="0" t="n">
        <f aca="false">(SUMPRODUCT(DCF_Base!$C$19:$L$19/(1+$A$25/100)^DCF_Base!$C$4:$L$4)+MAX(0,MIN(IF($A$25&gt;$C$23,DCF_Base!$L$19*(1+$C$23/100)/(($A$25-$C$23)/100),DCF_Base!$L$19*DCF_Base!$B$29),DCF_Base!$L$19*DCF_Base!$B$29))/(1+$A$25/100)^DCF_Base!$L$4+Assumptions!$B$5-Assumptions!$B$4)/Assumptions!$B$3*Assumptions!$B$10</f>
        <v>8.275229489528</v>
      </c>
      <c r="D25" s="0" t="n">
        <f aca="false">(SUMPRODUCT(DCF_Base!$C$19:$L$19/(1+$A$25/100)^DCF_Base!$C$4:$L$4)+MAX(0,MIN(IF($A$25&gt;$D$23,DCF_Base!$L$19*(1+$D$23/100)/(($A$25-$D$23)/100),DCF_Base!$L$19*DCF_Base!$B$29),DCF_Base!$L$19*DCF_Base!$B$29))/(1+$A$25/100)^DCF_Base!$L$4+Assumptions!$B$5-Assumptions!$B$4)/Assumptions!$B$3*Assumptions!$B$10</f>
        <v>8.56398802677565</v>
      </c>
      <c r="E25" s="0" t="n">
        <f aca="false">(SUMPRODUCT(DCF_Base!$C$19:$L$19/(1+$A$25/100)^DCF_Base!$C$4:$L$4)+MAX(0,MIN(IF($A$25&gt;$E$23,DCF_Base!$L$19*(1+$E$23/100)/(($A$25-$E$23)/100),DCF_Base!$L$19*DCF_Base!$B$29),DCF_Base!$L$19*DCF_Base!$B$29))/(1+$A$25/100)^DCF_Base!$L$4+Assumptions!$B$5-Assumptions!$B$4)/Assumptions!$B$3*Assumptions!$B$10</f>
        <v>8.56398802677565</v>
      </c>
      <c r="F25" s="0" t="n">
        <f aca="false">(SUMPRODUCT(DCF_Base!$C$19:$L$19/(1+$A$25/100)^DCF_Base!$C$4:$L$4)+MAX(0,MIN(IF($A$25&gt;$F$23,DCF_Base!$L$19*(1+$F$23/100)/(($A$25-$F$23)/100),DCF_Base!$L$19*DCF_Base!$B$29),DCF_Base!$L$19*DCF_Base!$B$29))/(1+$A$25/100)^DCF_Base!$L$4+Assumptions!$B$5-Assumptions!$B$4)/Assumptions!$B$3*Assumptions!$B$10</f>
        <v>8.56398802677565</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6.67381090369634</v>
      </c>
      <c r="C26" s="0" t="n">
        <f aca="false">(SUMPRODUCT(DCF_Base!$C$19:$L$19/(1+$A$26/100)^DCF_Base!$C$4:$L$4)+MAX(0,MIN(IF($A$26&gt;$C$23,DCF_Base!$L$19*(1+$C$23/100)/(($A$26-$C$23)/100),DCF_Base!$L$19*DCF_Base!$B$29),DCF_Base!$L$19*DCF_Base!$B$29))/(1+$A$26/100)^DCF_Base!$L$4+Assumptions!$B$5-Assumptions!$B$4)/Assumptions!$B$3*Assumptions!$B$10</f>
        <v>6.97352309173323</v>
      </c>
      <c r="D26" s="0" t="n">
        <f aca="false">(SUMPRODUCT(DCF_Base!$C$19:$L$19/(1+$A$26/100)^DCF_Base!$C$4:$L$4)+MAX(0,MIN(IF($A$26&gt;$D$23,DCF_Base!$L$19*(1+$D$23/100)/(($A$26-$D$23)/100),DCF_Base!$L$19*DCF_Base!$B$29),DCF_Base!$L$19*DCF_Base!$B$29))/(1+$A$26/100)^DCF_Base!$L$4+Assumptions!$B$5-Assumptions!$B$4)/Assumptions!$B$3*Assumptions!$B$10</f>
        <v>7.3193448471604</v>
      </c>
      <c r="E26" s="0" t="n">
        <f aca="false">(SUMPRODUCT(DCF_Base!$C$19:$L$19/(1+$A$26/100)^DCF_Base!$C$4:$L$4)+MAX(0,MIN(IF($A$26&gt;$E$23,DCF_Base!$L$19*(1+$E$23/100)/(($A$26-$E$23)/100),DCF_Base!$L$19*DCF_Base!$B$29),DCF_Base!$L$19*DCF_Base!$B$29))/(1+$A$26/100)^DCF_Base!$L$4+Assumptions!$B$5-Assumptions!$B$4)/Assumptions!$B$3*Assumptions!$B$10</f>
        <v>7.72280356182544</v>
      </c>
      <c r="F26" s="0" t="n">
        <f aca="false">(SUMPRODUCT(DCF_Base!$C$19:$L$19/(1+$A$26/100)^DCF_Base!$C$4:$L$4)+MAX(0,MIN(IF($A$26&gt;$F$23,DCF_Base!$L$19*(1+$F$23/100)/(($A$26-$F$23)/100),DCF_Base!$L$19*DCF_Base!$B$29),DCF_Base!$L$19*DCF_Base!$B$29))/(1+$A$26/100)^DCF_Base!$L$4+Assumptions!$B$5-Assumptions!$B$4)/Assumptions!$B$3*Assumptions!$B$10</f>
        <v>7.93834999842731</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5.79512489277678</v>
      </c>
      <c r="C27" s="0" t="n">
        <f aca="false">(SUMPRODUCT(DCF_Base!$C$19:$L$19/(1+$A$27/100)^DCF_Base!$C$4:$L$4)+MAX(0,MIN(IF($A$27&gt;$C$23,DCF_Base!$L$19*(1+$C$23/100)/(($A$27-$C$23)/100),DCF_Base!$L$19*DCF_Base!$B$29),DCF_Base!$L$19*DCF_Base!$B$29))/(1+$A$27/100)^DCF_Base!$L$4+Assumptions!$B$5-Assumptions!$B$4)/Assumptions!$B$3*Assumptions!$B$10</f>
        <v>6.00834166540535</v>
      </c>
      <c r="D27" s="0" t="n">
        <f aca="false">(SUMPRODUCT(DCF_Base!$C$19:$L$19/(1+$A$27/100)^DCF_Base!$C$4:$L$4)+MAX(0,MIN(IF($A$27&gt;$D$23,DCF_Base!$L$19*(1+$D$23/100)/(($A$27-$D$23)/100),DCF_Base!$L$19*DCF_Base!$B$29),DCF_Base!$L$19*DCF_Base!$B$29))/(1+$A$27/100)^DCF_Base!$L$4+Assumptions!$B$5-Assumptions!$B$4)/Assumptions!$B$3*Assumptions!$B$10</f>
        <v>6.24998734105106</v>
      </c>
      <c r="E27" s="0" t="n">
        <f aca="false">(SUMPRODUCT(DCF_Base!$C$19:$L$19/(1+$A$27/100)^DCF_Base!$C$4:$L$4)+MAX(0,MIN(IF($A$27&gt;$E$23,DCF_Base!$L$19*(1+$E$23/100)/(($A$27-$E$23)/100),DCF_Base!$L$19*DCF_Base!$B$29),DCF_Base!$L$19*DCF_Base!$B$29))/(1+$A$27/100)^DCF_Base!$L$4+Assumptions!$B$5-Assumptions!$B$4)/Assumptions!$B$3*Assumptions!$B$10</f>
        <v>6.52615382750329</v>
      </c>
      <c r="F27" s="0" t="n">
        <f aca="false">(SUMPRODUCT(DCF_Base!$C$19:$L$19/(1+$A$27/100)^DCF_Base!$C$4:$L$4)+MAX(0,MIN(IF($A$27&gt;$F$23,DCF_Base!$L$19*(1+$F$23/100)/(($A$27-$F$23)/100),DCF_Base!$L$19*DCF_Base!$B$29),DCF_Base!$L$19*DCF_Base!$B$29))/(1+$A$27/100)^DCF_Base!$L$4+Assumptions!$B$5-Assumptions!$B$4)/Assumptions!$B$3*Assumptions!$B$10</f>
        <v>6.84480746571742</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5.11035906598306</v>
      </c>
      <c r="C28" s="0" t="n">
        <f aca="false">(SUMPRODUCT(DCF_Base!$C$19:$L$19/(1+$A$28/100)^DCF_Base!$C$4:$L$4)+MAX(0,MIN(IF($A$28&gt;$C$23,DCF_Base!$L$19*(1+$C$23/100)/(($A$28-$C$23)/100),DCF_Base!$L$19*DCF_Base!$B$29),DCF_Base!$L$19*DCF_Base!$B$29))/(1+$A$28/100)^DCF_Base!$L$4+Assumptions!$B$5-Assumptions!$B$4)/Assumptions!$B$3*Assumptions!$B$10</f>
        <v>5.26672813807992</v>
      </c>
      <c r="D28" s="0" t="n">
        <f aca="false">(SUMPRODUCT(DCF_Base!$C$19:$L$19/(1+$A$28/100)^DCF_Base!$C$4:$L$4)+MAX(0,MIN(IF($A$28&gt;$D$23,DCF_Base!$L$19*(1+$D$23/100)/(($A$28-$D$23)/100),DCF_Base!$L$19*DCF_Base!$B$29),DCF_Base!$L$19*DCF_Base!$B$29))/(1+$A$28/100)^DCF_Base!$L$4+Assumptions!$B$5-Assumptions!$B$4)/Assumptions!$B$3*Assumptions!$B$10</f>
        <v>5.44149357159995</v>
      </c>
      <c r="E28" s="0" t="n">
        <f aca="false">(SUMPRODUCT(DCF_Base!$C$19:$L$19/(1+$A$28/100)^DCF_Base!$C$4:$L$4)+MAX(0,MIN(IF($A$28&gt;$E$23,DCF_Base!$L$19*(1+$E$23/100)/(($A$28-$E$23)/100),DCF_Base!$L$19*DCF_Base!$B$29),DCF_Base!$L$19*DCF_Base!$B$29))/(1+$A$28/100)^DCF_Base!$L$4+Assumptions!$B$5-Assumptions!$B$4)/Assumptions!$B$3*Assumptions!$B$10</f>
        <v>5.63810468430998</v>
      </c>
      <c r="F28" s="0" t="n">
        <f aca="false">(SUMPRODUCT(DCF_Base!$C$19:$L$19/(1+$A$28/100)^DCF_Base!$C$4:$L$4)+MAX(0,MIN(IF($A$28&gt;$F$23,DCF_Base!$L$19*(1+$F$23/100)/(($A$28-$F$23)/100),DCF_Base!$L$19*DCF_Base!$B$29),DCF_Base!$L$19*DCF_Base!$B$29))/(1+$A$28/100)^DCF_Base!$L$4+Assumptions!$B$5-Assumptions!$B$4)/Assumptions!$B$3*Assumptions!$B$10</f>
        <v>5.86093061204802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2026-10-16T08:01:26Z</dcterms:created>
  <dc:creator>openpyxl</dc:creator>
  <dc:description/>
  <dc:language>en-NZ</dc:language>
  <cp:lastModifiedBy/>
  <dcterms:modified xsi:type="dcterms:W3CDTF">2026-10-16T08:01:26Z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