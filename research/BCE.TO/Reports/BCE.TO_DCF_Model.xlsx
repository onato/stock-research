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<sst xmlns="http://schemas.openxmlformats.org/spreadsheetml/2006/main" count="366" uniqueCount="169">
  <si>
    <t xml:space="preserve">Ticker</t>
  </si>
  <si>
    <t xml:space="preserve">BCE.TO</t>
  </si>
  <si>
    <t xml:space="preserve">Company</t>
  </si>
  <si>
    <t xml:space="preserve">BCE Inc. (Bell Canada)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</si>
  <si>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</si>
  <si>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</si>
  <si>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</si>
  <si>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</si>
  <si>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</si>
  <si>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</si>
  <si>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</si>
  <si>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</si>
  <si>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</si>
  <si>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</si>
  <si>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</si>
  <si>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</si>
  <si>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</si>
  <si>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</si>
  <si>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</si>
  <si>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</si>
  <si>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</si>
  <si>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2026-10-10T07:48:46Z</t>
  </si>
  <si>
    <t xml:space="preserve">Drivers file</t>
  </si>
  <si>
    <t xml:space="preserve">BCE.TO_Drivers.json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</si>
  <si>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</si>
  <si>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</si>
  <si>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</si>
  <si>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BCE is valued as an unlevered stream of owner FCF (adjusted EBITDA less recurring severance, SBC and full lease cash cost, less tax on EBIT, less capex) discounted at a CAD WACC of 6.5% with the terminal value capped at 15x FCF (no multiple expansion), from which Q2 2026 net debt (ex-lease, hybrids at 100%), preferred shares and NCI are deducted. Reported net income is ignored as a base: FY2025 carries the MLSE gain and FY2024 an impairment. The dividend is a distribution decision and does not enter the value; what matters is whether FCF after leases, interest and preferred dividends covers deleveraging to 3.0x. The valuation is a leveraged bet on a slow-growth regulated utility-like cash flow: the scenario spread is wide because 62% of enterprise value is fixed claims.
key_risks_to_valuation: Leverage amplification: equity is ~38% of EV, so a 10% miss on terminal EBITDA or a 1x lower exit multiple is ~25-30% off the per-share value.; CRTC wholesale-access and MVNO rulings directly reduce the return on BCE's fibre and spectrum and can also lower long-run capex intensity less than assumed.; Terminal cap multiple: the 15x cap is the binding terminal assumption in every scenario; at 13x the base case loses ~$6/share, at 17x it gains ~$6.; WACC: a CAD build at target leverage is ~5.6%; the house 6.5% embeds ~0.9pp of leverage premium. At 6.0% base value rises ~$5/share, at 7.0% it falls ~$4.; Lease-liability estimate at 30 Jun 2026 (~4,200) is inferred from the Dec-2025 balance and H1 principal payments; the interim does not disclose it.; Ziply Fiber integration, US regulatory exposure and USD/CAD translation are new to BCE; the base case gives them only ~0.5pp of growth.; Bell Media's linear decline and content costs (NHL/NBA rights through 2043-44 retained at MLSE sale) could compress the group margin faster than cost savings arrive.; Pending Northwestel and LMR disposals are assumed value-neutral (EBITDA out, debt down); a shortfall versus book would be a small negative.</t>
  </si>
  <si>
    <t xml:space="preserve">Data sources</t>
  </si>
  <si>
    <t xml:space="preserve">price: Yahoo Finance chart API regularMarketPrice at inputs.price_as_of (TSX regular close); 52-week range 26.66-36.25 CAD.
financials: BCE.TO_Metrics.csv (core_metrics, millions CAD) for FY2015-FY2025 annual and Q1 FY2022-Q2 FY2026 quarterly; BCE.TO_Annual_FY2025.txt for the net debt reconciliation (line 4411), lease principal (4543), lease interest (9480), ROU depreciation (note 19, ~9936), balance sheet (8366-8380), diluted shares (9690); BCE.TO_Quarterly_Q2-2026.txt for 30 Jun 2026 debt, preferreds (1598-1610), NCI (2877) and diluted shares (3395-3397).
qualitative: BCE.TO_Analysis.json (2026-10-10): FY2026 guidance (revenue 1-5%, adjusted EBITDA 0-4%, capital intensity &lt;15%, adjusted EPS -11% to -5%, FCF +4-10%, dividend $1.75), leverage targets 3.5x by 2027 and ~3.0x by 2030, MLSE sale, Ziply Fiber acquisition, CRTC wholesale risk, Bell Media decline, $1.5bn cost program.</t>
  </si>
  <si>
    <t xml:space="preserve">Scenario narrative: bear</t>
  </si>
  <si>
    <t xml:space="preserve">CRTC wholesale pressure plus competitive intensity compress margins by 3pp, revenue stalls for three years, capital intensity stays ~15% to defend the network, leverage stays elevated past 2027 and the dividend is at risk again. Per-share value falls far below the current price because the debt and preferred stack is fixed.</t>
  </si>
  <si>
    <t xml:space="preserve">Scenario narrative: base</t>
  </si>
  <si>
    <t xml:space="preserve">Management's three-year framework executed roughly as guided, no better: revenue +3% in FY2026 (Ziply full-year, FIFA, wireless recovery) tapering to 1.5%; adjusted EBITDA margin drifts up ~0.7pp on the $1.5bn cost program while recurring severance absorbs ~0.8pp; capex intensity falls from 15.1% to 13.5% as the Canadian fibre build completes; leverage reaches 3.5x by end-2027 and ~3.0x by 2030 from FCF, Northwestel and LMR proceeds; the dividend is held at $1.75 then grows slowly within the 40-55% payout policy. Equity is ~38% of enterprise value, so every 10% change in EV moves the per-share value ~26%: the scenario spread below is leverage, not indecision.</t>
  </si>
  <si>
    <t xml:space="preserve">Scenario narrative: bull</t>
  </si>
  <si>
    <t xml:space="preserve">US fibre (Ziply + Network FiberCo) becomes a genuine second growth engine, AI enterprise solutions scale, Media digital crosses over, cost program fully lands with severance fading, capex intensity to 12.5%, leverage to 3.0x early. Needs several independent things to go right.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</si>
  <si>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</si>
  <si>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</si>
  <si>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</si>
  <si>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</si>
  <si>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</si>
  <si>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</si>
  <si>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</si>
  <si>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</si>
  <si>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</si>
  <si>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</si>
  <si>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</si>
  <si>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</si>
  <si>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</si>
  <si>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</si>
  <si>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</si>
  <si>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</si>
  <si>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</si>
  <si>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</si>
  <si>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</si>
  <si>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</si>
  <si>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</si>
  <si>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</si>
  <si>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</si>
  <si>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</si>
  <si>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</si>
  <si>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</si>
  <si>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</si>
  <si>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BroadbandConnections</t>
  </si>
  <si>
    <t xml:space="preserve">ChurnRate</t>
  </si>
  <si>
    <t xml:space="preserve">Subscribers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</si>
  <si>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</si>
  <si>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</si>
  <si>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</si>
  <si>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</si>
  <si>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</si>
  <si>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</si>
  <si>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</si>
  <si>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</si>
  <si>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</si>
  <si>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</si>
  <si>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</si>
  <si>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</si>
  <si>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</si>
  <si>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</si>
  <si>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</si>
  <si>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</si>
  <si>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</si>
  <si>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</si>
  <si>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</si>
  <si>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</si>
  <si>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</si>
  <si>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</si>
  <si>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</si>
  <si>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</si>
  <si>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</si>
  <si>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</si>
  <si>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</si>
  <si>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</si>
  <si>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</si>
  <si>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</si>
  <si>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</si>
  <si>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</si>
  <si>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</si>
  <si>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</si>
  <si>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</si>
  <si>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</si>
  <si>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</si>
  <si>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</si>
  <si>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</si>
  <si>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</si>
  <si>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</si>
  <si>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</si>
  <si>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</si>
  <si>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</si>
  <si>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</si>
  <si>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</si>
  <si>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</si>
  <si>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</si>
  <si>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BCE.TO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</si>
  <si>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</si>
  <si>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</si>
  <si>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</si>
  <si>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</si>
  <si>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</si>
  <si>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</si>
  <si>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</si>
  <si>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</si>
  <si>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</si>
  <si>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</si>
  <si>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</si>
  <si>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</si>
  <si>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</si>
  <si>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</si>
  <si>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</si>
  <si>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</si>
  <si>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</si>
  <si>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</si>
  <si>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</si>
  <si>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</si>
  <si>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</si>
  <si>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</si>
  <si>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</si>
  <si>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</si>
  <si>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</si>
  <si>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</si>
  <si>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</si>
  <si>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</si>
  <si>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</si>
  <si>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</si>
  <si>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BCE.TO owner-FCF component DCF: base case (millions, CAD)</t>
  </si>
  <si>
    <t xml:space="preserve">BCE.TO owner-FCF component DCF: bull case (millions, CAD)</t>
  </si>
  <si>
    <t xml:space="preserve">BCE.TO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</si>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</sst>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21514</v>
      </c>
      <c r="F2" s="0" t="n">
        <v>4685</v>
      </c>
      <c r="G2" s="0" t="n">
        <v>21.8</v>
      </c>
      <c r="H2" s="0" t="n">
        <v>8551</v>
      </c>
      <c r="I2" s="0" t="n">
        <v>2526</v>
      </c>
      <c r="J2" s="0" t="n">
        <v>11.7</v>
      </c>
      <c r="K2" s="0" t="n">
        <v>2.98</v>
      </c>
      <c r="L2" s="0" t="n">
        <v>6274</v>
      </c>
      <c r="M2" s="0" t="n">
        <v>3626</v>
      </c>
      <c r="N2" s="0" t="n">
        <v>2648</v>
      </c>
      <c r="O2" s="0" t="n">
        <v>17023</v>
      </c>
      <c r="P2" s="0" t="n">
        <v>47993</v>
      </c>
      <c r="Q2" s="0" t="n">
        <v>30664</v>
      </c>
      <c r="R2" s="0" t="n">
        <v>20285</v>
      </c>
      <c r="S2" s="0" t="n">
        <v>613</v>
      </c>
      <c r="T2" s="0" t="n">
        <v>847.1</v>
      </c>
      <c r="U2" s="0" t="n">
        <v>94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21719</v>
      </c>
      <c r="F3" s="0" t="n">
        <v>5145</v>
      </c>
      <c r="G3" s="0" t="n">
        <v>23.7</v>
      </c>
      <c r="H3" s="0" t="n">
        <v>8788</v>
      </c>
      <c r="I3" s="0" t="n">
        <v>2894</v>
      </c>
      <c r="J3" s="0" t="n">
        <v>13.3</v>
      </c>
      <c r="K3" s="0" t="n">
        <v>3.33</v>
      </c>
      <c r="L3" s="0" t="n">
        <v>6643</v>
      </c>
      <c r="M3" s="0" t="n">
        <v>3771</v>
      </c>
      <c r="N3" s="0" t="n">
        <v>2872</v>
      </c>
      <c r="O3" s="0" t="n">
        <v>17540</v>
      </c>
      <c r="P3" s="0" t="n">
        <v>50108</v>
      </c>
      <c r="Q3" s="0" t="n">
        <v>32254</v>
      </c>
      <c r="R3" s="0" t="n">
        <v>21459</v>
      </c>
      <c r="S3" s="0" t="n">
        <v>853</v>
      </c>
      <c r="T3" s="0" t="n">
        <v>869.1</v>
      </c>
      <c r="U3" s="0" t="n">
        <v>90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22757</v>
      </c>
      <c r="F4" s="0" t="n">
        <v>5248</v>
      </c>
      <c r="G4" s="0" t="n">
        <v>23.1</v>
      </c>
      <c r="H4" s="0" t="n">
        <v>9282</v>
      </c>
      <c r="I4" s="0" t="n">
        <v>2866</v>
      </c>
      <c r="J4" s="0" t="n">
        <v>12.6</v>
      </c>
      <c r="K4" s="0" t="n">
        <v>3.2</v>
      </c>
      <c r="L4" s="0" t="n">
        <v>7358</v>
      </c>
      <c r="M4" s="0" t="n">
        <v>4034</v>
      </c>
      <c r="N4" s="0" t="n">
        <v>3324</v>
      </c>
      <c r="O4" s="0" t="n">
        <v>20302</v>
      </c>
      <c r="P4" s="0" t="n">
        <v>55802</v>
      </c>
      <c r="Q4" s="0" t="n">
        <v>35177</v>
      </c>
      <c r="R4" s="0" t="n">
        <v>23393</v>
      </c>
      <c r="S4" s="0" t="n">
        <v>625</v>
      </c>
      <c r="T4" s="0" t="n">
        <v>894.3</v>
      </c>
      <c r="U4" s="0" t="n">
        <v>81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69</v>
      </c>
      <c r="B5" s="0" t="n">
        <v>23468</v>
      </c>
      <c r="F5" s="0" t="n">
        <v>5385</v>
      </c>
      <c r="G5" s="0" t="n">
        <v>22.9</v>
      </c>
      <c r="H5" s="0" t="n">
        <v>9535</v>
      </c>
      <c r="I5" s="0" t="n">
        <v>2785</v>
      </c>
      <c r="J5" s="0" t="n">
        <v>11.9</v>
      </c>
      <c r="K5" s="0" t="n">
        <v>3.1</v>
      </c>
      <c r="L5" s="0" t="n">
        <v>7384</v>
      </c>
      <c r="M5" s="0" t="n">
        <v>3971</v>
      </c>
      <c r="N5" s="0" t="n">
        <v>3413</v>
      </c>
      <c r="O5" s="0" t="n">
        <v>20363</v>
      </c>
      <c r="P5" s="0" t="n">
        <v>57100</v>
      </c>
      <c r="Q5" s="0" t="n">
        <v>36411</v>
      </c>
      <c r="R5" s="0" t="n">
        <v>24405</v>
      </c>
      <c r="S5" s="0" t="n">
        <v>425</v>
      </c>
      <c r="T5" s="0" t="n">
        <v>898.6</v>
      </c>
      <c r="U5" s="0" t="n">
        <v>89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23793</v>
      </c>
      <c r="F6" s="0" t="n">
        <v>5548</v>
      </c>
      <c r="G6" s="0" t="n">
        <v>23.3</v>
      </c>
      <c r="H6" s="0" t="n">
        <v>10006</v>
      </c>
      <c r="I6" s="0" t="n">
        <v>3040</v>
      </c>
      <c r="J6" s="0" t="n">
        <v>12.8</v>
      </c>
      <c r="K6" s="0" t="n">
        <v>3.37</v>
      </c>
      <c r="L6" s="0" t="n">
        <v>7958</v>
      </c>
      <c r="M6" s="0" t="n">
        <v>3974</v>
      </c>
      <c r="N6" s="0" t="n">
        <v>3984</v>
      </c>
      <c r="O6" s="0" t="n">
        <v>21074</v>
      </c>
      <c r="P6" s="0" t="n">
        <v>60146</v>
      </c>
      <c r="Q6" s="0" t="n">
        <v>38738</v>
      </c>
      <c r="R6" s="0" t="n">
        <v>26296</v>
      </c>
      <c r="S6" s="0" t="n">
        <v>145</v>
      </c>
      <c r="T6" s="0" t="n">
        <v>900.8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22883</v>
      </c>
      <c r="F7" s="0" t="n">
        <v>5087</v>
      </c>
      <c r="G7" s="0" t="n">
        <v>22.2</v>
      </c>
      <c r="H7" s="0" t="n">
        <v>9607</v>
      </c>
      <c r="I7" s="0" t="n">
        <v>2498</v>
      </c>
      <c r="J7" s="0" t="n">
        <v>10.9</v>
      </c>
      <c r="K7" s="0" t="n">
        <v>2.76</v>
      </c>
      <c r="L7" s="0" t="n">
        <v>7754</v>
      </c>
      <c r="M7" s="0" t="n">
        <v>4202</v>
      </c>
      <c r="N7" s="0" t="n">
        <v>3552</v>
      </c>
      <c r="O7" s="0" t="n">
        <v>20989</v>
      </c>
      <c r="P7" s="0" t="n">
        <v>60665</v>
      </c>
      <c r="Q7" s="0" t="n">
        <v>39336</v>
      </c>
      <c r="R7" s="0" t="n">
        <v>26323</v>
      </c>
      <c r="S7" s="0" t="n">
        <v>224</v>
      </c>
      <c r="T7" s="0" t="n">
        <v>904.3</v>
      </c>
      <c r="U7" s="0" t="n">
        <v>91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23449</v>
      </c>
      <c r="F8" s="0" t="n">
        <v>5075</v>
      </c>
      <c r="G8" s="0" t="n">
        <v>21.6</v>
      </c>
      <c r="H8" s="0" t="n">
        <v>9893</v>
      </c>
      <c r="I8" s="0" t="n">
        <v>2709</v>
      </c>
      <c r="J8" s="0" t="n">
        <v>11.6</v>
      </c>
      <c r="K8" s="0" t="n">
        <v>2.99</v>
      </c>
      <c r="L8" s="0" t="n">
        <v>8008</v>
      </c>
      <c r="M8" s="0" t="n">
        <v>4837</v>
      </c>
      <c r="N8" s="0" t="n">
        <v>3171</v>
      </c>
      <c r="O8" s="0" t="n">
        <v>22635</v>
      </c>
      <c r="P8" s="0" t="n">
        <v>66764</v>
      </c>
      <c r="Q8" s="0" t="n">
        <v>43823</v>
      </c>
      <c r="R8" s="0" t="n">
        <v>29673</v>
      </c>
      <c r="S8" s="0" t="n">
        <v>207</v>
      </c>
      <c r="T8" s="0" t="n">
        <v>906.3</v>
      </c>
      <c r="U8" s="0" t="n">
        <v>95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73</v>
      </c>
      <c r="B9" s="0" t="n">
        <v>24174</v>
      </c>
      <c r="F9" s="0" t="n">
        <v>5382</v>
      </c>
      <c r="G9" s="0" t="n">
        <v>22.3</v>
      </c>
      <c r="H9" s="0" t="n">
        <v>10199</v>
      </c>
      <c r="I9" s="0" t="n">
        <v>2716</v>
      </c>
      <c r="J9" s="0" t="n">
        <v>11.2</v>
      </c>
      <c r="K9" s="0" t="n">
        <v>2.98</v>
      </c>
      <c r="L9" s="0" t="n">
        <v>8365</v>
      </c>
      <c r="M9" s="0" t="n">
        <v>5133</v>
      </c>
      <c r="N9" s="0" t="n">
        <v>3232</v>
      </c>
      <c r="O9" s="0" t="n">
        <v>22178</v>
      </c>
      <c r="P9" s="0" t="n">
        <v>69329</v>
      </c>
      <c r="Q9" s="0" t="n">
        <v>46814</v>
      </c>
      <c r="R9" s="0" t="n">
        <v>31920</v>
      </c>
      <c r="S9" s="0" t="n">
        <v>149</v>
      </c>
      <c r="T9" s="0" t="n">
        <v>911.5</v>
      </c>
      <c r="U9" s="0" t="n">
        <v>101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74</v>
      </c>
      <c r="B10" s="0" t="n">
        <v>24673</v>
      </c>
      <c r="F10" s="0" t="n">
        <v>5299</v>
      </c>
      <c r="G10" s="0" t="n">
        <v>21.5</v>
      </c>
      <c r="H10" s="0" t="n">
        <v>10417</v>
      </c>
      <c r="I10" s="0" t="n">
        <v>2076</v>
      </c>
      <c r="J10" s="0" t="n">
        <v>8.4</v>
      </c>
      <c r="K10" s="0" t="n">
        <v>2.28</v>
      </c>
      <c r="L10" s="0" t="n">
        <v>7946</v>
      </c>
      <c r="M10" s="0" t="n">
        <v>4581</v>
      </c>
      <c r="N10" s="0" t="n">
        <v>3365</v>
      </c>
      <c r="O10" s="0" t="n">
        <v>20229</v>
      </c>
      <c r="P10" s="0" t="n">
        <v>71940</v>
      </c>
      <c r="Q10" s="0" t="n">
        <v>51383</v>
      </c>
      <c r="R10" s="0" t="n">
        <v>36177</v>
      </c>
      <c r="S10" s="0" t="n">
        <v>1772</v>
      </c>
      <c r="T10" s="0" t="n">
        <v>912.2</v>
      </c>
      <c r="U10" s="0" t="n">
        <v>95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75</v>
      </c>
      <c r="B11" s="0" t="n">
        <v>24409</v>
      </c>
      <c r="F11" s="0" t="n">
        <v>5094</v>
      </c>
      <c r="G11" s="0" t="n">
        <v>20.9</v>
      </c>
      <c r="H11" s="0" t="n">
        <v>10589</v>
      </c>
      <c r="I11" s="0" t="n">
        <v>163</v>
      </c>
      <c r="J11" s="0" t="n">
        <v>0.7</v>
      </c>
      <c r="K11" s="0" t="n">
        <v>0.18</v>
      </c>
      <c r="L11" s="0" t="n">
        <v>6988</v>
      </c>
      <c r="M11" s="0" t="n">
        <v>3897</v>
      </c>
      <c r="N11" s="0" t="n">
        <v>3091</v>
      </c>
      <c r="O11" s="0" t="n">
        <v>17071</v>
      </c>
      <c r="P11" s="0" t="n">
        <v>73485</v>
      </c>
      <c r="Q11" s="0" t="n">
        <v>56125</v>
      </c>
      <c r="R11" s="0" t="n">
        <v>40504</v>
      </c>
      <c r="S11" s="0" t="n">
        <v>1972</v>
      </c>
      <c r="T11" s="0" t="n">
        <v>912.3</v>
      </c>
      <c r="U11" s="0" t="n">
        <v>84</v>
      </c>
      <c r="AA11" s="0" t="s">
        <v>17</v>
      </c>
      <c r="AB11" s="0" t="s">
        <v>14</v>
      </c>
      <c r="AC11" s="0" t="n">
        <v>4490896</v>
      </c>
      <c r="AD11" s="0" t="n">
        <v>1.67</v>
      </c>
      <c r="AE11" s="0" t="n">
        <v>10288574</v>
      </c>
    </row>
    <row r="12" customFormat="false" ht="15" hidden="false" customHeight="false" outlineLevel="0" collapsed="false">
      <c r="A12" s="0" t="s">
        <v>76</v>
      </c>
      <c r="B12" s="0" t="n">
        <v>24468</v>
      </c>
      <c r="F12" s="0" t="n">
        <v>4903</v>
      </c>
      <c r="G12" s="0" t="n">
        <v>20</v>
      </c>
      <c r="H12" s="0" t="n">
        <v>10658</v>
      </c>
      <c r="I12" s="0" t="n">
        <v>6305</v>
      </c>
      <c r="J12" s="0" t="n">
        <v>25.8</v>
      </c>
      <c r="K12" s="0" t="n">
        <v>6.79</v>
      </c>
      <c r="L12" s="0" t="n">
        <v>6993</v>
      </c>
      <c r="M12" s="0" t="n">
        <v>3700</v>
      </c>
      <c r="N12" s="0" t="n">
        <v>3293</v>
      </c>
      <c r="O12" s="0" t="n">
        <v>23020</v>
      </c>
      <c r="P12" s="0" t="n">
        <v>80165</v>
      </c>
      <c r="Q12" s="0" t="n">
        <v>56855</v>
      </c>
      <c r="R12" s="0" t="n">
        <v>41059</v>
      </c>
      <c r="S12" s="0" t="n">
        <v>320</v>
      </c>
      <c r="T12" s="0" t="n">
        <v>929.1</v>
      </c>
      <c r="U12" s="0" t="n">
        <v>90</v>
      </c>
      <c r="AA12" s="0" t="s">
        <v>17</v>
      </c>
      <c r="AB12" s="0" t="s">
        <v>14</v>
      </c>
      <c r="AC12" s="0" t="n">
        <v>4890602</v>
      </c>
      <c r="AD12" s="0" t="n">
        <v>1.56</v>
      </c>
      <c r="AE12" s="0" t="n">
        <v>10451584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26.8</v>
      </c>
    </row>
    <row r="3" customFormat="false" ht="15" hidden="false" customHeight="false" outlineLevel="0" collapsed="false">
      <c r="A3" s="0" t="s">
        <v>80</v>
      </c>
      <c r="B3" s="3" t="n">
        <v>932.5</v>
      </c>
    </row>
    <row r="4" customFormat="false" ht="15" hidden="false" customHeight="false" outlineLevel="0" collapsed="false">
      <c r="A4" s="0" t="s">
        <v>81</v>
      </c>
      <c r="B4" s="3" t="n">
        <v>37097</v>
      </c>
    </row>
    <row r="5" customFormat="false" ht="15" hidden="false" customHeight="false" outlineLevel="0" collapsed="false">
      <c r="A5" s="0" t="s">
        <v>82</v>
      </c>
      <c r="B5" s="3" t="n">
        <v>-3530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24468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</v>
      </c>
      <c r="D13" s="3" t="n">
        <v>0</v>
      </c>
      <c r="E13" s="3" t="n">
        <v>-0.5</v>
      </c>
      <c r="F13" s="3" t="n">
        <v>-0.5</v>
      </c>
      <c r="G13" s="3" t="n">
        <v>0</v>
      </c>
      <c r="H13" s="3" t="n">
        <v>0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101</v>
      </c>
      <c r="C14" s="3" t="n">
        <v>42.5</v>
      </c>
      <c r="D14" s="3" t="n">
        <v>42</v>
      </c>
      <c r="E14" s="3" t="n">
        <v>41.5</v>
      </c>
      <c r="F14" s="3" t="n">
        <v>41</v>
      </c>
      <c r="G14" s="3" t="n">
        <v>40.8</v>
      </c>
      <c r="H14" s="3" t="n">
        <v>40.6</v>
      </c>
      <c r="I14" s="3" t="n">
        <v>40.5</v>
      </c>
      <c r="J14" s="3" t="n">
        <v>40.5</v>
      </c>
      <c r="K14" s="3" t="n">
        <v>40.5</v>
      </c>
      <c r="L14" s="3" t="n">
        <v>40.5</v>
      </c>
    </row>
    <row r="15" customFormat="false" ht="15" hidden="false" customHeight="false" outlineLevel="0" collapsed="false">
      <c r="A15" s="0" t="s">
        <v>102</v>
      </c>
      <c r="C15" s="3" t="n">
        <v>0.37</v>
      </c>
      <c r="D15" s="3" t="n">
        <v>0.37</v>
      </c>
      <c r="E15" s="3" t="n">
        <v>0.36</v>
      </c>
      <c r="F15" s="3" t="n">
        <v>0.36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103</v>
      </c>
      <c r="C16" s="3" t="n">
        <v>5</v>
      </c>
      <c r="D16" s="3" t="n">
        <v>5</v>
      </c>
      <c r="E16" s="3" t="n">
        <v>5</v>
      </c>
      <c r="F16" s="3" t="n">
        <v>4.9</v>
      </c>
      <c r="G16" s="3" t="n">
        <v>4.8</v>
      </c>
      <c r="H16" s="3" t="n">
        <v>4.8</v>
      </c>
      <c r="I16" s="3" t="n">
        <v>4.8</v>
      </c>
      <c r="J16" s="3" t="n">
        <v>4.8</v>
      </c>
      <c r="K16" s="3" t="n">
        <v>4.8</v>
      </c>
      <c r="L16" s="3" t="n">
        <v>4.8</v>
      </c>
    </row>
    <row r="17" customFormat="false" ht="15" hidden="false" customHeight="false" outlineLevel="0" collapsed="false">
      <c r="A17" s="0" t="s">
        <v>104</v>
      </c>
      <c r="C17" s="3" t="n">
        <v>17.8</v>
      </c>
      <c r="D17" s="3" t="n">
        <v>17.6</v>
      </c>
      <c r="E17" s="3" t="n">
        <v>17.3</v>
      </c>
      <c r="F17" s="3" t="n">
        <v>17</v>
      </c>
      <c r="G17" s="3" t="n">
        <v>16.6</v>
      </c>
      <c r="H17" s="3" t="n">
        <v>16.2</v>
      </c>
      <c r="I17" s="3" t="n">
        <v>15.8</v>
      </c>
      <c r="J17" s="3" t="n">
        <v>15.5</v>
      </c>
      <c r="K17" s="3" t="n">
        <v>15.3</v>
      </c>
      <c r="L17" s="3" t="n">
        <v>15.2</v>
      </c>
    </row>
    <row r="18" customFormat="false" ht="15" hidden="false" customHeight="false" outlineLevel="0" collapsed="false">
      <c r="A18" s="0" t="s">
        <v>105</v>
      </c>
      <c r="C18" s="3" t="n">
        <v>15</v>
      </c>
      <c r="D18" s="3" t="n">
        <v>15</v>
      </c>
      <c r="E18" s="3" t="n">
        <v>15</v>
      </c>
      <c r="F18" s="3" t="n">
        <v>14.8</v>
      </c>
      <c r="G18" s="3" t="n">
        <v>14.8</v>
      </c>
      <c r="H18" s="3" t="n">
        <v>14.6</v>
      </c>
      <c r="I18" s="3" t="n">
        <v>14.6</v>
      </c>
      <c r="J18" s="3" t="n">
        <v>14.6</v>
      </c>
      <c r="K18" s="3" t="n">
        <v>14.6</v>
      </c>
      <c r="L18" s="3" t="n">
        <v>14.6</v>
      </c>
    </row>
    <row r="19" customFormat="false" ht="15" hidden="false" customHeight="false" outlineLevel="0" collapsed="false">
      <c r="A19" s="0" t="s">
        <v>106</v>
      </c>
      <c r="C19" s="3" t="n">
        <v>25</v>
      </c>
      <c r="D19" s="3" t="n">
        <v>25.5</v>
      </c>
      <c r="E19" s="3" t="n">
        <v>26</v>
      </c>
      <c r="F19" s="3" t="n">
        <v>26.5</v>
      </c>
      <c r="G19" s="3" t="n">
        <v>26.5</v>
      </c>
      <c r="H19" s="3" t="n">
        <v>26.5</v>
      </c>
      <c r="I19" s="3" t="n">
        <v>26.5</v>
      </c>
      <c r="J19" s="3" t="n">
        <v>26.5</v>
      </c>
      <c r="K19" s="3" t="n">
        <v>26.5</v>
      </c>
      <c r="L19" s="3" t="n">
        <v>26.5</v>
      </c>
    </row>
    <row r="20" customFormat="false" ht="15" hidden="false" customHeight="false" outlineLevel="0" collapsed="false">
      <c r="A20" s="0" t="s">
        <v>107</v>
      </c>
      <c r="B20" s="3" t="n">
        <v>6.5</v>
      </c>
    </row>
    <row r="21" customFormat="false" ht="15" hidden="false" customHeight="false" outlineLevel="0" collapsed="false">
      <c r="A21" s="0" t="s">
        <v>108</v>
      </c>
      <c r="B21" s="3" t="n">
        <v>1</v>
      </c>
    </row>
    <row r="22" customFormat="false" ht="15" hidden="false" customHeight="false" outlineLevel="0" collapsed="false">
      <c r="A22" s="0" t="s">
        <v>109</v>
      </c>
      <c r="B22" s="3" t="n">
        <v>13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3</v>
      </c>
      <c r="D27" s="3" t="n">
        <v>2</v>
      </c>
      <c r="E27" s="3" t="n">
        <v>2</v>
      </c>
      <c r="F27" s="3" t="n">
        <v>1.5</v>
      </c>
      <c r="G27" s="3" t="n">
        <v>1.5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101</v>
      </c>
      <c r="C28" s="3" t="n">
        <v>42.8</v>
      </c>
      <c r="D28" s="3" t="n">
        <v>43</v>
      </c>
      <c r="E28" s="3" t="n">
        <v>43.2</v>
      </c>
      <c r="F28" s="3" t="n">
        <v>43.4</v>
      </c>
      <c r="G28" s="3" t="n">
        <v>43.5</v>
      </c>
      <c r="H28" s="3" t="n">
        <v>43.5</v>
      </c>
      <c r="I28" s="3" t="n">
        <v>43.5</v>
      </c>
      <c r="J28" s="3" t="n">
        <v>43.5</v>
      </c>
      <c r="K28" s="3" t="n">
        <v>43.5</v>
      </c>
      <c r="L28" s="3" t="n">
        <v>43.5</v>
      </c>
    </row>
    <row r="29" customFormat="false" ht="15" hidden="false" customHeight="false" outlineLevel="0" collapsed="false">
      <c r="A29" s="0" t="s">
        <v>102</v>
      </c>
      <c r="C29" s="3" t="n">
        <v>0.37</v>
      </c>
      <c r="D29" s="3" t="n">
        <v>0.37</v>
      </c>
      <c r="E29" s="3" t="n">
        <v>0.36</v>
      </c>
      <c r="F29" s="3" t="n">
        <v>0.36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103</v>
      </c>
      <c r="C30" s="3" t="n">
        <v>5</v>
      </c>
      <c r="D30" s="3" t="n">
        <v>4.9</v>
      </c>
      <c r="E30" s="3" t="n">
        <v>4.8</v>
      </c>
      <c r="F30" s="3" t="n">
        <v>4.7</v>
      </c>
      <c r="G30" s="3" t="n">
        <v>4.6</v>
      </c>
      <c r="H30" s="3" t="n">
        <v>4.5</v>
      </c>
      <c r="I30" s="3" t="n">
        <v>4.5</v>
      </c>
      <c r="J30" s="3" t="n">
        <v>4.5</v>
      </c>
      <c r="K30" s="3" t="n">
        <v>4.5</v>
      </c>
      <c r="L30" s="3" t="n">
        <v>4.5</v>
      </c>
    </row>
    <row r="31" customFormat="false" ht="15" hidden="false" customHeight="false" outlineLevel="0" collapsed="false">
      <c r="A31" s="0" t="s">
        <v>104</v>
      </c>
      <c r="C31" s="3" t="n">
        <v>17.8</v>
      </c>
      <c r="D31" s="3" t="n">
        <v>17.4</v>
      </c>
      <c r="E31" s="3" t="n">
        <v>17</v>
      </c>
      <c r="F31" s="3" t="n">
        <v>16.5</v>
      </c>
      <c r="G31" s="3" t="n">
        <v>16</v>
      </c>
      <c r="H31" s="3" t="n">
        <v>15.5</v>
      </c>
      <c r="I31" s="3" t="n">
        <v>15</v>
      </c>
      <c r="J31" s="3" t="n">
        <v>14.6</v>
      </c>
      <c r="K31" s="3" t="n">
        <v>14.3</v>
      </c>
      <c r="L31" s="3" t="n">
        <v>14</v>
      </c>
    </row>
    <row r="32" customFormat="false" ht="15" hidden="false" customHeight="false" outlineLevel="0" collapsed="false">
      <c r="A32" s="0" t="s">
        <v>105</v>
      </c>
      <c r="C32" s="3" t="n">
        <v>14.8</v>
      </c>
      <c r="D32" s="3" t="n">
        <v>14.5</v>
      </c>
      <c r="E32" s="3" t="n">
        <v>14.2</v>
      </c>
      <c r="F32" s="3" t="n">
        <v>14</v>
      </c>
      <c r="G32" s="3" t="n">
        <v>13.8</v>
      </c>
      <c r="H32" s="3" t="n">
        <v>13.6</v>
      </c>
      <c r="I32" s="3" t="n">
        <v>13.5</v>
      </c>
      <c r="J32" s="3" t="n">
        <v>13.5</v>
      </c>
      <c r="K32" s="3" t="n">
        <v>13.5</v>
      </c>
      <c r="L32" s="3" t="n">
        <v>13.5</v>
      </c>
    </row>
    <row r="33" customFormat="false" ht="15" hidden="false" customHeight="false" outlineLevel="0" collapsed="false">
      <c r="A33" s="0" t="s">
        <v>106</v>
      </c>
      <c r="C33" s="3" t="n">
        <v>25</v>
      </c>
      <c r="D33" s="3" t="n">
        <v>25.5</v>
      </c>
      <c r="E33" s="3" t="n">
        <v>26</v>
      </c>
      <c r="F33" s="3" t="n">
        <v>26.5</v>
      </c>
      <c r="G33" s="3" t="n">
        <v>26.5</v>
      </c>
      <c r="H33" s="3" t="n">
        <v>26.5</v>
      </c>
      <c r="I33" s="3" t="n">
        <v>26.5</v>
      </c>
      <c r="J33" s="3" t="n">
        <v>26.5</v>
      </c>
      <c r="K33" s="3" t="n">
        <v>26.5</v>
      </c>
      <c r="L33" s="3" t="n">
        <v>26.5</v>
      </c>
    </row>
    <row r="34" customFormat="false" ht="15" hidden="false" customHeight="false" outlineLevel="0" collapsed="false">
      <c r="A34" s="0" t="s">
        <v>107</v>
      </c>
      <c r="B34" s="3" t="n">
        <v>6.5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4.5</v>
      </c>
      <c r="D41" s="3" t="n">
        <v>3.5</v>
      </c>
      <c r="E41" s="3" t="n">
        <v>3</v>
      </c>
      <c r="F41" s="3" t="n">
        <v>3</v>
      </c>
      <c r="G41" s="3" t="n">
        <v>2.5</v>
      </c>
      <c r="H41" s="3" t="n">
        <v>2.5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101</v>
      </c>
      <c r="C42" s="3" t="n">
        <v>43</v>
      </c>
      <c r="D42" s="3" t="n">
        <v>43.4</v>
      </c>
      <c r="E42" s="3" t="n">
        <v>43.8</v>
      </c>
      <c r="F42" s="3" t="n">
        <v>44.2</v>
      </c>
      <c r="G42" s="3" t="n">
        <v>44.5</v>
      </c>
      <c r="H42" s="3" t="n">
        <v>44.8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102</v>
      </c>
      <c r="C43" s="3" t="n">
        <v>0.37</v>
      </c>
      <c r="D43" s="3" t="n">
        <v>0.37</v>
      </c>
      <c r="E43" s="3" t="n">
        <v>0.36</v>
      </c>
      <c r="F43" s="3" t="n">
        <v>0.36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103</v>
      </c>
      <c r="C44" s="3" t="n">
        <v>5</v>
      </c>
      <c r="D44" s="3" t="n">
        <v>4.8</v>
      </c>
      <c r="E44" s="3" t="n">
        <v>4.6</v>
      </c>
      <c r="F44" s="3" t="n">
        <v>4.5</v>
      </c>
      <c r="G44" s="3" t="n">
        <v>4.4</v>
      </c>
      <c r="H44" s="3" t="n">
        <v>4.3</v>
      </c>
      <c r="I44" s="3" t="n">
        <v>4.2</v>
      </c>
      <c r="J44" s="3" t="n">
        <v>4.2</v>
      </c>
      <c r="K44" s="3" t="n">
        <v>4.2</v>
      </c>
      <c r="L44" s="3" t="n">
        <v>4.2</v>
      </c>
    </row>
    <row r="45" customFormat="false" ht="15" hidden="false" customHeight="false" outlineLevel="0" collapsed="false">
      <c r="A45" s="0" t="s">
        <v>104</v>
      </c>
      <c r="C45" s="3" t="n">
        <v>17.8</v>
      </c>
      <c r="D45" s="3" t="n">
        <v>17.2</v>
      </c>
      <c r="E45" s="3" t="n">
        <v>16.6</v>
      </c>
      <c r="F45" s="3" t="n">
        <v>16</v>
      </c>
      <c r="G45" s="3" t="n">
        <v>15.4</v>
      </c>
      <c r="H45" s="3" t="n">
        <v>14.8</v>
      </c>
      <c r="I45" s="3" t="n">
        <v>14.3</v>
      </c>
      <c r="J45" s="3" t="n">
        <v>13.9</v>
      </c>
      <c r="K45" s="3" t="n">
        <v>13.6</v>
      </c>
      <c r="L45" s="3" t="n">
        <v>13.4</v>
      </c>
    </row>
    <row r="46" customFormat="false" ht="15" hidden="false" customHeight="false" outlineLevel="0" collapsed="false">
      <c r="A46" s="0" t="s">
        <v>105</v>
      </c>
      <c r="C46" s="3" t="n">
        <v>14.5</v>
      </c>
      <c r="D46" s="3" t="n">
        <v>14</v>
      </c>
      <c r="E46" s="3" t="n">
        <v>13.5</v>
      </c>
      <c r="F46" s="3" t="n">
        <v>13.2</v>
      </c>
      <c r="G46" s="3" t="n">
        <v>13</v>
      </c>
      <c r="H46" s="3" t="n">
        <v>12.8</v>
      </c>
      <c r="I46" s="3" t="n">
        <v>12.6</v>
      </c>
      <c r="J46" s="3" t="n">
        <v>12.5</v>
      </c>
      <c r="K46" s="3" t="n">
        <v>12.5</v>
      </c>
      <c r="L46" s="3" t="n">
        <v>12.5</v>
      </c>
    </row>
    <row r="47" customFormat="false" ht="15" hidden="false" customHeight="false" outlineLevel="0" collapsed="false">
      <c r="A47" s="0" t="s">
        <v>106</v>
      </c>
      <c r="C47" s="3" t="n">
        <v>25</v>
      </c>
      <c r="D47" s="3" t="n">
        <v>25.5</v>
      </c>
      <c r="E47" s="3" t="n">
        <v>26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107</v>
      </c>
      <c r="B48" s="3" t="n">
        <v>6.5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16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-0.5</v>
      </c>
      <c r="F5" s="4" t="n">
        <f aca="false">Assumptions!F13</f>
        <v>-0.5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24468</v>
      </c>
      <c r="C6" s="0" t="n">
        <f aca="false">B6*(1+C5/100)</f>
        <v>24712.68</v>
      </c>
      <c r="D6" s="0" t="n">
        <f aca="false">C6*(1+D5/100)</f>
        <v>24712.68</v>
      </c>
      <c r="E6" s="0" t="n">
        <f aca="false">D6*(1+E5/100)</f>
        <v>24589.1166</v>
      </c>
      <c r="F6" s="0" t="n">
        <f aca="false">E6*(1+F5/100)</f>
        <v>24466.171017</v>
      </c>
      <c r="G6" s="0" t="n">
        <f aca="false">F6*(1+G5/100)</f>
        <v>24466.171017</v>
      </c>
      <c r="H6" s="0" t="n">
        <f aca="false">G6*(1+H5/100)</f>
        <v>24466.171017</v>
      </c>
      <c r="I6" s="0" t="n">
        <f aca="false">H6*(1+I5/100)</f>
        <v>24588.501872085</v>
      </c>
      <c r="J6" s="0" t="n">
        <f aca="false">I6*(1+J5/100)</f>
        <v>24711.4443814454</v>
      </c>
      <c r="K6" s="0" t="n">
        <f aca="false">J6*(1+K5/100)</f>
        <v>24835.0016033526</v>
      </c>
      <c r="L6" s="0" t="n">
        <f aca="false">K6*(1+L5/100)</f>
        <v>24959.1766113694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42.5</v>
      </c>
      <c r="D7" s="4" t="n">
        <f aca="false">Assumptions!D14</f>
        <v>42</v>
      </c>
      <c r="E7" s="4" t="n">
        <f aca="false">Assumptions!E14</f>
        <v>41.5</v>
      </c>
      <c r="F7" s="4" t="n">
        <f aca="false">Assumptions!F14</f>
        <v>41</v>
      </c>
      <c r="G7" s="4" t="n">
        <f aca="false">Assumptions!G14</f>
        <v>40.8</v>
      </c>
      <c r="H7" s="4" t="n">
        <f aca="false">Assumptions!H14</f>
        <v>40.6</v>
      </c>
      <c r="I7" s="4" t="n">
        <f aca="false">Assumptions!I14</f>
        <v>40.5</v>
      </c>
      <c r="J7" s="4" t="n">
        <f aca="false">Assumptions!J14</f>
        <v>40.5</v>
      </c>
      <c r="K7" s="4" t="n">
        <f aca="false">Assumptions!K14</f>
        <v>40.5</v>
      </c>
      <c r="L7" s="4" t="n">
        <f aca="false">Assumptions!L14</f>
        <v>40.5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10502.889</v>
      </c>
      <c r="D8" s="0" t="n">
        <f aca="false">D6*D7/100</f>
        <v>10379.3256</v>
      </c>
      <c r="E8" s="0" t="n">
        <f aca="false">E6*E7/100</f>
        <v>10204.483389</v>
      </c>
      <c r="F8" s="0" t="n">
        <f aca="false">F6*F7/100</f>
        <v>10031.13011697</v>
      </c>
      <c r="G8" s="0" t="n">
        <f aca="false">G6*G7/100</f>
        <v>9982.197774936</v>
      </c>
      <c r="H8" s="0" t="n">
        <f aca="false">H6*H7/100</f>
        <v>9933.265432902</v>
      </c>
      <c r="I8" s="0" t="n">
        <f aca="false">I6*I7/100</f>
        <v>9958.34325819442</v>
      </c>
      <c r="J8" s="0" t="n">
        <f aca="false">J6*J7/100</f>
        <v>10008.1349744854</v>
      </c>
      <c r="K8" s="0" t="n">
        <f aca="false">K6*K7/100</f>
        <v>10058.1756493578</v>
      </c>
      <c r="L8" s="0" t="n">
        <f aca="false">L6*L7/100</f>
        <v>10108.4665276046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0.37</v>
      </c>
      <c r="D9" s="4" t="n">
        <f aca="false">Assumptions!D15</f>
        <v>0.37</v>
      </c>
      <c r="E9" s="4" t="n">
        <f aca="false">Assumptions!E15</f>
        <v>0.36</v>
      </c>
      <c r="F9" s="4" t="n">
        <f aca="false">Assumptions!F15</f>
        <v>0.36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-91.436916</v>
      </c>
      <c r="D10" s="0" t="n">
        <f aca="false">-D6*D9/100</f>
        <v>-91.436916</v>
      </c>
      <c r="E10" s="0" t="n">
        <f aca="false">-E6*E9/100</f>
        <v>-88.52081976</v>
      </c>
      <c r="F10" s="0" t="n">
        <f aca="false">-F6*F9/100</f>
        <v>-88.0782156612</v>
      </c>
      <c r="G10" s="0" t="n">
        <f aca="false">-G6*G9/100</f>
        <v>-85.6315985595</v>
      </c>
      <c r="H10" s="0" t="n">
        <f aca="false">-H6*H9/100</f>
        <v>-85.6315985595</v>
      </c>
      <c r="I10" s="0" t="n">
        <f aca="false">-I6*I9/100</f>
        <v>-86.0597565522975</v>
      </c>
      <c r="J10" s="0" t="n">
        <f aca="false">-J6*J9/100</f>
        <v>-86.490055335059</v>
      </c>
      <c r="K10" s="0" t="n">
        <f aca="false">-K6*K9/100</f>
        <v>-86.9225056117343</v>
      </c>
      <c r="L10" s="0" t="n">
        <f aca="false">-L6*L9/100</f>
        <v>-87.3571181397929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9175.818084</v>
      </c>
      <c r="D11" s="0" t="n">
        <f aca="false">D8+D10+D24</f>
        <v>9052.254684</v>
      </c>
      <c r="E11" s="0" t="n">
        <f aca="false">E8+E10+E24</f>
        <v>8886.50673924</v>
      </c>
      <c r="F11" s="0" t="n">
        <f aca="false">F8+F10+F24</f>
        <v>8744.2095214758</v>
      </c>
      <c r="G11" s="0" t="n">
        <f aca="false">G8+G10+G24</f>
        <v>8722.1899675605</v>
      </c>
      <c r="H11" s="0" t="n">
        <f aca="false">H8+H10+H24</f>
        <v>8673.2576255265</v>
      </c>
      <c r="I11" s="0" t="n">
        <f aca="false">I8+I10+I24</f>
        <v>8692.03541178205</v>
      </c>
      <c r="J11" s="0" t="n">
        <f aca="false">J8+J10+J24</f>
        <v>8735.49558884096</v>
      </c>
      <c r="K11" s="0" t="n">
        <f aca="false">K8+K10+K24</f>
        <v>8779.17306678516</v>
      </c>
      <c r="L11" s="0" t="n">
        <f aca="false">L8+L10+L24</f>
        <v>8823.06893211908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-4398.85704</v>
      </c>
      <c r="D12" s="4" t="n">
        <f aca="false">-D6*Assumptions!D17/100</f>
        <v>-4349.43168</v>
      </c>
      <c r="E12" s="4" t="n">
        <f aca="false">-E6*Assumptions!E17/100</f>
        <v>-4253.9171718</v>
      </c>
      <c r="F12" s="4" t="n">
        <f aca="false">-F6*Assumptions!F17/100</f>
        <v>-4159.24907289</v>
      </c>
      <c r="G12" s="4" t="n">
        <f aca="false">-G6*Assumptions!G17/100</f>
        <v>-4061.384388822</v>
      </c>
      <c r="H12" s="4" t="n">
        <f aca="false">-H6*Assumptions!H17/100</f>
        <v>-3963.519704754</v>
      </c>
      <c r="I12" s="4" t="n">
        <f aca="false">-I6*Assumptions!I17/100</f>
        <v>-3884.98329578943</v>
      </c>
      <c r="J12" s="4" t="n">
        <f aca="false">-J6*Assumptions!J17/100</f>
        <v>-3830.27387912404</v>
      </c>
      <c r="K12" s="4" t="n">
        <f aca="false">-K6*Assumptions!K17/100</f>
        <v>-3799.75524531295</v>
      </c>
      <c r="L12" s="4" t="n">
        <f aca="false">-L6*Assumptions!L17/100</f>
        <v>-3793.79484492815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4776.961044</v>
      </c>
      <c r="D13" s="0" t="n">
        <f aca="false">D11+D12</f>
        <v>4702.823004</v>
      </c>
      <c r="E13" s="0" t="n">
        <f aca="false">E11+E12</f>
        <v>4632.58956744</v>
      </c>
      <c r="F13" s="0" t="n">
        <f aca="false">F11+F12</f>
        <v>4584.9604485858</v>
      </c>
      <c r="G13" s="0" t="n">
        <f aca="false">G11+G12</f>
        <v>4660.8055787385</v>
      </c>
      <c r="H13" s="0" t="n">
        <f aca="false">H11+H12</f>
        <v>4709.7379207725</v>
      </c>
      <c r="I13" s="0" t="n">
        <f aca="false">I11+I12</f>
        <v>4807.05211599262</v>
      </c>
      <c r="J13" s="0" t="n">
        <f aca="false">J11+J12</f>
        <v>4905.22170971692</v>
      </c>
      <c r="K13" s="0" t="n">
        <f aca="false">K11+K12</f>
        <v>4979.41782147221</v>
      </c>
      <c r="L13" s="0" t="n">
        <f aca="false">L11+L12</f>
        <v>5029.27408719093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25</v>
      </c>
      <c r="D14" s="4" t="n">
        <f aca="false">Assumptions!D19</f>
        <v>25.5</v>
      </c>
      <c r="E14" s="4" t="n">
        <f aca="false">Assumptions!E19</f>
        <v>26</v>
      </c>
      <c r="F14" s="4" t="n">
        <f aca="false">Assumptions!F19</f>
        <v>26.5</v>
      </c>
      <c r="G14" s="4" t="n">
        <f aca="false">Assumptions!G19</f>
        <v>26.5</v>
      </c>
      <c r="H14" s="4" t="n">
        <f aca="false">Assumptions!H19</f>
        <v>26.5</v>
      </c>
      <c r="I14" s="4" t="n">
        <f aca="false">Assumptions!I19</f>
        <v>26.5</v>
      </c>
      <c r="J14" s="4" t="n">
        <f aca="false">Assumptions!J19</f>
        <v>26.5</v>
      </c>
      <c r="K14" s="4" t="n">
        <f aca="false">Assumptions!K19</f>
        <v>26.5</v>
      </c>
      <c r="L14" s="4" t="n">
        <f aca="false">Assumptions!L19</f>
        <v>26.5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3582.720783</v>
      </c>
      <c r="D15" s="0" t="n">
        <f aca="false">D13-MAX(0,D13)*D14/100</f>
        <v>3503.60313798</v>
      </c>
      <c r="E15" s="0" t="n">
        <f aca="false">E13-MAX(0,E13)*E14/100</f>
        <v>3428.1162799056</v>
      </c>
      <c r="F15" s="0" t="n">
        <f aca="false">F13-MAX(0,F13)*F14/100</f>
        <v>3369.94592971056</v>
      </c>
      <c r="G15" s="0" t="n">
        <f aca="false">G13-MAX(0,G13)*G14/100</f>
        <v>3425.6921003728</v>
      </c>
      <c r="H15" s="0" t="n">
        <f aca="false">H13-MAX(0,H13)*H14/100</f>
        <v>3461.65737176779</v>
      </c>
      <c r="I15" s="0" t="n">
        <f aca="false">I13-MAX(0,I13)*I14/100</f>
        <v>3533.18330525457</v>
      </c>
      <c r="J15" s="0" t="n">
        <f aca="false">J13-MAX(0,J13)*J14/100</f>
        <v>3605.33795664193</v>
      </c>
      <c r="K15" s="0" t="n">
        <f aca="false">K13-MAX(0,K13)*K14/100</f>
        <v>3659.87209878207</v>
      </c>
      <c r="L15" s="0" t="n">
        <f aca="false">L13-MAX(0,L13)*L14/100</f>
        <v>3696.51645408534</v>
      </c>
    </row>
    <row r="16" customFormat="false" ht="15" hidden="false" customHeight="false" outlineLevel="0" collapsed="false">
      <c r="A16" s="0" t="s">
        <v>122</v>
      </c>
      <c r="C16" s="0" t="n">
        <f aca="false">-C12</f>
        <v>4398.85704</v>
      </c>
      <c r="D16" s="0" t="n">
        <f aca="false">-D12</f>
        <v>4349.43168</v>
      </c>
      <c r="E16" s="0" t="n">
        <f aca="false">-E12</f>
        <v>4253.9171718</v>
      </c>
      <c r="F16" s="0" t="n">
        <f aca="false">-F12</f>
        <v>4159.24907289</v>
      </c>
      <c r="G16" s="0" t="n">
        <f aca="false">-G12</f>
        <v>4061.384388822</v>
      </c>
      <c r="H16" s="0" t="n">
        <f aca="false">-H12</f>
        <v>3963.519704754</v>
      </c>
      <c r="I16" s="0" t="n">
        <f aca="false">-I12</f>
        <v>3884.98329578943</v>
      </c>
      <c r="J16" s="0" t="n">
        <f aca="false">-J12</f>
        <v>3830.27387912404</v>
      </c>
      <c r="K16" s="0" t="n">
        <f aca="false">-K12</f>
        <v>3799.75524531295</v>
      </c>
      <c r="L16" s="0" t="n">
        <f aca="false">-L12</f>
        <v>3793.79484492815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-3706.902</v>
      </c>
      <c r="D17" s="4" t="n">
        <f aca="false">-D6*Assumptions!D18/100</f>
        <v>-3706.902</v>
      </c>
      <c r="E17" s="4" t="n">
        <f aca="false">-E6*Assumptions!E18/100</f>
        <v>-3688.36749</v>
      </c>
      <c r="F17" s="4" t="n">
        <f aca="false">-F6*Assumptions!F18/100</f>
        <v>-3620.993310516</v>
      </c>
      <c r="G17" s="4" t="n">
        <f aca="false">-G6*Assumptions!G18/100</f>
        <v>-3620.993310516</v>
      </c>
      <c r="H17" s="4" t="n">
        <f aca="false">-H6*Assumptions!H18/100</f>
        <v>-3572.060968482</v>
      </c>
      <c r="I17" s="4" t="n">
        <f aca="false">-I6*Assumptions!I18/100</f>
        <v>-3589.92127332441</v>
      </c>
      <c r="J17" s="4" t="n">
        <f aca="false">-J6*Assumptions!J18/100</f>
        <v>-3607.87087969103</v>
      </c>
      <c r="K17" s="4" t="n">
        <f aca="false">-K6*Assumptions!K18/100</f>
        <v>-3625.91023408949</v>
      </c>
      <c r="L17" s="4" t="n">
        <f aca="false">-L6*Assumptions!L18/100</f>
        <v>-3644.03978525993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4274.675823</v>
      </c>
      <c r="D19" s="0" t="n">
        <f aca="false">D15+D16+D17+D18</f>
        <v>4146.13281798</v>
      </c>
      <c r="E19" s="0" t="n">
        <f aca="false">E15+E16+E17+E18</f>
        <v>3993.6659617056</v>
      </c>
      <c r="F19" s="0" t="n">
        <f aca="false">F15+F16+F17+F18</f>
        <v>3908.20169208456</v>
      </c>
      <c r="G19" s="0" t="n">
        <f aca="false">G15+G16+G17+G18</f>
        <v>3866.0831786788</v>
      </c>
      <c r="H19" s="0" t="n">
        <f aca="false">H15+H16+H17+H18</f>
        <v>3853.11610803979</v>
      </c>
      <c r="I19" s="0" t="n">
        <f aca="false">I15+I16+I17+I18</f>
        <v>3828.24532771959</v>
      </c>
      <c r="J19" s="0" t="n">
        <f aca="false">J15+J16+J17+J18</f>
        <v>3827.74095607494</v>
      </c>
      <c r="K19" s="0" t="n">
        <f aca="false">K15+K16+K17+K18</f>
        <v>3833.71711000554</v>
      </c>
      <c r="L19" s="0" t="n">
        <f aca="false">L15+L16+L17+L18</f>
        <v>3846.27151375355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4013.78011549296</v>
      </c>
      <c r="D21" s="0" t="n">
        <f aca="false">D19*D20</f>
        <v>3655.47648657013</v>
      </c>
      <c r="E21" s="0" t="n">
        <f aca="false">E19*E20</f>
        <v>3306.15273936245</v>
      </c>
      <c r="F21" s="0" t="n">
        <f aca="false">F19*F20</f>
        <v>3037.93541913152</v>
      </c>
      <c r="G21" s="0" t="n">
        <f aca="false">G19*G20</f>
        <v>2821.78002451367</v>
      </c>
      <c r="H21" s="0" t="n">
        <f aca="false">H19*H20</f>
        <v>2640.67193253375</v>
      </c>
      <c r="I21" s="0" t="n">
        <f aca="false">I19*I20</f>
        <v>2463.49966029969</v>
      </c>
      <c r="J21" s="0" t="n">
        <f aca="false">J19*J20</f>
        <v>2312.84046386082</v>
      </c>
      <c r="K21" s="0" t="n">
        <f aca="false">K19*K20</f>
        <v>2175.0717769463</v>
      </c>
      <c r="L21" s="0" t="n">
        <f aca="false">L19*L20</f>
        <v>2049.00897505747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5</v>
      </c>
      <c r="D23" s="4" t="n">
        <f aca="false">Assumptions!D16</f>
        <v>5</v>
      </c>
      <c r="E23" s="4" t="n">
        <f aca="false">Assumptions!E16</f>
        <v>5</v>
      </c>
      <c r="F23" s="4" t="n">
        <f aca="false">Assumptions!F16</f>
        <v>4.9</v>
      </c>
      <c r="G23" s="4" t="n">
        <f aca="false">Assumptions!G16</f>
        <v>4.8</v>
      </c>
      <c r="H23" s="4" t="n">
        <f aca="false">Assumptions!H16</f>
        <v>4.8</v>
      </c>
      <c r="I23" s="4" t="n">
        <f aca="false">Assumptions!I16</f>
        <v>4.8</v>
      </c>
      <c r="J23" s="4" t="n">
        <f aca="false">Assumptions!J16</f>
        <v>4.8</v>
      </c>
      <c r="K23" s="4" t="n">
        <f aca="false">Assumptions!K16</f>
        <v>4.8</v>
      </c>
      <c r="L23" s="4" t="n">
        <f aca="false">Assumptions!L16</f>
        <v>4.8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-1235.634</v>
      </c>
      <c r="D24" s="0" t="n">
        <f aca="false">-D6*D23/100</f>
        <v>-1235.634</v>
      </c>
      <c r="E24" s="0" t="n">
        <f aca="false">-E6*E23/100</f>
        <v>-1229.45583</v>
      </c>
      <c r="F24" s="0" t="n">
        <f aca="false">-F6*F23/100</f>
        <v>-1198.842379833</v>
      </c>
      <c r="G24" s="0" t="n">
        <f aca="false">-G6*G23/100</f>
        <v>-1174.376208816</v>
      </c>
      <c r="H24" s="0" t="n">
        <f aca="false">-H6*H23/100</f>
        <v>-1174.376208816</v>
      </c>
      <c r="I24" s="0" t="n">
        <f aca="false">-I6*I23/100</f>
        <v>-1180.24808986008</v>
      </c>
      <c r="J24" s="0" t="n">
        <f aca="false">-J6*J23/100</f>
        <v>-1186.14933030938</v>
      </c>
      <c r="K24" s="0" t="n">
        <f aca="false">-K6*K23/100</f>
        <v>-1192.08007696093</v>
      </c>
      <c r="L24" s="0" t="n">
        <f aca="false">-L6*L23/100</f>
        <v>-1198.04047734573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28476.2175937688</v>
      </c>
    </row>
    <row r="31" customFormat="false" ht="15" hidden="false" customHeight="false" outlineLevel="0" collapsed="false">
      <c r="A31" s="0" t="s">
        <v>131</v>
      </c>
      <c r="B31" s="0" t="n">
        <f aca="false">L19</f>
        <v>3846.27151375355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70631.5314343834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50001.5296787962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50001.5296787962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26637.1166757472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55113.3342695159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14486.3342695159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15.534942916371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-0.420337950881681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632.899847339318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854.596096969481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17.1301128298388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27748.1016349364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-14.7308892648477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3</v>
      </c>
      <c r="D5" s="4" t="n">
        <f aca="false">Assumptions!D27</f>
        <v>2</v>
      </c>
      <c r="E5" s="4" t="n">
        <f aca="false">Assumptions!E27</f>
        <v>2</v>
      </c>
      <c r="F5" s="4" t="n">
        <f aca="false">Assumptions!F27</f>
        <v>1.5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24468</v>
      </c>
      <c r="C6" s="0" t="n">
        <f aca="false">B6*(1+C5/100)</f>
        <v>25202.04</v>
      </c>
      <c r="D6" s="0" t="n">
        <f aca="false">C6*(1+D5/100)</f>
        <v>25706.0808</v>
      </c>
      <c r="E6" s="0" t="n">
        <f aca="false">D6*(1+E5/100)</f>
        <v>26220.202416</v>
      </c>
      <c r="F6" s="0" t="n">
        <f aca="false">E6*(1+F5/100)</f>
        <v>26613.50545224</v>
      </c>
      <c r="G6" s="0" t="n">
        <f aca="false">F6*(1+G5/100)</f>
        <v>27012.7080340236</v>
      </c>
      <c r="H6" s="0" t="n">
        <f aca="false">G6*(1+H5/100)</f>
        <v>27417.8986545339</v>
      </c>
      <c r="I6" s="0" t="n">
        <f aca="false">H6*(1+I5/100)</f>
        <v>27829.167134352</v>
      </c>
      <c r="J6" s="0" t="n">
        <f aca="false">I6*(1+J5/100)</f>
        <v>28246.6046413672</v>
      </c>
      <c r="K6" s="0" t="n">
        <f aca="false">J6*(1+K5/100)</f>
        <v>28670.3037109877</v>
      </c>
      <c r="L6" s="0" t="n">
        <f aca="false">K6*(1+L5/100)</f>
        <v>29100.3582666526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42.8</v>
      </c>
      <c r="D7" s="4" t="n">
        <f aca="false">Assumptions!D28</f>
        <v>43</v>
      </c>
      <c r="E7" s="4" t="n">
        <f aca="false">Assumptions!E28</f>
        <v>43.2</v>
      </c>
      <c r="F7" s="4" t="n">
        <f aca="false">Assumptions!F28</f>
        <v>43.4</v>
      </c>
      <c r="G7" s="4" t="n">
        <f aca="false">Assumptions!G28</f>
        <v>43.5</v>
      </c>
      <c r="H7" s="4" t="n">
        <f aca="false">Assumptions!H28</f>
        <v>43.5</v>
      </c>
      <c r="I7" s="4" t="n">
        <f aca="false">Assumptions!I28</f>
        <v>43.5</v>
      </c>
      <c r="J7" s="4" t="n">
        <f aca="false">Assumptions!J28</f>
        <v>43.5</v>
      </c>
      <c r="K7" s="4" t="n">
        <f aca="false">Assumptions!K28</f>
        <v>43.5</v>
      </c>
      <c r="L7" s="4" t="n">
        <f aca="false">Assumptions!L28</f>
        <v>43.5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10786.47312</v>
      </c>
      <c r="D8" s="0" t="n">
        <f aca="false">D6*D7/100</f>
        <v>11053.614744</v>
      </c>
      <c r="E8" s="0" t="n">
        <f aca="false">E6*E7/100</f>
        <v>11327.127443712</v>
      </c>
      <c r="F8" s="0" t="n">
        <f aca="false">F6*F7/100</f>
        <v>11550.2613662722</v>
      </c>
      <c r="G8" s="0" t="n">
        <f aca="false">G6*G7/100</f>
        <v>11750.5279948003</v>
      </c>
      <c r="H8" s="0" t="n">
        <f aca="false">H6*H7/100</f>
        <v>11926.7859147223</v>
      </c>
      <c r="I8" s="0" t="n">
        <f aca="false">I6*I7/100</f>
        <v>12105.6877034431</v>
      </c>
      <c r="J8" s="0" t="n">
        <f aca="false">J6*J7/100</f>
        <v>12287.2730189947</v>
      </c>
      <c r="K8" s="0" t="n">
        <f aca="false">K6*K7/100</f>
        <v>12471.5821142797</v>
      </c>
      <c r="L8" s="0" t="n">
        <f aca="false">L6*L7/100</f>
        <v>12658.6558459939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0.37</v>
      </c>
      <c r="D9" s="4" t="n">
        <f aca="false">Assumptions!D29</f>
        <v>0.37</v>
      </c>
      <c r="E9" s="4" t="n">
        <f aca="false">Assumptions!E29</f>
        <v>0.36</v>
      </c>
      <c r="F9" s="4" t="n">
        <f aca="false">Assumptions!F29</f>
        <v>0.36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-93.247548</v>
      </c>
      <c r="D10" s="0" t="n">
        <f aca="false">-D6*D9/100</f>
        <v>-95.11249896</v>
      </c>
      <c r="E10" s="0" t="n">
        <f aca="false">-E6*E9/100</f>
        <v>-94.3927286976</v>
      </c>
      <c r="F10" s="0" t="n">
        <f aca="false">-F6*F9/100</f>
        <v>-95.808619628064</v>
      </c>
      <c r="G10" s="0" t="n">
        <f aca="false">-G6*G9/100</f>
        <v>-94.5444781190826</v>
      </c>
      <c r="H10" s="0" t="n">
        <f aca="false">-H6*H9/100</f>
        <v>-95.9626452908688</v>
      </c>
      <c r="I10" s="0" t="n">
        <f aca="false">-I6*I9/100</f>
        <v>-97.4020849702318</v>
      </c>
      <c r="J10" s="0" t="n">
        <f aca="false">-J6*J9/100</f>
        <v>-98.8631162447853</v>
      </c>
      <c r="K10" s="0" t="n">
        <f aca="false">-K6*K9/100</f>
        <v>-100.346062988457</v>
      </c>
      <c r="L10" s="0" t="n">
        <f aca="false">-L6*L9/100</f>
        <v>-101.851253933284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9433.123572</v>
      </c>
      <c r="D11" s="0" t="n">
        <f aca="false">D8+D10+D24</f>
        <v>9698.90428584</v>
      </c>
      <c r="E11" s="0" t="n">
        <f aca="false">E8+E10+E24</f>
        <v>9974.1649990464</v>
      </c>
      <c r="F11" s="0" t="n">
        <f aca="false">F8+F10+F24</f>
        <v>10203.6179903888</v>
      </c>
      <c r="G11" s="0" t="n">
        <f aca="false">G8+G10+G24</f>
        <v>10413.3989471161</v>
      </c>
      <c r="H11" s="0" t="n">
        <f aca="false">H8+H10+H24</f>
        <v>10597.0178299774</v>
      </c>
      <c r="I11" s="0" t="n">
        <f aca="false">I8+I10+I24</f>
        <v>10755.973097427</v>
      </c>
      <c r="J11" s="0" t="n">
        <f aca="false">J8+J10+J24</f>
        <v>10917.3126938884</v>
      </c>
      <c r="K11" s="0" t="n">
        <f aca="false">K8+K10+K24</f>
        <v>11081.0723842968</v>
      </c>
      <c r="L11" s="0" t="n">
        <f aca="false">L8+L10+L24</f>
        <v>11247.2884700612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-4485.96312</v>
      </c>
      <c r="D12" s="4" t="n">
        <f aca="false">-D6*Assumptions!D31/100</f>
        <v>-4472.8580592</v>
      </c>
      <c r="E12" s="4" t="n">
        <f aca="false">-E6*Assumptions!E31/100</f>
        <v>-4457.43441072</v>
      </c>
      <c r="F12" s="4" t="n">
        <f aca="false">-F6*Assumptions!F31/100</f>
        <v>-4391.2283996196</v>
      </c>
      <c r="G12" s="4" t="n">
        <f aca="false">-G6*Assumptions!G31/100</f>
        <v>-4322.03328544378</v>
      </c>
      <c r="H12" s="4" t="n">
        <f aca="false">-H6*Assumptions!H31/100</f>
        <v>-4249.77429145276</v>
      </c>
      <c r="I12" s="4" t="n">
        <f aca="false">-I6*Assumptions!I31/100</f>
        <v>-4174.37507015279</v>
      </c>
      <c r="J12" s="4" t="n">
        <f aca="false">-J6*Assumptions!J31/100</f>
        <v>-4124.00427763962</v>
      </c>
      <c r="K12" s="4" t="n">
        <f aca="false">-K6*Assumptions!K31/100</f>
        <v>-4099.85343067125</v>
      </c>
      <c r="L12" s="4" t="n">
        <f aca="false">-L6*Assumptions!L31/100</f>
        <v>-4074.05015733136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4947.160452</v>
      </c>
      <c r="D13" s="0" t="n">
        <f aca="false">D11+D12</f>
        <v>5226.04622664</v>
      </c>
      <c r="E13" s="0" t="n">
        <f aca="false">E11+E12</f>
        <v>5516.7305883264</v>
      </c>
      <c r="F13" s="0" t="n">
        <f aca="false">F11+F12</f>
        <v>5812.38959076922</v>
      </c>
      <c r="G13" s="0" t="n">
        <f aca="false">G11+G12</f>
        <v>6091.36566167232</v>
      </c>
      <c r="H13" s="0" t="n">
        <f aca="false">H11+H12</f>
        <v>6347.24353852461</v>
      </c>
      <c r="I13" s="0" t="n">
        <f aca="false">I11+I12</f>
        <v>6581.59802727424</v>
      </c>
      <c r="J13" s="0" t="n">
        <f aca="false">J11+J12</f>
        <v>6793.30841624882</v>
      </c>
      <c r="K13" s="0" t="n">
        <f aca="false">K11+K12</f>
        <v>6981.21895362551</v>
      </c>
      <c r="L13" s="0" t="n">
        <f aca="false">L11+L12</f>
        <v>7173.23831272986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25</v>
      </c>
      <c r="D14" s="4" t="n">
        <f aca="false">Assumptions!D33</f>
        <v>25.5</v>
      </c>
      <c r="E14" s="4" t="n">
        <f aca="false">Assumptions!E33</f>
        <v>26</v>
      </c>
      <c r="F14" s="4" t="n">
        <f aca="false">Assumptions!F33</f>
        <v>26.5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26.5</v>
      </c>
      <c r="J14" s="4" t="n">
        <f aca="false">Assumptions!J33</f>
        <v>26.5</v>
      </c>
      <c r="K14" s="4" t="n">
        <f aca="false">Assumptions!K33</f>
        <v>26.5</v>
      </c>
      <c r="L14" s="4" t="n">
        <f aca="false">Assumptions!L33</f>
        <v>26.5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3710.370339</v>
      </c>
      <c r="D15" s="0" t="n">
        <f aca="false">D13-MAX(0,D13)*D14/100</f>
        <v>3893.4044388468</v>
      </c>
      <c r="E15" s="0" t="n">
        <f aca="false">E13-MAX(0,E13)*E14/100</f>
        <v>4082.38063536154</v>
      </c>
      <c r="F15" s="0" t="n">
        <f aca="false">F13-MAX(0,F13)*F14/100</f>
        <v>4272.10634921537</v>
      </c>
      <c r="G15" s="0" t="n">
        <f aca="false">G13-MAX(0,G13)*G14/100</f>
        <v>4477.15376132916</v>
      </c>
      <c r="H15" s="0" t="n">
        <f aca="false">H13-MAX(0,H13)*H14/100</f>
        <v>4665.22400081559</v>
      </c>
      <c r="I15" s="0" t="n">
        <f aca="false">I13-MAX(0,I13)*I14/100</f>
        <v>4837.47455004656</v>
      </c>
      <c r="J15" s="0" t="n">
        <f aca="false">J13-MAX(0,J13)*J14/100</f>
        <v>4993.08168594288</v>
      </c>
      <c r="K15" s="0" t="n">
        <f aca="false">K13-MAX(0,K13)*K14/100</f>
        <v>5131.19593091475</v>
      </c>
      <c r="L15" s="0" t="n">
        <f aca="false">L13-MAX(0,L13)*L14/100</f>
        <v>5272.33015985644</v>
      </c>
    </row>
    <row r="16" customFormat="false" ht="15" hidden="false" customHeight="false" outlineLevel="0" collapsed="false">
      <c r="A16" s="0" t="s">
        <v>122</v>
      </c>
      <c r="C16" s="0" t="n">
        <f aca="false">-C12</f>
        <v>4485.96312</v>
      </c>
      <c r="D16" s="0" t="n">
        <f aca="false">-D12</f>
        <v>4472.8580592</v>
      </c>
      <c r="E16" s="0" t="n">
        <f aca="false">-E12</f>
        <v>4457.43441072</v>
      </c>
      <c r="F16" s="0" t="n">
        <f aca="false">-F12</f>
        <v>4391.2283996196</v>
      </c>
      <c r="G16" s="0" t="n">
        <f aca="false">-G12</f>
        <v>4322.03328544378</v>
      </c>
      <c r="H16" s="0" t="n">
        <f aca="false">-H12</f>
        <v>4249.77429145276</v>
      </c>
      <c r="I16" s="0" t="n">
        <f aca="false">-I12</f>
        <v>4174.37507015279</v>
      </c>
      <c r="J16" s="0" t="n">
        <f aca="false">-J12</f>
        <v>4124.00427763962</v>
      </c>
      <c r="K16" s="0" t="n">
        <f aca="false">-K12</f>
        <v>4099.85343067125</v>
      </c>
      <c r="L16" s="0" t="n">
        <f aca="false">-L12</f>
        <v>4074.05015733136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-3729.90192</v>
      </c>
      <c r="D17" s="4" t="n">
        <f aca="false">-D6*Assumptions!D32/100</f>
        <v>-3727.381716</v>
      </c>
      <c r="E17" s="4" t="n">
        <f aca="false">-E6*Assumptions!E32/100</f>
        <v>-3723.268743072</v>
      </c>
      <c r="F17" s="4" t="n">
        <f aca="false">-F6*Assumptions!F32/100</f>
        <v>-3725.8907633136</v>
      </c>
      <c r="G17" s="4" t="n">
        <f aca="false">-G6*Assumptions!G32/100</f>
        <v>-3727.75370869526</v>
      </c>
      <c r="H17" s="4" t="n">
        <f aca="false">-H6*Assumptions!H32/100</f>
        <v>-3728.83421701662</v>
      </c>
      <c r="I17" s="4" t="n">
        <f aca="false">-I6*Assumptions!I32/100</f>
        <v>-3756.93756313751</v>
      </c>
      <c r="J17" s="4" t="n">
        <f aca="false">-J6*Assumptions!J32/100</f>
        <v>-3813.29162658458</v>
      </c>
      <c r="K17" s="4" t="n">
        <f aca="false">-K6*Assumptions!K32/100</f>
        <v>-3870.49100098334</v>
      </c>
      <c r="L17" s="4" t="n">
        <f aca="false">-L6*Assumptions!L32/100</f>
        <v>-3928.54836599809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4466.431539</v>
      </c>
      <c r="D19" s="0" t="n">
        <f aca="false">D15+D16+D17+D18</f>
        <v>4638.8807820468</v>
      </c>
      <c r="E19" s="0" t="n">
        <f aca="false">E15+E16+E17+E18</f>
        <v>4816.54630300954</v>
      </c>
      <c r="F19" s="0" t="n">
        <f aca="false">F15+F16+F17+F18</f>
        <v>4937.44398552137</v>
      </c>
      <c r="G19" s="0" t="n">
        <f aca="false">G15+G16+G17+G18</f>
        <v>5071.43333807768</v>
      </c>
      <c r="H19" s="0" t="n">
        <f aca="false">H15+H16+H17+H18</f>
        <v>5186.16407525173</v>
      </c>
      <c r="I19" s="0" t="n">
        <f aca="false">I15+I16+I17+I18</f>
        <v>5254.91205706184</v>
      </c>
      <c r="J19" s="0" t="n">
        <f aca="false">J15+J16+J17+J18</f>
        <v>5303.79433699792</v>
      </c>
      <c r="K19" s="0" t="n">
        <f aca="false">K15+K16+K17+K18</f>
        <v>5360.55836060266</v>
      </c>
      <c r="L19" s="0" t="n">
        <f aca="false">L15+L16+L17+L18</f>
        <v>5417.83195118971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4193.83243098591</v>
      </c>
      <c r="D21" s="0" t="n">
        <f aca="false">D19*D20</f>
        <v>4089.91230315572</v>
      </c>
      <c r="E21" s="0" t="n">
        <f aca="false">E19*E20</f>
        <v>3987.37348257344</v>
      </c>
      <c r="F21" s="0" t="n">
        <f aca="false">F19*F20</f>
        <v>3837.9892199455</v>
      </c>
      <c r="G21" s="0" t="n">
        <f aca="false">G19*G20</f>
        <v>3701.54200715639</v>
      </c>
      <c r="H21" s="0" t="n">
        <f aca="false">H19*H20</f>
        <v>3554.25518645977</v>
      </c>
      <c r="I21" s="0" t="n">
        <f aca="false">I19*I20</f>
        <v>3381.56856712941</v>
      </c>
      <c r="J21" s="0" t="n">
        <f aca="false">J19*J20</f>
        <v>3204.71795123339</v>
      </c>
      <c r="K21" s="0" t="n">
        <f aca="false">K19*K20</f>
        <v>3041.3300888556</v>
      </c>
      <c r="L21" s="0" t="n">
        <f aca="false">L19*L20</f>
        <v>2886.22013647374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5</v>
      </c>
      <c r="D23" s="4" t="n">
        <f aca="false">Assumptions!D30</f>
        <v>4.9</v>
      </c>
      <c r="E23" s="4" t="n">
        <f aca="false">Assumptions!E30</f>
        <v>4.8</v>
      </c>
      <c r="F23" s="4" t="n">
        <f aca="false">Assumptions!F30</f>
        <v>4.7</v>
      </c>
      <c r="G23" s="4" t="n">
        <f aca="false">Assumptions!G30</f>
        <v>4.6</v>
      </c>
      <c r="H23" s="4" t="n">
        <f aca="false">Assumptions!H30</f>
        <v>4.5</v>
      </c>
      <c r="I23" s="4" t="n">
        <f aca="false">Assumptions!I30</f>
        <v>4.5</v>
      </c>
      <c r="J23" s="4" t="n">
        <f aca="false">Assumptions!J30</f>
        <v>4.5</v>
      </c>
      <c r="K23" s="4" t="n">
        <f aca="false">Assumptions!K30</f>
        <v>4.5</v>
      </c>
      <c r="L23" s="4" t="n">
        <f aca="false">Assumptions!L30</f>
        <v>4.5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-1260.102</v>
      </c>
      <c r="D24" s="0" t="n">
        <f aca="false">-D6*D23/100</f>
        <v>-1259.5979592</v>
      </c>
      <c r="E24" s="0" t="n">
        <f aca="false">-E6*E23/100</f>
        <v>-1258.569715968</v>
      </c>
      <c r="F24" s="0" t="n">
        <f aca="false">-F6*F23/100</f>
        <v>-1250.83475625528</v>
      </c>
      <c r="G24" s="0" t="n">
        <f aca="false">-G6*G23/100</f>
        <v>-1242.58456956509</v>
      </c>
      <c r="H24" s="0" t="n">
        <f aca="false">-H6*H23/100</f>
        <v>-1233.80543945403</v>
      </c>
      <c r="I24" s="0" t="n">
        <f aca="false">-I6*I23/100</f>
        <v>-1252.31252104584</v>
      </c>
      <c r="J24" s="0" t="n">
        <f aca="false">-J6*J23/100</f>
        <v>-1271.09720886153</v>
      </c>
      <c r="K24" s="0" t="n">
        <f aca="false">-K6*K23/100</f>
        <v>-1290.16366699445</v>
      </c>
      <c r="L24" s="0" t="n">
        <f aca="false">-L6*L23/100</f>
        <v>-1309.51612199937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35878.7413739689</v>
      </c>
    </row>
    <row r="31" customFormat="false" ht="15" hidden="false" customHeight="false" outlineLevel="0" collapsed="false">
      <c r="A31" s="0" t="s">
        <v>131</v>
      </c>
      <c r="B31" s="0" t="n">
        <f aca="false">L19</f>
        <v>5417.83195118971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122804.190893633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81267.4792678456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81267.4792678456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43293.3020471062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79172.043421075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38545.043421075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41.3351672075872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0.54235698535773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692.408568124501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1229.86646700192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43.3965881567844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42509.1430016423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-5.79308559020541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4.5</v>
      </c>
      <c r="D5" s="4" t="n">
        <f aca="false">Assumptions!D41</f>
        <v>3.5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2.5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24468</v>
      </c>
      <c r="C6" s="0" t="n">
        <f aca="false">B6*(1+C5/100)</f>
        <v>25569.06</v>
      </c>
      <c r="D6" s="0" t="n">
        <f aca="false">C6*(1+D5/100)</f>
        <v>26463.9771</v>
      </c>
      <c r="E6" s="0" t="n">
        <f aca="false">D6*(1+E5/100)</f>
        <v>27257.896413</v>
      </c>
      <c r="F6" s="0" t="n">
        <f aca="false">E6*(1+F5/100)</f>
        <v>28075.63330539</v>
      </c>
      <c r="G6" s="0" t="n">
        <f aca="false">F6*(1+G5/100)</f>
        <v>28777.5241380247</v>
      </c>
      <c r="H6" s="0" t="n">
        <f aca="false">G6*(1+H5/100)</f>
        <v>29496.9622414754</v>
      </c>
      <c r="I6" s="0" t="n">
        <f aca="false">H6*(1+I5/100)</f>
        <v>30234.3862975122</v>
      </c>
      <c r="J6" s="0" t="n">
        <f aca="false">I6*(1+J5/100)</f>
        <v>30839.0740234625</v>
      </c>
      <c r="K6" s="0" t="n">
        <f aca="false">J6*(1+K5/100)</f>
        <v>31455.8555039317</v>
      </c>
      <c r="L6" s="0" t="n">
        <f aca="false">K6*(1+L5/100)</f>
        <v>32084.9726140104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43</v>
      </c>
      <c r="D7" s="4" t="n">
        <f aca="false">Assumptions!D42</f>
        <v>43.4</v>
      </c>
      <c r="E7" s="4" t="n">
        <f aca="false">Assumptions!E42</f>
        <v>43.8</v>
      </c>
      <c r="F7" s="4" t="n">
        <f aca="false">Assumptions!F42</f>
        <v>44.2</v>
      </c>
      <c r="G7" s="4" t="n">
        <f aca="false">Assumptions!G42</f>
        <v>44.5</v>
      </c>
      <c r="H7" s="4" t="n">
        <f aca="false">Assumptions!H42</f>
        <v>44.8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10994.6958</v>
      </c>
      <c r="D8" s="0" t="n">
        <f aca="false">D6*D7/100</f>
        <v>11485.3660614</v>
      </c>
      <c r="E8" s="0" t="n">
        <f aca="false">E6*E7/100</f>
        <v>11938.958628894</v>
      </c>
      <c r="F8" s="0" t="n">
        <f aca="false">F6*F7/100</f>
        <v>12409.4299209824</v>
      </c>
      <c r="G8" s="0" t="n">
        <f aca="false">G6*G7/100</f>
        <v>12805.998241421</v>
      </c>
      <c r="H8" s="0" t="n">
        <f aca="false">H6*H7/100</f>
        <v>13214.639084181</v>
      </c>
      <c r="I8" s="0" t="n">
        <f aca="false">I6*I7/100</f>
        <v>13605.4738338805</v>
      </c>
      <c r="J8" s="0" t="n">
        <f aca="false">J6*J7/100</f>
        <v>13877.5833105581</v>
      </c>
      <c r="K8" s="0" t="n">
        <f aca="false">K6*K7/100</f>
        <v>14155.1349767693</v>
      </c>
      <c r="L8" s="0" t="n">
        <f aca="false">L6*L7/100</f>
        <v>14438.2376763047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0.37</v>
      </c>
      <c r="D9" s="4" t="n">
        <f aca="false">Assumptions!D43</f>
        <v>0.37</v>
      </c>
      <c r="E9" s="4" t="n">
        <f aca="false">Assumptions!E43</f>
        <v>0.36</v>
      </c>
      <c r="F9" s="4" t="n">
        <f aca="false">Assumptions!F43</f>
        <v>0.36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-94.605522</v>
      </c>
      <c r="D10" s="0" t="n">
        <f aca="false">-D6*D9/100</f>
        <v>-97.91671527</v>
      </c>
      <c r="E10" s="0" t="n">
        <f aca="false">-E6*E9/100</f>
        <v>-98.1284270868</v>
      </c>
      <c r="F10" s="0" t="n">
        <f aca="false">-F6*F9/100</f>
        <v>-101.072279899404</v>
      </c>
      <c r="G10" s="0" t="n">
        <f aca="false">-G6*G9/100</f>
        <v>-100.721334483087</v>
      </c>
      <c r="H10" s="0" t="n">
        <f aca="false">-H6*H9/100</f>
        <v>-103.239367845164</v>
      </c>
      <c r="I10" s="0" t="n">
        <f aca="false">-I6*I9/100</f>
        <v>-105.820352041293</v>
      </c>
      <c r="J10" s="0" t="n">
        <f aca="false">-J6*J9/100</f>
        <v>-107.936759082119</v>
      </c>
      <c r="K10" s="0" t="n">
        <f aca="false">-K6*K9/100</f>
        <v>-110.095494263761</v>
      </c>
      <c r="L10" s="0" t="n">
        <f aca="false">-L6*L9/100</f>
        <v>-112.297404149036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9621.637278</v>
      </c>
      <c r="D11" s="0" t="n">
        <f aca="false">D8+D10+D24</f>
        <v>10117.17844533</v>
      </c>
      <c r="E11" s="0" t="n">
        <f aca="false">E8+E10+E24</f>
        <v>10586.9669668092</v>
      </c>
      <c r="F11" s="0" t="n">
        <f aca="false">F8+F10+F24</f>
        <v>11044.9541423404</v>
      </c>
      <c r="G11" s="0" t="n">
        <f aca="false">G8+G10+G24</f>
        <v>11439.0658448648</v>
      </c>
      <c r="H11" s="0" t="n">
        <f aca="false">H8+H10+H24</f>
        <v>11843.0303399524</v>
      </c>
      <c r="I11" s="0" t="n">
        <f aca="false">I8+I10+I24</f>
        <v>12229.8092573437</v>
      </c>
      <c r="J11" s="0" t="n">
        <f aca="false">J8+J10+J24</f>
        <v>12474.4054424906</v>
      </c>
      <c r="K11" s="0" t="n">
        <f aca="false">K8+K10+K24</f>
        <v>12723.8935513404</v>
      </c>
      <c r="L11" s="0" t="n">
        <f aca="false">L8+L10+L24</f>
        <v>12978.3714223672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-4551.29268</v>
      </c>
      <c r="D12" s="4" t="n">
        <f aca="false">-D6*Assumptions!D45/100</f>
        <v>-4551.8040612</v>
      </c>
      <c r="E12" s="4" t="n">
        <f aca="false">-E6*Assumptions!E45/100</f>
        <v>-4524.810804558</v>
      </c>
      <c r="F12" s="4" t="n">
        <f aca="false">-F6*Assumptions!F45/100</f>
        <v>-4492.1013288624</v>
      </c>
      <c r="G12" s="4" t="n">
        <f aca="false">-G6*Assumptions!G45/100</f>
        <v>-4431.73871725581</v>
      </c>
      <c r="H12" s="4" t="n">
        <f aca="false">-H6*Assumptions!H45/100</f>
        <v>-4365.55041173835</v>
      </c>
      <c r="I12" s="4" t="n">
        <f aca="false">-I6*Assumptions!I45/100</f>
        <v>-4323.51724054425</v>
      </c>
      <c r="J12" s="4" t="n">
        <f aca="false">-J6*Assumptions!J45/100</f>
        <v>-4286.63128926129</v>
      </c>
      <c r="K12" s="4" t="n">
        <f aca="false">-K6*Assumptions!K45/100</f>
        <v>-4277.99634853472</v>
      </c>
      <c r="L12" s="4" t="n">
        <f aca="false">-L6*Assumptions!L45/100</f>
        <v>-4299.38633027739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5070.344598</v>
      </c>
      <c r="D13" s="0" t="n">
        <f aca="false">D11+D12</f>
        <v>5565.37438413</v>
      </c>
      <c r="E13" s="0" t="n">
        <f aca="false">E11+E12</f>
        <v>6062.1561622512</v>
      </c>
      <c r="F13" s="0" t="n">
        <f aca="false">F11+F12</f>
        <v>6552.85281347803</v>
      </c>
      <c r="G13" s="0" t="n">
        <f aca="false">G11+G12</f>
        <v>7007.32712760902</v>
      </c>
      <c r="H13" s="0" t="n">
        <f aca="false">H11+H12</f>
        <v>7477.479928214</v>
      </c>
      <c r="I13" s="0" t="n">
        <f aca="false">I11+I12</f>
        <v>7906.29201679945</v>
      </c>
      <c r="J13" s="0" t="n">
        <f aca="false">J11+J12</f>
        <v>8187.77415322929</v>
      </c>
      <c r="K13" s="0" t="n">
        <f aca="false">K11+K12</f>
        <v>8445.89720280567</v>
      </c>
      <c r="L13" s="0" t="n">
        <f aca="false">L11+L12</f>
        <v>8678.98509208981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25</v>
      </c>
      <c r="D14" s="4" t="n">
        <f aca="false">Assumptions!D47</f>
        <v>25.5</v>
      </c>
      <c r="E14" s="4" t="n">
        <f aca="false">Assumptions!E47</f>
        <v>26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3802.7584485</v>
      </c>
      <c r="D15" s="0" t="n">
        <f aca="false">D13-MAX(0,D13)*D14/100</f>
        <v>4146.20391617685</v>
      </c>
      <c r="E15" s="0" t="n">
        <f aca="false">E13-MAX(0,E13)*E14/100</f>
        <v>4485.99556006589</v>
      </c>
      <c r="F15" s="0" t="n">
        <f aca="false">F13-MAX(0,F13)*F14/100</f>
        <v>4816.34681790635</v>
      </c>
      <c r="G15" s="0" t="n">
        <f aca="false">G13-MAX(0,G13)*G14/100</f>
        <v>5150.38543879263</v>
      </c>
      <c r="H15" s="0" t="n">
        <f aca="false">H13-MAX(0,H13)*H14/100</f>
        <v>5495.94774723729</v>
      </c>
      <c r="I15" s="0" t="n">
        <f aca="false">I13-MAX(0,I13)*I14/100</f>
        <v>5811.1246323476</v>
      </c>
      <c r="J15" s="0" t="n">
        <f aca="false">J13-MAX(0,J13)*J14/100</f>
        <v>6018.01400262353</v>
      </c>
      <c r="K15" s="0" t="n">
        <f aca="false">K13-MAX(0,K13)*K14/100</f>
        <v>6207.73444406217</v>
      </c>
      <c r="L15" s="0" t="n">
        <f aca="false">L13-MAX(0,L13)*L14/100</f>
        <v>6379.05404268601</v>
      </c>
    </row>
    <row r="16" customFormat="false" ht="15" hidden="false" customHeight="false" outlineLevel="0" collapsed="false">
      <c r="A16" s="0" t="s">
        <v>122</v>
      </c>
      <c r="C16" s="0" t="n">
        <f aca="false">-C12</f>
        <v>4551.29268</v>
      </c>
      <c r="D16" s="0" t="n">
        <f aca="false">-D12</f>
        <v>4551.8040612</v>
      </c>
      <c r="E16" s="0" t="n">
        <f aca="false">-E12</f>
        <v>4524.810804558</v>
      </c>
      <c r="F16" s="0" t="n">
        <f aca="false">-F12</f>
        <v>4492.1013288624</v>
      </c>
      <c r="G16" s="0" t="n">
        <f aca="false">-G12</f>
        <v>4431.73871725581</v>
      </c>
      <c r="H16" s="0" t="n">
        <f aca="false">-H12</f>
        <v>4365.55041173835</v>
      </c>
      <c r="I16" s="0" t="n">
        <f aca="false">-I12</f>
        <v>4323.51724054425</v>
      </c>
      <c r="J16" s="0" t="n">
        <f aca="false">-J12</f>
        <v>4286.63128926129</v>
      </c>
      <c r="K16" s="0" t="n">
        <f aca="false">-K12</f>
        <v>4277.99634853472</v>
      </c>
      <c r="L16" s="0" t="n">
        <f aca="false">-L12</f>
        <v>4299.38633027739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-3707.5137</v>
      </c>
      <c r="D17" s="4" t="n">
        <f aca="false">-D6*Assumptions!D46/100</f>
        <v>-3704.956794</v>
      </c>
      <c r="E17" s="4" t="n">
        <f aca="false">-E6*Assumptions!E46/100</f>
        <v>-3679.816015755</v>
      </c>
      <c r="F17" s="4" t="n">
        <f aca="false">-F6*Assumptions!F46/100</f>
        <v>-3705.98359631148</v>
      </c>
      <c r="G17" s="4" t="n">
        <f aca="false">-G6*Assumptions!G46/100</f>
        <v>-3741.07813794322</v>
      </c>
      <c r="H17" s="4" t="n">
        <f aca="false">-H6*Assumptions!H46/100</f>
        <v>-3775.61116690885</v>
      </c>
      <c r="I17" s="4" t="n">
        <f aca="false">-I6*Assumptions!I46/100</f>
        <v>-3809.53267348654</v>
      </c>
      <c r="J17" s="4" t="n">
        <f aca="false">-J6*Assumptions!J46/100</f>
        <v>-3854.88425293281</v>
      </c>
      <c r="K17" s="4" t="n">
        <f aca="false">-K6*Assumptions!K46/100</f>
        <v>-3931.98193799147</v>
      </c>
      <c r="L17" s="4" t="n">
        <f aca="false">-L6*Assumptions!L46/100</f>
        <v>-4010.6215767513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4646.5374285</v>
      </c>
      <c r="D19" s="0" t="n">
        <f aca="false">D15+D16+D17+D18</f>
        <v>4993.05118337685</v>
      </c>
      <c r="E19" s="0" t="n">
        <f aca="false">E15+E16+E17+E18</f>
        <v>5330.99034886889</v>
      </c>
      <c r="F19" s="0" t="n">
        <f aca="false">F15+F16+F17+F18</f>
        <v>5602.46455045727</v>
      </c>
      <c r="G19" s="0" t="n">
        <f aca="false">G15+G16+G17+G18</f>
        <v>5841.04601810523</v>
      </c>
      <c r="H19" s="0" t="n">
        <f aca="false">H15+H16+H17+H18</f>
        <v>6085.8869920668</v>
      </c>
      <c r="I19" s="0" t="n">
        <f aca="false">I15+I16+I17+I18</f>
        <v>6325.1091994053</v>
      </c>
      <c r="J19" s="0" t="n">
        <f aca="false">J15+J16+J17+J18</f>
        <v>6449.761038952</v>
      </c>
      <c r="K19" s="0" t="n">
        <f aca="false">K15+K16+K17+K18</f>
        <v>6553.74885460542</v>
      </c>
      <c r="L19" s="0" t="n">
        <f aca="false">L15+L16+L17+L18</f>
        <v>6667.8187962121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4362.94594225352</v>
      </c>
      <c r="D21" s="0" t="n">
        <f aca="false">D19*D20</f>
        <v>4402.1699251708</v>
      </c>
      <c r="E21" s="0" t="n">
        <f aca="false">E19*E20</f>
        <v>4413.25551872156</v>
      </c>
      <c r="F21" s="0" t="n">
        <f aca="false">F19*F20</f>
        <v>4354.92506099009</v>
      </c>
      <c r="G21" s="0" t="n">
        <f aca="false">G19*G20</f>
        <v>4263.26755385204</v>
      </c>
      <c r="H21" s="0" t="n">
        <f aca="false">H19*H20</f>
        <v>4170.86599881851</v>
      </c>
      <c r="I21" s="0" t="n">
        <f aca="false">I19*I20</f>
        <v>4070.24707932582</v>
      </c>
      <c r="J21" s="0" t="n">
        <f aca="false">J19*J20</f>
        <v>3897.14677254902</v>
      </c>
      <c r="K21" s="0" t="n">
        <f aca="false">K19*K20</f>
        <v>3718.29056704338</v>
      </c>
      <c r="L21" s="0" t="n">
        <f aca="false">L19*L20</f>
        <v>3552.12067287534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5</v>
      </c>
      <c r="D23" s="4" t="n">
        <f aca="false">Assumptions!D44</f>
        <v>4.8</v>
      </c>
      <c r="E23" s="4" t="n">
        <f aca="false">Assumptions!E44</f>
        <v>4.6</v>
      </c>
      <c r="F23" s="4" t="n">
        <f aca="false">Assumptions!F44</f>
        <v>4.5</v>
      </c>
      <c r="G23" s="4" t="n">
        <f aca="false">Assumptions!G44</f>
        <v>4.4</v>
      </c>
      <c r="H23" s="4" t="n">
        <f aca="false">Assumptions!H44</f>
        <v>4.3</v>
      </c>
      <c r="I23" s="4" t="n">
        <f aca="false">Assumptions!I44</f>
        <v>4.2</v>
      </c>
      <c r="J23" s="4" t="n">
        <f aca="false">Assumptions!J44</f>
        <v>4.2</v>
      </c>
      <c r="K23" s="4" t="n">
        <f aca="false">Assumptions!K44</f>
        <v>4.2</v>
      </c>
      <c r="L23" s="4" t="n">
        <f aca="false">Assumptions!L44</f>
        <v>4.2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-1278.453</v>
      </c>
      <c r="D24" s="0" t="n">
        <f aca="false">-D6*D23/100</f>
        <v>-1270.2709008</v>
      </c>
      <c r="E24" s="0" t="n">
        <f aca="false">-E6*E23/100</f>
        <v>-1253.863234998</v>
      </c>
      <c r="F24" s="0" t="n">
        <f aca="false">-F6*F23/100</f>
        <v>-1263.40349874255</v>
      </c>
      <c r="G24" s="0" t="n">
        <f aca="false">-G6*G23/100</f>
        <v>-1266.21106207309</v>
      </c>
      <c r="H24" s="0" t="n">
        <f aca="false">-H6*H23/100</f>
        <v>-1268.36937638344</v>
      </c>
      <c r="I24" s="0" t="n">
        <f aca="false">-I6*I23/100</f>
        <v>-1269.84422449551</v>
      </c>
      <c r="J24" s="0" t="n">
        <f aca="false">-J6*J23/100</f>
        <v>-1295.24110898542</v>
      </c>
      <c r="K24" s="0" t="n">
        <f aca="false">-K6*K23/100</f>
        <v>-1321.14593116513</v>
      </c>
      <c r="L24" s="0" t="n">
        <f aca="false">-L6*L23/100</f>
        <v>-1347.56884978844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41205.2350916001</v>
      </c>
    </row>
    <row r="31" customFormat="false" ht="15" hidden="false" customHeight="false" outlineLevel="0" collapsed="false">
      <c r="A31" s="0" t="s">
        <v>131</v>
      </c>
      <c r="B31" s="0" t="n">
        <f aca="false">L19</f>
        <v>6667.8187962121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170862.856652935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106685.100739394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106685.100739394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56833.9307660054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98039.1658576055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57412.1658576055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61.5680062816144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1.29731366722442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734.831631603271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1532.98361710879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63.9999797386783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54676.1141289392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1.01345637263463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15.534942916371</v>
      </c>
      <c r="C4" s="0" t="n">
        <f aca="false">B4/Assumptions!$B$2-1</f>
        <v>-0.420337950881681</v>
      </c>
      <c r="D4" s="4" t="n">
        <f aca="false">Assumptions!$B$24</f>
        <v>0.3</v>
      </c>
      <c r="E4" s="4" t="n">
        <f aca="false">DCF_Bear!$B$43</f>
        <v>17.1301128298388</v>
      </c>
      <c r="F4" s="4" t="n">
        <f aca="false">DCF_Bear!$B$47</f>
        <v>-14.7308892648477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41.3351672075872</v>
      </c>
      <c r="C5" s="0" t="n">
        <f aca="false">B5/Assumptions!$B$2-1</f>
        <v>0.54235698535773</v>
      </c>
      <c r="D5" s="4" t="n">
        <f aca="false">Assumptions!$B$38</f>
        <v>0.5</v>
      </c>
      <c r="E5" s="4" t="n">
        <f aca="false">DCF_Base!$B$43</f>
        <v>43.3965881567844</v>
      </c>
      <c r="F5" s="4" t="n">
        <f aca="false">DCF_Base!$B$47</f>
        <v>-5.79308559020541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61.5680062816144</v>
      </c>
      <c r="C6" s="0" t="n">
        <f aca="false">B6/Assumptions!$B$2-1</f>
        <v>1.29731366722442</v>
      </c>
      <c r="D6" s="4" t="n">
        <f aca="false">Assumptions!$B$52</f>
        <v>0.2</v>
      </c>
      <c r="E6" s="4" t="n">
        <f aca="false">DCF_Bull!$B$43</f>
        <v>63.9999797386783</v>
      </c>
      <c r="F6" s="4" t="n">
        <f aca="false">DCF_Bull!$B$47</f>
        <v>1.01345637263463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37.6416677350278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39.6373238750795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0.28802304433868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-543.263316632625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-7.11311830003008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41.3351672075872</v>
      </c>
      <c r="C15" s="3" t="n">
        <v>6.5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26.4033834674446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17.6944312668227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10.9163818999279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5.49035372543868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-5.79308559020541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55.0406064796992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55.0406064796992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55.0406064796992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55.0406064796992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55.0406064796992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47.8614798352524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47.8614798352524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47.8614798352524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47.8614798352524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47.8614798352524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41.3351672075872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41.3351672075872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41.3351672075872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41.3351672075872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41.3351672075872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35.3948626884749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35.3948626884749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35.3948626884749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35.3948626884749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35.3948626884749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26.0410499667617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28.6963875770242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29.9812283561835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29.9812283561835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29.9812283561835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2026-10-10T07:48:46Z</dcterms:created>
  <dc:creator>openpyxl</dc:creator>
  <dc:description/>
  <dc:language>en-NZ</dc:language>
  <cp:lastModifiedBy/>
  <dcterms:modified xsi:type="dcterms:W3CDTF">2026-10-10T07:48:46Z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