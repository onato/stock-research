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<sst xmlns="http://schemas.openxmlformats.org/spreadsheetml/2006/main" count="354" uniqueCount="164">
  <si>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</si>
  <si>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2050.HK</t>
  </si>
  <si>
    <t xml:space="preserve">Company</t>
  </si>
  <si>
    <t xml:space="preserve">Zhejiang Sanhua Intelligent Controls Co., Ltd.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</si>
  <si>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</si>
  <si>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</si>
  <si>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</si>
  <si>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</si>
  <si>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(HKEX regular close, Friday)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</si>
  <si>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</si>
  <si>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</si>
  <si>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</si>
  <si>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</si>
  <si>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</si>
  <si>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</si>
  <si>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</si>
  <si>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</si>
  <si>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</si>
  <si>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</si>
  <si>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</si>
  <si>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</si>
  <si>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</si>
  <si>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2026-10-17T02:40:03Z</t>
  </si>
  <si>
    <t xml:space="preserve">Drivers file</t>
  </si>
  <si>
    <t xml:space="preserve">2050.HK_Drivers.json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</si>
  <si>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</si>
  <si>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</si>
  <si>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</si>
  <si>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proven two-segment components franchise on its own owner cash flows (SBC expensed, interest income stripped and the cash pile added once) and treat robotics and data-centre cooling as bull-case optionality only, not as a base-case input. The H-share is valued in RMB and converted to HKD. The large A/H premium means the H-share is the cheaper line of the same claim, but the A-share price is not used as a valuation anchor.
key_risks_to_valuation: Growth path: the base case assumes reacceleration to 8-9% in FY2027-28 from +3.9% in H1 FY2026. If deceleration persists, the value moves toward bear.; Margin: China appliance/NEV price wars and RMB appreciation (H1 FY2026 FX loss of RMB 285m) could hold EBITDA below 20%.; Trade policy: US tariffs on Chinese-origin components and the EV tax-credit phase-out hit both segments; the Mexico capacity mitigates this only partly.; Tax: about 15% high-tech-enterprise status. Loss of it, or a heavier overseas mix, lifts the cash tax rate.; FX bridge: the value is computed in CNY and converted at a fixed CNYHKD rate that refresh_price.py does not update.; Optionality mispricing: the market has repeatedly re-rated the stock on humanoid-robot news (52-week range 20.66-43.66 HKD). This model gives no base-case credit for it.</t>
  </si>
  <si>
    <t xml:space="preserve">Data sources</t>
  </si>
  <si>
    <t xml:space="preserve">price: Yahoo Finance chart API (2050.HK, HKD) at inputs.price_as_of; 52-week range 20.66-43.66. A-share 002050.SZ and CNYHKD=X from the same API, for the parity and FX checks.
financials: HKFRS Annual Report FY2025 and Interim Report H1 FY2026 (Extracted/), CAS annual reports FY2016-FY2024 for history; Metrics.csv in CNY millions.
qualitative: 2050.HK_Analysis.json (2026-10-17).</t>
  </si>
  <si>
    <t xml:space="preserve">Scenario narrative: bear</t>
  </si>
  <si>
    <t xml:space="preserve">Price wars ('involution') in China appliances and NEV, US tariff/EV-credit headwinds, and RMB strength compress margin to ~18% while growth slows to low-single digits; robotics stays at sampling; the H1 FY2026 deceleration (+3.9% revenue, -3.1% profit) proves to be the trend rather than a pause.</t>
  </si>
  <si>
    <t xml:space="preserve">Scenario narrative: base</t>
  </si>
  <si>
    <t xml:space="preserve">Steady mid/high-single-digit compounding: HVAC component share gains and heat-pump/refrigerant upgrades outside China offset a flat post-subsidy China AC market, NEV thermal-management content keeps growing, and data-centre liquid cooling contributes from FY2027. Margins hold ~20.5% pre-SBC; capex normalises to ~5% as the overseas plant build completes; no robotics revenue is assumed.</t>
  </si>
  <si>
    <t xml:space="preserve">Scenario narrative: bull</t>
  </si>
  <si>
    <t xml:space="preserve">The third growth curve arrives: bionic-robot actuators reach volume with domestic humanoid OEMs and data-centre liquid cooling scales with AI capex, lifting group margin to ~22.5% and growth back to low-teens through FY2030. Tariff-displaced share flows to the Mexico/Thailand/Vietnam/Poland footprint.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</si>
  <si>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</si>
  <si>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</si>
  <si>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</si>
  <si>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</si>
  <si>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</si>
  <si>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</si>
  <si>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</si>
  <si>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</si>
  <si>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</si>
  <si>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</si>
  <si>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</si>
  <si>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</si>
  <si>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</si>
  <si>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</si>
  <si>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</si>
  <si>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</si>
  <si>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</si>
  <si>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</si>
  <si>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</si>
  <si>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</si>
  <si>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</si>
  <si>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</si>
  <si>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</si>
  <si>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</si>
  <si>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</si>
  <si>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</si>
  <si>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</si>
  <si>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OperatingCashFlowCAS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</si>
  <si>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</si>
  <si>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</si>
  <si>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</si>
  <si>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</si>
  <si>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</si>
  <si>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</si>
  <si>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</si>
  <si>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</si>
  <si>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</si>
  <si>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</si>
  <si>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</si>
  <si>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</si>
  <si>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</si>
  <si>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</si>
  <si>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</si>
  <si>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</si>
  <si>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</si>
  <si>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</si>
  <si>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</si>
  <si>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</si>
  <si>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</si>
  <si>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</si>
  <si>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</si>
  <si>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</si>
  <si>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</si>
  <si>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</si>
  <si>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</si>
  <si>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</si>
  <si>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</si>
  <si>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</si>
  <si>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</si>
  <si>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</si>
  <si>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</si>
  <si>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</si>
  <si>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</si>
  <si>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</si>
  <si>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</si>
  <si>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</si>
  <si>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</si>
  <si>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</si>
  <si>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</si>
  <si>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</si>
  <si>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</si>
  <si>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</si>
  <si>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</si>
  <si>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2050.HK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</si>
  <si>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</si>
  <si>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</si>
  <si>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</si>
  <si>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</si>
  <si>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</si>
  <si>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</si>
  <si>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</si>
  <si>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</si>
  <si>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</si>
  <si>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</si>
  <si>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</si>
  <si>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</si>
  <si>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</si>
  <si>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</si>
  <si>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</si>
  <si>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</si>
  <si>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</si>
  <si>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</si>
  <si>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</si>
  <si>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</si>
  <si>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</si>
  <si>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</si>
  <si>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</si>
  <si>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</si>
  <si>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</si>
  <si>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</si>
  <si>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</si>
  <si>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</si>
  <si>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</si>
  <si>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</si>
  <si>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2050.HK owner-FCF component DCF: base case (millions, CNY)</t>
  </si>
  <si>
    <t xml:space="preserve">2050.HK owner-FCF component DCF: bull case (millions, CNY)</t>
  </si>
  <si>
    <t xml:space="preserve">2050.HK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</si>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</sst>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21.58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10836</v>
      </c>
      <c r="I2" s="0" t="n">
        <v>1292.3</v>
      </c>
      <c r="J2" s="0" t="n">
        <v>11.9</v>
      </c>
      <c r="K2" s="0" t="n">
        <v>0.36</v>
      </c>
      <c r="L2" s="0" t="n">
        <v>1287.6</v>
      </c>
      <c r="O2" s="0" t="n">
        <v>8614.8</v>
      </c>
      <c r="P2" s="0" t="n">
        <v>13932.2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11287.5</v>
      </c>
      <c r="I3" s="0" t="n">
        <v>1421.2</v>
      </c>
      <c r="J3" s="0" t="n">
        <v>12.6</v>
      </c>
      <c r="K3" s="0" t="n">
        <v>0.4</v>
      </c>
      <c r="L3" s="0" t="n">
        <v>1900.2</v>
      </c>
      <c r="M3" s="0" t="n">
        <v>869.1</v>
      </c>
      <c r="N3" s="0" t="n">
        <v>1031</v>
      </c>
      <c r="O3" s="0" t="n">
        <v>9291.6</v>
      </c>
      <c r="P3" s="0" t="n">
        <v>14790.2</v>
      </c>
      <c r="Q3" s="0" t="n">
        <v>5424.8</v>
      </c>
      <c r="S3" s="0" t="n">
        <v>2663.7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12109.8</v>
      </c>
      <c r="I4" s="0" t="n">
        <v>1462.2</v>
      </c>
      <c r="J4" s="0" t="n">
        <v>12.1</v>
      </c>
      <c r="K4" s="0" t="n">
        <v>0.41</v>
      </c>
      <c r="L4" s="0" t="n">
        <v>2087.3</v>
      </c>
      <c r="M4" s="0" t="n">
        <v>1149.4</v>
      </c>
      <c r="N4" s="0" t="n">
        <v>938</v>
      </c>
      <c r="O4" s="0" t="n">
        <v>10064.8</v>
      </c>
      <c r="P4" s="0" t="n">
        <v>17032.5</v>
      </c>
      <c r="U4" s="0" t="n">
        <v>19.1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16020.8</v>
      </c>
      <c r="I5" s="0" t="n">
        <v>1684</v>
      </c>
      <c r="J5" s="0" t="n">
        <v>10.5</v>
      </c>
      <c r="K5" s="0" t="n">
        <v>0.47</v>
      </c>
      <c r="L5" s="0" t="n">
        <v>1555.8</v>
      </c>
      <c r="O5" s="0" t="n">
        <v>11150.3</v>
      </c>
      <c r="P5" s="0" t="n">
        <v>23620</v>
      </c>
      <c r="Q5" s="0" t="n">
        <v>12367.4</v>
      </c>
      <c r="S5" s="0" t="n">
        <v>6707.7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21347.5</v>
      </c>
      <c r="I6" s="0" t="n">
        <v>2573.3</v>
      </c>
      <c r="J6" s="0" t="n">
        <v>12.1</v>
      </c>
      <c r="K6" s="0" t="n">
        <v>0.72</v>
      </c>
      <c r="L6" s="0" t="n">
        <v>2509.7</v>
      </c>
      <c r="O6" s="0" t="n">
        <v>12941.3</v>
      </c>
      <c r="P6" s="0" t="n">
        <v>27961.2</v>
      </c>
      <c r="Q6" s="0" t="n">
        <v>14841.9</v>
      </c>
      <c r="S6" s="0" t="n">
        <v>5878.2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70</v>
      </c>
      <c r="B7" s="0" t="n">
        <v>24557.8</v>
      </c>
      <c r="I7" s="0" t="n">
        <v>2921</v>
      </c>
      <c r="J7" s="0" t="n">
        <v>11.9</v>
      </c>
      <c r="K7" s="0" t="n">
        <v>0.81</v>
      </c>
      <c r="L7" s="0" t="n">
        <v>3724</v>
      </c>
      <c r="O7" s="0" t="n">
        <v>17894.4</v>
      </c>
      <c r="P7" s="0" t="n">
        <v>31890.6</v>
      </c>
      <c r="Q7" s="0" t="n">
        <v>13826.9</v>
      </c>
      <c r="S7" s="0" t="n">
        <v>6584.7</v>
      </c>
      <c r="U7" s="0" t="n">
        <v>67.1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71</v>
      </c>
      <c r="B8" s="0" t="n">
        <v>27947.2</v>
      </c>
      <c r="C8" s="0" t="n">
        <v>20326.3</v>
      </c>
      <c r="D8" s="0" t="n">
        <v>7620.8</v>
      </c>
      <c r="E8" s="0" t="n">
        <v>27.3</v>
      </c>
      <c r="F8" s="0" t="n">
        <v>3747.9</v>
      </c>
      <c r="G8" s="0" t="n">
        <v>13.4</v>
      </c>
      <c r="H8" s="0" t="n">
        <v>4761.4</v>
      </c>
      <c r="I8" s="0" t="n">
        <v>3099.2</v>
      </c>
      <c r="J8" s="0" t="n">
        <v>11.1</v>
      </c>
      <c r="K8" s="0" t="n">
        <v>0.84</v>
      </c>
      <c r="L8" s="0" t="n">
        <v>4026.2</v>
      </c>
      <c r="M8" s="0" t="n">
        <v>3290.1</v>
      </c>
      <c r="N8" s="0" t="n">
        <v>736</v>
      </c>
      <c r="O8" s="0" t="n">
        <v>19297.8</v>
      </c>
      <c r="P8" s="0" t="n">
        <v>36354.7</v>
      </c>
      <c r="Q8" s="0" t="n">
        <v>16835.1</v>
      </c>
      <c r="R8" s="0" t="n">
        <v>4099.5</v>
      </c>
      <c r="S8" s="0" t="n">
        <v>5248.6</v>
      </c>
      <c r="T8" s="0" t="n">
        <v>3706.7</v>
      </c>
      <c r="U8" s="0" t="n">
        <v>109.1</v>
      </c>
      <c r="AA8" s="0" t="s">
        <v>18</v>
      </c>
      <c r="AB8" s="0" t="s">
        <v>14</v>
      </c>
      <c r="AC8" s="0" t="n">
        <v>4366.6</v>
      </c>
    </row>
    <row r="9" customFormat="false" ht="15" hidden="false" customHeight="false" outlineLevel="0" collapsed="false">
      <c r="A9" s="0" t="s">
        <v>72</v>
      </c>
      <c r="B9" s="0" t="n">
        <v>31011.7</v>
      </c>
      <c r="C9" s="0" t="n">
        <v>22205.1</v>
      </c>
      <c r="D9" s="0" t="n">
        <v>8806.7</v>
      </c>
      <c r="E9" s="0" t="n">
        <v>28.4</v>
      </c>
      <c r="F9" s="0" t="n">
        <v>4836.1</v>
      </c>
      <c r="G9" s="0" t="n">
        <v>15.6</v>
      </c>
      <c r="H9" s="0" t="n">
        <v>6092.5</v>
      </c>
      <c r="I9" s="0" t="n">
        <v>4062.9</v>
      </c>
      <c r="J9" s="0" t="n">
        <v>13.1</v>
      </c>
      <c r="K9" s="0" t="n">
        <v>1.03</v>
      </c>
      <c r="L9" s="0" t="n">
        <v>4905.4</v>
      </c>
      <c r="M9" s="0" t="n">
        <v>3152.4</v>
      </c>
      <c r="N9" s="0" t="n">
        <v>1753</v>
      </c>
      <c r="O9" s="0" t="n">
        <v>31748.9</v>
      </c>
      <c r="P9" s="0" t="n">
        <v>49406.1</v>
      </c>
      <c r="Q9" s="0" t="n">
        <v>17365.9</v>
      </c>
      <c r="R9" s="0" t="n">
        <v>3742.5</v>
      </c>
      <c r="S9" s="0" t="n">
        <v>14912</v>
      </c>
      <c r="T9" s="0" t="n">
        <v>3957.2</v>
      </c>
      <c r="U9" s="0" t="n">
        <v>108.1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21.58</v>
      </c>
    </row>
    <row r="3" customFormat="false" ht="15" hidden="false" customHeight="false" outlineLevel="0" collapsed="false">
      <c r="A3" s="0" t="s">
        <v>76</v>
      </c>
      <c r="B3" s="3" t="n">
        <v>4195.3</v>
      </c>
    </row>
    <row r="4" customFormat="false" ht="15" hidden="false" customHeight="false" outlineLevel="0" collapsed="false">
      <c r="A4" s="0" t="s">
        <v>77</v>
      </c>
      <c r="B4" s="3" t="n">
        <v>-11927.8</v>
      </c>
    </row>
    <row r="5" customFormat="false" ht="15" hidden="false" customHeight="false" outlineLevel="0" collapsed="false">
      <c r="A5" s="0" t="s">
        <v>78</v>
      </c>
      <c r="B5" s="3" t="n">
        <v>0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31011.7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1.1724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1.5</v>
      </c>
      <c r="D13" s="3" t="n">
        <v>2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</v>
      </c>
    </row>
    <row r="14" customFormat="false" ht="15" hidden="false" customHeight="false" outlineLevel="0" collapsed="false">
      <c r="A14" s="0" t="s">
        <v>97</v>
      </c>
      <c r="C14" s="3" t="n">
        <v>19</v>
      </c>
      <c r="D14" s="3" t="n">
        <v>18.7</v>
      </c>
      <c r="E14" s="3" t="n">
        <v>18.5</v>
      </c>
      <c r="F14" s="3" t="n">
        <v>18.3</v>
      </c>
      <c r="G14" s="3" t="n">
        <v>18</v>
      </c>
      <c r="H14" s="3" t="n">
        <v>18</v>
      </c>
      <c r="I14" s="3" t="n">
        <v>18</v>
      </c>
      <c r="J14" s="3" t="n">
        <v>18</v>
      </c>
      <c r="K14" s="3" t="n">
        <v>18</v>
      </c>
      <c r="L14" s="3" t="n">
        <v>18</v>
      </c>
    </row>
    <row r="15" customFormat="false" ht="15" hidden="false" customHeight="false" outlineLevel="0" collapsed="false">
      <c r="A15" s="0" t="s">
        <v>98</v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4.2</v>
      </c>
      <c r="D17" s="3" t="n">
        <v>4.4</v>
      </c>
      <c r="E17" s="3" t="n">
        <v>4.5</v>
      </c>
      <c r="F17" s="3" t="n">
        <v>4.5</v>
      </c>
      <c r="G17" s="3" t="n">
        <v>4.5</v>
      </c>
      <c r="H17" s="3" t="n">
        <v>4.4</v>
      </c>
      <c r="I17" s="3" t="n">
        <v>4.3</v>
      </c>
      <c r="J17" s="3" t="n">
        <v>4.2</v>
      </c>
      <c r="K17" s="3" t="n">
        <v>4.1</v>
      </c>
      <c r="L17" s="3" t="n">
        <v>4</v>
      </c>
    </row>
    <row r="18" customFormat="false" ht="15" hidden="false" customHeight="false" outlineLevel="0" collapsed="false">
      <c r="A18" s="0" t="s">
        <v>101</v>
      </c>
      <c r="C18" s="3" t="n">
        <v>8</v>
      </c>
      <c r="D18" s="3" t="n">
        <v>7</v>
      </c>
      <c r="E18" s="3" t="n">
        <v>6.5</v>
      </c>
      <c r="F18" s="3" t="n">
        <v>6</v>
      </c>
      <c r="G18" s="3" t="n">
        <v>5.5</v>
      </c>
      <c r="H18" s="3" t="n">
        <v>5</v>
      </c>
      <c r="I18" s="3" t="n">
        <v>5</v>
      </c>
      <c r="J18" s="3" t="n">
        <v>5</v>
      </c>
      <c r="K18" s="3" t="n">
        <v>5</v>
      </c>
      <c r="L18" s="3" t="n">
        <v>5</v>
      </c>
    </row>
    <row r="19" customFormat="false" ht="15" hidden="false" customHeight="false" outlineLevel="0" collapsed="false">
      <c r="A19" s="0" t="s">
        <v>102</v>
      </c>
      <c r="C19" s="3" t="n">
        <v>16.5</v>
      </c>
      <c r="D19" s="3" t="n">
        <v>17</v>
      </c>
      <c r="E19" s="3" t="n">
        <v>17.5</v>
      </c>
      <c r="F19" s="3" t="n">
        <v>18</v>
      </c>
      <c r="G19" s="3" t="n">
        <v>18.5</v>
      </c>
      <c r="H19" s="3" t="n">
        <v>19</v>
      </c>
      <c r="I19" s="3" t="n">
        <v>19</v>
      </c>
      <c r="J19" s="3" t="n">
        <v>19</v>
      </c>
      <c r="K19" s="3" t="n">
        <v>19</v>
      </c>
      <c r="L19" s="3" t="n">
        <v>19</v>
      </c>
    </row>
    <row r="20" customFormat="false" ht="15" hidden="false" customHeight="false" outlineLevel="0" collapsed="false">
      <c r="A20" s="0" t="s">
        <v>103</v>
      </c>
      <c r="B20" s="3" t="n">
        <v>9</v>
      </c>
    </row>
    <row r="21" customFormat="false" ht="15" hidden="false" customHeight="false" outlineLevel="0" collapsed="false">
      <c r="A21" s="0" t="s">
        <v>104</v>
      </c>
      <c r="B21" s="3" t="n">
        <v>2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-22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4</v>
      </c>
      <c r="D27" s="3" t="n">
        <v>8</v>
      </c>
      <c r="E27" s="3" t="n">
        <v>9</v>
      </c>
      <c r="F27" s="3" t="n">
        <v>9</v>
      </c>
      <c r="G27" s="3" t="n">
        <v>8</v>
      </c>
      <c r="H27" s="3" t="n">
        <v>7</v>
      </c>
      <c r="I27" s="3" t="n">
        <v>6</v>
      </c>
      <c r="J27" s="3" t="n">
        <v>5</v>
      </c>
      <c r="K27" s="3" t="n">
        <v>4</v>
      </c>
      <c r="L27" s="3" t="n">
        <v>3</v>
      </c>
    </row>
    <row r="28" customFormat="false" ht="15" hidden="false" customHeight="false" outlineLevel="0" collapsed="false">
      <c r="A28" s="0" t="s">
        <v>97</v>
      </c>
      <c r="C28" s="3" t="n">
        <v>20</v>
      </c>
      <c r="D28" s="3" t="n">
        <v>20.2</v>
      </c>
      <c r="E28" s="3" t="n">
        <v>20.4</v>
      </c>
      <c r="F28" s="3" t="n">
        <v>20.5</v>
      </c>
      <c r="G28" s="3" t="n">
        <v>20.5</v>
      </c>
      <c r="H28" s="3" t="n">
        <v>20.5</v>
      </c>
      <c r="I28" s="3" t="n">
        <v>20.5</v>
      </c>
      <c r="J28" s="3" t="n">
        <v>20.5</v>
      </c>
      <c r="K28" s="3" t="n">
        <v>20.5</v>
      </c>
      <c r="L28" s="3" t="n">
        <v>20.5</v>
      </c>
    </row>
    <row r="29" customFormat="false" ht="15" hidden="false" customHeight="false" outlineLevel="0" collapsed="false">
      <c r="A29" s="0" t="s">
        <v>98</v>
      </c>
      <c r="C29" s="3" t="n">
        <v>0.3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4.2</v>
      </c>
      <c r="D31" s="3" t="n">
        <v>4.3</v>
      </c>
      <c r="E31" s="3" t="n">
        <v>4.4</v>
      </c>
      <c r="F31" s="3" t="n">
        <v>4.4</v>
      </c>
      <c r="G31" s="3" t="n">
        <v>4.4</v>
      </c>
      <c r="H31" s="3" t="n">
        <v>4.4</v>
      </c>
      <c r="I31" s="3" t="n">
        <v>4.3</v>
      </c>
      <c r="J31" s="3" t="n">
        <v>4.2</v>
      </c>
      <c r="K31" s="3" t="n">
        <v>4.1</v>
      </c>
      <c r="L31" s="3" t="n">
        <v>4</v>
      </c>
    </row>
    <row r="32" customFormat="false" ht="15" hidden="false" customHeight="false" outlineLevel="0" collapsed="false">
      <c r="A32" s="0" t="s">
        <v>101</v>
      </c>
      <c r="C32" s="3" t="n">
        <v>8.5</v>
      </c>
      <c r="D32" s="3" t="n">
        <v>8</v>
      </c>
      <c r="E32" s="3" t="n">
        <v>7.5</v>
      </c>
      <c r="F32" s="3" t="n">
        <v>7</v>
      </c>
      <c r="G32" s="3" t="n">
        <v>6.5</v>
      </c>
      <c r="H32" s="3" t="n">
        <v>6</v>
      </c>
      <c r="I32" s="3" t="n">
        <v>5.5</v>
      </c>
      <c r="J32" s="3" t="n">
        <v>5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102</v>
      </c>
      <c r="C33" s="3" t="n">
        <v>16.5</v>
      </c>
      <c r="D33" s="3" t="n">
        <v>16.5</v>
      </c>
      <c r="E33" s="3" t="n">
        <v>16.5</v>
      </c>
      <c r="F33" s="3" t="n">
        <v>16.5</v>
      </c>
      <c r="G33" s="3" t="n">
        <v>17</v>
      </c>
      <c r="H33" s="3" t="n">
        <v>17</v>
      </c>
      <c r="I33" s="3" t="n">
        <v>17</v>
      </c>
      <c r="J33" s="3" t="n">
        <v>17.5</v>
      </c>
      <c r="K33" s="3" t="n">
        <v>17.5</v>
      </c>
      <c r="L33" s="3" t="n">
        <v>17.5</v>
      </c>
    </row>
    <row r="34" customFormat="false" ht="15" hidden="false" customHeight="false" outlineLevel="0" collapsed="false">
      <c r="A34" s="0" t="s">
        <v>103</v>
      </c>
      <c r="B34" s="3" t="n">
        <v>9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15</v>
      </c>
    </row>
    <row r="37" customFormat="false" ht="15" hidden="false" customHeight="false" outlineLevel="0" collapsed="false">
      <c r="A37" s="0" t="s">
        <v>106</v>
      </c>
      <c r="B37" s="3" t="n">
        <v>-22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5</v>
      </c>
      <c r="D41" s="3" t="n">
        <v>11</v>
      </c>
      <c r="E41" s="3" t="n">
        <v>13</v>
      </c>
      <c r="F41" s="3" t="n">
        <v>13</v>
      </c>
      <c r="G41" s="3" t="n">
        <v>12</v>
      </c>
      <c r="H41" s="3" t="n">
        <v>10</v>
      </c>
      <c r="I41" s="3" t="n">
        <v>8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97</v>
      </c>
      <c r="C42" s="3" t="n">
        <v>20.5</v>
      </c>
      <c r="D42" s="3" t="n">
        <v>21</v>
      </c>
      <c r="E42" s="3" t="n">
        <v>21.5</v>
      </c>
      <c r="F42" s="3" t="n">
        <v>22</v>
      </c>
      <c r="G42" s="3" t="n">
        <v>22.3</v>
      </c>
      <c r="H42" s="3" t="n">
        <v>22.5</v>
      </c>
      <c r="I42" s="3" t="n">
        <v>22.5</v>
      </c>
      <c r="J42" s="3" t="n">
        <v>22.5</v>
      </c>
      <c r="K42" s="3" t="n">
        <v>22.5</v>
      </c>
      <c r="L42" s="3" t="n">
        <v>22.5</v>
      </c>
    </row>
    <row r="43" customFormat="false" ht="15" hidden="false" customHeight="false" outlineLevel="0" collapsed="false">
      <c r="A43" s="0" t="s">
        <v>98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4.2</v>
      </c>
      <c r="D45" s="3" t="n">
        <v>4.3</v>
      </c>
      <c r="E45" s="3" t="n">
        <v>4.5</v>
      </c>
      <c r="F45" s="3" t="n">
        <v>4.6</v>
      </c>
      <c r="G45" s="3" t="n">
        <v>4.6</v>
      </c>
      <c r="H45" s="3" t="n">
        <v>4.5</v>
      </c>
      <c r="I45" s="3" t="n">
        <v>4.4</v>
      </c>
      <c r="J45" s="3" t="n">
        <v>4.3</v>
      </c>
      <c r="K45" s="3" t="n">
        <v>4.2</v>
      </c>
      <c r="L45" s="3" t="n">
        <v>4.1</v>
      </c>
    </row>
    <row r="46" customFormat="false" ht="15" hidden="false" customHeight="false" outlineLevel="0" collapsed="false">
      <c r="A46" s="0" t="s">
        <v>101</v>
      </c>
      <c r="C46" s="3" t="n">
        <v>9</v>
      </c>
      <c r="D46" s="3" t="n">
        <v>9</v>
      </c>
      <c r="E46" s="3" t="n">
        <v>8.5</v>
      </c>
      <c r="F46" s="3" t="n">
        <v>8</v>
      </c>
      <c r="G46" s="3" t="n">
        <v>7</v>
      </c>
      <c r="H46" s="3" t="n">
        <v>6.5</v>
      </c>
      <c r="I46" s="3" t="n">
        <v>6</v>
      </c>
      <c r="J46" s="3" t="n">
        <v>5.5</v>
      </c>
      <c r="K46" s="3" t="n">
        <v>5</v>
      </c>
      <c r="L46" s="3" t="n">
        <v>5</v>
      </c>
    </row>
    <row r="47" customFormat="false" ht="15" hidden="false" customHeight="false" outlineLevel="0" collapsed="false">
      <c r="A47" s="0" t="s">
        <v>102</v>
      </c>
      <c r="C47" s="3" t="n">
        <v>16.5</v>
      </c>
      <c r="D47" s="3" t="n">
        <v>16.5</v>
      </c>
      <c r="E47" s="3" t="n">
        <v>16.5</v>
      </c>
      <c r="F47" s="3" t="n">
        <v>16.5</v>
      </c>
      <c r="G47" s="3" t="n">
        <v>16.5</v>
      </c>
      <c r="H47" s="3" t="n">
        <v>17</v>
      </c>
      <c r="I47" s="3" t="n">
        <v>17</v>
      </c>
      <c r="J47" s="3" t="n">
        <v>17</v>
      </c>
      <c r="K47" s="3" t="n">
        <v>17</v>
      </c>
      <c r="L47" s="3" t="n">
        <v>17</v>
      </c>
    </row>
    <row r="48" customFormat="false" ht="15" hidden="false" customHeight="false" outlineLevel="0" collapsed="false">
      <c r="A48" s="0" t="s">
        <v>103</v>
      </c>
      <c r="B48" s="3" t="n">
        <v>9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16</v>
      </c>
    </row>
    <row r="51" customFormat="false" ht="15" hidden="false" customHeight="false" outlineLevel="0" collapsed="false">
      <c r="A51" s="0" t="s">
        <v>106</v>
      </c>
      <c r="B51" s="3" t="n">
        <v>-22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1.5</v>
      </c>
      <c r="D5" s="4" t="n">
        <f aca="false">Assumptions!D13</f>
        <v>2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31011.7</v>
      </c>
      <c r="C6" s="0" t="n">
        <f aca="false">B6*(1+C5/100)</f>
        <v>31476.8755</v>
      </c>
      <c r="D6" s="0" t="n">
        <f aca="false">C6*(1+D5/100)</f>
        <v>32106.41301</v>
      </c>
      <c r="E6" s="0" t="n">
        <f aca="false">D6*(1+E5/100)</f>
        <v>33069.6054003</v>
      </c>
      <c r="F6" s="0" t="n">
        <f aca="false">E6*(1+F5/100)</f>
        <v>34061.693562309</v>
      </c>
      <c r="G6" s="0" t="n">
        <f aca="false">F6*(1+G5/100)</f>
        <v>35083.5443691783</v>
      </c>
      <c r="H6" s="0" t="n">
        <f aca="false">G6*(1+H5/100)</f>
        <v>36136.0507002536</v>
      </c>
      <c r="I6" s="0" t="n">
        <f aca="false">H6*(1+I5/100)</f>
        <v>37220.1322212612</v>
      </c>
      <c r="J6" s="0" t="n">
        <f aca="false">I6*(1+J5/100)</f>
        <v>38150.6355267928</v>
      </c>
      <c r="K6" s="0" t="n">
        <f aca="false">J6*(1+K5/100)</f>
        <v>39104.4014149626</v>
      </c>
      <c r="L6" s="0" t="n">
        <f aca="false">K6*(1+L5/100)</f>
        <v>39886.4894432618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19</v>
      </c>
      <c r="D7" s="4" t="n">
        <f aca="false">Assumptions!D14</f>
        <v>18.7</v>
      </c>
      <c r="E7" s="4" t="n">
        <f aca="false">Assumptions!E14</f>
        <v>18.5</v>
      </c>
      <c r="F7" s="4" t="n">
        <f aca="false">Assumptions!F14</f>
        <v>18.3</v>
      </c>
      <c r="G7" s="4" t="n">
        <f aca="false">Assumptions!G14</f>
        <v>18</v>
      </c>
      <c r="H7" s="4" t="n">
        <f aca="false">Assumptions!H14</f>
        <v>18</v>
      </c>
      <c r="I7" s="4" t="n">
        <f aca="false">Assumptions!I14</f>
        <v>18</v>
      </c>
      <c r="J7" s="4" t="n">
        <f aca="false">Assumptions!J14</f>
        <v>18</v>
      </c>
      <c r="K7" s="4" t="n">
        <f aca="false">Assumptions!K14</f>
        <v>18</v>
      </c>
      <c r="L7" s="4" t="n">
        <f aca="false">Assumptions!L14</f>
        <v>18</v>
      </c>
    </row>
    <row r="8" customFormat="false" ht="15" hidden="false" customHeight="false" outlineLevel="0" collapsed="false">
      <c r="A8" s="0" t="s">
        <v>44</v>
      </c>
      <c r="C8" s="0" t="n">
        <f aca="false">C6*C7/100</f>
        <v>5980.606345</v>
      </c>
      <c r="D8" s="0" t="n">
        <f aca="false">D6*D7/100</f>
        <v>6003.89923287</v>
      </c>
      <c r="E8" s="0" t="n">
        <f aca="false">E6*E7/100</f>
        <v>6117.8769990555</v>
      </c>
      <c r="F8" s="0" t="n">
        <f aca="false">F6*F7/100</f>
        <v>6233.28992190255</v>
      </c>
      <c r="G8" s="0" t="n">
        <f aca="false">G6*G7/100</f>
        <v>6315.03798645209</v>
      </c>
      <c r="H8" s="0" t="n">
        <f aca="false">H6*H7/100</f>
        <v>6504.48912604565</v>
      </c>
      <c r="I8" s="0" t="n">
        <f aca="false">I6*I7/100</f>
        <v>6699.62379982702</v>
      </c>
      <c r="J8" s="0" t="n">
        <f aca="false">J6*J7/100</f>
        <v>6867.1143948227</v>
      </c>
      <c r="K8" s="0" t="n">
        <f aca="false">K6*K7/100</f>
        <v>7038.79225469326</v>
      </c>
      <c r="L8" s="0" t="n">
        <f aca="false">L6*L7/100</f>
        <v>7179.56809978713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0.3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-94.4306265</v>
      </c>
      <c r="D10" s="0" t="n">
        <f aca="false">-D6*D9/100</f>
        <v>-96.31923903</v>
      </c>
      <c r="E10" s="0" t="n">
        <f aca="false">-E6*E9/100</f>
        <v>-99.2088162009</v>
      </c>
      <c r="F10" s="0" t="n">
        <f aca="false">-F6*F9/100</f>
        <v>-102.185080686927</v>
      </c>
      <c r="G10" s="0" t="n">
        <f aca="false">-G6*G9/100</f>
        <v>-105.250633107535</v>
      </c>
      <c r="H10" s="0" t="n">
        <f aca="false">-H6*H9/100</f>
        <v>-108.408152100761</v>
      </c>
      <c r="I10" s="0" t="n">
        <f aca="false">-I6*I9/100</f>
        <v>-111.660396663784</v>
      </c>
      <c r="J10" s="0" t="n">
        <f aca="false">-J6*J9/100</f>
        <v>-114.451906580378</v>
      </c>
      <c r="K10" s="0" t="n">
        <f aca="false">-K6*K9/100</f>
        <v>-117.313204244888</v>
      </c>
      <c r="L10" s="0" t="n">
        <f aca="false">-L6*L9/100</f>
        <v>-119.659468329785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5886.1757185</v>
      </c>
      <c r="D11" s="0" t="n">
        <f aca="false">D8+D10+D24</f>
        <v>5907.57999384</v>
      </c>
      <c r="E11" s="0" t="n">
        <f aca="false">E8+E10+E24</f>
        <v>6018.6681828546</v>
      </c>
      <c r="F11" s="0" t="n">
        <f aca="false">F8+F10+F24</f>
        <v>6131.10484121562</v>
      </c>
      <c r="G11" s="0" t="n">
        <f aca="false">G8+G10+G24</f>
        <v>6209.78735334455</v>
      </c>
      <c r="H11" s="0" t="n">
        <f aca="false">H8+H10+H24</f>
        <v>6396.08097394489</v>
      </c>
      <c r="I11" s="0" t="n">
        <f aca="false">I8+I10+I24</f>
        <v>6587.96340316324</v>
      </c>
      <c r="J11" s="0" t="n">
        <f aca="false">J8+J10+J24</f>
        <v>6752.66248824232</v>
      </c>
      <c r="K11" s="0" t="n">
        <f aca="false">K8+K10+K24</f>
        <v>6921.47905044838</v>
      </c>
      <c r="L11" s="0" t="n">
        <f aca="false">L8+L10+L24</f>
        <v>7059.90863145734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-1322.028771</v>
      </c>
      <c r="D12" s="4" t="n">
        <f aca="false">-D6*Assumptions!D17/100</f>
        <v>-1412.68217244</v>
      </c>
      <c r="E12" s="4" t="n">
        <f aca="false">-E6*Assumptions!E17/100</f>
        <v>-1488.1322430135</v>
      </c>
      <c r="F12" s="4" t="n">
        <f aca="false">-F6*Assumptions!F17/100</f>
        <v>-1532.77621030391</v>
      </c>
      <c r="G12" s="4" t="n">
        <f aca="false">-G6*Assumptions!G17/100</f>
        <v>-1578.75949661302</v>
      </c>
      <c r="H12" s="4" t="n">
        <f aca="false">-H6*Assumptions!H17/100</f>
        <v>-1589.98623081116</v>
      </c>
      <c r="I12" s="4" t="n">
        <f aca="false">-I6*Assumptions!I17/100</f>
        <v>-1600.46568551423</v>
      </c>
      <c r="J12" s="4" t="n">
        <f aca="false">-J6*Assumptions!J17/100</f>
        <v>-1602.3266921253</v>
      </c>
      <c r="K12" s="4" t="n">
        <f aca="false">-K6*Assumptions!K17/100</f>
        <v>-1603.28045801347</v>
      </c>
      <c r="L12" s="4" t="n">
        <f aca="false">-L6*Assumptions!L17/100</f>
        <v>-1595.45957773047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4564.1469475</v>
      </c>
      <c r="D13" s="0" t="n">
        <f aca="false">D11+D12</f>
        <v>4494.8978214</v>
      </c>
      <c r="E13" s="0" t="n">
        <f aca="false">E11+E12</f>
        <v>4530.5359398411</v>
      </c>
      <c r="F13" s="0" t="n">
        <f aca="false">F11+F12</f>
        <v>4598.32863091172</v>
      </c>
      <c r="G13" s="0" t="n">
        <f aca="false">G11+G12</f>
        <v>4631.02785673153</v>
      </c>
      <c r="H13" s="0" t="n">
        <f aca="false">H11+H12</f>
        <v>4806.09474313373</v>
      </c>
      <c r="I13" s="0" t="n">
        <f aca="false">I11+I12</f>
        <v>4987.497717649</v>
      </c>
      <c r="J13" s="0" t="n">
        <f aca="false">J11+J12</f>
        <v>5150.33579611702</v>
      </c>
      <c r="K13" s="0" t="n">
        <f aca="false">K11+K12</f>
        <v>5318.19859243491</v>
      </c>
      <c r="L13" s="0" t="n">
        <f aca="false">L11+L12</f>
        <v>5464.44905372687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16.5</v>
      </c>
      <c r="D14" s="4" t="n">
        <f aca="false">Assumptions!D19</f>
        <v>17</v>
      </c>
      <c r="E14" s="4" t="n">
        <f aca="false">Assumptions!E19</f>
        <v>17.5</v>
      </c>
      <c r="F14" s="4" t="n">
        <f aca="false">Assumptions!F19</f>
        <v>18</v>
      </c>
      <c r="G14" s="4" t="n">
        <f aca="false">Assumptions!G19</f>
        <v>18.5</v>
      </c>
      <c r="H14" s="4" t="n">
        <f aca="false">Assumptions!H19</f>
        <v>19</v>
      </c>
      <c r="I14" s="4" t="n">
        <f aca="false">Assumptions!I19</f>
        <v>19</v>
      </c>
      <c r="J14" s="4" t="n">
        <f aca="false">Assumptions!J19</f>
        <v>19</v>
      </c>
      <c r="K14" s="4" t="n">
        <f aca="false">Assumptions!K19</f>
        <v>19</v>
      </c>
      <c r="L14" s="4" t="n">
        <f aca="false">Assumptions!L19</f>
        <v>19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3811.0627011625</v>
      </c>
      <c r="D15" s="0" t="n">
        <f aca="false">D13-MAX(0,D13)*D14/100</f>
        <v>3730.765191762</v>
      </c>
      <c r="E15" s="0" t="n">
        <f aca="false">E13-MAX(0,E13)*E14/100</f>
        <v>3737.69215036891</v>
      </c>
      <c r="F15" s="0" t="n">
        <f aca="false">F13-MAX(0,F13)*F14/100</f>
        <v>3770.62947734761</v>
      </c>
      <c r="G15" s="0" t="n">
        <f aca="false">G13-MAX(0,G13)*G14/100</f>
        <v>3774.2877032362</v>
      </c>
      <c r="H15" s="0" t="n">
        <f aca="false">H13-MAX(0,H13)*H14/100</f>
        <v>3892.93674193832</v>
      </c>
      <c r="I15" s="0" t="n">
        <f aca="false">I13-MAX(0,I13)*I14/100</f>
        <v>4039.87315129569</v>
      </c>
      <c r="J15" s="0" t="n">
        <f aca="false">J13-MAX(0,J13)*J14/100</f>
        <v>4171.77199485479</v>
      </c>
      <c r="K15" s="0" t="n">
        <f aca="false">K13-MAX(0,K13)*K14/100</f>
        <v>4307.74085987228</v>
      </c>
      <c r="L15" s="0" t="n">
        <f aca="false">L13-MAX(0,L13)*L14/100</f>
        <v>4426.20373351876</v>
      </c>
    </row>
    <row r="16" customFormat="false" ht="15" hidden="false" customHeight="false" outlineLevel="0" collapsed="false">
      <c r="A16" s="0" t="s">
        <v>118</v>
      </c>
      <c r="C16" s="0" t="n">
        <f aca="false">-C12</f>
        <v>1322.028771</v>
      </c>
      <c r="D16" s="0" t="n">
        <f aca="false">-D12</f>
        <v>1412.68217244</v>
      </c>
      <c r="E16" s="0" t="n">
        <f aca="false">-E12</f>
        <v>1488.1322430135</v>
      </c>
      <c r="F16" s="0" t="n">
        <f aca="false">-F12</f>
        <v>1532.77621030391</v>
      </c>
      <c r="G16" s="0" t="n">
        <f aca="false">-G12</f>
        <v>1578.75949661302</v>
      </c>
      <c r="H16" s="0" t="n">
        <f aca="false">-H12</f>
        <v>1589.98623081116</v>
      </c>
      <c r="I16" s="0" t="n">
        <f aca="false">-I12</f>
        <v>1600.46568551423</v>
      </c>
      <c r="J16" s="0" t="n">
        <f aca="false">-J12</f>
        <v>1602.3266921253</v>
      </c>
      <c r="K16" s="0" t="n">
        <f aca="false">-K12</f>
        <v>1603.28045801347</v>
      </c>
      <c r="L16" s="0" t="n">
        <f aca="false">-L12</f>
        <v>1595.45957773047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-2518.15004</v>
      </c>
      <c r="D17" s="4" t="n">
        <f aca="false">-D6*Assumptions!D18/100</f>
        <v>-2247.4489107</v>
      </c>
      <c r="E17" s="4" t="n">
        <f aca="false">-E6*Assumptions!E18/100</f>
        <v>-2149.5243510195</v>
      </c>
      <c r="F17" s="4" t="n">
        <f aca="false">-F6*Assumptions!F18/100</f>
        <v>-2043.70161373854</v>
      </c>
      <c r="G17" s="4" t="n">
        <f aca="false">-G6*Assumptions!G18/100</f>
        <v>-1929.59494030481</v>
      </c>
      <c r="H17" s="4" t="n">
        <f aca="false">-H6*Assumptions!H18/100</f>
        <v>-1806.80253501268</v>
      </c>
      <c r="I17" s="4" t="n">
        <f aca="false">-I6*Assumptions!I18/100</f>
        <v>-1861.00661106306</v>
      </c>
      <c r="J17" s="4" t="n">
        <f aca="false">-J6*Assumptions!J18/100</f>
        <v>-1907.53177633964</v>
      </c>
      <c r="K17" s="4" t="n">
        <f aca="false">-K6*Assumptions!K18/100</f>
        <v>-1955.22007074813</v>
      </c>
      <c r="L17" s="4" t="n">
        <f aca="false">-L6*Assumptions!L18/100</f>
        <v>-1994.32447216309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-102.338609999999</v>
      </c>
      <c r="D18" s="4" t="n">
        <f aca="false">(D6-C6)*Assumptions!$B$23/100</f>
        <v>-138.4982522</v>
      </c>
      <c r="E18" s="4" t="n">
        <f aca="false">(E6-D6)*Assumptions!$B$23/100</f>
        <v>-211.902325866001</v>
      </c>
      <c r="F18" s="4" t="n">
        <f aca="false">(F6-E6)*Assumptions!$B$23/100</f>
        <v>-218.25939564198</v>
      </c>
      <c r="G18" s="4" t="n">
        <f aca="false">(G6-F6)*Assumptions!$B$23/100</f>
        <v>-224.807177511239</v>
      </c>
      <c r="H18" s="4" t="n">
        <f aca="false">(H6-G6)*Assumptions!$B$23/100</f>
        <v>-231.551392836576</v>
      </c>
      <c r="I18" s="4" t="n">
        <f aca="false">(I6-H6)*Assumptions!$B$23/100</f>
        <v>-238.497934621674</v>
      </c>
      <c r="J18" s="4" t="n">
        <f aca="false">(J6-I6)*Assumptions!$B$23/100</f>
        <v>-204.710727216936</v>
      </c>
      <c r="K18" s="4" t="n">
        <f aca="false">(K6-J6)*Assumptions!$B$23/100</f>
        <v>-209.828495397359</v>
      </c>
      <c r="L18" s="4" t="n">
        <f aca="false">(L6-K6)*Assumptions!$B$23/100</f>
        <v>-172.059366225835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2512.6028221625</v>
      </c>
      <c r="D19" s="0" t="n">
        <f aca="false">D15+D16+D17+D18</f>
        <v>2757.500201302</v>
      </c>
      <c r="E19" s="0" t="n">
        <f aca="false">E15+E16+E17+E18</f>
        <v>2864.39771649691</v>
      </c>
      <c r="F19" s="0" t="n">
        <f aca="false">F15+F16+F17+F18</f>
        <v>3041.44467827099</v>
      </c>
      <c r="G19" s="0" t="n">
        <f aca="false">G15+G16+G17+G18</f>
        <v>3198.64508203318</v>
      </c>
      <c r="H19" s="0" t="n">
        <f aca="false">H15+H16+H17+H18</f>
        <v>3444.56904490023</v>
      </c>
      <c r="I19" s="0" t="n">
        <f aca="false">I15+I16+I17+I18</f>
        <v>3540.83429112519</v>
      </c>
      <c r="J19" s="0" t="n">
        <f aca="false">J15+J16+J17+J18</f>
        <v>3661.85618342351</v>
      </c>
      <c r="K19" s="0" t="n">
        <f aca="false">K15+K16+K17+K18</f>
        <v>3745.97275174026</v>
      </c>
      <c r="L19" s="0" t="n">
        <f aca="false">L15+L16+L17+L18</f>
        <v>3855.27947286031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2305.14020381881</v>
      </c>
      <c r="D21" s="0" t="n">
        <f aca="false">D19*D20</f>
        <v>2320.93275086441</v>
      </c>
      <c r="E21" s="0" t="n">
        <f aca="false">E19*E20</f>
        <v>2211.84059700355</v>
      </c>
      <c r="F21" s="0" t="n">
        <f aca="false">F19*F20</f>
        <v>2154.63608814724</v>
      </c>
      <c r="G21" s="0" t="n">
        <f aca="false">G19*G20</f>
        <v>2078.89983244221</v>
      </c>
      <c r="H21" s="0" t="n">
        <f aca="false">H19*H20</f>
        <v>2053.88397665355</v>
      </c>
      <c r="I21" s="0" t="n">
        <f aca="false">I19*I20</f>
        <v>1936.95761256099</v>
      </c>
      <c r="J21" s="0" t="n">
        <f aca="false">J19*J20</f>
        <v>1837.76213947148</v>
      </c>
      <c r="K21" s="0" t="n">
        <f aca="false">K19*K20</f>
        <v>1724.74991621233</v>
      </c>
      <c r="L21" s="0" t="n">
        <f aca="false">L19*L20</f>
        <v>1628.51171293931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20253.3148301139</v>
      </c>
    </row>
    <row r="31" customFormat="false" ht="15" hidden="false" customHeight="false" outlineLevel="0" collapsed="false">
      <c r="A31" s="0" t="s">
        <v>127</v>
      </c>
      <c r="B31" s="0" t="n">
        <f aca="false">L19</f>
        <v>3855.27947286031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56176.9294616788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46263.3536743237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46263.3536743237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19542.1405552717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39795.4553853856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51723.2553853856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14.4543523976417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-0.3301968305078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672.828728034421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736.519451732738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14.848202612396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30249.1158639809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9.75933744713343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4</v>
      </c>
      <c r="D5" s="4" t="n">
        <f aca="false">Assumptions!D27</f>
        <v>8</v>
      </c>
      <c r="E5" s="4" t="n">
        <f aca="false">Assumptions!E27</f>
        <v>9</v>
      </c>
      <c r="F5" s="4" t="n">
        <f aca="false">Assumptions!F27</f>
        <v>9</v>
      </c>
      <c r="G5" s="4" t="n">
        <f aca="false">Assumptions!G27</f>
        <v>8</v>
      </c>
      <c r="H5" s="4" t="n">
        <f aca="false">Assumptions!H27</f>
        <v>7</v>
      </c>
      <c r="I5" s="4" t="n">
        <f aca="false">Assumptions!I27</f>
        <v>6</v>
      </c>
      <c r="J5" s="4" t="n">
        <f aca="false">Assumptions!J27</f>
        <v>5</v>
      </c>
      <c r="K5" s="4" t="n">
        <f aca="false">Assumptions!K27</f>
        <v>4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31011.7</v>
      </c>
      <c r="C6" s="0" t="n">
        <f aca="false">B6*(1+C5/100)</f>
        <v>32252.168</v>
      </c>
      <c r="D6" s="0" t="n">
        <f aca="false">C6*(1+D5/100)</f>
        <v>34832.34144</v>
      </c>
      <c r="E6" s="0" t="n">
        <f aca="false">D6*(1+E5/100)</f>
        <v>37967.2521696</v>
      </c>
      <c r="F6" s="0" t="n">
        <f aca="false">E6*(1+F5/100)</f>
        <v>41384.304864864</v>
      </c>
      <c r="G6" s="0" t="n">
        <f aca="false">F6*(1+G5/100)</f>
        <v>44695.0492540531</v>
      </c>
      <c r="H6" s="0" t="n">
        <f aca="false">G6*(1+H5/100)</f>
        <v>47823.7027018369</v>
      </c>
      <c r="I6" s="0" t="n">
        <f aca="false">H6*(1+I5/100)</f>
        <v>50693.1248639471</v>
      </c>
      <c r="J6" s="0" t="n">
        <f aca="false">I6*(1+J5/100)</f>
        <v>53227.7811071444</v>
      </c>
      <c r="K6" s="0" t="n">
        <f aca="false">J6*(1+K5/100)</f>
        <v>55356.8923514302</v>
      </c>
      <c r="L6" s="0" t="n">
        <f aca="false">K6*(1+L5/100)</f>
        <v>57017.5991219731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20</v>
      </c>
      <c r="D7" s="4" t="n">
        <f aca="false">Assumptions!D28</f>
        <v>20.2</v>
      </c>
      <c r="E7" s="4" t="n">
        <f aca="false">Assumptions!E28</f>
        <v>20.4</v>
      </c>
      <c r="F7" s="4" t="n">
        <f aca="false">Assumptions!F28</f>
        <v>20.5</v>
      </c>
      <c r="G7" s="4" t="n">
        <f aca="false">Assumptions!G28</f>
        <v>20.5</v>
      </c>
      <c r="H7" s="4" t="n">
        <f aca="false">Assumptions!H28</f>
        <v>20.5</v>
      </c>
      <c r="I7" s="4" t="n">
        <f aca="false">Assumptions!I28</f>
        <v>20.5</v>
      </c>
      <c r="J7" s="4" t="n">
        <f aca="false">Assumptions!J28</f>
        <v>20.5</v>
      </c>
      <c r="K7" s="4" t="n">
        <f aca="false">Assumptions!K28</f>
        <v>20.5</v>
      </c>
      <c r="L7" s="4" t="n">
        <f aca="false">Assumptions!L28</f>
        <v>20.5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6450.4336</v>
      </c>
      <c r="D8" s="0" t="n">
        <f aca="false">D6*D7/100</f>
        <v>7036.13297088</v>
      </c>
      <c r="E8" s="0" t="n">
        <f aca="false">E6*E7/100</f>
        <v>7745.3194425984</v>
      </c>
      <c r="F8" s="0" t="n">
        <f aca="false">F6*F7/100</f>
        <v>8483.78249729712</v>
      </c>
      <c r="G8" s="0" t="n">
        <f aca="false">G6*G7/100</f>
        <v>9162.48509708089</v>
      </c>
      <c r="H8" s="0" t="n">
        <f aca="false">H6*H7/100</f>
        <v>9803.85905387656</v>
      </c>
      <c r="I8" s="0" t="n">
        <f aca="false">I6*I7/100</f>
        <v>10392.0905971091</v>
      </c>
      <c r="J8" s="0" t="n">
        <f aca="false">J6*J7/100</f>
        <v>10911.6951269646</v>
      </c>
      <c r="K8" s="0" t="n">
        <f aca="false">K6*K7/100</f>
        <v>11348.1629320432</v>
      </c>
      <c r="L8" s="0" t="n">
        <f aca="false">L6*L7/100</f>
        <v>11688.6078200045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0.3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-96.756504</v>
      </c>
      <c r="D10" s="0" t="n">
        <f aca="false">-D6*D9/100</f>
        <v>-104.49702432</v>
      </c>
      <c r="E10" s="0" t="n">
        <f aca="false">-E6*E9/100</f>
        <v>-113.9017565088</v>
      </c>
      <c r="F10" s="0" t="n">
        <f aca="false">-F6*F9/100</f>
        <v>-124.152914594592</v>
      </c>
      <c r="G10" s="0" t="n">
        <f aca="false">-G6*G9/100</f>
        <v>-134.085147762159</v>
      </c>
      <c r="H10" s="0" t="n">
        <f aca="false">-H6*H9/100</f>
        <v>-143.471108105511</v>
      </c>
      <c r="I10" s="0" t="n">
        <f aca="false">-I6*I9/100</f>
        <v>-152.079374591841</v>
      </c>
      <c r="J10" s="0" t="n">
        <f aca="false">-J6*J9/100</f>
        <v>-159.683343321433</v>
      </c>
      <c r="K10" s="0" t="n">
        <f aca="false">-K6*K9/100</f>
        <v>-166.070677054291</v>
      </c>
      <c r="L10" s="0" t="n">
        <f aca="false">-L6*L9/100</f>
        <v>-171.052797365919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6353.677096</v>
      </c>
      <c r="D11" s="0" t="n">
        <f aca="false">D8+D10+D24</f>
        <v>6931.63594656</v>
      </c>
      <c r="E11" s="0" t="n">
        <f aca="false">E8+E10+E24</f>
        <v>7631.4176860896</v>
      </c>
      <c r="F11" s="0" t="n">
        <f aca="false">F8+F10+F24</f>
        <v>8359.62958270253</v>
      </c>
      <c r="G11" s="0" t="n">
        <f aca="false">G8+G10+G24</f>
        <v>9028.39994931873</v>
      </c>
      <c r="H11" s="0" t="n">
        <f aca="false">H8+H10+H24</f>
        <v>9660.38794577105</v>
      </c>
      <c r="I11" s="0" t="n">
        <f aca="false">I8+I10+I24</f>
        <v>10240.0112225173</v>
      </c>
      <c r="J11" s="0" t="n">
        <f aca="false">J8+J10+J24</f>
        <v>10752.0117836432</v>
      </c>
      <c r="K11" s="0" t="n">
        <f aca="false">K8+K10+K24</f>
        <v>11182.0922549889</v>
      </c>
      <c r="L11" s="0" t="n">
        <f aca="false">L8+L10+L24</f>
        <v>11517.5550226386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-1354.591056</v>
      </c>
      <c r="D12" s="4" t="n">
        <f aca="false">-D6*Assumptions!D31/100</f>
        <v>-1497.79068192</v>
      </c>
      <c r="E12" s="4" t="n">
        <f aca="false">-E6*Assumptions!E31/100</f>
        <v>-1670.5590954624</v>
      </c>
      <c r="F12" s="4" t="n">
        <f aca="false">-F6*Assumptions!F31/100</f>
        <v>-1820.90941405402</v>
      </c>
      <c r="G12" s="4" t="n">
        <f aca="false">-G6*Assumptions!G31/100</f>
        <v>-1966.58216717834</v>
      </c>
      <c r="H12" s="4" t="n">
        <f aca="false">-H6*Assumptions!H31/100</f>
        <v>-2104.24291888082</v>
      </c>
      <c r="I12" s="4" t="n">
        <f aca="false">-I6*Assumptions!I31/100</f>
        <v>-2179.80436914972</v>
      </c>
      <c r="J12" s="4" t="n">
        <f aca="false">-J6*Assumptions!J31/100</f>
        <v>-2235.56680650007</v>
      </c>
      <c r="K12" s="4" t="n">
        <f aca="false">-K6*Assumptions!K31/100</f>
        <v>-2269.63258640864</v>
      </c>
      <c r="L12" s="4" t="n">
        <f aca="false">-L6*Assumptions!L31/100</f>
        <v>-2280.70396487892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4999.08604</v>
      </c>
      <c r="D13" s="0" t="n">
        <f aca="false">D11+D12</f>
        <v>5433.84526464</v>
      </c>
      <c r="E13" s="0" t="n">
        <f aca="false">E11+E12</f>
        <v>5960.8585906272</v>
      </c>
      <c r="F13" s="0" t="n">
        <f aca="false">F11+F12</f>
        <v>6538.72016864852</v>
      </c>
      <c r="G13" s="0" t="n">
        <f aca="false">G11+G12</f>
        <v>7061.8177821404</v>
      </c>
      <c r="H13" s="0" t="n">
        <f aca="false">H11+H12</f>
        <v>7556.14502689022</v>
      </c>
      <c r="I13" s="0" t="n">
        <f aca="false">I11+I12</f>
        <v>8060.20685336758</v>
      </c>
      <c r="J13" s="0" t="n">
        <f aca="false">J11+J12</f>
        <v>8516.44497714311</v>
      </c>
      <c r="K13" s="0" t="n">
        <f aca="false">K11+K12</f>
        <v>8912.45966858026</v>
      </c>
      <c r="L13" s="0" t="n">
        <f aca="false">L11+L12</f>
        <v>9236.85105775965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16.5</v>
      </c>
      <c r="D14" s="4" t="n">
        <f aca="false">Assumptions!D33</f>
        <v>16.5</v>
      </c>
      <c r="E14" s="4" t="n">
        <f aca="false">Assumptions!E33</f>
        <v>16.5</v>
      </c>
      <c r="F14" s="4" t="n">
        <f aca="false">Assumptions!F33</f>
        <v>16.5</v>
      </c>
      <c r="G14" s="4" t="n">
        <f aca="false">Assumptions!G33</f>
        <v>17</v>
      </c>
      <c r="H14" s="4" t="n">
        <f aca="false">Assumptions!H33</f>
        <v>17</v>
      </c>
      <c r="I14" s="4" t="n">
        <f aca="false">Assumptions!I33</f>
        <v>17</v>
      </c>
      <c r="J14" s="4" t="n">
        <f aca="false">Assumptions!J33</f>
        <v>17.5</v>
      </c>
      <c r="K14" s="4" t="n">
        <f aca="false">Assumptions!K33</f>
        <v>17.5</v>
      </c>
      <c r="L14" s="4" t="n">
        <f aca="false">Assumptions!L33</f>
        <v>17.5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4174.2368434</v>
      </c>
      <c r="D15" s="0" t="n">
        <f aca="false">D13-MAX(0,D13)*D14/100</f>
        <v>4537.2607959744</v>
      </c>
      <c r="E15" s="0" t="n">
        <f aca="false">E13-MAX(0,E13)*E14/100</f>
        <v>4977.31692317371</v>
      </c>
      <c r="F15" s="0" t="n">
        <f aca="false">F13-MAX(0,F13)*F14/100</f>
        <v>5459.83134082151</v>
      </c>
      <c r="G15" s="0" t="n">
        <f aca="false">G13-MAX(0,G13)*G14/100</f>
        <v>5861.30875917653</v>
      </c>
      <c r="H15" s="0" t="n">
        <f aca="false">H13-MAX(0,H13)*H14/100</f>
        <v>6271.60037231889</v>
      </c>
      <c r="I15" s="0" t="n">
        <f aca="false">I13-MAX(0,I13)*I14/100</f>
        <v>6689.97168829509</v>
      </c>
      <c r="J15" s="0" t="n">
        <f aca="false">J13-MAX(0,J13)*J14/100</f>
        <v>7026.06710614306</v>
      </c>
      <c r="K15" s="0" t="n">
        <f aca="false">K13-MAX(0,K13)*K14/100</f>
        <v>7352.77922657872</v>
      </c>
      <c r="L15" s="0" t="n">
        <f aca="false">L13-MAX(0,L13)*L14/100</f>
        <v>7620.40212265171</v>
      </c>
    </row>
    <row r="16" customFormat="false" ht="15" hidden="false" customHeight="false" outlineLevel="0" collapsed="false">
      <c r="A16" s="0" t="s">
        <v>118</v>
      </c>
      <c r="C16" s="0" t="n">
        <f aca="false">-C12</f>
        <v>1354.591056</v>
      </c>
      <c r="D16" s="0" t="n">
        <f aca="false">-D12</f>
        <v>1497.79068192</v>
      </c>
      <c r="E16" s="0" t="n">
        <f aca="false">-E12</f>
        <v>1670.5590954624</v>
      </c>
      <c r="F16" s="0" t="n">
        <f aca="false">-F12</f>
        <v>1820.90941405402</v>
      </c>
      <c r="G16" s="0" t="n">
        <f aca="false">-G12</f>
        <v>1966.58216717834</v>
      </c>
      <c r="H16" s="0" t="n">
        <f aca="false">-H12</f>
        <v>2104.24291888082</v>
      </c>
      <c r="I16" s="0" t="n">
        <f aca="false">-I12</f>
        <v>2179.80436914972</v>
      </c>
      <c r="J16" s="0" t="n">
        <f aca="false">-J12</f>
        <v>2235.56680650007</v>
      </c>
      <c r="K16" s="0" t="n">
        <f aca="false">-K12</f>
        <v>2269.63258640864</v>
      </c>
      <c r="L16" s="0" t="n">
        <f aca="false">-L12</f>
        <v>2280.70396487892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-2741.43428</v>
      </c>
      <c r="D17" s="4" t="n">
        <f aca="false">-D6*Assumptions!D32/100</f>
        <v>-2786.5873152</v>
      </c>
      <c r="E17" s="4" t="n">
        <f aca="false">-E6*Assumptions!E32/100</f>
        <v>-2847.54391272</v>
      </c>
      <c r="F17" s="4" t="n">
        <f aca="false">-F6*Assumptions!F32/100</f>
        <v>-2896.90134054048</v>
      </c>
      <c r="G17" s="4" t="n">
        <f aca="false">-G6*Assumptions!G32/100</f>
        <v>-2905.17820151345</v>
      </c>
      <c r="H17" s="4" t="n">
        <f aca="false">-H6*Assumptions!H32/100</f>
        <v>-2869.42216211021</v>
      </c>
      <c r="I17" s="4" t="n">
        <f aca="false">-I6*Assumptions!I32/100</f>
        <v>-2788.12186751709</v>
      </c>
      <c r="J17" s="4" t="n">
        <f aca="false">-J6*Assumptions!J32/100</f>
        <v>-2661.38905535722</v>
      </c>
      <c r="K17" s="4" t="n">
        <f aca="false">-K6*Assumptions!K32/100</f>
        <v>-2767.84461757151</v>
      </c>
      <c r="L17" s="4" t="n">
        <f aca="false">-L6*Assumptions!L32/100</f>
        <v>-2850.87995609866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-272.90296</v>
      </c>
      <c r="D18" s="4" t="n">
        <f aca="false">(D6-C6)*Assumptions!$B$37/100</f>
        <v>-567.638156800001</v>
      </c>
      <c r="E18" s="4" t="n">
        <f aca="false">(E6-D6)*Assumptions!$B$37/100</f>
        <v>-689.680360512</v>
      </c>
      <c r="F18" s="4" t="n">
        <f aca="false">(F6-E6)*Assumptions!$B$37/100</f>
        <v>-751.751592958082</v>
      </c>
      <c r="G18" s="4" t="n">
        <f aca="false">(G6-F6)*Assumptions!$B$37/100</f>
        <v>-728.363765621607</v>
      </c>
      <c r="H18" s="4" t="n">
        <f aca="false">(H6-G6)*Assumptions!$B$37/100</f>
        <v>-688.303758512418</v>
      </c>
      <c r="I18" s="4" t="n">
        <f aca="false">(I6-H6)*Assumptions!$B$37/100</f>
        <v>-631.272875664247</v>
      </c>
      <c r="J18" s="4" t="n">
        <f aca="false">(J6-I6)*Assumptions!$B$37/100</f>
        <v>-557.624373503419</v>
      </c>
      <c r="K18" s="4" t="n">
        <f aca="false">(K6-J6)*Assumptions!$B$37/100</f>
        <v>-468.404473742871</v>
      </c>
      <c r="L18" s="4" t="n">
        <f aca="false">(L6-K6)*Assumptions!$B$37/100</f>
        <v>-365.35548951944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2514.4906594</v>
      </c>
      <c r="D19" s="0" t="n">
        <f aca="false">D15+D16+D17+D18</f>
        <v>2680.8260058944</v>
      </c>
      <c r="E19" s="0" t="n">
        <f aca="false">E15+E16+E17+E18</f>
        <v>3110.65174540411</v>
      </c>
      <c r="F19" s="0" t="n">
        <f aca="false">F15+F16+F17+F18</f>
        <v>3632.08782137696</v>
      </c>
      <c r="G19" s="0" t="n">
        <f aca="false">G15+G16+G17+G18</f>
        <v>4194.34895921981</v>
      </c>
      <c r="H19" s="0" t="n">
        <f aca="false">H15+H16+H17+H18</f>
        <v>4818.11737057708</v>
      </c>
      <c r="I19" s="0" t="n">
        <f aca="false">I15+I16+I17+I18</f>
        <v>5450.38131426348</v>
      </c>
      <c r="J19" s="0" t="n">
        <f aca="false">J15+J16+J17+J18</f>
        <v>6042.62048378249</v>
      </c>
      <c r="K19" s="0" t="n">
        <f aca="false">K15+K16+K17+K18</f>
        <v>6386.16272167297</v>
      </c>
      <c r="L19" s="0" t="n">
        <f aca="false">L15+L16+L17+L18</f>
        <v>6684.87064191254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2306.87216458716</v>
      </c>
      <c r="D21" s="0" t="n">
        <f aca="false">D19*D20</f>
        <v>2256.39761459002</v>
      </c>
      <c r="E21" s="0" t="n">
        <f aca="false">E19*E20</f>
        <v>2401.99389002417</v>
      </c>
      <c r="F21" s="0" t="n">
        <f aca="false">F19*F20</f>
        <v>2573.0625814663</v>
      </c>
      <c r="G21" s="0" t="n">
        <f aca="false">G19*G20</f>
        <v>2726.03903368475</v>
      </c>
      <c r="H21" s="0" t="n">
        <f aca="false">H19*H20</f>
        <v>2872.88596514431</v>
      </c>
      <c r="I21" s="0" t="n">
        <f aca="false">I19*I20</f>
        <v>2981.54522635625</v>
      </c>
      <c r="J21" s="0" t="n">
        <f aca="false">J19*J20</f>
        <v>3032.58746167038</v>
      </c>
      <c r="K21" s="0" t="n">
        <f aca="false">K19*K20</f>
        <v>2940.36672156966</v>
      </c>
      <c r="L21" s="0" t="n">
        <f aca="false">L19*L20</f>
        <v>2823.76160184358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26915.5122609366</v>
      </c>
    </row>
    <row r="31" customFormat="false" ht="15" hidden="false" customHeight="false" outlineLevel="0" collapsed="false">
      <c r="A31" s="0" t="s">
        <v>127</v>
      </c>
      <c r="B31" s="0" t="n">
        <f aca="false">L19</f>
        <v>6684.87064191254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105415.267814775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100273.059628688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100273.059628688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42356.4240276536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69271.9362885902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81199.7362885902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22.6917195015239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0.0515161956220525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837.370293632543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1139.39867555431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23.2441386227964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54815.9392636828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12.7078100372372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5</v>
      </c>
      <c r="D5" s="4" t="n">
        <f aca="false">Assumptions!D41</f>
        <v>11</v>
      </c>
      <c r="E5" s="4" t="n">
        <f aca="false">Assumptions!E41</f>
        <v>13</v>
      </c>
      <c r="F5" s="4" t="n">
        <f aca="false">Assumptions!F41</f>
        <v>13</v>
      </c>
      <c r="G5" s="4" t="n">
        <f aca="false">Assumptions!G41</f>
        <v>12</v>
      </c>
      <c r="H5" s="4" t="n">
        <f aca="false">Assumptions!H41</f>
        <v>10</v>
      </c>
      <c r="I5" s="4" t="n">
        <f aca="false">Assumptions!I41</f>
        <v>8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31011.7</v>
      </c>
      <c r="C6" s="0" t="n">
        <f aca="false">B6*(1+C5/100)</f>
        <v>32562.285</v>
      </c>
      <c r="D6" s="0" t="n">
        <f aca="false">C6*(1+D5/100)</f>
        <v>36144.13635</v>
      </c>
      <c r="E6" s="0" t="n">
        <f aca="false">D6*(1+E5/100)</f>
        <v>40842.8740755</v>
      </c>
      <c r="F6" s="0" t="n">
        <f aca="false">E6*(1+F5/100)</f>
        <v>46152.447705315</v>
      </c>
      <c r="G6" s="0" t="n">
        <f aca="false">F6*(1+G5/100)</f>
        <v>51690.7414299528</v>
      </c>
      <c r="H6" s="0" t="n">
        <f aca="false">G6*(1+H5/100)</f>
        <v>56859.8155729481</v>
      </c>
      <c r="I6" s="0" t="n">
        <f aca="false">H6*(1+I5/100)</f>
        <v>61408.6008187839</v>
      </c>
      <c r="J6" s="0" t="n">
        <f aca="false">I6*(1+J5/100)</f>
        <v>65093.116867911</v>
      </c>
      <c r="K6" s="0" t="n">
        <f aca="false">J6*(1+K5/100)</f>
        <v>68347.7727113065</v>
      </c>
      <c r="L6" s="0" t="n">
        <f aca="false">K6*(1+L5/100)</f>
        <v>71081.6836197588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20.5</v>
      </c>
      <c r="D7" s="4" t="n">
        <f aca="false">Assumptions!D42</f>
        <v>21</v>
      </c>
      <c r="E7" s="4" t="n">
        <f aca="false">Assumptions!E42</f>
        <v>21.5</v>
      </c>
      <c r="F7" s="4" t="n">
        <f aca="false">Assumptions!F42</f>
        <v>22</v>
      </c>
      <c r="G7" s="4" t="n">
        <f aca="false">Assumptions!G42</f>
        <v>22.3</v>
      </c>
      <c r="H7" s="4" t="n">
        <f aca="false">Assumptions!H42</f>
        <v>22.5</v>
      </c>
      <c r="I7" s="4" t="n">
        <f aca="false">Assumptions!I42</f>
        <v>22.5</v>
      </c>
      <c r="J7" s="4" t="n">
        <f aca="false">Assumptions!J42</f>
        <v>22.5</v>
      </c>
      <c r="K7" s="4" t="n">
        <f aca="false">Assumptions!K42</f>
        <v>22.5</v>
      </c>
      <c r="L7" s="4" t="n">
        <f aca="false">Assumptions!L42</f>
        <v>22.5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6675.268425</v>
      </c>
      <c r="D8" s="0" t="n">
        <f aca="false">D6*D7/100</f>
        <v>7590.2686335</v>
      </c>
      <c r="E8" s="0" t="n">
        <f aca="false">E6*E7/100</f>
        <v>8781.2179262325</v>
      </c>
      <c r="F8" s="0" t="n">
        <f aca="false">F6*F7/100</f>
        <v>10153.5384951693</v>
      </c>
      <c r="G8" s="0" t="n">
        <f aca="false">G6*G7/100</f>
        <v>11527.0353388795</v>
      </c>
      <c r="H8" s="0" t="n">
        <f aca="false">H6*H7/100</f>
        <v>12793.4585039133</v>
      </c>
      <c r="I8" s="0" t="n">
        <f aca="false">I6*I7/100</f>
        <v>13816.9351842264</v>
      </c>
      <c r="J8" s="0" t="n">
        <f aca="false">J6*J7/100</f>
        <v>14645.95129528</v>
      </c>
      <c r="K8" s="0" t="n">
        <f aca="false">K6*K7/100</f>
        <v>15378.248860044</v>
      </c>
      <c r="L8" s="0" t="n">
        <f aca="false">L6*L7/100</f>
        <v>15993.3788144457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-97.686855</v>
      </c>
      <c r="D10" s="0" t="n">
        <f aca="false">-D6*D9/100</f>
        <v>-108.43240905</v>
      </c>
      <c r="E10" s="0" t="n">
        <f aca="false">-E6*E9/100</f>
        <v>-122.5286222265</v>
      </c>
      <c r="F10" s="0" t="n">
        <f aca="false">-F6*F9/100</f>
        <v>-138.457343115945</v>
      </c>
      <c r="G10" s="0" t="n">
        <f aca="false">-G6*G9/100</f>
        <v>-155.072224289858</v>
      </c>
      <c r="H10" s="0" t="n">
        <f aca="false">-H6*H9/100</f>
        <v>-170.579446718844</v>
      </c>
      <c r="I10" s="0" t="n">
        <f aca="false">-I6*I9/100</f>
        <v>-184.225802456352</v>
      </c>
      <c r="J10" s="0" t="n">
        <f aca="false">-J6*J9/100</f>
        <v>-195.279350603733</v>
      </c>
      <c r="K10" s="0" t="n">
        <f aca="false">-K6*K9/100</f>
        <v>-205.04331813392</v>
      </c>
      <c r="L10" s="0" t="n">
        <f aca="false">-L6*L9/100</f>
        <v>-213.245050859276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6577.58157</v>
      </c>
      <c r="D11" s="0" t="n">
        <f aca="false">D8+D10+D24</f>
        <v>7481.83622445</v>
      </c>
      <c r="E11" s="0" t="n">
        <f aca="false">E8+E10+E24</f>
        <v>8658.689304006</v>
      </c>
      <c r="F11" s="0" t="n">
        <f aca="false">F8+F10+F24</f>
        <v>10015.0811520534</v>
      </c>
      <c r="G11" s="0" t="n">
        <f aca="false">G8+G10+G24</f>
        <v>11371.9631145896</v>
      </c>
      <c r="H11" s="0" t="n">
        <f aca="false">H8+H10+H24</f>
        <v>12622.8790571945</v>
      </c>
      <c r="I11" s="0" t="n">
        <f aca="false">I8+I10+I24</f>
        <v>13632.70938177</v>
      </c>
      <c r="J11" s="0" t="n">
        <f aca="false">J8+J10+J24</f>
        <v>14450.6719446762</v>
      </c>
      <c r="K11" s="0" t="n">
        <f aca="false">K8+K10+K24</f>
        <v>15173.2055419101</v>
      </c>
      <c r="L11" s="0" t="n">
        <f aca="false">L8+L10+L24</f>
        <v>15780.1337635865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-1367.61597</v>
      </c>
      <c r="D12" s="4" t="n">
        <f aca="false">-D6*Assumptions!D45/100</f>
        <v>-1554.19786305</v>
      </c>
      <c r="E12" s="4" t="n">
        <f aca="false">-E6*Assumptions!E45/100</f>
        <v>-1837.9293333975</v>
      </c>
      <c r="F12" s="4" t="n">
        <f aca="false">-F6*Assumptions!F45/100</f>
        <v>-2123.01259444449</v>
      </c>
      <c r="G12" s="4" t="n">
        <f aca="false">-G6*Assumptions!G45/100</f>
        <v>-2377.77410577783</v>
      </c>
      <c r="H12" s="4" t="n">
        <f aca="false">-H6*Assumptions!H45/100</f>
        <v>-2558.69170078266</v>
      </c>
      <c r="I12" s="4" t="n">
        <f aca="false">-I6*Assumptions!I45/100</f>
        <v>-2701.97843602649</v>
      </c>
      <c r="J12" s="4" t="n">
        <f aca="false">-J6*Assumptions!J45/100</f>
        <v>-2799.00402532017</v>
      </c>
      <c r="K12" s="4" t="n">
        <f aca="false">-K6*Assumptions!K45/100</f>
        <v>-2870.60645387487</v>
      </c>
      <c r="L12" s="4" t="n">
        <f aca="false">-L6*Assumptions!L45/100</f>
        <v>-2914.34902841011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5209.9656</v>
      </c>
      <c r="D13" s="0" t="n">
        <f aca="false">D11+D12</f>
        <v>5927.6383614</v>
      </c>
      <c r="E13" s="0" t="n">
        <f aca="false">E11+E12</f>
        <v>6820.7599706085</v>
      </c>
      <c r="F13" s="0" t="n">
        <f aca="false">F11+F12</f>
        <v>7892.06855760887</v>
      </c>
      <c r="G13" s="0" t="n">
        <f aca="false">G11+G12</f>
        <v>8994.18900881179</v>
      </c>
      <c r="H13" s="0" t="n">
        <f aca="false">H11+H12</f>
        <v>10064.1873564118</v>
      </c>
      <c r="I13" s="0" t="n">
        <f aca="false">I11+I12</f>
        <v>10930.7309457435</v>
      </c>
      <c r="J13" s="0" t="n">
        <f aca="false">J11+J12</f>
        <v>11651.6679193561</v>
      </c>
      <c r="K13" s="0" t="n">
        <f aca="false">K11+K12</f>
        <v>12302.5990880352</v>
      </c>
      <c r="L13" s="0" t="n">
        <f aca="false">L11+L12</f>
        <v>12865.7847351763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16.5</v>
      </c>
      <c r="D14" s="4" t="n">
        <f aca="false">Assumptions!D47</f>
        <v>16.5</v>
      </c>
      <c r="E14" s="4" t="n">
        <f aca="false">Assumptions!E47</f>
        <v>16.5</v>
      </c>
      <c r="F14" s="4" t="n">
        <f aca="false">Assumptions!F47</f>
        <v>16.5</v>
      </c>
      <c r="G14" s="4" t="n">
        <f aca="false">Assumptions!G47</f>
        <v>16.5</v>
      </c>
      <c r="H14" s="4" t="n">
        <f aca="false">Assumptions!H47</f>
        <v>17</v>
      </c>
      <c r="I14" s="4" t="n">
        <f aca="false">Assumptions!I47</f>
        <v>17</v>
      </c>
      <c r="J14" s="4" t="n">
        <f aca="false">Assumptions!J47</f>
        <v>17</v>
      </c>
      <c r="K14" s="4" t="n">
        <f aca="false">Assumptions!K47</f>
        <v>17</v>
      </c>
      <c r="L14" s="4" t="n">
        <f aca="false">Assumptions!L47</f>
        <v>17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4350.321276</v>
      </c>
      <c r="D15" s="0" t="n">
        <f aca="false">D13-MAX(0,D13)*D14/100</f>
        <v>4949.578031769</v>
      </c>
      <c r="E15" s="0" t="n">
        <f aca="false">E13-MAX(0,E13)*E14/100</f>
        <v>5695.3345754581</v>
      </c>
      <c r="F15" s="0" t="n">
        <f aca="false">F13-MAX(0,F13)*F14/100</f>
        <v>6589.8772456034</v>
      </c>
      <c r="G15" s="0" t="n">
        <f aca="false">G13-MAX(0,G13)*G14/100</f>
        <v>7510.14782235784</v>
      </c>
      <c r="H15" s="0" t="n">
        <f aca="false">H13-MAX(0,H13)*H14/100</f>
        <v>8353.2755058218</v>
      </c>
      <c r="I15" s="0" t="n">
        <f aca="false">I13-MAX(0,I13)*I14/100</f>
        <v>9072.50668496714</v>
      </c>
      <c r="J15" s="0" t="n">
        <f aca="false">J13-MAX(0,J13)*J14/100</f>
        <v>9670.88437306554</v>
      </c>
      <c r="K15" s="0" t="n">
        <f aca="false">K13-MAX(0,K13)*K14/100</f>
        <v>10211.1572430692</v>
      </c>
      <c r="L15" s="0" t="n">
        <f aca="false">L13-MAX(0,L13)*L14/100</f>
        <v>10678.6013301964</v>
      </c>
    </row>
    <row r="16" customFormat="false" ht="15" hidden="false" customHeight="false" outlineLevel="0" collapsed="false">
      <c r="A16" s="0" t="s">
        <v>118</v>
      </c>
      <c r="C16" s="0" t="n">
        <f aca="false">-C12</f>
        <v>1367.61597</v>
      </c>
      <c r="D16" s="0" t="n">
        <f aca="false">-D12</f>
        <v>1554.19786305</v>
      </c>
      <c r="E16" s="0" t="n">
        <f aca="false">-E12</f>
        <v>1837.9293333975</v>
      </c>
      <c r="F16" s="0" t="n">
        <f aca="false">-F12</f>
        <v>2123.01259444449</v>
      </c>
      <c r="G16" s="0" t="n">
        <f aca="false">-G12</f>
        <v>2377.77410577783</v>
      </c>
      <c r="H16" s="0" t="n">
        <f aca="false">-H12</f>
        <v>2558.69170078266</v>
      </c>
      <c r="I16" s="0" t="n">
        <f aca="false">-I12</f>
        <v>2701.97843602649</v>
      </c>
      <c r="J16" s="0" t="n">
        <f aca="false">-J12</f>
        <v>2799.00402532017</v>
      </c>
      <c r="K16" s="0" t="n">
        <f aca="false">-K12</f>
        <v>2870.60645387487</v>
      </c>
      <c r="L16" s="0" t="n">
        <f aca="false">-L12</f>
        <v>2914.34902841011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-2930.60565</v>
      </c>
      <c r="D17" s="4" t="n">
        <f aca="false">-D6*Assumptions!D46/100</f>
        <v>-3252.9722715</v>
      </c>
      <c r="E17" s="4" t="n">
        <f aca="false">-E6*Assumptions!E46/100</f>
        <v>-3471.6442964175</v>
      </c>
      <c r="F17" s="4" t="n">
        <f aca="false">-F6*Assumptions!F46/100</f>
        <v>-3692.1958164252</v>
      </c>
      <c r="G17" s="4" t="n">
        <f aca="false">-G6*Assumptions!G46/100</f>
        <v>-3618.3519000967</v>
      </c>
      <c r="H17" s="4" t="n">
        <f aca="false">-H6*Assumptions!H46/100</f>
        <v>-3695.88801224163</v>
      </c>
      <c r="I17" s="4" t="n">
        <f aca="false">-I6*Assumptions!I46/100</f>
        <v>-3684.51604912704</v>
      </c>
      <c r="J17" s="4" t="n">
        <f aca="false">-J6*Assumptions!J46/100</f>
        <v>-3580.1214277351</v>
      </c>
      <c r="K17" s="4" t="n">
        <f aca="false">-K6*Assumptions!K46/100</f>
        <v>-3417.38863556533</v>
      </c>
      <c r="L17" s="4" t="n">
        <f aca="false">-L6*Assumptions!L46/100</f>
        <v>-3554.08418098794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-341.128700000001</v>
      </c>
      <c r="D18" s="4" t="n">
        <f aca="false">(D6-C6)*Assumptions!$B$51/100</f>
        <v>-788.007297000001</v>
      </c>
      <c r="E18" s="4" t="n">
        <f aca="false">(E6-D6)*Assumptions!$B$51/100</f>
        <v>-1033.72229961</v>
      </c>
      <c r="F18" s="4" t="n">
        <f aca="false">(F6-E6)*Assumptions!$B$51/100</f>
        <v>-1168.1061985593</v>
      </c>
      <c r="G18" s="4" t="n">
        <f aca="false">(G6-F6)*Assumptions!$B$51/100</f>
        <v>-1218.42461942032</v>
      </c>
      <c r="H18" s="4" t="n">
        <f aca="false">(H6-G6)*Assumptions!$B$51/100</f>
        <v>-1137.19631145896</v>
      </c>
      <c r="I18" s="4" t="n">
        <f aca="false">(I6-H6)*Assumptions!$B$51/100</f>
        <v>-1000.73275408389</v>
      </c>
      <c r="J18" s="4" t="n">
        <f aca="false">(J6-I6)*Assumptions!$B$51/100</f>
        <v>-810.593530807948</v>
      </c>
      <c r="K18" s="4" t="n">
        <f aca="false">(K6-J6)*Assumptions!$B$51/100</f>
        <v>-716.024285547023</v>
      </c>
      <c r="L18" s="4" t="n">
        <f aca="false">(L6-K6)*Assumptions!$B$51/100</f>
        <v>-601.460399859498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2446.202896</v>
      </c>
      <c r="D19" s="0" t="n">
        <f aca="false">D15+D16+D17+D18</f>
        <v>2462.796326319</v>
      </c>
      <c r="E19" s="0" t="n">
        <f aca="false">E15+E16+E17+E18</f>
        <v>3027.8973128281</v>
      </c>
      <c r="F19" s="0" t="n">
        <f aca="false">F15+F16+F17+F18</f>
        <v>3852.58782506339</v>
      </c>
      <c r="G19" s="0" t="n">
        <f aca="false">G15+G16+G17+G18</f>
        <v>5051.14540861866</v>
      </c>
      <c r="H19" s="0" t="n">
        <f aca="false">H15+H16+H17+H18</f>
        <v>6078.88288290388</v>
      </c>
      <c r="I19" s="0" t="n">
        <f aca="false">I15+I16+I17+I18</f>
        <v>7089.23631778271</v>
      </c>
      <c r="J19" s="0" t="n">
        <f aca="false">J15+J16+J17+J18</f>
        <v>8079.17343984265</v>
      </c>
      <c r="K19" s="0" t="n">
        <f aca="false">K15+K16+K17+K18</f>
        <v>8948.35077583172</v>
      </c>
      <c r="L19" s="0" t="n">
        <f aca="false">L15+L16+L17+L18</f>
        <v>9437.40577775904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2244.22284036697</v>
      </c>
      <c r="D21" s="0" t="n">
        <f aca="false">D19*D20</f>
        <v>2072.88639535308</v>
      </c>
      <c r="E21" s="0" t="n">
        <f aca="false">E19*E20</f>
        <v>2338.09228428715</v>
      </c>
      <c r="F21" s="0" t="n">
        <f aca="false">F19*F20</f>
        <v>2729.27034311774</v>
      </c>
      <c r="G21" s="0" t="n">
        <f aca="false">G19*G20</f>
        <v>3282.89793781805</v>
      </c>
      <c r="H21" s="0" t="n">
        <f aca="false">H19*H20</f>
        <v>3624.63924700092</v>
      </c>
      <c r="I21" s="0" t="n">
        <f aca="false">I19*I20</f>
        <v>3878.05503561408</v>
      </c>
      <c r="J21" s="0" t="n">
        <f aca="false">J19*J20</f>
        <v>4054.66471708487</v>
      </c>
      <c r="K21" s="0" t="n">
        <f aca="false">K19*K20</f>
        <v>4120.06927804917</v>
      </c>
      <c r="L21" s="0" t="n">
        <f aca="false">L19*L20</f>
        <v>3986.46218958523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32331.2602682773</v>
      </c>
    </row>
    <row r="31" customFormat="false" ht="15" hidden="false" customHeight="false" outlineLevel="0" collapsed="false">
      <c r="A31" s="0" t="s">
        <v>127</v>
      </c>
      <c r="B31" s="0" t="n">
        <f aca="false">L19</f>
        <v>9437.40577775904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162008.799184863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150998.492444145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150998.492444145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63783.3950333637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96114.655301641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108042.455301641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30.1930671455304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0.399122666614015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959.35146165684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1546.32207366631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30.8932915997561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81004.3995924317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15.4974541543595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14.4543523976417</v>
      </c>
      <c r="C4" s="0" t="n">
        <f aca="false">B4/Assumptions!$B$2-1</f>
        <v>-0.3301968305078</v>
      </c>
      <c r="D4" s="4" t="n">
        <f aca="false">Assumptions!$B$24</f>
        <v>0.25</v>
      </c>
      <c r="E4" s="4" t="n">
        <f aca="false">DCF_Bear!$B$43</f>
        <v>14.848202612396</v>
      </c>
      <c r="F4" s="4" t="n">
        <f aca="false">DCF_Bear!$B$47</f>
        <v>9.75933744713343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22.6917195015239</v>
      </c>
      <c r="C5" s="0" t="n">
        <f aca="false">B5/Assumptions!$B$2-1</f>
        <v>0.0515161956220525</v>
      </c>
      <c r="D5" s="4" t="n">
        <f aca="false">Assumptions!$B$38</f>
        <v>0.5</v>
      </c>
      <c r="E5" s="4" t="n">
        <f aca="false">DCF_Base!$B$43</f>
        <v>23.2441386227964</v>
      </c>
      <c r="F5" s="4" t="n">
        <f aca="false">DCF_Base!$B$47</f>
        <v>12.7078100372372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30.1930671455304</v>
      </c>
      <c r="C6" s="0" t="n">
        <f aca="false">B6/Assumptions!$B$2-1</f>
        <v>0.399122666614015</v>
      </c>
      <c r="D6" s="4" t="n">
        <f aca="false">Assumptions!$B$52</f>
        <v>0.25</v>
      </c>
      <c r="E6" s="4" t="n">
        <f aca="false">DCF_Bull!$B$43</f>
        <v>30.8932915997561</v>
      </c>
      <c r="F6" s="4" t="n">
        <f aca="false">DCF_Bull!$B$47</f>
        <v>15.4974541543595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22.507714636555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23.0574428644362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0.0412176292233715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-168.758777429078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12.6681029189918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22.6917195015239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20.3152635218557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18.049855208189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16.2747501287479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12.7078100372372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25.9578460359123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25.9578460359123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25.9578460359123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25.9578460359123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25.9578460359123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24.2472554404508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24.2472554404508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24.2472554404508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24.2472554404508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24.2472554404508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21.5343494565683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22.35352695592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22.6917195015239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22.6917195015239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22.6917195015239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19.0724915792069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19.6550409273235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20.3152635218557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21.0698036298925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21.2755872957207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17.1454637427919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17.5725374903405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18.049855208189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18.5868376407684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19.1954177310252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2026-10-17T02:40:03Z</dcterms:created>
  <dc:creator>openpyxl</dc:creator>
  <dc:description/>
  <dc:language>en-NZ</dc:language>
  <cp:lastModifiedBy/>
  <dcterms:modified xsi:type="dcterms:W3CDTF">2026-10-17T02:40:03Z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