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<sst xmlns="http://schemas.openxmlformats.org/spreadsheetml/2006/main" count="355" uniqueCount="165">
  <si>
    <t xml:space="preserve">Ticker</t>
  </si>
  <si>
    <t xml:space="preserve">0081.HK</t>
  </si>
  <si>
    <t xml:space="preserve">Company</t>
  </si>
  <si>
    <t xml:space="preserve">China Overseas Grand Oceans Group Limited</t>
  </si>
  <si>
    <t xml:space="preserve">Valuation date</t>
  </si>
  <si>
    <t xml:space="preserve">2026-10-11</t>
  </si>
  <si>
    <t xml:space="preserve">Current price</t>
  </si>
  <si>
    <t xml:space="preserve">Price as of</t>
  </si>
  <si>
    <t xml:space="preserve">2026-10-09T08:08:05Z (Yahoo regularMarketTime, Friday regular-session close; HKEX shut over the weekend). 52-week range 1.91-3.35 HKD.</t>
  </si>
  <si>
    <t xml:space="preserve">Balance sheet date</t>
  </si>
  <si>
    <t xml:space="preserve">2026-06-30</t>
  </si>
  <si>
    <t xml:space="preserve">Model</t>
  </si>
  <si>
    <t xml:space="preserve">Developer attributable-profit capitalisation at cost of equity (engine route), growth capital charged on revenue change, blended exit P/E and exit P/B terminal, net debt zero</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</si>
  <si>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</si>
  <si>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</si>
  <si>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</si>
  <si>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</si>
  <si>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</si>
  <si>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</si>
  <si>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</si>
  <si>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</si>
  <si>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</si>
  <si>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2026-10-10T11:44:02Z</t>
  </si>
  <si>
    <t xml:space="preserve">Drivers file</t>
  </si>
  <si>
    <t xml:space="preserve">0081.HK_Drivers.json</t>
  </si>
  <si>
    <t xml:space="preserve">Convention</t>
  </si>
  <si>
    <t xml:space="preserve">Percents stored as percents; formulas divide by 100. Blue = input, green = link, black = formula.</t>
  </si>
  <si>
    <t xml:space="preserve">Methodology</t>
  </si>
  <si>
    <t xml:space="preserve">summary: A Chinese residential developer is worth what its book earns, not its book. With attributable ROE at ~1% today and ~4.5-5% at a realistic post-boom mid-cycle, below an 11% RMB cost of equity, the company should trade well below its RMB9.00 (HK$10.54) book per share. The valuation capitalises attributable profit, after interest, tax, LAT and NCI, at the cost of equity. It charges equity for the land and work in progress needed to grow, and exits on a blend of P/E and P/B. It deliberately does not use reported FCF or net debt, because both are inventory-cycle noise for a developer.
key_risks_to_valuation: Further inventory write-downs: the cumulative provision is RMB2.88bn against ~RMB32bn of book; a bear path of continuing ~RMB0.5bn/yr charges is in the bear margin, a step-change is not.; Mid-cycle margin: the base 4% net margin rests on ~15-16% gross margins from new land; H1 2026 is 11.8%.; Exit multiple: the terminal holds ~0.4x book against 0.30x today. Exiting at today's 0.30x book (~7.6x FY2035 FCF) would cut the base terminal value by ~15% and the base value by ~6% to ~HK$3.3. The base value is 41% terminal, so the result depends more on the margin path than on the exit multiple.; Related-party allocation inside the COLI/CSCEC group (40% parent) and minority-holder treatment.; RMB/HKD translation: values are RMB converted at 1.1721; refresh_price.py does not update fx_rate.</t>
  </si>
  <si>
    <t xml:space="preserve">Data sources</t>
  </si>
  <si>
    <t xml:space="preserve">price: Yahoo Finance chart API at inputs.price_as_of; 52-week range 1.91-3.35 HKD. FX from Yahoo CNYHKD=X.
financials: 0081.HK_Metrics.csv / core_metrics (FY2018-FY2025, H1 2024-H1 2026, RMB millions); kpis table (DeferredRevenue, InterestIncome, CashTaxesPaid, DividendsPaid); FY2025 annual report (write-downs line 4793, provision line 6991, net debt line 8518); H1 2026 interim report (contracted sales, gross margin, land bank, net gearing, dividend FX, lines 180-560 and 1640-1660).
qualitative: 0081.HK_Analysis.json (2026-10-11).</t>
  </si>
  <si>
    <t xml:space="preserve">Scenario narrative: bear</t>
  </si>
  <si>
    <t xml:space="preserve">The national downturn runs another two to three years: revenue falls a further ~25% from FY2025 to FY2028, write-downs on mid-tier-city legacy land keep net margin at 1-2.5%, and the stock stays at distressed multiples (5x earnings, 0.25x book). SOE parentage prevents a default, so the bear case is low returns, not a wipe-out.</t>
  </si>
  <si>
    <t xml:space="preserve">Scenario narrative: base</t>
  </si>
  <si>
    <t xml:space="preserve">Trough in FY2026, flat FY2027, then low-single-digit growth as the H1 2026 contracted-sales recovery (+15.2%) converts. Net margin rebuilds from 0.8% to a 4% mid-cycle (not the 9-12% of FY2018-21) as low-cost 2025-26 land replaces written-down legacy stock. ROE settles at ~4.5-5%, below the 11% cost of equity, so the company is worth well below its RMB9.00/share book.</t>
  </si>
  <si>
    <t xml:space="preserve">Scenario narrative: bull</t>
  </si>
  <si>
    <t xml:space="preserve">Consolidation favours SOE-backed developers: share gains from failed private peers and cheap land bought at the trough lift revenue 6-8% a year in FY2027-29 and net margin to 6% (ROE ~7%), with exit multiples recovering toward 0.55x book.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</si>
  <si>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</si>
  <si>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</si>
  <si>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</si>
  <si>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</si>
  <si>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</si>
  <si>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</si>
  <si>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</si>
  <si>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</si>
  <si>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</si>
  <si>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</si>
  <si>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</si>
  <si>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</si>
  <si>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</si>
  <si>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</si>
  <si>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</si>
  <si>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</si>
  <si>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</si>
  <si>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</si>
  <si>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</si>
  <si>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</si>
  <si>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</si>
  <si>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</si>
  <si>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</si>
  <si>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</si>
  <si>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</si>
  <si>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</si>
  <si>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</si>
  <si>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</si>
  <si>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</si>
  <si>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</si>
  <si>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</si>
  <si>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</si>
  <si>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</si>
  <si>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</si>
  <si>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</si>
  <si>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</si>
  <si>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</si>
  <si>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</si>
  <si>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</si>
  <si>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</si>
  <si>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</si>
  <si>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</si>
  <si>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</si>
  <si>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</si>
  <si>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</si>
  <si>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</si>
  <si>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</si>
  <si>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</si>
  <si>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</si>
  <si>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</si>
  <si>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</si>
  <si>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</si>
  <si>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</si>
  <si>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</si>
  <si>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</si>
  <si>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</si>
  <si>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</si>
  <si>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</si>
  <si>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</si>
  <si>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</si>
  <si>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</si>
  <si>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</si>
  <si>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</si>
  <si>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</si>
  <si>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</si>
  <si>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</si>
  <si>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</si>
  <si>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</si>
  <si>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</si>
  <si>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</si>
  <si>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</si>
  <si>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</si>
  <si>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</si>
  <si>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</si>
  <si>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0081.HK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</si>
  <si>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</si>
  <si>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</si>
  <si>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</si>
  <si>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</si>
  <si>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</si>
  <si>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</si>
  <si>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</si>
  <si>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</si>
  <si>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</si>
  <si>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</si>
  <si>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</si>
  <si>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</si>
  <si>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</si>
  <si>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</si>
  <si>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</si>
  <si>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</si>
  <si>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</si>
  <si>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</si>
  <si>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</si>
  <si>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</si>
  <si>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</si>
  <si>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</si>
  <si>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</si>
  <si>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</si>
  <si>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</si>
  <si>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</si>
  <si>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</si>
  <si>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</si>
  <si>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</si>
  <si>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</si>
  <si>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0081.HK owner-FCF component DCF: base case (millions, CNY)</t>
  </si>
  <si>
    <t xml:space="preserve">0081.HK owner-FCF component DCF: bull case (millions, CNY)</t>
  </si>
  <si>
    <t xml:space="preserve">0081.HK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</si>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</sst>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21524.668</v>
      </c>
      <c r="C2" s="0" t="n">
        <v>15263.95</v>
      </c>
      <c r="D2" s="0" t="n">
        <v>6260.718</v>
      </c>
      <c r="E2" s="0" t="n">
        <v>29.1</v>
      </c>
      <c r="F2" s="0" t="n">
        <v>5182.197</v>
      </c>
      <c r="G2" s="0" t="n">
        <v>24.1</v>
      </c>
      <c r="H2" s="0" t="n">
        <v>5228.348</v>
      </c>
      <c r="I2" s="0" t="n">
        <v>2043.204</v>
      </c>
      <c r="J2" s="0" t="n">
        <v>9.5</v>
      </c>
      <c r="K2" s="0" t="n">
        <v>0.615</v>
      </c>
      <c r="L2" s="0" t="n">
        <v>3022.939</v>
      </c>
      <c r="M2" s="0" t="n">
        <v>62.186</v>
      </c>
      <c r="N2" s="0" t="n">
        <v>2960.753</v>
      </c>
      <c r="O2" s="0" t="n">
        <v>17040.376</v>
      </c>
      <c r="P2" s="0" t="n">
        <v>103626.806</v>
      </c>
      <c r="Q2" s="0" t="n">
        <v>85858.839</v>
      </c>
      <c r="R2" s="0" t="n">
        <v>28622.593</v>
      </c>
      <c r="S2" s="0" t="n">
        <v>29145.872</v>
      </c>
      <c r="T2" s="0" t="n">
        <v>3322.354</v>
      </c>
      <c r="U2" s="0" t="n">
        <v>0</v>
      </c>
      <c r="AA2" s="0" t="s">
        <v>18</v>
      </c>
      <c r="AB2" s="0" t="s">
        <v>14</v>
      </c>
      <c r="AC2" s="0" t="n">
        <v>2105.669</v>
      </c>
      <c r="AD2" s="0" t="n">
        <v>17767.967</v>
      </c>
    </row>
    <row r="3" customFormat="false" ht="15" hidden="false" customHeight="false" outlineLevel="0" collapsed="false">
      <c r="A3" s="0" t="s">
        <v>67</v>
      </c>
      <c r="B3" s="0" t="n">
        <v>28590.883</v>
      </c>
      <c r="C3" s="0" t="n">
        <v>19063.036</v>
      </c>
      <c r="D3" s="0" t="n">
        <v>9527.847</v>
      </c>
      <c r="E3" s="0" t="n">
        <v>33.3</v>
      </c>
      <c r="F3" s="0" t="n">
        <v>8016.224</v>
      </c>
      <c r="G3" s="0" t="n">
        <v>28</v>
      </c>
      <c r="H3" s="0" t="n">
        <v>8096.599</v>
      </c>
      <c r="I3" s="0" t="n">
        <v>3329.681</v>
      </c>
      <c r="J3" s="0" t="n">
        <v>11.6</v>
      </c>
      <c r="K3" s="0" t="n">
        <v>0.973</v>
      </c>
      <c r="L3" s="0" t="n">
        <v>-9398.386</v>
      </c>
      <c r="M3" s="0" t="n">
        <v>95.805</v>
      </c>
      <c r="N3" s="0" t="n">
        <v>-9494.191</v>
      </c>
      <c r="O3" s="0" t="n">
        <v>19545.327</v>
      </c>
      <c r="P3" s="0" t="n">
        <v>134097.274</v>
      </c>
      <c r="Q3" s="0" t="n">
        <v>112583.966</v>
      </c>
      <c r="R3" s="0" t="n">
        <v>30789.61</v>
      </c>
      <c r="S3" s="0" t="n">
        <v>27426.734</v>
      </c>
      <c r="T3" s="0" t="n">
        <v>3423.36</v>
      </c>
      <c r="U3" s="0" t="n">
        <v>0</v>
      </c>
      <c r="AA3" s="0" t="s">
        <v>18</v>
      </c>
      <c r="AB3" s="0" t="s">
        <v>14</v>
      </c>
      <c r="AC3" s="0" t="n">
        <v>3496.961</v>
      </c>
      <c r="AD3" s="0" t="n">
        <v>21513.308</v>
      </c>
    </row>
    <row r="4" customFormat="false" ht="15" hidden="false" customHeight="false" outlineLevel="0" collapsed="false">
      <c r="A4" s="0" t="s">
        <v>68</v>
      </c>
      <c r="B4" s="0" t="n">
        <v>42909.06</v>
      </c>
      <c r="C4" s="0" t="n">
        <v>31267.644</v>
      </c>
      <c r="D4" s="0" t="n">
        <v>11641.416</v>
      </c>
      <c r="E4" s="0" t="n">
        <v>27.1</v>
      </c>
      <c r="F4" s="0" t="n">
        <v>9564.343</v>
      </c>
      <c r="G4" s="0" t="n">
        <v>22.3</v>
      </c>
      <c r="H4" s="0" t="n">
        <v>9658.748</v>
      </c>
      <c r="I4" s="0" t="n">
        <v>4374.765</v>
      </c>
      <c r="J4" s="0" t="n">
        <v>10.2</v>
      </c>
      <c r="K4" s="0" t="n">
        <v>1.278</v>
      </c>
      <c r="L4" s="0" t="n">
        <v>-975.498</v>
      </c>
      <c r="M4" s="0" t="n">
        <v>17.315</v>
      </c>
      <c r="N4" s="0" t="n">
        <v>-992.813</v>
      </c>
      <c r="O4" s="0" t="n">
        <v>24133.225</v>
      </c>
      <c r="P4" s="0" t="n">
        <v>167413.497</v>
      </c>
      <c r="Q4" s="0" t="n">
        <v>140177.115</v>
      </c>
      <c r="R4" s="0" t="n">
        <v>40464.384</v>
      </c>
      <c r="S4" s="0" t="n">
        <v>28069.091</v>
      </c>
      <c r="T4" s="0" t="n">
        <v>3423.36</v>
      </c>
      <c r="U4" s="0" t="n">
        <v>0</v>
      </c>
      <c r="AA4" s="0" t="s">
        <v>18</v>
      </c>
      <c r="AB4" s="0" t="s">
        <v>14</v>
      </c>
      <c r="AC4" s="0" t="n">
        <v>4604.141</v>
      </c>
      <c r="AD4" s="0" t="n">
        <v>27236.382</v>
      </c>
    </row>
    <row r="5" customFormat="false" ht="15" hidden="false" customHeight="false" outlineLevel="0" collapsed="false">
      <c r="A5" s="0" t="s">
        <v>69</v>
      </c>
      <c r="B5" s="0" t="n">
        <v>53830.471</v>
      </c>
      <c r="C5" s="0" t="n">
        <v>41431.335</v>
      </c>
      <c r="D5" s="0" t="n">
        <v>12399.136</v>
      </c>
      <c r="E5" s="0" t="n">
        <v>23</v>
      </c>
      <c r="F5" s="0" t="n">
        <v>10210.654</v>
      </c>
      <c r="G5" s="0" t="n">
        <v>19</v>
      </c>
      <c r="H5" s="0" t="n">
        <v>10301.232</v>
      </c>
      <c r="I5" s="0" t="n">
        <v>5050.575</v>
      </c>
      <c r="J5" s="0" t="n">
        <v>9.4</v>
      </c>
      <c r="K5" s="0" t="n">
        <v>1.475</v>
      </c>
      <c r="L5" s="0" t="n">
        <v>-6862.457</v>
      </c>
      <c r="M5" s="0" t="n">
        <v>25.621</v>
      </c>
      <c r="N5" s="0" t="n">
        <v>-6888.078</v>
      </c>
      <c r="O5" s="0" t="n">
        <v>28727.889</v>
      </c>
      <c r="P5" s="0" t="n">
        <v>198786.421</v>
      </c>
      <c r="Q5" s="0" t="n">
        <v>163030.162</v>
      </c>
      <c r="R5" s="0" t="n">
        <v>45221.994</v>
      </c>
      <c r="S5" s="0" t="n">
        <v>32492.369</v>
      </c>
      <c r="T5" s="0" t="n">
        <v>3423.36</v>
      </c>
      <c r="U5" s="0" t="n">
        <v>0</v>
      </c>
      <c r="AA5" s="0" t="s">
        <v>18</v>
      </c>
      <c r="AB5" s="0" t="s">
        <v>14</v>
      </c>
      <c r="AC5" s="0" t="n">
        <v>5644.902</v>
      </c>
      <c r="AD5" s="0" t="n">
        <v>35756.259</v>
      </c>
    </row>
    <row r="6" customFormat="false" ht="15" hidden="false" customHeight="false" outlineLevel="0" collapsed="false">
      <c r="A6" s="0" t="s">
        <v>70</v>
      </c>
      <c r="B6" s="0" t="n">
        <v>57492.018</v>
      </c>
      <c r="C6" s="0" t="n">
        <v>49215.834</v>
      </c>
      <c r="D6" s="0" t="n">
        <v>8276.184</v>
      </c>
      <c r="E6" s="0" t="n">
        <v>14.4</v>
      </c>
      <c r="F6" s="0" t="n">
        <v>6265.572</v>
      </c>
      <c r="G6" s="0" t="n">
        <v>10.9</v>
      </c>
      <c r="H6" s="0" t="n">
        <v>6360.275</v>
      </c>
      <c r="I6" s="0" t="n">
        <v>3150.44</v>
      </c>
      <c r="J6" s="0" t="n">
        <v>5.5</v>
      </c>
      <c r="K6" s="0" t="n">
        <v>0.907</v>
      </c>
      <c r="L6" s="0" t="n">
        <v>486.421</v>
      </c>
      <c r="M6" s="0" t="n">
        <v>2.338</v>
      </c>
      <c r="N6" s="0" t="n">
        <v>484.083</v>
      </c>
      <c r="O6" s="0" t="n">
        <v>29942.196</v>
      </c>
      <c r="P6" s="0" t="n">
        <v>180781.831</v>
      </c>
      <c r="Q6" s="0" t="n">
        <v>143380.679</v>
      </c>
      <c r="R6" s="0" t="n">
        <v>47598.464</v>
      </c>
      <c r="S6" s="0" t="n">
        <v>29330.896</v>
      </c>
      <c r="T6" s="0" t="n">
        <v>3474.785</v>
      </c>
      <c r="U6" s="0" t="n">
        <v>0</v>
      </c>
      <c r="AA6" s="0" t="s">
        <v>18</v>
      </c>
      <c r="AB6" s="0" t="s">
        <v>14</v>
      </c>
      <c r="AC6" s="0" t="n">
        <v>3056.124</v>
      </c>
      <c r="AD6" s="0" t="n">
        <v>37401.152</v>
      </c>
    </row>
    <row r="7" customFormat="false" ht="15" hidden="false" customHeight="false" outlineLevel="0" collapsed="false">
      <c r="A7" s="0" t="s">
        <v>71</v>
      </c>
      <c r="B7" s="0" t="n">
        <v>56408.144</v>
      </c>
      <c r="C7" s="0" t="n">
        <v>50096.691</v>
      </c>
      <c r="D7" s="0" t="n">
        <v>6311.453</v>
      </c>
      <c r="E7" s="0" t="n">
        <v>11.2</v>
      </c>
      <c r="F7" s="0" t="n">
        <v>4206.631</v>
      </c>
      <c r="G7" s="0" t="n">
        <v>7.5</v>
      </c>
      <c r="H7" s="0" t="n">
        <v>4323.439</v>
      </c>
      <c r="I7" s="0" t="n">
        <v>2301.686</v>
      </c>
      <c r="J7" s="0" t="n">
        <v>4.1</v>
      </c>
      <c r="K7" s="0" t="n">
        <v>0.647</v>
      </c>
      <c r="L7" s="0" t="n">
        <v>9097.634</v>
      </c>
      <c r="M7" s="0" t="n">
        <v>29.51</v>
      </c>
      <c r="N7" s="0" t="n">
        <v>9068.124</v>
      </c>
      <c r="O7" s="0" t="n">
        <v>31303.532</v>
      </c>
      <c r="P7" s="0" t="n">
        <v>152030.454</v>
      </c>
      <c r="Q7" s="0" t="n">
        <v>113900.938</v>
      </c>
      <c r="R7" s="0" t="n">
        <v>43564.163</v>
      </c>
      <c r="S7" s="0" t="n">
        <v>26020.603</v>
      </c>
      <c r="T7" s="0" t="n">
        <v>3559.375</v>
      </c>
      <c r="U7" s="0" t="n">
        <v>0</v>
      </c>
      <c r="AA7" s="0" t="s">
        <v>18</v>
      </c>
      <c r="AB7" s="0" t="s">
        <v>14</v>
      </c>
      <c r="AC7" s="0" t="n">
        <v>2024.96</v>
      </c>
      <c r="AD7" s="0" t="n">
        <v>38129.516</v>
      </c>
    </row>
    <row r="8" customFormat="false" ht="15" hidden="false" customHeight="false" outlineLevel="0" collapsed="false">
      <c r="A8" s="0" t="s">
        <v>72</v>
      </c>
      <c r="B8" s="0" t="n">
        <v>45895.252</v>
      </c>
      <c r="C8" s="0" t="n">
        <v>42049.101</v>
      </c>
      <c r="D8" s="0" t="n">
        <v>3846.151</v>
      </c>
      <c r="E8" s="0" t="n">
        <v>8.4</v>
      </c>
      <c r="F8" s="0" t="n">
        <v>2210.102</v>
      </c>
      <c r="G8" s="0" t="n">
        <v>4.8</v>
      </c>
      <c r="H8" s="0" t="n">
        <v>2332.506</v>
      </c>
      <c r="I8" s="0" t="n">
        <v>954.05</v>
      </c>
      <c r="J8" s="0" t="n">
        <v>2.1</v>
      </c>
      <c r="K8" s="0" t="n">
        <v>0.268</v>
      </c>
      <c r="L8" s="0" t="n">
        <v>9029.196</v>
      </c>
      <c r="M8" s="0" t="n">
        <v>5.407</v>
      </c>
      <c r="N8" s="0" t="n">
        <v>9023.789</v>
      </c>
      <c r="O8" s="0" t="n">
        <v>31395.867</v>
      </c>
      <c r="P8" s="0" t="n">
        <v>129182.894</v>
      </c>
      <c r="Q8" s="0" t="n">
        <v>91631.831</v>
      </c>
      <c r="R8" s="0" t="n">
        <v>39701.638</v>
      </c>
      <c r="S8" s="0" t="n">
        <v>27290.854</v>
      </c>
      <c r="T8" s="0" t="n">
        <v>3559.375</v>
      </c>
      <c r="U8" s="0" t="n">
        <v>0</v>
      </c>
      <c r="AA8" s="0" t="s">
        <v>18</v>
      </c>
      <c r="AB8" s="0" t="s">
        <v>14</v>
      </c>
      <c r="AC8" s="0" t="n">
        <v>1215.841</v>
      </c>
      <c r="AD8" s="0" t="n">
        <v>37551.063</v>
      </c>
    </row>
    <row r="9" customFormat="false" ht="15" hidden="false" customHeight="false" outlineLevel="0" collapsed="false">
      <c r="A9" s="0" t="s">
        <v>73</v>
      </c>
      <c r="B9" s="0" t="n">
        <v>36874.435</v>
      </c>
      <c r="C9" s="0" t="n">
        <v>33673.545</v>
      </c>
      <c r="D9" s="0" t="n">
        <v>3200.89</v>
      </c>
      <c r="E9" s="0" t="n">
        <v>8.7</v>
      </c>
      <c r="F9" s="0" t="n">
        <v>1528.672</v>
      </c>
      <c r="G9" s="0" t="n">
        <v>4.1</v>
      </c>
      <c r="H9" s="0" t="n">
        <v>1654.611</v>
      </c>
      <c r="I9" s="0" t="n">
        <v>304.658</v>
      </c>
      <c r="J9" s="0" t="n">
        <v>0.8</v>
      </c>
      <c r="K9" s="0" t="n">
        <v>0.086</v>
      </c>
      <c r="L9" s="0" t="n">
        <v>2187.146</v>
      </c>
      <c r="M9" s="0" t="n">
        <v>7.858</v>
      </c>
      <c r="N9" s="0" t="n">
        <v>2179.288</v>
      </c>
      <c r="O9" s="0" t="n">
        <v>31621.347</v>
      </c>
      <c r="P9" s="0" t="n">
        <v>118698.84</v>
      </c>
      <c r="Q9" s="0" t="n">
        <v>80652.1</v>
      </c>
      <c r="R9" s="0" t="n">
        <v>38907.24</v>
      </c>
      <c r="S9" s="0" t="n">
        <v>26864.619</v>
      </c>
      <c r="T9" s="0" t="n">
        <v>3559.375</v>
      </c>
      <c r="U9" s="0" t="n">
        <v>0</v>
      </c>
      <c r="AA9" s="0" t="s">
        <v>18</v>
      </c>
      <c r="AB9" s="0" t="s">
        <v>14</v>
      </c>
      <c r="AC9" s="0" t="n">
        <v>549.331</v>
      </c>
      <c r="AD9" s="0" t="n">
        <v>38046.74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3.21</v>
      </c>
    </row>
    <row r="3" customFormat="false" ht="15" hidden="false" customHeight="false" outlineLevel="0" collapsed="false">
      <c r="A3" s="0" t="s">
        <v>77</v>
      </c>
      <c r="B3" s="3" t="n">
        <v>3559.375</v>
      </c>
    </row>
    <row r="4" customFormat="false" ht="15" hidden="false" customHeight="false" outlineLevel="0" collapsed="false">
      <c r="A4" s="0" t="s">
        <v>78</v>
      </c>
      <c r="B4" s="3" t="n">
        <v>0</v>
      </c>
    </row>
    <row r="5" customFormat="false" ht="15" hidden="false" customHeight="false" outlineLevel="0" collapsed="false">
      <c r="A5" s="0" t="s">
        <v>79</v>
      </c>
      <c r="B5" s="3" t="n">
        <v>0</v>
      </c>
    </row>
    <row r="6" customFormat="false" ht="15" hidden="false" customHeight="false" outlineLevel="0" collapsed="false">
      <c r="A6" s="0" t="s">
        <v>80</v>
      </c>
      <c r="B6" s="3" t="n">
        <v>15</v>
      </c>
    </row>
    <row r="7" customFormat="false" ht="15" hidden="false" customHeight="false" outlineLevel="0" collapsed="false">
      <c r="A7" s="0" t="s">
        <v>81</v>
      </c>
      <c r="B7" s="3" t="n">
        <v>36874.4</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-12</v>
      </c>
      <c r="D13" s="3" t="n">
        <v>-8</v>
      </c>
      <c r="E13" s="3" t="n">
        <v>-4</v>
      </c>
      <c r="F13" s="3" t="n">
        <v>0</v>
      </c>
      <c r="G13" s="3" t="n">
        <v>1</v>
      </c>
      <c r="H13" s="3" t="n">
        <v>1.5</v>
      </c>
      <c r="I13" s="3" t="n">
        <v>1.5</v>
      </c>
      <c r="J13" s="3" t="n">
        <v>1.5</v>
      </c>
      <c r="K13" s="3" t="n">
        <v>1.5</v>
      </c>
      <c r="L13" s="3" t="n">
        <v>1.5</v>
      </c>
    </row>
    <row r="14" customFormat="false" ht="15" hidden="false" customHeight="false" outlineLevel="0" collapsed="false">
      <c r="A14" s="0" t="s">
        <v>98</v>
      </c>
      <c r="C14" s="3" t="n">
        <v>1</v>
      </c>
      <c r="D14" s="3" t="n">
        <v>1</v>
      </c>
      <c r="E14" s="3" t="n">
        <v>1.5</v>
      </c>
      <c r="F14" s="3" t="n">
        <v>2</v>
      </c>
      <c r="G14" s="3" t="n">
        <v>2.5</v>
      </c>
      <c r="H14" s="3" t="n">
        <v>2.5</v>
      </c>
      <c r="I14" s="3" t="n">
        <v>2.5</v>
      </c>
      <c r="J14" s="3" t="n">
        <v>2.5</v>
      </c>
      <c r="K14" s="3" t="n">
        <v>2.5</v>
      </c>
      <c r="L14" s="3" t="n">
        <v>2.5</v>
      </c>
    </row>
    <row r="15" customFormat="false" ht="15" hidden="false" customHeight="false" outlineLevel="0" collapsed="false">
      <c r="A15" s="0" t="s">
        <v>99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102</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103</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104</v>
      </c>
      <c r="B20" s="3" t="n">
        <v>11</v>
      </c>
    </row>
    <row r="21" customFormat="false" ht="15" hidden="false" customHeight="false" outlineLevel="0" collapsed="false">
      <c r="A21" s="0" t="s">
        <v>105</v>
      </c>
      <c r="B21" s="3" t="n">
        <v>1.5</v>
      </c>
    </row>
    <row r="22" customFormat="false" ht="15" hidden="false" customHeight="false" outlineLevel="0" collapsed="false">
      <c r="A22" s="0" t="s">
        <v>106</v>
      </c>
      <c r="B22" s="3" t="n">
        <v>6</v>
      </c>
    </row>
    <row r="23" customFormat="false" ht="15" hidden="false" customHeight="false" outlineLevel="0" collapsed="false">
      <c r="A23" s="0" t="s">
        <v>107</v>
      </c>
      <c r="B23" s="3" t="n">
        <v>-20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-9</v>
      </c>
      <c r="D27" s="3" t="n">
        <v>0</v>
      </c>
      <c r="E27" s="3" t="n">
        <v>3</v>
      </c>
      <c r="F27" s="3" t="n">
        <v>4</v>
      </c>
      <c r="G27" s="3" t="n">
        <v>3</v>
      </c>
      <c r="H27" s="3" t="n">
        <v>3</v>
      </c>
      <c r="I27" s="3" t="n">
        <v>2.5</v>
      </c>
      <c r="J27" s="3" t="n">
        <v>2.5</v>
      </c>
      <c r="K27" s="3" t="n">
        <v>2</v>
      </c>
      <c r="L27" s="3" t="n">
        <v>2</v>
      </c>
    </row>
    <row r="28" customFormat="false" ht="15" hidden="false" customHeight="false" outlineLevel="0" collapsed="false">
      <c r="A28" s="0" t="s">
        <v>98</v>
      </c>
      <c r="C28" s="3" t="n">
        <v>1.35</v>
      </c>
      <c r="D28" s="3" t="n">
        <v>2</v>
      </c>
      <c r="E28" s="3" t="n">
        <v>2.8</v>
      </c>
      <c r="F28" s="3" t="n">
        <v>3.5</v>
      </c>
      <c r="G28" s="3" t="n">
        <v>4</v>
      </c>
      <c r="H28" s="3" t="n">
        <v>4</v>
      </c>
      <c r="I28" s="3" t="n">
        <v>4</v>
      </c>
      <c r="J28" s="3" t="n">
        <v>4</v>
      </c>
      <c r="K28" s="3" t="n">
        <v>4</v>
      </c>
      <c r="L28" s="3" t="n">
        <v>4</v>
      </c>
    </row>
    <row r="29" customFormat="false" ht="15" hidden="false" customHeight="false" outlineLevel="0" collapsed="false">
      <c r="A29" s="0" t="s">
        <v>99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102</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103</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104</v>
      </c>
      <c r="B34" s="3" t="n">
        <v>11</v>
      </c>
    </row>
    <row r="35" customFormat="false" ht="15" hidden="false" customHeight="false" outlineLevel="0" collapsed="false">
      <c r="A35" s="0" t="s">
        <v>105</v>
      </c>
      <c r="B35" s="3" t="n">
        <v>2</v>
      </c>
    </row>
    <row r="36" customFormat="false" ht="15" hidden="false" customHeight="false" outlineLevel="0" collapsed="false">
      <c r="A36" s="0" t="s">
        <v>106</v>
      </c>
      <c r="B36" s="3" t="n">
        <v>9</v>
      </c>
    </row>
    <row r="37" customFormat="false" ht="15" hidden="false" customHeight="false" outlineLevel="0" collapsed="false">
      <c r="A37" s="0" t="s">
        <v>107</v>
      </c>
      <c r="B37" s="3" t="n">
        <v>-35</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-6</v>
      </c>
      <c r="D41" s="3" t="n">
        <v>6</v>
      </c>
      <c r="E41" s="3" t="n">
        <v>8</v>
      </c>
      <c r="F41" s="3" t="n">
        <v>8</v>
      </c>
      <c r="G41" s="3" t="n">
        <v>6</v>
      </c>
      <c r="H41" s="3" t="n">
        <v>5</v>
      </c>
      <c r="I41" s="3" t="n">
        <v>4</v>
      </c>
      <c r="J41" s="3" t="n">
        <v>3</v>
      </c>
      <c r="K41" s="3" t="n">
        <v>3</v>
      </c>
      <c r="L41" s="3" t="n">
        <v>3</v>
      </c>
    </row>
    <row r="42" customFormat="false" ht="15" hidden="false" customHeight="false" outlineLevel="0" collapsed="false">
      <c r="A42" s="0" t="s">
        <v>98</v>
      </c>
      <c r="C42" s="3" t="n">
        <v>1.6</v>
      </c>
      <c r="D42" s="3" t="n">
        <v>3</v>
      </c>
      <c r="E42" s="3" t="n">
        <v>4.5</v>
      </c>
      <c r="F42" s="3" t="n">
        <v>5.5</v>
      </c>
      <c r="G42" s="3" t="n">
        <v>6</v>
      </c>
      <c r="H42" s="3" t="n">
        <v>6</v>
      </c>
      <c r="I42" s="3" t="n">
        <v>6</v>
      </c>
      <c r="J42" s="3" t="n">
        <v>6</v>
      </c>
      <c r="K42" s="3" t="n">
        <v>6</v>
      </c>
      <c r="L42" s="3" t="n">
        <v>6</v>
      </c>
    </row>
    <row r="43" customFormat="false" ht="15" hidden="false" customHeight="false" outlineLevel="0" collapsed="false">
      <c r="A43" s="0" t="s">
        <v>99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102</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103</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104</v>
      </c>
      <c r="B48" s="3" t="n">
        <v>11</v>
      </c>
    </row>
    <row r="49" customFormat="false" ht="15" hidden="false" customHeight="false" outlineLevel="0" collapsed="false">
      <c r="A49" s="0" t="s">
        <v>105</v>
      </c>
      <c r="B49" s="3" t="n">
        <v>2.5</v>
      </c>
    </row>
    <row r="50" customFormat="false" ht="15" hidden="false" customHeight="false" outlineLevel="0" collapsed="false">
      <c r="A50" s="0" t="s">
        <v>106</v>
      </c>
      <c r="B50" s="3" t="n">
        <v>11</v>
      </c>
    </row>
    <row r="51" customFormat="false" ht="15" hidden="false" customHeight="false" outlineLevel="0" collapsed="false">
      <c r="A51" s="0" t="s">
        <v>107</v>
      </c>
      <c r="B51" s="3" t="n">
        <v>-35</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-12</v>
      </c>
      <c r="D5" s="4" t="n">
        <f aca="false">Assumptions!D13</f>
        <v>-8</v>
      </c>
      <c r="E5" s="4" t="n">
        <f aca="false">Assumptions!E13</f>
        <v>-4</v>
      </c>
      <c r="F5" s="4" t="n">
        <f aca="false">Assumptions!F13</f>
        <v>0</v>
      </c>
      <c r="G5" s="4" t="n">
        <f aca="false">Assumptions!G13</f>
        <v>1</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36874.4</v>
      </c>
      <c r="C6" s="0" t="n">
        <f aca="false">B6*(1+C5/100)</f>
        <v>32449.472</v>
      </c>
      <c r="D6" s="0" t="n">
        <f aca="false">C6*(1+D5/100)</f>
        <v>29853.51424</v>
      </c>
      <c r="E6" s="0" t="n">
        <f aca="false">D6*(1+E5/100)</f>
        <v>28659.3736704</v>
      </c>
      <c r="F6" s="0" t="n">
        <f aca="false">E6*(1+F5/100)</f>
        <v>28659.3736704</v>
      </c>
      <c r="G6" s="0" t="n">
        <f aca="false">F6*(1+G5/100)</f>
        <v>28945.967407104</v>
      </c>
      <c r="H6" s="0" t="n">
        <f aca="false">G6*(1+H5/100)</f>
        <v>29380.1569182106</v>
      </c>
      <c r="I6" s="0" t="n">
        <f aca="false">H6*(1+I5/100)</f>
        <v>29820.8592719837</v>
      </c>
      <c r="J6" s="0" t="n">
        <f aca="false">I6*(1+J5/100)</f>
        <v>30268.1721610635</v>
      </c>
      <c r="K6" s="0" t="n">
        <f aca="false">J6*(1+K5/100)</f>
        <v>30722.1947434794</v>
      </c>
      <c r="L6" s="0" t="n">
        <f aca="false">K6*(1+L5/100)</f>
        <v>31183.0276646316</v>
      </c>
    </row>
    <row r="7" customFormat="false" ht="15" hidden="false" customHeight="false" outlineLevel="0" collapsed="false">
      <c r="A7" s="0" t="s">
        <v>98</v>
      </c>
      <c r="C7" s="4" t="n">
        <f aca="false">Assumptions!C14</f>
        <v>1</v>
      </c>
      <c r="D7" s="4" t="n">
        <f aca="false">Assumptions!D14</f>
        <v>1</v>
      </c>
      <c r="E7" s="4" t="n">
        <f aca="false">Assumptions!E14</f>
        <v>1.5</v>
      </c>
      <c r="F7" s="4" t="n">
        <f aca="false">Assumptions!F14</f>
        <v>2</v>
      </c>
      <c r="G7" s="4" t="n">
        <f aca="false">Assumptions!G14</f>
        <v>2.5</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44</v>
      </c>
      <c r="C8" s="0" t="n">
        <f aca="false">C6*C7/100</f>
        <v>324.49472</v>
      </c>
      <c r="D8" s="0" t="n">
        <f aca="false">D6*D7/100</f>
        <v>298.5351424</v>
      </c>
      <c r="E8" s="0" t="n">
        <f aca="false">E6*E7/100</f>
        <v>429.890605056</v>
      </c>
      <c r="F8" s="0" t="n">
        <f aca="false">F6*F7/100</f>
        <v>573.187473408</v>
      </c>
      <c r="G8" s="0" t="n">
        <f aca="false">G6*G7/100</f>
        <v>723.6491851776</v>
      </c>
      <c r="H8" s="0" t="n">
        <f aca="false">H6*H7/100</f>
        <v>734.503922955264</v>
      </c>
      <c r="I8" s="0" t="n">
        <f aca="false">I6*I7/100</f>
        <v>745.521481799593</v>
      </c>
      <c r="J8" s="0" t="n">
        <f aca="false">J6*J7/100</f>
        <v>756.704304026587</v>
      </c>
      <c r="K8" s="0" t="n">
        <f aca="false">K6*K7/100</f>
        <v>768.054868586985</v>
      </c>
      <c r="L8" s="0" t="n">
        <f aca="false">L6*L7/100</f>
        <v>779.57569161579</v>
      </c>
    </row>
    <row r="9" customFormat="false" ht="15" hidden="false" customHeight="false" outlineLevel="0" collapsed="false">
      <c r="A9" s="0" t="s">
        <v>99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324.49472</v>
      </c>
      <c r="D11" s="0" t="n">
        <f aca="false">D8+D10+D24</f>
        <v>298.5351424</v>
      </c>
      <c r="E11" s="0" t="n">
        <f aca="false">E8+E10+E24</f>
        <v>429.890605056</v>
      </c>
      <c r="F11" s="0" t="n">
        <f aca="false">F8+F10+F24</f>
        <v>573.187473408</v>
      </c>
      <c r="G11" s="0" t="n">
        <f aca="false">G8+G10+G24</f>
        <v>723.6491851776</v>
      </c>
      <c r="H11" s="0" t="n">
        <f aca="false">H8+H10+H24</f>
        <v>734.503922955264</v>
      </c>
      <c r="I11" s="0" t="n">
        <f aca="false">I8+I10+I24</f>
        <v>745.521481799593</v>
      </c>
      <c r="J11" s="0" t="n">
        <f aca="false">J8+J10+J24</f>
        <v>756.704304026587</v>
      </c>
      <c r="K11" s="0" t="n">
        <f aca="false">K8+K10+K24</f>
        <v>768.054868586985</v>
      </c>
      <c r="L11" s="0" t="n">
        <f aca="false">L8+L10+L24</f>
        <v>779.57569161579</v>
      </c>
    </row>
    <row r="12" customFormat="false" ht="15" hidden="false" customHeight="false" outlineLevel="0" collapsed="false">
      <c r="A12" s="0" t="s">
        <v>116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117</v>
      </c>
      <c r="C13" s="0" t="n">
        <f aca="false">C11+C12</f>
        <v>324.49472</v>
      </c>
      <c r="D13" s="0" t="n">
        <f aca="false">D11+D12</f>
        <v>298.5351424</v>
      </c>
      <c r="E13" s="0" t="n">
        <f aca="false">E11+E12</f>
        <v>429.890605056</v>
      </c>
      <c r="F13" s="0" t="n">
        <f aca="false">F11+F12</f>
        <v>573.187473408</v>
      </c>
      <c r="G13" s="0" t="n">
        <f aca="false">G11+G12</f>
        <v>723.6491851776</v>
      </c>
      <c r="H13" s="0" t="n">
        <f aca="false">H11+H12</f>
        <v>734.503922955264</v>
      </c>
      <c r="I13" s="0" t="n">
        <f aca="false">I11+I12</f>
        <v>745.521481799593</v>
      </c>
      <c r="J13" s="0" t="n">
        <f aca="false">J11+J12</f>
        <v>756.704304026587</v>
      </c>
      <c r="K13" s="0" t="n">
        <f aca="false">K11+K12</f>
        <v>768.054868586985</v>
      </c>
      <c r="L13" s="0" t="n">
        <f aca="false">L11+L12</f>
        <v>779.57569161579</v>
      </c>
    </row>
    <row r="14" customFormat="false" ht="15" hidden="false" customHeight="false" outlineLevel="0" collapsed="false">
      <c r="A14" s="0" t="s">
        <v>103</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118</v>
      </c>
      <c r="C15" s="0" t="n">
        <f aca="false">C13-MAX(0,C13)*C14/100</f>
        <v>324.49472</v>
      </c>
      <c r="D15" s="0" t="n">
        <f aca="false">D13-MAX(0,D13)*D14/100</f>
        <v>298.5351424</v>
      </c>
      <c r="E15" s="0" t="n">
        <f aca="false">E13-MAX(0,E13)*E14/100</f>
        <v>429.890605056</v>
      </c>
      <c r="F15" s="0" t="n">
        <f aca="false">F13-MAX(0,F13)*F14/100</f>
        <v>573.187473408</v>
      </c>
      <c r="G15" s="0" t="n">
        <f aca="false">G13-MAX(0,G13)*G14/100</f>
        <v>723.6491851776</v>
      </c>
      <c r="H15" s="0" t="n">
        <f aca="false">H13-MAX(0,H13)*H14/100</f>
        <v>734.503922955264</v>
      </c>
      <c r="I15" s="0" t="n">
        <f aca="false">I13-MAX(0,I13)*I14/100</f>
        <v>745.521481799593</v>
      </c>
      <c r="J15" s="0" t="n">
        <f aca="false">J13-MAX(0,J13)*J14/100</f>
        <v>756.704304026587</v>
      </c>
      <c r="K15" s="0" t="n">
        <f aca="false">K13-MAX(0,K13)*K14/100</f>
        <v>768.054868586985</v>
      </c>
      <c r="L15" s="0" t="n">
        <f aca="false">L13-MAX(0,L13)*L14/100</f>
        <v>779.57569161579</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121</v>
      </c>
      <c r="C18" s="4" t="n">
        <f aca="false">(C6-B6)*Assumptions!$B$23/100</f>
        <v>884.9856</v>
      </c>
      <c r="D18" s="4" t="n">
        <f aca="false">(D6-C6)*Assumptions!$B$23/100</f>
        <v>519.191552</v>
      </c>
      <c r="E18" s="4" t="n">
        <f aca="false">(E6-D6)*Assumptions!$B$23/100</f>
        <v>238.82811392</v>
      </c>
      <c r="F18" s="4" t="n">
        <f aca="false">(F6-E6)*Assumptions!$B$23/100</f>
        <v>-0</v>
      </c>
      <c r="G18" s="4" t="n">
        <f aca="false">(G6-F6)*Assumptions!$B$23/100</f>
        <v>-57.3187473407997</v>
      </c>
      <c r="H18" s="4" t="n">
        <f aca="false">(H6-G6)*Assumptions!$B$23/100</f>
        <v>-86.8379022213114</v>
      </c>
      <c r="I18" s="4" t="n">
        <f aca="false">(I6-H6)*Assumptions!$B$23/100</f>
        <v>-88.140470754631</v>
      </c>
      <c r="J18" s="4" t="n">
        <f aca="false">(J6-I6)*Assumptions!$B$23/100</f>
        <v>-89.4625778159505</v>
      </c>
      <c r="K18" s="4" t="n">
        <f aca="false">(K6-J6)*Assumptions!$B$23/100</f>
        <v>-90.8045164831899</v>
      </c>
      <c r="L18" s="4" t="n">
        <f aca="false">(L6-K6)*Assumptions!$B$23/100</f>
        <v>-92.1665842304377</v>
      </c>
    </row>
    <row r="19" customFormat="false" ht="15" hidden="false" customHeight="false" outlineLevel="0" collapsed="false">
      <c r="A19" s="0" t="s">
        <v>122</v>
      </c>
      <c r="C19" s="0" t="n">
        <f aca="false">C15+C16+C17+C18</f>
        <v>1209.48032</v>
      </c>
      <c r="D19" s="0" t="n">
        <f aca="false">D15+D16+D17+D18</f>
        <v>817.7266944</v>
      </c>
      <c r="E19" s="0" t="n">
        <f aca="false">E15+E16+E17+E18</f>
        <v>668.718718976</v>
      </c>
      <c r="F19" s="0" t="n">
        <f aca="false">F15+F16+F17+F18</f>
        <v>573.187473408</v>
      </c>
      <c r="G19" s="0" t="n">
        <f aca="false">G15+G16+G17+G18</f>
        <v>666.3304378368</v>
      </c>
      <c r="H19" s="0" t="n">
        <f aca="false">H15+H16+H17+H18</f>
        <v>647.666020733953</v>
      </c>
      <c r="I19" s="0" t="n">
        <f aca="false">I15+I16+I17+I18</f>
        <v>657.381011044962</v>
      </c>
      <c r="J19" s="0" t="n">
        <f aca="false">J15+J16+J17+J18</f>
        <v>667.241726210636</v>
      </c>
      <c r="K19" s="0" t="n">
        <f aca="false">K15+K16+K17+K18</f>
        <v>677.250352103796</v>
      </c>
      <c r="L19" s="0" t="n">
        <f aca="false">L15+L16+L17+L18</f>
        <v>687.409107385352</v>
      </c>
    </row>
    <row r="20" customFormat="false" ht="15" hidden="false" customHeight="false" outlineLevel="0" collapsed="false">
      <c r="A20" s="0" t="s">
        <v>123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124</v>
      </c>
      <c r="C21" s="0" t="n">
        <f aca="false">C19*C20</f>
        <v>1089.62190990991</v>
      </c>
      <c r="D21" s="0" t="n">
        <f aca="false">D19*D20</f>
        <v>663.685329437545</v>
      </c>
      <c r="E21" s="0" t="n">
        <f aca="false">E19*E20</f>
        <v>488.961363829863</v>
      </c>
      <c r="F21" s="0" t="n">
        <f aca="false">F19*F20</f>
        <v>377.576342725763</v>
      </c>
      <c r="G21" s="0" t="n">
        <f aca="false">G19*G20</f>
        <v>395.43468326009</v>
      </c>
      <c r="H21" s="0" t="n">
        <f aca="false">H19*H20</f>
        <v>346.268702831501</v>
      </c>
      <c r="I21" s="0" t="n">
        <f aca="false">I19*I20</f>
        <v>316.633093129706</v>
      </c>
      <c r="J21" s="0" t="n">
        <f aca="false">J19*J20</f>
        <v>289.533864438425</v>
      </c>
      <c r="K21" s="0" t="n">
        <f aca="false">K19*K20</f>
        <v>264.753939103604</v>
      </c>
      <c r="L21" s="0" t="n">
        <f aca="false">L19*L20</f>
        <v>242.094818189332</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11</v>
      </c>
    </row>
    <row r="28" customFormat="false" ht="15" hidden="false" customHeight="false" outlineLevel="0" collapsed="false">
      <c r="A28" s="0" t="s">
        <v>105</v>
      </c>
      <c r="B28" s="4" t="n">
        <f aca="false">Assumptions!$B$21</f>
        <v>1.5</v>
      </c>
    </row>
    <row r="29" customFormat="false" ht="15" hidden="false" customHeight="false" outlineLevel="0" collapsed="false">
      <c r="A29" s="0" t="s">
        <v>106</v>
      </c>
      <c r="B29" s="4" t="n">
        <f aca="false">Assumptions!$B$22</f>
        <v>6</v>
      </c>
    </row>
    <row r="30" customFormat="false" ht="15" hidden="false" customHeight="false" outlineLevel="0" collapsed="false">
      <c r="A30" s="0" t="s">
        <v>127</v>
      </c>
      <c r="B30" s="0" t="n">
        <f aca="false">SUM(C21:L21)</f>
        <v>4474.56404685574</v>
      </c>
    </row>
    <row r="31" customFormat="false" ht="15" hidden="false" customHeight="false" outlineLevel="0" collapsed="false">
      <c r="A31" s="0" t="s">
        <v>128</v>
      </c>
      <c r="B31" s="0" t="n">
        <f aca="false">L19</f>
        <v>687.409107385352</v>
      </c>
    </row>
    <row r="32" customFormat="false" ht="15" hidden="false" customHeight="false" outlineLevel="0" collapsed="false">
      <c r="A32" s="0" t="s">
        <v>129</v>
      </c>
      <c r="B32" s="0" t="n">
        <f aca="false">IF(B27&gt;B28,B31*(1+B28/100)/((B27-B28)/100),B31*B29)</f>
        <v>7344.42362101192</v>
      </c>
    </row>
    <row r="33" customFormat="false" ht="15" hidden="false" customHeight="false" outlineLevel="0" collapsed="false">
      <c r="A33" s="0" t="s">
        <v>130</v>
      </c>
      <c r="B33" s="0" t="n">
        <f aca="false">B31*B29</f>
        <v>4124.45464431211</v>
      </c>
    </row>
    <row r="34" customFormat="false" ht="15" hidden="false" customHeight="false" outlineLevel="0" collapsed="false">
      <c r="A34" s="0" t="s">
        <v>131</v>
      </c>
      <c r="B34" s="0" t="n">
        <f aca="false">MAX(0,MIN(B32,B33))</f>
        <v>4124.45464431211</v>
      </c>
    </row>
    <row r="35" customFormat="false" ht="15" hidden="false" customHeight="false" outlineLevel="0" collapsed="false">
      <c r="A35" s="0" t="s">
        <v>132</v>
      </c>
      <c r="B35" s="0" t="n">
        <f aca="false">B34/(1+B27/100)^L4</f>
        <v>1452.56890913599</v>
      </c>
    </row>
    <row r="36" customFormat="false" ht="15" hidden="false" customHeight="false" outlineLevel="0" collapsed="false">
      <c r="A36" s="0" t="s">
        <v>133</v>
      </c>
      <c r="B36" s="0" t="n">
        <f aca="false">B30+B35</f>
        <v>5927.13295599173</v>
      </c>
    </row>
    <row r="37" customFormat="false" ht="15" hidden="false" customHeight="false" outlineLevel="0" collapsed="false">
      <c r="A37" s="0" t="s">
        <v>134</v>
      </c>
      <c r="B37" s="0" t="n">
        <f aca="false">B36+Assumptions!$B$5-Assumptions!$B$4</f>
        <v>5927.13295599173</v>
      </c>
    </row>
    <row r="38" customFormat="false" ht="15" hidden="false" customHeight="false" outlineLevel="0" collapsed="false">
      <c r="A38" s="0" t="s">
        <v>135</v>
      </c>
      <c r="B38" s="0" t="n">
        <f aca="false">B37/Assumptions!$B$3*Assumptions!$B$10</f>
        <v>1.95180123974515</v>
      </c>
    </row>
    <row r="39" customFormat="false" ht="15" hidden="false" customHeight="false" outlineLevel="0" collapsed="false">
      <c r="A39" s="0" t="s">
        <v>136</v>
      </c>
      <c r="B39" s="4" t="n">
        <f aca="false">B38/Assumptions!$B$2-1</f>
        <v>-0.391962230608986</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1.95180123974515</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4124.45464431211</v>
      </c>
    </row>
    <row r="47" customFormat="false" ht="15" hidden="false" customHeight="false" outlineLevel="0" collapsed="false">
      <c r="A47" s="0" t="s">
        <v>141</v>
      </c>
      <c r="B47" s="0" t="n">
        <f aca="false">(SUMPRODUCT(C19:L19/(1+B45/100)^C4:L4)+B46/(1+B45/100)^L4+Assumptions!$B$5-Assumptions!$B$4)/Assumptions!$B$3*Assumptions!$B$10</f>
        <v>1.61222881353679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-9</v>
      </c>
      <c r="D5" s="4" t="n">
        <f aca="false">Assumptions!D27</f>
        <v>0</v>
      </c>
      <c r="E5" s="4" t="n">
        <f aca="false">Assumptions!E27</f>
        <v>3</v>
      </c>
      <c r="F5" s="4" t="n">
        <f aca="false">Assumptions!F27</f>
        <v>4</v>
      </c>
      <c r="G5" s="4" t="n">
        <f aca="false">Assumptions!G27</f>
        <v>3</v>
      </c>
      <c r="H5" s="4" t="n">
        <f aca="false">Assumptions!H27</f>
        <v>3</v>
      </c>
      <c r="I5" s="4" t="n">
        <f aca="false">Assumptions!I27</f>
        <v>2.5</v>
      </c>
      <c r="J5" s="4" t="n">
        <f aca="false">Assumptions!J27</f>
        <v>2.5</v>
      </c>
      <c r="K5" s="4" t="n">
        <f aca="false">Assumptions!K27</f>
        <v>2</v>
      </c>
      <c r="L5" s="4" t="n">
        <f aca="false">Assumptions!L27</f>
        <v>2</v>
      </c>
    </row>
    <row r="6" customFormat="false" ht="15" hidden="false" customHeight="false" outlineLevel="0" collapsed="false">
      <c r="A6" s="0" t="s">
        <v>38</v>
      </c>
      <c r="B6" s="3" t="n">
        <v>36874.4</v>
      </c>
      <c r="C6" s="0" t="n">
        <f aca="false">B6*(1+C5/100)</f>
        <v>33555.704</v>
      </c>
      <c r="D6" s="0" t="n">
        <f aca="false">C6*(1+D5/100)</f>
        <v>33555.704</v>
      </c>
      <c r="E6" s="0" t="n">
        <f aca="false">D6*(1+E5/100)</f>
        <v>34562.37512</v>
      </c>
      <c r="F6" s="0" t="n">
        <f aca="false">E6*(1+F5/100)</f>
        <v>35944.8701248</v>
      </c>
      <c r="G6" s="0" t="n">
        <f aca="false">F6*(1+G5/100)</f>
        <v>37023.216228544</v>
      </c>
      <c r="H6" s="0" t="n">
        <f aca="false">G6*(1+H5/100)</f>
        <v>38133.9127154003</v>
      </c>
      <c r="I6" s="0" t="n">
        <f aca="false">H6*(1+I5/100)</f>
        <v>39087.2605332853</v>
      </c>
      <c r="J6" s="0" t="n">
        <f aca="false">I6*(1+J5/100)</f>
        <v>40064.4420466175</v>
      </c>
      <c r="K6" s="0" t="n">
        <f aca="false">J6*(1+K5/100)</f>
        <v>40865.7308875498</v>
      </c>
      <c r="L6" s="0" t="n">
        <f aca="false">K6*(1+L5/100)</f>
        <v>41683.0455053008</v>
      </c>
    </row>
    <row r="7" customFormat="false" ht="15" hidden="false" customHeight="false" outlineLevel="0" collapsed="false">
      <c r="A7" s="0" t="s">
        <v>98</v>
      </c>
      <c r="C7" s="4" t="n">
        <f aca="false">Assumptions!C28</f>
        <v>1.35</v>
      </c>
      <c r="D7" s="4" t="n">
        <f aca="false">Assumptions!D28</f>
        <v>2</v>
      </c>
      <c r="E7" s="4" t="n">
        <f aca="false">Assumptions!E28</f>
        <v>2.8</v>
      </c>
      <c r="F7" s="4" t="n">
        <f aca="false">Assumptions!F28</f>
        <v>3.5</v>
      </c>
      <c r="G7" s="4" t="n">
        <f aca="false">Assumptions!G28</f>
        <v>4</v>
      </c>
      <c r="H7" s="4" t="n">
        <f aca="false">Assumptions!H28</f>
        <v>4</v>
      </c>
      <c r="I7" s="4" t="n">
        <f aca="false">Assumptions!I28</f>
        <v>4</v>
      </c>
      <c r="J7" s="4" t="n">
        <f aca="false">Assumptions!J28</f>
        <v>4</v>
      </c>
      <c r="K7" s="4" t="n">
        <f aca="false">Assumptions!K28</f>
        <v>4</v>
      </c>
      <c r="L7" s="4" t="n">
        <f aca="false">Assumptions!L28</f>
        <v>4</v>
      </c>
    </row>
    <row r="8" customFormat="false" ht="15" hidden="false" customHeight="false" outlineLevel="0" collapsed="false">
      <c r="A8" s="0" t="s">
        <v>44</v>
      </c>
      <c r="C8" s="0" t="n">
        <f aca="false">C6*C7/100</f>
        <v>453.002004</v>
      </c>
      <c r="D8" s="0" t="n">
        <f aca="false">D6*D7/100</f>
        <v>671.11408</v>
      </c>
      <c r="E8" s="0" t="n">
        <f aca="false">E6*E7/100</f>
        <v>967.74650336</v>
      </c>
      <c r="F8" s="0" t="n">
        <f aca="false">F6*F7/100</f>
        <v>1258.070454368</v>
      </c>
      <c r="G8" s="0" t="n">
        <f aca="false">G6*G7/100</f>
        <v>1480.92864914176</v>
      </c>
      <c r="H8" s="0" t="n">
        <f aca="false">H6*H7/100</f>
        <v>1525.35650861601</v>
      </c>
      <c r="I8" s="0" t="n">
        <f aca="false">I6*I7/100</f>
        <v>1563.49042133141</v>
      </c>
      <c r="J8" s="0" t="n">
        <f aca="false">J6*J7/100</f>
        <v>1602.5776818647</v>
      </c>
      <c r="K8" s="0" t="n">
        <f aca="false">K6*K7/100</f>
        <v>1634.62923550199</v>
      </c>
      <c r="L8" s="0" t="n">
        <f aca="false">L6*L7/100</f>
        <v>1667.32182021203</v>
      </c>
    </row>
    <row r="9" customFormat="false" ht="15" hidden="false" customHeight="false" outlineLevel="0" collapsed="false">
      <c r="A9" s="0" t="s">
        <v>99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453.002004</v>
      </c>
      <c r="D11" s="0" t="n">
        <f aca="false">D8+D10+D24</f>
        <v>671.11408</v>
      </c>
      <c r="E11" s="0" t="n">
        <f aca="false">E8+E10+E24</f>
        <v>967.74650336</v>
      </c>
      <c r="F11" s="0" t="n">
        <f aca="false">F8+F10+F24</f>
        <v>1258.070454368</v>
      </c>
      <c r="G11" s="0" t="n">
        <f aca="false">G8+G10+G24</f>
        <v>1480.92864914176</v>
      </c>
      <c r="H11" s="0" t="n">
        <f aca="false">H8+H10+H24</f>
        <v>1525.35650861601</v>
      </c>
      <c r="I11" s="0" t="n">
        <f aca="false">I8+I10+I24</f>
        <v>1563.49042133141</v>
      </c>
      <c r="J11" s="0" t="n">
        <f aca="false">J8+J10+J24</f>
        <v>1602.5776818647</v>
      </c>
      <c r="K11" s="0" t="n">
        <f aca="false">K8+K10+K24</f>
        <v>1634.62923550199</v>
      </c>
      <c r="L11" s="0" t="n">
        <f aca="false">L8+L10+L24</f>
        <v>1667.32182021203</v>
      </c>
    </row>
    <row r="12" customFormat="false" ht="15" hidden="false" customHeight="false" outlineLevel="0" collapsed="false">
      <c r="A12" s="0" t="s">
        <v>116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117</v>
      </c>
      <c r="C13" s="0" t="n">
        <f aca="false">C11+C12</f>
        <v>453.002004</v>
      </c>
      <c r="D13" s="0" t="n">
        <f aca="false">D11+D12</f>
        <v>671.11408</v>
      </c>
      <c r="E13" s="0" t="n">
        <f aca="false">E11+E12</f>
        <v>967.74650336</v>
      </c>
      <c r="F13" s="0" t="n">
        <f aca="false">F11+F12</f>
        <v>1258.070454368</v>
      </c>
      <c r="G13" s="0" t="n">
        <f aca="false">G11+G12</f>
        <v>1480.92864914176</v>
      </c>
      <c r="H13" s="0" t="n">
        <f aca="false">H11+H12</f>
        <v>1525.35650861601</v>
      </c>
      <c r="I13" s="0" t="n">
        <f aca="false">I11+I12</f>
        <v>1563.49042133141</v>
      </c>
      <c r="J13" s="0" t="n">
        <f aca="false">J11+J12</f>
        <v>1602.5776818647</v>
      </c>
      <c r="K13" s="0" t="n">
        <f aca="false">K11+K12</f>
        <v>1634.62923550199</v>
      </c>
      <c r="L13" s="0" t="n">
        <f aca="false">L11+L12</f>
        <v>1667.32182021203</v>
      </c>
    </row>
    <row r="14" customFormat="false" ht="15" hidden="false" customHeight="false" outlineLevel="0" collapsed="false">
      <c r="A14" s="0" t="s">
        <v>103</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118</v>
      </c>
      <c r="C15" s="0" t="n">
        <f aca="false">C13-MAX(0,C13)*C14/100</f>
        <v>453.002004</v>
      </c>
      <c r="D15" s="0" t="n">
        <f aca="false">D13-MAX(0,D13)*D14/100</f>
        <v>671.11408</v>
      </c>
      <c r="E15" s="0" t="n">
        <f aca="false">E13-MAX(0,E13)*E14/100</f>
        <v>967.74650336</v>
      </c>
      <c r="F15" s="0" t="n">
        <f aca="false">F13-MAX(0,F13)*F14/100</f>
        <v>1258.070454368</v>
      </c>
      <c r="G15" s="0" t="n">
        <f aca="false">G13-MAX(0,G13)*G14/100</f>
        <v>1480.92864914176</v>
      </c>
      <c r="H15" s="0" t="n">
        <f aca="false">H13-MAX(0,H13)*H14/100</f>
        <v>1525.35650861601</v>
      </c>
      <c r="I15" s="0" t="n">
        <f aca="false">I13-MAX(0,I13)*I14/100</f>
        <v>1563.49042133141</v>
      </c>
      <c r="J15" s="0" t="n">
        <f aca="false">J13-MAX(0,J13)*J14/100</f>
        <v>1602.5776818647</v>
      </c>
      <c r="K15" s="0" t="n">
        <f aca="false">K13-MAX(0,K13)*K14/100</f>
        <v>1634.62923550199</v>
      </c>
      <c r="L15" s="0" t="n">
        <f aca="false">L13-MAX(0,L13)*L14/100</f>
        <v>1667.32182021203</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121</v>
      </c>
      <c r="C18" s="4" t="n">
        <f aca="false">(C6-B6)*Assumptions!$B$37/100</f>
        <v>1161.5436</v>
      </c>
      <c r="D18" s="4" t="n">
        <f aca="false">(D6-C6)*Assumptions!$B$37/100</f>
        <v>-0</v>
      </c>
      <c r="E18" s="4" t="n">
        <f aca="false">(E6-D6)*Assumptions!$B$37/100</f>
        <v>-352.334892</v>
      </c>
      <c r="F18" s="4" t="n">
        <f aca="false">(F6-E6)*Assumptions!$B$37/100</f>
        <v>-483.873251680001</v>
      </c>
      <c r="G18" s="4" t="n">
        <f aca="false">(G6-F6)*Assumptions!$B$37/100</f>
        <v>-377.4211363104</v>
      </c>
      <c r="H18" s="4" t="n">
        <f aca="false">(H6-G6)*Assumptions!$B$37/100</f>
        <v>-388.743770399713</v>
      </c>
      <c r="I18" s="4" t="n">
        <f aca="false">(I6-H6)*Assumptions!$B$37/100</f>
        <v>-333.671736259752</v>
      </c>
      <c r="J18" s="4" t="n">
        <f aca="false">(J6-I6)*Assumptions!$B$37/100</f>
        <v>-342.013529666245</v>
      </c>
      <c r="K18" s="4" t="n">
        <f aca="false">(K6-J6)*Assumptions!$B$37/100</f>
        <v>-280.451094326322</v>
      </c>
      <c r="L18" s="4" t="n">
        <f aca="false">(L6-K6)*Assumptions!$B$37/100</f>
        <v>-286.06011621285</v>
      </c>
    </row>
    <row r="19" customFormat="false" ht="15" hidden="false" customHeight="false" outlineLevel="0" collapsed="false">
      <c r="A19" s="0" t="s">
        <v>122</v>
      </c>
      <c r="C19" s="0" t="n">
        <f aca="false">C15+C16+C17+C18</f>
        <v>1614.545604</v>
      </c>
      <c r="D19" s="0" t="n">
        <f aca="false">D15+D16+D17+D18</f>
        <v>671.11408</v>
      </c>
      <c r="E19" s="0" t="n">
        <f aca="false">E15+E16+E17+E18</f>
        <v>615.41161136</v>
      </c>
      <c r="F19" s="0" t="n">
        <f aca="false">F15+F16+F17+F18</f>
        <v>774.197202687999</v>
      </c>
      <c r="G19" s="0" t="n">
        <f aca="false">G15+G16+G17+G18</f>
        <v>1103.50751283136</v>
      </c>
      <c r="H19" s="0" t="n">
        <f aca="false">H15+H16+H17+H18</f>
        <v>1136.6127382163</v>
      </c>
      <c r="I19" s="0" t="n">
        <f aca="false">I15+I16+I17+I18</f>
        <v>1229.81868507166</v>
      </c>
      <c r="J19" s="0" t="n">
        <f aca="false">J15+J16+J17+J18</f>
        <v>1260.56415219845</v>
      </c>
      <c r="K19" s="0" t="n">
        <f aca="false">K15+K16+K17+K18</f>
        <v>1354.17814117567</v>
      </c>
      <c r="L19" s="0" t="n">
        <f aca="false">L15+L16+L17+L18</f>
        <v>1381.26170399918</v>
      </c>
    </row>
    <row r="20" customFormat="false" ht="15" hidden="false" customHeight="false" outlineLevel="0" collapsed="false">
      <c r="A20" s="0" t="s">
        <v>123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124</v>
      </c>
      <c r="C21" s="0" t="n">
        <f aca="false">C19*C20</f>
        <v>1454.54558918919</v>
      </c>
      <c r="D21" s="0" t="n">
        <f aca="false">D19*D20</f>
        <v>544.691242593945</v>
      </c>
      <c r="E21" s="0" t="n">
        <f aca="false">E19*E20</f>
        <v>449.983666178962</v>
      </c>
      <c r="F21" s="0" t="n">
        <f aca="false">F19*F20</f>
        <v>509.987677507</v>
      </c>
      <c r="G21" s="0" t="n">
        <f aca="false">G19*G20</f>
        <v>654.877999012368</v>
      </c>
      <c r="H21" s="0" t="n">
        <f aca="false">H19*H20</f>
        <v>607.679584669133</v>
      </c>
      <c r="I21" s="0" t="n">
        <f aca="false">I19*I20</f>
        <v>592.352513535434</v>
      </c>
      <c r="J21" s="0" t="n">
        <f aca="false">J19*J20</f>
        <v>546.99218592236</v>
      </c>
      <c r="K21" s="0" t="n">
        <f aca="false">K19*K20</f>
        <v>529.38178032768</v>
      </c>
      <c r="L21" s="0" t="n">
        <f aca="false">L19*L20</f>
        <v>486.458933274084</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11</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9</v>
      </c>
    </row>
    <row r="30" customFormat="false" ht="15" hidden="false" customHeight="false" outlineLevel="0" collapsed="false">
      <c r="A30" s="0" t="s">
        <v>127</v>
      </c>
      <c r="B30" s="0" t="n">
        <f aca="false">SUM(C21:L21)</f>
        <v>6376.95117221015</v>
      </c>
    </row>
    <row r="31" customFormat="false" ht="15" hidden="false" customHeight="false" outlineLevel="0" collapsed="false">
      <c r="A31" s="0" t="s">
        <v>128</v>
      </c>
      <c r="B31" s="0" t="n">
        <f aca="false">L19</f>
        <v>1381.26170399918</v>
      </c>
    </row>
    <row r="32" customFormat="false" ht="15" hidden="false" customHeight="false" outlineLevel="0" collapsed="false">
      <c r="A32" s="0" t="s">
        <v>129</v>
      </c>
      <c r="B32" s="0" t="n">
        <f aca="false">IF(B27&gt;B28,B31*(1+B28/100)/((B27-B28)/100),B31*B29)</f>
        <v>15654.2993119907</v>
      </c>
    </row>
    <row r="33" customFormat="false" ht="15" hidden="false" customHeight="false" outlineLevel="0" collapsed="false">
      <c r="A33" s="0" t="s">
        <v>130</v>
      </c>
      <c r="B33" s="0" t="n">
        <f aca="false">B31*B29</f>
        <v>12431.3553359926</v>
      </c>
    </row>
    <row r="34" customFormat="false" ht="15" hidden="false" customHeight="false" outlineLevel="0" collapsed="false">
      <c r="A34" s="0" t="s">
        <v>131</v>
      </c>
      <c r="B34" s="0" t="n">
        <f aca="false">MAX(0,MIN(B32,B33))</f>
        <v>12431.3553359926</v>
      </c>
    </row>
    <row r="35" customFormat="false" ht="15" hidden="false" customHeight="false" outlineLevel="0" collapsed="false">
      <c r="A35" s="0" t="s">
        <v>132</v>
      </c>
      <c r="B35" s="0" t="n">
        <f aca="false">B34/(1+B27/100)^L4</f>
        <v>4378.13039946676</v>
      </c>
    </row>
    <row r="36" customFormat="false" ht="15" hidden="false" customHeight="false" outlineLevel="0" collapsed="false">
      <c r="A36" s="0" t="s">
        <v>133</v>
      </c>
      <c r="B36" s="0" t="n">
        <f aca="false">B30+B35</f>
        <v>10755.0815716769</v>
      </c>
    </row>
    <row r="37" customFormat="false" ht="15" hidden="false" customHeight="false" outlineLevel="0" collapsed="false">
      <c r="A37" s="0" t="s">
        <v>134</v>
      </c>
      <c r="B37" s="0" t="n">
        <f aca="false">B36+Assumptions!$B$5-Assumptions!$B$4</f>
        <v>10755.0815716769</v>
      </c>
    </row>
    <row r="38" customFormat="false" ht="15" hidden="false" customHeight="false" outlineLevel="0" collapsed="false">
      <c r="A38" s="0" t="s">
        <v>135</v>
      </c>
      <c r="B38" s="0" t="n">
        <f aca="false">B37/Assumptions!$B$3*Assumptions!$B$10</f>
        <v>3.54164175175768</v>
      </c>
    </row>
    <row r="39" customFormat="false" ht="15" hidden="false" customHeight="false" outlineLevel="0" collapsed="false">
      <c r="A39" s="0" t="s">
        <v>136</v>
      </c>
      <c r="B39" s="4" t="n">
        <f aca="false">B38/Assumptions!$B$2-1</f>
        <v>0.103315187463453</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3.54164175175768</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10837.5918313782</v>
      </c>
    </row>
    <row r="47" customFormat="false" ht="15" hidden="false" customHeight="false" outlineLevel="0" collapsed="false">
      <c r="A47" s="0" t="s">
        <v>141</v>
      </c>
      <c r="B47" s="0" t="n">
        <f aca="false">(SUMPRODUCT(C19:L19/(1+B45/100)^C4:L4)+B46/(1+B45/100)^L4+Assumptions!$B$5-Assumptions!$B$4)/Assumptions!$B$3*Assumptions!$B$10</f>
        <v>2.66021290667192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-6</v>
      </c>
      <c r="D5" s="4" t="n">
        <f aca="false">Assumptions!D41</f>
        <v>6</v>
      </c>
      <c r="E5" s="4" t="n">
        <f aca="false">Assumptions!E41</f>
        <v>8</v>
      </c>
      <c r="F5" s="4" t="n">
        <f aca="false">Assumptions!F41</f>
        <v>8</v>
      </c>
      <c r="G5" s="4" t="n">
        <f aca="false">Assumptions!G41</f>
        <v>6</v>
      </c>
      <c r="H5" s="4" t="n">
        <f aca="false">Assumptions!H41</f>
        <v>5</v>
      </c>
      <c r="I5" s="4" t="n">
        <f aca="false">Assumptions!I41</f>
        <v>4</v>
      </c>
      <c r="J5" s="4" t="n">
        <f aca="false">Assumptions!J41</f>
        <v>3</v>
      </c>
      <c r="K5" s="4" t="n">
        <f aca="false">Assumptions!K41</f>
        <v>3</v>
      </c>
      <c r="L5" s="4" t="n">
        <f aca="false">Assumptions!L41</f>
        <v>3</v>
      </c>
    </row>
    <row r="6" customFormat="false" ht="15" hidden="false" customHeight="false" outlineLevel="0" collapsed="false">
      <c r="A6" s="0" t="s">
        <v>38</v>
      </c>
      <c r="B6" s="3" t="n">
        <v>36874.4</v>
      </c>
      <c r="C6" s="0" t="n">
        <f aca="false">B6*(1+C5/100)</f>
        <v>34661.936</v>
      </c>
      <c r="D6" s="0" t="n">
        <f aca="false">C6*(1+D5/100)</f>
        <v>36741.65216</v>
      </c>
      <c r="E6" s="0" t="n">
        <f aca="false">D6*(1+E5/100)</f>
        <v>39680.9843328</v>
      </c>
      <c r="F6" s="0" t="n">
        <f aca="false">E6*(1+F5/100)</f>
        <v>42855.463079424</v>
      </c>
      <c r="G6" s="0" t="n">
        <f aca="false">F6*(1+G5/100)</f>
        <v>45426.7908641895</v>
      </c>
      <c r="H6" s="0" t="n">
        <f aca="false">G6*(1+H5/100)</f>
        <v>47698.1304073989</v>
      </c>
      <c r="I6" s="0" t="n">
        <f aca="false">H6*(1+I5/100)</f>
        <v>49606.0556236949</v>
      </c>
      <c r="J6" s="0" t="n">
        <f aca="false">I6*(1+J5/100)</f>
        <v>51094.2372924057</v>
      </c>
      <c r="K6" s="0" t="n">
        <f aca="false">J6*(1+K5/100)</f>
        <v>52627.0644111779</v>
      </c>
      <c r="L6" s="0" t="n">
        <f aca="false">K6*(1+L5/100)</f>
        <v>54205.8763435133</v>
      </c>
    </row>
    <row r="7" customFormat="false" ht="15" hidden="false" customHeight="false" outlineLevel="0" collapsed="false">
      <c r="A7" s="0" t="s">
        <v>98</v>
      </c>
      <c r="C7" s="4" t="n">
        <f aca="false">Assumptions!C42</f>
        <v>1.6</v>
      </c>
      <c r="D7" s="4" t="n">
        <f aca="false">Assumptions!D42</f>
        <v>3</v>
      </c>
      <c r="E7" s="4" t="n">
        <f aca="false">Assumptions!E42</f>
        <v>4.5</v>
      </c>
      <c r="F7" s="4" t="n">
        <f aca="false">Assumptions!F42</f>
        <v>5.5</v>
      </c>
      <c r="G7" s="4" t="n">
        <f aca="false">Assumptions!G42</f>
        <v>6</v>
      </c>
      <c r="H7" s="4" t="n">
        <f aca="false">Assumptions!H42</f>
        <v>6</v>
      </c>
      <c r="I7" s="4" t="n">
        <f aca="false">Assumptions!I42</f>
        <v>6</v>
      </c>
      <c r="J7" s="4" t="n">
        <f aca="false">Assumptions!J42</f>
        <v>6</v>
      </c>
      <c r="K7" s="4" t="n">
        <f aca="false">Assumptions!K42</f>
        <v>6</v>
      </c>
      <c r="L7" s="4" t="n">
        <f aca="false">Assumptions!L42</f>
        <v>6</v>
      </c>
    </row>
    <row r="8" customFormat="false" ht="15" hidden="false" customHeight="false" outlineLevel="0" collapsed="false">
      <c r="A8" s="0" t="s">
        <v>44</v>
      </c>
      <c r="C8" s="0" t="n">
        <f aca="false">C6*C7/100</f>
        <v>554.590976</v>
      </c>
      <c r="D8" s="0" t="n">
        <f aca="false">D6*D7/100</f>
        <v>1102.2495648</v>
      </c>
      <c r="E8" s="0" t="n">
        <f aca="false">E6*E7/100</f>
        <v>1785.644294976</v>
      </c>
      <c r="F8" s="0" t="n">
        <f aca="false">F6*F7/100</f>
        <v>2357.05046936832</v>
      </c>
      <c r="G8" s="0" t="n">
        <f aca="false">G6*G7/100</f>
        <v>2725.60745185137</v>
      </c>
      <c r="H8" s="0" t="n">
        <f aca="false">H6*H7/100</f>
        <v>2861.88782444394</v>
      </c>
      <c r="I8" s="0" t="n">
        <f aca="false">I6*I7/100</f>
        <v>2976.36333742169</v>
      </c>
      <c r="J8" s="0" t="n">
        <f aca="false">J6*J7/100</f>
        <v>3065.65423754434</v>
      </c>
      <c r="K8" s="0" t="n">
        <f aca="false">K6*K7/100</f>
        <v>3157.62386467068</v>
      </c>
      <c r="L8" s="0" t="n">
        <f aca="false">L6*L7/100</f>
        <v>3252.3525806108</v>
      </c>
    </row>
    <row r="9" customFormat="false" ht="15" hidden="false" customHeight="false" outlineLevel="0" collapsed="false">
      <c r="A9" s="0" t="s">
        <v>99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554.590976</v>
      </c>
      <c r="D11" s="0" t="n">
        <f aca="false">D8+D10+D24</f>
        <v>1102.2495648</v>
      </c>
      <c r="E11" s="0" t="n">
        <f aca="false">E8+E10+E24</f>
        <v>1785.644294976</v>
      </c>
      <c r="F11" s="0" t="n">
        <f aca="false">F8+F10+F24</f>
        <v>2357.05046936832</v>
      </c>
      <c r="G11" s="0" t="n">
        <f aca="false">G8+G10+G24</f>
        <v>2725.60745185137</v>
      </c>
      <c r="H11" s="0" t="n">
        <f aca="false">H8+H10+H24</f>
        <v>2861.88782444394</v>
      </c>
      <c r="I11" s="0" t="n">
        <f aca="false">I8+I10+I24</f>
        <v>2976.36333742169</v>
      </c>
      <c r="J11" s="0" t="n">
        <f aca="false">J8+J10+J24</f>
        <v>3065.65423754434</v>
      </c>
      <c r="K11" s="0" t="n">
        <f aca="false">K8+K10+K24</f>
        <v>3157.62386467068</v>
      </c>
      <c r="L11" s="0" t="n">
        <f aca="false">L8+L10+L24</f>
        <v>3252.3525806108</v>
      </c>
    </row>
    <row r="12" customFormat="false" ht="15" hidden="false" customHeight="false" outlineLevel="0" collapsed="false">
      <c r="A12" s="0" t="s">
        <v>116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117</v>
      </c>
      <c r="C13" s="0" t="n">
        <f aca="false">C11+C12</f>
        <v>554.590976</v>
      </c>
      <c r="D13" s="0" t="n">
        <f aca="false">D11+D12</f>
        <v>1102.2495648</v>
      </c>
      <c r="E13" s="0" t="n">
        <f aca="false">E11+E12</f>
        <v>1785.644294976</v>
      </c>
      <c r="F13" s="0" t="n">
        <f aca="false">F11+F12</f>
        <v>2357.05046936832</v>
      </c>
      <c r="G13" s="0" t="n">
        <f aca="false">G11+G12</f>
        <v>2725.60745185137</v>
      </c>
      <c r="H13" s="0" t="n">
        <f aca="false">H11+H12</f>
        <v>2861.88782444394</v>
      </c>
      <c r="I13" s="0" t="n">
        <f aca="false">I11+I12</f>
        <v>2976.36333742169</v>
      </c>
      <c r="J13" s="0" t="n">
        <f aca="false">J11+J12</f>
        <v>3065.65423754434</v>
      </c>
      <c r="K13" s="0" t="n">
        <f aca="false">K11+K12</f>
        <v>3157.62386467068</v>
      </c>
      <c r="L13" s="0" t="n">
        <f aca="false">L11+L12</f>
        <v>3252.3525806108</v>
      </c>
    </row>
    <row r="14" customFormat="false" ht="15" hidden="false" customHeight="false" outlineLevel="0" collapsed="false">
      <c r="A14" s="0" t="s">
        <v>103</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118</v>
      </c>
      <c r="C15" s="0" t="n">
        <f aca="false">C13-MAX(0,C13)*C14/100</f>
        <v>554.590976</v>
      </c>
      <c r="D15" s="0" t="n">
        <f aca="false">D13-MAX(0,D13)*D14/100</f>
        <v>1102.2495648</v>
      </c>
      <c r="E15" s="0" t="n">
        <f aca="false">E13-MAX(0,E13)*E14/100</f>
        <v>1785.644294976</v>
      </c>
      <c r="F15" s="0" t="n">
        <f aca="false">F13-MAX(0,F13)*F14/100</f>
        <v>2357.05046936832</v>
      </c>
      <c r="G15" s="0" t="n">
        <f aca="false">G13-MAX(0,G13)*G14/100</f>
        <v>2725.60745185137</v>
      </c>
      <c r="H15" s="0" t="n">
        <f aca="false">H13-MAX(0,H13)*H14/100</f>
        <v>2861.88782444394</v>
      </c>
      <c r="I15" s="0" t="n">
        <f aca="false">I13-MAX(0,I13)*I14/100</f>
        <v>2976.36333742169</v>
      </c>
      <c r="J15" s="0" t="n">
        <f aca="false">J13-MAX(0,J13)*J14/100</f>
        <v>3065.65423754434</v>
      </c>
      <c r="K15" s="0" t="n">
        <f aca="false">K13-MAX(0,K13)*K14/100</f>
        <v>3157.62386467068</v>
      </c>
      <c r="L15" s="0" t="n">
        <f aca="false">L13-MAX(0,L13)*L14/100</f>
        <v>3252.3525806108</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121</v>
      </c>
      <c r="C18" s="4" t="n">
        <f aca="false">(C6-B6)*Assumptions!$B$51/100</f>
        <v>774.3624</v>
      </c>
      <c r="D18" s="4" t="n">
        <f aca="false">(D6-C6)*Assumptions!$B$51/100</f>
        <v>-727.900656000001</v>
      </c>
      <c r="E18" s="4" t="n">
        <f aca="false">(E6-D6)*Assumptions!$B$51/100</f>
        <v>-1028.76626048</v>
      </c>
      <c r="F18" s="4" t="n">
        <f aca="false">(F6-E6)*Assumptions!$B$51/100</f>
        <v>-1111.0675613184</v>
      </c>
      <c r="G18" s="4" t="n">
        <f aca="false">(G6-F6)*Assumptions!$B$51/100</f>
        <v>-899.964724667906</v>
      </c>
      <c r="H18" s="4" t="n">
        <f aca="false">(H6-G6)*Assumptions!$B$51/100</f>
        <v>-794.968840123317</v>
      </c>
      <c r="I18" s="4" t="n">
        <f aca="false">(I6-H6)*Assumptions!$B$51/100</f>
        <v>-667.773825703586</v>
      </c>
      <c r="J18" s="4" t="n">
        <f aca="false">(J6-I6)*Assumptions!$B$51/100</f>
        <v>-520.863584048798</v>
      </c>
      <c r="K18" s="4" t="n">
        <f aca="false">(K6-J6)*Assumptions!$B$51/100</f>
        <v>-536.489491570262</v>
      </c>
      <c r="L18" s="4" t="n">
        <f aca="false">(L6-K6)*Assumptions!$B$51/100</f>
        <v>-552.584176317369</v>
      </c>
    </row>
    <row r="19" customFormat="false" ht="15" hidden="false" customHeight="false" outlineLevel="0" collapsed="false">
      <c r="A19" s="0" t="s">
        <v>122</v>
      </c>
      <c r="C19" s="0" t="n">
        <f aca="false">C15+C16+C17+C18</f>
        <v>1328.953376</v>
      </c>
      <c r="D19" s="0" t="n">
        <f aca="false">D15+D16+D17+D18</f>
        <v>374.348908799999</v>
      </c>
      <c r="E19" s="0" t="n">
        <f aca="false">E15+E16+E17+E18</f>
        <v>756.878034496</v>
      </c>
      <c r="F19" s="0" t="n">
        <f aca="false">F15+F16+F17+F18</f>
        <v>1245.98290804992</v>
      </c>
      <c r="G19" s="0" t="n">
        <f aca="false">G15+G16+G17+G18</f>
        <v>1825.64272718346</v>
      </c>
      <c r="H19" s="0" t="n">
        <f aca="false">H15+H16+H17+H18</f>
        <v>2066.91898432062</v>
      </c>
      <c r="I19" s="0" t="n">
        <f aca="false">I15+I16+I17+I18</f>
        <v>2308.58951171811</v>
      </c>
      <c r="J19" s="0" t="n">
        <f aca="false">J15+J16+J17+J18</f>
        <v>2544.79065349555</v>
      </c>
      <c r="K19" s="0" t="n">
        <f aca="false">K15+K16+K17+K18</f>
        <v>2621.13437310041</v>
      </c>
      <c r="L19" s="0" t="n">
        <f aca="false">L15+L16+L17+L18</f>
        <v>2699.76840429343</v>
      </c>
    </row>
    <row r="20" customFormat="false" ht="15" hidden="false" customHeight="false" outlineLevel="0" collapsed="false">
      <c r="A20" s="0" t="s">
        <v>123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124</v>
      </c>
      <c r="C21" s="0" t="n">
        <f aca="false">C19*C20</f>
        <v>1197.25529369369</v>
      </c>
      <c r="D21" s="0" t="n">
        <f aca="false">D19*D20</f>
        <v>303.829972242512</v>
      </c>
      <c r="E21" s="0" t="n">
        <f aca="false">E19*E20</f>
        <v>553.422695519479</v>
      </c>
      <c r="F21" s="0" t="n">
        <f aca="false">F19*F20</f>
        <v>820.767534787744</v>
      </c>
      <c r="G21" s="0" t="n">
        <f aca="false">G19*G20</f>
        <v>1083.43010100747</v>
      </c>
      <c r="H21" s="0" t="n">
        <f aca="false">H19*H20</f>
        <v>1105.05929390497</v>
      </c>
      <c r="I21" s="0" t="n">
        <f aca="false">I19*I20</f>
        <v>1111.95155561332</v>
      </c>
      <c r="J21" s="0" t="n">
        <f aca="false">J19*J20</f>
        <v>1104.25209208327</v>
      </c>
      <c r="K21" s="0" t="n">
        <f aca="false">K19*K20</f>
        <v>1024.66635571691</v>
      </c>
      <c r="L21" s="0" t="n">
        <f aca="false">L19*L20</f>
        <v>950.816528277855</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11</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11</v>
      </c>
    </row>
    <row r="30" customFormat="false" ht="15" hidden="false" customHeight="false" outlineLevel="0" collapsed="false">
      <c r="A30" s="0" t="s">
        <v>127</v>
      </c>
      <c r="B30" s="0" t="n">
        <f aca="false">SUM(C21:L21)</f>
        <v>9255.45142284723</v>
      </c>
    </row>
    <row r="31" customFormat="false" ht="15" hidden="false" customHeight="false" outlineLevel="0" collapsed="false">
      <c r="A31" s="0" t="s">
        <v>128</v>
      </c>
      <c r="B31" s="0" t="n">
        <f aca="false">L19</f>
        <v>2699.76840429343</v>
      </c>
    </row>
    <row r="32" customFormat="false" ht="15" hidden="false" customHeight="false" outlineLevel="0" collapsed="false">
      <c r="A32" s="0" t="s">
        <v>129</v>
      </c>
      <c r="B32" s="0" t="n">
        <f aca="false">IF(B27&gt;B28,B31*(1+B28/100)/((B27-B28)/100),B31*B29)</f>
        <v>32556.030757656</v>
      </c>
    </row>
    <row r="33" customFormat="false" ht="15" hidden="false" customHeight="false" outlineLevel="0" collapsed="false">
      <c r="A33" s="0" t="s">
        <v>130</v>
      </c>
      <c r="B33" s="0" t="n">
        <f aca="false">B31*B29</f>
        <v>29697.4524472277</v>
      </c>
    </row>
    <row r="34" customFormat="false" ht="15" hidden="false" customHeight="false" outlineLevel="0" collapsed="false">
      <c r="A34" s="0" t="s">
        <v>131</v>
      </c>
      <c r="B34" s="0" t="n">
        <f aca="false">MAX(0,MIN(B32,B33))</f>
        <v>29697.4524472277</v>
      </c>
    </row>
    <row r="35" customFormat="false" ht="15" hidden="false" customHeight="false" outlineLevel="0" collapsed="false">
      <c r="A35" s="0" t="s">
        <v>132</v>
      </c>
      <c r="B35" s="0" t="n">
        <f aca="false">B34/(1+B27/100)^L4</f>
        <v>10458.9818110564</v>
      </c>
    </row>
    <row r="36" customFormat="false" ht="15" hidden="false" customHeight="false" outlineLevel="0" collapsed="false">
      <c r="A36" s="0" t="s">
        <v>133</v>
      </c>
      <c r="B36" s="0" t="n">
        <f aca="false">B30+B35</f>
        <v>19714.4332339036</v>
      </c>
    </row>
    <row r="37" customFormat="false" ht="15" hidden="false" customHeight="false" outlineLevel="0" collapsed="false">
      <c r="A37" s="0" t="s">
        <v>134</v>
      </c>
      <c r="B37" s="0" t="n">
        <f aca="false">B36+Assumptions!$B$5-Assumptions!$B$4</f>
        <v>19714.4332339036</v>
      </c>
    </row>
    <row r="38" customFormat="false" ht="15" hidden="false" customHeight="false" outlineLevel="0" collapsed="false">
      <c r="A38" s="0" t="s">
        <v>135</v>
      </c>
      <c r="B38" s="0" t="n">
        <f aca="false">B37/Assumptions!$B$3*Assumptions!$B$10</f>
        <v>6.49195074794267</v>
      </c>
    </row>
    <row r="39" customFormat="false" ht="15" hidden="false" customHeight="false" outlineLevel="0" collapsed="false">
      <c r="A39" s="0" t="s">
        <v>136</v>
      </c>
      <c r="B39" s="4" t="n">
        <f aca="false">B38/Assumptions!$B$2-1</f>
        <v>1.02241456322202</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6.49195074794267</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22138.1009152061</v>
      </c>
    </row>
    <row r="47" customFormat="false" ht="15" hidden="false" customHeight="false" outlineLevel="0" collapsed="false">
      <c r="A47" s="0" t="s">
        <v>141</v>
      </c>
      <c r="B47" s="0" t="n">
        <f aca="false">(SUMPRODUCT(C19:L19/(1+B45/100)^C4:L4)+B46/(1+B45/100)^L4+Assumptions!$B$5-Assumptions!$B$4)/Assumptions!$B$3*Assumptions!$B$10</f>
        <v>4.29221762189429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1.95180123974515</v>
      </c>
      <c r="C4" s="0" t="n">
        <f aca="false">B4/Assumptions!$B$2-1</f>
        <v>-0.391962230608986</v>
      </c>
      <c r="D4" s="4" t="n">
        <f aca="false">Assumptions!$B$24</f>
        <v>0.3</v>
      </c>
      <c r="E4" s="4" t="n">
        <f aca="false">DCF_Bear!$B$43</f>
        <v>1.95180123974515</v>
      </c>
      <c r="F4" s="4" t="n">
        <f aca="false">DCF_Bear!$B$47</f>
        <v>1.61222881353679</v>
      </c>
    </row>
    <row r="5" customFormat="false" ht="15" hidden="false" customHeight="false" outlineLevel="0" collapsed="false">
      <c r="A5" s="0" t="s">
        <v>150</v>
      </c>
      <c r="B5" s="4" t="n">
        <f aca="false">DCF_Base!$B$38</f>
        <v>3.54164175175768</v>
      </c>
      <c r="C5" s="0" t="n">
        <f aca="false">B5/Assumptions!$B$2-1</f>
        <v>0.103315187463453</v>
      </c>
      <c r="D5" s="4" t="n">
        <f aca="false">Assumptions!$B$38</f>
        <v>0.5</v>
      </c>
      <c r="E5" s="4" t="n">
        <f aca="false">DCF_Base!$B$43</f>
        <v>3.54164175175768</v>
      </c>
      <c r="F5" s="4" t="n">
        <f aca="false">DCF_Base!$B$47</f>
        <v>2.66021290667192</v>
      </c>
    </row>
    <row r="6" customFormat="false" ht="15" hidden="false" customHeight="false" outlineLevel="0" collapsed="false">
      <c r="A6" s="0" t="s">
        <v>151</v>
      </c>
      <c r="B6" s="4" t="n">
        <f aca="false">DCF_Bull!$B$38</f>
        <v>6.49195074794267</v>
      </c>
      <c r="C6" s="0" t="n">
        <f aca="false">B6/Assumptions!$B$2-1</f>
        <v>1.02241456322202</v>
      </c>
      <c r="D6" s="4" t="n">
        <f aca="false">Assumptions!$B$52</f>
        <v>0.2</v>
      </c>
      <c r="E6" s="4" t="n">
        <f aca="false">DCF_Bull!$B$43</f>
        <v>6.49195074794267</v>
      </c>
      <c r="F6" s="4" t="n">
        <f aca="false">DCF_Bull!$B$47</f>
        <v>4.29221762189429</v>
      </c>
    </row>
    <row r="8" customFormat="false" ht="15" hidden="false" customHeight="false" outlineLevel="0" collapsed="false">
      <c r="A8" s="0" t="s">
        <v>152</v>
      </c>
      <c r="B8" s="0" t="n">
        <f aca="false">SUMPRODUCT(B4:B6,D4:D6)</f>
        <v>3.65475139739092</v>
      </c>
    </row>
    <row r="9" customFormat="false" ht="15" hidden="false" customHeight="false" outlineLevel="0" collapsed="false">
      <c r="A9" s="0" t="s">
        <v>153</v>
      </c>
      <c r="B9" s="0" t="n">
        <f aca="false">SUMPRODUCT(E4:E6,D4:D6)</f>
        <v>3.65475139739092</v>
      </c>
    </row>
    <row r="10" customFormat="false" ht="15" hidden="false" customHeight="false" outlineLevel="0" collapsed="false">
      <c r="A10" s="0" t="s">
        <v>154</v>
      </c>
      <c r="B10" s="0" t="n">
        <f aca="false">1-Assumptions!$B$2/B8</f>
        <v>0.121691285954066</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2.67221862177586</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4.02673414041443</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3.77349516399964</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3.54164175175768</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3.32910989812446</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2.66021290667192</v>
      </c>
      <c r="C19" s="3" t="n">
        <v>15</v>
      </c>
    </row>
    <row r="21" customFormat="false" ht="15" hidden="false" customHeight="false" outlineLevel="0" collapsed="false">
      <c r="A21" s="2" t="s">
        <v>164</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4.02673414041443</v>
      </c>
      <c r="C23" s="0" t="n">
        <f aca="false">(SUMPRODUCT(DCF_Base!$C$19:$L$19/(1+$A$23/100)^DCF_Base!$C$4:$L$4)+MAX(0,MIN(IF($A$23&gt;$C$22,DCF_Base!$L$19*(1+$C$22/100)/(($A$23-$C$22)/100),DCF_Base!$L$19*DCF_Base!$B$29),DCF_Base!$L$19*DCF_Base!$B$29))/(1+$A$23/100)^DCF_Base!$L$4+Assumptions!$B$5-Assumptions!$B$4)/Assumptions!$B$3*Assumptions!$B$10</f>
        <v>4.02673414041443</v>
      </c>
      <c r="D23" s="0" t="n">
        <f aca="false">(SUMPRODUCT(DCF_Base!$C$19:$L$19/(1+$A$23/100)^DCF_Base!$C$4:$L$4)+MAX(0,MIN(IF($A$23&gt;$D$22,DCF_Base!$L$19*(1+$D$22/100)/(($A$23-$D$22)/100),DCF_Base!$L$19*DCF_Base!$B$29),DCF_Base!$L$19*DCF_Base!$B$29))/(1+$A$23/100)^DCF_Base!$L$4+Assumptions!$B$5-Assumptions!$B$4)/Assumptions!$B$3*Assumptions!$B$10</f>
        <v>4.02673414041443</v>
      </c>
      <c r="E23" s="0" t="n">
        <f aca="false">(SUMPRODUCT(DCF_Base!$C$19:$L$19/(1+$A$23/100)^DCF_Base!$C$4:$L$4)+MAX(0,MIN(IF($A$23&gt;$E$22,DCF_Base!$L$19*(1+$E$22/100)/(($A$23-$E$22)/100),DCF_Base!$L$19*DCF_Base!$B$29),DCF_Base!$L$19*DCF_Base!$B$29))/(1+$A$23/100)^DCF_Base!$L$4+Assumptions!$B$5-Assumptions!$B$4)/Assumptions!$B$3*Assumptions!$B$10</f>
        <v>4.02673414041443</v>
      </c>
      <c r="F23" s="0" t="n">
        <f aca="false">(SUMPRODUCT(DCF_Base!$C$19:$L$19/(1+$A$23/100)^DCF_Base!$C$4:$L$4)+MAX(0,MIN(IF($A$23&gt;$F$22,DCF_Base!$L$19*(1+$F$22/100)/(($A$23-$F$22)/100),DCF_Base!$L$19*DCF_Base!$B$29),DCF_Base!$L$19*DCF_Base!$B$29))/(1+$A$23/100)^DCF_Base!$L$4+Assumptions!$B$5-Assumptions!$B$4)/Assumptions!$B$3*Assumptions!$B$10</f>
        <v>4.02673414041443</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3.77349516399964</v>
      </c>
      <c r="C24" s="0" t="n">
        <f aca="false">(SUMPRODUCT(DCF_Base!$C$19:$L$19/(1+$A$24/100)^DCF_Base!$C$4:$L$4)+MAX(0,MIN(IF($A$24&gt;$C$22,DCF_Base!$L$19*(1+$C$22/100)/(($A$24-$C$22)/100),DCF_Base!$L$19*DCF_Base!$B$29),DCF_Base!$L$19*DCF_Base!$B$29))/(1+$A$24/100)^DCF_Base!$L$4+Assumptions!$B$5-Assumptions!$B$4)/Assumptions!$B$3*Assumptions!$B$10</f>
        <v>3.77349516399964</v>
      </c>
      <c r="D24" s="0" t="n">
        <f aca="false">(SUMPRODUCT(DCF_Base!$C$19:$L$19/(1+$A$24/100)^DCF_Base!$C$4:$L$4)+MAX(0,MIN(IF($A$24&gt;$D$22,DCF_Base!$L$19*(1+$D$22/100)/(($A$24-$D$22)/100),DCF_Base!$L$19*DCF_Base!$B$29),DCF_Base!$L$19*DCF_Base!$B$29))/(1+$A$24/100)^DCF_Base!$L$4+Assumptions!$B$5-Assumptions!$B$4)/Assumptions!$B$3*Assumptions!$B$10</f>
        <v>3.77349516399964</v>
      </c>
      <c r="E24" s="0" t="n">
        <f aca="false">(SUMPRODUCT(DCF_Base!$C$19:$L$19/(1+$A$24/100)^DCF_Base!$C$4:$L$4)+MAX(0,MIN(IF($A$24&gt;$E$22,DCF_Base!$L$19*(1+$E$22/100)/(($A$24-$E$22)/100),DCF_Base!$L$19*DCF_Base!$B$29),DCF_Base!$L$19*DCF_Base!$B$29))/(1+$A$24/100)^DCF_Base!$L$4+Assumptions!$B$5-Assumptions!$B$4)/Assumptions!$B$3*Assumptions!$B$10</f>
        <v>3.77349516399964</v>
      </c>
      <c r="F24" s="0" t="n">
        <f aca="false">(SUMPRODUCT(DCF_Base!$C$19:$L$19/(1+$A$24/100)^DCF_Base!$C$4:$L$4)+MAX(0,MIN(IF($A$24&gt;$F$22,DCF_Base!$L$19*(1+$F$22/100)/(($A$24-$F$22)/100),DCF_Base!$L$19*DCF_Base!$B$29),DCF_Base!$L$19*DCF_Base!$B$29))/(1+$A$24/100)^DCF_Base!$L$4+Assumptions!$B$5-Assumptions!$B$4)/Assumptions!$B$3*Assumptions!$B$10</f>
        <v>3.77349516399964</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3.54164175175768</v>
      </c>
      <c r="C25" s="0" t="n">
        <f aca="false">(SUMPRODUCT(DCF_Base!$C$19:$L$19/(1+$A$25/100)^DCF_Base!$C$4:$L$4)+MAX(0,MIN(IF($A$25&gt;$C$22,DCF_Base!$L$19*(1+$C$22/100)/(($A$25-$C$22)/100),DCF_Base!$L$19*DCF_Base!$B$29),DCF_Base!$L$19*DCF_Base!$B$29))/(1+$A$25/100)^DCF_Base!$L$4+Assumptions!$B$5-Assumptions!$B$4)/Assumptions!$B$3*Assumptions!$B$10</f>
        <v>3.54164175175768</v>
      </c>
      <c r="D25" s="0" t="n">
        <f aca="false">(SUMPRODUCT(DCF_Base!$C$19:$L$19/(1+$A$25/100)^DCF_Base!$C$4:$L$4)+MAX(0,MIN(IF($A$25&gt;$D$22,DCF_Base!$L$19*(1+$D$22/100)/(($A$25-$D$22)/100),DCF_Base!$L$19*DCF_Base!$B$29),DCF_Base!$L$19*DCF_Base!$B$29))/(1+$A$25/100)^DCF_Base!$L$4+Assumptions!$B$5-Assumptions!$B$4)/Assumptions!$B$3*Assumptions!$B$10</f>
        <v>3.54164175175768</v>
      </c>
      <c r="E25" s="0" t="n">
        <f aca="false">(SUMPRODUCT(DCF_Base!$C$19:$L$19/(1+$A$25/100)^DCF_Base!$C$4:$L$4)+MAX(0,MIN(IF($A$25&gt;$E$22,DCF_Base!$L$19*(1+$E$22/100)/(($A$25-$E$22)/100),DCF_Base!$L$19*DCF_Base!$B$29),DCF_Base!$L$19*DCF_Base!$B$29))/(1+$A$25/100)^DCF_Base!$L$4+Assumptions!$B$5-Assumptions!$B$4)/Assumptions!$B$3*Assumptions!$B$10</f>
        <v>3.54164175175768</v>
      </c>
      <c r="F25" s="0" t="n">
        <f aca="false">(SUMPRODUCT(DCF_Base!$C$19:$L$19/(1+$A$25/100)^DCF_Base!$C$4:$L$4)+MAX(0,MIN(IF($A$25&gt;$F$22,DCF_Base!$L$19*(1+$F$22/100)/(($A$25-$F$22)/100),DCF_Base!$L$19*DCF_Base!$B$29),DCF_Base!$L$19*DCF_Base!$B$29))/(1+$A$25/100)^DCF_Base!$L$4+Assumptions!$B$5-Assumptions!$B$4)/Assumptions!$B$3*Assumptions!$B$10</f>
        <v>3.54164175175768</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3.32910989812446</v>
      </c>
      <c r="C26" s="0" t="n">
        <f aca="false">(SUMPRODUCT(DCF_Base!$C$19:$L$19/(1+$A$26/100)^DCF_Base!$C$4:$L$4)+MAX(0,MIN(IF($A$26&gt;$C$22,DCF_Base!$L$19*(1+$C$22/100)/(($A$26-$C$22)/100),DCF_Base!$L$19*DCF_Base!$B$29),DCF_Base!$L$19*DCF_Base!$B$29))/(1+$A$26/100)^DCF_Base!$L$4+Assumptions!$B$5-Assumptions!$B$4)/Assumptions!$B$3*Assumptions!$B$10</f>
        <v>3.32910989812446</v>
      </c>
      <c r="D26" s="0" t="n">
        <f aca="false">(SUMPRODUCT(DCF_Base!$C$19:$L$19/(1+$A$26/100)^DCF_Base!$C$4:$L$4)+MAX(0,MIN(IF($A$26&gt;$D$22,DCF_Base!$L$19*(1+$D$22/100)/(($A$26-$D$22)/100),DCF_Base!$L$19*DCF_Base!$B$29),DCF_Base!$L$19*DCF_Base!$B$29))/(1+$A$26/100)^DCF_Base!$L$4+Assumptions!$B$5-Assumptions!$B$4)/Assumptions!$B$3*Assumptions!$B$10</f>
        <v>3.32910989812446</v>
      </c>
      <c r="E26" s="0" t="n">
        <f aca="false">(SUMPRODUCT(DCF_Base!$C$19:$L$19/(1+$A$26/100)^DCF_Base!$C$4:$L$4)+MAX(0,MIN(IF($A$26&gt;$E$22,DCF_Base!$L$19*(1+$E$22/100)/(($A$26-$E$22)/100),DCF_Base!$L$19*DCF_Base!$B$29),DCF_Base!$L$19*DCF_Base!$B$29))/(1+$A$26/100)^DCF_Base!$L$4+Assumptions!$B$5-Assumptions!$B$4)/Assumptions!$B$3*Assumptions!$B$10</f>
        <v>3.32910989812446</v>
      </c>
      <c r="F26" s="0" t="n">
        <f aca="false">(SUMPRODUCT(DCF_Base!$C$19:$L$19/(1+$A$26/100)^DCF_Base!$C$4:$L$4)+MAX(0,MIN(IF($A$26&gt;$F$22,DCF_Base!$L$19*(1+$F$22/100)/(($A$26-$F$22)/100),DCF_Base!$L$19*DCF_Base!$B$29),DCF_Base!$L$19*DCF_Base!$B$29))/(1+$A$26/100)^DCF_Base!$L$4+Assumptions!$B$5-Assumptions!$B$4)/Assumptions!$B$3*Assumptions!$B$10</f>
        <v>3.32910989812446</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3.05589200555649</v>
      </c>
      <c r="C27" s="0" t="n">
        <f aca="false">(SUMPRODUCT(DCF_Base!$C$19:$L$19/(1+$A$27/100)^DCF_Base!$C$4:$L$4)+MAX(0,MIN(IF($A$27&gt;$C$22,DCF_Base!$L$19*(1+$C$22/100)/(($A$27-$C$22)/100),DCF_Base!$L$19*DCF_Base!$B$29),DCF_Base!$L$19*DCF_Base!$B$29))/(1+$A$27/100)^DCF_Base!$L$4+Assumptions!$B$5-Assumptions!$B$4)/Assumptions!$B$3*Assumptions!$B$10</f>
        <v>3.11075150211135</v>
      </c>
      <c r="D27" s="0" t="n">
        <f aca="false">(SUMPRODUCT(DCF_Base!$C$19:$L$19/(1+$A$27/100)^DCF_Base!$C$4:$L$4)+MAX(0,MIN(IF($A$27&gt;$D$22,DCF_Base!$L$19*(1+$D$22/100)/(($A$27-$D$22)/100),DCF_Base!$L$19*DCF_Base!$B$29),DCF_Base!$L$19*DCF_Base!$B$29))/(1+$A$27/100)^DCF_Base!$L$4+Assumptions!$B$5-Assumptions!$B$4)/Assumptions!$B$3*Assumptions!$B$10</f>
        <v>3.13405465109041</v>
      </c>
      <c r="E27" s="0" t="n">
        <f aca="false">(SUMPRODUCT(DCF_Base!$C$19:$L$19/(1+$A$27/100)^DCF_Base!$C$4:$L$4)+MAX(0,MIN(IF($A$27&gt;$E$22,DCF_Base!$L$19*(1+$E$22/100)/(($A$27-$E$22)/100),DCF_Base!$L$19*DCF_Base!$B$29),DCF_Base!$L$19*DCF_Base!$B$29))/(1+$A$27/100)^DCF_Base!$L$4+Assumptions!$B$5-Assumptions!$B$4)/Assumptions!$B$3*Assumptions!$B$10</f>
        <v>3.13405465109041</v>
      </c>
      <c r="F27" s="0" t="n">
        <f aca="false">(SUMPRODUCT(DCF_Base!$C$19:$L$19/(1+$A$27/100)^DCF_Base!$C$4:$L$4)+MAX(0,MIN(IF($A$27&gt;$F$22,DCF_Base!$L$19*(1+$F$22/100)/(($A$27-$F$22)/100),DCF_Base!$L$19*DCF_Base!$B$29),DCF_Base!$L$19*DCF_Base!$B$29))/(1+$A$27/100)^DCF_Base!$L$4+Assumptions!$B$5-Assumptions!$B$4)/Assumptions!$B$3*Assumptions!$B$10</f>
        <v>3.13405465109041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2026-10-10T11:44:02Z</dcterms:created>
  <dc:creator>openpyxl</dc:creator>
  <dc:description/>
  <dc:language>en-NZ</dc:language>
  <cp:lastModifiedBy/>
  <dcterms:modified xsi:type="dcterms:W3CDTF">2026-10-10T11:44:02Z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