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<sst xmlns="http://schemas.openxmlformats.org/spreadsheetml/2006/main" count="356" uniqueCount="166">
  <si>
    <t xml:space="preserve">Ticker</t>
  </si>
  <si>
    <t xml:space="preserve">9901.HK</t>
  </si>
  <si>
    <t xml:space="preserve">Company</t>
  </si>
  <si>
    <t xml:space="preserve">New Oriental Education &amp; Technology Group Inc.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</si>
  <si>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</si>
  <si>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</si>
  <si>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</si>
  <si>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</si>
  <si>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 (Friday; valuation run Saturday 2026-10-24). Q1 FY2027 results are scheduled for 2026-10-28 before the US open; expect a re-anchor of the FY2027 growth year then.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</si>
  <si>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</si>
  <si>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</si>
  <si>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</si>
  <si>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</si>
  <si>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</si>
  <si>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</si>
  <si>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</si>
  <si>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</si>
  <si>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</si>
  <si>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</si>
  <si>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</si>
  <si>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</si>
  <si>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</si>
  <si>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2026-10-23T21:00:07Z</t>
  </si>
  <si>
    <t xml:space="preserve">Drivers file</t>
  </si>
  <si>
    <t xml:space="preserve">9901.HK_Drivers.json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</si>
  <si>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</si>
  <si>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</si>
  <si>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</si>
  <si>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attributable USD flows, SBC fully expensed, share count flat, interest income stripped with the $5.56B liquid pile added back in the bridge, converted to HKD per common share at the pegged rate. The valuation hinges on two things the price already disputes: whether the cash pile is worth $1 per $1 to an offshore holder (it sits largely onshore behind a VIE and capital controls) and whether a 12% USD discount rate is enough for a business the state restructured overnight in 2021. Net cash alone is ~US$3.55/share = ~HK$27.8 of a ~HK$46 price. The HK line is the same claim as the ADS with the NYSE-delisting tail removed; it should trade at ADS parity, and it does (1.4% premium on the parity check).
key_risks_to_valuation: Education policy: the 2021 'double reduction' precedent shows a single directive can remove most of the revenue base; charged via the WACC premium, not modelled as a scenario.; VIE structure: HK common shareholders, like ADS holders, own a Cayman shell with contractual (not equity) control of PRC operating entities; a Foreign Investment Law reinterpretation could force an unwind.; Cash pile accessibility: ~$5.56B of cash/deposits/short-term investments is counted at face value; repatriation to offshore holders incurs PRC dividend withholding and is subject to SAFE controls. Deferred revenue of $2.24B is customer prepayments funding part of that pile.; Demographics: births fell from ~17.9M (2016) to ~9M (2023); the K-9 cohort shrinks through the 2030s.; East Buy: single-platform (Douyin) dependency, host concentration, and 44% minority leakage of its profits.; RMB/USD translation: all revenue is RMB, reported in USD; the HKD peg passes this through unchanged to the HK holder.; HK-line liquidity: the secondary listing is thinner than the ADS; wider spreads and transient deviations from ADS parity, though the fungibility mechanism caps them.</t>
  </si>
  <si>
    <t xml:space="preserve">Data sources</t>
  </si>
  <si>
    <t xml:space="preserve">price: Yahoo Finance chart API (9901.HK, HKEX common shares, HKD) at inputs.price_as_of; 52-week range 34.26-51.05. FX: Yahoo HKD=X at the date in inputs.fx_note. Parity: Yahoo EDU (NYSE ADS) same date.
financials: 9901.HK_Metrics.csv (core_metrics FY2019-FY2026, USD millions) and kpis (CashTaxesPaid, DeferredRevenue, EquityAwardTaxes, InterestIncome, ShareRepurchases, NetIncomeInclNCI, TotalEquityInclNCI); 9901.HK_Annual_FY2026.txt (HK annual report reproducing the FY2026 20-F: share count at 2026-09-11, weighted diluted shares, NCI, interest income, income taxes paid); balance-sheet composition of net cash and the equity bridge from the EDU Q4 FY2026 release as used in EDU_Drivers.json (2026-10-04)
qualitative: 9901.HK_Analysis.json (2026-10-24); EDU_Drivers.json (2026-10-04) for the carried-over driver judgments</t>
  </si>
  <si>
    <t xml:space="preserve">Scenario narrative: bear</t>
  </si>
  <si>
    <t xml:space="preserve">FY2027 misses guidance (+11%) as East Buy GMV churns on Douyin traffic-allocation changes and host attrition, overseas consulting shrinks on US/UK visa tightening, and price competition in non-academic tutoring (TAL, Gaotu, local operators) caps pricing. From FY2030 the halving of China's birth cohort reaches primary/middle-school ages and revenue stalls then dips, which also unwinds part of the deferred-revenue float through the negative wc_capture on falling revenue; margins erode to ~15% as learning-centre leases and teacher costs prove sticky. This is an operating bear: a renewed 2021-style policy shock is charged in the 12% WACC, not here.</t>
  </si>
  <si>
    <t xml:space="preserve">Scenario narrative: base</t>
  </si>
  <si>
    <t xml:space="preserve">New Oriental delivers FY2027 near the lower half of its +14-18% guidance, then decelerates to mid-single digits as the non-academic K-12 tutoring roll-out (~60 cities, &gt;1M quarterly enrollments) matures, domestic adult/university test prep keeps compounding, overseas study consulting stays flat-to-low-growth and East Buy grows with Douyin GMV but at thin margins. Operating leverage and cost discipline lift adj. EBITDA margin from 16.1% to ~18.5% by FY2031 and it plateaus there. The shrinking school-age cohort caps late-decade growth at 3-4%. The HK common share receives exactly one-tenth of the per-ADS economics (dividend US$0.12/share FY2026, ~US$300M FY2027 plan).</t>
  </si>
  <si>
    <t xml:space="preserve">Scenario narrative: bull</t>
  </si>
  <si>
    <t xml:space="preserve">Guidance is beaten (+18%) as non-academic tutoring and intelligent learning devices keep growing 20%+, East Buy's private-label mix and offline stores in learning centres push its margin up, and overseas consulting recovers with easing visa/geopolitical frictions. Margins return toward pre-2021 tutoring economics (~20.5% adj. EBITDA), and growth stays high-single-digit through FY2031 as New Oriental takes share from sub-scale local tutors exiting under compliance costs.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</si>
  <si>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</si>
  <si>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</si>
  <si>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</si>
  <si>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</si>
  <si>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</si>
  <si>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</si>
  <si>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</si>
  <si>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</si>
  <si>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</si>
  <si>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</si>
  <si>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</si>
  <si>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</si>
  <si>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</si>
  <si>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</si>
  <si>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</si>
  <si>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</si>
  <si>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</si>
  <si>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</si>
  <si>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</si>
  <si>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</si>
  <si>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</si>
  <si>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</si>
  <si>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</si>
  <si>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</si>
  <si>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</si>
  <si>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</si>
  <si>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</si>
  <si>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EffectiveCashTaxRate</t>
  </si>
  <si>
    <t xml:space="preserve">NetIncomeInclNCI</t>
  </si>
  <si>
    <t xml:space="preserve">TotalEquityInclNCI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</si>
  <si>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</si>
  <si>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</si>
  <si>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</si>
  <si>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</si>
  <si>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</si>
  <si>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</si>
  <si>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</si>
  <si>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</si>
  <si>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</si>
  <si>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</si>
  <si>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</si>
  <si>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</si>
  <si>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</si>
  <si>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</si>
  <si>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</si>
  <si>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</si>
  <si>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</si>
  <si>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</si>
  <si>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</si>
  <si>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</si>
  <si>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</si>
  <si>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</si>
  <si>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</si>
  <si>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</si>
  <si>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</si>
  <si>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</si>
  <si>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</si>
  <si>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</si>
  <si>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</si>
  <si>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</si>
  <si>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</si>
  <si>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</si>
  <si>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</si>
  <si>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</si>
  <si>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</si>
  <si>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</si>
  <si>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</si>
  <si>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</si>
  <si>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</si>
  <si>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</si>
  <si>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</si>
  <si>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</si>
  <si>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</si>
  <si>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</si>
  <si>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</si>
  <si>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9901.HK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</si>
  <si>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</si>
  <si>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</si>
  <si>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</si>
  <si>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</si>
  <si>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</si>
  <si>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</si>
  <si>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</si>
  <si>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</si>
  <si>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</si>
  <si>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</si>
  <si>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</si>
  <si>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</si>
  <si>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</si>
  <si>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</si>
  <si>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</si>
  <si>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</si>
  <si>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</si>
  <si>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</si>
  <si>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</si>
  <si>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</si>
  <si>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</si>
  <si>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</si>
  <si>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</si>
  <si>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</si>
  <si>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</si>
  <si>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</si>
  <si>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</si>
  <si>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</si>
  <si>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</si>
  <si>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</si>
  <si>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9901.HK owner-FCF component DCF: base case (millions, USD)</t>
  </si>
  <si>
    <t xml:space="preserve">9901.HK owner-FCF component DCF: bull case (millions, USD)</t>
  </si>
  <si>
    <t xml:space="preserve">9901.HK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</si>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</sst>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46.42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3096.491</v>
      </c>
      <c r="C2" s="0" t="n">
        <v>1376.269</v>
      </c>
      <c r="D2" s="0" t="n">
        <v>1720.222</v>
      </c>
      <c r="E2" s="0" t="n">
        <v>55.6</v>
      </c>
      <c r="F2" s="0" t="n">
        <v>305.534</v>
      </c>
      <c r="G2" s="0" t="n">
        <v>9.9</v>
      </c>
      <c r="H2" s="0" t="n">
        <v>419.538</v>
      </c>
      <c r="I2" s="0" t="n">
        <v>238.065</v>
      </c>
      <c r="J2" s="0" t="n">
        <v>7.7</v>
      </c>
      <c r="K2" s="0" t="n">
        <v>0.15</v>
      </c>
      <c r="L2" s="0" t="n">
        <v>805.648</v>
      </c>
      <c r="M2" s="0" t="n">
        <v>269.14</v>
      </c>
      <c r="N2" s="0" t="n">
        <v>536.508</v>
      </c>
      <c r="T2" s="0" t="n">
        <v>1590.39345</v>
      </c>
      <c r="U2" s="0" t="n">
        <v>71.336</v>
      </c>
      <c r="AA2" s="0" t="s">
        <v>18</v>
      </c>
      <c r="AB2" s="0" t="s">
        <v>14</v>
      </c>
      <c r="AD2" s="0" t="n">
        <v>227.846</v>
      </c>
    </row>
    <row r="3" customFormat="false" ht="15" hidden="false" customHeight="false" outlineLevel="0" collapsed="false">
      <c r="A3" s="0" t="s">
        <v>68</v>
      </c>
      <c r="B3" s="0" t="n">
        <v>3578.682</v>
      </c>
      <c r="C3" s="0" t="n">
        <v>1588.899</v>
      </c>
      <c r="D3" s="0" t="n">
        <v>1989.783</v>
      </c>
      <c r="E3" s="0" t="n">
        <v>55.6</v>
      </c>
      <c r="F3" s="0" t="n">
        <v>399.003</v>
      </c>
      <c r="G3" s="0" t="n">
        <v>11.1</v>
      </c>
      <c r="H3" s="0" t="n">
        <v>550.005</v>
      </c>
      <c r="I3" s="0" t="n">
        <v>413.333</v>
      </c>
      <c r="J3" s="0" t="n">
        <v>11.5</v>
      </c>
      <c r="K3" s="0" t="n">
        <v>0.26</v>
      </c>
      <c r="L3" s="0" t="n">
        <v>804.455</v>
      </c>
      <c r="M3" s="0" t="n">
        <v>309.548</v>
      </c>
      <c r="N3" s="0" t="n">
        <v>494.907</v>
      </c>
      <c r="O3" s="0" t="n">
        <v>2733.295</v>
      </c>
      <c r="P3" s="0" t="n">
        <v>6556.885</v>
      </c>
      <c r="Q3" s="0" t="n">
        <v>3687.074</v>
      </c>
      <c r="R3" s="0" t="n">
        <v>117.881</v>
      </c>
      <c r="S3" s="0" t="n">
        <v>915.057</v>
      </c>
      <c r="T3" s="0" t="n">
        <v>1595.3689</v>
      </c>
      <c r="U3" s="0" t="n">
        <v>62.057</v>
      </c>
      <c r="AA3" s="0" t="s">
        <v>18</v>
      </c>
      <c r="AB3" s="0" t="s">
        <v>14</v>
      </c>
      <c r="AD3" s="0" t="n">
        <v>354.859</v>
      </c>
      <c r="AE3" s="0" t="n">
        <v>2869.811</v>
      </c>
    </row>
    <row r="4" customFormat="false" ht="15" hidden="false" customHeight="false" outlineLevel="0" collapsed="false">
      <c r="A4" s="0" t="s">
        <v>69</v>
      </c>
      <c r="B4" s="0" t="n">
        <v>4276.539</v>
      </c>
      <c r="C4" s="0" t="n">
        <v>2036.875</v>
      </c>
      <c r="D4" s="0" t="n">
        <v>2239.664</v>
      </c>
      <c r="E4" s="0" t="n">
        <v>52.4</v>
      </c>
      <c r="F4" s="0" t="n">
        <v>117.266</v>
      </c>
      <c r="G4" s="0" t="n">
        <v>2.7</v>
      </c>
      <c r="H4" s="0" t="n">
        <v>347.709</v>
      </c>
      <c r="I4" s="0" t="n">
        <v>334.414</v>
      </c>
      <c r="J4" s="0" t="n">
        <v>7.8</v>
      </c>
      <c r="K4" s="0" t="n">
        <v>0.2</v>
      </c>
      <c r="L4" s="0" t="n">
        <v>1130.085</v>
      </c>
      <c r="M4" s="0" t="n">
        <v>429.197</v>
      </c>
      <c r="N4" s="0" t="n">
        <v>700.888</v>
      </c>
      <c r="O4" s="0" t="n">
        <v>4913.275</v>
      </c>
      <c r="P4" s="0" t="n">
        <v>10151.053</v>
      </c>
      <c r="Q4" s="0" t="n">
        <v>5132.877</v>
      </c>
      <c r="R4" s="0" t="n">
        <v>297.631</v>
      </c>
      <c r="S4" s="0" t="n">
        <v>1612.211</v>
      </c>
      <c r="T4" s="0" t="n">
        <v>1651.982384</v>
      </c>
      <c r="U4" s="0" t="n">
        <v>68.88</v>
      </c>
      <c r="AA4" s="0" t="s">
        <v>18</v>
      </c>
      <c r="AB4" s="0" t="s">
        <v>14</v>
      </c>
      <c r="AD4" s="0" t="n">
        <v>230.021</v>
      </c>
      <c r="AE4" s="0" t="n">
        <v>5018.176</v>
      </c>
    </row>
    <row r="5" customFormat="false" ht="15" hidden="false" customHeight="false" outlineLevel="0" collapsed="false">
      <c r="A5" s="0" t="s">
        <v>70</v>
      </c>
      <c r="B5" s="0" t="n">
        <v>3105.246</v>
      </c>
      <c r="C5" s="0" t="n">
        <v>1754.291</v>
      </c>
      <c r="D5" s="0" t="n">
        <v>1350.955</v>
      </c>
      <c r="E5" s="0" t="n">
        <v>43.5</v>
      </c>
      <c r="F5" s="0" t="n">
        <v>-982.513</v>
      </c>
      <c r="G5" s="0" t="n">
        <v>-31.6</v>
      </c>
      <c r="H5" s="0" t="n">
        <v>-788.084</v>
      </c>
      <c r="I5" s="0" t="n">
        <v>-1187.721</v>
      </c>
      <c r="J5" s="0" t="n">
        <v>-38.2</v>
      </c>
      <c r="K5" s="0" t="n">
        <v>-0.7</v>
      </c>
      <c r="L5" s="0" t="n">
        <v>-1280.453</v>
      </c>
      <c r="M5" s="0" t="n">
        <v>150.738</v>
      </c>
      <c r="N5" s="0" t="n">
        <v>-1431.191</v>
      </c>
      <c r="O5" s="0" t="n">
        <v>3705.506</v>
      </c>
      <c r="P5" s="0" t="n">
        <v>6034.666</v>
      </c>
      <c r="Q5" s="0" t="n">
        <v>2241.142</v>
      </c>
      <c r="R5" s="0" t="n">
        <v>65.394</v>
      </c>
      <c r="S5" s="0" t="n">
        <v>1148.637</v>
      </c>
      <c r="T5" s="0" t="n">
        <v>1696.419232</v>
      </c>
      <c r="U5" s="0" t="n">
        <v>132.968</v>
      </c>
      <c r="AA5" s="0" t="s">
        <v>18</v>
      </c>
      <c r="AB5" s="0" t="s">
        <v>14</v>
      </c>
      <c r="AD5" s="0" t="n">
        <v>-1220.276</v>
      </c>
      <c r="AE5" s="0" t="n">
        <v>3793.524</v>
      </c>
    </row>
    <row r="6" customFormat="false" ht="15" hidden="false" customHeight="false" outlineLevel="0" collapsed="false">
      <c r="A6" s="0" t="s">
        <v>71</v>
      </c>
      <c r="B6" s="0" t="n">
        <v>2997.76</v>
      </c>
      <c r="C6" s="0" t="n">
        <v>1409.438</v>
      </c>
      <c r="D6" s="0" t="n">
        <v>1588.322</v>
      </c>
      <c r="E6" s="0" t="n">
        <v>53</v>
      </c>
      <c r="F6" s="0" t="n">
        <v>190.046</v>
      </c>
      <c r="G6" s="0" t="n">
        <v>6.3</v>
      </c>
      <c r="H6" s="0" t="n">
        <v>312.749</v>
      </c>
      <c r="I6" s="0" t="n">
        <v>177.341</v>
      </c>
      <c r="J6" s="0" t="n">
        <v>5.9</v>
      </c>
      <c r="K6" s="0" t="n">
        <v>0.1</v>
      </c>
      <c r="L6" s="0" t="n">
        <v>971.008</v>
      </c>
      <c r="M6" s="0" t="n">
        <v>143.045</v>
      </c>
      <c r="N6" s="0" t="n">
        <v>827.963</v>
      </c>
      <c r="O6" s="0" t="n">
        <v>3604.348</v>
      </c>
      <c r="P6" s="0" t="n">
        <v>6392.458</v>
      </c>
      <c r="Q6" s="0" t="n">
        <v>2577.67</v>
      </c>
      <c r="R6" s="0" t="n">
        <v>14.653</v>
      </c>
      <c r="S6" s="0" t="n">
        <v>1662.982</v>
      </c>
      <c r="T6" s="0" t="n">
        <v>1685.631987</v>
      </c>
      <c r="U6" s="0" t="n">
        <v>89.788</v>
      </c>
      <c r="AA6" s="0" t="s">
        <v>18</v>
      </c>
      <c r="AB6" s="0" t="s">
        <v>14</v>
      </c>
      <c r="AC6" s="0" t="n">
        <v>17.9</v>
      </c>
      <c r="AD6" s="0" t="n">
        <v>235.363</v>
      </c>
      <c r="AE6" s="0" t="n">
        <v>3814.788</v>
      </c>
    </row>
    <row r="7" customFormat="false" ht="15" hidden="false" customHeight="false" outlineLevel="0" collapsed="false">
      <c r="A7" s="0" t="s">
        <v>72</v>
      </c>
      <c r="B7" s="0" t="n">
        <v>4313.586</v>
      </c>
      <c r="C7" s="0" t="n">
        <v>2050.96</v>
      </c>
      <c r="D7" s="0" t="n">
        <v>2262.626</v>
      </c>
      <c r="E7" s="0" t="n">
        <v>52.5</v>
      </c>
      <c r="F7" s="0" t="n">
        <v>350.425</v>
      </c>
      <c r="G7" s="0" t="n">
        <v>8.1</v>
      </c>
      <c r="H7" s="0" t="n">
        <v>457.245</v>
      </c>
      <c r="I7" s="0" t="n">
        <v>309.591</v>
      </c>
      <c r="J7" s="0" t="n">
        <v>7.2</v>
      </c>
      <c r="K7" s="0" t="n">
        <v>0.18</v>
      </c>
      <c r="L7" s="0" t="n">
        <v>1122.643</v>
      </c>
      <c r="M7" s="0" t="n">
        <v>249.393</v>
      </c>
      <c r="N7" s="0" t="n">
        <v>873.25</v>
      </c>
      <c r="O7" s="0" t="n">
        <v>3775.934</v>
      </c>
      <c r="P7" s="0" t="n">
        <v>7531.673</v>
      </c>
      <c r="Q7" s="0" t="n">
        <v>3482.659</v>
      </c>
      <c r="R7" s="0" t="n">
        <v>14.403</v>
      </c>
      <c r="S7" s="0" t="n">
        <v>1389.359</v>
      </c>
      <c r="T7" s="0" t="n">
        <v>1669.499952</v>
      </c>
      <c r="U7" s="0" t="n">
        <v>122.458</v>
      </c>
      <c r="AA7" s="0" t="s">
        <v>18</v>
      </c>
      <c r="AB7" s="0" t="s">
        <v>14</v>
      </c>
      <c r="AC7" s="0" t="n">
        <v>22.1</v>
      </c>
      <c r="AD7" s="0" t="n">
        <v>325.218</v>
      </c>
      <c r="AE7" s="0" t="n">
        <v>4049.014</v>
      </c>
    </row>
    <row r="8" customFormat="false" ht="15" hidden="false" customHeight="false" outlineLevel="0" collapsed="false">
      <c r="A8" s="0" t="s">
        <v>73</v>
      </c>
      <c r="B8" s="0" t="n">
        <v>4900.262</v>
      </c>
      <c r="C8" s="0" t="n">
        <v>2183.291</v>
      </c>
      <c r="D8" s="0" t="n">
        <v>2716.971</v>
      </c>
      <c r="E8" s="0" t="n">
        <v>55.4</v>
      </c>
      <c r="F8" s="0" t="n">
        <v>428.25</v>
      </c>
      <c r="G8" s="0" t="n">
        <v>8.7</v>
      </c>
      <c r="H8" s="0" t="n">
        <v>574.138</v>
      </c>
      <c r="I8" s="0" t="n">
        <v>371.716</v>
      </c>
      <c r="J8" s="0" t="n">
        <v>7.6</v>
      </c>
      <c r="K8" s="0" t="n">
        <v>0.23</v>
      </c>
      <c r="L8" s="0" t="n">
        <v>896.592</v>
      </c>
      <c r="M8" s="0" t="n">
        <v>241.938</v>
      </c>
      <c r="N8" s="0" t="n">
        <v>654.654</v>
      </c>
      <c r="O8" s="0" t="n">
        <v>3661.873</v>
      </c>
      <c r="P8" s="0" t="n">
        <v>7805.499</v>
      </c>
      <c r="Q8" s="0" t="n">
        <v>3851.767</v>
      </c>
      <c r="R8" s="0" t="n">
        <v>14.403</v>
      </c>
      <c r="S8" s="0" t="n">
        <v>1612.379</v>
      </c>
      <c r="T8" s="0" t="n">
        <v>1631.137164</v>
      </c>
      <c r="U8" s="0" t="n">
        <v>59.933</v>
      </c>
      <c r="AA8" s="0" t="s">
        <v>18</v>
      </c>
      <c r="AB8" s="0" t="s">
        <v>14</v>
      </c>
      <c r="AC8" s="0" t="n">
        <v>27.5</v>
      </c>
      <c r="AD8" s="0" t="n">
        <v>375.833</v>
      </c>
      <c r="AE8" s="0" t="n">
        <v>3953.732</v>
      </c>
    </row>
    <row r="9" customFormat="false" ht="15" hidden="false" customHeight="false" outlineLevel="0" collapsed="false">
      <c r="A9" s="0" t="s">
        <v>74</v>
      </c>
      <c r="B9" s="0" t="n">
        <v>5661.294</v>
      </c>
      <c r="C9" s="0" t="n">
        <v>2568.167</v>
      </c>
      <c r="D9" s="0" t="n">
        <v>3093.127</v>
      </c>
      <c r="E9" s="0" t="n">
        <v>54.6</v>
      </c>
      <c r="F9" s="0" t="n">
        <v>643.251</v>
      </c>
      <c r="G9" s="0" t="n">
        <v>11.4</v>
      </c>
      <c r="H9" s="0" t="n">
        <v>821.98</v>
      </c>
      <c r="I9" s="0" t="n">
        <v>475.172</v>
      </c>
      <c r="J9" s="0" t="n">
        <v>8.4</v>
      </c>
      <c r="K9" s="0" t="n">
        <v>0.3</v>
      </c>
      <c r="L9" s="0" t="n">
        <v>1027.08</v>
      </c>
      <c r="M9" s="0" t="n">
        <v>246.869</v>
      </c>
      <c r="N9" s="0" t="n">
        <v>780.211</v>
      </c>
      <c r="O9" s="0" t="n">
        <v>3986.323</v>
      </c>
      <c r="P9" s="0" t="n">
        <v>8792.02</v>
      </c>
      <c r="Q9" s="0" t="n">
        <v>4467.604</v>
      </c>
      <c r="R9" s="0" t="n">
        <v>0</v>
      </c>
      <c r="S9" s="0" t="n">
        <v>1821.202</v>
      </c>
      <c r="T9" s="0" t="n">
        <v>1595.505635</v>
      </c>
      <c r="U9" s="0" t="n">
        <v>88.466</v>
      </c>
      <c r="AA9" s="0" t="s">
        <v>18</v>
      </c>
      <c r="AB9" s="0" t="s">
        <v>14</v>
      </c>
      <c r="AC9" s="0" t="n">
        <v>23.1</v>
      </c>
      <c r="AD9" s="0" t="n">
        <v>516.661</v>
      </c>
      <c r="AE9" s="0" t="n">
        <v>4324.416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46.42</v>
      </c>
    </row>
    <row r="3" customFormat="false" ht="15" hidden="false" customHeight="false" outlineLevel="0" collapsed="false">
      <c r="A3" s="0" t="s">
        <v>78</v>
      </c>
      <c r="B3" s="3" t="n">
        <v>1567.32</v>
      </c>
    </row>
    <row r="4" customFormat="false" ht="15" hidden="false" customHeight="false" outlineLevel="0" collapsed="false">
      <c r="A4" s="0" t="s">
        <v>79</v>
      </c>
      <c r="B4" s="3" t="n">
        <v>-5560.3</v>
      </c>
    </row>
    <row r="5" customFormat="false" ht="15" hidden="false" customHeight="false" outlineLevel="0" collapsed="false">
      <c r="A5" s="0" t="s">
        <v>80</v>
      </c>
      <c r="B5" s="3" t="n">
        <v>-48.4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5661.294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7.8413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11</v>
      </c>
      <c r="D13" s="3" t="n">
        <v>6</v>
      </c>
      <c r="E13" s="3" t="n">
        <v>3</v>
      </c>
      <c r="F13" s="3" t="n">
        <v>1.5</v>
      </c>
      <c r="G13" s="3" t="n">
        <v>0</v>
      </c>
      <c r="H13" s="3" t="n">
        <v>-1</v>
      </c>
      <c r="I13" s="3" t="n">
        <v>0</v>
      </c>
      <c r="J13" s="3" t="n">
        <v>1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16.2</v>
      </c>
      <c r="D14" s="3" t="n">
        <v>16</v>
      </c>
      <c r="E14" s="3" t="n">
        <v>15.8</v>
      </c>
      <c r="F14" s="3" t="n">
        <v>15.5</v>
      </c>
      <c r="G14" s="3" t="n">
        <v>15.3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100</v>
      </c>
      <c r="C15" s="3" t="n">
        <v>1.9</v>
      </c>
      <c r="D15" s="3" t="n">
        <v>1.9</v>
      </c>
      <c r="E15" s="3" t="n">
        <v>1.9</v>
      </c>
      <c r="F15" s="3" t="n">
        <v>1.9</v>
      </c>
      <c r="G15" s="3" t="n">
        <v>1.9</v>
      </c>
      <c r="H15" s="3" t="n">
        <v>1.9</v>
      </c>
      <c r="I15" s="3" t="n">
        <v>1.9</v>
      </c>
      <c r="J15" s="3" t="n">
        <v>1.9</v>
      </c>
      <c r="K15" s="3" t="n">
        <v>1.9</v>
      </c>
      <c r="L15" s="3" t="n">
        <v>1.9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3.2</v>
      </c>
      <c r="D17" s="3" t="n">
        <v>3.3</v>
      </c>
      <c r="E17" s="3" t="n">
        <v>3.4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103</v>
      </c>
      <c r="C18" s="3" t="n">
        <v>4.5</v>
      </c>
      <c r="D18" s="3" t="n">
        <v>4.3</v>
      </c>
      <c r="E18" s="3" t="n">
        <v>4</v>
      </c>
      <c r="F18" s="3" t="n">
        <v>3.8</v>
      </c>
      <c r="G18" s="3" t="n">
        <v>3.6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104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105</v>
      </c>
      <c r="B20" s="3" t="n">
        <v>12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30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15</v>
      </c>
      <c r="D27" s="3" t="n">
        <v>11</v>
      </c>
      <c r="E27" s="3" t="n">
        <v>9</v>
      </c>
      <c r="F27" s="3" t="n">
        <v>7.5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16.8</v>
      </c>
      <c r="D28" s="3" t="n">
        <v>17.4</v>
      </c>
      <c r="E28" s="3" t="n">
        <v>17.9</v>
      </c>
      <c r="F28" s="3" t="n">
        <v>18.3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100</v>
      </c>
      <c r="C29" s="3" t="n">
        <v>1.9</v>
      </c>
      <c r="D29" s="3" t="n">
        <v>1.85</v>
      </c>
      <c r="E29" s="3" t="n">
        <v>1.8</v>
      </c>
      <c r="F29" s="3" t="n">
        <v>1.75</v>
      </c>
      <c r="G29" s="3" t="n">
        <v>1.7</v>
      </c>
      <c r="H29" s="3" t="n">
        <v>1.7</v>
      </c>
      <c r="I29" s="3" t="n">
        <v>1.7</v>
      </c>
      <c r="J29" s="3" t="n">
        <v>1.7</v>
      </c>
      <c r="K29" s="3" t="n">
        <v>1.7</v>
      </c>
      <c r="L29" s="3" t="n">
        <v>1.7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3.2</v>
      </c>
      <c r="D31" s="3" t="n">
        <v>3.2</v>
      </c>
      <c r="E31" s="3" t="n">
        <v>3.25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103</v>
      </c>
      <c r="C32" s="3" t="n">
        <v>4.5</v>
      </c>
      <c r="D32" s="3" t="n">
        <v>4.5</v>
      </c>
      <c r="E32" s="3" t="n">
        <v>4.4</v>
      </c>
      <c r="F32" s="3" t="n">
        <v>4.2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104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105</v>
      </c>
      <c r="B34" s="3" t="n">
        <v>12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30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18</v>
      </c>
      <c r="D41" s="3" t="n">
        <v>15</v>
      </c>
      <c r="E41" s="3" t="n">
        <v>12</v>
      </c>
      <c r="F41" s="3" t="n">
        <v>10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99</v>
      </c>
      <c r="C42" s="3" t="n">
        <v>17.2</v>
      </c>
      <c r="D42" s="3" t="n">
        <v>18.2</v>
      </c>
      <c r="E42" s="3" t="n">
        <v>19</v>
      </c>
      <c r="F42" s="3" t="n">
        <v>19.7</v>
      </c>
      <c r="G42" s="3" t="n">
        <v>20.2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100</v>
      </c>
      <c r="C43" s="3" t="n">
        <v>1.9</v>
      </c>
      <c r="D43" s="3" t="n">
        <v>1.85</v>
      </c>
      <c r="E43" s="3" t="n">
        <v>1.8</v>
      </c>
      <c r="F43" s="3" t="n">
        <v>1.75</v>
      </c>
      <c r="G43" s="3" t="n">
        <v>1.7</v>
      </c>
      <c r="H43" s="3" t="n">
        <v>1.7</v>
      </c>
      <c r="I43" s="3" t="n">
        <v>1.7</v>
      </c>
      <c r="J43" s="3" t="n">
        <v>1.7</v>
      </c>
      <c r="K43" s="3" t="n">
        <v>1.7</v>
      </c>
      <c r="L43" s="3" t="n">
        <v>1.7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3.2</v>
      </c>
      <c r="D45" s="3" t="n">
        <v>3.2</v>
      </c>
      <c r="E45" s="3" t="n">
        <v>3.25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103</v>
      </c>
      <c r="C46" s="3" t="n">
        <v>4.6</v>
      </c>
      <c r="D46" s="3" t="n">
        <v>4.6</v>
      </c>
      <c r="E46" s="3" t="n">
        <v>4.5</v>
      </c>
      <c r="F46" s="3" t="n">
        <v>4.3</v>
      </c>
      <c r="G46" s="3" t="n">
        <v>4.1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104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105</v>
      </c>
      <c r="B48" s="3" t="n">
        <v>12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30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11</v>
      </c>
      <c r="D5" s="4" t="n">
        <f aca="false">Assumptions!D13</f>
        <v>6</v>
      </c>
      <c r="E5" s="4" t="n">
        <f aca="false">Assumptions!E13</f>
        <v>3</v>
      </c>
      <c r="F5" s="4" t="n">
        <f aca="false">Assumptions!F13</f>
        <v>1.5</v>
      </c>
      <c r="G5" s="4" t="n">
        <f aca="false">Assumptions!G13</f>
        <v>0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1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5661.294</v>
      </c>
      <c r="C6" s="0" t="n">
        <f aca="false">B6*(1+C5/100)</f>
        <v>6284.03634</v>
      </c>
      <c r="D6" s="0" t="n">
        <f aca="false">C6*(1+D5/100)</f>
        <v>6661.0785204</v>
      </c>
      <c r="E6" s="0" t="n">
        <f aca="false">D6*(1+E5/100)</f>
        <v>6860.910876012</v>
      </c>
      <c r="F6" s="0" t="n">
        <f aca="false">E6*(1+F5/100)</f>
        <v>6963.82453915218</v>
      </c>
      <c r="G6" s="0" t="n">
        <f aca="false">F6*(1+G5/100)</f>
        <v>6963.82453915218</v>
      </c>
      <c r="H6" s="0" t="n">
        <f aca="false">G6*(1+H5/100)</f>
        <v>6894.18629376066</v>
      </c>
      <c r="I6" s="0" t="n">
        <f aca="false">H6*(1+I5/100)</f>
        <v>6894.18629376066</v>
      </c>
      <c r="J6" s="0" t="n">
        <f aca="false">I6*(1+J5/100)</f>
        <v>6963.12815669827</v>
      </c>
      <c r="K6" s="0" t="n">
        <f aca="false">J6*(1+K5/100)</f>
        <v>7067.57507904874</v>
      </c>
      <c r="L6" s="0" t="n">
        <f aca="false">K6*(1+L5/100)</f>
        <v>7173.58870523447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16.2</v>
      </c>
      <c r="D7" s="4" t="n">
        <f aca="false">Assumptions!D14</f>
        <v>16</v>
      </c>
      <c r="E7" s="4" t="n">
        <f aca="false">Assumptions!E14</f>
        <v>15.8</v>
      </c>
      <c r="F7" s="4" t="n">
        <f aca="false">Assumptions!F14</f>
        <v>15.5</v>
      </c>
      <c r="G7" s="4" t="n">
        <f aca="false">Assumptions!G14</f>
        <v>15.3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1018.01388708</v>
      </c>
      <c r="D8" s="0" t="n">
        <f aca="false">D6*D7/100</f>
        <v>1065.772563264</v>
      </c>
      <c r="E8" s="0" t="n">
        <f aca="false">E6*E7/100</f>
        <v>1084.0239184099</v>
      </c>
      <c r="F8" s="0" t="n">
        <f aca="false">F6*F7/100</f>
        <v>1079.39280356859</v>
      </c>
      <c r="G8" s="0" t="n">
        <f aca="false">G6*G7/100</f>
        <v>1065.46515449028</v>
      </c>
      <c r="H8" s="0" t="n">
        <f aca="false">H6*H7/100</f>
        <v>1034.1279440641</v>
      </c>
      <c r="I8" s="0" t="n">
        <f aca="false">I6*I7/100</f>
        <v>1034.1279440641</v>
      </c>
      <c r="J8" s="0" t="n">
        <f aca="false">J6*J7/100</f>
        <v>1044.46922350474</v>
      </c>
      <c r="K8" s="0" t="n">
        <f aca="false">K6*K7/100</f>
        <v>1060.13626185731</v>
      </c>
      <c r="L8" s="0" t="n">
        <f aca="false">L6*L7/100</f>
        <v>1076.03830578517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1.9</v>
      </c>
      <c r="D9" s="4" t="n">
        <f aca="false">Assumptions!D15</f>
        <v>1.9</v>
      </c>
      <c r="E9" s="4" t="n">
        <f aca="false">Assumptions!E15</f>
        <v>1.9</v>
      </c>
      <c r="F9" s="4" t="n">
        <f aca="false">Assumptions!F15</f>
        <v>1.9</v>
      </c>
      <c r="G9" s="4" t="n">
        <f aca="false">Assumptions!G15</f>
        <v>1.9</v>
      </c>
      <c r="H9" s="4" t="n">
        <f aca="false">Assumptions!H15</f>
        <v>1.9</v>
      </c>
      <c r="I9" s="4" t="n">
        <f aca="false">Assumptions!I15</f>
        <v>1.9</v>
      </c>
      <c r="J9" s="4" t="n">
        <f aca="false">Assumptions!J15</f>
        <v>1.9</v>
      </c>
      <c r="K9" s="4" t="n">
        <f aca="false">Assumptions!K15</f>
        <v>1.9</v>
      </c>
      <c r="L9" s="4" t="n">
        <f aca="false">Assumptions!L15</f>
        <v>1.9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-119.39669046</v>
      </c>
      <c r="D10" s="0" t="n">
        <f aca="false">-D6*D9/100</f>
        <v>-126.5604918876</v>
      </c>
      <c r="E10" s="0" t="n">
        <f aca="false">-E6*E9/100</f>
        <v>-130.357306644228</v>
      </c>
      <c r="F10" s="0" t="n">
        <f aca="false">-F6*F9/100</f>
        <v>-132.312666243891</v>
      </c>
      <c r="G10" s="0" t="n">
        <f aca="false">-G6*G9/100</f>
        <v>-132.312666243891</v>
      </c>
      <c r="H10" s="0" t="n">
        <f aca="false">-H6*H9/100</f>
        <v>-130.989539581453</v>
      </c>
      <c r="I10" s="0" t="n">
        <f aca="false">-I6*I9/100</f>
        <v>-130.989539581453</v>
      </c>
      <c r="J10" s="0" t="n">
        <f aca="false">-J6*J9/100</f>
        <v>-132.299434977267</v>
      </c>
      <c r="K10" s="0" t="n">
        <f aca="false">-K6*K9/100</f>
        <v>-134.283926501926</v>
      </c>
      <c r="L10" s="0" t="n">
        <f aca="false">-L6*L9/100</f>
        <v>-136.298185399455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898.61719662</v>
      </c>
      <c r="D11" s="0" t="n">
        <f aca="false">D8+D10+D24</f>
        <v>939.2120713764</v>
      </c>
      <c r="E11" s="0" t="n">
        <f aca="false">E8+E10+E24</f>
        <v>953.666611765668</v>
      </c>
      <c r="F11" s="0" t="n">
        <f aca="false">F8+F10+F24</f>
        <v>947.080137324697</v>
      </c>
      <c r="G11" s="0" t="n">
        <f aca="false">G8+G10+G24</f>
        <v>933.152488246392</v>
      </c>
      <c r="H11" s="0" t="n">
        <f aca="false">H8+H10+H24</f>
        <v>903.138404482646</v>
      </c>
      <c r="I11" s="0" t="n">
        <f aca="false">I8+I10+I24</f>
        <v>903.138404482646</v>
      </c>
      <c r="J11" s="0" t="n">
        <f aca="false">J8+J10+J24</f>
        <v>912.169788527473</v>
      </c>
      <c r="K11" s="0" t="n">
        <f aca="false">K8+K10+K24</f>
        <v>925.852335355385</v>
      </c>
      <c r="L11" s="0" t="n">
        <f aca="false">L8+L10+L24</f>
        <v>939.740120385716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-201.08916288</v>
      </c>
      <c r="D12" s="4" t="n">
        <f aca="false">-D6*Assumptions!D17/100</f>
        <v>-219.8155911732</v>
      </c>
      <c r="E12" s="4" t="n">
        <f aca="false">-E6*Assumptions!E17/100</f>
        <v>-233.270969784408</v>
      </c>
      <c r="F12" s="4" t="n">
        <f aca="false">-F6*Assumptions!F17/100</f>
        <v>-243.733858870326</v>
      </c>
      <c r="G12" s="4" t="n">
        <f aca="false">-G6*Assumptions!G17/100</f>
        <v>-243.733858870326</v>
      </c>
      <c r="H12" s="4" t="n">
        <f aca="false">-H6*Assumptions!H17/100</f>
        <v>-241.296520281623</v>
      </c>
      <c r="I12" s="4" t="n">
        <f aca="false">-I6*Assumptions!I17/100</f>
        <v>-241.296520281623</v>
      </c>
      <c r="J12" s="4" t="n">
        <f aca="false">-J6*Assumptions!J17/100</f>
        <v>-243.709485484439</v>
      </c>
      <c r="K12" s="4" t="n">
        <f aca="false">-K6*Assumptions!K17/100</f>
        <v>-247.365127766706</v>
      </c>
      <c r="L12" s="4" t="n">
        <f aca="false">-L6*Assumptions!L17/100</f>
        <v>-251.075604683206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697.52803374</v>
      </c>
      <c r="D13" s="0" t="n">
        <f aca="false">D11+D12</f>
        <v>719.3964802032</v>
      </c>
      <c r="E13" s="0" t="n">
        <f aca="false">E11+E12</f>
        <v>720.39564198126</v>
      </c>
      <c r="F13" s="0" t="n">
        <f aca="false">F11+F12</f>
        <v>703.34627845437</v>
      </c>
      <c r="G13" s="0" t="n">
        <f aca="false">G11+G12</f>
        <v>689.418629376066</v>
      </c>
      <c r="H13" s="0" t="n">
        <f aca="false">H11+H12</f>
        <v>661.841884201023</v>
      </c>
      <c r="I13" s="0" t="n">
        <f aca="false">I11+I12</f>
        <v>661.841884201023</v>
      </c>
      <c r="J13" s="0" t="n">
        <f aca="false">J11+J12</f>
        <v>668.460303043034</v>
      </c>
      <c r="K13" s="0" t="n">
        <f aca="false">K11+K12</f>
        <v>678.487207588679</v>
      </c>
      <c r="L13" s="0" t="n">
        <f aca="false">L11+L12</f>
        <v>688.664515702509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481.2943432806</v>
      </c>
      <c r="D15" s="0" t="n">
        <f aca="false">D13-MAX(0,D13)*D14/100</f>
        <v>496.383571340208</v>
      </c>
      <c r="E15" s="0" t="n">
        <f aca="false">E13-MAX(0,E13)*E14/100</f>
        <v>497.07299296707</v>
      </c>
      <c r="F15" s="0" t="n">
        <f aca="false">F13-MAX(0,F13)*F14/100</f>
        <v>485.308932133515</v>
      </c>
      <c r="G15" s="0" t="n">
        <f aca="false">G13-MAX(0,G13)*G14/100</f>
        <v>475.698854269486</v>
      </c>
      <c r="H15" s="0" t="n">
        <f aca="false">H13-MAX(0,H13)*H14/100</f>
        <v>456.670900098706</v>
      </c>
      <c r="I15" s="0" t="n">
        <f aca="false">I13-MAX(0,I13)*I14/100</f>
        <v>456.670900098706</v>
      </c>
      <c r="J15" s="0" t="n">
        <f aca="false">J13-MAX(0,J13)*J14/100</f>
        <v>461.237609099693</v>
      </c>
      <c r="K15" s="0" t="n">
        <f aca="false">K13-MAX(0,K13)*K14/100</f>
        <v>468.156173236188</v>
      </c>
      <c r="L15" s="0" t="n">
        <f aca="false">L13-MAX(0,L13)*L14/100</f>
        <v>475.178515834731</v>
      </c>
    </row>
    <row r="16" customFormat="false" ht="15" hidden="false" customHeight="false" outlineLevel="0" collapsed="false">
      <c r="A16" s="0" t="s">
        <v>120</v>
      </c>
      <c r="C16" s="0" t="n">
        <f aca="false">-C12</f>
        <v>201.08916288</v>
      </c>
      <c r="D16" s="0" t="n">
        <f aca="false">-D12</f>
        <v>219.8155911732</v>
      </c>
      <c r="E16" s="0" t="n">
        <f aca="false">-E12</f>
        <v>233.270969784408</v>
      </c>
      <c r="F16" s="0" t="n">
        <f aca="false">-F12</f>
        <v>243.733858870326</v>
      </c>
      <c r="G16" s="0" t="n">
        <f aca="false">-G12</f>
        <v>243.733858870326</v>
      </c>
      <c r="H16" s="0" t="n">
        <f aca="false">-H12</f>
        <v>241.296520281623</v>
      </c>
      <c r="I16" s="0" t="n">
        <f aca="false">-I12</f>
        <v>241.296520281623</v>
      </c>
      <c r="J16" s="0" t="n">
        <f aca="false">-J12</f>
        <v>243.709485484439</v>
      </c>
      <c r="K16" s="0" t="n">
        <f aca="false">-K12</f>
        <v>247.365127766706</v>
      </c>
      <c r="L16" s="0" t="n">
        <f aca="false">-L12</f>
        <v>251.075604683206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-282.7816353</v>
      </c>
      <c r="D17" s="4" t="n">
        <f aca="false">-D6*Assumptions!D18/100</f>
        <v>-286.4263763772</v>
      </c>
      <c r="E17" s="4" t="n">
        <f aca="false">-E6*Assumptions!E18/100</f>
        <v>-274.43643504048</v>
      </c>
      <c r="F17" s="4" t="n">
        <f aca="false">-F6*Assumptions!F18/100</f>
        <v>-264.625332487783</v>
      </c>
      <c r="G17" s="4" t="n">
        <f aca="false">-G6*Assumptions!G18/100</f>
        <v>-250.697683409479</v>
      </c>
      <c r="H17" s="4" t="n">
        <f aca="false">-H6*Assumptions!H18/100</f>
        <v>-241.296520281623</v>
      </c>
      <c r="I17" s="4" t="n">
        <f aca="false">-I6*Assumptions!I18/100</f>
        <v>-241.296520281623</v>
      </c>
      <c r="J17" s="4" t="n">
        <f aca="false">-J6*Assumptions!J18/100</f>
        <v>-243.709485484439</v>
      </c>
      <c r="K17" s="4" t="n">
        <f aca="false">-K6*Assumptions!K18/100</f>
        <v>-247.365127766706</v>
      </c>
      <c r="L17" s="4" t="n">
        <f aca="false">-L6*Assumptions!L18/100</f>
        <v>-251.075604683206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186.822702</v>
      </c>
      <c r="D18" s="4" t="n">
        <f aca="false">(D6-C6)*Assumptions!$B$23/100</f>
        <v>113.11265412</v>
      </c>
      <c r="E18" s="4" t="n">
        <f aca="false">(E6-D6)*Assumptions!$B$23/100</f>
        <v>59.9497066836001</v>
      </c>
      <c r="F18" s="4" t="n">
        <f aca="false">(F6-E6)*Assumptions!$B$23/100</f>
        <v>30.8740989420539</v>
      </c>
      <c r="G18" s="4" t="n">
        <f aca="false">(G6-F6)*Assumptions!$B$23/100</f>
        <v>0</v>
      </c>
      <c r="H18" s="4" t="n">
        <f aca="false">(H6-G6)*Assumptions!$B$23/100</f>
        <v>-20.8914736174566</v>
      </c>
      <c r="I18" s="4" t="n">
        <f aca="false">(I6-H6)*Assumptions!$B$23/100</f>
        <v>0</v>
      </c>
      <c r="J18" s="4" t="n">
        <f aca="false">(J6-I6)*Assumptions!$B$23/100</f>
        <v>20.6825588812821</v>
      </c>
      <c r="K18" s="4" t="n">
        <f aca="false">(K6-J6)*Assumptions!$B$23/100</f>
        <v>31.3340767051419</v>
      </c>
      <c r="L18" s="4" t="n">
        <f aca="false">(L6-K6)*Assumptions!$B$23/100</f>
        <v>31.8040878557192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586.4245728606</v>
      </c>
      <c r="D19" s="0" t="n">
        <f aca="false">D15+D16+D17+D18</f>
        <v>542.885440256208</v>
      </c>
      <c r="E19" s="0" t="n">
        <f aca="false">E15+E16+E17+E18</f>
        <v>515.857234394598</v>
      </c>
      <c r="F19" s="0" t="n">
        <f aca="false">F15+F16+F17+F18</f>
        <v>495.291557458113</v>
      </c>
      <c r="G19" s="0" t="n">
        <f aca="false">G15+G16+G17+G18</f>
        <v>468.735029730333</v>
      </c>
      <c r="H19" s="0" t="n">
        <f aca="false">H15+H16+H17+H18</f>
        <v>435.779426481249</v>
      </c>
      <c r="I19" s="0" t="n">
        <f aca="false">I15+I16+I17+I18</f>
        <v>456.670900098706</v>
      </c>
      <c r="J19" s="0" t="n">
        <f aca="false">J15+J16+J17+J18</f>
        <v>481.920167980975</v>
      </c>
      <c r="K19" s="0" t="n">
        <f aca="false">K15+K16+K17+K18</f>
        <v>499.49024994133</v>
      </c>
      <c r="L19" s="0" t="n">
        <f aca="false">L15+L16+L17+L18</f>
        <v>506.98260369045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523.593368625536</v>
      </c>
      <c r="D21" s="0" t="n">
        <f aca="false">D19*D20</f>
        <v>432.784949183839</v>
      </c>
      <c r="E21" s="0" t="n">
        <f aca="false">E19*E20</f>
        <v>367.176990133728</v>
      </c>
      <c r="F21" s="0" t="n">
        <f aca="false">F19*F20</f>
        <v>314.766738845916</v>
      </c>
      <c r="G21" s="0" t="n">
        <f aca="false">G19*G20</f>
        <v>265.972844085047</v>
      </c>
      <c r="H21" s="0" t="n">
        <f aca="false">H19*H20</f>
        <v>220.779419424205</v>
      </c>
      <c r="I21" s="0" t="n">
        <f aca="false">I19*I20</f>
        <v>206.574723326842</v>
      </c>
      <c r="J21" s="0" t="n">
        <f aca="false">J19*J20</f>
        <v>194.639473072516</v>
      </c>
      <c r="K21" s="0" t="n">
        <f aca="false">K19*K20</f>
        <v>180.121191509399</v>
      </c>
      <c r="L21" s="0" t="n">
        <f aca="false">L19*L20</f>
        <v>163.234829805392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2869.64452801242</v>
      </c>
    </row>
    <row r="31" customFormat="false" ht="15" hidden="false" customHeight="false" outlineLevel="0" collapsed="false">
      <c r="A31" s="0" t="s">
        <v>129</v>
      </c>
      <c r="B31" s="0" t="n">
        <f aca="false">L19</f>
        <v>506.98260369045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4900.83183567435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6083.79124428541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4900.83183567435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1577.93668811879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4447.58121613121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9959.48121613122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49.8272720695517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0.0734009493656109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730.806458380439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424.215556313512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55.6058457646616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3811.75809441339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45.1014308695498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15</v>
      </c>
      <c r="D5" s="4" t="n">
        <f aca="false">Assumptions!D27</f>
        <v>11</v>
      </c>
      <c r="E5" s="4" t="n">
        <f aca="false">Assumptions!E27</f>
        <v>9</v>
      </c>
      <c r="F5" s="4" t="n">
        <f aca="false">Assumptions!F27</f>
        <v>7.5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5661.294</v>
      </c>
      <c r="C6" s="0" t="n">
        <f aca="false">B6*(1+C5/100)</f>
        <v>6510.4881</v>
      </c>
      <c r="D6" s="0" t="n">
        <f aca="false">C6*(1+D5/100)</f>
        <v>7226.641791</v>
      </c>
      <c r="E6" s="0" t="n">
        <f aca="false">D6*(1+E5/100)</f>
        <v>7877.03955219</v>
      </c>
      <c r="F6" s="0" t="n">
        <f aca="false">E6*(1+F5/100)</f>
        <v>8467.81751860425</v>
      </c>
      <c r="G6" s="0" t="n">
        <f aca="false">F6*(1+G5/100)</f>
        <v>8975.88656972051</v>
      </c>
      <c r="H6" s="0" t="n">
        <f aca="false">G6*(1+H5/100)</f>
        <v>9424.68089820653</v>
      </c>
      <c r="I6" s="0" t="n">
        <f aca="false">H6*(1+I5/100)</f>
        <v>9848.79153862582</v>
      </c>
      <c r="J6" s="0" t="n">
        <f aca="false">I6*(1+J5/100)</f>
        <v>10242.7432001709</v>
      </c>
      <c r="K6" s="0" t="n">
        <f aca="false">J6*(1+K5/100)</f>
        <v>10601.2392121768</v>
      </c>
      <c r="L6" s="0" t="n">
        <f aca="false">K6*(1+L5/100)</f>
        <v>10919.2763885421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16.8</v>
      </c>
      <c r="D7" s="4" t="n">
        <f aca="false">Assumptions!D28</f>
        <v>17.4</v>
      </c>
      <c r="E7" s="4" t="n">
        <f aca="false">Assumptions!E28</f>
        <v>17.9</v>
      </c>
      <c r="F7" s="4" t="n">
        <f aca="false">Assumptions!F28</f>
        <v>18.3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1093.7620008</v>
      </c>
      <c r="D8" s="0" t="n">
        <f aca="false">D6*D7/100</f>
        <v>1257.435671634</v>
      </c>
      <c r="E8" s="0" t="n">
        <f aca="false">E6*E7/100</f>
        <v>1409.99007984201</v>
      </c>
      <c r="F8" s="0" t="n">
        <f aca="false">F6*F7/100</f>
        <v>1549.61060590458</v>
      </c>
      <c r="G8" s="0" t="n">
        <f aca="false">G6*G7/100</f>
        <v>1660.53901539829</v>
      </c>
      <c r="H8" s="0" t="n">
        <f aca="false">H6*H7/100</f>
        <v>1743.56596616821</v>
      </c>
      <c r="I8" s="0" t="n">
        <f aca="false">I6*I7/100</f>
        <v>1822.02643464578</v>
      </c>
      <c r="J8" s="0" t="n">
        <f aca="false">J6*J7/100</f>
        <v>1894.90749203161</v>
      </c>
      <c r="K8" s="0" t="n">
        <f aca="false">K6*K7/100</f>
        <v>1961.22925425271</v>
      </c>
      <c r="L8" s="0" t="n">
        <f aca="false">L6*L7/100</f>
        <v>2020.0661318803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1.9</v>
      </c>
      <c r="D9" s="4" t="n">
        <f aca="false">Assumptions!D29</f>
        <v>1.85</v>
      </c>
      <c r="E9" s="4" t="n">
        <f aca="false">Assumptions!E29</f>
        <v>1.8</v>
      </c>
      <c r="F9" s="4" t="n">
        <f aca="false">Assumptions!F29</f>
        <v>1.75</v>
      </c>
      <c r="G9" s="4" t="n">
        <f aca="false">Assumptions!G29</f>
        <v>1.7</v>
      </c>
      <c r="H9" s="4" t="n">
        <f aca="false">Assumptions!H29</f>
        <v>1.7</v>
      </c>
      <c r="I9" s="4" t="n">
        <f aca="false">Assumptions!I29</f>
        <v>1.7</v>
      </c>
      <c r="J9" s="4" t="n">
        <f aca="false">Assumptions!J29</f>
        <v>1.7</v>
      </c>
      <c r="K9" s="4" t="n">
        <f aca="false">Assumptions!K29</f>
        <v>1.7</v>
      </c>
      <c r="L9" s="4" t="n">
        <f aca="false">Assumptions!L29</f>
        <v>1.7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-123.6992739</v>
      </c>
      <c r="D10" s="0" t="n">
        <f aca="false">-D6*D9/100</f>
        <v>-133.6928731335</v>
      </c>
      <c r="E10" s="0" t="n">
        <f aca="false">-E6*E9/100</f>
        <v>-141.78671193942</v>
      </c>
      <c r="F10" s="0" t="n">
        <f aca="false">-F6*F9/100</f>
        <v>-148.186806575574</v>
      </c>
      <c r="G10" s="0" t="n">
        <f aca="false">-G6*G9/100</f>
        <v>-152.590071685249</v>
      </c>
      <c r="H10" s="0" t="n">
        <f aca="false">-H6*H9/100</f>
        <v>-160.219575269511</v>
      </c>
      <c r="I10" s="0" t="n">
        <f aca="false">-I6*I9/100</f>
        <v>-167.429456156639</v>
      </c>
      <c r="J10" s="0" t="n">
        <f aca="false">-J6*J9/100</f>
        <v>-174.126634402905</v>
      </c>
      <c r="K10" s="0" t="n">
        <f aca="false">-K6*K9/100</f>
        <v>-180.221066607006</v>
      </c>
      <c r="L10" s="0" t="n">
        <f aca="false">-L6*L9/100</f>
        <v>-185.627698605216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970.0627269</v>
      </c>
      <c r="D11" s="0" t="n">
        <f aca="false">D8+D10+D24</f>
        <v>1123.7427985005</v>
      </c>
      <c r="E11" s="0" t="n">
        <f aca="false">E8+E10+E24</f>
        <v>1268.20336790259</v>
      </c>
      <c r="F11" s="0" t="n">
        <f aca="false">F8+F10+F24</f>
        <v>1401.423799329</v>
      </c>
      <c r="G11" s="0" t="n">
        <f aca="false">G8+G10+G24</f>
        <v>1507.94894371304</v>
      </c>
      <c r="H11" s="0" t="n">
        <f aca="false">H8+H10+H24</f>
        <v>1583.3463908987</v>
      </c>
      <c r="I11" s="0" t="n">
        <f aca="false">I8+I10+I24</f>
        <v>1654.59697848914</v>
      </c>
      <c r="J11" s="0" t="n">
        <f aca="false">J8+J10+J24</f>
        <v>1720.7808576287</v>
      </c>
      <c r="K11" s="0" t="n">
        <f aca="false">K8+K10+K24</f>
        <v>1781.00818764571</v>
      </c>
      <c r="L11" s="0" t="n">
        <f aca="false">L8+L10+L24</f>
        <v>1834.43843327508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-208.3356192</v>
      </c>
      <c r="D12" s="4" t="n">
        <f aca="false">-D6*Assumptions!D31/100</f>
        <v>-231.252537312</v>
      </c>
      <c r="E12" s="4" t="n">
        <f aca="false">-E6*Assumptions!E31/100</f>
        <v>-256.003785446175</v>
      </c>
      <c r="F12" s="4" t="n">
        <f aca="false">-F6*Assumptions!F31/100</f>
        <v>-279.43797811394</v>
      </c>
      <c r="G12" s="4" t="n">
        <f aca="false">-G6*Assumptions!G31/100</f>
        <v>-296.204256800777</v>
      </c>
      <c r="H12" s="4" t="n">
        <f aca="false">-H6*Assumptions!H31/100</f>
        <v>-311.014469640816</v>
      </c>
      <c r="I12" s="4" t="n">
        <f aca="false">-I6*Assumptions!I31/100</f>
        <v>-325.010120774652</v>
      </c>
      <c r="J12" s="4" t="n">
        <f aca="false">-J6*Assumptions!J31/100</f>
        <v>-338.010525605638</v>
      </c>
      <c r="K12" s="4" t="n">
        <f aca="false">-K6*Assumptions!K31/100</f>
        <v>-349.840894001836</v>
      </c>
      <c r="L12" s="4" t="n">
        <f aca="false">-L6*Assumptions!L31/100</f>
        <v>-360.336120821891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761.7271077</v>
      </c>
      <c r="D13" s="0" t="n">
        <f aca="false">D11+D12</f>
        <v>892.4902611885</v>
      </c>
      <c r="E13" s="0" t="n">
        <f aca="false">E11+E12</f>
        <v>1012.19958245642</v>
      </c>
      <c r="F13" s="0" t="n">
        <f aca="false">F11+F12</f>
        <v>1121.98582121506</v>
      </c>
      <c r="G13" s="0" t="n">
        <f aca="false">G11+G12</f>
        <v>1211.74468691227</v>
      </c>
      <c r="H13" s="0" t="n">
        <f aca="false">H11+H12</f>
        <v>1272.33192125788</v>
      </c>
      <c r="I13" s="0" t="n">
        <f aca="false">I11+I12</f>
        <v>1329.58685771449</v>
      </c>
      <c r="J13" s="0" t="n">
        <f aca="false">J11+J12</f>
        <v>1382.77033202307</v>
      </c>
      <c r="K13" s="0" t="n">
        <f aca="false">K11+K12</f>
        <v>1431.16729364387</v>
      </c>
      <c r="L13" s="0" t="n">
        <f aca="false">L11+L12</f>
        <v>1474.10231245319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525.591704313</v>
      </c>
      <c r="D15" s="0" t="n">
        <f aca="false">D13-MAX(0,D13)*D14/100</f>
        <v>615.818280220065</v>
      </c>
      <c r="E15" s="0" t="n">
        <f aca="false">E13-MAX(0,E13)*E14/100</f>
        <v>698.417711894927</v>
      </c>
      <c r="F15" s="0" t="n">
        <f aca="false">F13-MAX(0,F13)*F14/100</f>
        <v>774.170216638394</v>
      </c>
      <c r="G15" s="0" t="n">
        <f aca="false">G13-MAX(0,G13)*G14/100</f>
        <v>836.103833969465</v>
      </c>
      <c r="H15" s="0" t="n">
        <f aca="false">H13-MAX(0,H13)*H14/100</f>
        <v>877.909025667938</v>
      </c>
      <c r="I15" s="0" t="n">
        <f aca="false">I13-MAX(0,I13)*I14/100</f>
        <v>917.414931822995</v>
      </c>
      <c r="J15" s="0" t="n">
        <f aca="false">J13-MAX(0,J13)*J14/100</f>
        <v>954.111529095915</v>
      </c>
      <c r="K15" s="0" t="n">
        <f aca="false">K13-MAX(0,K13)*K14/100</f>
        <v>987.505432614272</v>
      </c>
      <c r="L15" s="0" t="n">
        <f aca="false">L13-MAX(0,L13)*L14/100</f>
        <v>1017.1305955927</v>
      </c>
    </row>
    <row r="16" customFormat="false" ht="15" hidden="false" customHeight="false" outlineLevel="0" collapsed="false">
      <c r="A16" s="0" t="s">
        <v>120</v>
      </c>
      <c r="C16" s="0" t="n">
        <f aca="false">-C12</f>
        <v>208.3356192</v>
      </c>
      <c r="D16" s="0" t="n">
        <f aca="false">-D12</f>
        <v>231.252537312</v>
      </c>
      <c r="E16" s="0" t="n">
        <f aca="false">-E12</f>
        <v>256.003785446175</v>
      </c>
      <c r="F16" s="0" t="n">
        <f aca="false">-F12</f>
        <v>279.43797811394</v>
      </c>
      <c r="G16" s="0" t="n">
        <f aca="false">-G12</f>
        <v>296.204256800777</v>
      </c>
      <c r="H16" s="0" t="n">
        <f aca="false">-H12</f>
        <v>311.014469640816</v>
      </c>
      <c r="I16" s="0" t="n">
        <f aca="false">-I12</f>
        <v>325.010120774652</v>
      </c>
      <c r="J16" s="0" t="n">
        <f aca="false">-J12</f>
        <v>338.010525605638</v>
      </c>
      <c r="K16" s="0" t="n">
        <f aca="false">-K12</f>
        <v>349.840894001836</v>
      </c>
      <c r="L16" s="0" t="n">
        <f aca="false">-L12</f>
        <v>360.336120821891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-292.9719645</v>
      </c>
      <c r="D17" s="4" t="n">
        <f aca="false">-D6*Assumptions!D32/100</f>
        <v>-325.198880595</v>
      </c>
      <c r="E17" s="4" t="n">
        <f aca="false">-E6*Assumptions!E32/100</f>
        <v>-346.58974029636</v>
      </c>
      <c r="F17" s="4" t="n">
        <f aca="false">-F6*Assumptions!F32/100</f>
        <v>-355.648335781379</v>
      </c>
      <c r="G17" s="4" t="n">
        <f aca="false">-G6*Assumptions!G32/100</f>
        <v>-359.03546278882</v>
      </c>
      <c r="H17" s="4" t="n">
        <f aca="false">-H6*Assumptions!H32/100</f>
        <v>-376.987235928261</v>
      </c>
      <c r="I17" s="4" t="n">
        <f aca="false">-I6*Assumptions!I32/100</f>
        <v>-393.951661545033</v>
      </c>
      <c r="J17" s="4" t="n">
        <f aca="false">-J6*Assumptions!J32/100</f>
        <v>-409.709728006834</v>
      </c>
      <c r="K17" s="4" t="n">
        <f aca="false">-K6*Assumptions!K32/100</f>
        <v>-424.049568487073</v>
      </c>
      <c r="L17" s="4" t="n">
        <f aca="false">-L6*Assumptions!L32/100</f>
        <v>-436.771055541686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254.75823</v>
      </c>
      <c r="D18" s="4" t="n">
        <f aca="false">(D6-C6)*Assumptions!$B$37/100</f>
        <v>214.8461073</v>
      </c>
      <c r="E18" s="4" t="n">
        <f aca="false">(E6-D6)*Assumptions!$B$37/100</f>
        <v>195.119328357</v>
      </c>
      <c r="F18" s="4" t="n">
        <f aca="false">(F6-E6)*Assumptions!$B$37/100</f>
        <v>177.233389924275</v>
      </c>
      <c r="G18" s="4" t="n">
        <f aca="false">(G6-F6)*Assumptions!$B$37/100</f>
        <v>152.420715334877</v>
      </c>
      <c r="H18" s="4" t="n">
        <f aca="false">(H6-G6)*Assumptions!$B$37/100</f>
        <v>134.638298545807</v>
      </c>
      <c r="I18" s="4" t="n">
        <f aca="false">(I6-H6)*Assumptions!$B$37/100</f>
        <v>127.233192125788</v>
      </c>
      <c r="J18" s="4" t="n">
        <f aca="false">(J6-I6)*Assumptions!$B$37/100</f>
        <v>118.18549846351</v>
      </c>
      <c r="K18" s="4" t="n">
        <f aca="false">(K6-J6)*Assumptions!$B$37/100</f>
        <v>107.548803601794</v>
      </c>
      <c r="L18" s="4" t="n">
        <f aca="false">(L6-K6)*Assumptions!$B$37/100</f>
        <v>95.4111529095917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695.713589013</v>
      </c>
      <c r="D19" s="0" t="n">
        <f aca="false">D15+D16+D17+D18</f>
        <v>736.718044237065</v>
      </c>
      <c r="E19" s="0" t="n">
        <f aca="false">E15+E16+E17+E18</f>
        <v>802.951085401742</v>
      </c>
      <c r="F19" s="0" t="n">
        <f aca="false">F15+F16+F17+F18</f>
        <v>875.19324889523</v>
      </c>
      <c r="G19" s="0" t="n">
        <f aca="false">G15+G16+G17+G18</f>
        <v>925.693343316298</v>
      </c>
      <c r="H19" s="0" t="n">
        <f aca="false">H15+H16+H17+H18</f>
        <v>946.5745579263</v>
      </c>
      <c r="I19" s="0" t="n">
        <f aca="false">I15+I16+I17+I18</f>
        <v>975.706583178402</v>
      </c>
      <c r="J19" s="0" t="n">
        <f aca="false">J15+J16+J17+J18</f>
        <v>1000.59782515823</v>
      </c>
      <c r="K19" s="0" t="n">
        <f aca="false">K15+K16+K17+K18</f>
        <v>1020.84556173083</v>
      </c>
      <c r="L19" s="0" t="n">
        <f aca="false">L15+L16+L17+L18</f>
        <v>1036.1068137825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621.172847333036</v>
      </c>
      <c r="D21" s="0" t="n">
        <f aca="false">D19*D20</f>
        <v>587.30711434715</v>
      </c>
      <c r="E21" s="0" t="n">
        <f aca="false">E19*E20</f>
        <v>571.524722549299</v>
      </c>
      <c r="F21" s="0" t="n">
        <f aca="false">F19*F20</f>
        <v>556.201131770778</v>
      </c>
      <c r="G21" s="0" t="n">
        <f aca="false">G19*G20</f>
        <v>525.263263157605</v>
      </c>
      <c r="H21" s="0" t="n">
        <f aca="false">H19*H20</f>
        <v>479.564129560128</v>
      </c>
      <c r="I21" s="0" t="n">
        <f aca="false">I19*I20</f>
        <v>441.360107299792</v>
      </c>
      <c r="J21" s="0" t="n">
        <f aca="false">J19*J20</f>
        <v>404.124679534042</v>
      </c>
      <c r="K21" s="0" t="n">
        <f aca="false">K19*K20</f>
        <v>368.127143518088</v>
      </c>
      <c r="L21" s="0" t="n">
        <f aca="false">L19*L20</f>
        <v>333.598664287224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4888.24380335714</v>
      </c>
    </row>
    <row r="31" customFormat="false" ht="15" hidden="false" customHeight="false" outlineLevel="0" collapsed="false">
      <c r="A31" s="0" t="s">
        <v>129</v>
      </c>
      <c r="B31" s="0" t="n">
        <f aca="false">L19</f>
        <v>1036.1068137825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11179.0472013375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12433.28176539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11179.0472013375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3599.35400941478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8487.59781277193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13999.4978127719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70.0394700503334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0.508820983419504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850.697307915148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644.856102040251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77.5217218900874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8496.07587301647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59.5959398290333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18</v>
      </c>
      <c r="D5" s="4" t="n">
        <f aca="false">Assumptions!D41</f>
        <v>15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5661.294</v>
      </c>
      <c r="C6" s="0" t="n">
        <f aca="false">B6*(1+C5/100)</f>
        <v>6680.32692</v>
      </c>
      <c r="D6" s="0" t="n">
        <f aca="false">C6*(1+D5/100)</f>
        <v>7682.375958</v>
      </c>
      <c r="E6" s="0" t="n">
        <f aca="false">D6*(1+E5/100)</f>
        <v>8604.26107296</v>
      </c>
      <c r="F6" s="0" t="n">
        <f aca="false">E6*(1+F5/100)</f>
        <v>9464.687180256</v>
      </c>
      <c r="G6" s="0" t="n">
        <f aca="false">F6*(1+G5/100)</f>
        <v>10221.8621546765</v>
      </c>
      <c r="H6" s="0" t="n">
        <f aca="false">G6*(1+H5/100)</f>
        <v>10937.3925055038</v>
      </c>
      <c r="I6" s="0" t="n">
        <f aca="false">H6*(1+I5/100)</f>
        <v>11593.6360558341</v>
      </c>
      <c r="J6" s="0" t="n">
        <f aca="false">I6*(1+J5/100)</f>
        <v>12173.3178586258</v>
      </c>
      <c r="K6" s="0" t="n">
        <f aca="false">J6*(1+K5/100)</f>
        <v>12721.1171622639</v>
      </c>
      <c r="L6" s="0" t="n">
        <f aca="false">K6*(1+L5/100)</f>
        <v>13229.9618487545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17.2</v>
      </c>
      <c r="D7" s="4" t="n">
        <f aca="false">Assumptions!D42</f>
        <v>18.2</v>
      </c>
      <c r="E7" s="4" t="n">
        <f aca="false">Assumptions!E42</f>
        <v>19</v>
      </c>
      <c r="F7" s="4" t="n">
        <f aca="false">Assumptions!F42</f>
        <v>19.7</v>
      </c>
      <c r="G7" s="4" t="n">
        <f aca="false">Assumptions!G42</f>
        <v>20.2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1149.01623024</v>
      </c>
      <c r="D8" s="0" t="n">
        <f aca="false">D6*D7/100</f>
        <v>1398.192424356</v>
      </c>
      <c r="E8" s="0" t="n">
        <f aca="false">E6*E7/100</f>
        <v>1634.8096038624</v>
      </c>
      <c r="F8" s="0" t="n">
        <f aca="false">F6*F7/100</f>
        <v>1864.54337451043</v>
      </c>
      <c r="G8" s="0" t="n">
        <f aca="false">G6*G7/100</f>
        <v>2064.81615524465</v>
      </c>
      <c r="H8" s="0" t="n">
        <f aca="false">H6*H7/100</f>
        <v>2242.16546362829</v>
      </c>
      <c r="I8" s="0" t="n">
        <f aca="false">I6*I7/100</f>
        <v>2376.69539144598</v>
      </c>
      <c r="J8" s="0" t="n">
        <f aca="false">J6*J7/100</f>
        <v>2495.53016101828</v>
      </c>
      <c r="K8" s="0" t="n">
        <f aca="false">K6*K7/100</f>
        <v>2607.82901826411</v>
      </c>
      <c r="L8" s="0" t="n">
        <f aca="false">L6*L7/100</f>
        <v>2712.14217899467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1.9</v>
      </c>
      <c r="D9" s="4" t="n">
        <f aca="false">Assumptions!D43</f>
        <v>1.85</v>
      </c>
      <c r="E9" s="4" t="n">
        <f aca="false">Assumptions!E43</f>
        <v>1.8</v>
      </c>
      <c r="F9" s="4" t="n">
        <f aca="false">Assumptions!F43</f>
        <v>1.75</v>
      </c>
      <c r="G9" s="4" t="n">
        <f aca="false">Assumptions!G43</f>
        <v>1.7</v>
      </c>
      <c r="H9" s="4" t="n">
        <f aca="false">Assumptions!H43</f>
        <v>1.7</v>
      </c>
      <c r="I9" s="4" t="n">
        <f aca="false">Assumptions!I43</f>
        <v>1.7</v>
      </c>
      <c r="J9" s="4" t="n">
        <f aca="false">Assumptions!J43</f>
        <v>1.7</v>
      </c>
      <c r="K9" s="4" t="n">
        <f aca="false">Assumptions!K43</f>
        <v>1.7</v>
      </c>
      <c r="L9" s="4" t="n">
        <f aca="false">Assumptions!L43</f>
        <v>1.7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-126.92621148</v>
      </c>
      <c r="D10" s="0" t="n">
        <f aca="false">-D6*D9/100</f>
        <v>-142.123955223</v>
      </c>
      <c r="E10" s="0" t="n">
        <f aca="false">-E6*E9/100</f>
        <v>-154.87669931328</v>
      </c>
      <c r="F10" s="0" t="n">
        <f aca="false">-F6*F9/100</f>
        <v>-165.63202565448</v>
      </c>
      <c r="G10" s="0" t="n">
        <f aca="false">-G6*G9/100</f>
        <v>-173.7716566295</v>
      </c>
      <c r="H10" s="0" t="n">
        <f aca="false">-H6*H9/100</f>
        <v>-185.935672593565</v>
      </c>
      <c r="I10" s="0" t="n">
        <f aca="false">-I6*I9/100</f>
        <v>-197.091812949179</v>
      </c>
      <c r="J10" s="0" t="n">
        <f aca="false">-J6*J9/100</f>
        <v>-206.946403596638</v>
      </c>
      <c r="K10" s="0" t="n">
        <f aca="false">-K6*K9/100</f>
        <v>-216.258991758487</v>
      </c>
      <c r="L10" s="0" t="n">
        <f aca="false">-L6*L9/100</f>
        <v>-224.909351428826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1022.09001876</v>
      </c>
      <c r="D11" s="0" t="n">
        <f aca="false">D8+D10+D24</f>
        <v>1256.068469133</v>
      </c>
      <c r="E11" s="0" t="n">
        <f aca="false">E8+E10+E24</f>
        <v>1479.93290454912</v>
      </c>
      <c r="F11" s="0" t="n">
        <f aca="false">F8+F10+F24</f>
        <v>1698.91134885595</v>
      </c>
      <c r="G11" s="0" t="n">
        <f aca="false">G8+G10+G24</f>
        <v>1891.04449861515</v>
      </c>
      <c r="H11" s="0" t="n">
        <f aca="false">H8+H10+H24</f>
        <v>2056.22979103472</v>
      </c>
      <c r="I11" s="0" t="n">
        <f aca="false">I8+I10+I24</f>
        <v>2179.6035784968</v>
      </c>
      <c r="J11" s="0" t="n">
        <f aca="false">J8+J10+J24</f>
        <v>2288.58375742165</v>
      </c>
      <c r="K11" s="0" t="n">
        <f aca="false">K8+K10+K24</f>
        <v>2391.57002650562</v>
      </c>
      <c r="L11" s="0" t="n">
        <f aca="false">L8+L10+L24</f>
        <v>2487.23282756584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-213.77046144</v>
      </c>
      <c r="D12" s="4" t="n">
        <f aca="false">-D6*Assumptions!D45/100</f>
        <v>-245.836030656</v>
      </c>
      <c r="E12" s="4" t="n">
        <f aca="false">-E6*Assumptions!E45/100</f>
        <v>-279.6384848712</v>
      </c>
      <c r="F12" s="4" t="n">
        <f aca="false">-F6*Assumptions!F45/100</f>
        <v>-312.334676948448</v>
      </c>
      <c r="G12" s="4" t="n">
        <f aca="false">-G6*Assumptions!G45/100</f>
        <v>-337.321451104324</v>
      </c>
      <c r="H12" s="4" t="n">
        <f aca="false">-H6*Assumptions!H45/100</f>
        <v>-360.933952681627</v>
      </c>
      <c r="I12" s="4" t="n">
        <f aca="false">-I6*Assumptions!I45/100</f>
        <v>-382.589989842524</v>
      </c>
      <c r="J12" s="4" t="n">
        <f aca="false">-J6*Assumptions!J45/100</f>
        <v>-401.71948933465</v>
      </c>
      <c r="K12" s="4" t="n">
        <f aca="false">-K6*Assumptions!K45/100</f>
        <v>-419.79686635471</v>
      </c>
      <c r="L12" s="4" t="n">
        <f aca="false">-L6*Assumptions!L45/100</f>
        <v>-436.588741008898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808.31955732</v>
      </c>
      <c r="D13" s="0" t="n">
        <f aca="false">D11+D12</f>
        <v>1010.232438477</v>
      </c>
      <c r="E13" s="0" t="n">
        <f aca="false">E11+E12</f>
        <v>1200.29441967792</v>
      </c>
      <c r="F13" s="0" t="n">
        <f aca="false">F11+F12</f>
        <v>1386.5766719075</v>
      </c>
      <c r="G13" s="0" t="n">
        <f aca="false">G11+G12</f>
        <v>1553.72304751083</v>
      </c>
      <c r="H13" s="0" t="n">
        <f aca="false">H11+H12</f>
        <v>1695.29583835309</v>
      </c>
      <c r="I13" s="0" t="n">
        <f aca="false">I11+I12</f>
        <v>1797.01358865428</v>
      </c>
      <c r="J13" s="0" t="n">
        <f aca="false">J11+J12</f>
        <v>1886.86426808699</v>
      </c>
      <c r="K13" s="0" t="n">
        <f aca="false">K11+K12</f>
        <v>1971.77316015091</v>
      </c>
      <c r="L13" s="0" t="n">
        <f aca="false">L11+L12</f>
        <v>2050.64408655695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557.7404945508</v>
      </c>
      <c r="D15" s="0" t="n">
        <f aca="false">D13-MAX(0,D13)*D14/100</f>
        <v>697.06038254913</v>
      </c>
      <c r="E15" s="0" t="n">
        <f aca="false">E13-MAX(0,E13)*E14/100</f>
        <v>828.203149577765</v>
      </c>
      <c r="F15" s="0" t="n">
        <f aca="false">F13-MAX(0,F13)*F14/100</f>
        <v>956.737903616178</v>
      </c>
      <c r="G15" s="0" t="n">
        <f aca="false">G13-MAX(0,G13)*G14/100</f>
        <v>1072.06890278247</v>
      </c>
      <c r="H15" s="0" t="n">
        <f aca="false">H13-MAX(0,H13)*H14/100</f>
        <v>1169.75412846364</v>
      </c>
      <c r="I15" s="0" t="n">
        <f aca="false">I13-MAX(0,I13)*I14/100</f>
        <v>1239.93937617145</v>
      </c>
      <c r="J15" s="0" t="n">
        <f aca="false">J13-MAX(0,J13)*J14/100</f>
        <v>1301.93634498003</v>
      </c>
      <c r="K15" s="0" t="n">
        <f aca="false">K13-MAX(0,K13)*K14/100</f>
        <v>1360.52348050413</v>
      </c>
      <c r="L15" s="0" t="n">
        <f aca="false">L13-MAX(0,L13)*L14/100</f>
        <v>1414.94441972429</v>
      </c>
    </row>
    <row r="16" customFormat="false" ht="15" hidden="false" customHeight="false" outlineLevel="0" collapsed="false">
      <c r="A16" s="0" t="s">
        <v>120</v>
      </c>
      <c r="C16" s="0" t="n">
        <f aca="false">-C12</f>
        <v>213.77046144</v>
      </c>
      <c r="D16" s="0" t="n">
        <f aca="false">-D12</f>
        <v>245.836030656</v>
      </c>
      <c r="E16" s="0" t="n">
        <f aca="false">-E12</f>
        <v>279.6384848712</v>
      </c>
      <c r="F16" s="0" t="n">
        <f aca="false">-F12</f>
        <v>312.334676948448</v>
      </c>
      <c r="G16" s="0" t="n">
        <f aca="false">-G12</f>
        <v>337.321451104324</v>
      </c>
      <c r="H16" s="0" t="n">
        <f aca="false">-H12</f>
        <v>360.933952681627</v>
      </c>
      <c r="I16" s="0" t="n">
        <f aca="false">-I12</f>
        <v>382.589989842524</v>
      </c>
      <c r="J16" s="0" t="n">
        <f aca="false">-J12</f>
        <v>401.71948933465</v>
      </c>
      <c r="K16" s="0" t="n">
        <f aca="false">-K12</f>
        <v>419.79686635471</v>
      </c>
      <c r="L16" s="0" t="n">
        <f aca="false">-L12</f>
        <v>436.588741008898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-307.29503832</v>
      </c>
      <c r="D17" s="4" t="n">
        <f aca="false">-D6*Assumptions!D46/100</f>
        <v>-353.389294068</v>
      </c>
      <c r="E17" s="4" t="n">
        <f aca="false">-E6*Assumptions!E46/100</f>
        <v>-387.1917482832</v>
      </c>
      <c r="F17" s="4" t="n">
        <f aca="false">-F6*Assumptions!F46/100</f>
        <v>-406.981548751008</v>
      </c>
      <c r="G17" s="4" t="n">
        <f aca="false">-G6*Assumptions!G46/100</f>
        <v>-419.096348341736</v>
      </c>
      <c r="H17" s="4" t="n">
        <f aca="false">-H6*Assumptions!H46/100</f>
        <v>-437.495700220153</v>
      </c>
      <c r="I17" s="4" t="n">
        <f aca="false">-I6*Assumptions!I46/100</f>
        <v>-463.745442233363</v>
      </c>
      <c r="J17" s="4" t="n">
        <f aca="false">-J6*Assumptions!J46/100</f>
        <v>-486.932714345031</v>
      </c>
      <c r="K17" s="4" t="n">
        <f aca="false">-K6*Assumptions!K46/100</f>
        <v>-508.844686490557</v>
      </c>
      <c r="L17" s="4" t="n">
        <f aca="false">-L6*Assumptions!L46/100</f>
        <v>-529.19847395018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305.709876</v>
      </c>
      <c r="D18" s="4" t="n">
        <f aca="false">(D6-C6)*Assumptions!$B$51/100</f>
        <v>300.6147114</v>
      </c>
      <c r="E18" s="4" t="n">
        <f aca="false">(E6-D6)*Assumptions!$B$51/100</f>
        <v>276.565534488</v>
      </c>
      <c r="F18" s="4" t="n">
        <f aca="false">(F6-E6)*Assumptions!$B$51/100</f>
        <v>258.127832188801</v>
      </c>
      <c r="G18" s="4" t="n">
        <f aca="false">(G6-F6)*Assumptions!$B$51/100</f>
        <v>227.152492326144</v>
      </c>
      <c r="H18" s="4" t="n">
        <f aca="false">(H6-G6)*Assumptions!$B$51/100</f>
        <v>214.659105248206</v>
      </c>
      <c r="I18" s="4" t="n">
        <f aca="false">(I6-H6)*Assumptions!$B$51/100</f>
        <v>196.873065099069</v>
      </c>
      <c r="J18" s="4" t="n">
        <f aca="false">(J6-I6)*Assumptions!$B$51/100</f>
        <v>173.904540837511</v>
      </c>
      <c r="K18" s="4" t="n">
        <f aca="false">(K6-J6)*Assumptions!$B$51/100</f>
        <v>164.339791091448</v>
      </c>
      <c r="L18" s="4" t="n">
        <f aca="false">(L6-K6)*Assumptions!$B$51/100</f>
        <v>152.653405947167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769.9257936708</v>
      </c>
      <c r="D19" s="0" t="n">
        <f aca="false">D15+D16+D17+D18</f>
        <v>890.12183053713</v>
      </c>
      <c r="E19" s="0" t="n">
        <f aca="false">E15+E16+E17+E18</f>
        <v>997.215420653765</v>
      </c>
      <c r="F19" s="0" t="n">
        <f aca="false">F15+F16+F17+F18</f>
        <v>1120.21886400242</v>
      </c>
      <c r="G19" s="0" t="n">
        <f aca="false">G15+G16+G17+G18</f>
        <v>1217.4464978712</v>
      </c>
      <c r="H19" s="0" t="n">
        <f aca="false">H15+H16+H17+H18</f>
        <v>1307.85148617331</v>
      </c>
      <c r="I19" s="0" t="n">
        <f aca="false">I15+I16+I17+I18</f>
        <v>1355.65698887968</v>
      </c>
      <c r="J19" s="0" t="n">
        <f aca="false">J15+J16+J17+J18</f>
        <v>1390.62766080716</v>
      </c>
      <c r="K19" s="0" t="n">
        <f aca="false">K15+K16+K17+K18</f>
        <v>1435.81545145973</v>
      </c>
      <c r="L19" s="0" t="n">
        <f aca="false">L15+L16+L17+L18</f>
        <v>1474.98809273018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687.433744348928</v>
      </c>
      <c r="D21" s="0" t="n">
        <f aca="false">D19*D20</f>
        <v>709.599673578707</v>
      </c>
      <c r="E21" s="0" t="n">
        <f aca="false">E19*E20</f>
        <v>709.798239236292</v>
      </c>
      <c r="F21" s="0" t="n">
        <f aca="false">F19*F20</f>
        <v>711.91933984366</v>
      </c>
      <c r="G21" s="0" t="n">
        <f aca="false">G19*G20</f>
        <v>690.811838292676</v>
      </c>
      <c r="H21" s="0" t="n">
        <f aca="false">H19*H20</f>
        <v>662.598264773411</v>
      </c>
      <c r="I21" s="0" t="n">
        <f aca="false">I19*I20</f>
        <v>613.230375185701</v>
      </c>
      <c r="J21" s="0" t="n">
        <f aca="false">J19*J20</f>
        <v>561.651188564194</v>
      </c>
      <c r="K21" s="0" t="n">
        <f aca="false">K19*K20</f>
        <v>517.76944581983</v>
      </c>
      <c r="L21" s="0" t="n">
        <f aca="false">L19*L20</f>
        <v>474.906690149073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6339.71879979247</v>
      </c>
    </row>
    <row r="31" customFormat="false" ht="15" hidden="false" customHeight="false" outlineLevel="0" collapsed="false">
      <c r="A31" s="0" t="s">
        <v>129</v>
      </c>
      <c r="B31" s="0" t="n">
        <f aca="false">L19</f>
        <v>1474.98809273018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16880.4192834676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17699.8571127621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16880.4192834676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5435.04323170606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11774.7620314985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17286.6620314985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86.4851485258846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0.863101002281012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958.067607263807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828.747061929167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95.4245800813697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12660.3144626007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70.9813477050904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49.8272720695517</v>
      </c>
      <c r="C4" s="0" t="n">
        <f aca="false">B4/Assumptions!$B$2-1</f>
        <v>0.0734009493656109</v>
      </c>
      <c r="D4" s="4" t="n">
        <f aca="false">Assumptions!$B$24</f>
        <v>0.25</v>
      </c>
      <c r="E4" s="4" t="n">
        <f aca="false">DCF_Bear!$B$43</f>
        <v>55.6058457646616</v>
      </c>
      <c r="F4" s="4" t="n">
        <f aca="false">DCF_Bear!$B$47</f>
        <v>45.1014308695498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70.0394700503334</v>
      </c>
      <c r="C5" s="0" t="n">
        <f aca="false">B5/Assumptions!$B$2-1</f>
        <v>0.508820983419504</v>
      </c>
      <c r="D5" s="4" t="n">
        <f aca="false">Assumptions!$B$38</f>
        <v>0.5</v>
      </c>
      <c r="E5" s="4" t="n">
        <f aca="false">DCF_Base!$B$43</f>
        <v>77.5217218900874</v>
      </c>
      <c r="F5" s="4" t="n">
        <f aca="false">DCF_Base!$B$47</f>
        <v>59.5959398290333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86.4851485258846</v>
      </c>
      <c r="C6" s="0" t="n">
        <f aca="false">B6/Assumptions!$B$2-1</f>
        <v>0.863101002281012</v>
      </c>
      <c r="D6" s="4" t="n">
        <f aca="false">Assumptions!$B$52</f>
        <v>0.25</v>
      </c>
      <c r="E6" s="4" t="n">
        <f aca="false">DCF_Bull!$B$43</f>
        <v>95.4245800813697</v>
      </c>
      <c r="F6" s="4" t="n">
        <f aca="false">DCF_Bull!$B$47</f>
        <v>70.9813477050904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69.0978401740258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76.5184674065515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0.3281989728899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-305.605435543579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58.8186645581767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81.9085228139294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78.3310036431058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75.0579473504885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70.0394700503334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59.5959398290333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78.2134437584898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78.3310036431058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78.3310036431058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78.3310036431058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78.3310036431058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72.6558448021675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73.8408820593392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75.0579473504885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75.0579473504885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75.0579473504885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68.1655122114565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69.055642184923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70.0394700503334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71.1326121230116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72.0598308453725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64.4635835299484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65.1456212776865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65.8926150013996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66.714308097484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67.6224952036826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61.3604605024893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61.8917974388865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62.4693375871444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63.0993813852438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63.7894293545909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2026-10-23T21:00:07Z</dcterms:created>
  <dc:creator>openpyxl</dc:creator>
  <dc:description/>
  <dc:language>en-NZ</dc:language>
  <cp:lastModifiedBy/>
  <dcterms:modified xsi:type="dcterms:W3CDTF">2026-10-23T21:00:07Z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