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Model_Info" sheetId="1" state="visible" r:id="rId3"/>
    <sheet name="Actuals" sheetId="2" state="visible" r:id="rId4"/>
    <sheet name="Assumptions" sheetId="3" state="visible" r:id="rId5"/>
    <sheet name="DCF_Bear" sheetId="4" state="visible" r:id="rId6"/>
    <sheet name="DCF_Base" sheetId="5" state="visible" r:id="rId7"/>
    <sheet name="DCF_Bull" sheetId="6" state="visible" r:id="rId8"/>
    <sheet name="Valuation"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<sst xmlns="http://schemas.openxmlformats.org/spreadsheetml/2006/main" count="361" uniqueCount="174">
  <si>
    <t xml:space="preserve">Ticker</t>
  </si>
  <si>
    <t xml:space="preserve">NWG.L</t>
  </si>
  <si>
    <t xml:space="preserve">Company</t>
  </si>
  <si>
    <t xml:space="preserve">NatWest Group plc</t>
  </si>
  <si>
    <t xml:space="preserve">Valuation date</t>
  </si>
  <si>
    <t xml:space="preserve">2026-10-10</t>
  </si>
  <si>
    <t xml:space="preserve">Current price</t>
  </si>
  <si>
    <t xml:space="preserve">Price as of</t>
  </si>
  <si>
    <t xml:space="preserve">2026-10-09T15:49:17Z regular close (LSE; Yahoo Finance chart API). Not an after-hours print.</t>
  </si>
  <si>
    <t xml:space="preserve">Balance sheet date</t>
  </si>
  <si>
    <t xml:space="preserve">2026-06-30</t>
  </si>
  <si>
    <t xml:space="preserve">Model</t>
  </si>
  <si>
    <t xml:space="preserve">Bank FCFE at cost of equity (engine route): profit attributable to ordinary shareholders less CET1 retention, net debt zero, per ordinary share, GBP flows bridged to a GBp quote</t>
  </si>
  <si>
    <t xml:space="preserve">Currency (model)</t>
  </si>
  <si>
    <t xml:space="preserve">GBP</t>
  </si>
  <si>
    <t xml:space="preserve">Currency (quote)</t>
  </si>
  <si>
    <t xml:space="preserve">GBp</t>
  </si>
  <si>
    <t xml:space="preserve">Units</t>
  </si>
  <si>
    <t xml:space="preserve">millions</t>
  </si>
  <si>
    <t xml:space="preserve">Engine</t>
  </si>
  <si>
    <t xml:space="preserve">dcf_engine v1</t>
  </si>
  <si>
    <t xml:space="preserve">Built at</t>
  </si>
  <si>
    <t xml:space="preserve">2026-10-10T01:08:57Z</t>
  </si>
  <si>
    <t xml:space="preserve">Drivers file</t>
  </si>
  <si>
    <t xml:space="preserve">NWG.L_Drivers.json</t>
  </si>
  <si>
    <t xml:space="preserve">Convention</t>
  </si>
  <si>
    <t xml:space="preserve">Percents stored as percents; formulas divide by 100. Blue = input, green = link, black = formula.</t>
  </si>
  <si>
    <t xml:space="preserve">Methodology</t>
  </si>
  <si>
    <t xml:space="preserve">summary: A bank is worth what it can pay ordinary shareholders after funding the capital its growth requires. The flow is profit attributable to ordinary shareholders (after AT1 coupons and NCI) less the CET1 retention that holds the ratio at the c.13% target, discounted at a GBP cost of equity of 10.5%. Deposits are funding, not debt, so nothing is deducted for net debt. Value is therefore TNAV plus the PV of returns above the cost of equity. NatWest earns about 20% on tangible equity today, a 9-10pt spread over CoE, which the base case fades to about 16.5% by year 10 as the rate-cycle tailwind in NII normalises; that still justifies roughly 1.8-2.0x TNAV. The shares trade at 1.79x reported TNAV (359p at 30 June 2026) and about 8.6x TTM earnings, so the probability-weighted value sits modestly above the price: the return is the distribution yield (about 5% dividend plus buybacks) plus mid-single-digit growth, with a re-rating only if the 2028 targets are sustained. The LSE quote is in pence and the flows are in pounds, so a GBp holder carries no FX leg.
key_risks_to_valuation: UK rate cycle: NII is about 78% of income and the structural hedge smooths but does not remove sensitivity. FY26 guidance assumes a 3.75% base rate; faster BoE cuts plus deposit competition compress margins once the hedge uplift (GBP 1.5bn 2026, GBP 1.0bn 2027) is spent.; Credit: the base assumes impairment normalising to about 30bps from 19bps. A UK recession at about 60bps for a year costs about GBP 1.9bn pre-tax, and the C&amp;I book (commercial real estate, SME, leveraged) is more cyclical than a mortgage book.; Valuation already at 1.79x TNAV: most of the value is the spread over CoE, so a 2pt lower terminal RoTE removes about 15% of IV, and a 50bp higher CoE about 7%.; Basel 3.1 (1 Jan 2027): about GBP 10bn of RWA, taken as GBP 1.3bn in the bridge; the final figure and any further PRA model changes could differ.; Evelyn Partners integration (GBP 2.2bn, completed 30 June 2026): client and adviser attrition or system-integration cost would make the first full year loss-making rather than breakeven.; UK bank tax and surcharge policy, and periodic industry-wide conduct and redress episodes (litigation and conduct GBP 167m in FY25), which the base carries only at the historical run-rate.</t>
  </si>
  <si>
    <t xml:space="preserve">Data sources</t>
  </si>
  <si>
    <t xml:space="preserve">price: Yahoo Finance chart API at inputs.price_as_of (LSE regular close, GBp); 52-week range 504.41-726.0p. GBPUSD=X and the NWG ADS from the same API for the dual-listing parity check only.
financials: NWG.L_Metrics.csv / core_metrics FY2019-H1 FY2026 (annual reports FY2019-FY2025 and the H1-2026 interim results, all UK filings). H1-2026 Interim Results (NWG.L_HalfYear_H1-2026.txt): summary income statement H1-26 / H1-25, CET1 13.2% / RWA GBP 199.5bn / CET1 capital 26,306, CET1 reconciliation, ordinary shareholders' interests 38,748, other owners' interests 5,070, goodwill and intangibles 9,857, shares in issue 7,959m, TNAV 359p, diluted EPS 37.7p, Evelyn Partners note, Basel 3.1 guidance. FY2025 Annual Report (NWG.L_Annual_FY2025.txt): FY25 income statement, paid-in equity holders 352, ETR 24.3%, structural hedge outlook, 2025 buyback programme.
qualitative: NWG.L_Analysis.json (2026-10-10): FY26 guidance raised 31 July 2026 (income ex-notables about GBP 17.9bn incl. about 275m Evelyn, opex ex-litigation about GBP 8.5bn incl. about 300m Evelyn, impairment &lt;25bps, RoTE &gt;19%, capital generation &gt;240bps ex-Evelyn Day 1, next buyback with FY26 results), 2028 targets (CAL &gt;4% CAGR, cost:income &lt;45%, RoTE &gt;18%, CET1 c.13%), Evelyn Partners completion, UK Government exit May 2025, motor-finance exposure not material.</t>
  </si>
  <si>
    <t xml:space="preserve">Scenario narrative: bear</t>
  </si>
  <si>
    <t xml:space="preserve">A UK downturn arrives with faster rate cuts. Commercial and unsecured credit losses rise to about 60bps, deposit margins compress, Evelyn Partners disappoints, and a bank tax rise lands on top. Income falls 4% in year 2, buybacks pause for two years to rebuild CET1 through Basel 3.1, and RoTE settles around 13-14%. That is barely above the cost of equity, which at 1.79x reported TNAV leaves a long way to fall.</t>
  </si>
  <si>
    <t xml:space="preserve">Scenario narrative: base</t>
  </si>
  <si>
    <t xml:space="preserve">NatWest delivers its raised 2026 guidance (income about GBP 17.9bn, RoTE &gt;19%, capital generation &gt;240bps ex-Evelyn) and holds RoTE around 20% for two years as the structural hedge reprices, then settles in the mid-to-high teens rather than sustaining the 2028 &gt;18% target indefinitely. Impairment normalises from 19bps toward 30bps, deposit competition and lower base rates erode the hedge spread, and Evelyn Partners roughly breaks even in year 1 before contributing. CET1 is held at c.13% through Basel 3.1 (about GBP 10bn of RWA on 1 Jan 2027), with distributions of about 50% of earnings as dividends plus annual buybacks. Income growth fades to UK nominal GDP after the hedge tailwind is spent.</t>
  </si>
  <si>
    <t xml:space="preserve">Scenario narrative: bull</t>
  </si>
  <si>
    <t xml:space="preserve">A higher-for-longer UK curve and the hedge roll keep NII compounding beyond 2027. CAL grows above 4% a year as NatWest takes mortgage and SME share, C&amp;I keeps lending at high single digits, and the enlarged wealth business (GBP 130bn AUMA) adds a capital-light fee line that is not rate-sensitive. Cost:income falls below 45% on the AI and platform programme, RoTE holds at about 20%, and the shares re-rate to above 2x TNAV with distributions running at 9-10% of market cap.</t>
  </si>
  <si>
    <t xml:space="preserve">Period</t>
  </si>
  <si>
    <t xml:space="preserve">Revenue</t>
  </si>
  <si>
    <t xml:space="preserve">CostOfRevenue</t>
  </si>
  <si>
    <t xml:space="preserve">GrossProfit</t>
  </si>
  <si>
    <t xml:space="preserve">GrossMargin</t>
  </si>
  <si>
    <t xml:space="preserve">OperatingIncome</t>
  </si>
  <si>
    <t xml:space="preserve">OperatingMargin</t>
  </si>
  <si>
    <t xml:space="preserve">EBITDA</t>
  </si>
  <si>
    <t xml:space="preserve">NetIncome</t>
  </si>
  <si>
    <t xml:space="preserve">NetMargin</t>
  </si>
  <si>
    <t xml:space="preserve">EPS</t>
  </si>
  <si>
    <t xml:space="preserve">OperatingCashFlow</t>
  </si>
  <si>
    <t xml:space="preserve">CapEx</t>
  </si>
  <si>
    <t xml:space="preserve">FreeCashFlow</t>
  </si>
  <si>
    <t xml:space="preserve">ShareholdersEquity</t>
  </si>
  <si>
    <t xml:space="preserve">TotalAssets</t>
  </si>
  <si>
    <t xml:space="preserve">TotalLiabilities</t>
  </si>
  <si>
    <t xml:space="preserve">TotalDebt</t>
  </si>
  <si>
    <t xml:space="preserve">CashAndEquivalents</t>
  </si>
  <si>
    <t xml:space="preserve">SharesOutstanding</t>
  </si>
  <si>
    <t xml:space="preserve">StockBasedComp</t>
  </si>
  <si>
    <t xml:space="preserve">DividendPerShare</t>
  </si>
  <si>
    <t xml:space="preserve">EBITDABeforeSignificant</t>
  </si>
  <si>
    <t xml:space="preserve">RevenueContinuing</t>
  </si>
  <si>
    <t xml:space="preserve">EBITDAContinuingBeforeSignificant</t>
  </si>
  <si>
    <t xml:space="preserve">EBITContinuingBeforeSignificant</t>
  </si>
  <si>
    <t xml:space="preserve">Currency</t>
  </si>
  <si>
    <t xml:space="preserve">CET1Ratio</t>
  </si>
  <si>
    <t xml:space="preserve">CreditImpairmentCharge</t>
  </si>
  <si>
    <t xml:space="preserve">CustomerDeposits</t>
  </si>
  <si>
    <t xml:space="preserve">NIM</t>
  </si>
  <si>
    <t xml:space="preserve">NetInterestIncome</t>
  </si>
  <si>
    <t xml:space="preserve">NetLoans</t>
  </si>
  <si>
    <t xml:space="preserve">NetTangibleAssetsPerShare</t>
  </si>
  <si>
    <t xml:space="preserve">NonInterestIncome</t>
  </si>
  <si>
    <t xml:space="preserve">OperatingExpenses</t>
  </si>
  <si>
    <t xml:space="preserve">ROTE</t>
  </si>
  <si>
    <t xml:space="preserve">FY2019</t>
  </si>
  <si>
    <t xml:space="preserve">FY2020</t>
  </si>
  <si>
    <t xml:space="preserve">FY2021</t>
  </si>
  <si>
    <t xml:space="preserve">FY2022</t>
  </si>
  <si>
    <t xml:space="preserve">FY2023</t>
  </si>
  <si>
    <t xml:space="preserve">FY2024</t>
  </si>
  <si>
    <t xml:space="preserve">FY2025</t>
  </si>
  <si>
    <t xml:space="preserve">Input</t>
  </si>
  <si>
    <t xml:space="preserve">Value</t>
  </si>
  <si>
    <t xml:space="preserve">Current price (quote currency)</t>
  </si>
  <si>
    <t xml:space="preserve">Shares, final projected (m)</t>
  </si>
  <si>
    <t xml:space="preserve">Net debt (m, model currency)</t>
  </si>
  <si>
    <t xml:space="preserve">Equity bridge total (m, + adds)</t>
  </si>
  <si>
    <t xml:space="preserve">Hurdle rate (%)</t>
  </si>
  <si>
    <t xml:space="preserve">Base revenue FY0 (m)</t>
  </si>
  <si>
    <t xml:space="preserve">FY0</t>
  </si>
  <si>
    <t xml:space="preserve">TTM to 2026-06-30 (H2-25 + H1-26)</t>
  </si>
  <si>
    <t xml:space="preserve">Currency / units</t>
  </si>
  <si>
    <t xml:space="preserve">GBP millions</t>
  </si>
  <si>
    <t xml:space="preserve">FX rate (model -&gt; quote)</t>
  </si>
  <si>
    <t xml:space="preserve">BEAR</t>
  </si>
  <si>
    <t xml:space="preserve">TTM to 2027</t>
  </si>
  <si>
    <t xml:space="preserve">TTM to 2028</t>
  </si>
  <si>
    <t xml:space="preserve">TTM to 2029</t>
  </si>
  <si>
    <t xml:space="preserve">TTM to 2030</t>
  </si>
  <si>
    <t xml:space="preserve">TTM to 2031</t>
  </si>
  <si>
    <t xml:space="preserve">TTM to 2032</t>
  </si>
  <si>
    <t xml:space="preserve">TTM to 2033</t>
  </si>
  <si>
    <t xml:space="preserve">TTM to 2034</t>
  </si>
  <si>
    <t xml:space="preserve">TTM to 2035</t>
  </si>
  <si>
    <t xml:space="preserve">TTM to 2036</t>
  </si>
  <si>
    <t xml:space="preserve">Revenue growth (%)</t>
  </si>
  <si>
    <t xml:space="preserve">EBITDA margin (%)</t>
  </si>
  <si>
    <t xml:space="preserve">SBC (% of revenue)</t>
  </si>
  <si>
    <t xml:space="preserve">Lease cost (% of revenue)</t>
  </si>
  <si>
    <t xml:space="preserve">D&amp;A (% of revenue)</t>
  </si>
  <si>
    <t xml:space="preserve">Capex (% of revenue)</t>
  </si>
  <si>
    <t xml:space="preserve">Cash tax rate (%)</t>
  </si>
  <si>
    <t xml:space="preserve">WACC (%)</t>
  </si>
  <si>
    <t xml:space="preserve">Terminal growth (%)</t>
  </si>
  <si>
    <t xml:space="preserve">Terminal cap multiple (x FCF)</t>
  </si>
  <si>
    <t xml:space="preserve">Working-capital capture (% of revenue change)</t>
  </si>
  <si>
    <t xml:space="preserve">Scenario weight</t>
  </si>
  <si>
    <t xml:space="preserve">BASE</t>
  </si>
  <si>
    <t xml:space="preserve">BULL</t>
  </si>
  <si>
    <t xml:space="preserve">NWG.L owner-FCF component DCF: bear case (millions, GBP)</t>
  </si>
  <si>
    <t xml:space="preserve">Line</t>
  </si>
  <si>
    <t xml:space="preserve">Year index (discount exponent)</t>
  </si>
  <si>
    <t xml:space="preserve">SBC charge</t>
  </si>
  <si>
    <t xml:space="preserve">Owner EBITDA (after SBC and leases)</t>
  </si>
  <si>
    <t xml:space="preserve">D&amp;A</t>
  </si>
  <si>
    <t xml:space="preserve">EBIT</t>
  </si>
  <si>
    <t xml:space="preserve">NOPAT</t>
  </si>
  <si>
    <t xml:space="preserve">D&amp;A add-back</t>
  </si>
  <si>
    <t xml:space="preserve">Capex</t>
  </si>
  <si>
    <t xml:space="preserve">Working capital</t>
  </si>
  <si>
    <t xml:space="preserve">Unlevered owner FCF</t>
  </si>
  <si>
    <t xml:space="preserve">Discount factor</t>
  </si>
  <si>
    <t xml:space="preserve">PV of FCF</t>
  </si>
  <si>
    <t xml:space="preserve">Lease cost</t>
  </si>
  <si>
    <t xml:space="preserve">Valuation</t>
  </si>
  <si>
    <t xml:space="preserve">Sum of PV of FCF</t>
  </si>
  <si>
    <t xml:space="preserve">Terminal-year FCF</t>
  </si>
  <si>
    <t xml:space="preserve">Gordon terminal value</t>
  </si>
  <si>
    <t xml:space="preserve">Cap terminal value</t>
  </si>
  <si>
    <t xml:space="preserve">Terminal value used: MAX(0,MIN(Gordon,cap))</t>
  </si>
  <si>
    <t xml:space="preserve">PV of terminal value</t>
  </si>
  <si>
    <t xml:space="preserve">Enterprise value</t>
  </si>
  <si>
    <t xml:space="preserve">Equity value (EV + bridge - net debt)</t>
  </si>
  <si>
    <t xml:space="preserve">Value per share (quote currency)</t>
  </si>
  <si>
    <t xml:space="preserve">Upside vs price</t>
  </si>
  <si>
    <t xml:space="preserve">Street memo: PV of explicit-period SBC</t>
  </si>
  <si>
    <t xml:space="preserve">Street memo: PV of terminal SBC (Gordon)</t>
  </si>
  <si>
    <t xml:space="preserve">Street value per share</t>
  </si>
  <si>
    <t xml:space="preserve">Terminal value at hurdle: MAX(0,MIN(Gordon@hurdle,cap))</t>
  </si>
  <si>
    <t xml:space="preserve">Hurdle entry price (quote currency)</t>
  </si>
  <si>
    <t xml:space="preserve">NWG.L owner-FCF component DCF: base case (millions, GBP)</t>
  </si>
  <si>
    <t xml:space="preserve">NWG.L owner-FCF component DCF: bull case (millions, GBP)</t>
  </si>
  <si>
    <t xml:space="preserve">NWG.L valuation summary</t>
  </si>
  <si>
    <t xml:space="preserve">Scenario</t>
  </si>
  <si>
    <t xml:space="preserve">Value per share</t>
  </si>
  <si>
    <t xml:space="preserve">Weight</t>
  </si>
  <si>
    <t xml:space="preserve">Hurdle entry price</t>
  </si>
  <si>
    <t xml:space="preserve">Bear</t>
  </si>
  <si>
    <t xml:space="preserve">Base</t>
  </si>
  <si>
    <t xml:space="preserve">Bull</t>
  </si>
  <si>
    <t xml:space="preserve">Probability-weighted value per share</t>
  </si>
  <si>
    <t xml:space="preserve">Street weighted value per share</t>
  </si>
  <si>
    <t xml:space="preserve">Margin of safety (1 - price/weighted)</t>
  </si>
  <si>
    <t xml:space="preserve">Band position (%; 0 = house, 100 = street)</t>
  </si>
  <si>
    <t xml:space="preserve">Weighted 15% hurdle entry price</t>
  </si>
  <si>
    <t xml:space="preserve">Required-return table (base case; each row rebuilds its own terminal value)</t>
  </si>
  <si>
    <t xml:space="preserve">Rate (%)</t>
  </si>
  <si>
    <t xml:space="preserve">Value per share at 9%</t>
  </si>
  <si>
    <t xml:space="preserve">Value per share at 10%</t>
  </si>
  <si>
    <t xml:space="preserve">Value per share at 10.5% (WACC)</t>
  </si>
  <si>
    <t xml:space="preserve">Value per share at 11%</t>
  </si>
  <si>
    <t xml:space="preserve">Value per share at 12%</t>
  </si>
  <si>
    <t xml:space="preserve">Value per share at 15%</t>
  </si>
  <si>
    <t xml:space="preserve">Sensitivity: value per share, rows WACC (%) x columns terminal growth (%)</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</si>
</sst>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rgb="FF0000FF"/>
      <name val="Cambria"/>
      <family val="0"/>
      <charset val="1"/>
    </font>
    <font>
      <sz val="11"/>
      <color rgb="FF008000"/>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00"/>
  </cols>
  <sheetData>
    <row r="1" customFormat="false" ht="15" hidden="false" customHeight="false" outlineLevel="0" collapsed="false">
      <c r="A1" s="0" t="s">
        <v>0</v>
      </c>
      <c r="B1" s="0" t="s">
        <v>1</v>
      </c>
    </row>
    <row r="2" customFormat="false" ht="15" hidden="false" customHeight="false" outlineLevel="0" collapsed="false">
      <c r="A2" s="0" t="s">
        <v>2</v>
      </c>
      <c r="B2" s="0" t="s">
        <v>3</v>
      </c>
    </row>
    <row r="3" customFormat="false" ht="15" hidden="false" customHeight="false" outlineLevel="0" collapsed="false">
      <c r="A3" s="0" t="s">
        <v>4</v>
      </c>
      <c r="B3" s="0" t="s">
        <v>5</v>
      </c>
    </row>
    <row r="4" customFormat="false" ht="15" hidden="false" customHeight="false" outlineLevel="0" collapsed="false">
      <c r="A4" s="0" t="s">
        <v>6</v>
      </c>
      <c r="B4" s="0" t="n">
        <v>642.6</v>
      </c>
    </row>
    <row r="5" customFormat="false" ht="15" hidden="false" customHeight="false" outlineLevel="0" collapsed="false">
      <c r="A5" s="0" t="s">
        <v>7</v>
      </c>
      <c r="B5" s="0" t="s">
        <v>8</v>
      </c>
    </row>
    <row r="6" customFormat="false" ht="15" hidden="false" customHeight="false" outlineLevel="0" collapsed="false">
      <c r="A6" s="0" t="s">
        <v>9</v>
      </c>
      <c r="B6" s="0" t="s">
        <v>10</v>
      </c>
    </row>
    <row r="7" customFormat="false" ht="15" hidden="false" customHeight="false" outlineLevel="0" collapsed="false">
      <c r="A7" s="0" t="s">
        <v>11</v>
      </c>
      <c r="B7" s="0" t="s">
        <v>12</v>
      </c>
    </row>
    <row r="8" customFormat="false" ht="15" hidden="false" customHeight="false" outlineLevel="0" collapsed="false">
      <c r="A8" s="0" t="s">
        <v>13</v>
      </c>
      <c r="B8" s="0" t="s">
        <v>14</v>
      </c>
    </row>
    <row r="9" customFormat="false" ht="15" hidden="false" customHeight="false" outlineLevel="0" collapsed="false">
      <c r="A9" s="0" t="s">
        <v>15</v>
      </c>
      <c r="B9" s="0" t="s">
        <v>16</v>
      </c>
    </row>
    <row r="10" customFormat="false" ht="15" hidden="false" customHeight="false" outlineLevel="0" collapsed="false">
      <c r="A10" s="0" t="s">
        <v>17</v>
      </c>
      <c r="B10" s="0" t="s">
        <v>18</v>
      </c>
    </row>
    <row r="11" customFormat="false" ht="15" hidden="false" customHeight="false" outlineLevel="0" collapsed="false">
      <c r="A11" s="0" t="s">
        <v>19</v>
      </c>
      <c r="B11" s="0" t="s">
        <v>20</v>
      </c>
    </row>
    <row r="12" customFormat="false" ht="15" hidden="false" customHeight="false" outlineLevel="0" collapsed="false">
      <c r="A12" s="0" t="s">
        <v>21</v>
      </c>
      <c r="B12" s="0" t="s">
        <v>22</v>
      </c>
    </row>
    <row r="13" customFormat="false" ht="15" hidden="false" customHeight="false" outlineLevel="0" collapsed="false">
      <c r="A13" s="0" t="s">
        <v>23</v>
      </c>
      <c r="B13" s="0" t="s">
        <v>24</v>
      </c>
    </row>
    <row r="14" customFormat="false" ht="15" hidden="false" customHeight="false" outlineLevel="0" collapsed="false">
      <c r="A14" s="0" t="s">
        <v>25</v>
      </c>
      <c r="B14" s="0" t="s">
        <v>26</v>
      </c>
    </row>
    <row r="15" customFormat="false" ht="23.85" hidden="false" customHeight="false" outlineLevel="0" collapsed="false">
      <c r="A15" s="0" t="s">
        <v>27</v>
      </c>
      <c r="B15" s="1" t="s">
        <v>28</v>
      </c>
    </row>
    <row r="16" customFormat="false" ht="35.05" hidden="false" customHeight="false" outlineLevel="0" collapsed="false">
      <c r="A16" s="0" t="s">
        <v>29</v>
      </c>
      <c r="B16" s="1" t="s">
        <v>30</v>
      </c>
    </row>
    <row r="17" customFormat="false" ht="15" hidden="false" customHeight="false" outlineLevel="0" collapsed="false">
      <c r="A17" s="0" t="s">
        <v>31</v>
      </c>
      <c r="B17" s="0" t="s">
        <v>32</v>
      </c>
    </row>
    <row r="18" customFormat="false" ht="15" hidden="false" customHeight="false" outlineLevel="0" collapsed="false">
      <c r="A18" s="0" t="s">
        <v>33</v>
      </c>
      <c r="B18" s="0" t="s">
        <v>34</v>
      </c>
    </row>
    <row r="19" customFormat="false" ht="15" hidden="false" customHeight="false" outlineLevel="0" collapsed="false">
      <c r="A19" s="0" t="s">
        <v>35</v>
      </c>
      <c r="B19" s="0" t="s">
        <v>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L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2" t="s">
        <v>37</v>
      </c>
      <c r="B1" s="2" t="s">
        <v>38</v>
      </c>
      <c r="C1" s="2" t="s">
        <v>39</v>
      </c>
      <c r="D1" s="2" t="s">
        <v>40</v>
      </c>
      <c r="E1" s="2" t="s">
        <v>41</v>
      </c>
      <c r="F1" s="2" t="s">
        <v>42</v>
      </c>
      <c r="G1" s="2" t="s">
        <v>43</v>
      </c>
      <c r="H1" s="2" t="s">
        <v>44</v>
      </c>
      <c r="I1" s="2" t="s">
        <v>45</v>
      </c>
      <c r="J1" s="2" t="s">
        <v>46</v>
      </c>
      <c r="K1" s="2" t="s">
        <v>47</v>
      </c>
      <c r="L1" s="2" t="s">
        <v>48</v>
      </c>
      <c r="M1" s="2" t="s">
        <v>49</v>
      </c>
      <c r="N1" s="2" t="s">
        <v>50</v>
      </c>
      <c r="O1" s="2" t="s">
        <v>51</v>
      </c>
      <c r="P1" s="2" t="s">
        <v>52</v>
      </c>
      <c r="Q1" s="2" t="s">
        <v>53</v>
      </c>
      <c r="R1" s="2" t="s">
        <v>54</v>
      </c>
      <c r="S1" s="2" t="s">
        <v>55</v>
      </c>
      <c r="T1" s="2" t="s">
        <v>56</v>
      </c>
      <c r="U1" s="2" t="s">
        <v>57</v>
      </c>
      <c r="V1" s="2" t="s">
        <v>58</v>
      </c>
      <c r="W1" s="2" t="s">
        <v>59</v>
      </c>
      <c r="X1" s="2" t="s">
        <v>60</v>
      </c>
      <c r="Y1" s="2" t="s">
        <v>61</v>
      </c>
      <c r="Z1" s="2" t="s">
        <v>62</v>
      </c>
      <c r="AA1" s="2" t="s">
        <v>17</v>
      </c>
      <c r="AB1" s="2" t="s">
        <v>63</v>
      </c>
      <c r="AC1" s="2" t="s">
        <v>64</v>
      </c>
      <c r="AD1" s="2" t="s">
        <v>65</v>
      </c>
      <c r="AE1" s="2" t="s">
        <v>66</v>
      </c>
      <c r="AF1" s="2" t="s">
        <v>67</v>
      </c>
      <c r="AG1" s="2" t="s">
        <v>68</v>
      </c>
      <c r="AH1" s="2" t="s">
        <v>69</v>
      </c>
      <c r="AI1" s="2" t="s">
        <v>70</v>
      </c>
      <c r="AJ1" s="2" t="s">
        <v>71</v>
      </c>
      <c r="AK1" s="2" t="s">
        <v>72</v>
      </c>
      <c r="AL1" s="2" t="s">
        <v>73</v>
      </c>
    </row>
    <row r="2" customFormat="false" ht="15" hidden="false" customHeight="false" outlineLevel="0" collapsed="false">
      <c r="A2" s="0" t="s">
        <v>74</v>
      </c>
      <c r="B2" s="0" t="n">
        <v>14253</v>
      </c>
      <c r="F2" s="0" t="n">
        <v>4232</v>
      </c>
      <c r="G2" s="0" t="n">
        <v>29.7</v>
      </c>
      <c r="I2" s="0" t="n">
        <v>3133</v>
      </c>
      <c r="J2" s="0" t="n">
        <v>22</v>
      </c>
      <c r="K2" s="0" t="n">
        <v>0.26</v>
      </c>
      <c r="L2" s="0" t="n">
        <v>-3102</v>
      </c>
      <c r="M2" s="0" t="n">
        <v>559</v>
      </c>
      <c r="O2" s="0" t="n">
        <v>43556</v>
      </c>
      <c r="P2" s="0" t="n">
        <v>723039</v>
      </c>
      <c r="Q2" s="0" t="n">
        <v>679483</v>
      </c>
      <c r="S2" s="0" t="n">
        <v>100588</v>
      </c>
      <c r="T2" s="0" t="n">
        <v>12067</v>
      </c>
      <c r="AA2" s="0" t="s">
        <v>18</v>
      </c>
      <c r="AB2" s="0" t="s">
        <v>14</v>
      </c>
      <c r="AD2" s="0" t="n">
        <v>696</v>
      </c>
      <c r="AE2" s="0" t="n">
        <v>369247</v>
      </c>
      <c r="AG2" s="0" t="n">
        <v>8047</v>
      </c>
      <c r="AH2" s="0" t="n">
        <v>326947</v>
      </c>
      <c r="AI2" s="0" t="n">
        <v>2.68</v>
      </c>
      <c r="AJ2" s="0" t="n">
        <v>6206</v>
      </c>
      <c r="AK2" s="0" t="n">
        <v>9325</v>
      </c>
      <c r="AL2" s="0" t="n">
        <v>9.4</v>
      </c>
    </row>
    <row r="3" customFormat="false" ht="15" hidden="false" customHeight="false" outlineLevel="0" collapsed="false">
      <c r="A3" s="0" t="s">
        <v>75</v>
      </c>
      <c r="B3" s="0" t="n">
        <v>10796</v>
      </c>
      <c r="F3" s="0" t="n">
        <v>-351</v>
      </c>
      <c r="G3" s="0" t="n">
        <v>-3.3</v>
      </c>
      <c r="I3" s="0" t="n">
        <v>-753</v>
      </c>
      <c r="J3" s="0" t="n">
        <v>-7</v>
      </c>
      <c r="K3" s="0" t="n">
        <v>-0.062</v>
      </c>
      <c r="L3" s="0" t="n">
        <v>29095</v>
      </c>
      <c r="M3" s="0" t="n">
        <v>376</v>
      </c>
      <c r="O3" s="0" t="n">
        <v>43824</v>
      </c>
      <c r="P3" s="0" t="n">
        <v>799491</v>
      </c>
      <c r="Q3" s="0" t="n">
        <v>755667</v>
      </c>
      <c r="S3" s="0" t="n">
        <v>139199</v>
      </c>
      <c r="T3" s="0" t="n">
        <v>12095</v>
      </c>
      <c r="AA3" s="0" t="s">
        <v>18</v>
      </c>
      <c r="AB3" s="0" t="s">
        <v>14</v>
      </c>
      <c r="AD3" s="0" t="n">
        <v>3242</v>
      </c>
      <c r="AE3" s="0" t="n">
        <v>431739</v>
      </c>
      <c r="AG3" s="0" t="n">
        <v>7749</v>
      </c>
      <c r="AH3" s="0" t="n">
        <v>360544</v>
      </c>
      <c r="AI3" s="0" t="n">
        <v>2.61</v>
      </c>
      <c r="AJ3" s="0" t="n">
        <v>3047</v>
      </c>
      <c r="AK3" s="0" t="n">
        <v>7905</v>
      </c>
      <c r="AL3" s="0" t="n">
        <v>-2.4</v>
      </c>
    </row>
    <row r="4" customFormat="false" ht="15" hidden="false" customHeight="false" outlineLevel="0" collapsed="false">
      <c r="A4" s="0" t="s">
        <v>76</v>
      </c>
      <c r="B4" s="0" t="n">
        <v>10512</v>
      </c>
      <c r="F4" s="0" t="n">
        <v>4032</v>
      </c>
      <c r="G4" s="0" t="n">
        <v>38.4</v>
      </c>
      <c r="I4" s="0" t="n">
        <v>2950</v>
      </c>
      <c r="J4" s="0" t="n">
        <v>28.1</v>
      </c>
      <c r="K4" s="0" t="n">
        <v>0.254</v>
      </c>
      <c r="L4" s="0" t="n">
        <v>53684</v>
      </c>
      <c r="M4" s="0" t="n">
        <v>901</v>
      </c>
      <c r="O4" s="0" t="n">
        <v>41803</v>
      </c>
      <c r="P4" s="0" t="n">
        <v>781992</v>
      </c>
      <c r="Q4" s="0" t="n">
        <v>740189</v>
      </c>
      <c r="S4" s="0" t="n">
        <v>190706</v>
      </c>
      <c r="T4" s="0" t="n">
        <v>11622</v>
      </c>
      <c r="AA4" s="0" t="s">
        <v>18</v>
      </c>
      <c r="AB4" s="0" t="s">
        <v>14</v>
      </c>
      <c r="AD4" s="0" t="n">
        <v>-1278</v>
      </c>
      <c r="AE4" s="0" t="n">
        <v>479810</v>
      </c>
      <c r="AG4" s="0" t="n">
        <v>7614</v>
      </c>
      <c r="AH4" s="0" t="n">
        <v>358990</v>
      </c>
      <c r="AI4" s="0" t="n">
        <v>2.72</v>
      </c>
      <c r="AJ4" s="0" t="n">
        <v>2898</v>
      </c>
      <c r="AK4" s="0" t="n">
        <v>7758</v>
      </c>
      <c r="AL4" s="0" t="n">
        <v>9.4</v>
      </c>
    </row>
    <row r="5" customFormat="false" ht="15" hidden="false" customHeight="false" outlineLevel="0" collapsed="false">
      <c r="A5" s="0" t="s">
        <v>77</v>
      </c>
      <c r="B5" s="0" t="n">
        <v>13156</v>
      </c>
      <c r="F5" s="0" t="n">
        <v>5132</v>
      </c>
      <c r="G5" s="0" t="n">
        <v>39</v>
      </c>
      <c r="I5" s="0" t="n">
        <v>3340</v>
      </c>
      <c r="J5" s="0" t="n">
        <v>25.4</v>
      </c>
      <c r="K5" s="0" t="n">
        <v>0.338</v>
      </c>
      <c r="L5" s="0" t="n">
        <v>-43597</v>
      </c>
      <c r="M5" s="0" t="n">
        <v>639</v>
      </c>
      <c r="O5" s="0" t="n">
        <v>36496</v>
      </c>
      <c r="P5" s="0" t="n">
        <v>720053</v>
      </c>
      <c r="Q5" s="0" t="n">
        <v>683557</v>
      </c>
      <c r="S5" s="0" t="n">
        <v>158449</v>
      </c>
      <c r="T5" s="0" t="n">
        <v>9872</v>
      </c>
      <c r="AA5" s="0" t="s">
        <v>18</v>
      </c>
      <c r="AB5" s="0" t="s">
        <v>14</v>
      </c>
      <c r="AC5" s="0" t="n">
        <v>14.2</v>
      </c>
      <c r="AD5" s="0" t="n">
        <v>337</v>
      </c>
      <c r="AE5" s="0" t="n">
        <v>450318</v>
      </c>
      <c r="AG5" s="0" t="n">
        <v>9842</v>
      </c>
      <c r="AH5" s="0" t="n">
        <v>366340</v>
      </c>
      <c r="AI5" s="0" t="n">
        <v>2.64</v>
      </c>
      <c r="AJ5" s="0" t="n">
        <v>3314</v>
      </c>
      <c r="AK5" s="0" t="n">
        <v>7687</v>
      </c>
      <c r="AL5" s="0" t="n">
        <v>12.3</v>
      </c>
    </row>
    <row r="6" customFormat="false" ht="15" hidden="false" customHeight="false" outlineLevel="0" collapsed="false">
      <c r="A6" s="0" t="s">
        <v>78</v>
      </c>
      <c r="B6" s="0" t="n">
        <v>14752</v>
      </c>
      <c r="F6" s="0" t="n">
        <v>6178</v>
      </c>
      <c r="G6" s="0" t="n">
        <v>41.9</v>
      </c>
      <c r="I6" s="0" t="n">
        <v>4394</v>
      </c>
      <c r="J6" s="0" t="n">
        <v>29.8</v>
      </c>
      <c r="K6" s="0" t="n">
        <v>0.479</v>
      </c>
      <c r="L6" s="0" t="n">
        <v>-17438</v>
      </c>
      <c r="M6" s="0" t="n">
        <v>811</v>
      </c>
      <c r="O6" s="0" t="n">
        <v>37188</v>
      </c>
      <c r="P6" s="0" t="n">
        <v>692673</v>
      </c>
      <c r="Q6" s="0" t="n">
        <v>655485</v>
      </c>
      <c r="S6" s="0" t="n">
        <v>118824</v>
      </c>
      <c r="T6" s="0" t="n">
        <v>9164</v>
      </c>
      <c r="AA6" s="0" t="s">
        <v>18</v>
      </c>
      <c r="AB6" s="0" t="s">
        <v>14</v>
      </c>
      <c r="AD6" s="0" t="n">
        <v>578</v>
      </c>
      <c r="AE6" s="0" t="n">
        <v>431377</v>
      </c>
      <c r="AG6" s="0" t="n">
        <v>11049</v>
      </c>
      <c r="AH6" s="0" t="n">
        <v>381433</v>
      </c>
      <c r="AI6" s="0" t="n">
        <v>2.92</v>
      </c>
      <c r="AJ6" s="0" t="n">
        <v>3703</v>
      </c>
      <c r="AK6" s="0" t="n">
        <v>7996</v>
      </c>
      <c r="AL6" s="0" t="n">
        <v>17.8</v>
      </c>
    </row>
    <row r="7" customFormat="false" ht="15" hidden="false" customHeight="false" outlineLevel="0" collapsed="false">
      <c r="A7" s="0" t="s">
        <v>79</v>
      </c>
      <c r="B7" s="0" t="n">
        <v>14703</v>
      </c>
      <c r="F7" s="0" t="n">
        <v>6195</v>
      </c>
      <c r="G7" s="0" t="n">
        <v>42.1</v>
      </c>
      <c r="I7" s="0" t="n">
        <v>4519</v>
      </c>
      <c r="J7" s="0" t="n">
        <v>30.7</v>
      </c>
      <c r="K7" s="0" t="n">
        <v>0.535</v>
      </c>
      <c r="L7" s="0" t="n">
        <v>1772</v>
      </c>
      <c r="M7" s="0" t="n">
        <v>464</v>
      </c>
      <c r="O7" s="0" t="n">
        <v>39378</v>
      </c>
      <c r="P7" s="0" t="n">
        <v>707985</v>
      </c>
      <c r="Q7" s="0" t="n">
        <v>668607</v>
      </c>
      <c r="S7" s="0" t="n">
        <v>104845</v>
      </c>
      <c r="T7" s="0" t="n">
        <v>8043</v>
      </c>
      <c r="AA7" s="0" t="s">
        <v>18</v>
      </c>
      <c r="AB7" s="0" t="s">
        <v>14</v>
      </c>
      <c r="AD7" s="0" t="n">
        <v>359</v>
      </c>
      <c r="AE7" s="0" t="n">
        <v>433490</v>
      </c>
      <c r="AG7" s="0" t="n">
        <v>11275</v>
      </c>
      <c r="AH7" s="0" t="n">
        <v>400326</v>
      </c>
      <c r="AI7" s="0" t="n">
        <v>3.29</v>
      </c>
      <c r="AJ7" s="0" t="n">
        <v>3428</v>
      </c>
      <c r="AK7" s="0" t="n">
        <v>8149</v>
      </c>
      <c r="AL7" s="0" t="n">
        <v>17.5</v>
      </c>
    </row>
    <row r="8" customFormat="false" ht="15" hidden="false" customHeight="false" outlineLevel="0" collapsed="false">
      <c r="A8" s="0" t="s">
        <v>80</v>
      </c>
      <c r="B8" s="0" t="n">
        <v>16641</v>
      </c>
      <c r="F8" s="0" t="n">
        <v>7708</v>
      </c>
      <c r="G8" s="0" t="n">
        <v>46.3</v>
      </c>
      <c r="I8" s="0" t="n">
        <v>5479</v>
      </c>
      <c r="J8" s="0" t="n">
        <v>32.9</v>
      </c>
      <c r="K8" s="0" t="n">
        <v>0.68</v>
      </c>
      <c r="L8" s="0" t="n">
        <v>7072</v>
      </c>
      <c r="M8" s="0" t="n">
        <v>665</v>
      </c>
      <c r="O8" s="0" t="n">
        <v>42613</v>
      </c>
      <c r="P8" s="0" t="n">
        <v>714553</v>
      </c>
      <c r="Q8" s="0" t="n">
        <v>671940</v>
      </c>
      <c r="S8" s="0" t="n">
        <v>95433</v>
      </c>
      <c r="T8" s="0" t="n">
        <v>7995</v>
      </c>
      <c r="AA8" s="0" t="s">
        <v>18</v>
      </c>
      <c r="AB8" s="0" t="s">
        <v>14</v>
      </c>
      <c r="AD8" s="0" t="n">
        <v>671</v>
      </c>
      <c r="AE8" s="0" t="n">
        <v>442998</v>
      </c>
      <c r="AG8" s="0" t="n">
        <v>12829</v>
      </c>
      <c r="AH8" s="0" t="n">
        <v>418881</v>
      </c>
      <c r="AI8" s="0" t="n">
        <v>3.84</v>
      </c>
      <c r="AJ8" s="0" t="n">
        <v>3812</v>
      </c>
      <c r="AK8" s="0" t="n">
        <v>8262</v>
      </c>
      <c r="AL8" s="0" t="n">
        <v>19.2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s>
  <sheetData>
    <row r="1" customFormat="false" ht="15" hidden="false" customHeight="false" outlineLevel="0" collapsed="false">
      <c r="A1" s="2" t="s">
        <v>81</v>
      </c>
      <c r="B1" s="2" t="s">
        <v>82</v>
      </c>
    </row>
    <row r="2" customFormat="false" ht="15" hidden="false" customHeight="false" outlineLevel="0" collapsed="false">
      <c r="A2" s="0" t="s">
        <v>83</v>
      </c>
      <c r="B2" s="3" t="n">
        <v>642.6</v>
      </c>
    </row>
    <row r="3" customFormat="false" ht="15" hidden="false" customHeight="false" outlineLevel="0" collapsed="false">
      <c r="A3" s="0" t="s">
        <v>84</v>
      </c>
      <c r="B3" s="3" t="n">
        <v>8043</v>
      </c>
    </row>
    <row r="4" customFormat="false" ht="15" hidden="false" customHeight="false" outlineLevel="0" collapsed="false">
      <c r="A4" s="0" t="s">
        <v>85</v>
      </c>
      <c r="B4" s="3" t="n">
        <v>0</v>
      </c>
    </row>
    <row r="5" customFormat="false" ht="15" hidden="false" customHeight="false" outlineLevel="0" collapsed="false">
      <c r="A5" s="0" t="s">
        <v>86</v>
      </c>
      <c r="B5" s="3" t="n">
        <v>-459</v>
      </c>
    </row>
    <row r="6" customFormat="false" ht="15" hidden="false" customHeight="false" outlineLevel="0" collapsed="false">
      <c r="A6" s="0" t="s">
        <v>87</v>
      </c>
      <c r="B6" s="3" t="n">
        <v>15</v>
      </c>
    </row>
    <row r="7" customFormat="false" ht="15" hidden="false" customHeight="false" outlineLevel="0" collapsed="false">
      <c r="A7" s="0" t="s">
        <v>88</v>
      </c>
      <c r="B7" s="3" t="n">
        <v>17518</v>
      </c>
    </row>
    <row r="8" customFormat="false" ht="15" hidden="false" customHeight="false" outlineLevel="0" collapsed="false">
      <c r="A8" s="0" t="s">
        <v>89</v>
      </c>
      <c r="B8" s="3" t="s">
        <v>90</v>
      </c>
    </row>
    <row r="9" customFormat="false" ht="15" hidden="false" customHeight="false" outlineLevel="0" collapsed="false">
      <c r="A9" s="0" t="s">
        <v>91</v>
      </c>
      <c r="B9" s="3" t="s">
        <v>92</v>
      </c>
    </row>
    <row r="10" customFormat="false" ht="15" hidden="false" customHeight="false" outlineLevel="0" collapsed="false">
      <c r="A10" s="0" t="s">
        <v>93</v>
      </c>
      <c r="B10" s="3" t="n">
        <v>100</v>
      </c>
    </row>
    <row r="12" customFormat="false" ht="15" hidden="false" customHeight="false" outlineLevel="0" collapsed="false">
      <c r="A12" s="2" t="s">
        <v>94</v>
      </c>
      <c r="C12" s="2" t="s">
        <v>95</v>
      </c>
      <c r="D12" s="2" t="s">
        <v>96</v>
      </c>
      <c r="E12" s="2" t="s">
        <v>97</v>
      </c>
      <c r="F12" s="2" t="s">
        <v>98</v>
      </c>
      <c r="G12" s="2" t="s">
        <v>99</v>
      </c>
      <c r="H12" s="2" t="s">
        <v>100</v>
      </c>
      <c r="I12" s="2" t="s">
        <v>101</v>
      </c>
      <c r="J12" s="2" t="s">
        <v>102</v>
      </c>
      <c r="K12" s="2" t="s">
        <v>103</v>
      </c>
      <c r="L12" s="2" t="s">
        <v>104</v>
      </c>
    </row>
    <row r="13" customFormat="false" ht="15" hidden="false" customHeight="false" outlineLevel="0" collapsed="false">
      <c r="A13" s="0" t="s">
        <v>105</v>
      </c>
      <c r="C13" s="3" t="n">
        <v>3</v>
      </c>
      <c r="D13" s="3" t="n">
        <v>-4</v>
      </c>
      <c r="E13" s="3" t="n">
        <v>0</v>
      </c>
      <c r="F13" s="3" t="n">
        <v>3</v>
      </c>
      <c r="G13" s="3" t="n">
        <v>3</v>
      </c>
      <c r="H13" s="3" t="n">
        <v>3</v>
      </c>
      <c r="I13" s="3" t="n">
        <v>2.5</v>
      </c>
      <c r="J13" s="3" t="n">
        <v>2.5</v>
      </c>
      <c r="K13" s="3" t="n">
        <v>2</v>
      </c>
      <c r="L13" s="3" t="n">
        <v>2</v>
      </c>
    </row>
    <row r="14" customFormat="false" ht="15" hidden="false" customHeight="false" outlineLevel="0" collapsed="false">
      <c r="A14" s="0" t="s">
        <v>106</v>
      </c>
      <c r="C14" s="3" t="n">
        <v>44.7</v>
      </c>
      <c r="D14" s="3" t="n">
        <v>33.7</v>
      </c>
      <c r="E14" s="3" t="n">
        <v>35.7</v>
      </c>
      <c r="F14" s="3" t="n">
        <v>37.7</v>
      </c>
      <c r="G14" s="3" t="n">
        <v>37.7</v>
      </c>
      <c r="H14" s="3" t="n">
        <v>37.2</v>
      </c>
      <c r="I14" s="3" t="n">
        <v>36.7</v>
      </c>
      <c r="J14" s="3" t="n">
        <v>36.2</v>
      </c>
      <c r="K14" s="3" t="n">
        <v>35.7</v>
      </c>
      <c r="L14" s="3" t="n">
        <v>35.7</v>
      </c>
    </row>
    <row r="15" customFormat="false" ht="15" hidden="false" customHeight="false" outlineLevel="0" collapsed="false">
      <c r="A15" s="0" t="s">
        <v>107</v>
      </c>
      <c r="C15" s="3" t="n">
        <v>1.4</v>
      </c>
      <c r="D15" s="3" t="n">
        <v>1.4</v>
      </c>
      <c r="E15" s="3" t="n">
        <v>1.4</v>
      </c>
      <c r="F15" s="3" t="n">
        <v>1.4</v>
      </c>
      <c r="G15" s="3" t="n">
        <v>1.4</v>
      </c>
      <c r="H15" s="3" t="n">
        <v>1.4</v>
      </c>
      <c r="I15" s="3" t="n">
        <v>1.4</v>
      </c>
      <c r="J15" s="3" t="n">
        <v>1.4</v>
      </c>
      <c r="K15" s="3" t="n">
        <v>1.4</v>
      </c>
      <c r="L15" s="3" t="n">
        <v>1.4</v>
      </c>
    </row>
    <row r="16" customFormat="false" ht="15" hidden="false" customHeight="false" outlineLevel="0" collapsed="false">
      <c r="A16" s="0" t="s">
        <v>108</v>
      </c>
      <c r="C16" s="3" t="n">
        <v>0</v>
      </c>
      <c r="D16" s="3" t="n">
        <v>0</v>
      </c>
      <c r="E16" s="3" t="n">
        <v>0</v>
      </c>
      <c r="F16" s="3" t="n">
        <v>0</v>
      </c>
      <c r="G16" s="3" t="n">
        <v>0</v>
      </c>
      <c r="H16" s="3" t="n">
        <v>0</v>
      </c>
      <c r="I16" s="3" t="n">
        <v>0</v>
      </c>
      <c r="J16" s="3" t="n">
        <v>0</v>
      </c>
      <c r="K16" s="3" t="n">
        <v>0</v>
      </c>
      <c r="L16" s="3" t="n">
        <v>0</v>
      </c>
    </row>
    <row r="17" customFormat="false" ht="15" hidden="false" customHeight="false" outlineLevel="0" collapsed="false">
      <c r="A17" s="0" t="s">
        <v>109</v>
      </c>
      <c r="C17" s="3" t="n">
        <v>0</v>
      </c>
      <c r="D17" s="3" t="n">
        <v>0</v>
      </c>
      <c r="E17" s="3" t="n">
        <v>0</v>
      </c>
      <c r="F17" s="3" t="n">
        <v>0</v>
      </c>
      <c r="G17" s="3" t="n">
        <v>0</v>
      </c>
      <c r="H17" s="3" t="n">
        <v>0</v>
      </c>
      <c r="I17" s="3" t="n">
        <v>0</v>
      </c>
      <c r="J17" s="3" t="n">
        <v>0</v>
      </c>
      <c r="K17" s="3" t="n">
        <v>0</v>
      </c>
      <c r="L17" s="3" t="n">
        <v>0</v>
      </c>
    </row>
    <row r="18" customFormat="false" ht="15" hidden="false" customHeight="false" outlineLevel="0" collapsed="false">
      <c r="A18" s="0" t="s">
        <v>110</v>
      </c>
      <c r="C18" s="3" t="n">
        <v>4.31</v>
      </c>
      <c r="D18" s="3" t="n">
        <v>0</v>
      </c>
      <c r="E18" s="3" t="n">
        <v>0</v>
      </c>
      <c r="F18" s="3" t="n">
        <v>4.31</v>
      </c>
      <c r="G18" s="3" t="n">
        <v>4.31</v>
      </c>
      <c r="H18" s="3" t="n">
        <v>4.31</v>
      </c>
      <c r="I18" s="3" t="n">
        <v>3.61</v>
      </c>
      <c r="J18" s="3" t="n">
        <v>3.61</v>
      </c>
      <c r="K18" s="3" t="n">
        <v>2.9</v>
      </c>
      <c r="L18" s="3" t="n">
        <v>2.9</v>
      </c>
    </row>
    <row r="19" customFormat="false" ht="15" hidden="false" customHeight="false" outlineLevel="0" collapsed="false">
      <c r="A19" s="0" t="s">
        <v>111</v>
      </c>
      <c r="C19" s="3" t="n">
        <v>27</v>
      </c>
      <c r="D19" s="3" t="n">
        <v>27</v>
      </c>
      <c r="E19" s="3" t="n">
        <v>27</v>
      </c>
      <c r="F19" s="3" t="n">
        <v>27</v>
      </c>
      <c r="G19" s="3" t="n">
        <v>27</v>
      </c>
      <c r="H19" s="3" t="n">
        <v>27</v>
      </c>
      <c r="I19" s="3" t="n">
        <v>27</v>
      </c>
      <c r="J19" s="3" t="n">
        <v>27</v>
      </c>
      <c r="K19" s="3" t="n">
        <v>27</v>
      </c>
      <c r="L19" s="3" t="n">
        <v>27</v>
      </c>
    </row>
    <row r="20" customFormat="false" ht="15" hidden="false" customHeight="false" outlineLevel="0" collapsed="false">
      <c r="A20" s="0" t="s">
        <v>112</v>
      </c>
      <c r="B20" s="3" t="n">
        <v>10.5</v>
      </c>
    </row>
    <row r="21" customFormat="false" ht="15" hidden="false" customHeight="false" outlineLevel="0" collapsed="false">
      <c r="A21" s="0" t="s">
        <v>113</v>
      </c>
      <c r="B21" s="3" t="n">
        <v>2</v>
      </c>
    </row>
    <row r="22" customFormat="false" ht="15" hidden="false" customHeight="false" outlineLevel="0" collapsed="false">
      <c r="A22" s="0" t="s">
        <v>114</v>
      </c>
      <c r="B22" s="3" t="n">
        <v>10</v>
      </c>
    </row>
    <row r="23" customFormat="false" ht="15" hidden="false" customHeight="false" outlineLevel="0" collapsed="false">
      <c r="A23" s="0" t="s">
        <v>115</v>
      </c>
      <c r="B23" s="3" t="n">
        <v>0</v>
      </c>
    </row>
    <row r="24" customFormat="false" ht="15" hidden="false" customHeight="false" outlineLevel="0" collapsed="false">
      <c r="A24" s="0" t="s">
        <v>116</v>
      </c>
      <c r="B24" s="3" t="n">
        <v>0.2</v>
      </c>
    </row>
    <row r="26" customFormat="false" ht="15" hidden="false" customHeight="false" outlineLevel="0" collapsed="false">
      <c r="A26" s="2" t="s">
        <v>117</v>
      </c>
      <c r="C26" s="2" t="s">
        <v>95</v>
      </c>
      <c r="D26" s="2" t="s">
        <v>96</v>
      </c>
      <c r="E26" s="2" t="s">
        <v>97</v>
      </c>
      <c r="F26" s="2" t="s">
        <v>98</v>
      </c>
      <c r="G26" s="2" t="s">
        <v>99</v>
      </c>
      <c r="H26" s="2" t="s">
        <v>100</v>
      </c>
      <c r="I26" s="2" t="s">
        <v>101</v>
      </c>
      <c r="J26" s="2" t="s">
        <v>102</v>
      </c>
      <c r="K26" s="2" t="s">
        <v>103</v>
      </c>
      <c r="L26" s="2" t="s">
        <v>104</v>
      </c>
    </row>
    <row r="27" customFormat="false" ht="15" hidden="false" customHeight="false" outlineLevel="0" collapsed="false">
      <c r="A27" s="0" t="s">
        <v>105</v>
      </c>
      <c r="C27" s="3" t="n">
        <v>7.5</v>
      </c>
      <c r="D27" s="3" t="n">
        <v>4.5</v>
      </c>
      <c r="E27" s="3" t="n">
        <v>4</v>
      </c>
      <c r="F27" s="3" t="n">
        <v>3.5</v>
      </c>
      <c r="G27" s="3" t="n">
        <v>3</v>
      </c>
      <c r="H27" s="3" t="n">
        <v>3</v>
      </c>
      <c r="I27" s="3" t="n">
        <v>2.5</v>
      </c>
      <c r="J27" s="3" t="n">
        <v>2.5</v>
      </c>
      <c r="K27" s="3" t="n">
        <v>2.5</v>
      </c>
      <c r="L27" s="3" t="n">
        <v>2.5</v>
      </c>
    </row>
    <row r="28" customFormat="false" ht="15" hidden="false" customHeight="false" outlineLevel="0" collapsed="false">
      <c r="A28" s="0" t="s">
        <v>106</v>
      </c>
      <c r="C28" s="3" t="n">
        <v>48.2</v>
      </c>
      <c r="D28" s="3" t="n">
        <v>47.7</v>
      </c>
      <c r="E28" s="3" t="n">
        <v>46.2</v>
      </c>
      <c r="F28" s="3" t="n">
        <v>44.7</v>
      </c>
      <c r="G28" s="3" t="n">
        <v>43.2</v>
      </c>
      <c r="H28" s="3" t="n">
        <v>41.7</v>
      </c>
      <c r="I28" s="3" t="n">
        <v>40.2</v>
      </c>
      <c r="J28" s="3" t="n">
        <v>38.7</v>
      </c>
      <c r="K28" s="3" t="n">
        <v>37.7</v>
      </c>
      <c r="L28" s="3" t="n">
        <v>37.7</v>
      </c>
    </row>
    <row r="29" customFormat="false" ht="15" hidden="false" customHeight="false" outlineLevel="0" collapsed="false">
      <c r="A29" s="0" t="s">
        <v>107</v>
      </c>
      <c r="C29" s="3" t="n">
        <v>1.4</v>
      </c>
      <c r="D29" s="3" t="n">
        <v>1.4</v>
      </c>
      <c r="E29" s="3" t="n">
        <v>1.4</v>
      </c>
      <c r="F29" s="3" t="n">
        <v>1.4</v>
      </c>
      <c r="G29" s="3" t="n">
        <v>1.4</v>
      </c>
      <c r="H29" s="3" t="n">
        <v>1.4</v>
      </c>
      <c r="I29" s="3" t="n">
        <v>1.4</v>
      </c>
      <c r="J29" s="3" t="n">
        <v>1.4</v>
      </c>
      <c r="K29" s="3" t="n">
        <v>1.4</v>
      </c>
      <c r="L29" s="3" t="n">
        <v>1.4</v>
      </c>
    </row>
    <row r="30" customFormat="false" ht="15" hidden="false" customHeight="false" outlineLevel="0" collapsed="false">
      <c r="A30" s="0" t="s">
        <v>108</v>
      </c>
      <c r="C30" s="3" t="n">
        <v>0</v>
      </c>
      <c r="D30" s="3" t="n">
        <v>0</v>
      </c>
      <c r="E30" s="3" t="n">
        <v>0</v>
      </c>
      <c r="F30" s="3" t="n">
        <v>0</v>
      </c>
      <c r="G30" s="3" t="n">
        <v>0</v>
      </c>
      <c r="H30" s="3" t="n">
        <v>0</v>
      </c>
      <c r="I30" s="3" t="n">
        <v>0</v>
      </c>
      <c r="J30" s="3" t="n">
        <v>0</v>
      </c>
      <c r="K30" s="3" t="n">
        <v>0</v>
      </c>
      <c r="L30" s="3" t="n">
        <v>0</v>
      </c>
    </row>
    <row r="31" customFormat="false" ht="15" hidden="false" customHeight="false" outlineLevel="0" collapsed="false">
      <c r="A31" s="0" t="s">
        <v>109</v>
      </c>
      <c r="C31" s="3" t="n">
        <v>0</v>
      </c>
      <c r="D31" s="3" t="n">
        <v>0</v>
      </c>
      <c r="E31" s="3" t="n">
        <v>0</v>
      </c>
      <c r="F31" s="3" t="n">
        <v>0</v>
      </c>
      <c r="G31" s="3" t="n">
        <v>0</v>
      </c>
      <c r="H31" s="3" t="n">
        <v>0</v>
      </c>
      <c r="I31" s="3" t="n">
        <v>0</v>
      </c>
      <c r="J31" s="3" t="n">
        <v>0</v>
      </c>
      <c r="K31" s="3" t="n">
        <v>0</v>
      </c>
      <c r="L31" s="3" t="n">
        <v>0</v>
      </c>
    </row>
    <row r="32" customFormat="false" ht="15" hidden="false" customHeight="false" outlineLevel="0" collapsed="false">
      <c r="A32" s="0" t="s">
        <v>110</v>
      </c>
      <c r="C32" s="3" t="n">
        <v>10.33</v>
      </c>
      <c r="D32" s="3" t="n">
        <v>6.37</v>
      </c>
      <c r="E32" s="3" t="n">
        <v>5.69</v>
      </c>
      <c r="F32" s="3" t="n">
        <v>5.01</v>
      </c>
      <c r="G32" s="3" t="n">
        <v>4.31</v>
      </c>
      <c r="H32" s="3" t="n">
        <v>4.31</v>
      </c>
      <c r="I32" s="3" t="n">
        <v>3.61</v>
      </c>
      <c r="J32" s="3" t="n">
        <v>3.61</v>
      </c>
      <c r="K32" s="3" t="n">
        <v>3.61</v>
      </c>
      <c r="L32" s="3" t="n">
        <v>3.61</v>
      </c>
    </row>
    <row r="33" customFormat="false" ht="15" hidden="false" customHeight="false" outlineLevel="0" collapsed="false">
      <c r="A33" s="0" t="s">
        <v>111</v>
      </c>
      <c r="C33" s="3" t="n">
        <v>26</v>
      </c>
      <c r="D33" s="3" t="n">
        <v>26</v>
      </c>
      <c r="E33" s="3" t="n">
        <v>26</v>
      </c>
      <c r="F33" s="3" t="n">
        <v>26</v>
      </c>
      <c r="G33" s="3" t="n">
        <v>26</v>
      </c>
      <c r="H33" s="3" t="n">
        <v>26</v>
      </c>
      <c r="I33" s="3" t="n">
        <v>26</v>
      </c>
      <c r="J33" s="3" t="n">
        <v>26</v>
      </c>
      <c r="K33" s="3" t="n">
        <v>26</v>
      </c>
      <c r="L33" s="3" t="n">
        <v>26</v>
      </c>
    </row>
    <row r="34" customFormat="false" ht="15" hidden="false" customHeight="false" outlineLevel="0" collapsed="false">
      <c r="A34" s="0" t="s">
        <v>112</v>
      </c>
      <c r="B34" s="3" t="n">
        <v>10.5</v>
      </c>
    </row>
    <row r="35" customFormat="false" ht="15" hidden="false" customHeight="false" outlineLevel="0" collapsed="false">
      <c r="A35" s="0" t="s">
        <v>113</v>
      </c>
      <c r="B35" s="3" t="n">
        <v>2.5</v>
      </c>
    </row>
    <row r="36" customFormat="false" ht="15" hidden="false" customHeight="false" outlineLevel="0" collapsed="false">
      <c r="A36" s="0" t="s">
        <v>114</v>
      </c>
      <c r="B36" s="3" t="n">
        <v>12</v>
      </c>
    </row>
    <row r="37" customFormat="false" ht="15" hidden="false" customHeight="false" outlineLevel="0" collapsed="false">
      <c r="A37" s="0" t="s">
        <v>115</v>
      </c>
      <c r="B37" s="3" t="n">
        <v>0</v>
      </c>
    </row>
    <row r="38" customFormat="false" ht="15" hidden="false" customHeight="false" outlineLevel="0" collapsed="false">
      <c r="A38" s="0" t="s">
        <v>116</v>
      </c>
      <c r="B38" s="3" t="n">
        <v>0.5</v>
      </c>
    </row>
    <row r="40" customFormat="false" ht="15" hidden="false" customHeight="false" outlineLevel="0" collapsed="false">
      <c r="A40" s="2" t="s">
        <v>118</v>
      </c>
      <c r="C40" s="2" t="s">
        <v>95</v>
      </c>
      <c r="D40" s="2" t="s">
        <v>96</v>
      </c>
      <c r="E40" s="2" t="s">
        <v>97</v>
      </c>
      <c r="F40" s="2" t="s">
        <v>98</v>
      </c>
      <c r="G40" s="2" t="s">
        <v>99</v>
      </c>
      <c r="H40" s="2" t="s">
        <v>100</v>
      </c>
      <c r="I40" s="2" t="s">
        <v>101</v>
      </c>
      <c r="J40" s="2" t="s">
        <v>102</v>
      </c>
      <c r="K40" s="2" t="s">
        <v>103</v>
      </c>
      <c r="L40" s="2" t="s">
        <v>104</v>
      </c>
    </row>
    <row r="41" customFormat="false" ht="15" hidden="false" customHeight="false" outlineLevel="0" collapsed="false">
      <c r="A41" s="0" t="s">
        <v>105</v>
      </c>
      <c r="C41" s="3" t="n">
        <v>9</v>
      </c>
      <c r="D41" s="3" t="n">
        <v>6</v>
      </c>
      <c r="E41" s="3" t="n">
        <v>5</v>
      </c>
      <c r="F41" s="3" t="n">
        <v>4.5</v>
      </c>
      <c r="G41" s="3" t="n">
        <v>4</v>
      </c>
      <c r="H41" s="3" t="n">
        <v>3.5</v>
      </c>
      <c r="I41" s="3" t="n">
        <v>3</v>
      </c>
      <c r="J41" s="3" t="n">
        <v>3</v>
      </c>
      <c r="K41" s="3" t="n">
        <v>3</v>
      </c>
      <c r="L41" s="3" t="n">
        <v>3</v>
      </c>
    </row>
    <row r="42" customFormat="false" ht="15" hidden="false" customHeight="false" outlineLevel="0" collapsed="false">
      <c r="A42" s="0" t="s">
        <v>106</v>
      </c>
      <c r="C42" s="3" t="n">
        <v>49.2</v>
      </c>
      <c r="D42" s="3" t="n">
        <v>49.7</v>
      </c>
      <c r="E42" s="3" t="n">
        <v>49.7</v>
      </c>
      <c r="F42" s="3" t="n">
        <v>49.2</v>
      </c>
      <c r="G42" s="3" t="n">
        <v>48.2</v>
      </c>
      <c r="H42" s="3" t="n">
        <v>47.2</v>
      </c>
      <c r="I42" s="3" t="n">
        <v>46.2</v>
      </c>
      <c r="J42" s="3" t="n">
        <v>45.7</v>
      </c>
      <c r="K42" s="3" t="n">
        <v>45.7</v>
      </c>
      <c r="L42" s="3" t="n">
        <v>45.7</v>
      </c>
    </row>
    <row r="43" customFormat="false" ht="15" hidden="false" customHeight="false" outlineLevel="0" collapsed="false">
      <c r="A43" s="0" t="s">
        <v>107</v>
      </c>
      <c r="C43" s="3" t="n">
        <v>1.4</v>
      </c>
      <c r="D43" s="3" t="n">
        <v>1.4</v>
      </c>
      <c r="E43" s="3" t="n">
        <v>1.4</v>
      </c>
      <c r="F43" s="3" t="n">
        <v>1.4</v>
      </c>
      <c r="G43" s="3" t="n">
        <v>1.4</v>
      </c>
      <c r="H43" s="3" t="n">
        <v>1.4</v>
      </c>
      <c r="I43" s="3" t="n">
        <v>1.4</v>
      </c>
      <c r="J43" s="3" t="n">
        <v>1.4</v>
      </c>
      <c r="K43" s="3" t="n">
        <v>1.4</v>
      </c>
      <c r="L43" s="3" t="n">
        <v>1.4</v>
      </c>
    </row>
    <row r="44" customFormat="false" ht="15" hidden="false" customHeight="false" outlineLevel="0" collapsed="false">
      <c r="A44" s="0" t="s">
        <v>108</v>
      </c>
      <c r="C44" s="3" t="n">
        <v>0</v>
      </c>
      <c r="D44" s="3" t="n">
        <v>0</v>
      </c>
      <c r="E44" s="3" t="n">
        <v>0</v>
      </c>
      <c r="F44" s="3" t="n">
        <v>0</v>
      </c>
      <c r="G44" s="3" t="n">
        <v>0</v>
      </c>
      <c r="H44" s="3" t="n">
        <v>0</v>
      </c>
      <c r="I44" s="3" t="n">
        <v>0</v>
      </c>
      <c r="J44" s="3" t="n">
        <v>0</v>
      </c>
      <c r="K44" s="3" t="n">
        <v>0</v>
      </c>
      <c r="L44" s="3" t="n">
        <v>0</v>
      </c>
    </row>
    <row r="45" customFormat="false" ht="15" hidden="false" customHeight="false" outlineLevel="0" collapsed="false">
      <c r="A45" s="0" t="s">
        <v>109</v>
      </c>
      <c r="C45" s="3" t="n">
        <v>0</v>
      </c>
      <c r="D45" s="3" t="n">
        <v>0</v>
      </c>
      <c r="E45" s="3" t="n">
        <v>0</v>
      </c>
      <c r="F45" s="3" t="n">
        <v>0</v>
      </c>
      <c r="G45" s="3" t="n">
        <v>0</v>
      </c>
      <c r="H45" s="3" t="n">
        <v>0</v>
      </c>
      <c r="I45" s="3" t="n">
        <v>0</v>
      </c>
      <c r="J45" s="3" t="n">
        <v>0</v>
      </c>
      <c r="K45" s="3" t="n">
        <v>0</v>
      </c>
      <c r="L45" s="3" t="n">
        <v>0</v>
      </c>
    </row>
    <row r="46" customFormat="false" ht="15" hidden="false" customHeight="false" outlineLevel="0" collapsed="false">
      <c r="A46" s="0" t="s">
        <v>110</v>
      </c>
      <c r="C46" s="3" t="n">
        <v>12.22</v>
      </c>
      <c r="D46" s="3" t="n">
        <v>8.38</v>
      </c>
      <c r="E46" s="3" t="n">
        <v>7.05</v>
      </c>
      <c r="F46" s="3" t="n">
        <v>6.37</v>
      </c>
      <c r="G46" s="3" t="n">
        <v>5.69</v>
      </c>
      <c r="H46" s="3" t="n">
        <v>5.01</v>
      </c>
      <c r="I46" s="3" t="n">
        <v>4.31</v>
      </c>
      <c r="J46" s="3" t="n">
        <v>4.31</v>
      </c>
      <c r="K46" s="3" t="n">
        <v>4.31</v>
      </c>
      <c r="L46" s="3" t="n">
        <v>4.31</v>
      </c>
    </row>
    <row r="47" customFormat="false" ht="15" hidden="false" customHeight="false" outlineLevel="0" collapsed="false">
      <c r="A47" s="0" t="s">
        <v>111</v>
      </c>
      <c r="C47" s="3" t="n">
        <v>25.5</v>
      </c>
      <c r="D47" s="3" t="n">
        <v>25.5</v>
      </c>
      <c r="E47" s="3" t="n">
        <v>25.5</v>
      </c>
      <c r="F47" s="3" t="n">
        <v>25.5</v>
      </c>
      <c r="G47" s="3" t="n">
        <v>25.5</v>
      </c>
      <c r="H47" s="3" t="n">
        <v>25.5</v>
      </c>
      <c r="I47" s="3" t="n">
        <v>25.5</v>
      </c>
      <c r="J47" s="3" t="n">
        <v>25.5</v>
      </c>
      <c r="K47" s="3" t="n">
        <v>25.5</v>
      </c>
      <c r="L47" s="3" t="n">
        <v>25.5</v>
      </c>
    </row>
    <row r="48" customFormat="false" ht="15" hidden="false" customHeight="false" outlineLevel="0" collapsed="false">
      <c r="A48" s="0" t="s">
        <v>112</v>
      </c>
      <c r="B48" s="3" t="n">
        <v>10.5</v>
      </c>
    </row>
    <row r="49" customFormat="false" ht="15" hidden="false" customHeight="false" outlineLevel="0" collapsed="false">
      <c r="A49" s="0" t="s">
        <v>113</v>
      </c>
      <c r="B49" s="3" t="n">
        <v>3</v>
      </c>
    </row>
    <row r="50" customFormat="false" ht="15" hidden="false" customHeight="false" outlineLevel="0" collapsed="false">
      <c r="A50" s="0" t="s">
        <v>114</v>
      </c>
      <c r="B50" s="3" t="n">
        <v>13</v>
      </c>
    </row>
    <row r="51" customFormat="false" ht="15" hidden="false" customHeight="false" outlineLevel="0" collapsed="false">
      <c r="A51" s="0" t="s">
        <v>115</v>
      </c>
      <c r="B51" s="3" t="n">
        <v>0</v>
      </c>
    </row>
    <row r="52" customFormat="false" ht="15" hidden="false" customHeight="false" outlineLevel="0" collapsed="false">
      <c r="A52" s="0" t="s">
        <v>116</v>
      </c>
      <c r="B52" s="3" t="n">
        <v>0.3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119</v>
      </c>
    </row>
    <row r="3" customFormat="false" ht="15" hidden="false" customHeight="false" outlineLevel="0" collapsed="false">
      <c r="A3" s="0" t="s">
        <v>120</v>
      </c>
      <c r="B3" s="0" t="s">
        <v>90</v>
      </c>
      <c r="C3" s="2" t="s">
        <v>95</v>
      </c>
      <c r="D3" s="2" t="s">
        <v>96</v>
      </c>
      <c r="E3" s="2" t="s">
        <v>97</v>
      </c>
      <c r="F3" s="2" t="s">
        <v>98</v>
      </c>
      <c r="G3" s="2" t="s">
        <v>99</v>
      </c>
      <c r="H3" s="2" t="s">
        <v>100</v>
      </c>
      <c r="I3" s="2" t="s">
        <v>101</v>
      </c>
      <c r="J3" s="2" t="s">
        <v>102</v>
      </c>
      <c r="K3" s="2" t="s">
        <v>103</v>
      </c>
      <c r="L3" s="2" t="s">
        <v>104</v>
      </c>
    </row>
    <row r="4" customFormat="false" ht="15" hidden="false" customHeight="false" outlineLevel="0" collapsed="false">
      <c r="A4" s="0" t="s">
        <v>121</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105</v>
      </c>
      <c r="C5" s="4" t="n">
        <f aca="false">Assumptions!C13</f>
        <v>3</v>
      </c>
      <c r="D5" s="4" t="n">
        <f aca="false">Assumptions!D13</f>
        <v>-4</v>
      </c>
      <c r="E5" s="4" t="n">
        <f aca="false">Assumptions!E13</f>
        <v>0</v>
      </c>
      <c r="F5" s="4" t="n">
        <f aca="false">Assumptions!F13</f>
        <v>3</v>
      </c>
      <c r="G5" s="4" t="n">
        <f aca="false">Assumptions!G13</f>
        <v>3</v>
      </c>
      <c r="H5" s="4" t="n">
        <f aca="false">Assumptions!H13</f>
        <v>3</v>
      </c>
      <c r="I5" s="4" t="n">
        <f aca="false">Assumptions!I13</f>
        <v>2.5</v>
      </c>
      <c r="J5" s="4" t="n">
        <f aca="false">Assumptions!J13</f>
        <v>2.5</v>
      </c>
      <c r="K5" s="4" t="n">
        <f aca="false">Assumptions!K13</f>
        <v>2</v>
      </c>
      <c r="L5" s="4" t="n">
        <f aca="false">Assumptions!L13</f>
        <v>2</v>
      </c>
    </row>
    <row r="6" customFormat="false" ht="15" hidden="false" customHeight="false" outlineLevel="0" collapsed="false">
      <c r="A6" s="0" t="s">
        <v>38</v>
      </c>
      <c r="B6" s="3" t="n">
        <v>17518</v>
      </c>
      <c r="C6" s="0" t="n">
        <f aca="false">B6*(1+C5/100)</f>
        <v>18043.54</v>
      </c>
      <c r="D6" s="0" t="n">
        <f aca="false">C6*(1+D5/100)</f>
        <v>17321.7984</v>
      </c>
      <c r="E6" s="0" t="n">
        <f aca="false">D6*(1+E5/100)</f>
        <v>17321.7984</v>
      </c>
      <c r="F6" s="0" t="n">
        <f aca="false">E6*(1+F5/100)</f>
        <v>17841.452352</v>
      </c>
      <c r="G6" s="0" t="n">
        <f aca="false">F6*(1+G5/100)</f>
        <v>18376.69592256</v>
      </c>
      <c r="H6" s="0" t="n">
        <f aca="false">G6*(1+H5/100)</f>
        <v>18927.9968002368</v>
      </c>
      <c r="I6" s="0" t="n">
        <f aca="false">H6*(1+I5/100)</f>
        <v>19401.1967202427</v>
      </c>
      <c r="J6" s="0" t="n">
        <f aca="false">I6*(1+J5/100)</f>
        <v>19886.2266382488</v>
      </c>
      <c r="K6" s="0" t="n">
        <f aca="false">J6*(1+K5/100)</f>
        <v>20283.9511710138</v>
      </c>
      <c r="L6" s="0" t="n">
        <f aca="false">K6*(1+L5/100)</f>
        <v>20689.630194434</v>
      </c>
    </row>
    <row r="7" customFormat="false" ht="15" hidden="false" customHeight="false" outlineLevel="0" collapsed="false">
      <c r="A7" s="0" t="s">
        <v>106</v>
      </c>
      <c r="C7" s="4" t="n">
        <f aca="false">Assumptions!C14</f>
        <v>44.7</v>
      </c>
      <c r="D7" s="4" t="n">
        <f aca="false">Assumptions!D14</f>
        <v>33.7</v>
      </c>
      <c r="E7" s="4" t="n">
        <f aca="false">Assumptions!E14</f>
        <v>35.7</v>
      </c>
      <c r="F7" s="4" t="n">
        <f aca="false">Assumptions!F14</f>
        <v>37.7</v>
      </c>
      <c r="G7" s="4" t="n">
        <f aca="false">Assumptions!G14</f>
        <v>37.7</v>
      </c>
      <c r="H7" s="4" t="n">
        <f aca="false">Assumptions!H14</f>
        <v>37.2</v>
      </c>
      <c r="I7" s="4" t="n">
        <f aca="false">Assumptions!I14</f>
        <v>36.7</v>
      </c>
      <c r="J7" s="4" t="n">
        <f aca="false">Assumptions!J14</f>
        <v>36.2</v>
      </c>
      <c r="K7" s="4" t="n">
        <f aca="false">Assumptions!K14</f>
        <v>35.7</v>
      </c>
      <c r="L7" s="4" t="n">
        <f aca="false">Assumptions!L14</f>
        <v>35.7</v>
      </c>
    </row>
    <row r="8" customFormat="false" ht="15" hidden="false" customHeight="false" outlineLevel="0" collapsed="false">
      <c r="A8" s="0" t="s">
        <v>44</v>
      </c>
      <c r="C8" s="0" t="n">
        <f aca="false">C6*C7/100</f>
        <v>8065.46238</v>
      </c>
      <c r="D8" s="0" t="n">
        <f aca="false">D6*D7/100</f>
        <v>5837.4460608</v>
      </c>
      <c r="E8" s="0" t="n">
        <f aca="false">E6*E7/100</f>
        <v>6183.8820288</v>
      </c>
      <c r="F8" s="0" t="n">
        <f aca="false">F6*F7/100</f>
        <v>6726.227536704</v>
      </c>
      <c r="G8" s="0" t="n">
        <f aca="false">G6*G7/100</f>
        <v>6928.01436280512</v>
      </c>
      <c r="H8" s="0" t="n">
        <f aca="false">H6*H7/100</f>
        <v>7041.21480968809</v>
      </c>
      <c r="I8" s="0" t="n">
        <f aca="false">I6*I7/100</f>
        <v>7120.23919632908</v>
      </c>
      <c r="J8" s="0" t="n">
        <f aca="false">J6*J7/100</f>
        <v>7198.81404304606</v>
      </c>
      <c r="K8" s="0" t="n">
        <f aca="false">K6*K7/100</f>
        <v>7241.37056805191</v>
      </c>
      <c r="L8" s="0" t="n">
        <f aca="false">L6*L7/100</f>
        <v>7386.19797941295</v>
      </c>
    </row>
    <row r="9" customFormat="false" ht="15" hidden="false" customHeight="false" outlineLevel="0" collapsed="false">
      <c r="A9" s="0" t="s">
        <v>107</v>
      </c>
      <c r="C9" s="4" t="n">
        <f aca="false">Assumptions!C15</f>
        <v>1.4</v>
      </c>
      <c r="D9" s="4" t="n">
        <f aca="false">Assumptions!D15</f>
        <v>1.4</v>
      </c>
      <c r="E9" s="4" t="n">
        <f aca="false">Assumptions!E15</f>
        <v>1.4</v>
      </c>
      <c r="F9" s="4" t="n">
        <f aca="false">Assumptions!F15</f>
        <v>1.4</v>
      </c>
      <c r="G9" s="4" t="n">
        <f aca="false">Assumptions!G15</f>
        <v>1.4</v>
      </c>
      <c r="H9" s="4" t="n">
        <f aca="false">Assumptions!H15</f>
        <v>1.4</v>
      </c>
      <c r="I9" s="4" t="n">
        <f aca="false">Assumptions!I15</f>
        <v>1.4</v>
      </c>
      <c r="J9" s="4" t="n">
        <f aca="false">Assumptions!J15</f>
        <v>1.4</v>
      </c>
      <c r="K9" s="4" t="n">
        <f aca="false">Assumptions!K15</f>
        <v>1.4</v>
      </c>
      <c r="L9" s="4" t="n">
        <f aca="false">Assumptions!L15</f>
        <v>1.4</v>
      </c>
    </row>
    <row r="10" customFormat="false" ht="15" hidden="false" customHeight="false" outlineLevel="0" collapsed="false">
      <c r="A10" s="0" t="s">
        <v>122</v>
      </c>
      <c r="C10" s="0" t="n">
        <f aca="false">-C6*C9/100</f>
        <v>-252.60956</v>
      </c>
      <c r="D10" s="0" t="n">
        <f aca="false">-D6*D9/100</f>
        <v>-242.5051776</v>
      </c>
      <c r="E10" s="0" t="n">
        <f aca="false">-E6*E9/100</f>
        <v>-242.5051776</v>
      </c>
      <c r="F10" s="0" t="n">
        <f aca="false">-F6*F9/100</f>
        <v>-249.780332928</v>
      </c>
      <c r="G10" s="0" t="n">
        <f aca="false">-G6*G9/100</f>
        <v>-257.27374291584</v>
      </c>
      <c r="H10" s="0" t="n">
        <f aca="false">-H6*H9/100</f>
        <v>-264.991955203315</v>
      </c>
      <c r="I10" s="0" t="n">
        <f aca="false">-I6*I9/100</f>
        <v>-271.616754083398</v>
      </c>
      <c r="J10" s="0" t="n">
        <f aca="false">-J6*J9/100</f>
        <v>-278.407172935483</v>
      </c>
      <c r="K10" s="0" t="n">
        <f aca="false">-K6*K9/100</f>
        <v>-283.975316394193</v>
      </c>
      <c r="L10" s="0" t="n">
        <f aca="false">-L6*L9/100</f>
        <v>-289.654822722076</v>
      </c>
    </row>
    <row r="11" customFormat="false" ht="15" hidden="false" customHeight="false" outlineLevel="0" collapsed="false">
      <c r="A11" s="0" t="s">
        <v>123</v>
      </c>
      <c r="C11" s="0" t="n">
        <f aca="false">C8+C10+C24</f>
        <v>7812.85282</v>
      </c>
      <c r="D11" s="0" t="n">
        <f aca="false">D8+D10+D24</f>
        <v>5594.9408832</v>
      </c>
      <c r="E11" s="0" t="n">
        <f aca="false">E8+E10+E24</f>
        <v>5941.3768512</v>
      </c>
      <c r="F11" s="0" t="n">
        <f aca="false">F8+F10+F24</f>
        <v>6476.447203776</v>
      </c>
      <c r="G11" s="0" t="n">
        <f aca="false">G8+G10+G24</f>
        <v>6670.74061988928</v>
      </c>
      <c r="H11" s="0" t="n">
        <f aca="false">H8+H10+H24</f>
        <v>6776.22285448478</v>
      </c>
      <c r="I11" s="0" t="n">
        <f aca="false">I8+I10+I24</f>
        <v>6848.62244224568</v>
      </c>
      <c r="J11" s="0" t="n">
        <f aca="false">J8+J10+J24</f>
        <v>6920.40687011058</v>
      </c>
      <c r="K11" s="0" t="n">
        <f aca="false">K8+K10+K24</f>
        <v>6957.39525165772</v>
      </c>
      <c r="L11" s="0" t="n">
        <f aca="false">L8+L10+L24</f>
        <v>7096.54315669088</v>
      </c>
    </row>
    <row r="12" customFormat="false" ht="15" hidden="false" customHeight="false" outlineLevel="0" collapsed="false">
      <c r="A12" s="0" t="s">
        <v>124</v>
      </c>
      <c r="C12" s="4" t="n">
        <f aca="false">-C6*Assumptions!C17/100</f>
        <v>-0</v>
      </c>
      <c r="D12" s="4" t="n">
        <f aca="false">-D6*Assumptions!D17/100</f>
        <v>-0</v>
      </c>
      <c r="E12" s="4" t="n">
        <f aca="false">-E6*Assumptions!E17/100</f>
        <v>-0</v>
      </c>
      <c r="F12" s="4" t="n">
        <f aca="false">-F6*Assumptions!F17/100</f>
        <v>-0</v>
      </c>
      <c r="G12" s="4" t="n">
        <f aca="false">-G6*Assumptions!G17/100</f>
        <v>-0</v>
      </c>
      <c r="H12" s="4" t="n">
        <f aca="false">-H6*Assumptions!H17/100</f>
        <v>-0</v>
      </c>
      <c r="I12" s="4" t="n">
        <f aca="false">-I6*Assumptions!I17/100</f>
        <v>-0</v>
      </c>
      <c r="J12" s="4" t="n">
        <f aca="false">-J6*Assumptions!J17/100</f>
        <v>-0</v>
      </c>
      <c r="K12" s="4" t="n">
        <f aca="false">-K6*Assumptions!K17/100</f>
        <v>-0</v>
      </c>
      <c r="L12" s="4" t="n">
        <f aca="false">-L6*Assumptions!L17/100</f>
        <v>-0</v>
      </c>
    </row>
    <row r="13" customFormat="false" ht="15" hidden="false" customHeight="false" outlineLevel="0" collapsed="false">
      <c r="A13" s="0" t="s">
        <v>125</v>
      </c>
      <c r="C13" s="0" t="n">
        <f aca="false">C11+C12</f>
        <v>7812.85282</v>
      </c>
      <c r="D13" s="0" t="n">
        <f aca="false">D11+D12</f>
        <v>5594.9408832</v>
      </c>
      <c r="E13" s="0" t="n">
        <f aca="false">E11+E12</f>
        <v>5941.3768512</v>
      </c>
      <c r="F13" s="0" t="n">
        <f aca="false">F11+F12</f>
        <v>6476.447203776</v>
      </c>
      <c r="G13" s="0" t="n">
        <f aca="false">G11+G12</f>
        <v>6670.74061988928</v>
      </c>
      <c r="H13" s="0" t="n">
        <f aca="false">H11+H12</f>
        <v>6776.22285448478</v>
      </c>
      <c r="I13" s="0" t="n">
        <f aca="false">I11+I12</f>
        <v>6848.62244224568</v>
      </c>
      <c r="J13" s="0" t="n">
        <f aca="false">J11+J12</f>
        <v>6920.40687011058</v>
      </c>
      <c r="K13" s="0" t="n">
        <f aca="false">K11+K12</f>
        <v>6957.39525165772</v>
      </c>
      <c r="L13" s="0" t="n">
        <f aca="false">L11+L12</f>
        <v>7096.54315669088</v>
      </c>
    </row>
    <row r="14" customFormat="false" ht="15" hidden="false" customHeight="false" outlineLevel="0" collapsed="false">
      <c r="A14" s="0" t="s">
        <v>111</v>
      </c>
      <c r="C14" s="4" t="n">
        <f aca="false">Assumptions!C19</f>
        <v>27</v>
      </c>
      <c r="D14" s="4" t="n">
        <f aca="false">Assumptions!D19</f>
        <v>27</v>
      </c>
      <c r="E14" s="4" t="n">
        <f aca="false">Assumptions!E19</f>
        <v>27</v>
      </c>
      <c r="F14" s="4" t="n">
        <f aca="false">Assumptions!F19</f>
        <v>27</v>
      </c>
      <c r="G14" s="4" t="n">
        <f aca="false">Assumptions!G19</f>
        <v>27</v>
      </c>
      <c r="H14" s="4" t="n">
        <f aca="false">Assumptions!H19</f>
        <v>27</v>
      </c>
      <c r="I14" s="4" t="n">
        <f aca="false">Assumptions!I19</f>
        <v>27</v>
      </c>
      <c r="J14" s="4" t="n">
        <f aca="false">Assumptions!J19</f>
        <v>27</v>
      </c>
      <c r="K14" s="4" t="n">
        <f aca="false">Assumptions!K19</f>
        <v>27</v>
      </c>
      <c r="L14" s="4" t="n">
        <f aca="false">Assumptions!L19</f>
        <v>27</v>
      </c>
    </row>
    <row r="15" customFormat="false" ht="15" hidden="false" customHeight="false" outlineLevel="0" collapsed="false">
      <c r="A15" s="0" t="s">
        <v>126</v>
      </c>
      <c r="C15" s="0" t="n">
        <f aca="false">C13-MAX(0,C13)*C14/100</f>
        <v>5703.3825586</v>
      </c>
      <c r="D15" s="0" t="n">
        <f aca="false">D13-MAX(0,D13)*D14/100</f>
        <v>4084.306844736</v>
      </c>
      <c r="E15" s="0" t="n">
        <f aca="false">E13-MAX(0,E13)*E14/100</f>
        <v>4337.205101376</v>
      </c>
      <c r="F15" s="0" t="n">
        <f aca="false">F13-MAX(0,F13)*F14/100</f>
        <v>4727.80645875648</v>
      </c>
      <c r="G15" s="0" t="n">
        <f aca="false">G13-MAX(0,G13)*G14/100</f>
        <v>4869.64065251917</v>
      </c>
      <c r="H15" s="0" t="n">
        <f aca="false">H13-MAX(0,H13)*H14/100</f>
        <v>4946.64268377389</v>
      </c>
      <c r="I15" s="0" t="n">
        <f aca="false">I13-MAX(0,I13)*I14/100</f>
        <v>4999.49438283935</v>
      </c>
      <c r="J15" s="0" t="n">
        <f aca="false">J13-MAX(0,J13)*J14/100</f>
        <v>5051.89701518072</v>
      </c>
      <c r="K15" s="0" t="n">
        <f aca="false">K13-MAX(0,K13)*K14/100</f>
        <v>5078.89853371014</v>
      </c>
      <c r="L15" s="0" t="n">
        <f aca="false">L13-MAX(0,L13)*L14/100</f>
        <v>5180.47650438434</v>
      </c>
    </row>
    <row r="16" customFormat="false" ht="15" hidden="false" customHeight="false" outlineLevel="0" collapsed="false">
      <c r="A16" s="0" t="s">
        <v>127</v>
      </c>
      <c r="C16" s="0" t="n">
        <f aca="false">-C12</f>
        <v>0</v>
      </c>
      <c r="D16" s="0" t="n">
        <f aca="false">-D12</f>
        <v>0</v>
      </c>
      <c r="E16" s="0" t="n">
        <f aca="false">-E12</f>
        <v>0</v>
      </c>
      <c r="F16" s="0" t="n">
        <f aca="false">-F12</f>
        <v>0</v>
      </c>
      <c r="G16" s="0" t="n">
        <f aca="false">-G12</f>
        <v>0</v>
      </c>
      <c r="H16" s="0" t="n">
        <f aca="false">-H12</f>
        <v>0</v>
      </c>
      <c r="I16" s="0" t="n">
        <f aca="false">-I12</f>
        <v>0</v>
      </c>
      <c r="J16" s="0" t="n">
        <f aca="false">-J12</f>
        <v>0</v>
      </c>
      <c r="K16" s="0" t="n">
        <f aca="false">-K12</f>
        <v>0</v>
      </c>
      <c r="L16" s="0" t="n">
        <f aca="false">-L12</f>
        <v>0</v>
      </c>
    </row>
    <row r="17" customFormat="false" ht="15" hidden="false" customHeight="false" outlineLevel="0" collapsed="false">
      <c r="A17" s="0" t="s">
        <v>128</v>
      </c>
      <c r="C17" s="4" t="n">
        <f aca="false">-C6*Assumptions!C18/100</f>
        <v>-777.676574</v>
      </c>
      <c r="D17" s="4" t="n">
        <f aca="false">-D6*Assumptions!D18/100</f>
        <v>-0</v>
      </c>
      <c r="E17" s="4" t="n">
        <f aca="false">-E6*Assumptions!E18/100</f>
        <v>-0</v>
      </c>
      <c r="F17" s="4" t="n">
        <f aca="false">-F6*Assumptions!F18/100</f>
        <v>-768.9665963712</v>
      </c>
      <c r="G17" s="4" t="n">
        <f aca="false">-G6*Assumptions!G18/100</f>
        <v>-792.035594262336</v>
      </c>
      <c r="H17" s="4" t="n">
        <f aca="false">-H6*Assumptions!H18/100</f>
        <v>-815.796662090206</v>
      </c>
      <c r="I17" s="4" t="n">
        <f aca="false">-I6*Assumptions!I18/100</f>
        <v>-700.383201600762</v>
      </c>
      <c r="J17" s="4" t="n">
        <f aca="false">-J6*Assumptions!J18/100</f>
        <v>-717.892781640781</v>
      </c>
      <c r="K17" s="4" t="n">
        <f aca="false">-K6*Assumptions!K18/100</f>
        <v>-588.234583959399</v>
      </c>
      <c r="L17" s="4" t="n">
        <f aca="false">-L6*Assumptions!L18/100</f>
        <v>-599.999275638587</v>
      </c>
    </row>
    <row r="18" customFormat="false" ht="15" hidden="false" customHeight="false" outlineLevel="0" collapsed="false">
      <c r="A18" s="0" t="s">
        <v>129</v>
      </c>
      <c r="C18" s="4" t="n">
        <f aca="false">(C6-B6)*Assumptions!$B$23/100</f>
        <v>0</v>
      </c>
      <c r="D18" s="4" t="n">
        <f aca="false">(D6-C6)*Assumptions!$B$23/100</f>
        <v>-0</v>
      </c>
      <c r="E18" s="4" t="n">
        <f aca="false">(E6-D6)*Assumptions!$B$23/100</f>
        <v>0</v>
      </c>
      <c r="F18" s="4" t="n">
        <f aca="false">(F6-E6)*Assumptions!$B$23/100</f>
        <v>0</v>
      </c>
      <c r="G18" s="4" t="n">
        <f aca="false">(G6-F6)*Assumptions!$B$23/100</f>
        <v>0</v>
      </c>
      <c r="H18" s="4" t="n">
        <f aca="false">(H6-G6)*Assumptions!$B$23/100</f>
        <v>0</v>
      </c>
      <c r="I18" s="4" t="n">
        <f aca="false">(I6-H6)*Assumptions!$B$23/100</f>
        <v>0</v>
      </c>
      <c r="J18" s="4" t="n">
        <f aca="false">(J6-I6)*Assumptions!$B$23/100</f>
        <v>0</v>
      </c>
      <c r="K18" s="4" t="n">
        <f aca="false">(K6-J6)*Assumptions!$B$23/100</f>
        <v>0</v>
      </c>
      <c r="L18" s="4" t="n">
        <f aca="false">(L6-K6)*Assumptions!$B$23/100</f>
        <v>0</v>
      </c>
    </row>
    <row r="19" customFormat="false" ht="15" hidden="false" customHeight="false" outlineLevel="0" collapsed="false">
      <c r="A19" s="0" t="s">
        <v>130</v>
      </c>
      <c r="C19" s="0" t="n">
        <f aca="false">C15+C16+C17+C18</f>
        <v>4925.7059846</v>
      </c>
      <c r="D19" s="0" t="n">
        <f aca="false">D15+D16+D17+D18</f>
        <v>4084.306844736</v>
      </c>
      <c r="E19" s="0" t="n">
        <f aca="false">E15+E16+E17+E18</f>
        <v>4337.205101376</v>
      </c>
      <c r="F19" s="0" t="n">
        <f aca="false">F15+F16+F17+F18</f>
        <v>3958.83986238528</v>
      </c>
      <c r="G19" s="0" t="n">
        <f aca="false">G15+G16+G17+G18</f>
        <v>4077.60505825684</v>
      </c>
      <c r="H19" s="0" t="n">
        <f aca="false">H15+H16+H17+H18</f>
        <v>4130.84602168368</v>
      </c>
      <c r="I19" s="0" t="n">
        <f aca="false">I15+I16+I17+I18</f>
        <v>4299.11118123858</v>
      </c>
      <c r="J19" s="0" t="n">
        <f aca="false">J15+J16+J17+J18</f>
        <v>4334.00423353994</v>
      </c>
      <c r="K19" s="0" t="n">
        <f aca="false">K15+K16+K17+K18</f>
        <v>4490.66394975074</v>
      </c>
      <c r="L19" s="0" t="n">
        <f aca="false">L15+L16+L17+L18</f>
        <v>4580.47722874575</v>
      </c>
    </row>
    <row r="20" customFormat="false" ht="15" hidden="false" customHeight="false" outlineLevel="0" collapsed="false">
      <c r="A20" s="0" t="s">
        <v>131</v>
      </c>
      <c r="C20" s="0" t="n">
        <f aca="false">1/(1+$B$27/100)^C4</f>
        <v>0.904977375565611</v>
      </c>
      <c r="D20" s="0" t="n">
        <f aca="false">1/(1+$B$27/100)^D4</f>
        <v>0.818984050285621</v>
      </c>
      <c r="E20" s="0" t="n">
        <f aca="false">1/(1+$B$27/100)^E4</f>
        <v>0.741162036457575</v>
      </c>
      <c r="F20" s="0" t="n">
        <f aca="false">1/(1+$B$27/100)^F4</f>
        <v>0.67073487462224</v>
      </c>
      <c r="G20" s="0" t="n">
        <f aca="false">1/(1+$B$27/100)^G4</f>
        <v>0.606999886535964</v>
      </c>
      <c r="H20" s="0" t="n">
        <f aca="false">1/(1+$B$27/100)^H4</f>
        <v>0.54932116428594</v>
      </c>
      <c r="I20" s="0" t="n">
        <f aca="false">1/(1+$B$27/100)^I4</f>
        <v>0.497123225598136</v>
      </c>
      <c r="J20" s="0" t="n">
        <f aca="false">1/(1+$B$27/100)^J4</f>
        <v>0.449885272034512</v>
      </c>
      <c r="K20" s="0" t="n">
        <f aca="false">1/(1+$B$27/100)^K4</f>
        <v>0.407135992791414</v>
      </c>
      <c r="L20" s="0" t="n">
        <f aca="false">1/(1+$B$27/100)^L4</f>
        <v>0.368448862254673</v>
      </c>
    </row>
    <row r="21" customFormat="false" ht="15" hidden="false" customHeight="false" outlineLevel="0" collapsed="false">
      <c r="A21" s="0" t="s">
        <v>132</v>
      </c>
      <c r="C21" s="0" t="n">
        <f aca="false">C19*C20</f>
        <v>4457.65247475113</v>
      </c>
      <c r="D21" s="0" t="n">
        <f aca="false">D19*D20</f>
        <v>3344.98216231117</v>
      </c>
      <c r="E21" s="0" t="n">
        <f aca="false">E19*E20</f>
        <v>3214.57176547002</v>
      </c>
      <c r="F21" s="0" t="n">
        <f aca="false">F19*F20</f>
        <v>2655.33195874652</v>
      </c>
      <c r="G21" s="0" t="n">
        <f aca="false">G19*G20</f>
        <v>2475.10580770037</v>
      </c>
      <c r="H21" s="0" t="n">
        <f aca="false">H19*H20</f>
        <v>2269.16114611722</v>
      </c>
      <c r="I21" s="0" t="n">
        <f aca="false">I19*I20</f>
        <v>2137.18801762234</v>
      </c>
      <c r="J21" s="0" t="n">
        <f aca="false">J19*J20</f>
        <v>1949.80467360484</v>
      </c>
      <c r="K21" s="0" t="n">
        <f aca="false">K19*K20</f>
        <v>1828.31092547438</v>
      </c>
      <c r="L21" s="0" t="n">
        <f aca="false">L19*L20</f>
        <v>1687.67162351481</v>
      </c>
    </row>
    <row r="23" customFormat="false" ht="15" hidden="false" customHeight="false" outlineLevel="0" collapsed="false">
      <c r="A23" s="0" t="s">
        <v>108</v>
      </c>
      <c r="C23" s="4" t="n">
        <f aca="false">Assumptions!C16</f>
        <v>0</v>
      </c>
      <c r="D23" s="4" t="n">
        <f aca="false">Assumptions!D16</f>
        <v>0</v>
      </c>
      <c r="E23" s="4" t="n">
        <f aca="false">Assumptions!E16</f>
        <v>0</v>
      </c>
      <c r="F23" s="4" t="n">
        <f aca="false">Assumptions!F16</f>
        <v>0</v>
      </c>
      <c r="G23" s="4" t="n">
        <f aca="false">Assumptions!G16</f>
        <v>0</v>
      </c>
      <c r="H23" s="4" t="n">
        <f aca="false">Assumptions!H16</f>
        <v>0</v>
      </c>
      <c r="I23" s="4" t="n">
        <f aca="false">Assumptions!I16</f>
        <v>0</v>
      </c>
      <c r="J23" s="4" t="n">
        <f aca="false">Assumptions!J16</f>
        <v>0</v>
      </c>
      <c r="K23" s="4" t="n">
        <f aca="false">Assumptions!K16</f>
        <v>0</v>
      </c>
      <c r="L23" s="4" t="n">
        <f aca="false">Assumptions!L16</f>
        <v>0</v>
      </c>
    </row>
    <row r="24" customFormat="false" ht="15" hidden="false" customHeight="false" outlineLevel="0" collapsed="false">
      <c r="A24" s="0" t="s">
        <v>133</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134</v>
      </c>
    </row>
    <row r="27" customFormat="false" ht="15" hidden="false" customHeight="false" outlineLevel="0" collapsed="false">
      <c r="A27" s="0" t="s">
        <v>112</v>
      </c>
      <c r="B27" s="4" t="n">
        <f aca="false">Assumptions!$B$20</f>
        <v>10.5</v>
      </c>
    </row>
    <row r="28" customFormat="false" ht="15" hidden="false" customHeight="false" outlineLevel="0" collapsed="false">
      <c r="A28" s="0" t="s">
        <v>113</v>
      </c>
      <c r="B28" s="4" t="n">
        <f aca="false">Assumptions!$B$21</f>
        <v>2</v>
      </c>
    </row>
    <row r="29" customFormat="false" ht="15" hidden="false" customHeight="false" outlineLevel="0" collapsed="false">
      <c r="A29" s="0" t="s">
        <v>114</v>
      </c>
      <c r="B29" s="4" t="n">
        <f aca="false">Assumptions!$B$22</f>
        <v>10</v>
      </c>
    </row>
    <row r="30" customFormat="false" ht="15" hidden="false" customHeight="false" outlineLevel="0" collapsed="false">
      <c r="A30" s="0" t="s">
        <v>135</v>
      </c>
      <c r="B30" s="0" t="n">
        <f aca="false">SUM(C21:L21)</f>
        <v>26019.7805553128</v>
      </c>
    </row>
    <row r="31" customFormat="false" ht="15" hidden="false" customHeight="false" outlineLevel="0" collapsed="false">
      <c r="A31" s="0" t="s">
        <v>136</v>
      </c>
      <c r="B31" s="0" t="n">
        <f aca="false">L19</f>
        <v>4580.47722874575</v>
      </c>
    </row>
    <row r="32" customFormat="false" ht="15" hidden="false" customHeight="false" outlineLevel="0" collapsed="false">
      <c r="A32" s="0" t="s">
        <v>137</v>
      </c>
      <c r="B32" s="0" t="n">
        <f aca="false">IF(B27&gt;B28,B31*(1+B28/100)/((B27-B28)/100),B31*B29)</f>
        <v>54965.726744949</v>
      </c>
    </row>
    <row r="33" customFormat="false" ht="15" hidden="false" customHeight="false" outlineLevel="0" collapsed="false">
      <c r="A33" s="0" t="s">
        <v>138</v>
      </c>
      <c r="B33" s="0" t="n">
        <f aca="false">B31*B29</f>
        <v>45804.7722874575</v>
      </c>
    </row>
    <row r="34" customFormat="false" ht="15" hidden="false" customHeight="false" outlineLevel="0" collapsed="false">
      <c r="A34" s="0" t="s">
        <v>139</v>
      </c>
      <c r="B34" s="0" t="n">
        <f aca="false">MAX(0,MIN(B32,B33))</f>
        <v>45804.7722874575</v>
      </c>
    </row>
    <row r="35" customFormat="false" ht="15" hidden="false" customHeight="false" outlineLevel="0" collapsed="false">
      <c r="A35" s="0" t="s">
        <v>140</v>
      </c>
      <c r="B35" s="0" t="n">
        <f aca="false">B34/(1+B27/100)^L4</f>
        <v>16876.7162351481</v>
      </c>
    </row>
    <row r="36" customFormat="false" ht="15" hidden="false" customHeight="false" outlineLevel="0" collapsed="false">
      <c r="A36" s="0" t="s">
        <v>141</v>
      </c>
      <c r="B36" s="0" t="n">
        <f aca="false">B30+B35</f>
        <v>42896.4967904609</v>
      </c>
    </row>
    <row r="37" customFormat="false" ht="15" hidden="false" customHeight="false" outlineLevel="0" collapsed="false">
      <c r="A37" s="0" t="s">
        <v>142</v>
      </c>
      <c r="B37" s="0" t="n">
        <f aca="false">B36+Assumptions!$B$5-Assumptions!$B$4</f>
        <v>42437.4967904609</v>
      </c>
    </row>
    <row r="38" customFormat="false" ht="15" hidden="false" customHeight="false" outlineLevel="0" collapsed="false">
      <c r="A38" s="0" t="s">
        <v>143</v>
      </c>
      <c r="B38" s="0" t="n">
        <f aca="false">B37/Assumptions!$B$3*Assumptions!$B$10</f>
        <v>527.632684203169</v>
      </c>
    </row>
    <row r="39" customFormat="false" ht="15" hidden="false" customHeight="false" outlineLevel="0" collapsed="false">
      <c r="A39" s="0" t="s">
        <v>144</v>
      </c>
      <c r="B39" s="4" t="n">
        <f aca="false">B38/Assumptions!$B$2-1</f>
        <v>-0.178909610639326</v>
      </c>
    </row>
    <row r="41" customFormat="false" ht="15" hidden="false" customHeight="false" outlineLevel="0" collapsed="false">
      <c r="A41" s="0" t="s">
        <v>145</v>
      </c>
      <c r="B41" s="0" t="n">
        <f aca="false">SUMPRODUCT(-C10:L10/(1+$B$27/100)^C4:L4)</f>
        <v>1558.83448880185</v>
      </c>
    </row>
    <row r="42" customFormat="false" ht="15" hidden="false" customHeight="false" outlineLevel="0" collapsed="false">
      <c r="A42" s="0" t="s">
        <v>146</v>
      </c>
      <c r="B42" s="0" t="n">
        <f aca="false">IF(B27&gt;B28,-L10*(1+B28/100)/((B27-B28)/100),-L10*20)/(1+B27/100)^L4</f>
        <v>1280.67587854234</v>
      </c>
    </row>
    <row r="43" customFormat="false" ht="15" hidden="false" customHeight="false" outlineLevel="0" collapsed="false">
      <c r="A43" s="0" t="s">
        <v>147</v>
      </c>
      <c r="B43" s="0" t="n">
        <f aca="false">(B37+B41+B42)/Assumptions!$B$3*Assumptions!$B$10</f>
        <v>562.936804150256</v>
      </c>
    </row>
    <row r="45" customFormat="false" ht="15" hidden="false" customHeight="false" outlineLevel="0" collapsed="false">
      <c r="A45" s="0" t="s">
        <v>87</v>
      </c>
      <c r="B45" s="4" t="n">
        <f aca="false">Assumptions!$B$6</f>
        <v>15</v>
      </c>
    </row>
    <row r="46" customFormat="false" ht="15" hidden="false" customHeight="false" outlineLevel="0" collapsed="false">
      <c r="A46" s="0" t="s">
        <v>148</v>
      </c>
      <c r="B46" s="0" t="n">
        <f aca="false">MAX(0,MIN(IF(B45&gt;B28,B31*(1+B28/100)/((B45-B28)/100),B31*B29),B31*B29))</f>
        <v>35939.1290255436</v>
      </c>
    </row>
    <row r="47" customFormat="false" ht="15" hidden="false" customHeight="false" outlineLevel="0" collapsed="false">
      <c r="A47" s="0" t="s">
        <v>149</v>
      </c>
      <c r="B47" s="0" t="n">
        <f aca="false">(SUMPRODUCT(C19:L19/(1+B45/100)^C4:L4)+B46/(1+B45/100)^L4+Assumptions!$B$5-Assumptions!$B$4)/Assumptions!$B$3*Assumptions!$B$10</f>
        <v>375.063029752098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150</v>
      </c>
    </row>
    <row r="3" customFormat="false" ht="15" hidden="false" customHeight="false" outlineLevel="0" collapsed="false">
      <c r="A3" s="0" t="s">
        <v>120</v>
      </c>
      <c r="B3" s="0" t="s">
        <v>90</v>
      </c>
      <c r="C3" s="2" t="s">
        <v>95</v>
      </c>
      <c r="D3" s="2" t="s">
        <v>96</v>
      </c>
      <c r="E3" s="2" t="s">
        <v>97</v>
      </c>
      <c r="F3" s="2" t="s">
        <v>98</v>
      </c>
      <c r="G3" s="2" t="s">
        <v>99</v>
      </c>
      <c r="H3" s="2" t="s">
        <v>100</v>
      </c>
      <c r="I3" s="2" t="s">
        <v>101</v>
      </c>
      <c r="J3" s="2" t="s">
        <v>102</v>
      </c>
      <c r="K3" s="2" t="s">
        <v>103</v>
      </c>
      <c r="L3" s="2" t="s">
        <v>104</v>
      </c>
    </row>
    <row r="4" customFormat="false" ht="15" hidden="false" customHeight="false" outlineLevel="0" collapsed="false">
      <c r="A4" s="0" t="s">
        <v>121</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105</v>
      </c>
      <c r="C5" s="4" t="n">
        <f aca="false">Assumptions!C27</f>
        <v>7.5</v>
      </c>
      <c r="D5" s="4" t="n">
        <f aca="false">Assumptions!D27</f>
        <v>4.5</v>
      </c>
      <c r="E5" s="4" t="n">
        <f aca="false">Assumptions!E27</f>
        <v>4</v>
      </c>
      <c r="F5" s="4" t="n">
        <f aca="false">Assumptions!F27</f>
        <v>3.5</v>
      </c>
      <c r="G5" s="4" t="n">
        <f aca="false">Assumptions!G27</f>
        <v>3</v>
      </c>
      <c r="H5" s="4" t="n">
        <f aca="false">Assumptions!H27</f>
        <v>3</v>
      </c>
      <c r="I5" s="4" t="n">
        <f aca="false">Assumptions!I27</f>
        <v>2.5</v>
      </c>
      <c r="J5" s="4" t="n">
        <f aca="false">Assumptions!J27</f>
        <v>2.5</v>
      </c>
      <c r="K5" s="4" t="n">
        <f aca="false">Assumptions!K27</f>
        <v>2.5</v>
      </c>
      <c r="L5" s="4" t="n">
        <f aca="false">Assumptions!L27</f>
        <v>2.5</v>
      </c>
    </row>
    <row r="6" customFormat="false" ht="15" hidden="false" customHeight="false" outlineLevel="0" collapsed="false">
      <c r="A6" s="0" t="s">
        <v>38</v>
      </c>
      <c r="B6" s="3" t="n">
        <v>17518</v>
      </c>
      <c r="C6" s="0" t="n">
        <f aca="false">B6*(1+C5/100)</f>
        <v>18831.85</v>
      </c>
      <c r="D6" s="0" t="n">
        <f aca="false">C6*(1+D5/100)</f>
        <v>19679.28325</v>
      </c>
      <c r="E6" s="0" t="n">
        <f aca="false">D6*(1+E5/100)</f>
        <v>20466.45458</v>
      </c>
      <c r="F6" s="0" t="n">
        <f aca="false">E6*(1+F5/100)</f>
        <v>21182.7804903</v>
      </c>
      <c r="G6" s="0" t="n">
        <f aca="false">F6*(1+G5/100)</f>
        <v>21818.263905009</v>
      </c>
      <c r="H6" s="0" t="n">
        <f aca="false">G6*(1+H5/100)</f>
        <v>22472.8118221593</v>
      </c>
      <c r="I6" s="0" t="n">
        <f aca="false">H6*(1+I5/100)</f>
        <v>23034.6321177132</v>
      </c>
      <c r="J6" s="0" t="n">
        <f aca="false">I6*(1+J5/100)</f>
        <v>23610.4979206561</v>
      </c>
      <c r="K6" s="0" t="n">
        <f aca="false">J6*(1+K5/100)</f>
        <v>24200.7603686725</v>
      </c>
      <c r="L6" s="0" t="n">
        <f aca="false">K6*(1+L5/100)</f>
        <v>24805.7793778893</v>
      </c>
    </row>
    <row r="7" customFormat="false" ht="15" hidden="false" customHeight="false" outlineLevel="0" collapsed="false">
      <c r="A7" s="0" t="s">
        <v>106</v>
      </c>
      <c r="C7" s="4" t="n">
        <f aca="false">Assumptions!C28</f>
        <v>48.2</v>
      </c>
      <c r="D7" s="4" t="n">
        <f aca="false">Assumptions!D28</f>
        <v>47.7</v>
      </c>
      <c r="E7" s="4" t="n">
        <f aca="false">Assumptions!E28</f>
        <v>46.2</v>
      </c>
      <c r="F7" s="4" t="n">
        <f aca="false">Assumptions!F28</f>
        <v>44.7</v>
      </c>
      <c r="G7" s="4" t="n">
        <f aca="false">Assumptions!G28</f>
        <v>43.2</v>
      </c>
      <c r="H7" s="4" t="n">
        <f aca="false">Assumptions!H28</f>
        <v>41.7</v>
      </c>
      <c r="I7" s="4" t="n">
        <f aca="false">Assumptions!I28</f>
        <v>40.2</v>
      </c>
      <c r="J7" s="4" t="n">
        <f aca="false">Assumptions!J28</f>
        <v>38.7</v>
      </c>
      <c r="K7" s="4" t="n">
        <f aca="false">Assumptions!K28</f>
        <v>37.7</v>
      </c>
      <c r="L7" s="4" t="n">
        <f aca="false">Assumptions!L28</f>
        <v>37.7</v>
      </c>
    </row>
    <row r="8" customFormat="false" ht="15" hidden="false" customHeight="false" outlineLevel="0" collapsed="false">
      <c r="A8" s="0" t="s">
        <v>44</v>
      </c>
      <c r="C8" s="0" t="n">
        <f aca="false">C6*C7/100</f>
        <v>9076.9517</v>
      </c>
      <c r="D8" s="0" t="n">
        <f aca="false">D6*D7/100</f>
        <v>9387.01811025</v>
      </c>
      <c r="E8" s="0" t="n">
        <f aca="false">E6*E7/100</f>
        <v>9455.50201596</v>
      </c>
      <c r="F8" s="0" t="n">
        <f aca="false">F6*F7/100</f>
        <v>9468.7028791641</v>
      </c>
      <c r="G8" s="0" t="n">
        <f aca="false">G6*G7/100</f>
        <v>9425.49000696389</v>
      </c>
      <c r="H8" s="0" t="n">
        <f aca="false">H6*H7/100</f>
        <v>9371.16252984041</v>
      </c>
      <c r="I8" s="0" t="n">
        <f aca="false">I6*I7/100</f>
        <v>9259.92211132072</v>
      </c>
      <c r="J8" s="0" t="n">
        <f aca="false">J6*J7/100</f>
        <v>9137.2626952939</v>
      </c>
      <c r="K8" s="0" t="n">
        <f aca="false">K6*K7/100</f>
        <v>9123.68665898952</v>
      </c>
      <c r="L8" s="0" t="n">
        <f aca="false">L6*L7/100</f>
        <v>9351.77882546426</v>
      </c>
    </row>
    <row r="9" customFormat="false" ht="15" hidden="false" customHeight="false" outlineLevel="0" collapsed="false">
      <c r="A9" s="0" t="s">
        <v>107</v>
      </c>
      <c r="C9" s="4" t="n">
        <f aca="false">Assumptions!C29</f>
        <v>1.4</v>
      </c>
      <c r="D9" s="4" t="n">
        <f aca="false">Assumptions!D29</f>
        <v>1.4</v>
      </c>
      <c r="E9" s="4" t="n">
        <f aca="false">Assumptions!E29</f>
        <v>1.4</v>
      </c>
      <c r="F9" s="4" t="n">
        <f aca="false">Assumptions!F29</f>
        <v>1.4</v>
      </c>
      <c r="G9" s="4" t="n">
        <f aca="false">Assumptions!G29</f>
        <v>1.4</v>
      </c>
      <c r="H9" s="4" t="n">
        <f aca="false">Assumptions!H29</f>
        <v>1.4</v>
      </c>
      <c r="I9" s="4" t="n">
        <f aca="false">Assumptions!I29</f>
        <v>1.4</v>
      </c>
      <c r="J9" s="4" t="n">
        <f aca="false">Assumptions!J29</f>
        <v>1.4</v>
      </c>
      <c r="K9" s="4" t="n">
        <f aca="false">Assumptions!K29</f>
        <v>1.4</v>
      </c>
      <c r="L9" s="4" t="n">
        <f aca="false">Assumptions!L29</f>
        <v>1.4</v>
      </c>
    </row>
    <row r="10" customFormat="false" ht="15" hidden="false" customHeight="false" outlineLevel="0" collapsed="false">
      <c r="A10" s="0" t="s">
        <v>122</v>
      </c>
      <c r="C10" s="0" t="n">
        <f aca="false">-C6*C9/100</f>
        <v>-263.6459</v>
      </c>
      <c r="D10" s="0" t="n">
        <f aca="false">-D6*D9/100</f>
        <v>-275.5099655</v>
      </c>
      <c r="E10" s="0" t="n">
        <f aca="false">-E6*E9/100</f>
        <v>-286.53036412</v>
      </c>
      <c r="F10" s="0" t="n">
        <f aca="false">-F6*F9/100</f>
        <v>-296.5589268642</v>
      </c>
      <c r="G10" s="0" t="n">
        <f aca="false">-G6*G9/100</f>
        <v>-305.455694670126</v>
      </c>
      <c r="H10" s="0" t="n">
        <f aca="false">-H6*H9/100</f>
        <v>-314.61936551023</v>
      </c>
      <c r="I10" s="0" t="n">
        <f aca="false">-I6*I9/100</f>
        <v>-322.484849647985</v>
      </c>
      <c r="J10" s="0" t="n">
        <f aca="false">-J6*J9/100</f>
        <v>-330.546970889185</v>
      </c>
      <c r="K10" s="0" t="n">
        <f aca="false">-K6*K9/100</f>
        <v>-338.810645161415</v>
      </c>
      <c r="L10" s="0" t="n">
        <f aca="false">-L6*L9/100</f>
        <v>-347.28091129045</v>
      </c>
    </row>
    <row r="11" customFormat="false" ht="15" hidden="false" customHeight="false" outlineLevel="0" collapsed="false">
      <c r="A11" s="0" t="s">
        <v>123</v>
      </c>
      <c r="C11" s="0" t="n">
        <f aca="false">C8+C10+C24</f>
        <v>8813.3058</v>
      </c>
      <c r="D11" s="0" t="n">
        <f aca="false">D8+D10+D24</f>
        <v>9111.50814475</v>
      </c>
      <c r="E11" s="0" t="n">
        <f aca="false">E8+E10+E24</f>
        <v>9168.97165184</v>
      </c>
      <c r="F11" s="0" t="n">
        <f aca="false">F8+F10+F24</f>
        <v>9172.1439522999</v>
      </c>
      <c r="G11" s="0" t="n">
        <f aca="false">G8+G10+G24</f>
        <v>9120.03431229376</v>
      </c>
      <c r="H11" s="0" t="n">
        <f aca="false">H8+H10+H24</f>
        <v>9056.54316433019</v>
      </c>
      <c r="I11" s="0" t="n">
        <f aca="false">I8+I10+I24</f>
        <v>8937.43726167274</v>
      </c>
      <c r="J11" s="0" t="n">
        <f aca="false">J8+J10+J24</f>
        <v>8806.71572440472</v>
      </c>
      <c r="K11" s="0" t="n">
        <f aca="false">K8+K10+K24</f>
        <v>8784.87601382811</v>
      </c>
      <c r="L11" s="0" t="n">
        <f aca="false">L8+L10+L24</f>
        <v>9004.49791417381</v>
      </c>
    </row>
    <row r="12" customFormat="false" ht="15" hidden="false" customHeight="false" outlineLevel="0" collapsed="false">
      <c r="A12" s="0" t="s">
        <v>124</v>
      </c>
      <c r="C12" s="4" t="n">
        <f aca="false">-C6*Assumptions!C31/100</f>
        <v>-0</v>
      </c>
      <c r="D12" s="4" t="n">
        <f aca="false">-D6*Assumptions!D31/100</f>
        <v>-0</v>
      </c>
      <c r="E12" s="4" t="n">
        <f aca="false">-E6*Assumptions!E31/100</f>
        <v>-0</v>
      </c>
      <c r="F12" s="4" t="n">
        <f aca="false">-F6*Assumptions!F31/100</f>
        <v>-0</v>
      </c>
      <c r="G12" s="4" t="n">
        <f aca="false">-G6*Assumptions!G31/100</f>
        <v>-0</v>
      </c>
      <c r="H12" s="4" t="n">
        <f aca="false">-H6*Assumptions!H31/100</f>
        <v>-0</v>
      </c>
      <c r="I12" s="4" t="n">
        <f aca="false">-I6*Assumptions!I31/100</f>
        <v>-0</v>
      </c>
      <c r="J12" s="4" t="n">
        <f aca="false">-J6*Assumptions!J31/100</f>
        <v>-0</v>
      </c>
      <c r="K12" s="4" t="n">
        <f aca="false">-K6*Assumptions!K31/100</f>
        <v>-0</v>
      </c>
      <c r="L12" s="4" t="n">
        <f aca="false">-L6*Assumptions!L31/100</f>
        <v>-0</v>
      </c>
    </row>
    <row r="13" customFormat="false" ht="15" hidden="false" customHeight="false" outlineLevel="0" collapsed="false">
      <c r="A13" s="0" t="s">
        <v>125</v>
      </c>
      <c r="C13" s="0" t="n">
        <f aca="false">C11+C12</f>
        <v>8813.3058</v>
      </c>
      <c r="D13" s="0" t="n">
        <f aca="false">D11+D12</f>
        <v>9111.50814475</v>
      </c>
      <c r="E13" s="0" t="n">
        <f aca="false">E11+E12</f>
        <v>9168.97165184</v>
      </c>
      <c r="F13" s="0" t="n">
        <f aca="false">F11+F12</f>
        <v>9172.1439522999</v>
      </c>
      <c r="G13" s="0" t="n">
        <f aca="false">G11+G12</f>
        <v>9120.03431229376</v>
      </c>
      <c r="H13" s="0" t="n">
        <f aca="false">H11+H12</f>
        <v>9056.54316433019</v>
      </c>
      <c r="I13" s="0" t="n">
        <f aca="false">I11+I12</f>
        <v>8937.43726167274</v>
      </c>
      <c r="J13" s="0" t="n">
        <f aca="false">J11+J12</f>
        <v>8806.71572440472</v>
      </c>
      <c r="K13" s="0" t="n">
        <f aca="false">K11+K12</f>
        <v>8784.87601382811</v>
      </c>
      <c r="L13" s="0" t="n">
        <f aca="false">L11+L12</f>
        <v>9004.49791417381</v>
      </c>
    </row>
    <row r="14" customFormat="false" ht="15" hidden="false" customHeight="false" outlineLevel="0" collapsed="false">
      <c r="A14" s="0" t="s">
        <v>111</v>
      </c>
      <c r="C14" s="4" t="n">
        <f aca="false">Assumptions!C33</f>
        <v>26</v>
      </c>
      <c r="D14" s="4" t="n">
        <f aca="false">Assumptions!D33</f>
        <v>26</v>
      </c>
      <c r="E14" s="4" t="n">
        <f aca="false">Assumptions!E33</f>
        <v>26</v>
      </c>
      <c r="F14" s="4" t="n">
        <f aca="false">Assumptions!F33</f>
        <v>26</v>
      </c>
      <c r="G14" s="4" t="n">
        <f aca="false">Assumptions!G33</f>
        <v>26</v>
      </c>
      <c r="H14" s="4" t="n">
        <f aca="false">Assumptions!H33</f>
        <v>26</v>
      </c>
      <c r="I14" s="4" t="n">
        <f aca="false">Assumptions!I33</f>
        <v>26</v>
      </c>
      <c r="J14" s="4" t="n">
        <f aca="false">Assumptions!J33</f>
        <v>26</v>
      </c>
      <c r="K14" s="4" t="n">
        <f aca="false">Assumptions!K33</f>
        <v>26</v>
      </c>
      <c r="L14" s="4" t="n">
        <f aca="false">Assumptions!L33</f>
        <v>26</v>
      </c>
    </row>
    <row r="15" customFormat="false" ht="15" hidden="false" customHeight="false" outlineLevel="0" collapsed="false">
      <c r="A15" s="0" t="s">
        <v>126</v>
      </c>
      <c r="C15" s="0" t="n">
        <f aca="false">C13-MAX(0,C13)*C14/100</f>
        <v>6521.846292</v>
      </c>
      <c r="D15" s="0" t="n">
        <f aca="false">D13-MAX(0,D13)*D14/100</f>
        <v>6742.516027115</v>
      </c>
      <c r="E15" s="0" t="n">
        <f aca="false">E13-MAX(0,E13)*E14/100</f>
        <v>6785.0390223616</v>
      </c>
      <c r="F15" s="0" t="n">
        <f aca="false">F13-MAX(0,F13)*F14/100</f>
        <v>6787.38652470193</v>
      </c>
      <c r="G15" s="0" t="n">
        <f aca="false">G13-MAX(0,G13)*G14/100</f>
        <v>6748.82539109738</v>
      </c>
      <c r="H15" s="0" t="n">
        <f aca="false">H13-MAX(0,H13)*H14/100</f>
        <v>6701.84194160434</v>
      </c>
      <c r="I15" s="0" t="n">
        <f aca="false">I13-MAX(0,I13)*I14/100</f>
        <v>6613.70357363783</v>
      </c>
      <c r="J15" s="0" t="n">
        <f aca="false">J13-MAX(0,J13)*J14/100</f>
        <v>6516.96963605949</v>
      </c>
      <c r="K15" s="0" t="n">
        <f aca="false">K13-MAX(0,K13)*K14/100</f>
        <v>6500.8082502328</v>
      </c>
      <c r="L15" s="0" t="n">
        <f aca="false">L13-MAX(0,L13)*L14/100</f>
        <v>6663.32845648862</v>
      </c>
    </row>
    <row r="16" customFormat="false" ht="15" hidden="false" customHeight="false" outlineLevel="0" collapsed="false">
      <c r="A16" s="0" t="s">
        <v>127</v>
      </c>
      <c r="C16" s="0" t="n">
        <f aca="false">-C12</f>
        <v>0</v>
      </c>
      <c r="D16" s="0" t="n">
        <f aca="false">-D12</f>
        <v>0</v>
      </c>
      <c r="E16" s="0" t="n">
        <f aca="false">-E12</f>
        <v>0</v>
      </c>
      <c r="F16" s="0" t="n">
        <f aca="false">-F12</f>
        <v>0</v>
      </c>
      <c r="G16" s="0" t="n">
        <f aca="false">-G12</f>
        <v>0</v>
      </c>
      <c r="H16" s="0" t="n">
        <f aca="false">-H12</f>
        <v>0</v>
      </c>
      <c r="I16" s="0" t="n">
        <f aca="false">-I12</f>
        <v>0</v>
      </c>
      <c r="J16" s="0" t="n">
        <f aca="false">-J12</f>
        <v>0</v>
      </c>
      <c r="K16" s="0" t="n">
        <f aca="false">-K12</f>
        <v>0</v>
      </c>
      <c r="L16" s="0" t="n">
        <f aca="false">-L12</f>
        <v>0</v>
      </c>
    </row>
    <row r="17" customFormat="false" ht="15" hidden="false" customHeight="false" outlineLevel="0" collapsed="false">
      <c r="A17" s="0" t="s">
        <v>128</v>
      </c>
      <c r="C17" s="4" t="n">
        <f aca="false">-C6*Assumptions!C32/100</f>
        <v>-1945.330105</v>
      </c>
      <c r="D17" s="4" t="n">
        <f aca="false">-D6*Assumptions!D32/100</f>
        <v>-1253.570343025</v>
      </c>
      <c r="E17" s="4" t="n">
        <f aca="false">-E6*Assumptions!E32/100</f>
        <v>-1164.541265602</v>
      </c>
      <c r="F17" s="4" t="n">
        <f aca="false">-F6*Assumptions!F32/100</f>
        <v>-1061.25730256403</v>
      </c>
      <c r="G17" s="4" t="n">
        <f aca="false">-G6*Assumptions!G32/100</f>
        <v>-940.367174305888</v>
      </c>
      <c r="H17" s="4" t="n">
        <f aca="false">-H6*Assumptions!H32/100</f>
        <v>-968.578189535064</v>
      </c>
      <c r="I17" s="4" t="n">
        <f aca="false">-I6*Assumptions!I32/100</f>
        <v>-831.550219449448</v>
      </c>
      <c r="J17" s="4" t="n">
        <f aca="false">-J6*Assumptions!J32/100</f>
        <v>-852.338974935684</v>
      </c>
      <c r="K17" s="4" t="n">
        <f aca="false">-K6*Assumptions!K32/100</f>
        <v>-873.647449309076</v>
      </c>
      <c r="L17" s="4" t="n">
        <f aca="false">-L6*Assumptions!L32/100</f>
        <v>-895.488635541803</v>
      </c>
    </row>
    <row r="18" customFormat="false" ht="15" hidden="false" customHeight="false" outlineLevel="0" collapsed="false">
      <c r="A18" s="0" t="s">
        <v>129</v>
      </c>
      <c r="C18" s="4" t="n">
        <f aca="false">(C6-B6)*Assumptions!$B$37/100</f>
        <v>0</v>
      </c>
      <c r="D18" s="4" t="n">
        <f aca="false">(D6-C6)*Assumptions!$B$37/100</f>
        <v>0</v>
      </c>
      <c r="E18" s="4" t="n">
        <f aca="false">(E6-D6)*Assumptions!$B$37/100</f>
        <v>0</v>
      </c>
      <c r="F18" s="4" t="n">
        <f aca="false">(F6-E6)*Assumptions!$B$37/100</f>
        <v>0</v>
      </c>
      <c r="G18" s="4" t="n">
        <f aca="false">(G6-F6)*Assumptions!$B$37/100</f>
        <v>0</v>
      </c>
      <c r="H18" s="4" t="n">
        <f aca="false">(H6-G6)*Assumptions!$B$37/100</f>
        <v>0</v>
      </c>
      <c r="I18" s="4" t="n">
        <f aca="false">(I6-H6)*Assumptions!$B$37/100</f>
        <v>0</v>
      </c>
      <c r="J18" s="4" t="n">
        <f aca="false">(J6-I6)*Assumptions!$B$37/100</f>
        <v>0</v>
      </c>
      <c r="K18" s="4" t="n">
        <f aca="false">(K6-J6)*Assumptions!$B$37/100</f>
        <v>0</v>
      </c>
      <c r="L18" s="4" t="n">
        <f aca="false">(L6-K6)*Assumptions!$B$37/100</f>
        <v>0</v>
      </c>
    </row>
    <row r="19" customFormat="false" ht="15" hidden="false" customHeight="false" outlineLevel="0" collapsed="false">
      <c r="A19" s="0" t="s">
        <v>130</v>
      </c>
      <c r="C19" s="0" t="n">
        <f aca="false">C15+C16+C17+C18</f>
        <v>4576.516187</v>
      </c>
      <c r="D19" s="0" t="n">
        <f aca="false">D15+D16+D17+D18</f>
        <v>5488.94568409</v>
      </c>
      <c r="E19" s="0" t="n">
        <f aca="false">E15+E16+E17+E18</f>
        <v>5620.4977567596</v>
      </c>
      <c r="F19" s="0" t="n">
        <f aca="false">F15+F16+F17+F18</f>
        <v>5726.1292221379</v>
      </c>
      <c r="G19" s="0" t="n">
        <f aca="false">G15+G16+G17+G18</f>
        <v>5808.45821679149</v>
      </c>
      <c r="H19" s="0" t="n">
        <f aca="false">H15+H16+H17+H18</f>
        <v>5733.26375206927</v>
      </c>
      <c r="I19" s="0" t="n">
        <f aca="false">I15+I16+I17+I18</f>
        <v>5782.15335418838</v>
      </c>
      <c r="J19" s="0" t="n">
        <f aca="false">J15+J16+J17+J18</f>
        <v>5664.63066112381</v>
      </c>
      <c r="K19" s="0" t="n">
        <f aca="false">K15+K16+K17+K18</f>
        <v>5627.16080092372</v>
      </c>
      <c r="L19" s="0" t="n">
        <f aca="false">L15+L16+L17+L18</f>
        <v>5767.83982094682</v>
      </c>
    </row>
    <row r="20" customFormat="false" ht="15" hidden="false" customHeight="false" outlineLevel="0" collapsed="false">
      <c r="A20" s="0" t="s">
        <v>131</v>
      </c>
      <c r="C20" s="0" t="n">
        <f aca="false">1/(1+$B$27/100)^C4</f>
        <v>0.904977375565611</v>
      </c>
      <c r="D20" s="0" t="n">
        <f aca="false">1/(1+$B$27/100)^D4</f>
        <v>0.818984050285621</v>
      </c>
      <c r="E20" s="0" t="n">
        <f aca="false">1/(1+$B$27/100)^E4</f>
        <v>0.741162036457575</v>
      </c>
      <c r="F20" s="0" t="n">
        <f aca="false">1/(1+$B$27/100)^F4</f>
        <v>0.67073487462224</v>
      </c>
      <c r="G20" s="0" t="n">
        <f aca="false">1/(1+$B$27/100)^G4</f>
        <v>0.606999886535964</v>
      </c>
      <c r="H20" s="0" t="n">
        <f aca="false">1/(1+$B$27/100)^H4</f>
        <v>0.54932116428594</v>
      </c>
      <c r="I20" s="0" t="n">
        <f aca="false">1/(1+$B$27/100)^I4</f>
        <v>0.497123225598136</v>
      </c>
      <c r="J20" s="0" t="n">
        <f aca="false">1/(1+$B$27/100)^J4</f>
        <v>0.449885272034512</v>
      </c>
      <c r="K20" s="0" t="n">
        <f aca="false">1/(1+$B$27/100)^K4</f>
        <v>0.407135992791414</v>
      </c>
      <c r="L20" s="0" t="n">
        <f aca="false">1/(1+$B$27/100)^L4</f>
        <v>0.368448862254673</v>
      </c>
    </row>
    <row r="21" customFormat="false" ht="15" hidden="false" customHeight="false" outlineLevel="0" collapsed="false">
      <c r="A21" s="0" t="s">
        <v>132</v>
      </c>
      <c r="C21" s="0" t="n">
        <f aca="false">C19*C20</f>
        <v>4141.6436081448</v>
      </c>
      <c r="D21" s="0" t="n">
        <f aca="false">D19*D20</f>
        <v>4495.35896815381</v>
      </c>
      <c r="E21" s="0" t="n">
        <f aca="false">E19*E20</f>
        <v>4165.69956330518</v>
      </c>
      <c r="F21" s="0" t="n">
        <f aca="false">F19*F20</f>
        <v>3840.71456588141</v>
      </c>
      <c r="G21" s="0" t="n">
        <f aca="false">G19*G20</f>
        <v>3525.73347854132</v>
      </c>
      <c r="H21" s="0" t="n">
        <f aca="false">H19*H20</f>
        <v>3149.40311944507</v>
      </c>
      <c r="I21" s="0" t="n">
        <f aca="false">I19*I20</f>
        <v>2874.44272633721</v>
      </c>
      <c r="J21" s="0" t="n">
        <f aca="false">J19*J20</f>
        <v>2548.43390595472</v>
      </c>
      <c r="K21" s="0" t="n">
        <f aca="false">K19*K20</f>
        <v>2291.01969928101</v>
      </c>
      <c r="L21" s="0" t="n">
        <f aca="false">L19*L20</f>
        <v>2125.15401969505</v>
      </c>
    </row>
    <row r="23" customFormat="false" ht="15" hidden="false" customHeight="false" outlineLevel="0" collapsed="false">
      <c r="A23" s="0" t="s">
        <v>108</v>
      </c>
      <c r="C23" s="4" t="n">
        <f aca="false">Assumptions!C30</f>
        <v>0</v>
      </c>
      <c r="D23" s="4" t="n">
        <f aca="false">Assumptions!D30</f>
        <v>0</v>
      </c>
      <c r="E23" s="4" t="n">
        <f aca="false">Assumptions!E30</f>
        <v>0</v>
      </c>
      <c r="F23" s="4" t="n">
        <f aca="false">Assumptions!F30</f>
        <v>0</v>
      </c>
      <c r="G23" s="4" t="n">
        <f aca="false">Assumptions!G30</f>
        <v>0</v>
      </c>
      <c r="H23" s="4" t="n">
        <f aca="false">Assumptions!H30</f>
        <v>0</v>
      </c>
      <c r="I23" s="4" t="n">
        <f aca="false">Assumptions!I30</f>
        <v>0</v>
      </c>
      <c r="J23" s="4" t="n">
        <f aca="false">Assumptions!J30</f>
        <v>0</v>
      </c>
      <c r="K23" s="4" t="n">
        <f aca="false">Assumptions!K30</f>
        <v>0</v>
      </c>
      <c r="L23" s="4" t="n">
        <f aca="false">Assumptions!L30</f>
        <v>0</v>
      </c>
    </row>
    <row r="24" customFormat="false" ht="15" hidden="false" customHeight="false" outlineLevel="0" collapsed="false">
      <c r="A24" s="0" t="s">
        <v>133</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134</v>
      </c>
    </row>
    <row r="27" customFormat="false" ht="15" hidden="false" customHeight="false" outlineLevel="0" collapsed="false">
      <c r="A27" s="0" t="s">
        <v>112</v>
      </c>
      <c r="B27" s="4" t="n">
        <f aca="false">Assumptions!$B$34</f>
        <v>10.5</v>
      </c>
    </row>
    <row r="28" customFormat="false" ht="15" hidden="false" customHeight="false" outlineLevel="0" collapsed="false">
      <c r="A28" s="0" t="s">
        <v>113</v>
      </c>
      <c r="B28" s="4" t="n">
        <f aca="false">Assumptions!$B$35</f>
        <v>2.5</v>
      </c>
    </row>
    <row r="29" customFormat="false" ht="15" hidden="false" customHeight="false" outlineLevel="0" collapsed="false">
      <c r="A29" s="0" t="s">
        <v>114</v>
      </c>
      <c r="B29" s="4" t="n">
        <f aca="false">Assumptions!$B$36</f>
        <v>12</v>
      </c>
    </row>
    <row r="30" customFormat="false" ht="15" hidden="false" customHeight="false" outlineLevel="0" collapsed="false">
      <c r="A30" s="0" t="s">
        <v>135</v>
      </c>
      <c r="B30" s="0" t="n">
        <f aca="false">SUM(C21:L21)</f>
        <v>33157.6036547396</v>
      </c>
    </row>
    <row r="31" customFormat="false" ht="15" hidden="false" customHeight="false" outlineLevel="0" collapsed="false">
      <c r="A31" s="0" t="s">
        <v>136</v>
      </c>
      <c r="B31" s="0" t="n">
        <f aca="false">L19</f>
        <v>5767.83982094682</v>
      </c>
    </row>
    <row r="32" customFormat="false" ht="15" hidden="false" customHeight="false" outlineLevel="0" collapsed="false">
      <c r="A32" s="0" t="s">
        <v>137</v>
      </c>
      <c r="B32" s="0" t="n">
        <f aca="false">IF(B27&gt;B28,B31*(1+B28/100)/((B27-B28)/100),B31*B29)</f>
        <v>73900.4477058811</v>
      </c>
    </row>
    <row r="33" customFormat="false" ht="15" hidden="false" customHeight="false" outlineLevel="0" collapsed="false">
      <c r="A33" s="0" t="s">
        <v>138</v>
      </c>
      <c r="B33" s="0" t="n">
        <f aca="false">B31*B29</f>
        <v>69214.0778513618</v>
      </c>
    </row>
    <row r="34" customFormat="false" ht="15" hidden="false" customHeight="false" outlineLevel="0" collapsed="false">
      <c r="A34" s="0" t="s">
        <v>139</v>
      </c>
      <c r="B34" s="0" t="n">
        <f aca="false">MAX(0,MIN(B32,B33))</f>
        <v>69214.0778513618</v>
      </c>
    </row>
    <row r="35" customFormat="false" ht="15" hidden="false" customHeight="false" outlineLevel="0" collapsed="false">
      <c r="A35" s="0" t="s">
        <v>140</v>
      </c>
      <c r="B35" s="0" t="n">
        <f aca="false">B34/(1+B27/100)^L4</f>
        <v>25501.8482363406</v>
      </c>
    </row>
    <row r="36" customFormat="false" ht="15" hidden="false" customHeight="false" outlineLevel="0" collapsed="false">
      <c r="A36" s="0" t="s">
        <v>141</v>
      </c>
      <c r="B36" s="0" t="n">
        <f aca="false">B30+B35</f>
        <v>58659.4518910802</v>
      </c>
    </row>
    <row r="37" customFormat="false" ht="15" hidden="false" customHeight="false" outlineLevel="0" collapsed="false">
      <c r="A37" s="0" t="s">
        <v>142</v>
      </c>
      <c r="B37" s="0" t="n">
        <f aca="false">B36+Assumptions!$B$5-Assumptions!$B$4</f>
        <v>58200.4518910802</v>
      </c>
    </row>
    <row r="38" customFormat="false" ht="15" hidden="false" customHeight="false" outlineLevel="0" collapsed="false">
      <c r="A38" s="0" t="s">
        <v>143</v>
      </c>
      <c r="B38" s="0" t="n">
        <f aca="false">B37/Assumptions!$B$3*Assumptions!$B$10</f>
        <v>723.616211501681</v>
      </c>
    </row>
    <row r="39" customFormat="false" ht="15" hidden="false" customHeight="false" outlineLevel="0" collapsed="false">
      <c r="A39" s="0" t="s">
        <v>144</v>
      </c>
      <c r="B39" s="4" t="n">
        <f aca="false">B38/Assumptions!$B$2-1</f>
        <v>0.126075648150764</v>
      </c>
    </row>
    <row r="41" customFormat="false" ht="15" hidden="false" customHeight="false" outlineLevel="0" collapsed="false">
      <c r="A41" s="0" t="s">
        <v>145</v>
      </c>
      <c r="B41" s="0" t="n">
        <f aca="false">SUMPRODUCT(-C10:L10/(1+$B$27/100)^C4:L4)</f>
        <v>1808.66852069789</v>
      </c>
    </row>
    <row r="42" customFormat="false" ht="15" hidden="false" customHeight="false" outlineLevel="0" collapsed="false">
      <c r="A42" s="0" t="s">
        <v>146</v>
      </c>
      <c r="B42" s="0" t="n">
        <f aca="false">IF(B27&gt;B28,-L10*(1+B28/100)/((B27-B28)/100),-L10*20)/(1+B27/100)^L4</f>
        <v>1639.42672579907</v>
      </c>
    </row>
    <row r="43" customFormat="false" ht="15" hidden="false" customHeight="false" outlineLevel="0" collapsed="false">
      <c r="A43" s="0" t="s">
        <v>147</v>
      </c>
      <c r="B43" s="0" t="n">
        <f aca="false">(B37+B41+B42)/Assumptions!$B$3*Assumptions!$B$10</f>
        <v>766.486971746577</v>
      </c>
    </row>
    <row r="45" customFormat="false" ht="15" hidden="false" customHeight="false" outlineLevel="0" collapsed="false">
      <c r="A45" s="0" t="s">
        <v>87</v>
      </c>
      <c r="B45" s="4" t="n">
        <f aca="false">Assumptions!$B$6</f>
        <v>15</v>
      </c>
    </row>
    <row r="46" customFormat="false" ht="15" hidden="false" customHeight="false" outlineLevel="0" collapsed="false">
      <c r="A46" s="0" t="s">
        <v>148</v>
      </c>
      <c r="B46" s="0" t="n">
        <f aca="false">MAX(0,MIN(IF(B45&gt;B28,B31*(1+B28/100)/((B45-B28)/100),B31*B29),B31*B29))</f>
        <v>47296.2865317639</v>
      </c>
    </row>
    <row r="47" customFormat="false" ht="15" hidden="false" customHeight="false" outlineLevel="0" collapsed="false">
      <c r="A47" s="0" t="s">
        <v>149</v>
      </c>
      <c r="B47" s="0" t="n">
        <f aca="false">(SUMPRODUCT(C19:L19/(1+B45/100)^C4:L4)+B46/(1+B45/100)^L4+Assumptions!$B$5-Assumptions!$B$4)/Assumptions!$B$3*Assumptions!$B$10</f>
        <v>481.76955023051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151</v>
      </c>
    </row>
    <row r="3" customFormat="false" ht="15" hidden="false" customHeight="false" outlineLevel="0" collapsed="false">
      <c r="A3" s="0" t="s">
        <v>120</v>
      </c>
      <c r="B3" s="0" t="s">
        <v>90</v>
      </c>
      <c r="C3" s="2" t="s">
        <v>95</v>
      </c>
      <c r="D3" s="2" t="s">
        <v>96</v>
      </c>
      <c r="E3" s="2" t="s">
        <v>97</v>
      </c>
      <c r="F3" s="2" t="s">
        <v>98</v>
      </c>
      <c r="G3" s="2" t="s">
        <v>99</v>
      </c>
      <c r="H3" s="2" t="s">
        <v>100</v>
      </c>
      <c r="I3" s="2" t="s">
        <v>101</v>
      </c>
      <c r="J3" s="2" t="s">
        <v>102</v>
      </c>
      <c r="K3" s="2" t="s">
        <v>103</v>
      </c>
      <c r="L3" s="2" t="s">
        <v>104</v>
      </c>
    </row>
    <row r="4" customFormat="false" ht="15" hidden="false" customHeight="false" outlineLevel="0" collapsed="false">
      <c r="A4" s="0" t="s">
        <v>121</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105</v>
      </c>
      <c r="C5" s="4" t="n">
        <f aca="false">Assumptions!C41</f>
        <v>9</v>
      </c>
      <c r="D5" s="4" t="n">
        <f aca="false">Assumptions!D41</f>
        <v>6</v>
      </c>
      <c r="E5" s="4" t="n">
        <f aca="false">Assumptions!E41</f>
        <v>5</v>
      </c>
      <c r="F5" s="4" t="n">
        <f aca="false">Assumptions!F41</f>
        <v>4.5</v>
      </c>
      <c r="G5" s="4" t="n">
        <f aca="false">Assumptions!G41</f>
        <v>4</v>
      </c>
      <c r="H5" s="4" t="n">
        <f aca="false">Assumptions!H41</f>
        <v>3.5</v>
      </c>
      <c r="I5" s="4" t="n">
        <f aca="false">Assumptions!I41</f>
        <v>3</v>
      </c>
      <c r="J5" s="4" t="n">
        <f aca="false">Assumptions!J41</f>
        <v>3</v>
      </c>
      <c r="K5" s="4" t="n">
        <f aca="false">Assumptions!K41</f>
        <v>3</v>
      </c>
      <c r="L5" s="4" t="n">
        <f aca="false">Assumptions!L41</f>
        <v>3</v>
      </c>
    </row>
    <row r="6" customFormat="false" ht="15" hidden="false" customHeight="false" outlineLevel="0" collapsed="false">
      <c r="A6" s="0" t="s">
        <v>38</v>
      </c>
      <c r="B6" s="3" t="n">
        <v>17518</v>
      </c>
      <c r="C6" s="0" t="n">
        <f aca="false">B6*(1+C5/100)</f>
        <v>19094.62</v>
      </c>
      <c r="D6" s="0" t="n">
        <f aca="false">C6*(1+D5/100)</f>
        <v>20240.2972</v>
      </c>
      <c r="E6" s="0" t="n">
        <f aca="false">D6*(1+E5/100)</f>
        <v>21252.31206</v>
      </c>
      <c r="F6" s="0" t="n">
        <f aca="false">E6*(1+F5/100)</f>
        <v>22208.6661027</v>
      </c>
      <c r="G6" s="0" t="n">
        <f aca="false">F6*(1+G5/100)</f>
        <v>23097.012746808</v>
      </c>
      <c r="H6" s="0" t="n">
        <f aca="false">G6*(1+H5/100)</f>
        <v>23905.4081929463</v>
      </c>
      <c r="I6" s="0" t="n">
        <f aca="false">H6*(1+I5/100)</f>
        <v>24622.5704387347</v>
      </c>
      <c r="J6" s="0" t="n">
        <f aca="false">I6*(1+J5/100)</f>
        <v>25361.2475518967</v>
      </c>
      <c r="K6" s="0" t="n">
        <f aca="false">J6*(1+K5/100)</f>
        <v>26122.0849784536</v>
      </c>
      <c r="L6" s="0" t="n">
        <f aca="false">K6*(1+L5/100)</f>
        <v>26905.7475278072</v>
      </c>
    </row>
    <row r="7" customFormat="false" ht="15" hidden="false" customHeight="false" outlineLevel="0" collapsed="false">
      <c r="A7" s="0" t="s">
        <v>106</v>
      </c>
      <c r="C7" s="4" t="n">
        <f aca="false">Assumptions!C42</f>
        <v>49.2</v>
      </c>
      <c r="D7" s="4" t="n">
        <f aca="false">Assumptions!D42</f>
        <v>49.7</v>
      </c>
      <c r="E7" s="4" t="n">
        <f aca="false">Assumptions!E42</f>
        <v>49.7</v>
      </c>
      <c r="F7" s="4" t="n">
        <f aca="false">Assumptions!F42</f>
        <v>49.2</v>
      </c>
      <c r="G7" s="4" t="n">
        <f aca="false">Assumptions!G42</f>
        <v>48.2</v>
      </c>
      <c r="H7" s="4" t="n">
        <f aca="false">Assumptions!H42</f>
        <v>47.2</v>
      </c>
      <c r="I7" s="4" t="n">
        <f aca="false">Assumptions!I42</f>
        <v>46.2</v>
      </c>
      <c r="J7" s="4" t="n">
        <f aca="false">Assumptions!J42</f>
        <v>45.7</v>
      </c>
      <c r="K7" s="4" t="n">
        <f aca="false">Assumptions!K42</f>
        <v>45.7</v>
      </c>
      <c r="L7" s="4" t="n">
        <f aca="false">Assumptions!L42</f>
        <v>45.7</v>
      </c>
    </row>
    <row r="8" customFormat="false" ht="15" hidden="false" customHeight="false" outlineLevel="0" collapsed="false">
      <c r="A8" s="0" t="s">
        <v>44</v>
      </c>
      <c r="C8" s="0" t="n">
        <f aca="false">C6*C7/100</f>
        <v>9394.55304</v>
      </c>
      <c r="D8" s="0" t="n">
        <f aca="false">D6*D7/100</f>
        <v>10059.4277084</v>
      </c>
      <c r="E8" s="0" t="n">
        <f aca="false">E6*E7/100</f>
        <v>10562.39909382</v>
      </c>
      <c r="F8" s="0" t="n">
        <f aca="false">F6*F7/100</f>
        <v>10926.6637225284</v>
      </c>
      <c r="G8" s="0" t="n">
        <f aca="false">G6*G7/100</f>
        <v>11132.7601439615</v>
      </c>
      <c r="H8" s="0" t="n">
        <f aca="false">H6*H7/100</f>
        <v>11283.3526670706</v>
      </c>
      <c r="I8" s="0" t="n">
        <f aca="false">I6*I7/100</f>
        <v>11375.6275426954</v>
      </c>
      <c r="J8" s="0" t="n">
        <f aca="false">J6*J7/100</f>
        <v>11590.0901312168</v>
      </c>
      <c r="K8" s="0" t="n">
        <f aca="false">K6*K7/100</f>
        <v>11937.7928351533</v>
      </c>
      <c r="L8" s="0" t="n">
        <f aca="false">L6*L7/100</f>
        <v>12295.9266202079</v>
      </c>
    </row>
    <row r="9" customFormat="false" ht="15" hidden="false" customHeight="false" outlineLevel="0" collapsed="false">
      <c r="A9" s="0" t="s">
        <v>107</v>
      </c>
      <c r="C9" s="4" t="n">
        <f aca="false">Assumptions!C43</f>
        <v>1.4</v>
      </c>
      <c r="D9" s="4" t="n">
        <f aca="false">Assumptions!D43</f>
        <v>1.4</v>
      </c>
      <c r="E9" s="4" t="n">
        <f aca="false">Assumptions!E43</f>
        <v>1.4</v>
      </c>
      <c r="F9" s="4" t="n">
        <f aca="false">Assumptions!F43</f>
        <v>1.4</v>
      </c>
      <c r="G9" s="4" t="n">
        <f aca="false">Assumptions!G43</f>
        <v>1.4</v>
      </c>
      <c r="H9" s="4" t="n">
        <f aca="false">Assumptions!H43</f>
        <v>1.4</v>
      </c>
      <c r="I9" s="4" t="n">
        <f aca="false">Assumptions!I43</f>
        <v>1.4</v>
      </c>
      <c r="J9" s="4" t="n">
        <f aca="false">Assumptions!J43</f>
        <v>1.4</v>
      </c>
      <c r="K9" s="4" t="n">
        <f aca="false">Assumptions!K43</f>
        <v>1.4</v>
      </c>
      <c r="L9" s="4" t="n">
        <f aca="false">Assumptions!L43</f>
        <v>1.4</v>
      </c>
    </row>
    <row r="10" customFormat="false" ht="15" hidden="false" customHeight="false" outlineLevel="0" collapsed="false">
      <c r="A10" s="0" t="s">
        <v>122</v>
      </c>
      <c r="C10" s="0" t="n">
        <f aca="false">-C6*C9/100</f>
        <v>-267.32468</v>
      </c>
      <c r="D10" s="0" t="n">
        <f aca="false">-D6*D9/100</f>
        <v>-283.3641608</v>
      </c>
      <c r="E10" s="0" t="n">
        <f aca="false">-E6*E9/100</f>
        <v>-297.53236884</v>
      </c>
      <c r="F10" s="0" t="n">
        <f aca="false">-F6*F9/100</f>
        <v>-310.9213254378</v>
      </c>
      <c r="G10" s="0" t="n">
        <f aca="false">-G6*G9/100</f>
        <v>-323.358178455312</v>
      </c>
      <c r="H10" s="0" t="n">
        <f aca="false">-H6*H9/100</f>
        <v>-334.675714701248</v>
      </c>
      <c r="I10" s="0" t="n">
        <f aca="false">-I6*I9/100</f>
        <v>-344.715986142285</v>
      </c>
      <c r="J10" s="0" t="n">
        <f aca="false">-J6*J9/100</f>
        <v>-355.057465726554</v>
      </c>
      <c r="K10" s="0" t="n">
        <f aca="false">-K6*K9/100</f>
        <v>-365.709189698351</v>
      </c>
      <c r="L10" s="0" t="n">
        <f aca="false">-L6*L9/100</f>
        <v>-376.680465389301</v>
      </c>
    </row>
    <row r="11" customFormat="false" ht="15" hidden="false" customHeight="false" outlineLevel="0" collapsed="false">
      <c r="A11" s="0" t="s">
        <v>123</v>
      </c>
      <c r="C11" s="0" t="n">
        <f aca="false">C8+C10+C24</f>
        <v>9127.22836</v>
      </c>
      <c r="D11" s="0" t="n">
        <f aca="false">D8+D10+D24</f>
        <v>9776.0635476</v>
      </c>
      <c r="E11" s="0" t="n">
        <f aca="false">E8+E10+E24</f>
        <v>10264.86672498</v>
      </c>
      <c r="F11" s="0" t="n">
        <f aca="false">F8+F10+F24</f>
        <v>10615.7423970906</v>
      </c>
      <c r="G11" s="0" t="n">
        <f aca="false">G8+G10+G24</f>
        <v>10809.4019655061</v>
      </c>
      <c r="H11" s="0" t="n">
        <f aca="false">H8+H10+H24</f>
        <v>10948.6769523694</v>
      </c>
      <c r="I11" s="0" t="n">
        <f aca="false">I8+I10+I24</f>
        <v>11030.9115565531</v>
      </c>
      <c r="J11" s="0" t="n">
        <f aca="false">J8+J10+J24</f>
        <v>11235.0326654902</v>
      </c>
      <c r="K11" s="0" t="n">
        <f aca="false">K8+K10+K24</f>
        <v>11572.083645455</v>
      </c>
      <c r="L11" s="0" t="n">
        <f aca="false">L8+L10+L24</f>
        <v>11919.2461548186</v>
      </c>
    </row>
    <row r="12" customFormat="false" ht="15" hidden="false" customHeight="false" outlineLevel="0" collapsed="false">
      <c r="A12" s="0" t="s">
        <v>124</v>
      </c>
      <c r="C12" s="4" t="n">
        <f aca="false">-C6*Assumptions!C45/100</f>
        <v>-0</v>
      </c>
      <c r="D12" s="4" t="n">
        <f aca="false">-D6*Assumptions!D45/100</f>
        <v>-0</v>
      </c>
      <c r="E12" s="4" t="n">
        <f aca="false">-E6*Assumptions!E45/100</f>
        <v>-0</v>
      </c>
      <c r="F12" s="4" t="n">
        <f aca="false">-F6*Assumptions!F45/100</f>
        <v>-0</v>
      </c>
      <c r="G12" s="4" t="n">
        <f aca="false">-G6*Assumptions!G45/100</f>
        <v>-0</v>
      </c>
      <c r="H12" s="4" t="n">
        <f aca="false">-H6*Assumptions!H45/100</f>
        <v>-0</v>
      </c>
      <c r="I12" s="4" t="n">
        <f aca="false">-I6*Assumptions!I45/100</f>
        <v>-0</v>
      </c>
      <c r="J12" s="4" t="n">
        <f aca="false">-J6*Assumptions!J45/100</f>
        <v>-0</v>
      </c>
      <c r="K12" s="4" t="n">
        <f aca="false">-K6*Assumptions!K45/100</f>
        <v>-0</v>
      </c>
      <c r="L12" s="4" t="n">
        <f aca="false">-L6*Assumptions!L45/100</f>
        <v>-0</v>
      </c>
    </row>
    <row r="13" customFormat="false" ht="15" hidden="false" customHeight="false" outlineLevel="0" collapsed="false">
      <c r="A13" s="0" t="s">
        <v>125</v>
      </c>
      <c r="C13" s="0" t="n">
        <f aca="false">C11+C12</f>
        <v>9127.22836</v>
      </c>
      <c r="D13" s="0" t="n">
        <f aca="false">D11+D12</f>
        <v>9776.0635476</v>
      </c>
      <c r="E13" s="0" t="n">
        <f aca="false">E11+E12</f>
        <v>10264.86672498</v>
      </c>
      <c r="F13" s="0" t="n">
        <f aca="false">F11+F12</f>
        <v>10615.7423970906</v>
      </c>
      <c r="G13" s="0" t="n">
        <f aca="false">G11+G12</f>
        <v>10809.4019655061</v>
      </c>
      <c r="H13" s="0" t="n">
        <f aca="false">H11+H12</f>
        <v>10948.6769523694</v>
      </c>
      <c r="I13" s="0" t="n">
        <f aca="false">I11+I12</f>
        <v>11030.9115565531</v>
      </c>
      <c r="J13" s="0" t="n">
        <f aca="false">J11+J12</f>
        <v>11235.0326654902</v>
      </c>
      <c r="K13" s="0" t="n">
        <f aca="false">K11+K12</f>
        <v>11572.083645455</v>
      </c>
      <c r="L13" s="0" t="n">
        <f aca="false">L11+L12</f>
        <v>11919.2461548186</v>
      </c>
    </row>
    <row r="14" customFormat="false" ht="15" hidden="false" customHeight="false" outlineLevel="0" collapsed="false">
      <c r="A14" s="0" t="s">
        <v>111</v>
      </c>
      <c r="C14" s="4" t="n">
        <f aca="false">Assumptions!C47</f>
        <v>25.5</v>
      </c>
      <c r="D14" s="4" t="n">
        <f aca="false">Assumptions!D47</f>
        <v>25.5</v>
      </c>
      <c r="E14" s="4" t="n">
        <f aca="false">Assumptions!E47</f>
        <v>25.5</v>
      </c>
      <c r="F14" s="4" t="n">
        <f aca="false">Assumptions!F47</f>
        <v>25.5</v>
      </c>
      <c r="G14" s="4" t="n">
        <f aca="false">Assumptions!G47</f>
        <v>25.5</v>
      </c>
      <c r="H14" s="4" t="n">
        <f aca="false">Assumptions!H47</f>
        <v>25.5</v>
      </c>
      <c r="I14" s="4" t="n">
        <f aca="false">Assumptions!I47</f>
        <v>25.5</v>
      </c>
      <c r="J14" s="4" t="n">
        <f aca="false">Assumptions!J47</f>
        <v>25.5</v>
      </c>
      <c r="K14" s="4" t="n">
        <f aca="false">Assumptions!K47</f>
        <v>25.5</v>
      </c>
      <c r="L14" s="4" t="n">
        <f aca="false">Assumptions!L47</f>
        <v>25.5</v>
      </c>
    </row>
    <row r="15" customFormat="false" ht="15" hidden="false" customHeight="false" outlineLevel="0" collapsed="false">
      <c r="A15" s="0" t="s">
        <v>126</v>
      </c>
      <c r="C15" s="0" t="n">
        <f aca="false">C13-MAX(0,C13)*C14/100</f>
        <v>6799.7851282</v>
      </c>
      <c r="D15" s="0" t="n">
        <f aca="false">D13-MAX(0,D13)*D14/100</f>
        <v>7283.167342962</v>
      </c>
      <c r="E15" s="0" t="n">
        <f aca="false">E13-MAX(0,E13)*E14/100</f>
        <v>7647.3257101101</v>
      </c>
      <c r="F15" s="0" t="n">
        <f aca="false">F13-MAX(0,F13)*F14/100</f>
        <v>7908.7280858325</v>
      </c>
      <c r="G15" s="0" t="n">
        <f aca="false">G13-MAX(0,G13)*G14/100</f>
        <v>8053.00446430208</v>
      </c>
      <c r="H15" s="0" t="n">
        <f aca="false">H13-MAX(0,H13)*H14/100</f>
        <v>8156.7643295152</v>
      </c>
      <c r="I15" s="0" t="n">
        <f aca="false">I13-MAX(0,I13)*I14/100</f>
        <v>8218.02910963208</v>
      </c>
      <c r="J15" s="0" t="n">
        <f aca="false">J13-MAX(0,J13)*J14/100</f>
        <v>8370.09933579023</v>
      </c>
      <c r="K15" s="0" t="n">
        <f aca="false">K13-MAX(0,K13)*K14/100</f>
        <v>8621.20231586394</v>
      </c>
      <c r="L15" s="0" t="n">
        <f aca="false">L13-MAX(0,L13)*L14/100</f>
        <v>8879.83838533986</v>
      </c>
    </row>
    <row r="16" customFormat="false" ht="15" hidden="false" customHeight="false" outlineLevel="0" collapsed="false">
      <c r="A16" s="0" t="s">
        <v>127</v>
      </c>
      <c r="C16" s="0" t="n">
        <f aca="false">-C12</f>
        <v>0</v>
      </c>
      <c r="D16" s="0" t="n">
        <f aca="false">-D12</f>
        <v>0</v>
      </c>
      <c r="E16" s="0" t="n">
        <f aca="false">-E12</f>
        <v>0</v>
      </c>
      <c r="F16" s="0" t="n">
        <f aca="false">-F12</f>
        <v>0</v>
      </c>
      <c r="G16" s="0" t="n">
        <f aca="false">-G12</f>
        <v>0</v>
      </c>
      <c r="H16" s="0" t="n">
        <f aca="false">-H12</f>
        <v>0</v>
      </c>
      <c r="I16" s="0" t="n">
        <f aca="false">-I12</f>
        <v>0</v>
      </c>
      <c r="J16" s="0" t="n">
        <f aca="false">-J12</f>
        <v>0</v>
      </c>
      <c r="K16" s="0" t="n">
        <f aca="false">-K12</f>
        <v>0</v>
      </c>
      <c r="L16" s="0" t="n">
        <f aca="false">-L12</f>
        <v>0</v>
      </c>
    </row>
    <row r="17" customFormat="false" ht="15" hidden="false" customHeight="false" outlineLevel="0" collapsed="false">
      <c r="A17" s="0" t="s">
        <v>128</v>
      </c>
      <c r="C17" s="4" t="n">
        <f aca="false">-C6*Assumptions!C46/100</f>
        <v>-2333.362564</v>
      </c>
      <c r="D17" s="4" t="n">
        <f aca="false">-D6*Assumptions!D46/100</f>
        <v>-1696.13690536</v>
      </c>
      <c r="E17" s="4" t="n">
        <f aca="false">-E6*Assumptions!E46/100</f>
        <v>-1498.28800023</v>
      </c>
      <c r="F17" s="4" t="n">
        <f aca="false">-F6*Assumptions!F46/100</f>
        <v>-1414.69203074199</v>
      </c>
      <c r="G17" s="4" t="n">
        <f aca="false">-G6*Assumptions!G46/100</f>
        <v>-1314.22002529338</v>
      </c>
      <c r="H17" s="4" t="n">
        <f aca="false">-H6*Assumptions!H46/100</f>
        <v>-1197.66095046661</v>
      </c>
      <c r="I17" s="4" t="n">
        <f aca="false">-I6*Assumptions!I46/100</f>
        <v>-1061.23278590946</v>
      </c>
      <c r="J17" s="4" t="n">
        <f aca="false">-J6*Assumptions!J46/100</f>
        <v>-1093.06976948675</v>
      </c>
      <c r="K17" s="4" t="n">
        <f aca="false">-K6*Assumptions!K46/100</f>
        <v>-1125.86186257135</v>
      </c>
      <c r="L17" s="4" t="n">
        <f aca="false">-L6*Assumptions!L46/100</f>
        <v>-1159.63771844849</v>
      </c>
    </row>
    <row r="18" customFormat="false" ht="15" hidden="false" customHeight="false" outlineLevel="0" collapsed="false">
      <c r="A18" s="0" t="s">
        <v>129</v>
      </c>
      <c r="C18" s="4" t="n">
        <f aca="false">(C6-B6)*Assumptions!$B$51/100</f>
        <v>0</v>
      </c>
      <c r="D18" s="4" t="n">
        <f aca="false">(D6-C6)*Assumptions!$B$51/100</f>
        <v>0</v>
      </c>
      <c r="E18" s="4" t="n">
        <f aca="false">(E6-D6)*Assumptions!$B$51/100</f>
        <v>0</v>
      </c>
      <c r="F18" s="4" t="n">
        <f aca="false">(F6-E6)*Assumptions!$B$51/100</f>
        <v>0</v>
      </c>
      <c r="G18" s="4" t="n">
        <f aca="false">(G6-F6)*Assumptions!$B$51/100</f>
        <v>0</v>
      </c>
      <c r="H18" s="4" t="n">
        <f aca="false">(H6-G6)*Assumptions!$B$51/100</f>
        <v>0</v>
      </c>
      <c r="I18" s="4" t="n">
        <f aca="false">(I6-H6)*Assumptions!$B$51/100</f>
        <v>0</v>
      </c>
      <c r="J18" s="4" t="n">
        <f aca="false">(J6-I6)*Assumptions!$B$51/100</f>
        <v>0</v>
      </c>
      <c r="K18" s="4" t="n">
        <f aca="false">(K6-J6)*Assumptions!$B$51/100</f>
        <v>0</v>
      </c>
      <c r="L18" s="4" t="n">
        <f aca="false">(L6-K6)*Assumptions!$B$51/100</f>
        <v>0</v>
      </c>
    </row>
    <row r="19" customFormat="false" ht="15" hidden="false" customHeight="false" outlineLevel="0" collapsed="false">
      <c r="A19" s="0" t="s">
        <v>130</v>
      </c>
      <c r="C19" s="0" t="n">
        <f aca="false">C15+C16+C17+C18</f>
        <v>4466.4225642</v>
      </c>
      <c r="D19" s="0" t="n">
        <f aca="false">D15+D16+D17+D18</f>
        <v>5587.030437602</v>
      </c>
      <c r="E19" s="0" t="n">
        <f aca="false">E15+E16+E17+E18</f>
        <v>6149.0377098801</v>
      </c>
      <c r="F19" s="0" t="n">
        <f aca="false">F15+F16+F17+F18</f>
        <v>6494.03605509051</v>
      </c>
      <c r="G19" s="0" t="n">
        <f aca="false">G15+G16+G17+G18</f>
        <v>6738.7844390087</v>
      </c>
      <c r="H19" s="0" t="n">
        <f aca="false">H15+H16+H17+H18</f>
        <v>6959.10337904859</v>
      </c>
      <c r="I19" s="0" t="n">
        <f aca="false">I15+I16+I17+I18</f>
        <v>7156.79632372262</v>
      </c>
      <c r="J19" s="0" t="n">
        <f aca="false">J15+J16+J17+J18</f>
        <v>7277.02956630349</v>
      </c>
      <c r="K19" s="0" t="n">
        <f aca="false">K15+K16+K17+K18</f>
        <v>7495.34045329259</v>
      </c>
      <c r="L19" s="0" t="n">
        <f aca="false">L15+L16+L17+L18</f>
        <v>7720.20066689137</v>
      </c>
    </row>
    <row r="20" customFormat="false" ht="15" hidden="false" customHeight="false" outlineLevel="0" collapsed="false">
      <c r="A20" s="0" t="s">
        <v>131</v>
      </c>
      <c r="C20" s="0" t="n">
        <f aca="false">1/(1+$B$27/100)^C4</f>
        <v>0.904977375565611</v>
      </c>
      <c r="D20" s="0" t="n">
        <f aca="false">1/(1+$B$27/100)^D4</f>
        <v>0.818984050285621</v>
      </c>
      <c r="E20" s="0" t="n">
        <f aca="false">1/(1+$B$27/100)^E4</f>
        <v>0.741162036457575</v>
      </c>
      <c r="F20" s="0" t="n">
        <f aca="false">1/(1+$B$27/100)^F4</f>
        <v>0.67073487462224</v>
      </c>
      <c r="G20" s="0" t="n">
        <f aca="false">1/(1+$B$27/100)^G4</f>
        <v>0.606999886535964</v>
      </c>
      <c r="H20" s="0" t="n">
        <f aca="false">1/(1+$B$27/100)^H4</f>
        <v>0.54932116428594</v>
      </c>
      <c r="I20" s="0" t="n">
        <f aca="false">1/(1+$B$27/100)^I4</f>
        <v>0.497123225598136</v>
      </c>
      <c r="J20" s="0" t="n">
        <f aca="false">1/(1+$B$27/100)^J4</f>
        <v>0.449885272034512</v>
      </c>
      <c r="K20" s="0" t="n">
        <f aca="false">1/(1+$B$27/100)^K4</f>
        <v>0.407135992791414</v>
      </c>
      <c r="L20" s="0" t="n">
        <f aca="false">1/(1+$B$27/100)^L4</f>
        <v>0.368448862254673</v>
      </c>
    </row>
    <row r="21" customFormat="false" ht="15" hidden="false" customHeight="false" outlineLevel="0" collapsed="false">
      <c r="A21" s="0" t="s">
        <v>132</v>
      </c>
      <c r="C21" s="0" t="n">
        <f aca="false">C19*C20</f>
        <v>4042.01137031674</v>
      </c>
      <c r="D21" s="0" t="n">
        <f aca="false">D19*D20</f>
        <v>4575.68881685633</v>
      </c>
      <c r="E21" s="0" t="n">
        <f aca="false">E19*E20</f>
        <v>4557.43331130916</v>
      </c>
      <c r="F21" s="0" t="n">
        <f aca="false">F19*F20</f>
        <v>4355.77645920344</v>
      </c>
      <c r="G21" s="0" t="n">
        <f aca="false">G19*G20</f>
        <v>4090.4413898686</v>
      </c>
      <c r="H21" s="0" t="n">
        <f aca="false">H19*H20</f>
        <v>3822.78277056519</v>
      </c>
      <c r="I21" s="0" t="n">
        <f aca="false">I19*I20</f>
        <v>3557.80967339787</v>
      </c>
      <c r="J21" s="0" t="n">
        <f aca="false">J19*J20</f>
        <v>3273.82842603963</v>
      </c>
      <c r="K21" s="0" t="n">
        <f aca="false">K19*K20</f>
        <v>3051.62287676092</v>
      </c>
      <c r="L21" s="0" t="n">
        <f aca="false">L19*L20</f>
        <v>2844.49915209389</v>
      </c>
    </row>
    <row r="23" customFormat="false" ht="15" hidden="false" customHeight="false" outlineLevel="0" collapsed="false">
      <c r="A23" s="0" t="s">
        <v>108</v>
      </c>
      <c r="C23" s="4" t="n">
        <f aca="false">Assumptions!C44</f>
        <v>0</v>
      </c>
      <c r="D23" s="4" t="n">
        <f aca="false">Assumptions!D44</f>
        <v>0</v>
      </c>
      <c r="E23" s="4" t="n">
        <f aca="false">Assumptions!E44</f>
        <v>0</v>
      </c>
      <c r="F23" s="4" t="n">
        <f aca="false">Assumptions!F44</f>
        <v>0</v>
      </c>
      <c r="G23" s="4" t="n">
        <f aca="false">Assumptions!G44</f>
        <v>0</v>
      </c>
      <c r="H23" s="4" t="n">
        <f aca="false">Assumptions!H44</f>
        <v>0</v>
      </c>
      <c r="I23" s="4" t="n">
        <f aca="false">Assumptions!I44</f>
        <v>0</v>
      </c>
      <c r="J23" s="4" t="n">
        <f aca="false">Assumptions!J44</f>
        <v>0</v>
      </c>
      <c r="K23" s="4" t="n">
        <f aca="false">Assumptions!K44</f>
        <v>0</v>
      </c>
      <c r="L23" s="4" t="n">
        <f aca="false">Assumptions!L44</f>
        <v>0</v>
      </c>
    </row>
    <row r="24" customFormat="false" ht="15" hidden="false" customHeight="false" outlineLevel="0" collapsed="false">
      <c r="A24" s="0" t="s">
        <v>133</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134</v>
      </c>
    </row>
    <row r="27" customFormat="false" ht="15" hidden="false" customHeight="false" outlineLevel="0" collapsed="false">
      <c r="A27" s="0" t="s">
        <v>112</v>
      </c>
      <c r="B27" s="4" t="n">
        <f aca="false">Assumptions!$B$48</f>
        <v>10.5</v>
      </c>
    </row>
    <row r="28" customFormat="false" ht="15" hidden="false" customHeight="false" outlineLevel="0" collapsed="false">
      <c r="A28" s="0" t="s">
        <v>113</v>
      </c>
      <c r="B28" s="4" t="n">
        <f aca="false">Assumptions!$B$49</f>
        <v>3</v>
      </c>
    </row>
    <row r="29" customFormat="false" ht="15" hidden="false" customHeight="false" outlineLevel="0" collapsed="false">
      <c r="A29" s="0" t="s">
        <v>114</v>
      </c>
      <c r="B29" s="4" t="n">
        <f aca="false">Assumptions!$B$50</f>
        <v>13</v>
      </c>
    </row>
    <row r="30" customFormat="false" ht="15" hidden="false" customHeight="false" outlineLevel="0" collapsed="false">
      <c r="A30" s="0" t="s">
        <v>135</v>
      </c>
      <c r="B30" s="0" t="n">
        <f aca="false">SUM(C21:L21)</f>
        <v>38171.8942464118</v>
      </c>
    </row>
    <row r="31" customFormat="false" ht="15" hidden="false" customHeight="false" outlineLevel="0" collapsed="false">
      <c r="A31" s="0" t="s">
        <v>136</v>
      </c>
      <c r="B31" s="0" t="n">
        <f aca="false">L19</f>
        <v>7720.20066689137</v>
      </c>
    </row>
    <row r="32" customFormat="false" ht="15" hidden="false" customHeight="false" outlineLevel="0" collapsed="false">
      <c r="A32" s="0" t="s">
        <v>137</v>
      </c>
      <c r="B32" s="0" t="n">
        <f aca="false">IF(B27&gt;B28,B31*(1+B28/100)/((B27-B28)/100),B31*B29)</f>
        <v>106024.089158641</v>
      </c>
    </row>
    <row r="33" customFormat="false" ht="15" hidden="false" customHeight="false" outlineLevel="0" collapsed="false">
      <c r="A33" s="0" t="s">
        <v>138</v>
      </c>
      <c r="B33" s="0" t="n">
        <f aca="false">B31*B29</f>
        <v>100362.608669588</v>
      </c>
    </row>
    <row r="34" customFormat="false" ht="15" hidden="false" customHeight="false" outlineLevel="0" collapsed="false">
      <c r="A34" s="0" t="s">
        <v>139</v>
      </c>
      <c r="B34" s="0" t="n">
        <f aca="false">MAX(0,MIN(B32,B33))</f>
        <v>100362.608669588</v>
      </c>
    </row>
    <row r="35" customFormat="false" ht="15" hidden="false" customHeight="false" outlineLevel="0" collapsed="false">
      <c r="A35" s="0" t="s">
        <v>140</v>
      </c>
      <c r="B35" s="0" t="n">
        <f aca="false">B34/(1+B27/100)^L4</f>
        <v>36978.4889772206</v>
      </c>
    </row>
    <row r="36" customFormat="false" ht="15" hidden="false" customHeight="false" outlineLevel="0" collapsed="false">
      <c r="A36" s="0" t="s">
        <v>141</v>
      </c>
      <c r="B36" s="0" t="n">
        <f aca="false">B30+B35</f>
        <v>75150.3832236324</v>
      </c>
    </row>
    <row r="37" customFormat="false" ht="15" hidden="false" customHeight="false" outlineLevel="0" collapsed="false">
      <c r="A37" s="0" t="s">
        <v>142</v>
      </c>
      <c r="B37" s="0" t="n">
        <f aca="false">B36+Assumptions!$B$5-Assumptions!$B$4</f>
        <v>74691.3832236324</v>
      </c>
    </row>
    <row r="38" customFormat="false" ht="15" hidden="false" customHeight="false" outlineLevel="0" collapsed="false">
      <c r="A38" s="0" t="s">
        <v>143</v>
      </c>
      <c r="B38" s="0" t="n">
        <f aca="false">B37/Assumptions!$B$3*Assumptions!$B$10</f>
        <v>928.650792286863</v>
      </c>
    </row>
    <row r="39" customFormat="false" ht="15" hidden="false" customHeight="false" outlineLevel="0" collapsed="false">
      <c r="A39" s="0" t="s">
        <v>144</v>
      </c>
      <c r="B39" s="4" t="n">
        <f aca="false">B38/Assumptions!$B$2-1</f>
        <v>0.445145957495896</v>
      </c>
    </row>
    <row r="41" customFormat="false" ht="15" hidden="false" customHeight="false" outlineLevel="0" collapsed="false">
      <c r="A41" s="0" t="s">
        <v>145</v>
      </c>
      <c r="B41" s="0" t="n">
        <f aca="false">SUMPRODUCT(-C10:L10/(1+$B$27/100)^C4:L4)</f>
        <v>1901.96412940486</v>
      </c>
    </row>
    <row r="42" customFormat="false" ht="15" hidden="false" customHeight="false" outlineLevel="0" collapsed="false">
      <c r="A42" s="0" t="s">
        <v>146</v>
      </c>
      <c r="B42" s="0" t="n">
        <f aca="false">IF(B27&gt;B28,-L10*(1+B28/100)/((B27-B28)/100),-L10*20)/(1+B27/100)^L4</f>
        <v>1906.01484764582</v>
      </c>
    </row>
    <row r="43" customFormat="false" ht="15" hidden="false" customHeight="false" outlineLevel="0" collapsed="false">
      <c r="A43" s="0" t="s">
        <v>147</v>
      </c>
      <c r="B43" s="0" t="n">
        <f aca="false">(B37+B41+B42)/Assumptions!$B$3*Assumptions!$B$10</f>
        <v>975.996048746526</v>
      </c>
    </row>
    <row r="45" customFormat="false" ht="15" hidden="false" customHeight="false" outlineLevel="0" collapsed="false">
      <c r="A45" s="0" t="s">
        <v>87</v>
      </c>
      <c r="B45" s="4" t="n">
        <f aca="false">Assumptions!$B$6</f>
        <v>15</v>
      </c>
    </row>
    <row r="46" customFormat="false" ht="15" hidden="false" customHeight="false" outlineLevel="0" collapsed="false">
      <c r="A46" s="0" t="s">
        <v>148</v>
      </c>
      <c r="B46" s="0" t="n">
        <f aca="false">MAX(0,MIN(IF(B45&gt;B28,B31*(1+B28/100)/((B45-B28)/100),B31*B29),B31*B29))</f>
        <v>66265.0557241509</v>
      </c>
    </row>
    <row r="47" customFormat="false" ht="15" hidden="false" customHeight="false" outlineLevel="0" collapsed="false">
      <c r="A47" s="0" t="s">
        <v>149</v>
      </c>
      <c r="B47" s="0" t="n">
        <f aca="false">(SUMPRODUCT(C19:L19/(1+B45/100)^C4:L4)+B46/(1+B45/100)^L4+Assumptions!$B$5-Assumptions!$B$4)/Assumptions!$B$3*Assumptions!$B$10</f>
        <v>587.499031285706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0"/>
  </cols>
  <sheetData>
    <row r="1" customFormat="false" ht="15" hidden="false" customHeight="false" outlineLevel="0" collapsed="false">
      <c r="A1" s="2" t="s">
        <v>152</v>
      </c>
    </row>
    <row r="3" customFormat="false" ht="15" hidden="false" customHeight="false" outlineLevel="0" collapsed="false">
      <c r="A3" s="2" t="s">
        <v>153</v>
      </c>
      <c r="B3" s="2" t="s">
        <v>154</v>
      </c>
      <c r="C3" s="2" t="s">
        <v>144</v>
      </c>
      <c r="D3" s="2" t="s">
        <v>155</v>
      </c>
      <c r="E3" s="2" t="s">
        <v>147</v>
      </c>
      <c r="F3" s="2" t="s">
        <v>156</v>
      </c>
    </row>
    <row r="4" customFormat="false" ht="15" hidden="false" customHeight="false" outlineLevel="0" collapsed="false">
      <c r="A4" s="0" t="s">
        <v>157</v>
      </c>
      <c r="B4" s="4" t="n">
        <f aca="false">DCF_Bear!$B$38</f>
        <v>527.632684203169</v>
      </c>
      <c r="C4" s="0" t="n">
        <f aca="false">B4/Assumptions!$B$2-1</f>
        <v>-0.178909610639326</v>
      </c>
      <c r="D4" s="4" t="n">
        <f aca="false">Assumptions!$B$24</f>
        <v>0.2</v>
      </c>
      <c r="E4" s="4" t="n">
        <f aca="false">DCF_Bear!$B$43</f>
        <v>562.936804150256</v>
      </c>
      <c r="F4" s="4" t="n">
        <f aca="false">DCF_Bear!$B$47</f>
        <v>375.063029752098</v>
      </c>
    </row>
    <row r="5" customFormat="false" ht="15" hidden="false" customHeight="false" outlineLevel="0" collapsed="false">
      <c r="A5" s="0" t="s">
        <v>158</v>
      </c>
      <c r="B5" s="4" t="n">
        <f aca="false">DCF_Base!$B$38</f>
        <v>723.616211501681</v>
      </c>
      <c r="C5" s="0" t="n">
        <f aca="false">B5/Assumptions!$B$2-1</f>
        <v>0.126075648150764</v>
      </c>
      <c r="D5" s="4" t="n">
        <f aca="false">Assumptions!$B$38</f>
        <v>0.5</v>
      </c>
      <c r="E5" s="4" t="n">
        <f aca="false">DCF_Base!$B$43</f>
        <v>766.486971746577</v>
      </c>
      <c r="F5" s="4" t="n">
        <f aca="false">DCF_Base!$B$47</f>
        <v>481.76955023051</v>
      </c>
    </row>
    <row r="6" customFormat="false" ht="15" hidden="false" customHeight="false" outlineLevel="0" collapsed="false">
      <c r="A6" s="0" t="s">
        <v>159</v>
      </c>
      <c r="B6" s="4" t="n">
        <f aca="false">DCF_Bull!$B$38</f>
        <v>928.650792286863</v>
      </c>
      <c r="C6" s="0" t="n">
        <f aca="false">B6/Assumptions!$B$2-1</f>
        <v>0.445145957495896</v>
      </c>
      <c r="D6" s="4" t="n">
        <f aca="false">Assumptions!$B$52</f>
        <v>0.3</v>
      </c>
      <c r="E6" s="4" t="n">
        <f aca="false">DCF_Bull!$B$43</f>
        <v>975.996048746526</v>
      </c>
      <c r="F6" s="4" t="n">
        <f aca="false">DCF_Bull!$B$47</f>
        <v>587.499031285706</v>
      </c>
    </row>
    <row r="8" customFormat="false" ht="15" hidden="false" customHeight="false" outlineLevel="0" collapsed="false">
      <c r="A8" s="0" t="s">
        <v>160</v>
      </c>
      <c r="B8" s="0" t="n">
        <f aca="false">SUMPRODUCT(B4:B6,D4:D6)</f>
        <v>745.929880277533</v>
      </c>
    </row>
    <row r="9" customFormat="false" ht="15" hidden="false" customHeight="false" outlineLevel="0" collapsed="false">
      <c r="A9" s="0" t="s">
        <v>161</v>
      </c>
      <c r="B9" s="0" t="n">
        <f aca="false">SUMPRODUCT(E4:E6,D4:D6)</f>
        <v>788.629661327297</v>
      </c>
    </row>
    <row r="10" customFormat="false" ht="15" hidden="false" customHeight="false" outlineLevel="0" collapsed="false">
      <c r="A10" s="0" t="s">
        <v>162</v>
      </c>
      <c r="B10" s="0" t="n">
        <f aca="false">1-Assumptions!$B$2/B8</f>
        <v>0.138524924405881</v>
      </c>
    </row>
    <row r="11" customFormat="false" ht="15" hidden="false" customHeight="false" outlineLevel="0" collapsed="false">
      <c r="A11" s="0" t="s">
        <v>163</v>
      </c>
      <c r="B11" s="0" t="n">
        <f aca="false">IF(ABS(B9-B8)&gt;0.01*ABS(B8),(Assumptions!$B$2-B8)/(B9-B8)*100,"n/a")</f>
        <v>-241.991592783833</v>
      </c>
    </row>
    <row r="12" customFormat="false" ht="15" hidden="false" customHeight="false" outlineLevel="0" collapsed="false">
      <c r="A12" s="0" t="s">
        <v>164</v>
      </c>
      <c r="B12" s="0" t="n">
        <f aca="false">SUMPRODUCT(F4:F6,D4:D6)</f>
        <v>492.147090451387</v>
      </c>
    </row>
    <row r="14" customFormat="false" ht="15" hidden="false" customHeight="false" outlineLevel="0" collapsed="false">
      <c r="A14" s="2" t="s">
        <v>165</v>
      </c>
      <c r="C14" s="0" t="s">
        <v>166</v>
      </c>
    </row>
    <row r="15" customFormat="false" ht="15" hidden="false" customHeight="false" outlineLevel="0" collapsed="false">
      <c r="A15" s="0" t="s">
        <v>167</v>
      </c>
      <c r="B15" s="0" t="n">
        <f aca="false">(SUMPRODUCT(DCF_Base!$C$19:$L$19/(1+$C$15/100)^DCF_Base!$C$4:$L$4)+MAX(0,MIN(IF($C$15&gt;DCF_Base!$B$28,DCF_Base!$L$19*(1+DCF_Base!$B$28/100)/(($C$15-DCF_Base!$B$28)/100),DCF_Base!$L$19*DCF_Base!$B$29),DCF_Base!$L$19*DCF_Base!$B$29))/(1+$C$15/100)^DCF_Base!$L$4+Assumptions!$B$5-Assumptions!$B$4)/Assumptions!$B$3*Assumptions!$B$10</f>
        <v>798.45602326982</v>
      </c>
      <c r="C15" s="3" t="n">
        <v>9</v>
      </c>
    </row>
    <row r="16" customFormat="false" ht="15" hidden="false" customHeight="false" outlineLevel="0" collapsed="false">
      <c r="A16" s="0" t="s">
        <v>168</v>
      </c>
      <c r="B16" s="0" t="n">
        <f aca="false">(SUMPRODUCT(DCF_Base!$C$19:$L$19/(1+$C$16/100)^DCF_Base!$C$4:$L$4)+MAX(0,MIN(IF($C$16&gt;DCF_Base!$B$28,DCF_Base!$L$19*(1+DCF_Base!$B$28/100)/(($C$16-DCF_Base!$B$28)/100),DCF_Base!$L$19*DCF_Base!$B$29),DCF_Base!$L$19*DCF_Base!$B$29))/(1+$C$16/100)^DCF_Base!$L$4+Assumptions!$B$5-Assumptions!$B$4)/Assumptions!$B$3*Assumptions!$B$10</f>
        <v>747.47531487315</v>
      </c>
      <c r="C16" s="3" t="n">
        <v>10</v>
      </c>
    </row>
    <row r="17" customFormat="false" ht="15" hidden="false" customHeight="false" outlineLevel="0" collapsed="false">
      <c r="A17" s="0" t="s">
        <v>169</v>
      </c>
      <c r="B17" s="0" t="n">
        <f aca="false">(SUMPRODUCT(DCF_Base!$C$19:$L$19/(1+$C$17/100)^DCF_Base!$C$4:$L$4)+MAX(0,MIN(IF($C$17&gt;DCF_Base!$B$28,DCF_Base!$L$19*(1+DCF_Base!$B$28/100)/(($C$17-DCF_Base!$B$28)/100),DCF_Base!$L$19*DCF_Base!$B$29),DCF_Base!$L$19*DCF_Base!$B$29))/(1+$C$17/100)^DCF_Base!$L$4+Assumptions!$B$5-Assumptions!$B$4)/Assumptions!$B$3*Assumptions!$B$10</f>
        <v>723.616211501681</v>
      </c>
      <c r="C17" s="3" t="n">
        <v>10.5</v>
      </c>
    </row>
    <row r="18" customFormat="false" ht="15" hidden="false" customHeight="false" outlineLevel="0" collapsed="false">
      <c r="A18" s="0" t="s">
        <v>170</v>
      </c>
      <c r="B18" s="0" t="n">
        <f aca="false">(SUMPRODUCT(DCF_Base!$C$19:$L$19/(1+$C$18/100)^DCF_Base!$C$4:$L$4)+MAX(0,MIN(IF($C$18&gt;DCF_Base!$B$28,DCF_Base!$L$19*(1+DCF_Base!$B$28/100)/(($C$18-DCF_Base!$B$28)/100),DCF_Base!$L$19*DCF_Base!$B$29),DCF_Base!$L$19*DCF_Base!$B$29))/(1+$C$18/100)^DCF_Base!$L$4+Assumptions!$B$5-Assumptions!$B$4)/Assumptions!$B$3*Assumptions!$B$10</f>
        <v>700.772990800849</v>
      </c>
      <c r="C18" s="3" t="n">
        <v>11</v>
      </c>
    </row>
    <row r="19" customFormat="false" ht="15" hidden="false" customHeight="false" outlineLevel="0" collapsed="false">
      <c r="A19" s="0" t="s">
        <v>171</v>
      </c>
      <c r="B19" s="0" t="n">
        <f aca="false">(SUMPRODUCT(DCF_Base!$C$19:$L$19/(1+$C$19/100)^DCF_Base!$C$4:$L$4)+MAX(0,MIN(IF($C$19&gt;DCF_Base!$B$28,DCF_Base!$L$19*(1+DCF_Base!$B$28/100)/(($C$19-DCF_Base!$B$28)/100),DCF_Base!$L$19*DCF_Base!$B$29),DCF_Base!$L$19*DCF_Base!$B$29))/(1+$C$19/100)^DCF_Base!$L$4+Assumptions!$B$5-Assumptions!$B$4)/Assumptions!$B$3*Assumptions!$B$10</f>
        <v>629.98630852079</v>
      </c>
      <c r="C19" s="3" t="n">
        <v>12</v>
      </c>
    </row>
    <row r="20" customFormat="false" ht="15" hidden="false" customHeight="false" outlineLevel="0" collapsed="false">
      <c r="A20" s="0" t="s">
        <v>172</v>
      </c>
      <c r="B20" s="0" t="n">
        <f aca="false">(SUMPRODUCT(DCF_Base!$C$19:$L$19/(1+$C$20/100)^DCF_Base!$C$4:$L$4)+MAX(0,MIN(IF($C$20&gt;DCF_Base!$B$28,DCF_Base!$L$19*(1+DCF_Base!$B$28/100)/(($C$20-DCF_Base!$B$28)/100),DCF_Base!$L$19*DCF_Base!$B$29),DCF_Base!$L$19*DCF_Base!$B$29))/(1+$C$20/100)^DCF_Base!$L$4+Assumptions!$B$5-Assumptions!$B$4)/Assumptions!$B$3*Assumptions!$B$10</f>
        <v>481.76955023051</v>
      </c>
      <c r="C20" s="3" t="n">
        <v>15</v>
      </c>
    </row>
    <row r="22" customFormat="false" ht="15" hidden="false" customHeight="false" outlineLevel="0" collapsed="false">
      <c r="A22" s="2" t="s">
        <v>173</v>
      </c>
    </row>
    <row r="23" customFormat="false" ht="15" hidden="false" customHeight="false" outlineLevel="0" collapsed="false">
      <c r="B23" s="3" t="n">
        <v>1.5</v>
      </c>
      <c r="C23" s="3" t="n">
        <v>2</v>
      </c>
      <c r="D23" s="3" t="n">
        <v>2.5</v>
      </c>
      <c r="E23" s="3" t="n">
        <v>3</v>
      </c>
      <c r="F23" s="3" t="n">
        <v>3.5</v>
      </c>
    </row>
    <row r="24" customFormat="false" ht="15" hidden="false" customHeight="false" outlineLevel="0" collapsed="false">
      <c r="A24" s="3" t="n">
        <v>8.5</v>
      </c>
      <c r="B24" s="0" t="n">
        <f aca="false">(SUMPRODUCT(DCF_Base!$C$19:$L$19/(1+$A$24/100)^DCF_Base!$C$4:$L$4)+MAX(0,MIN(IF($A$24&gt;$B$23,DCF_Base!$L$19*(1+$B$23/100)/(($A$24-$B$23)/100),DCF_Base!$L$19*DCF_Base!$B$29),DCF_Base!$L$19*DCF_Base!$B$29))/(1+$A$24/100)^DCF_Base!$L$4+Assumptions!$B$5-Assumptions!$B$4)/Assumptions!$B$3*Assumptions!$B$10</f>
        <v>825.692975465557</v>
      </c>
      <c r="C24" s="0" t="n">
        <f aca="false">(SUMPRODUCT(DCF_Base!$C$19:$L$19/(1+$A$24/100)^DCF_Base!$C$4:$L$4)+MAX(0,MIN(IF($A$24&gt;$C$23,DCF_Base!$L$19*(1+$C$23/100)/(($A$24-$C$23)/100),DCF_Base!$L$19*DCF_Base!$B$29),DCF_Base!$L$19*DCF_Base!$B$29))/(1+$A$24/100)^DCF_Base!$L$4+Assumptions!$B$5-Assumptions!$B$4)/Assumptions!$B$3*Assumptions!$B$10</f>
        <v>825.692975465557</v>
      </c>
      <c r="D24" s="0" t="n">
        <f aca="false">(SUMPRODUCT(DCF_Base!$C$19:$L$19/(1+$A$24/100)^DCF_Base!$C$4:$L$4)+MAX(0,MIN(IF($A$24&gt;$D$23,DCF_Base!$L$19*(1+$D$23/100)/(($A$24-$D$23)/100),DCF_Base!$L$19*DCF_Base!$B$29),DCF_Base!$L$19*DCF_Base!$B$29))/(1+$A$24/100)^DCF_Base!$L$4+Assumptions!$B$5-Assumptions!$B$4)/Assumptions!$B$3*Assumptions!$B$10</f>
        <v>825.692975465557</v>
      </c>
      <c r="E24" s="0" t="n">
        <f aca="false">(SUMPRODUCT(DCF_Base!$C$19:$L$19/(1+$A$24/100)^DCF_Base!$C$4:$L$4)+MAX(0,MIN(IF($A$24&gt;$E$23,DCF_Base!$L$19*(1+$E$23/100)/(($A$24-$E$23)/100),DCF_Base!$L$19*DCF_Base!$B$29),DCF_Base!$L$19*DCF_Base!$B$29))/(1+$A$24/100)^DCF_Base!$L$4+Assumptions!$B$5-Assumptions!$B$4)/Assumptions!$B$3*Assumptions!$B$10</f>
        <v>825.692975465557</v>
      </c>
      <c r="F24" s="0" t="n">
        <f aca="false">(SUMPRODUCT(DCF_Base!$C$19:$L$19/(1+$A$24/100)^DCF_Base!$C$4:$L$4)+MAX(0,MIN(IF($A$24&gt;$F$23,DCF_Base!$L$19*(1+$F$23/100)/(($A$24-$F$23)/100),DCF_Base!$L$19*DCF_Base!$B$29),DCF_Base!$L$19*DCF_Base!$B$29))/(1+$A$24/100)^DCF_Base!$L$4+Assumptions!$B$5-Assumptions!$B$4)/Assumptions!$B$3*Assumptions!$B$10</f>
        <v>825.692975465557</v>
      </c>
    </row>
    <row r="25" customFormat="false" ht="15" hidden="false" customHeight="false" outlineLevel="0" collapsed="false">
      <c r="A25" s="3" t="n">
        <v>9.5</v>
      </c>
      <c r="B25" s="0" t="n">
        <f aca="false">(SUMPRODUCT(DCF_Base!$C$19:$L$19/(1+$A$25/100)^DCF_Base!$C$4:$L$4)+MAX(0,MIN(IF($A$25&gt;$B$23,DCF_Base!$L$19*(1+$B$23/100)/(($A$25-$B$23)/100),DCF_Base!$L$19*DCF_Base!$B$29),DCF_Base!$L$19*DCF_Base!$B$29))/(1+$A$25/100)^DCF_Base!$L$4+Assumptions!$B$5-Assumptions!$B$4)/Assumptions!$B$3*Assumptions!$B$10</f>
        <v>772.403242073909</v>
      </c>
      <c r="C25" s="0" t="n">
        <f aca="false">(SUMPRODUCT(DCF_Base!$C$19:$L$19/(1+$A$25/100)^DCF_Base!$C$4:$L$4)+MAX(0,MIN(IF($A$25&gt;$C$23,DCF_Base!$L$19*(1+$C$23/100)/(($A$25-$C$23)/100),DCF_Base!$L$19*DCF_Base!$B$29),DCF_Base!$L$19*DCF_Base!$B$29))/(1+$A$25/100)^DCF_Base!$L$4+Assumptions!$B$5-Assumptions!$B$4)/Assumptions!$B$3*Assumptions!$B$10</f>
        <v>772.403242073909</v>
      </c>
      <c r="D25" s="0" t="n">
        <f aca="false">(SUMPRODUCT(DCF_Base!$C$19:$L$19/(1+$A$25/100)^DCF_Base!$C$4:$L$4)+MAX(0,MIN(IF($A$25&gt;$D$23,DCF_Base!$L$19*(1+$D$23/100)/(($A$25-$D$23)/100),DCF_Base!$L$19*DCF_Base!$B$29),DCF_Base!$L$19*DCF_Base!$B$29))/(1+$A$25/100)^DCF_Base!$L$4+Assumptions!$B$5-Assumptions!$B$4)/Assumptions!$B$3*Assumptions!$B$10</f>
        <v>772.403242073909</v>
      </c>
      <c r="E25" s="0" t="n">
        <f aca="false">(SUMPRODUCT(DCF_Base!$C$19:$L$19/(1+$A$25/100)^DCF_Base!$C$4:$L$4)+MAX(0,MIN(IF($A$25&gt;$E$23,DCF_Base!$L$19*(1+$E$23/100)/(($A$25-$E$23)/100),DCF_Base!$L$19*DCF_Base!$B$29),DCF_Base!$L$19*DCF_Base!$B$29))/(1+$A$25/100)^DCF_Base!$L$4+Assumptions!$B$5-Assumptions!$B$4)/Assumptions!$B$3*Assumptions!$B$10</f>
        <v>772.403242073909</v>
      </c>
      <c r="F25" s="0" t="n">
        <f aca="false">(SUMPRODUCT(DCF_Base!$C$19:$L$19/(1+$A$25/100)^DCF_Base!$C$4:$L$4)+MAX(0,MIN(IF($A$25&gt;$F$23,DCF_Base!$L$19*(1+$F$23/100)/(($A$25-$F$23)/100),DCF_Base!$L$19*DCF_Base!$B$29),DCF_Base!$L$19*DCF_Base!$B$29))/(1+$A$25/100)^DCF_Base!$L$4+Assumptions!$B$5-Assumptions!$B$4)/Assumptions!$B$3*Assumptions!$B$10</f>
        <v>772.403242073909</v>
      </c>
    </row>
    <row r="26" customFormat="false" ht="15" hidden="false" customHeight="false" outlineLevel="0" collapsed="false">
      <c r="A26" s="3" t="n">
        <v>10.5</v>
      </c>
      <c r="B26" s="0" t="n">
        <f aca="false">(SUMPRODUCT(DCF_Base!$C$19:$L$19/(1+$A$26/100)^DCF_Base!$C$4:$L$4)+MAX(0,MIN(IF($A$26&gt;$B$23,DCF_Base!$L$19*(1+$B$23/100)/(($A$26-$B$23)/100),DCF_Base!$L$19*DCF_Base!$B$29),DCF_Base!$L$19*DCF_Base!$B$29))/(1+$A$26/100)^DCF_Base!$L$4+Assumptions!$B$5-Assumptions!$B$4)/Assumptions!$B$3*Assumptions!$B$10</f>
        <v>704.533363575924</v>
      </c>
      <c r="C26" s="0" t="n">
        <f aca="false">(SUMPRODUCT(DCF_Base!$C$19:$L$19/(1+$A$26/100)^DCF_Base!$C$4:$L$4)+MAX(0,MIN(IF($A$26&gt;$C$23,DCF_Base!$L$19*(1+$C$23/100)/(($A$26-$C$23)/100),DCF_Base!$L$19*DCF_Base!$B$29),DCF_Base!$L$19*DCF_Base!$B$29))/(1+$A$26/100)^DCF_Base!$L$4+Assumptions!$B$5-Assumptions!$B$4)/Assumptions!$B$3*Assumptions!$B$10</f>
        <v>723.616211501681</v>
      </c>
      <c r="D26" s="0" t="n">
        <f aca="false">(SUMPRODUCT(DCF_Base!$C$19:$L$19/(1+$A$26/100)^DCF_Base!$C$4:$L$4)+MAX(0,MIN(IF($A$26&gt;$D$23,DCF_Base!$L$19*(1+$D$23/100)/(($A$26-$D$23)/100),DCF_Base!$L$19*DCF_Base!$B$29),DCF_Base!$L$19*DCF_Base!$B$29))/(1+$A$26/100)^DCF_Base!$L$4+Assumptions!$B$5-Assumptions!$B$4)/Assumptions!$B$3*Assumptions!$B$10</f>
        <v>723.616211501681</v>
      </c>
      <c r="E26" s="0" t="n">
        <f aca="false">(SUMPRODUCT(DCF_Base!$C$19:$L$19/(1+$A$26/100)^DCF_Base!$C$4:$L$4)+MAX(0,MIN(IF($A$26&gt;$E$23,DCF_Base!$L$19*(1+$E$23/100)/(($A$26-$E$23)/100),DCF_Base!$L$19*DCF_Base!$B$29),DCF_Base!$L$19*DCF_Base!$B$29))/(1+$A$26/100)^DCF_Base!$L$4+Assumptions!$B$5-Assumptions!$B$4)/Assumptions!$B$3*Assumptions!$B$10</f>
        <v>723.616211501681</v>
      </c>
      <c r="F26" s="0" t="n">
        <f aca="false">(SUMPRODUCT(DCF_Base!$C$19:$L$19/(1+$A$26/100)^DCF_Base!$C$4:$L$4)+MAX(0,MIN(IF($A$26&gt;$F$23,DCF_Base!$L$19*(1+$F$23/100)/(($A$26-$F$23)/100),DCF_Base!$L$19*DCF_Base!$B$29),DCF_Base!$L$19*DCF_Base!$B$29))/(1+$A$26/100)^DCF_Base!$L$4+Assumptions!$B$5-Assumptions!$B$4)/Assumptions!$B$3*Assumptions!$B$10</f>
        <v>723.616211501681</v>
      </c>
    </row>
    <row r="27" customFormat="false" ht="15" hidden="false" customHeight="false" outlineLevel="0" collapsed="false">
      <c r="A27" s="3" t="n">
        <v>11.5</v>
      </c>
      <c r="B27" s="0" t="n">
        <f aca="false">(SUMPRODUCT(DCF_Base!$C$19:$L$19/(1+$A$27/100)^DCF_Base!$C$4:$L$4)+MAX(0,MIN(IF($A$27&gt;$B$23,DCF_Base!$L$19*(1+$B$23/100)/(($A$27-$B$23)/100),DCF_Base!$L$19*DCF_Base!$B$29),DCF_Base!$L$19*DCF_Base!$B$29))/(1+$A$27/100)^DCF_Base!$L$4+Assumptions!$B$5-Assumptions!$B$4)/Assumptions!$B$3*Assumptions!$B$10</f>
        <v>634.225386786047</v>
      </c>
      <c r="C27" s="0" t="n">
        <f aca="false">(SUMPRODUCT(DCF_Base!$C$19:$L$19/(1+$A$27/100)^DCF_Base!$C$4:$L$4)+MAX(0,MIN(IF($A$27&gt;$C$23,DCF_Base!$L$19*(1+$C$23/100)/(($A$27-$C$23)/100),DCF_Base!$L$19*DCF_Base!$B$29),DCF_Base!$L$19*DCF_Base!$B$29))/(1+$A$27/100)^DCF_Base!$L$4+Assumptions!$B$5-Assumptions!$B$4)/Assumptions!$B$3*Assumptions!$B$10</f>
        <v>648.39531711638</v>
      </c>
      <c r="D27" s="0" t="n">
        <f aca="false">(SUMPRODUCT(DCF_Base!$C$19:$L$19/(1+$A$27/100)^DCF_Base!$C$4:$L$4)+MAX(0,MIN(IF($A$27&gt;$D$23,DCF_Base!$L$19*(1+$D$23/100)/(($A$27-$D$23)/100),DCF_Base!$L$19*DCF_Base!$B$29),DCF_Base!$L$19*DCF_Base!$B$29))/(1+$A$27/100)^DCF_Base!$L$4+Assumptions!$B$5-Assumptions!$B$4)/Assumptions!$B$3*Assumptions!$B$10</f>
        <v>664.139684150083</v>
      </c>
      <c r="E27" s="0" t="n">
        <f aca="false">(SUMPRODUCT(DCF_Base!$C$19:$L$19/(1+$A$27/100)^DCF_Base!$C$4:$L$4)+MAX(0,MIN(IF($A$27&gt;$E$23,DCF_Base!$L$19*(1+$E$23/100)/(($A$27-$E$23)/100),DCF_Base!$L$19*DCF_Base!$B$29),DCF_Base!$L$19*DCF_Base!$B$29))/(1+$A$27/100)^DCF_Base!$L$4+Assumptions!$B$5-Assumptions!$B$4)/Assumptions!$B$3*Assumptions!$B$10</f>
        <v>678.895615585258</v>
      </c>
      <c r="F27" s="0" t="n">
        <f aca="false">(SUMPRODUCT(DCF_Base!$C$19:$L$19/(1+$A$27/100)^DCF_Base!$C$4:$L$4)+MAX(0,MIN(IF($A$27&gt;$F$23,DCF_Base!$L$19*(1+$F$23/100)/(($A$27-$F$23)/100),DCF_Base!$L$19*DCF_Base!$B$29),DCF_Base!$L$19*DCF_Base!$B$29))/(1+$A$27/100)^DCF_Base!$L$4+Assumptions!$B$5-Assumptions!$B$4)/Assumptions!$B$3*Assumptions!$B$10</f>
        <v>678.895615585258</v>
      </c>
    </row>
    <row r="28" customFormat="false" ht="15" hidden="false" customHeight="false" outlineLevel="0" collapsed="false">
      <c r="A28" s="3" t="n">
        <v>12.5</v>
      </c>
      <c r="B28" s="0" t="n">
        <f aca="false">(SUMPRODUCT(DCF_Base!$C$19:$L$19/(1+$A$28/100)^DCF_Base!$C$4:$L$4)+MAX(0,MIN(IF($A$28&gt;$B$23,DCF_Base!$L$19*(1+$B$23/100)/(($A$28-$B$23)/100),DCF_Base!$L$19*DCF_Base!$B$29),DCF_Base!$L$19*DCF_Base!$B$29))/(1+$A$28/100)^DCF_Base!$L$4+Assumptions!$B$5-Assumptions!$B$4)/Assumptions!$B$3*Assumptions!$B$10</f>
        <v>576.619941486662</v>
      </c>
      <c r="C28" s="0" t="n">
        <f aca="false">(SUMPRODUCT(DCF_Base!$C$19:$L$19/(1+$A$28/100)^DCF_Base!$C$4:$L$4)+MAX(0,MIN(IF($A$28&gt;$C$23,DCF_Base!$L$19*(1+$C$23/100)/(($A$28-$C$23)/100),DCF_Base!$L$19*DCF_Base!$B$29),DCF_Base!$L$19*DCF_Base!$B$29))/(1+$A$28/100)^DCF_Base!$L$4+Assumptions!$B$5-Assumptions!$B$4)/Assumptions!$B$3*Assumptions!$B$10</f>
        <v>587.374942123453</v>
      </c>
      <c r="D28" s="0" t="n">
        <f aca="false">(SUMPRODUCT(DCF_Base!$C$19:$L$19/(1+$A$28/100)^DCF_Base!$C$4:$L$4)+MAX(0,MIN(IF($A$28&gt;$D$23,DCF_Base!$L$19*(1+$D$23/100)/(($A$28-$D$23)/100),DCF_Base!$L$19*DCF_Base!$B$29),DCF_Base!$L$19*DCF_Base!$B$29))/(1+$A$28/100)^DCF_Base!$L$4+Assumptions!$B$5-Assumptions!$B$4)/Assumptions!$B$3*Assumptions!$B$10</f>
        <v>599.205442823923</v>
      </c>
      <c r="E28" s="0" t="n">
        <f aca="false">(SUMPRODUCT(DCF_Base!$C$19:$L$19/(1+$A$28/100)^DCF_Base!$C$4:$L$4)+MAX(0,MIN(IF($A$28&gt;$E$23,DCF_Base!$L$19*(1+$E$23/100)/(($A$28-$E$23)/100),DCF_Base!$L$19*DCF_Base!$B$29),DCF_Base!$L$19*DCF_Base!$B$29))/(1+$A$28/100)^DCF_Base!$L$4+Assumptions!$B$5-Assumptions!$B$4)/Assumptions!$B$3*Assumptions!$B$10</f>
        <v>612.2812593876</v>
      </c>
      <c r="F28" s="0" t="n">
        <f aca="false">(SUMPRODUCT(DCF_Base!$C$19:$L$19/(1+$A$28/100)^DCF_Base!$C$4:$L$4)+MAX(0,MIN(IF($A$28&gt;$F$23,DCF_Base!$L$19*(1+$F$23/100)/(($A$28-$F$23)/100),DCF_Base!$L$19*DCF_Base!$B$29),DCF_Base!$L$19*DCF_Base!$B$29))/(1+$A$28/100)^DCF_Base!$L$4+Assumptions!$B$5-Assumptions!$B$4)/Assumptions!$B$3*Assumptions!$B$10</f>
        <v>626.809944458352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2026-10-10T01:08:57Z</dcterms:created>
  <dc:creator>openpyxl</dc:creator>
  <dc:description/>
  <dc:language>en-NZ</dc:language>
  <cp:lastModifiedBy/>
  <dcterms:modified xsi:type="dcterms:W3CDTF">2026-10-10T01:08:57Z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