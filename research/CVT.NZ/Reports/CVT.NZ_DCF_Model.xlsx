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FCF Quality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<sst xmlns="http://schemas.openxmlformats.org/spreadsheetml/2006/main" count="174" uniqueCount="144">
  <si>
    <t>CVT.NZ (Comvita Limited) DCF Valuation Model</t>
  </si>
  <si>
    <t>Gray cells are INPUTS - adjust to see valuation change. 10-year horizon (cyclical turnaround, margin still maturing at Y5).</t>
  </si>
  <si>
    <t>KEY INPUTS</t>
  </si>
  <si>
    <t>Current Stock Price (NZ$)</t>
  </si>
  <si>
    <t>Shares Outstanding (M) — POST-RECAP</t>
  </si>
  <si>
    <t>Cash &amp; Equivalents (M) — post-raise proxy</t>
  </si>
  <si>
    <t>Total Debt (M) — implied post-raise</t>
  </si>
  <si>
    <t>Net Debt (M) — POST-RECAP (derived)</t>
  </si>
  <si>
    <t>Reported FCF FY2025 (M)</t>
  </si>
  <si>
    <t>Less: SBC incl. equity taxes (M)</t>
  </si>
  <si>
    <t>Less: Interest income (M)</t>
  </si>
  <si>
    <t>Base Year Owner FCF, FY2025 (M)</t>
  </si>
  <si>
    <t>NOTE: FY2025/H1-2026 FCF is NOT the DCF base</t>
  </si>
  <si>
    <t>— see Assumptions rows below; base built bottom-up from</t>
  </si>
  <si>
    <t>FY2026 EBIT guidance, not from FY2025 reported FCF</t>
  </si>
  <si>
    <t>WACC (Base)</t>
  </si>
  <si>
    <t>Terminal Growth Rate (Base)</t>
  </si>
  <si>
    <t>Terminal Cap Multiple (x FCF Y10)</t>
  </si>
  <si>
    <t>Revenue FY2025 base (M) — anchor</t>
  </si>
  <si>
    <t>BASE CASE ASSUMPTIONS (10-YEAR BUILD)</t>
  </si>
  <si>
    <t>Revenue Growth %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</si>
  <si>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</si>
  <si>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</si>
  <si>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</si>
  <si>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</si>
  <si>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</si>
  <si>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</si>
  <si>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</si>
  <si>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</si>
  <si>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</si>
  <si>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</si>
  <si>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EBIT Margin %</t>
  </si>
  <si>
    <t>Cash Tax Rate %</t>
  </si>
  <si>
    <t>D&amp;A % of Revenue</t>
  </si>
  <si>
    <t>Capex % of Revenue</t>
  </si>
  <si>
    <t>Working Capital Capture % (of REVENUE GROWTH)</t>
  </si>
  <si>
    <t>SBC % of Revenue (immaterial on this ticker)</t>
  </si>
  <si>
    <t>PROJECTIONS (Base Case, component build)</t>
  </si>
  <si>
    <t>Revenue (M)</t>
  </si>
  <si>
    <t>EBIT (M)</t>
  </si>
  <si>
    <t>D&amp;A (M)</t>
  </si>
  <si>
    <t>EBITDA (M) [= EBIT + D&amp;A]</t>
  </si>
  <si>
    <t>Less: SBC (M)</t>
  </si>
  <si>
    <t>NOPAT (M) [=(EBIT-SBC)*(1-tax)]</t>
  </si>
  <si>
    <t>Less: Capex (M)</t>
  </si>
  <si>
    <t>Working Capital (M) [use of cash as revenue grows]</t>
  </si>
  <si>
    <t>Owner FCF (M)</t>
  </si>
  <si>
    <t>Owner FCF Margin %</t>
  </si>
  <si>
    <t>Discount Factor</t>
  </si>
  <si>
    <t>PV of FCF (M)</t>
  </si>
  <si>
    <t>VALUATION</t>
  </si>
  <si>
    <t>Sum of PV of FCF (Y1-Y10)</t>
  </si>
  <si>
    <t>Terminal FCF (Y10 * (1+g))</t>
  </si>
  <si>
    <t>Terminal Value — Gordon Growth</t>
  </si>
  <si>
    <t>Terminal Value — Cap (x FCF Y10)</t>
  </si>
  <si>
    <t>Terminal Value (MIN of Gordon, Cap)</t>
  </si>
  <si>
    <t>PV of Terminal Value</t>
  </si>
  <si>
    <t>Enterprise Value</t>
  </si>
  <si>
    <t>Less: Net Debt (post-recap)</t>
  </si>
  <si>
    <t>Equity Value</t>
  </si>
  <si>
    <t>INTRINSIC VALUE/SHARE (NZ$)</t>
  </si>
  <si>
    <t>ENTRY PRICE (15% IRR Target)</t>
  </si>
  <si>
    <t>PV of Y1-Y10 FCF @15%</t>
  </si>
  <si>
    <t>PV of Terminal Value @15%</t>
  </si>
  <si>
    <t>Less: Net Debt</t>
  </si>
  <si>
    <t>Entry Price (15% IRR, NZ$)</t>
  </si>
  <si>
    <t>Upside to Intrinsic Value</t>
  </si>
  <si>
    <t>Premium/(Discount) of Current Price to Entry Price</t>
  </si>
  <si>
    <t>NOTE: Entry price sits ABOVE current price/IV here because</t>
  </si>
  <si>
    <t>base WACC (17.5%) &gt; 15% hurdle — expected for a high-WACC</t>
  </si>
  <si>
    <t>cyclical turnaround (see DCF JSON entry_price.base.note)</t>
  </si>
  <si>
    <t>Sensitivity Analysis — Base Case Intrinsic Value</t>
  </si>
  <si>
    <t>WACC (rows) x Terminal Growth (columns)</t>
  </si>
  <si>
    <t>WACC \ Term G</t>
  </si>
  <si>
    <t>Note: values are computed (not live formulas) matching CVT.NZ_DCF.json sensitivity.matrix exactly.</t>
  </si>
  <si>
    <t>Base case cell (WACC 17.5%, Term G 2.0%) = row 3, col 3 = intrinsic value.</t>
  </si>
  <si>
    <t>Historical Growth Rates (CONTEXT ONLY — NOT used as forward driver)</t>
  </si>
  <si>
    <t>See growth_divergence_warning in DCF JSON — historical CAGRs are distorted by the</t>
  </si>
  <si>
    <t>FY2024-25 impairment collapse and the FY2022-23 China-boom cycle peak.</t>
  </si>
  <si>
    <t>Metric</t>
  </si>
  <si>
    <t>3-Year CAGR</t>
  </si>
  <si>
    <t>5-Year CAGR</t>
  </si>
  <si>
    <t>Revenue</t>
  </si>
  <si>
    <t>EPS</t>
  </si>
  <si>
    <t>N/A</t>
  </si>
  <si>
    <t>Equity (Book Value)</t>
  </si>
  <si>
    <t>FCF (reported)</t>
  </si>
  <si>
    <t>FCF 5yr CAGR (owner, SBC-adj)</t>
  </si>
  <si>
    <t>Selected Growth Rate Source:</t>
  </si>
  <si>
    <t>NOT USED — see notes. Base case built bottom-up from FY2026 management EBIT guidance and a mid-cycle margin recovery path, not from historical CAGR extrapolation.</t>
  </si>
  <si>
    <t>Growth Divergence Warning:</t>
  </si>
  <si>
    <t>Historical CAGRs are NOT usable growth-rate anchors for this ticker. Revenue and equity CAGRs are dominated by the FY2024-25 impairment/loss collapse ($53.9m impairments, $15.1m inventory provisions, total equity fell from $238.5m FY2023 to $54.9m FY2025, a -52%/yr 2yr CAGR) and by cycle-peak FY2022/23 China Manuka boom years that will not repeat. EPS and 3yr-FCF CAGRs are undefined (sign flips between loss and profit years make CAGR meaningless). This is a cyclical turnaround valued on a mid-cycle earnings anchor (FY2026 management normalised EBIT guidance of ~$15.5m, haircut to ~6.0% EBIT margin in Y1 for execution risk, ramping to ~9.0% by Y10 — still below the FY2022/23 peak of 9.6-10.2% — not on trend extrapolation.</t>
  </si>
  <si>
    <t>Notes:</t>
  </si>
  <si>
    <t>SBC itself is immaterial on this ticker (~0.03-0.5% of revenue historically) so the owner-FCF vs reported-FCF gap from SBC is negligible (~$0.2-1.0m/yr). The dominant distortion in reported FCF is instead a NON-SBC item: inventory destocking. FY2025 reported FCF of +$30.9m included a $46.8m inventory-driven working-capital release (inventory fell $135.8m-&gt;$89.0m); stripping that release, FY2025 FCF was actually approximately -$15.9m (-8.3% of revenue). H1-2026 reported FCF of +$20.2m included a further $20.7m inventory release; ex-that, H1-2026 FCF was roughly -$0.5m (breakeven). Carrying either headline FCF margin forward would be a severe and repeated overstatement — this is the single most important modelling trap on this ticker and is why the DCF is built bottom-up from EBIT/EBITDA margins with working capital modelled purely as a function of REVENUE GROWTH (not as a residual of the inventory unwind, which will not repeat once inventory normalises).</t>
  </si>
  <si>
    <t>FCF Quality — Reported vs Owner FCF Reconciliation</t>
  </si>
  <si>
    <t>Historical years with available FCF data (NZ$ millions)</t>
  </si>
  <si>
    <t>FY2018</t>
  </si>
  <si>
    <t>FY2020</t>
  </si>
  <si>
    <t>FY2021</t>
  </si>
  <si>
    <t>FY2024</t>
  </si>
  <si>
    <t>FY2025</t>
  </si>
  <si>
    <t>H1-2026</t>
  </si>
  <si>
    <t>Reported FCF (company definition)</t>
  </si>
  <si>
    <t>Less: SBC incl. equity-award taxes</t>
  </si>
  <si>
    <t>Less: Interest income</t>
  </si>
  <si>
    <t>Reported FCF Margin %</t>
  </si>
  <si>
    <t>Memo: Inventory decrease in period (cash inflow)</t>
  </si>
  <si>
    <t>Memo: Inventory release as % of reported FCF</t>
  </si>
  <si>
    <t>Memo: FCF EX inventory-release effect</t>
  </si>
  <si>
    <t>Memo: FCF-ex-inventory margin %</t>
  </si>
  <si>
    <t>n/a</t>
  </si>
  <si>
    <t>KEY FINDING</t>
  </si>
  <si>
    <t>SBC is immaterial on this ticker (~$0.06-1.0m/yr, &lt;0.5% of revenue) — the owner-FCF adjustment for SBC barely moves reported FCF. The dominant distortion is instead NON-SBC: inventory destocking. FY2025's headline +$30.9m FCF included a $46.8m inventory-driven working-capital release (inventory fell from $135.8m to $89.0m); stripping it, FY2025 FCF was actually approximately -$15.9m (-8.3% of revenue). H1-2026's +$20.2m FCF included a further $20.7m inventory release; ex-that, H1-2026 FCF was roughly breakeven (-$0.5m, -0.5% margin). This is why the DCF is NOT built by extrapolating recent reported FCF margins — it is built bottom-up from FY2026 management EBIT guidance with working capital modelled as a function of REVENUE GROWTH only, not as a residual of an inventory unwind that cannot repeat.</t>
  </si>
  <si>
    <t>Cash tax rate flag:</t>
  </si>
  <si>
    <t>FY2024/FY2025 were tax-loss years (no cash tax paid on a pre-tax loss); FY2026 onward the model</t>
  </si>
  <si>
    <t>ramps cash tax from 5% (Y1, tax losses shielding early profits) to the NZ statutory 28% by Y7,</t>
  </si>
  <si>
    <t>per cash_tax_rate_path in the DCF JSON. Do not assume a 0% cash tax rate persists into recovery.</t>
  </si>
  <si>
    <t>Model Provenance &amp; Methodology Notes</t>
  </si>
  <si>
    <t>Built by</t>
  </si>
  <si>
    <t>Claude (dcf-analyst agent), Stock Research Project</t>
  </si>
  <si>
    <t>Valuation date</t>
  </si>
  <si>
    <t>2026-08-10</t>
  </si>
  <si>
    <t>Share price date/source</t>
  </si>
  <si>
    <t>NZ$0.755 — Yahoo Finance live quote, verified 2026-08-10 (per task brief; not re-fetched by this agent run)</t>
  </si>
  <si>
    <t>Data vintage</t>
  </si>
  <si>
    <t>CVT.NZ_Metrics.csv through H1-2026 (six months to 31-Dec-2025), CVT.NZ_Analysis.json dated 2026-08-10. FY2026 full-year results NOT yet reported — due 28-Aug-2026, ~2.5 weeks after this valuation date.</t>
  </si>
  <si>
    <t>Recapitalisation basis</t>
  </si>
  <si>
    <t>$40.5m equity raise completed 18-May-2026 ($30m rights offer 1-for-1.53 at $0.65/share, 69% take-up + F&amp;N underwriting shortfall = 44.6m shares; plus $10.5m strategic placement at $0.65/share = 16.15m shares). Total new shares 60.75m. Post-raise shares = 70.526m (Dec-2025 actual) + 60.75m = 131.28m. F&amp;N Ventures (Fraser &amp; Neave, Singapore) holds ~19.99%.</t>
  </si>
  <si>
    <t>Post-raise net debt derivation</t>
  </si>
  <si>
    <t>Dec-2025 net debt (CSV) = $58.939m debt - $10.262m cash = $48.677m. Raise net proceeds (after ~$3.0m estimated costs) = $37.5m, applied to debt repayment per the concurrent bank refinancing. Post-raise net debt = $48.677m - $37.5m = $11.18m. CONSERVATIVE: excludes any H2 FY2026 operating cash generation between Dec-2025 and the May-2026 raise, which would only reduce net debt further. This is an ESTIMATE pending FY2026 audited accounts — refresh against the actual FY2026 balance sheet (due 28-Aug-2026).</t>
  </si>
  <si>
    <t>Methodology</t>
  </si>
  <si>
    <t>10-year component-built owner-FCF DCF (revenue -&gt; EBIT margin -&gt; EBITDA -&gt; less SBC -&gt; NOPAT -&gt; +D&amp;A -&gt; less capex -&gt; +/- working capital on revenue GROWTH). Base case anchored to FY2026 management normalised EBIT guidance (~$15.5m, haircut for stated execution risk) rather than to recent reported FCF, which is dominated by a one-off inventory-destocking working-capital release (see FCF Quality sheet). Terminal value = MIN(Gordon growth, 12x Y10 FCF cap). WACC 17.5% base, stacked from a 9.0% base cost of equity plus five structural risk premiums (NZX micro-cap illiquidity, extreme cyclicality, China concentration, agricultural/weather exposure, going-concern/execution-risk history) — see assumptions.base.wacc_rationale in the JSON.</t>
  </si>
  <si>
    <t>Why 10 years, not 5</t>
  </si>
  <si>
    <t>Owner FCF margin is still improving materially through Year 5 (6.8%) and only approaches maturity by Year 9-10 (7.2-7.3%). Capitalizing an immature Year-5 margin via Gordon growth would understate the business.</t>
  </si>
  <si>
    <t>Key trap this model avoids</t>
  </si>
  <si>
    <t>FY2025 reported FCF (+$30.9m) and H1-2026 reported FCF (+$20.2m) are overwhelmingly inventory-destocking working-capital releases, NOT sustainable operating cash generation. Ex-inventory-release, FY2025 FCF was approx -$15.9m and H1-2026 was approx breakeven. See FCF Quality sheet for the full reconciliation.</t>
  </si>
  <si>
    <t>SBC treatment</t>
  </si>
  <si>
    <t>SBC is genuinely small on this ticker (~$0.06-1.0m/yr, well under 0.5% of revenue) — confirmed via the FY2025 Annual Report and H1-2026 interim Note 11 (Share Schemes / Performance Share Rights). No cash buybacks exist (verified nil), so the small uncovered SBC dilutes marginally; this has negligible impact on the valuation compared to the working-capital and margin-recovery assumptions.</t>
  </si>
  <si>
    <t>What to refresh after next earnings</t>
  </si>
  <si>
    <t>FY2026 full-year results (due 28-Aug-2026): (1) confirm actual FY2026 revenue/EBIT vs the ~$227.7m/~$15.5m guidance-derived estimates used here; (2) confirm actual post-recapitalisation balance sheet (net debt, share count, equity) vs the derived estimates in this model — the $11.18m net debt and 131.28m shares are ESTIMATES pending the audited FY2026 accounts; (3) re-check whether inventory has stabilized (a further large decrease would flag continued destocking rather than a new steady state); (4) re-verify management guidance/commentary for FY2027 to refresh the growth and margin assumption paths.</t>
  </si>
  <si>
    <t>Cell colour conventions</t>
  </si>
  <si>
    <t>Gray-shaded cells (light blue-gray, #dfe6e9) on the DCF Model sheet are INPUTS — change these to re-run the model. White cells with borders are FORMULAS that recalculate automatically. Green cells are headline OUTPUTS (Intrinsic Value/Share, Entry Price).</t>
  </si>
  <si>
    <t>Staleness warning</t>
  </si>
  <si>
    <t>ALL figures in this workbook — the stock price, the derived post-raise share count and net debt, and the FY2026 guidance-anchored projections — WILL GO STALE and MUST be re-checked against the FY2026 result (28-Aug-2026) and any subsequent trading updates before being relied upon.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</si>
</sst>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&quot;$&quot;#,##0.00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165" fontId="0" fillId="0" borderId="2" xfId="0" applyNumberFormat="1" applyBorder="1"/>
    <xf numFmtId="0" fontId="5" fillId="0" borderId="0" xfId="0" applyFont="1"/>
    <xf numFmtId="166" fontId="4" fillId="4" borderId="2" xfId="0" applyNumberFormat="1" applyFont="1" applyFill="1" applyBorder="1"/>
    <xf numFmtId="165" fontId="4" fillId="3" borderId="0" xfId="0" applyNumberFormat="1" applyFont="1" applyFill="1"/>
    <xf numFmtId="166" fontId="0" fillId="0" borderId="2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/>
  </sheetViews>
  <sheetFormatPr defaultRowHeight="15"/>
  <cols>
    <col min="1" max="1" width="32.7109375" customWidth="1"/>
    <col min="2" max="12" width="1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0.755</v>
      </c>
    </row>
    <row r="6" spans="1:2">
      <c r="A6" t="s">
        <v>4</v>
      </c>
      <c r="B6" s="4">
        <v>131.28</v>
      </c>
    </row>
    <row r="7" spans="1:2">
      <c r="A7" t="s">
        <v>5</v>
      </c>
      <c r="B7" s="4">
        <v>10.262</v>
      </c>
    </row>
    <row r="8" spans="1:2">
      <c r="A8" t="s">
        <v>6</v>
      </c>
      <c r="B8" s="5">
        <f>B9+B7</f>
        <v>0</v>
      </c>
    </row>
    <row r="9" spans="1:2">
      <c r="A9" t="s">
        <v>7</v>
      </c>
      <c r="B9" s="4">
        <v>11.177</v>
      </c>
    </row>
    <row r="10" spans="1:2">
      <c r="A10" t="s">
        <v>8</v>
      </c>
      <c r="B10" s="4">
        <v>30.882</v>
      </c>
    </row>
    <row r="11" spans="1:2">
      <c r="A11" t="s">
        <v>9</v>
      </c>
      <c r="B11" s="4">
        <v>0.066</v>
      </c>
    </row>
    <row r="12" spans="1:2">
      <c r="A12" t="s">
        <v>10</v>
      </c>
      <c r="B12" s="4">
        <v>0.133</v>
      </c>
    </row>
    <row r="13" spans="1:2">
      <c r="A13" t="s">
        <v>11</v>
      </c>
      <c r="B13" s="5">
        <f>B10-B11-B12</f>
        <v>0</v>
      </c>
    </row>
    <row r="14" spans="1:2">
      <c r="A14" s="2" t="s">
        <v>12</v>
      </c>
    </row>
    <row r="15" spans="1:2">
      <c r="A15" s="2" t="s">
        <v>13</v>
      </c>
    </row>
    <row r="16" spans="1:2">
      <c r="A16" s="2" t="s">
        <v>14</v>
      </c>
    </row>
    <row r="18" spans="1:11">
      <c r="A18" t="s">
        <v>15</v>
      </c>
      <c r="B18" s="6">
        <v>0.175</v>
      </c>
    </row>
    <row r="19" spans="1:11">
      <c r="A19" t="s">
        <v>16</v>
      </c>
      <c r="B19" s="6">
        <v>0.02</v>
      </c>
    </row>
    <row r="20" spans="1:11">
      <c r="A20" t="s">
        <v>17</v>
      </c>
      <c r="B20" s="4">
        <v>12</v>
      </c>
    </row>
    <row r="21" spans="1:11">
      <c r="A21" t="s">
        <v>18</v>
      </c>
      <c r="B21" s="4">
        <v>192.428</v>
      </c>
    </row>
    <row r="23" spans="1:11">
      <c r="A23" s="3" t="s">
        <v>19</v>
      </c>
      <c r="B23" s="7" t="s">
        <v>21</v>
      </c>
      <c r="C23" s="7" t="s">
        <v>22</v>
      </c>
      <c r="D23" s="7" t="s">
        <v>23</v>
      </c>
      <c r="E23" s="7" t="s">
        <v>24</v>
      </c>
      <c r="F23" s="7" t="s">
        <v>25</v>
      </c>
      <c r="G23" s="7" t="s">
        <v>26</v>
      </c>
      <c r="H23" s="7" t="s">
        <v>27</v>
      </c>
      <c r="I23" s="7" t="s">
        <v>28</v>
      </c>
      <c r="J23" s="7" t="s">
        <v>29</v>
      </c>
      <c r="K23" s="7" t="s">
        <v>30</v>
      </c>
    </row>
    <row r="24" spans="1:11">
      <c r="A24" s="7" t="s">
        <v>20</v>
      </c>
      <c r="B24" s="6">
        <v>0.183</v>
      </c>
      <c r="C24" s="6">
        <v>0.06</v>
      </c>
      <c r="D24" s="6">
        <v>0.045</v>
      </c>
      <c r="E24" s="6">
        <v>0.04</v>
      </c>
      <c r="F24" s="6">
        <v>0.035</v>
      </c>
      <c r="G24" s="6">
        <v>0.03</v>
      </c>
      <c r="H24" s="6">
        <v>0.028</v>
      </c>
      <c r="I24" s="6">
        <v>0.025</v>
      </c>
      <c r="J24" s="6">
        <v>0.022</v>
      </c>
      <c r="K24" s="6">
        <v>0.02</v>
      </c>
    </row>
    <row r="25" spans="1:11">
      <c r="A25" s="7" t="s">
        <v>31</v>
      </c>
      <c r="B25" s="6">
        <v>0.06</v>
      </c>
      <c r="C25" s="6">
        <v>0.068</v>
      </c>
      <c r="D25" s="6">
        <v>0.073</v>
      </c>
      <c r="E25" s="6">
        <v>0.078</v>
      </c>
      <c r="F25" s="6">
        <v>0.08199999999999999</v>
      </c>
      <c r="G25" s="6">
        <v>0.08500000000000001</v>
      </c>
      <c r="H25" s="6">
        <v>0.08699999999999999</v>
      </c>
      <c r="I25" s="6">
        <v>0.08800000000000001</v>
      </c>
      <c r="J25" s="6">
        <v>0.08900000000000001</v>
      </c>
      <c r="K25" s="6">
        <v>0.09</v>
      </c>
    </row>
    <row r="26" spans="1:11">
      <c r="A26" s="7" t="s">
        <v>32</v>
      </c>
      <c r="B26" s="6">
        <v>0.05</v>
      </c>
      <c r="C26" s="6">
        <v>0.1</v>
      </c>
      <c r="D26" s="6">
        <v>0.15</v>
      </c>
      <c r="E26" s="6">
        <v>0.2</v>
      </c>
      <c r="F26" s="6">
        <v>0.24</v>
      </c>
      <c r="G26" s="6">
        <v>0.26</v>
      </c>
      <c r="H26" s="6">
        <v>0.28</v>
      </c>
      <c r="I26" s="6">
        <v>0.28</v>
      </c>
      <c r="J26" s="6">
        <v>0.28</v>
      </c>
      <c r="K26" s="6">
        <v>0.28</v>
      </c>
    </row>
    <row r="27" spans="1:11">
      <c r="A27" t="s">
        <v>33</v>
      </c>
      <c r="B27" s="6">
        <v>0.03</v>
      </c>
    </row>
    <row r="28" spans="1:11">
      <c r="A28" t="s">
        <v>34</v>
      </c>
      <c r="B28" s="6">
        <v>0.018</v>
      </c>
    </row>
    <row r="29" spans="1:11">
      <c r="A29" t="s">
        <v>35</v>
      </c>
      <c r="B29" s="6">
        <v>0.15</v>
      </c>
    </row>
    <row r="30" spans="1:11">
      <c r="A30" t="s">
        <v>36</v>
      </c>
      <c r="B30" s="6">
        <v>0.001</v>
      </c>
    </row>
    <row r="33" spans="1:11">
      <c r="A33" s="3" t="s">
        <v>37</v>
      </c>
      <c r="B33" s="7" t="s">
        <v>21</v>
      </c>
      <c r="C33" s="7" t="s">
        <v>22</v>
      </c>
      <c r="D33" s="7" t="s">
        <v>23</v>
      </c>
      <c r="E33" s="7" t="s">
        <v>24</v>
      </c>
      <c r="F33" s="7" t="s">
        <v>25</v>
      </c>
      <c r="G33" s="7" t="s">
        <v>26</v>
      </c>
      <c r="H33" s="7" t="s">
        <v>27</v>
      </c>
      <c r="I33" s="7" t="s">
        <v>28</v>
      </c>
      <c r="J33" s="7" t="s">
        <v>29</v>
      </c>
      <c r="K33" s="7" t="s">
        <v>30</v>
      </c>
    </row>
    <row r="34" spans="1:11">
      <c r="A34" t="s">
        <v>38</v>
      </c>
      <c r="B34" s="5">
        <f>$B$21*(1+B24)</f>
        <v>0</v>
      </c>
      <c r="C34" s="5">
        <f>B34*(1+C24)</f>
        <v>0</v>
      </c>
      <c r="D34" s="5">
        <f>C34*(1+D24)</f>
        <v>0</v>
      </c>
      <c r="E34" s="5">
        <f>D34*(1+E24)</f>
        <v>0</v>
      </c>
      <c r="F34" s="5">
        <f>E34*(1+F24)</f>
        <v>0</v>
      </c>
      <c r="G34" s="5">
        <f>F34*(1+G24)</f>
        <v>0</v>
      </c>
      <c r="H34" s="5">
        <f>G34*(1+H24)</f>
        <v>0</v>
      </c>
      <c r="I34" s="5">
        <f>H34*(1+I24)</f>
        <v>0</v>
      </c>
      <c r="J34" s="5">
        <f>I34*(1+J24)</f>
        <v>0</v>
      </c>
      <c r="K34" s="5">
        <f>J34*(1+K24)</f>
        <v>0</v>
      </c>
    </row>
    <row r="35" spans="1:11">
      <c r="A35" t="s">
        <v>39</v>
      </c>
      <c r="B35" s="5">
        <f>B34*B25</f>
        <v>0</v>
      </c>
      <c r="C35" s="5">
        <f>C34*C25</f>
        <v>0</v>
      </c>
      <c r="D35" s="5">
        <f>D34*D25</f>
        <v>0</v>
      </c>
      <c r="E35" s="5">
        <f>E34*E25</f>
        <v>0</v>
      </c>
      <c r="F35" s="5">
        <f>F34*F25</f>
        <v>0</v>
      </c>
      <c r="G35" s="5">
        <f>G34*G25</f>
        <v>0</v>
      </c>
      <c r="H35" s="5">
        <f>H34*H25</f>
        <v>0</v>
      </c>
      <c r="I35" s="5">
        <f>I34*I25</f>
        <v>0</v>
      </c>
      <c r="J35" s="5">
        <f>J34*J25</f>
        <v>0</v>
      </c>
      <c r="K35" s="5">
        <f>K34*K25</f>
        <v>0</v>
      </c>
    </row>
    <row r="36" spans="1:11">
      <c r="A36" t="s">
        <v>40</v>
      </c>
      <c r="B36" s="5">
        <f>B34*$B$27</f>
        <v>0</v>
      </c>
      <c r="C36" s="5">
        <f>C34*$B$27</f>
        <v>0</v>
      </c>
      <c r="D36" s="5">
        <f>D34*$B$27</f>
        <v>0</v>
      </c>
      <c r="E36" s="5">
        <f>E34*$B$27</f>
        <v>0</v>
      </c>
      <c r="F36" s="5">
        <f>F34*$B$27</f>
        <v>0</v>
      </c>
      <c r="G36" s="5">
        <f>G34*$B$27</f>
        <v>0</v>
      </c>
      <c r="H36" s="5">
        <f>H34*$B$27</f>
        <v>0</v>
      </c>
      <c r="I36" s="5">
        <f>I34*$B$27</f>
        <v>0</v>
      </c>
      <c r="J36" s="5">
        <f>J34*$B$27</f>
        <v>0</v>
      </c>
      <c r="K36" s="5">
        <f>K34*$B$27</f>
        <v>0</v>
      </c>
    </row>
    <row r="37" spans="1:11">
      <c r="A37" t="s">
        <v>41</v>
      </c>
      <c r="B37" s="5">
        <f>B35+B36</f>
        <v>0</v>
      </c>
      <c r="C37" s="5">
        <f>C35+C36</f>
        <v>0</v>
      </c>
      <c r="D37" s="5">
        <f>D35+D36</f>
        <v>0</v>
      </c>
      <c r="E37" s="5">
        <f>E35+E36</f>
        <v>0</v>
      </c>
      <c r="F37" s="5">
        <f>F35+F36</f>
        <v>0</v>
      </c>
      <c r="G37" s="5">
        <f>G35+G36</f>
        <v>0</v>
      </c>
      <c r="H37" s="5">
        <f>H35+H36</f>
        <v>0</v>
      </c>
      <c r="I37" s="5">
        <f>I35+I36</f>
        <v>0</v>
      </c>
      <c r="J37" s="5">
        <f>J35+J36</f>
        <v>0</v>
      </c>
      <c r="K37" s="5">
        <f>K35+K36</f>
        <v>0</v>
      </c>
    </row>
    <row r="38" spans="1:11">
      <c r="A38" t="s">
        <v>42</v>
      </c>
      <c r="B38" s="5">
        <f>B34*$B$30</f>
        <v>0</v>
      </c>
      <c r="C38" s="5">
        <f>C34*$B$30</f>
        <v>0</v>
      </c>
      <c r="D38" s="5">
        <f>D34*$B$30</f>
        <v>0</v>
      </c>
      <c r="E38" s="5">
        <f>E34*$B$30</f>
        <v>0</v>
      </c>
      <c r="F38" s="5">
        <f>F34*$B$30</f>
        <v>0</v>
      </c>
      <c r="G38" s="5">
        <f>G34*$B$30</f>
        <v>0</v>
      </c>
      <c r="H38" s="5">
        <f>H34*$B$30</f>
        <v>0</v>
      </c>
      <c r="I38" s="5">
        <f>I34*$B$30</f>
        <v>0</v>
      </c>
      <c r="J38" s="5">
        <f>J34*$B$30</f>
        <v>0</v>
      </c>
      <c r="K38" s="5">
        <f>K34*$B$30</f>
        <v>0</v>
      </c>
    </row>
    <row r="39" spans="1:11">
      <c r="A39" t="s">
        <v>43</v>
      </c>
      <c r="B39" s="5">
        <f>(B35-B38)*(1-B26)</f>
        <v>0</v>
      </c>
      <c r="C39" s="5">
        <f>(C35-C38)*(1-C26)</f>
        <v>0</v>
      </c>
      <c r="D39" s="5">
        <f>(D35-D38)*(1-D26)</f>
        <v>0</v>
      </c>
      <c r="E39" s="5">
        <f>(E35-E38)*(1-E26)</f>
        <v>0</v>
      </c>
      <c r="F39" s="5">
        <f>(F35-F38)*(1-F26)</f>
        <v>0</v>
      </c>
      <c r="G39" s="5">
        <f>(G35-G38)*(1-G26)</f>
        <v>0</v>
      </c>
      <c r="H39" s="5">
        <f>(H35-H38)*(1-H26)</f>
        <v>0</v>
      </c>
      <c r="I39" s="5">
        <f>(I35-I38)*(1-I26)</f>
        <v>0</v>
      </c>
      <c r="J39" s="5">
        <f>(J35-J38)*(1-J26)</f>
        <v>0</v>
      </c>
      <c r="K39" s="5">
        <f>(K35-K38)*(1-K26)</f>
        <v>0</v>
      </c>
    </row>
    <row r="40" spans="1:11">
      <c r="A40" t="s">
        <v>44</v>
      </c>
      <c r="B40" s="5">
        <f>B34*$B$28</f>
        <v>0</v>
      </c>
      <c r="C40" s="5">
        <f>C34*$B$28</f>
        <v>0</v>
      </c>
      <c r="D40" s="5">
        <f>D34*$B$28</f>
        <v>0</v>
      </c>
      <c r="E40" s="5">
        <f>E34*$B$28</f>
        <v>0</v>
      </c>
      <c r="F40" s="5">
        <f>F34*$B$28</f>
        <v>0</v>
      </c>
      <c r="G40" s="5">
        <f>G34*$B$28</f>
        <v>0</v>
      </c>
      <c r="H40" s="5">
        <f>H34*$B$28</f>
        <v>0</v>
      </c>
      <c r="I40" s="5">
        <f>I34*$B$28</f>
        <v>0</v>
      </c>
      <c r="J40" s="5">
        <f>J34*$B$28</f>
        <v>0</v>
      </c>
      <c r="K40" s="5">
        <f>K34*$B$28</f>
        <v>0</v>
      </c>
    </row>
    <row r="41" spans="1:11">
      <c r="A41" t="s">
        <v>45</v>
      </c>
      <c r="B41" s="5">
        <f>-$B$29*(B34-$B$21)</f>
        <v>0</v>
      </c>
      <c r="C41" s="5">
        <f>-$B$29*(C34-B34)</f>
        <v>0</v>
      </c>
      <c r="D41" s="5">
        <f>-$B$29*(D34-C34)</f>
        <v>0</v>
      </c>
      <c r="E41" s="5">
        <f>-$B$29*(E34-D34)</f>
        <v>0</v>
      </c>
      <c r="F41" s="5">
        <f>-$B$29*(F34-E34)</f>
        <v>0</v>
      </c>
      <c r="G41" s="5">
        <f>-$B$29*(G34-F34)</f>
        <v>0</v>
      </c>
      <c r="H41" s="5">
        <f>-$B$29*(H34-G34)</f>
        <v>0</v>
      </c>
      <c r="I41" s="5">
        <f>-$B$29*(I34-H34)</f>
        <v>0</v>
      </c>
      <c r="J41" s="5">
        <f>-$B$29*(J34-I34)</f>
        <v>0</v>
      </c>
      <c r="K41" s="5">
        <f>-$B$29*(K34-J34)</f>
        <v>0</v>
      </c>
    </row>
    <row r="42" spans="1:11">
      <c r="A42" t="s">
        <v>46</v>
      </c>
      <c r="B42" s="5">
        <f>B39+B36-B40+B41</f>
        <v>0</v>
      </c>
      <c r="C42" s="5">
        <f>C39+C36-C40+C41</f>
        <v>0</v>
      </c>
      <c r="D42" s="5">
        <f>D39+D36-D40+D41</f>
        <v>0</v>
      </c>
      <c r="E42" s="5">
        <f>E39+E36-E40+E41</f>
        <v>0</v>
      </c>
      <c r="F42" s="5">
        <f>F39+F36-F40+F41</f>
        <v>0</v>
      </c>
      <c r="G42" s="5">
        <f>G39+G36-G40+G41</f>
        <v>0</v>
      </c>
      <c r="H42" s="5">
        <f>H39+H36-H40+H41</f>
        <v>0</v>
      </c>
      <c r="I42" s="5">
        <f>I39+I36-I40+I41</f>
        <v>0</v>
      </c>
      <c r="J42" s="5">
        <f>J39+J36-J40+J41</f>
        <v>0</v>
      </c>
      <c r="K42" s="5">
        <f>K39+K36-K40+K41</f>
        <v>0</v>
      </c>
    </row>
    <row r="43" spans="1:11">
      <c r="A43" t="s">
        <v>47</v>
      </c>
      <c r="B43" s="8">
        <f>B42/B34</f>
        <v>0</v>
      </c>
      <c r="C43" s="8">
        <f>C42/C34</f>
        <v>0</v>
      </c>
      <c r="D43" s="8">
        <f>D42/D34</f>
        <v>0</v>
      </c>
      <c r="E43" s="8">
        <f>E42/E34</f>
        <v>0</v>
      </c>
      <c r="F43" s="8">
        <f>F42/F34</f>
        <v>0</v>
      </c>
      <c r="G43" s="8">
        <f>G42/G34</f>
        <v>0</v>
      </c>
      <c r="H43" s="8">
        <f>H42/H34</f>
        <v>0</v>
      </c>
      <c r="I43" s="8">
        <f>I42/I34</f>
        <v>0</v>
      </c>
      <c r="J43" s="8">
        <f>J42/J34</f>
        <v>0</v>
      </c>
      <c r="K43" s="8">
        <f>K42/K34</f>
        <v>0</v>
      </c>
    </row>
    <row r="44" spans="1:11">
      <c r="A44" t="s">
        <v>48</v>
      </c>
      <c r="B44" s="5">
        <f>1/(1+$B$18)^1</f>
        <v>0</v>
      </c>
      <c r="C44" s="5">
        <f>1/(1+$B$18)^2</f>
        <v>0</v>
      </c>
      <c r="D44" s="5">
        <f>1/(1+$B$18)^3</f>
        <v>0</v>
      </c>
      <c r="E44" s="5">
        <f>1/(1+$B$18)^4</f>
        <v>0</v>
      </c>
      <c r="F44" s="5">
        <f>1/(1+$B$18)^5</f>
        <v>0</v>
      </c>
      <c r="G44" s="5">
        <f>1/(1+$B$18)^6</f>
        <v>0</v>
      </c>
      <c r="H44" s="5">
        <f>1/(1+$B$18)^7</f>
        <v>0</v>
      </c>
      <c r="I44" s="5">
        <f>1/(1+$B$18)^8</f>
        <v>0</v>
      </c>
      <c r="J44" s="5">
        <f>1/(1+$B$18)^9</f>
        <v>0</v>
      </c>
      <c r="K44" s="5">
        <f>1/(1+$B$18)^10</f>
        <v>0</v>
      </c>
    </row>
    <row r="45" spans="1:11">
      <c r="A45" t="s">
        <v>49</v>
      </c>
      <c r="B45" s="5">
        <f>B42*B44</f>
        <v>0</v>
      </c>
      <c r="C45" s="5">
        <f>C42*C44</f>
        <v>0</v>
      </c>
      <c r="D45" s="5">
        <f>D42*D44</f>
        <v>0</v>
      </c>
      <c r="E45" s="5">
        <f>E42*E44</f>
        <v>0</v>
      </c>
      <c r="F45" s="5">
        <f>F42*F44</f>
        <v>0</v>
      </c>
      <c r="G45" s="5">
        <f>G42*G44</f>
        <v>0</v>
      </c>
      <c r="H45" s="5">
        <f>H42*H44</f>
        <v>0</v>
      </c>
      <c r="I45" s="5">
        <f>I42*I44</f>
        <v>0</v>
      </c>
      <c r="J45" s="5">
        <f>J42*J44</f>
        <v>0</v>
      </c>
      <c r="K45" s="5">
        <f>K42*K44</f>
        <v>0</v>
      </c>
    </row>
    <row r="47" spans="1:11">
      <c r="A47" s="3" t="s">
        <v>50</v>
      </c>
    </row>
    <row r="48" spans="1:11">
      <c r="A48" t="s">
        <v>51</v>
      </c>
      <c r="B48" s="5">
        <f>SUM(B45:K45)</f>
        <v>0</v>
      </c>
    </row>
    <row r="49" spans="1:2">
      <c r="A49" t="s">
        <v>52</v>
      </c>
      <c r="B49" s="5">
        <f>K42*(1+$B$19)</f>
        <v>0</v>
      </c>
    </row>
    <row r="50" spans="1:2">
      <c r="A50" t="s">
        <v>53</v>
      </c>
      <c r="B50" s="5">
        <f>B49/($B$18-$B$19)</f>
        <v>0</v>
      </c>
    </row>
    <row r="51" spans="1:2">
      <c r="A51" t="s">
        <v>54</v>
      </c>
      <c r="B51" s="5">
        <f>$B$20*K42</f>
        <v>0</v>
      </c>
    </row>
    <row r="52" spans="1:2">
      <c r="A52" t="s">
        <v>55</v>
      </c>
      <c r="B52" s="5">
        <f>MIN(B50,B51)</f>
        <v>0</v>
      </c>
    </row>
    <row r="53" spans="1:2">
      <c r="A53" t="s">
        <v>56</v>
      </c>
      <c r="B53" s="5">
        <f>B52*K44</f>
        <v>0</v>
      </c>
    </row>
    <row r="54" spans="1:2">
      <c r="A54" t="s">
        <v>57</v>
      </c>
      <c r="B54" s="5">
        <f>B48+B53</f>
        <v>0</v>
      </c>
    </row>
    <row r="55" spans="1:2">
      <c r="A55" t="s">
        <v>58</v>
      </c>
      <c r="B55" s="5">
        <f>B9</f>
        <v>0</v>
      </c>
    </row>
    <row r="56" spans="1:2">
      <c r="A56" t="s">
        <v>59</v>
      </c>
      <c r="B56" s="5">
        <f>B54-B55</f>
        <v>0</v>
      </c>
    </row>
    <row r="57" spans="1:2">
      <c r="A57" s="9" t="s">
        <v>60</v>
      </c>
      <c r="B57" s="10">
        <f>B56/$B$6</f>
        <v>0</v>
      </c>
    </row>
    <row r="59" spans="1:2">
      <c r="A59" s="3" t="s">
        <v>61</v>
      </c>
    </row>
    <row r="60" spans="1:2">
      <c r="A60" t="s">
        <v>62</v>
      </c>
      <c r="B60" s="5">
        <f>NPV(0.15,B42:K42)</f>
        <v>0</v>
      </c>
    </row>
    <row r="61" spans="1:2">
      <c r="A61" t="s">
        <v>63</v>
      </c>
      <c r="B61" s="5">
        <f>B50/(1.15^10)</f>
        <v>0</v>
      </c>
    </row>
    <row r="62" spans="1:2">
      <c r="A62" t="s">
        <v>64</v>
      </c>
      <c r="B62" s="5">
        <f>B9</f>
        <v>0</v>
      </c>
    </row>
    <row r="63" spans="1:2">
      <c r="A63" t="s">
        <v>65</v>
      </c>
      <c r="B63" s="10">
        <f>(B60+B61-B62)/$B$6</f>
        <v>0</v>
      </c>
    </row>
    <row r="65" spans="1:2">
      <c r="A65" t="s">
        <v>66</v>
      </c>
      <c r="B65" s="8">
        <f>(B57-B5)/B5</f>
        <v>0</v>
      </c>
    </row>
    <row r="66" spans="1:2">
      <c r="A66" t="s">
        <v>67</v>
      </c>
      <c r="B66" s="8">
        <f>(B5-B63)/B5</f>
        <v>0</v>
      </c>
    </row>
    <row r="68" spans="1:2">
      <c r="A68" s="2" t="s">
        <v>68</v>
      </c>
    </row>
    <row r="69" spans="1:2">
      <c r="A69" s="2" t="s">
        <v>69</v>
      </c>
    </row>
    <row r="70" spans="1:2">
      <c r="A70" s="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71</v>
      </c>
    </row>
    <row r="2" spans="1:6">
      <c r="A2" t="s">
        <v>72</v>
      </c>
    </row>
    <row r="4" spans="1:6">
      <c r="A4" s="7" t="s">
        <v>73</v>
      </c>
      <c r="B4" s="11">
        <v>0.01</v>
      </c>
      <c r="C4" s="11">
        <v>0.015</v>
      </c>
      <c r="D4" s="11">
        <v>0.02</v>
      </c>
      <c r="E4" s="11">
        <v>0.025</v>
      </c>
      <c r="F4" s="11">
        <v>0.03</v>
      </c>
    </row>
    <row r="5" spans="1:6">
      <c r="A5" s="11">
        <v>0.135</v>
      </c>
      <c r="B5" s="12">
        <v>1.0001</v>
      </c>
      <c r="C5" s="12">
        <v>1.0184</v>
      </c>
      <c r="D5" s="12">
        <v>1.0382</v>
      </c>
      <c r="E5" s="12">
        <v>1.0598</v>
      </c>
      <c r="F5" s="12">
        <v>1.0835</v>
      </c>
    </row>
    <row r="6" spans="1:6">
      <c r="A6" s="11">
        <v>0.155</v>
      </c>
      <c r="B6" s="12">
        <v>0.8348</v>
      </c>
      <c r="C6" s="12">
        <v>0.8463000000000001</v>
      </c>
      <c r="D6" s="12">
        <v>0.8587</v>
      </c>
      <c r="E6" s="12">
        <v>0.872</v>
      </c>
      <c r="F6" s="12">
        <v>0.8864</v>
      </c>
    </row>
    <row r="7" spans="1:6">
      <c r="A7" s="11">
        <v>0.175</v>
      </c>
      <c r="B7" s="12">
        <v>0.7107</v>
      </c>
      <c r="C7" s="12">
        <v>0.7183</v>
      </c>
      <c r="D7" s="12">
        <v>0.7264</v>
      </c>
      <c r="E7" s="12">
        <v>0.735</v>
      </c>
      <c r="F7" s="12">
        <v>0.7442</v>
      </c>
    </row>
    <row r="8" spans="1:6">
      <c r="A8" s="11">
        <v>0.195</v>
      </c>
      <c r="B8" s="12">
        <v>0.6143999999999999</v>
      </c>
      <c r="C8" s="12">
        <v>0.6196</v>
      </c>
      <c r="D8" s="12">
        <v>0.625</v>
      </c>
      <c r="E8" s="12">
        <v>0.6308</v>
      </c>
      <c r="F8" s="12">
        <v>0.637</v>
      </c>
    </row>
    <row r="9" spans="1:6">
      <c r="A9" s="11">
        <v>0.215</v>
      </c>
      <c r="B9" s="12">
        <v>0.5375</v>
      </c>
      <c r="C9" s="12">
        <v>0.5411</v>
      </c>
      <c r="D9" s="12">
        <v>0.5449000000000001</v>
      </c>
      <c r="E9" s="12">
        <v>0.5489000000000001</v>
      </c>
      <c r="F9" s="12">
        <v>0.5532</v>
      </c>
    </row>
    <row r="12" spans="1:6">
      <c r="A12" s="2" t="s">
        <v>74</v>
      </c>
    </row>
    <row r="13" spans="1:6">
      <c r="A13" s="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3" width="40.7109375" customWidth="1"/>
  </cols>
  <sheetData>
    <row r="1" spans="1:3">
      <c r="A1" s="1" t="s">
        <v>76</v>
      </c>
    </row>
    <row r="2" spans="1:3">
      <c r="A2" s="2" t="s">
        <v>77</v>
      </c>
    </row>
    <row r="3" spans="1:3">
      <c r="A3" s="2" t="s">
        <v>78</v>
      </c>
    </row>
    <row r="5" spans="1:3">
      <c r="A5" s="7" t="s">
        <v>79</v>
      </c>
      <c r="B5" s="7" t="s">
        <v>80</v>
      </c>
      <c r="C5" s="7" t="s">
        <v>81</v>
      </c>
    </row>
    <row r="6" spans="1:3">
      <c r="A6" t="s">
        <v>82</v>
      </c>
      <c r="B6" s="8">
        <v>-0.027</v>
      </c>
      <c r="C6" s="8">
        <v>-0.0036</v>
      </c>
    </row>
    <row r="7" spans="1:3">
      <c r="A7" t="s">
        <v>83</v>
      </c>
      <c r="B7" t="s">
        <v>84</v>
      </c>
      <c r="C7" t="s">
        <v>84</v>
      </c>
    </row>
    <row r="8" spans="1:3">
      <c r="A8" t="s">
        <v>85</v>
      </c>
      <c r="B8" s="8">
        <v>-0.5202</v>
      </c>
      <c r="C8" s="8">
        <v>-0.2366</v>
      </c>
    </row>
    <row r="9" spans="1:3">
      <c r="A9" t="s">
        <v>86</v>
      </c>
      <c r="B9" t="s">
        <v>84</v>
      </c>
      <c r="C9" s="8">
        <v>-0.0196</v>
      </c>
    </row>
    <row r="11" spans="1:3">
      <c r="A11" s="9" t="s">
        <v>87</v>
      </c>
      <c r="B11" s="8">
        <v>-0.0189</v>
      </c>
    </row>
    <row r="13" spans="1:3">
      <c r="A13" s="9" t="s">
        <v>88</v>
      </c>
      <c r="B13" t="s">
        <v>89</v>
      </c>
    </row>
    <row r="15" spans="1:3">
      <c r="A15" s="9" t="s">
        <v>90</v>
      </c>
    </row>
    <row r="16" spans="1:3" ht="220" customHeight="1">
      <c r="A16" s="13" t="s">
        <v>91</v>
      </c>
    </row>
    <row r="18" spans="1:1">
      <c r="A18" s="9" t="s">
        <v>92</v>
      </c>
    </row>
    <row r="19" spans="1:1" ht="260" customHeight="1">
      <c r="A19" s="13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cols>
    <col min="1" max="1" width="32.7109375" customWidth="1"/>
    <col min="2" max="8" width="13.7109375" customWidth="1"/>
  </cols>
  <sheetData>
    <row r="1" spans="1:7">
      <c r="A1" s="1" t="s">
        <v>94</v>
      </c>
    </row>
    <row r="2" spans="1:7">
      <c r="A2" s="2" t="s">
        <v>95</v>
      </c>
    </row>
    <row r="4" spans="1:7">
      <c r="A4" s="7" t="s">
        <v>79</v>
      </c>
      <c r="B4" s="7" t="s">
        <v>96</v>
      </c>
      <c r="C4" s="7" t="s">
        <v>97</v>
      </c>
      <c r="D4" s="7" t="s">
        <v>98</v>
      </c>
      <c r="E4" s="7" t="s">
        <v>99</v>
      </c>
      <c r="F4" s="7" t="s">
        <v>100</v>
      </c>
      <c r="G4" s="7" t="s">
        <v>101</v>
      </c>
    </row>
    <row r="5" spans="1:7">
      <c r="A5" t="s">
        <v>82</v>
      </c>
      <c r="B5" s="5">
        <v>178.493</v>
      </c>
      <c r="C5" s="5">
        <v>195.912</v>
      </c>
      <c r="D5" s="5">
        <v>191.734</v>
      </c>
      <c r="E5" s="5">
        <v>200.683</v>
      </c>
      <c r="F5" s="5">
        <v>192.428</v>
      </c>
      <c r="G5" s="5">
        <v>117.971</v>
      </c>
    </row>
    <row r="6" spans="1:7">
      <c r="A6" t="s">
        <v>102</v>
      </c>
      <c r="B6" s="5">
        <v>-26.862</v>
      </c>
      <c r="C6" s="5">
        <v>34.091</v>
      </c>
      <c r="D6" s="5">
        <v>14.224</v>
      </c>
      <c r="E6" s="5">
        <v>-4.339</v>
      </c>
      <c r="F6" s="5">
        <v>30.882</v>
      </c>
      <c r="G6" s="5">
        <v>20.165</v>
      </c>
    </row>
    <row r="7" spans="1:7">
      <c r="A7" t="s">
        <v>103</v>
      </c>
      <c r="B7" s="5">
        <v>0.365</v>
      </c>
      <c r="C7" s="5">
        <v>0.329</v>
      </c>
      <c r="D7" s="5">
        <v>0.471</v>
      </c>
      <c r="E7" s="5">
        <v>1.039</v>
      </c>
      <c r="F7" s="5">
        <v>0.066</v>
      </c>
      <c r="G7" s="5">
        <v>0.058</v>
      </c>
    </row>
    <row r="8" spans="1:7">
      <c r="A8" t="s">
        <v>104</v>
      </c>
      <c r="B8" s="5">
        <v>0</v>
      </c>
      <c r="C8" s="5">
        <v>0</v>
      </c>
      <c r="D8" s="5">
        <v>0</v>
      </c>
      <c r="E8" s="5">
        <v>0</v>
      </c>
      <c r="F8" s="5">
        <v>0.133</v>
      </c>
      <c r="G8" s="5">
        <v>0</v>
      </c>
    </row>
    <row r="9" spans="1:7">
      <c r="A9" t="inlineStr">
        <is>
          <t>= Owner FCF</t>
        </is>
      </c>
      <c r="B9" s="5">
        <v>-27.227</v>
      </c>
      <c r="C9" s="5">
        <v>33.762</v>
      </c>
      <c r="D9" s="5">
        <v>13.753</v>
      </c>
      <c r="E9" s="5">
        <v>-5.378</v>
      </c>
      <c r="F9" s="5">
        <v>30.683</v>
      </c>
      <c r="G9" s="5">
        <v>20.107</v>
      </c>
    </row>
    <row r="10" spans="1:7">
      <c r="A10" t="s">
        <v>105</v>
      </c>
      <c r="B10" s="8">
        <v>-0.1504932966558913</v>
      </c>
      <c r="C10" s="8">
        <v>0.1740118012168729</v>
      </c>
      <c r="D10" s="8">
        <v>0.07418611200934629</v>
      </c>
      <c r="E10" s="8">
        <v>-0.02162116372587614</v>
      </c>
      <c r="F10" s="8">
        <v>0.160485999958426</v>
      </c>
      <c r="G10" s="8">
        <v>0.1709318391808156</v>
      </c>
    </row>
    <row r="11" spans="1:7">
      <c r="A11" t="s">
        <v>47</v>
      </c>
      <c r="B11" s="8">
        <v>-0.1525381947751452</v>
      </c>
      <c r="C11" s="8">
        <v>0.1723324758054637</v>
      </c>
      <c r="D11" s="8">
        <v>0.07172958369407617</v>
      </c>
      <c r="E11" s="8">
        <v>-0.0267984831799405</v>
      </c>
      <c r="F11" s="8">
        <v>0.159451846924564</v>
      </c>
      <c r="G11" s="8">
        <v>0.1704401929287706</v>
      </c>
    </row>
    <row r="12" spans="1:7">
      <c r="A12" t="s">
        <v>106</v>
      </c>
      <c r="B12" t="s">
        <v>110</v>
      </c>
      <c r="C12" t="s">
        <v>110</v>
      </c>
      <c r="D12" t="s">
        <v>110</v>
      </c>
      <c r="E12" t="s">
        <v>110</v>
      </c>
      <c r="F12" s="5">
        <v>46.773</v>
      </c>
      <c r="G12" s="5">
        <v>20.7</v>
      </c>
    </row>
    <row r="13" spans="1:7">
      <c r="A13" t="s">
        <v>107</v>
      </c>
      <c r="B13" t="s">
        <v>110</v>
      </c>
      <c r="C13" t="s">
        <v>110</v>
      </c>
      <c r="D13" t="s">
        <v>110</v>
      </c>
      <c r="E13" t="s">
        <v>110</v>
      </c>
      <c r="F13" s="8">
        <v>1.514571595103944</v>
      </c>
      <c r="G13" s="8">
        <v>1.026531118274238</v>
      </c>
    </row>
    <row r="14" spans="1:7">
      <c r="A14" t="s">
        <v>108</v>
      </c>
      <c r="B14" t="s">
        <v>110</v>
      </c>
      <c r="C14" t="s">
        <v>110</v>
      </c>
      <c r="D14" t="s">
        <v>110</v>
      </c>
      <c r="E14" t="s">
        <v>110</v>
      </c>
      <c r="F14" s="5">
        <v>-15.891</v>
      </c>
      <c r="G14" s="5">
        <v>-0.5350000000000001</v>
      </c>
    </row>
    <row r="15" spans="1:7">
      <c r="A15" t="s">
        <v>109</v>
      </c>
      <c r="B15" t="s">
        <v>110</v>
      </c>
      <c r="C15" t="s">
        <v>110</v>
      </c>
      <c r="D15" t="s">
        <v>110</v>
      </c>
      <c r="E15" t="s">
        <v>110</v>
      </c>
      <c r="F15" s="8">
        <v>-0.08258153699045878</v>
      </c>
      <c r="G15" s="8">
        <v>-0.004535012842139171</v>
      </c>
    </row>
    <row r="18" spans="1:8">
      <c r="A18" s="13" t="s">
        <v>112</v>
      </c>
      <c r="B18" s="13"/>
      <c r="C18" s="13"/>
      <c r="D18" s="13"/>
      <c r="E18" s="13"/>
      <c r="F18" s="13"/>
      <c r="G18" s="13"/>
      <c r="H18" s="13"/>
    </row>
    <row r="19" spans="1:8" ht="20" customHeight="1">
      <c r="A19" s="13"/>
      <c r="B19" s="13"/>
      <c r="C19" s="13"/>
      <c r="D19" s="13"/>
      <c r="E19" s="13"/>
      <c r="F19" s="13"/>
      <c r="G19" s="13"/>
      <c r="H19" s="13"/>
    </row>
    <row r="20" spans="1:8" ht="20" customHeight="1">
      <c r="A20" s="13"/>
      <c r="B20" s="13"/>
      <c r="C20" s="13"/>
      <c r="D20" s="13"/>
      <c r="E20" s="13"/>
      <c r="F20" s="13"/>
      <c r="G20" s="13"/>
      <c r="H20" s="13"/>
    </row>
    <row r="21" spans="1:8" ht="20" customHeight="1">
      <c r="A21" s="13"/>
      <c r="B21" s="13"/>
      <c r="C21" s="13"/>
      <c r="D21" s="13"/>
      <c r="E21" s="13"/>
      <c r="F21" s="13"/>
      <c r="G21" s="13"/>
      <c r="H21" s="13"/>
    </row>
    <row r="22" spans="1:8" ht="20" customHeight="1">
      <c r="A22" s="13"/>
      <c r="B22" s="13"/>
      <c r="C22" s="13"/>
      <c r="D22" s="13"/>
      <c r="E22" s="13"/>
      <c r="F22" s="13"/>
      <c r="G22" s="13"/>
      <c r="H22" s="13"/>
    </row>
    <row r="23" spans="1:8" ht="20" customHeight="1">
      <c r="A23" s="13"/>
      <c r="B23" s="13"/>
      <c r="C23" s="13"/>
      <c r="D23" s="13"/>
      <c r="E23" s="13"/>
      <c r="F23" s="13"/>
      <c r="G23" s="13"/>
      <c r="H23" s="13"/>
    </row>
    <row r="24" spans="1:8" ht="20" customHeight="1"/>
    <row r="26" spans="1:8">
      <c r="A26" s="9" t="s">
        <v>113</v>
      </c>
    </row>
    <row r="27" spans="1:8">
      <c r="A27" t="s">
        <v>114</v>
      </c>
    </row>
    <row r="28" spans="1:8">
      <c r="A28" t="s">
        <v>115</v>
      </c>
    </row>
    <row r="29" spans="1:8">
      <c r="A29" t="s">
        <v>116</v>
      </c>
    </row>
  </sheetData>
  <mergeCells count="1">
    <mergeCell ref="A18:H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1" t="s">
        <v>117</v>
      </c>
    </row>
    <row r="4" spans="1:2" ht="20" customHeight="1">
      <c r="A4" s="9" t="s">
        <v>118</v>
      </c>
      <c r="B4" s="13" t="s">
        <v>119</v>
      </c>
    </row>
    <row r="5" spans="1:2" ht="20" customHeight="1">
      <c r="A5" s="9" t="s">
        <v>120</v>
      </c>
      <c r="B5" s="13" t="s">
        <v>121</v>
      </c>
    </row>
    <row r="6" spans="1:2" ht="30" customHeight="1">
      <c r="A6" s="9" t="s">
        <v>122</v>
      </c>
      <c r="B6" s="13" t="s">
        <v>123</v>
      </c>
    </row>
    <row r="7" spans="1:2" ht="45" customHeight="1">
      <c r="A7" s="9" t="s">
        <v>124</v>
      </c>
      <c r="B7" s="13" t="s">
        <v>125</v>
      </c>
    </row>
    <row r="8" spans="1:2" ht="60" customHeight="1">
      <c r="A8" s="9" t="s">
        <v>126</v>
      </c>
      <c r="B8" s="13" t="s">
        <v>127</v>
      </c>
    </row>
    <row r="9" spans="1:2" ht="90" customHeight="1">
      <c r="A9" s="9" t="s">
        <v>128</v>
      </c>
      <c r="B9" s="13" t="s">
        <v>129</v>
      </c>
    </row>
    <row r="10" spans="1:2" ht="120" customHeight="1">
      <c r="A10" s="9" t="s">
        <v>130</v>
      </c>
      <c r="B10" s="13" t="s">
        <v>131</v>
      </c>
    </row>
    <row r="11" spans="1:2" ht="45" customHeight="1">
      <c r="A11" s="9" t="s">
        <v>132</v>
      </c>
      <c r="B11" s="13" t="s">
        <v>133</v>
      </c>
    </row>
    <row r="12" spans="1:2" ht="60" customHeight="1">
      <c r="A12" s="9" t="s">
        <v>134</v>
      </c>
      <c r="B12" s="13" t="s">
        <v>135</v>
      </c>
    </row>
    <row r="13" spans="1:2" ht="75" customHeight="1">
      <c r="A13" s="9" t="s">
        <v>136</v>
      </c>
      <c r="B13" s="13" t="s">
        <v>137</v>
      </c>
    </row>
    <row r="14" spans="1:2" ht="105" customHeight="1">
      <c r="A14" s="9" t="s">
        <v>138</v>
      </c>
      <c r="B14" s="13" t="s">
        <v>139</v>
      </c>
    </row>
    <row r="15" spans="1:2" ht="45" customHeight="1">
      <c r="A15" s="9" t="s">
        <v>140</v>
      </c>
      <c r="B15" s="13" t="s">
        <v>141</v>
      </c>
    </row>
    <row r="16" spans="1:2" ht="45" customHeight="1">
      <c r="A16" s="9" t="s">
        <v>142</v>
      </c>
      <c r="B16" s="1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Historical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2026-08-10T05:48:25Z</dcterms:created>
  <dcterms:modified xsi:type="dcterms:W3CDTF">2026-08-10T05:48:25Z</dcterms:modified>
</cp:coreProperties>
</file>