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<sst xmlns="http://schemas.openxmlformats.org/spreadsheetml/2006/main" count="365" uniqueCount="173">
  <si>
    <t xml:space="preserve">Ticker</t>
  </si>
  <si>
    <t xml:space="preserve">3709.HK</t>
  </si>
  <si>
    <t xml:space="preserve">Company</t>
  </si>
  <si>
    <t xml:space="preserve">EEKA Fashion Holdings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</si>
  <si>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</si>
  <si>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</si>
  <si>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</si>
  <si>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</si>
  <si>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2026-10-22T08:08:34Z (HKEX regular close 16:08 HKT); 52-week range 3.735-8.83, price sits at the bottom of the range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</si>
  <si>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</si>
  <si>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</si>
  <si>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</si>
  <si>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</si>
  <si>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</si>
  <si>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</si>
  <si>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</si>
  <si>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</si>
  <si>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</si>
  <si>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</si>
  <si>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</si>
  <si>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</si>
  <si>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</si>
  <si>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2026-10-22T12:06:46Z</t>
  </si>
  <si>
    <t xml:space="preserve">Drivers file</t>
  </si>
  <si>
    <t xml:space="preserve">3709.HK_Drivers.json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</si>
  <si>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</si>
  <si>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</si>
  <si>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</si>
  <si>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owner cash flow that remains after landlords are paid - lease principal plus interest of ~RMB0.9bn/yr sits in financing and would otherwise flatter reported FCF by 55-60%. Growth is modelled as negative-then-flat because the store base and the end market are both contracting; the case for the shares is the cash yield on a ~RMB1.4bn ex-cash enterprise value, bounded by whether cost-cutting can keep holding margins while revenue falls. Discount at an RMB-built 9.5% with risk carried in a 30% bear weight, and cap the terminal at 12x owner FCF.
key_risks_to_valuation: Same-store sales decline persists beyond FY2027: every -1pp of long-run revenue growth is worth roughly 8-10% of the base value; Lease ratio does not fall with the store-mix shift: each +1pp of lease cost to revenue removes ~RMB55m of annual owner FCF (~12% of the base run-rate); Inventory markdowns: 407 days of inventory (RMB1.38bn) against a 76% gross margin means a clearance cycle could take 2-3pp off EBITDA margin for a year or two; The RMB650m net cash includes RMB698m of bank/trust wealth management products carried at fair value; if they are less liquid than cash the bridge overstates value by up to RMB1.0/share; Capital allocation: the share award scheme trustee buys ~RMB60-80m of shares a year without cancellation; if grants resume at the FY2024 pace (9.4m shares) the effective SBC charge is above the 1% modelled; Government subsidy income (~RMB75m/yr, 1.2% of revenue) is inside the EBITDA margin and is discretionary to local authorities</t>
  </si>
  <si>
    <t xml:space="preserve">Data sources</t>
  </si>
  <si>
    <t xml:space="preserve">price: Yahoo Finance chart API at inputs.price_as_of; 52-week range 3.735-8.83. FX from Yahoo CNYHKD=X on the same date.
financials: 3709.HK_Metrics.csv and kpis table (core_metrics) built from the FY2018-FY2025 annual reports and H1 FY2024-H1 FY2026 interim reports; balance-sheet anchors (cash, FVTPL, borrowings, lease liabilities, share count) read directly from 3709.HK_HalfYear_H1-2026.txt lines 1880-1912, 2060-2102, 2499-2529, 2844-2852; lease interest, other income and share-award trustee holdings from 3709.HK_Annual_FY2025.txt lines 10244-10262, 10336-10337, 11236-11256, 11712-11724.
qualitative: 3709.HK_Analysis.json (2026-10-23): business model, brand-level trends, inventory days, store counts, Bain China luxury market data, FY2025 chairman's letter and H1 FY2026 outlook.</t>
  </si>
  <si>
    <t xml:space="preserve">Scenario narrative: bear</t>
  </si>
  <si>
    <t xml:space="preserve">Structural same-store decline and department-store channel erosion: revenue compounds down 27% over six years, markdowns compress the pre-lease margin to 22.5%, rent ratio rises to 15%, run-rate owner FCF ~RMB200m. The company survives on its balance sheet but the dividend is funded from cash, not earnings.</t>
  </si>
  <si>
    <t xml:space="preserve">Scenario narrative: base</t>
  </si>
  <si>
    <t xml:space="preserve">A shrinking but cash-generative multi-brand retailer: FY2026 revenue -10% then a slow recovery to 2% growth, pre-lease EBITDA margin ~25%, lease cash easing from 14.6% to 13.5% of revenue as the store mix upgrades and e-commerce grows. Owner FCF settles around RMB400-450m, ~RMB0.65/share, against an RMB650m net cash pile.</t>
  </si>
  <si>
    <t xml:space="preserve">Scenario narrative: bull</t>
  </si>
  <si>
    <t xml:space="preserve">Consumption recovery from 2027 plus a successful brand consolidation and livestreaming channel shift: revenue back to 3-4% growth, pre-lease margin 26.5%, lease ratio 13%. The upside axis is margin and channel mix, not store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</si>
  <si>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</si>
  <si>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</si>
  <si>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</si>
  <si>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</si>
  <si>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</si>
  <si>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</si>
  <si>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</si>
  <si>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</si>
  <si>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</si>
  <si>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</si>
  <si>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</si>
  <si>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</si>
  <si>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</si>
  <si>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</si>
  <si>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</si>
  <si>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</si>
  <si>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</si>
  <si>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</si>
  <si>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</si>
  <si>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</si>
  <si>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</si>
  <si>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</si>
  <si>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</si>
  <si>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</si>
  <si>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</si>
  <si>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</si>
  <si>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</si>
  <si>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EPSDiluted</t>
  </si>
  <si>
    <t xml:space="preserve">LeasePrincipalPaid</t>
  </si>
  <si>
    <t xml:space="preserve">NetIncomeInclNCI</t>
  </si>
  <si>
    <t xml:space="preserve">OnlineSales</t>
  </si>
  <si>
    <t xml:space="preserve">SegmentRevenueRetail</t>
  </si>
  <si>
    <t xml:space="preserve">ShortTermInvestments</t>
  </si>
  <si>
    <t xml:space="preserve">StoreCount</t>
  </si>
  <si>
    <t xml:space="preserve">WholesaleRevenue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</si>
  <si>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</si>
  <si>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</si>
  <si>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</si>
  <si>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</si>
  <si>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</si>
  <si>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</si>
  <si>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</si>
  <si>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</si>
  <si>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</si>
  <si>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</si>
  <si>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</si>
  <si>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</si>
  <si>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</si>
  <si>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</si>
  <si>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</si>
  <si>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</si>
  <si>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</si>
  <si>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</si>
  <si>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</si>
  <si>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</si>
  <si>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</si>
  <si>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</si>
  <si>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</si>
  <si>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</si>
  <si>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</si>
  <si>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</si>
  <si>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</si>
  <si>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</si>
  <si>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</si>
  <si>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</si>
  <si>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</si>
  <si>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</si>
  <si>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</si>
  <si>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</si>
  <si>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</si>
  <si>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</si>
  <si>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</si>
  <si>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</si>
  <si>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</si>
  <si>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</si>
  <si>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</si>
  <si>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</si>
  <si>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</si>
  <si>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</si>
  <si>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</si>
  <si>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</si>
  <si>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3709.HK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</si>
  <si>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</si>
  <si>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</si>
  <si>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</si>
  <si>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</si>
  <si>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</si>
  <si>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</si>
  <si>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</si>
  <si>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</si>
  <si>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</si>
  <si>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</si>
  <si>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</si>
  <si>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</si>
  <si>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</si>
  <si>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</si>
  <si>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</si>
  <si>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</si>
  <si>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</si>
  <si>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</si>
  <si>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</si>
  <si>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</si>
  <si>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</si>
  <si>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</si>
  <si>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</si>
  <si>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</si>
  <si>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</si>
  <si>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</si>
  <si>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</si>
  <si>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</si>
  <si>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</si>
  <si>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</si>
  <si>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3709.HK owner-FCF component DCF: base case (millions, CNY)</t>
  </si>
  <si>
    <t xml:space="preserve">3709.HK owner-FCF component DCF: bull case (millions, CNY)</t>
  </si>
  <si>
    <t xml:space="preserve">3709.HK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</si>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</sst>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3.87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</row>
    <row r="2" customFormat="false" ht="15" hidden="false" customHeight="false" outlineLevel="0" collapsed="false">
      <c r="A2" s="0" t="s">
        <v>72</v>
      </c>
      <c r="B2" s="0" t="n">
        <v>2203.726</v>
      </c>
      <c r="C2" s="0" t="n">
        <v>642.703</v>
      </c>
      <c r="D2" s="0" t="n">
        <v>1561.023</v>
      </c>
      <c r="E2" s="0" t="n">
        <v>70.8</v>
      </c>
      <c r="F2" s="0" t="n">
        <v>306.561</v>
      </c>
      <c r="G2" s="0" t="n">
        <v>13.9</v>
      </c>
      <c r="H2" s="0" t="n">
        <v>367.891</v>
      </c>
      <c r="I2" s="0" t="n">
        <v>253.517</v>
      </c>
      <c r="J2" s="0" t="n">
        <v>11.5</v>
      </c>
      <c r="K2" s="0" t="n">
        <v>0.52</v>
      </c>
      <c r="L2" s="0" t="n">
        <v>149.578</v>
      </c>
      <c r="M2" s="0" t="n">
        <v>71.567</v>
      </c>
      <c r="N2" s="0" t="n">
        <v>78.011</v>
      </c>
      <c r="O2" s="0" t="n">
        <v>1091.824</v>
      </c>
      <c r="P2" s="0" t="n">
        <v>1604.887</v>
      </c>
      <c r="Q2" s="0" t="n">
        <v>492.232</v>
      </c>
      <c r="R2" s="0" t="n">
        <v>158.932</v>
      </c>
      <c r="S2" s="0" t="n">
        <v>517.07</v>
      </c>
      <c r="T2" s="0" t="n">
        <v>490.957</v>
      </c>
      <c r="U2" s="0" t="n">
        <v>0.38</v>
      </c>
      <c r="AA2" s="0" t="s">
        <v>18</v>
      </c>
      <c r="AB2" s="0" t="s">
        <v>14</v>
      </c>
      <c r="AC2" s="0" t="n">
        <v>0.51</v>
      </c>
      <c r="AE2" s="0" t="n">
        <v>242.583</v>
      </c>
      <c r="AF2" s="0" t="n">
        <v>155.367</v>
      </c>
      <c r="AG2" s="0" t="n">
        <v>1843.039</v>
      </c>
      <c r="AH2" s="0" t="n">
        <v>0</v>
      </c>
      <c r="AJ2" s="0" t="n">
        <v>195.076</v>
      </c>
    </row>
    <row r="3" customFormat="false" ht="15" hidden="false" customHeight="false" outlineLevel="0" collapsed="false">
      <c r="A3" s="0" t="s">
        <v>73</v>
      </c>
      <c r="B3" s="0" t="n">
        <v>2520.906</v>
      </c>
      <c r="C3" s="0" t="n">
        <v>717.946</v>
      </c>
      <c r="D3" s="0" t="n">
        <v>1802.96</v>
      </c>
      <c r="E3" s="0" t="n">
        <v>71.5</v>
      </c>
      <c r="F3" s="0" t="n">
        <v>323.711</v>
      </c>
      <c r="G3" s="0" t="n">
        <v>12.8</v>
      </c>
      <c r="H3" s="0" t="n">
        <v>386.918</v>
      </c>
      <c r="I3" s="0" t="n">
        <v>272.759</v>
      </c>
      <c r="J3" s="0" t="n">
        <v>10.8</v>
      </c>
      <c r="K3" s="0" t="n">
        <v>0.561</v>
      </c>
      <c r="L3" s="0" t="n">
        <v>400.045</v>
      </c>
      <c r="M3" s="0" t="n">
        <v>64.406</v>
      </c>
      <c r="N3" s="0" t="n">
        <v>335.639</v>
      </c>
      <c r="O3" s="0" t="n">
        <v>1218.725</v>
      </c>
      <c r="P3" s="0" t="n">
        <v>1754.975</v>
      </c>
      <c r="Q3" s="0" t="n">
        <v>515.864</v>
      </c>
      <c r="R3" s="0" t="n">
        <v>98.165</v>
      </c>
      <c r="S3" s="0" t="n">
        <v>613.376</v>
      </c>
      <c r="T3" s="0" t="n">
        <v>486.337</v>
      </c>
      <c r="U3" s="0" t="n">
        <v>0</v>
      </c>
      <c r="AA3" s="0" t="s">
        <v>18</v>
      </c>
      <c r="AB3" s="0" t="s">
        <v>14</v>
      </c>
      <c r="AC3" s="0" t="n">
        <v>0.556</v>
      </c>
      <c r="AE3" s="0" t="n">
        <v>272.314</v>
      </c>
      <c r="AF3" s="0" t="n">
        <v>208.028</v>
      </c>
      <c r="AG3" s="0" t="n">
        <v>2044.019</v>
      </c>
      <c r="AH3" s="0" t="n">
        <v>30</v>
      </c>
      <c r="AI3" s="0" t="n">
        <v>862</v>
      </c>
      <c r="AJ3" s="0" t="n">
        <v>257.415</v>
      </c>
    </row>
    <row r="4" customFormat="false" ht="15" hidden="false" customHeight="false" outlineLevel="0" collapsed="false">
      <c r="A4" s="0" t="s">
        <v>74</v>
      </c>
      <c r="B4" s="0" t="n">
        <v>4148.421</v>
      </c>
      <c r="C4" s="0" t="n">
        <v>1137.197</v>
      </c>
      <c r="D4" s="0" t="n">
        <v>3011.224</v>
      </c>
      <c r="E4" s="0" t="n">
        <v>72.6</v>
      </c>
      <c r="F4" s="0" t="n">
        <v>515.32</v>
      </c>
      <c r="G4" s="0" t="n">
        <v>12.4</v>
      </c>
      <c r="H4" s="0" t="n">
        <v>603.72</v>
      </c>
      <c r="I4" s="0" t="n">
        <v>405.606</v>
      </c>
      <c r="J4" s="0" t="n">
        <v>9.8</v>
      </c>
      <c r="K4" s="0" t="n">
        <v>0.693</v>
      </c>
      <c r="L4" s="0" t="n">
        <v>699.446</v>
      </c>
      <c r="M4" s="0" t="n">
        <v>104.201</v>
      </c>
      <c r="N4" s="0" t="n">
        <v>595.245</v>
      </c>
      <c r="O4" s="0" t="n">
        <v>3140.952</v>
      </c>
      <c r="P4" s="0" t="n">
        <v>5512.361</v>
      </c>
      <c r="Q4" s="0" t="n">
        <v>2335.858</v>
      </c>
      <c r="R4" s="0" t="n">
        <v>262.185</v>
      </c>
      <c r="S4" s="0" t="n">
        <v>691.327</v>
      </c>
      <c r="T4" s="0" t="n">
        <v>585.421</v>
      </c>
      <c r="U4" s="0" t="n">
        <v>0</v>
      </c>
      <c r="AA4" s="0" t="s">
        <v>18</v>
      </c>
      <c r="AB4" s="0" t="s">
        <v>14</v>
      </c>
      <c r="AC4" s="0" t="n">
        <v>0.688</v>
      </c>
      <c r="AD4" s="0" t="n">
        <v>332.283</v>
      </c>
      <c r="AE4" s="0" t="n">
        <v>393.921</v>
      </c>
      <c r="AF4" s="0" t="n">
        <v>400.566</v>
      </c>
      <c r="AG4" s="0" t="n">
        <v>3263.382</v>
      </c>
      <c r="AH4" s="0" t="n">
        <v>0</v>
      </c>
      <c r="AI4" s="0" t="n">
        <v>1697</v>
      </c>
      <c r="AJ4" s="0" t="n">
        <v>475.176</v>
      </c>
    </row>
    <row r="5" customFormat="false" ht="15" hidden="false" customHeight="false" outlineLevel="0" collapsed="false">
      <c r="A5" s="0" t="s">
        <v>75</v>
      </c>
      <c r="B5" s="0" t="n">
        <v>5325.107</v>
      </c>
      <c r="C5" s="0" t="n">
        <v>1414.855</v>
      </c>
      <c r="D5" s="0" t="n">
        <v>3910.252</v>
      </c>
      <c r="E5" s="0" t="n">
        <v>73.4</v>
      </c>
      <c r="F5" s="0" t="n">
        <v>575.86</v>
      </c>
      <c r="G5" s="0" t="n">
        <v>10.8</v>
      </c>
      <c r="H5" s="0" t="n">
        <v>709.133</v>
      </c>
      <c r="I5" s="0" t="n">
        <v>452.838</v>
      </c>
      <c r="J5" s="0" t="n">
        <v>8.5</v>
      </c>
      <c r="K5" s="0" t="n">
        <v>0.674</v>
      </c>
      <c r="L5" s="0" t="n">
        <v>1416.417</v>
      </c>
      <c r="M5" s="0" t="n">
        <v>121.723</v>
      </c>
      <c r="N5" s="0" t="n">
        <v>1294.694</v>
      </c>
      <c r="O5" s="0" t="n">
        <v>3455.988</v>
      </c>
      <c r="P5" s="0" t="n">
        <v>5745.362</v>
      </c>
      <c r="Q5" s="0" t="n">
        <v>2267.287</v>
      </c>
      <c r="R5" s="0" t="n">
        <v>366.488</v>
      </c>
      <c r="S5" s="0" t="n">
        <v>582.929</v>
      </c>
      <c r="T5" s="0" t="n">
        <v>671.641</v>
      </c>
      <c r="U5" s="0" t="n">
        <v>109.915</v>
      </c>
      <c r="AA5" s="0" t="s">
        <v>18</v>
      </c>
      <c r="AB5" s="0" t="s">
        <v>14</v>
      </c>
      <c r="AC5" s="0" t="n">
        <v>0.662</v>
      </c>
      <c r="AD5" s="0" t="n">
        <v>560.496</v>
      </c>
      <c r="AE5" s="0" t="n">
        <v>439.374</v>
      </c>
      <c r="AF5" s="0" t="n">
        <v>612.393</v>
      </c>
      <c r="AG5" s="0" t="n">
        <v>4385.06</v>
      </c>
      <c r="AH5" s="0" t="n">
        <v>280.455</v>
      </c>
      <c r="AI5" s="0" t="n">
        <v>1836</v>
      </c>
      <c r="AJ5" s="0" t="n">
        <v>316.56</v>
      </c>
    </row>
    <row r="6" customFormat="false" ht="15" hidden="false" customHeight="false" outlineLevel="0" collapsed="false">
      <c r="A6" s="0" t="s">
        <v>76</v>
      </c>
      <c r="B6" s="0" t="n">
        <v>6354.875</v>
      </c>
      <c r="C6" s="0" t="n">
        <v>1616.889</v>
      </c>
      <c r="D6" s="0" t="n">
        <v>4737.986</v>
      </c>
      <c r="E6" s="0" t="n">
        <v>74.6</v>
      </c>
      <c r="F6" s="0" t="n">
        <v>754.008</v>
      </c>
      <c r="G6" s="0" t="n">
        <v>11.9</v>
      </c>
      <c r="H6" s="0" t="n">
        <v>916.236</v>
      </c>
      <c r="I6" s="0" t="n">
        <v>564.018</v>
      </c>
      <c r="J6" s="0" t="n">
        <v>8.9</v>
      </c>
      <c r="K6" s="0" t="n">
        <v>0.837</v>
      </c>
      <c r="L6" s="0" t="n">
        <v>1202.795</v>
      </c>
      <c r="M6" s="0" t="n">
        <v>183.497</v>
      </c>
      <c r="N6" s="0" t="n">
        <v>1019.298</v>
      </c>
      <c r="O6" s="0" t="n">
        <v>3939.477</v>
      </c>
      <c r="P6" s="0" t="n">
        <v>6231.994</v>
      </c>
      <c r="Q6" s="0" t="n">
        <v>2298.516</v>
      </c>
      <c r="R6" s="0" t="n">
        <v>491.256</v>
      </c>
      <c r="S6" s="0" t="n">
        <v>509.326</v>
      </c>
      <c r="T6" s="0" t="n">
        <v>673.661</v>
      </c>
      <c r="U6" s="0" t="n">
        <v>76.108</v>
      </c>
      <c r="AA6" s="0" t="s">
        <v>18</v>
      </c>
      <c r="AB6" s="0" t="s">
        <v>14</v>
      </c>
      <c r="AC6" s="0" t="n">
        <v>0.814</v>
      </c>
      <c r="AD6" s="0" t="n">
        <v>715.257</v>
      </c>
      <c r="AE6" s="0" t="n">
        <v>562.156</v>
      </c>
      <c r="AF6" s="0" t="n">
        <v>756.69</v>
      </c>
      <c r="AG6" s="0" t="n">
        <v>4990.241</v>
      </c>
      <c r="AH6" s="0" t="n">
        <v>339.092</v>
      </c>
      <c r="AI6" s="0" t="n">
        <v>2041</v>
      </c>
      <c r="AJ6" s="0" t="n">
        <v>561.934</v>
      </c>
    </row>
    <row r="7" customFormat="false" ht="15" hidden="false" customHeight="false" outlineLevel="0" collapsed="false">
      <c r="A7" s="0" t="s">
        <v>77</v>
      </c>
      <c r="B7" s="0" t="n">
        <v>5663.43</v>
      </c>
      <c r="C7" s="0" t="n">
        <v>1409.01</v>
      </c>
      <c r="D7" s="0" t="n">
        <v>4254.42</v>
      </c>
      <c r="E7" s="0" t="n">
        <v>75.1</v>
      </c>
      <c r="F7" s="0" t="n">
        <v>523.418</v>
      </c>
      <c r="G7" s="0" t="n">
        <v>9.2</v>
      </c>
      <c r="H7" s="0" t="n">
        <v>685.721</v>
      </c>
      <c r="I7" s="0" t="n">
        <v>382.427</v>
      </c>
      <c r="J7" s="0" t="n">
        <v>6.8</v>
      </c>
      <c r="K7" s="0" t="n">
        <v>0.565</v>
      </c>
      <c r="L7" s="0" t="n">
        <v>1701.789</v>
      </c>
      <c r="M7" s="0" t="n">
        <v>178.879</v>
      </c>
      <c r="N7" s="0" t="n">
        <v>1522.91</v>
      </c>
      <c r="O7" s="0" t="n">
        <v>3997.449</v>
      </c>
      <c r="P7" s="0" t="n">
        <v>6257.683</v>
      </c>
      <c r="Q7" s="0" t="n">
        <v>2270.183</v>
      </c>
      <c r="R7" s="0" t="n">
        <v>430.348</v>
      </c>
      <c r="S7" s="0" t="n">
        <v>361.463</v>
      </c>
      <c r="T7" s="0" t="n">
        <v>676.955</v>
      </c>
      <c r="U7" s="0" t="n">
        <v>110.525</v>
      </c>
      <c r="AA7" s="0" t="s">
        <v>18</v>
      </c>
      <c r="AB7" s="0" t="s">
        <v>14</v>
      </c>
      <c r="AC7" s="0" t="n">
        <v>0.555</v>
      </c>
      <c r="AD7" s="0" t="n">
        <v>773.052</v>
      </c>
      <c r="AE7" s="0" t="n">
        <v>375.425</v>
      </c>
      <c r="AF7" s="0" t="n">
        <v>893.23</v>
      </c>
      <c r="AG7" s="0" t="n">
        <v>4435.966</v>
      </c>
      <c r="AH7" s="0" t="n">
        <v>609.541</v>
      </c>
      <c r="AI7" s="0" t="n">
        <v>2006</v>
      </c>
      <c r="AJ7" s="0" t="n">
        <v>334.234</v>
      </c>
    </row>
    <row r="8" customFormat="false" ht="15" hidden="false" customHeight="false" outlineLevel="0" collapsed="false">
      <c r="A8" s="0" t="s">
        <v>78</v>
      </c>
      <c r="B8" s="0" t="n">
        <v>6912.301</v>
      </c>
      <c r="C8" s="0" t="n">
        <v>1707.313</v>
      </c>
      <c r="D8" s="0" t="n">
        <v>5204.988</v>
      </c>
      <c r="E8" s="0" t="n">
        <v>75.3</v>
      </c>
      <c r="F8" s="0" t="n">
        <v>1043.34</v>
      </c>
      <c r="G8" s="0" t="n">
        <v>15.1</v>
      </c>
      <c r="H8" s="0" t="n">
        <v>1184.799</v>
      </c>
      <c r="I8" s="0" t="n">
        <v>838.17</v>
      </c>
      <c r="J8" s="0" t="n">
        <v>12.1</v>
      </c>
      <c r="K8" s="0" t="n">
        <v>1.237</v>
      </c>
      <c r="L8" s="0" t="n">
        <v>1569.207</v>
      </c>
      <c r="M8" s="0" t="n">
        <v>116.397</v>
      </c>
      <c r="N8" s="0" t="n">
        <v>1452.81</v>
      </c>
      <c r="O8" s="0" t="n">
        <v>4576.907</v>
      </c>
      <c r="P8" s="0" t="n">
        <v>7029.8</v>
      </c>
      <c r="Q8" s="0" t="n">
        <v>2468.38</v>
      </c>
      <c r="R8" s="0" t="n">
        <v>513.779</v>
      </c>
      <c r="S8" s="0" t="n">
        <v>440.756</v>
      </c>
      <c r="T8" s="0" t="n">
        <v>677.427</v>
      </c>
      <c r="U8" s="0" t="n">
        <v>30.711</v>
      </c>
      <c r="AA8" s="0" t="s">
        <v>18</v>
      </c>
      <c r="AB8" s="0" t="s">
        <v>14</v>
      </c>
      <c r="AC8" s="0" t="n">
        <v>1.219</v>
      </c>
      <c r="AD8" s="0" t="n">
        <v>824.813</v>
      </c>
      <c r="AE8" s="0" t="n">
        <v>832.632</v>
      </c>
      <c r="AF8" s="0" t="n">
        <v>968.784</v>
      </c>
      <c r="AG8" s="0" t="n">
        <v>5559.614</v>
      </c>
      <c r="AH8" s="0" t="n">
        <v>1030.258</v>
      </c>
      <c r="AI8" s="0" t="n">
        <v>1964</v>
      </c>
      <c r="AJ8" s="0" t="n">
        <v>383.903</v>
      </c>
    </row>
    <row r="9" customFormat="false" ht="15" hidden="false" customHeight="false" outlineLevel="0" collapsed="false">
      <c r="A9" s="0" t="s">
        <v>79</v>
      </c>
      <c r="B9" s="0" t="n">
        <v>6588.536</v>
      </c>
      <c r="C9" s="0" t="n">
        <v>1552.984</v>
      </c>
      <c r="D9" s="0" t="n">
        <v>5035.552</v>
      </c>
      <c r="E9" s="0" t="n">
        <v>76.4</v>
      </c>
      <c r="F9" s="0" t="n">
        <v>618.033</v>
      </c>
      <c r="G9" s="0" t="n">
        <v>9.4</v>
      </c>
      <c r="H9" s="0" t="n">
        <v>789.501</v>
      </c>
      <c r="I9" s="0" t="n">
        <v>468.504</v>
      </c>
      <c r="J9" s="0" t="n">
        <v>7.1</v>
      </c>
      <c r="K9" s="0" t="n">
        <v>0.683</v>
      </c>
      <c r="L9" s="0" t="n">
        <v>996.243</v>
      </c>
      <c r="M9" s="0" t="n">
        <v>160.09</v>
      </c>
      <c r="N9" s="0" t="n">
        <v>836.153</v>
      </c>
      <c r="O9" s="0" t="n">
        <v>4508.956</v>
      </c>
      <c r="P9" s="0" t="n">
        <v>6859.278</v>
      </c>
      <c r="Q9" s="0" t="n">
        <v>2360.225</v>
      </c>
      <c r="R9" s="0" t="n">
        <v>524.068</v>
      </c>
      <c r="S9" s="0" t="n">
        <v>363.926</v>
      </c>
      <c r="T9" s="0" t="n">
        <v>685.853</v>
      </c>
      <c r="U9" s="0" t="n">
        <v>99.481</v>
      </c>
      <c r="AA9" s="0" t="s">
        <v>18</v>
      </c>
      <c r="AB9" s="0" t="s">
        <v>14</v>
      </c>
      <c r="AC9" s="0" t="n">
        <v>0.683</v>
      </c>
      <c r="AD9" s="0" t="n">
        <v>849.687</v>
      </c>
      <c r="AE9" s="0" t="n">
        <v>474.088</v>
      </c>
      <c r="AF9" s="0" t="n">
        <v>1129.323</v>
      </c>
      <c r="AG9" s="0" t="n">
        <v>5171.947</v>
      </c>
      <c r="AH9" s="0" t="n">
        <v>528.573</v>
      </c>
      <c r="AI9" s="0" t="n">
        <v>1839</v>
      </c>
      <c r="AJ9" s="0" t="n">
        <v>287.266</v>
      </c>
    </row>
    <row r="10" customFormat="false" ht="15" hidden="false" customHeight="false" outlineLevel="0" collapsed="false">
      <c r="A10" s="0" t="s">
        <v>80</v>
      </c>
      <c r="B10" s="0" t="n">
        <v>6285.797</v>
      </c>
      <c r="C10" s="0" t="n">
        <v>1473.503</v>
      </c>
      <c r="D10" s="0" t="n">
        <v>4812.294</v>
      </c>
      <c r="E10" s="0" t="n">
        <v>76.6</v>
      </c>
      <c r="F10" s="0" t="n">
        <v>562.582</v>
      </c>
      <c r="G10" s="0" t="n">
        <v>9</v>
      </c>
      <c r="H10" s="0" t="n">
        <v>679.382</v>
      </c>
      <c r="I10" s="0" t="n">
        <v>397.026</v>
      </c>
      <c r="J10" s="0" t="n">
        <v>6.3</v>
      </c>
      <c r="K10" s="0" t="n">
        <v>0.588</v>
      </c>
      <c r="L10" s="0" t="n">
        <v>1555.479</v>
      </c>
      <c r="M10" s="0" t="n">
        <v>164.929</v>
      </c>
      <c r="N10" s="0" t="n">
        <v>1390.55</v>
      </c>
      <c r="O10" s="0" t="n">
        <v>4619.53</v>
      </c>
      <c r="P10" s="0" t="n">
        <v>7139.163</v>
      </c>
      <c r="Q10" s="0" t="n">
        <v>2521.543</v>
      </c>
      <c r="R10" s="0" t="n">
        <v>420</v>
      </c>
      <c r="S10" s="0" t="n">
        <v>437.932</v>
      </c>
      <c r="T10" s="0" t="n">
        <v>674.936</v>
      </c>
      <c r="U10" s="0" t="n">
        <v>0</v>
      </c>
      <c r="AA10" s="0" t="s">
        <v>18</v>
      </c>
      <c r="AB10" s="0" t="s">
        <v>14</v>
      </c>
      <c r="AC10" s="0" t="n">
        <v>0.588</v>
      </c>
      <c r="AD10" s="0" t="n">
        <v>857.112</v>
      </c>
      <c r="AE10" s="0" t="n">
        <v>405.019</v>
      </c>
      <c r="AF10" s="0" t="n">
        <v>1265.009</v>
      </c>
      <c r="AG10" s="0" t="n">
        <v>4819.573</v>
      </c>
      <c r="AH10" s="0" t="n">
        <v>549.934</v>
      </c>
      <c r="AI10" s="0" t="n">
        <v>1739</v>
      </c>
      <c r="AJ10" s="0" t="n">
        <v>201.215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3.87</v>
      </c>
    </row>
    <row r="3" customFormat="false" ht="15" hidden="false" customHeight="false" outlineLevel="0" collapsed="false">
      <c r="A3" s="0" t="s">
        <v>84</v>
      </c>
      <c r="B3" s="3" t="n">
        <v>669.534</v>
      </c>
    </row>
    <row r="4" customFormat="false" ht="15" hidden="false" customHeight="false" outlineLevel="0" collapsed="false">
      <c r="A4" s="0" t="s">
        <v>85</v>
      </c>
      <c r="B4" s="3" t="n">
        <v>-647.349</v>
      </c>
    </row>
    <row r="5" customFormat="false" ht="15" hidden="false" customHeight="false" outlineLevel="0" collapsed="false">
      <c r="A5" s="0" t="s">
        <v>86</v>
      </c>
      <c r="B5" s="3" t="n">
        <v>157.372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6285.797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1.1742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-13</v>
      </c>
      <c r="D13" s="3" t="n">
        <v>-8</v>
      </c>
      <c r="E13" s="3" t="n">
        <v>-5</v>
      </c>
      <c r="F13" s="3" t="n">
        <v>-3</v>
      </c>
      <c r="G13" s="3" t="n">
        <v>-2</v>
      </c>
      <c r="H13" s="3" t="n">
        <v>-1</v>
      </c>
      <c r="I13" s="3" t="n">
        <v>0</v>
      </c>
      <c r="J13" s="3" t="n">
        <v>0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105</v>
      </c>
      <c r="C14" s="3" t="n">
        <v>24.5</v>
      </c>
      <c r="D14" s="3" t="n">
        <v>24</v>
      </c>
      <c r="E14" s="3" t="n">
        <v>23.5</v>
      </c>
      <c r="F14" s="3" t="n">
        <v>23</v>
      </c>
      <c r="G14" s="3" t="n">
        <v>22.5</v>
      </c>
      <c r="H14" s="3" t="n">
        <v>22.5</v>
      </c>
      <c r="I14" s="3" t="n">
        <v>22.5</v>
      </c>
      <c r="J14" s="3" t="n">
        <v>22.5</v>
      </c>
      <c r="K14" s="3" t="n">
        <v>22.5</v>
      </c>
      <c r="L14" s="3" t="n">
        <v>22.5</v>
      </c>
    </row>
    <row r="15" customFormat="false" ht="15" hidden="false" customHeight="false" outlineLevel="0" collapsed="false">
      <c r="A15" s="0" t="s">
        <v>106</v>
      </c>
      <c r="C15" s="3" t="n">
        <v>1</v>
      </c>
      <c r="D15" s="3" t="n">
        <v>1</v>
      </c>
      <c r="E15" s="3" t="n">
        <v>0.9</v>
      </c>
      <c r="F15" s="3" t="n">
        <v>0.9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107</v>
      </c>
      <c r="C16" s="3" t="n">
        <v>14.8</v>
      </c>
      <c r="D16" s="3" t="n">
        <v>15</v>
      </c>
      <c r="E16" s="3" t="n">
        <v>15</v>
      </c>
      <c r="F16" s="3" t="n">
        <v>15</v>
      </c>
      <c r="G16" s="3" t="n">
        <v>15</v>
      </c>
      <c r="H16" s="3" t="n">
        <v>15</v>
      </c>
      <c r="I16" s="3" t="n">
        <v>15</v>
      </c>
      <c r="J16" s="3" t="n">
        <v>15</v>
      </c>
      <c r="K16" s="3" t="n">
        <v>15</v>
      </c>
      <c r="L16" s="3" t="n">
        <v>15</v>
      </c>
    </row>
    <row r="17" customFormat="false" ht="15" hidden="false" customHeight="false" outlineLevel="0" collapsed="false">
      <c r="A17" s="0" t="s">
        <v>108</v>
      </c>
      <c r="C17" s="3" t="n">
        <v>2.1</v>
      </c>
      <c r="D17" s="3" t="n">
        <v>2.1</v>
      </c>
      <c r="E17" s="3" t="n">
        <v>2.1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109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110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111</v>
      </c>
      <c r="B20" s="3" t="n">
        <v>9.5</v>
      </c>
    </row>
    <row r="21" customFormat="false" ht="15" hidden="false" customHeight="false" outlineLevel="0" collapsed="false">
      <c r="A21" s="0" t="s">
        <v>112</v>
      </c>
      <c r="B21" s="3" t="n">
        <v>1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-15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-10</v>
      </c>
      <c r="D27" s="3" t="n">
        <v>-3</v>
      </c>
      <c r="E27" s="3" t="n">
        <v>0</v>
      </c>
      <c r="F27" s="3" t="n">
        <v>1.5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105</v>
      </c>
      <c r="C28" s="3" t="n">
        <v>25</v>
      </c>
      <c r="D28" s="3" t="n">
        <v>25</v>
      </c>
      <c r="E28" s="3" t="n">
        <v>25</v>
      </c>
      <c r="F28" s="3" t="n">
        <v>25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106</v>
      </c>
      <c r="C29" s="3" t="n">
        <v>1</v>
      </c>
      <c r="D29" s="3" t="n">
        <v>1</v>
      </c>
      <c r="E29" s="3" t="n">
        <v>0.9</v>
      </c>
      <c r="F29" s="3" t="n">
        <v>0.9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107</v>
      </c>
      <c r="C30" s="3" t="n">
        <v>14.6</v>
      </c>
      <c r="D30" s="3" t="n">
        <v>14.4</v>
      </c>
      <c r="E30" s="3" t="n">
        <v>14.2</v>
      </c>
      <c r="F30" s="3" t="n">
        <v>14</v>
      </c>
      <c r="G30" s="3" t="n">
        <v>13.8</v>
      </c>
      <c r="H30" s="3" t="n">
        <v>13.7</v>
      </c>
      <c r="I30" s="3" t="n">
        <v>13.6</v>
      </c>
      <c r="J30" s="3" t="n">
        <v>13.5</v>
      </c>
      <c r="K30" s="3" t="n">
        <v>13.5</v>
      </c>
      <c r="L30" s="3" t="n">
        <v>13.5</v>
      </c>
    </row>
    <row r="31" customFormat="false" ht="15" hidden="false" customHeight="false" outlineLevel="0" collapsed="false">
      <c r="A31" s="0" t="s">
        <v>108</v>
      </c>
      <c r="C31" s="3" t="n">
        <v>2.1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109</v>
      </c>
      <c r="C32" s="3" t="n">
        <v>1.8</v>
      </c>
      <c r="D32" s="3" t="n">
        <v>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110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111</v>
      </c>
      <c r="B34" s="3" t="n">
        <v>9.5</v>
      </c>
    </row>
    <row r="35" customFormat="false" ht="15" hidden="false" customHeight="false" outlineLevel="0" collapsed="false">
      <c r="A35" s="0" t="s">
        <v>112</v>
      </c>
      <c r="B35" s="3" t="n">
        <v>2</v>
      </c>
    </row>
    <row r="36" customFormat="false" ht="15" hidden="false" customHeight="false" outlineLevel="0" collapsed="false">
      <c r="A36" s="0" t="s">
        <v>113</v>
      </c>
      <c r="B36" s="3" t="n">
        <v>12</v>
      </c>
    </row>
    <row r="37" customFormat="false" ht="15" hidden="false" customHeight="false" outlineLevel="0" collapsed="false">
      <c r="A37" s="0" t="s">
        <v>114</v>
      </c>
      <c r="B37" s="3" t="n">
        <v>-15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-7</v>
      </c>
      <c r="D41" s="3" t="n">
        <v>1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105</v>
      </c>
      <c r="C42" s="3" t="n">
        <v>25.5</v>
      </c>
      <c r="D42" s="3" t="n">
        <v>25.8</v>
      </c>
      <c r="E42" s="3" t="n">
        <v>26</v>
      </c>
      <c r="F42" s="3" t="n">
        <v>26.2</v>
      </c>
      <c r="G42" s="3" t="n">
        <v>26.4</v>
      </c>
      <c r="H42" s="3" t="n">
        <v>26.5</v>
      </c>
      <c r="I42" s="3" t="n">
        <v>26.5</v>
      </c>
      <c r="J42" s="3" t="n">
        <v>26.5</v>
      </c>
      <c r="K42" s="3" t="n">
        <v>26.5</v>
      </c>
      <c r="L42" s="3" t="n">
        <v>26.5</v>
      </c>
    </row>
    <row r="43" customFormat="false" ht="15" hidden="false" customHeight="false" outlineLevel="0" collapsed="false">
      <c r="A43" s="0" t="s">
        <v>106</v>
      </c>
      <c r="C43" s="3" t="n">
        <v>1</v>
      </c>
      <c r="D43" s="3" t="n">
        <v>1</v>
      </c>
      <c r="E43" s="3" t="n">
        <v>0.9</v>
      </c>
      <c r="F43" s="3" t="n">
        <v>0.9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107</v>
      </c>
      <c r="C44" s="3" t="n">
        <v>14.4</v>
      </c>
      <c r="D44" s="3" t="n">
        <v>14</v>
      </c>
      <c r="E44" s="3" t="n">
        <v>13.6</v>
      </c>
      <c r="F44" s="3" t="n">
        <v>13.3</v>
      </c>
      <c r="G44" s="3" t="n">
        <v>13.1</v>
      </c>
      <c r="H44" s="3" t="n">
        <v>13</v>
      </c>
      <c r="I44" s="3" t="n">
        <v>13</v>
      </c>
      <c r="J44" s="3" t="n">
        <v>13</v>
      </c>
      <c r="K44" s="3" t="n">
        <v>13</v>
      </c>
      <c r="L44" s="3" t="n">
        <v>13</v>
      </c>
    </row>
    <row r="45" customFormat="false" ht="15" hidden="false" customHeight="false" outlineLevel="0" collapsed="false">
      <c r="A45" s="0" t="s">
        <v>108</v>
      </c>
      <c r="C45" s="3" t="n">
        <v>2.1</v>
      </c>
      <c r="D45" s="3" t="n">
        <v>2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109</v>
      </c>
      <c r="C46" s="3" t="n">
        <v>1.8</v>
      </c>
      <c r="D46" s="3" t="n">
        <v>2.2</v>
      </c>
      <c r="E46" s="3" t="n">
        <v>2.4</v>
      </c>
      <c r="F46" s="3" t="n">
        <v>2.4</v>
      </c>
      <c r="G46" s="3" t="n">
        <v>2.4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110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111</v>
      </c>
      <c r="B48" s="3" t="n">
        <v>9.5</v>
      </c>
    </row>
    <row r="49" customFormat="false" ht="15" hidden="false" customHeight="false" outlineLevel="0" collapsed="false">
      <c r="A49" s="0" t="s">
        <v>112</v>
      </c>
      <c r="B49" s="3" t="n">
        <v>2.5</v>
      </c>
    </row>
    <row r="50" customFormat="false" ht="15" hidden="false" customHeight="false" outlineLevel="0" collapsed="false">
      <c r="A50" s="0" t="s">
        <v>113</v>
      </c>
      <c r="B50" s="3" t="n">
        <v>12</v>
      </c>
    </row>
    <row r="51" customFormat="false" ht="15" hidden="false" customHeight="false" outlineLevel="0" collapsed="false">
      <c r="A51" s="0" t="s">
        <v>114</v>
      </c>
      <c r="B51" s="3" t="n">
        <v>-15</v>
      </c>
    </row>
    <row r="52" customFormat="false" ht="15" hidden="false" customHeight="false" outlineLevel="0" collapsed="false">
      <c r="A52" s="0" t="s">
        <v>115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-13</v>
      </c>
      <c r="D5" s="4" t="n">
        <f aca="false">Assumptions!D13</f>
        <v>-8</v>
      </c>
      <c r="E5" s="4" t="n">
        <f aca="false">Assumptions!E13</f>
        <v>-5</v>
      </c>
      <c r="F5" s="4" t="n">
        <f aca="false">Assumptions!F13</f>
        <v>-3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38</v>
      </c>
      <c r="B6" s="3" t="n">
        <v>6285.797</v>
      </c>
      <c r="C6" s="0" t="n">
        <f aca="false">B6*(1+C5/100)</f>
        <v>5468.64339</v>
      </c>
      <c r="D6" s="0" t="n">
        <f aca="false">C6*(1+D5/100)</f>
        <v>5031.1519188</v>
      </c>
      <c r="E6" s="0" t="n">
        <f aca="false">D6*(1+E5/100)</f>
        <v>4779.59432286</v>
      </c>
      <c r="F6" s="0" t="n">
        <f aca="false">E6*(1+F5/100)</f>
        <v>4636.2064931742</v>
      </c>
      <c r="G6" s="0" t="n">
        <f aca="false">F6*(1+G5/100)</f>
        <v>4543.48236331071</v>
      </c>
      <c r="H6" s="0" t="n">
        <f aca="false">G6*(1+H5/100)</f>
        <v>4498.04753967761</v>
      </c>
      <c r="I6" s="0" t="n">
        <f aca="false">H6*(1+I5/100)</f>
        <v>4498.04753967761</v>
      </c>
      <c r="J6" s="0" t="n">
        <f aca="false">I6*(1+J5/100)</f>
        <v>4498.04753967761</v>
      </c>
      <c r="K6" s="0" t="n">
        <f aca="false">J6*(1+K5/100)</f>
        <v>4520.537777376</v>
      </c>
      <c r="L6" s="0" t="n">
        <f aca="false">K6*(1+L5/100)</f>
        <v>4543.14046626287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24.5</v>
      </c>
      <c r="D7" s="4" t="n">
        <f aca="false">Assumptions!D14</f>
        <v>24</v>
      </c>
      <c r="E7" s="4" t="n">
        <f aca="false">Assumptions!E14</f>
        <v>23.5</v>
      </c>
      <c r="F7" s="4" t="n">
        <f aca="false">Assumptions!F14</f>
        <v>23</v>
      </c>
      <c r="G7" s="4" t="n">
        <f aca="false">Assumptions!G14</f>
        <v>22.5</v>
      </c>
      <c r="H7" s="4" t="n">
        <f aca="false">Assumptions!H14</f>
        <v>22.5</v>
      </c>
      <c r="I7" s="4" t="n">
        <f aca="false">Assumptions!I14</f>
        <v>22.5</v>
      </c>
      <c r="J7" s="4" t="n">
        <f aca="false">Assumptions!J14</f>
        <v>22.5</v>
      </c>
      <c r="K7" s="4" t="n">
        <f aca="false">Assumptions!K14</f>
        <v>22.5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1339.81763055</v>
      </c>
      <c r="D8" s="0" t="n">
        <f aca="false">D6*D7/100</f>
        <v>1207.476460512</v>
      </c>
      <c r="E8" s="0" t="n">
        <f aca="false">E6*E7/100</f>
        <v>1123.2046658721</v>
      </c>
      <c r="F8" s="0" t="n">
        <f aca="false">F6*F7/100</f>
        <v>1066.32749343007</v>
      </c>
      <c r="G8" s="0" t="n">
        <f aca="false">G6*G7/100</f>
        <v>1022.28353174491</v>
      </c>
      <c r="H8" s="0" t="n">
        <f aca="false">H6*H7/100</f>
        <v>1012.06069642746</v>
      </c>
      <c r="I8" s="0" t="n">
        <f aca="false">I6*I7/100</f>
        <v>1012.06069642746</v>
      </c>
      <c r="J8" s="0" t="n">
        <f aca="false">J6*J7/100</f>
        <v>1012.06069642746</v>
      </c>
      <c r="K8" s="0" t="n">
        <f aca="false">K6*K7/100</f>
        <v>1017.1209999096</v>
      </c>
      <c r="L8" s="0" t="n">
        <f aca="false">L6*L7/100</f>
        <v>1022.20660490915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-54.6864339</v>
      </c>
      <c r="D10" s="0" t="n">
        <f aca="false">-D6*D9/100</f>
        <v>-50.311519188</v>
      </c>
      <c r="E10" s="0" t="n">
        <f aca="false">-E6*E9/100</f>
        <v>-43.01634890574</v>
      </c>
      <c r="F10" s="0" t="n">
        <f aca="false">-F6*F9/100</f>
        <v>-41.7258584385678</v>
      </c>
      <c r="G10" s="0" t="n">
        <f aca="false">-G6*G9/100</f>
        <v>-36.3478589064857</v>
      </c>
      <c r="H10" s="0" t="n">
        <f aca="false">-H6*H9/100</f>
        <v>-35.9843803174209</v>
      </c>
      <c r="I10" s="0" t="n">
        <f aca="false">-I6*I9/100</f>
        <v>-35.9843803174209</v>
      </c>
      <c r="J10" s="0" t="n">
        <f aca="false">-J6*J9/100</f>
        <v>-35.9843803174209</v>
      </c>
      <c r="K10" s="0" t="n">
        <f aca="false">-K6*K9/100</f>
        <v>-36.164302219008</v>
      </c>
      <c r="L10" s="0" t="n">
        <f aca="false">-L6*L9/100</f>
        <v>-36.345123730103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475.77197493</v>
      </c>
      <c r="D11" s="0" t="n">
        <f aca="false">D8+D10+D24</f>
        <v>402.492153504</v>
      </c>
      <c r="E11" s="0" t="n">
        <f aca="false">E8+E10+E24</f>
        <v>363.24916853736</v>
      </c>
      <c r="F11" s="0" t="n">
        <f aca="false">F8+F10+F24</f>
        <v>329.170661015368</v>
      </c>
      <c r="G11" s="0" t="n">
        <f aca="false">G8+G10+G24</f>
        <v>304.413318341818</v>
      </c>
      <c r="H11" s="0" t="n">
        <f aca="false">H8+H10+H24</f>
        <v>301.3691851584</v>
      </c>
      <c r="I11" s="0" t="n">
        <f aca="false">I8+I10+I24</f>
        <v>301.3691851584</v>
      </c>
      <c r="J11" s="0" t="n">
        <f aca="false">J8+J10+J24</f>
        <v>301.3691851584</v>
      </c>
      <c r="K11" s="0" t="n">
        <f aca="false">K8+K10+K24</f>
        <v>302.876031084192</v>
      </c>
      <c r="L11" s="0" t="n">
        <f aca="false">L8+L10+L24</f>
        <v>304.390411239613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-114.84151119</v>
      </c>
      <c r="D12" s="4" t="n">
        <f aca="false">-D6*Assumptions!D17/100</f>
        <v>-105.6541902948</v>
      </c>
      <c r="E12" s="4" t="n">
        <f aca="false">-E6*Assumptions!E17/100</f>
        <v>-100.37148078006</v>
      </c>
      <c r="F12" s="4" t="n">
        <f aca="false">-F6*Assumptions!F17/100</f>
        <v>-92.724129863484</v>
      </c>
      <c r="G12" s="4" t="n">
        <f aca="false">-G6*Assumptions!G17/100</f>
        <v>-90.8696472662143</v>
      </c>
      <c r="H12" s="4" t="n">
        <f aca="false">-H6*Assumptions!H17/100</f>
        <v>-89.9609507935521</v>
      </c>
      <c r="I12" s="4" t="n">
        <f aca="false">-I6*Assumptions!I17/100</f>
        <v>-89.9609507935521</v>
      </c>
      <c r="J12" s="4" t="n">
        <f aca="false">-J6*Assumptions!J17/100</f>
        <v>-89.9609507935521</v>
      </c>
      <c r="K12" s="4" t="n">
        <f aca="false">-K6*Assumptions!K17/100</f>
        <v>-90.4107555475199</v>
      </c>
      <c r="L12" s="4" t="n">
        <f aca="false">-L6*Assumptions!L17/100</f>
        <v>-90.8628093252575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360.93046374</v>
      </c>
      <c r="D13" s="0" t="n">
        <f aca="false">D11+D12</f>
        <v>296.8379632092</v>
      </c>
      <c r="E13" s="0" t="n">
        <f aca="false">E11+E12</f>
        <v>262.8776877573</v>
      </c>
      <c r="F13" s="0" t="n">
        <f aca="false">F11+F12</f>
        <v>236.446531151884</v>
      </c>
      <c r="G13" s="0" t="n">
        <f aca="false">G11+G12</f>
        <v>213.543671075604</v>
      </c>
      <c r="H13" s="0" t="n">
        <f aca="false">H11+H12</f>
        <v>211.408234364848</v>
      </c>
      <c r="I13" s="0" t="n">
        <f aca="false">I11+I12</f>
        <v>211.408234364848</v>
      </c>
      <c r="J13" s="0" t="n">
        <f aca="false">J11+J12</f>
        <v>211.408234364848</v>
      </c>
      <c r="K13" s="0" t="n">
        <f aca="false">K11+K12</f>
        <v>212.465275536672</v>
      </c>
      <c r="L13" s="0" t="n">
        <f aca="false">L11+L12</f>
        <v>213.527601914355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281.5257617172</v>
      </c>
      <c r="D15" s="0" t="n">
        <f aca="false">D13-MAX(0,D13)*D14/100</f>
        <v>231.533611303176</v>
      </c>
      <c r="E15" s="0" t="n">
        <f aca="false">E13-MAX(0,E13)*E14/100</f>
        <v>205.044596450694</v>
      </c>
      <c r="F15" s="0" t="n">
        <f aca="false">F13-MAX(0,F13)*F14/100</f>
        <v>184.42829429847</v>
      </c>
      <c r="G15" s="0" t="n">
        <f aca="false">G13-MAX(0,G13)*G14/100</f>
        <v>166.564063438971</v>
      </c>
      <c r="H15" s="0" t="n">
        <f aca="false">H13-MAX(0,H13)*H14/100</f>
        <v>164.898422804581</v>
      </c>
      <c r="I15" s="0" t="n">
        <f aca="false">I13-MAX(0,I13)*I14/100</f>
        <v>164.898422804581</v>
      </c>
      <c r="J15" s="0" t="n">
        <f aca="false">J13-MAX(0,J13)*J14/100</f>
        <v>164.898422804581</v>
      </c>
      <c r="K15" s="0" t="n">
        <f aca="false">K13-MAX(0,K13)*K14/100</f>
        <v>165.722914918604</v>
      </c>
      <c r="L15" s="0" t="n">
        <f aca="false">L13-MAX(0,L13)*L14/100</f>
        <v>166.551529493197</v>
      </c>
    </row>
    <row r="16" customFormat="false" ht="15" hidden="false" customHeight="false" outlineLevel="0" collapsed="false">
      <c r="A16" s="0" t="s">
        <v>126</v>
      </c>
      <c r="C16" s="0" t="n">
        <f aca="false">-C12</f>
        <v>114.84151119</v>
      </c>
      <c r="D16" s="0" t="n">
        <f aca="false">-D12</f>
        <v>105.6541902948</v>
      </c>
      <c r="E16" s="0" t="n">
        <f aca="false">-E12</f>
        <v>100.37148078006</v>
      </c>
      <c r="F16" s="0" t="n">
        <f aca="false">-F12</f>
        <v>92.724129863484</v>
      </c>
      <c r="G16" s="0" t="n">
        <f aca="false">-G12</f>
        <v>90.8696472662143</v>
      </c>
      <c r="H16" s="0" t="n">
        <f aca="false">-H12</f>
        <v>89.9609507935521</v>
      </c>
      <c r="I16" s="0" t="n">
        <f aca="false">-I12</f>
        <v>89.9609507935521</v>
      </c>
      <c r="J16" s="0" t="n">
        <f aca="false">-J12</f>
        <v>89.9609507935521</v>
      </c>
      <c r="K16" s="0" t="n">
        <f aca="false">-K12</f>
        <v>90.4107555475199</v>
      </c>
      <c r="L16" s="0" t="n">
        <f aca="false">-L12</f>
        <v>90.8628093252575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-98.43558102</v>
      </c>
      <c r="D17" s="4" t="n">
        <f aca="false">-D6*Assumptions!D18/100</f>
        <v>-90.5607345384</v>
      </c>
      <c r="E17" s="4" t="n">
        <f aca="false">-E6*Assumptions!E18/100</f>
        <v>-86.03269781148</v>
      </c>
      <c r="F17" s="4" t="n">
        <f aca="false">-F6*Assumptions!F18/100</f>
        <v>-83.4517168771356</v>
      </c>
      <c r="G17" s="4" t="n">
        <f aca="false">-G6*Assumptions!G18/100</f>
        <v>-81.7826825395929</v>
      </c>
      <c r="H17" s="4" t="n">
        <f aca="false">-H6*Assumptions!H18/100</f>
        <v>-80.9648557141969</v>
      </c>
      <c r="I17" s="4" t="n">
        <f aca="false">-I6*Assumptions!I18/100</f>
        <v>-80.9648557141969</v>
      </c>
      <c r="J17" s="4" t="n">
        <f aca="false">-J6*Assumptions!J18/100</f>
        <v>-80.9648557141969</v>
      </c>
      <c r="K17" s="4" t="n">
        <f aca="false">-K6*Assumptions!K18/100</f>
        <v>-81.3696799927679</v>
      </c>
      <c r="L17" s="4" t="n">
        <f aca="false">-L6*Assumptions!L18/100</f>
        <v>-81.7765283927317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122.5730415</v>
      </c>
      <c r="D18" s="4" t="n">
        <f aca="false">(D6-C6)*Assumptions!$B$23/100</f>
        <v>65.62372068</v>
      </c>
      <c r="E18" s="4" t="n">
        <f aca="false">(E6-D6)*Assumptions!$B$23/100</f>
        <v>37.733639391</v>
      </c>
      <c r="F18" s="4" t="n">
        <f aca="false">(F6-E6)*Assumptions!$B$23/100</f>
        <v>21.50817445287</v>
      </c>
      <c r="G18" s="4" t="n">
        <f aca="false">(G6-F6)*Assumptions!$B$23/100</f>
        <v>13.9086194795227</v>
      </c>
      <c r="H18" s="4" t="n">
        <f aca="false">(H6-G6)*Assumptions!$B$23/100</f>
        <v>6.81522354496606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-3.3735356547581</v>
      </c>
      <c r="L18" s="4" t="n">
        <f aca="false">(L6-K6)*Assumptions!$B$23/100</f>
        <v>-3.39040333303187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420.5047333872</v>
      </c>
      <c r="D19" s="0" t="n">
        <f aca="false">D15+D16+D17+D18</f>
        <v>312.250787739576</v>
      </c>
      <c r="E19" s="0" t="n">
        <f aca="false">E15+E16+E17+E18</f>
        <v>257.117018810274</v>
      </c>
      <c r="F19" s="0" t="n">
        <f aca="false">F15+F16+F17+F18</f>
        <v>215.208881737688</v>
      </c>
      <c r="G19" s="0" t="n">
        <f aca="false">G15+G16+G17+G18</f>
        <v>189.559647645115</v>
      </c>
      <c r="H19" s="0" t="n">
        <f aca="false">H15+H16+H17+H18</f>
        <v>180.709741428902</v>
      </c>
      <c r="I19" s="0" t="n">
        <f aca="false">I15+I16+I17+I18</f>
        <v>173.894517883936</v>
      </c>
      <c r="J19" s="0" t="n">
        <f aca="false">J15+J16+J17+J18</f>
        <v>173.894517883936</v>
      </c>
      <c r="K19" s="0" t="n">
        <f aca="false">K15+K16+K17+K18</f>
        <v>171.390454818598</v>
      </c>
      <c r="L19" s="0" t="n">
        <f aca="false">L15+L16+L17+L18</f>
        <v>172.247407092691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384.022587568219</v>
      </c>
      <c r="D21" s="0" t="n">
        <f aca="false">D19*D20</f>
        <v>260.420581505453</v>
      </c>
      <c r="E21" s="0" t="n">
        <f aca="false">E19*E20</f>
        <v>195.834167628225</v>
      </c>
      <c r="F21" s="0" t="n">
        <f aca="false">F19*F20</f>
        <v>149.693765866096</v>
      </c>
      <c r="G21" s="0" t="n">
        <f aca="false">G19*G20</f>
        <v>120.413532405259</v>
      </c>
      <c r="H21" s="0" t="n">
        <f aca="false">H19*H20</f>
        <v>104.832718850749</v>
      </c>
      <c r="I21" s="0" t="n">
        <f aca="false">I19*I20</f>
        <v>92.1270270434126</v>
      </c>
      <c r="J21" s="0" t="n">
        <f aca="false">J19*J20</f>
        <v>84.1342712725229</v>
      </c>
      <c r="K21" s="0" t="n">
        <f aca="false">K19*K20</f>
        <v>75.7285355901779</v>
      </c>
      <c r="L21" s="0" t="n">
        <f aca="false">L19*L20</f>
        <v>69.5042723909852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14.8</v>
      </c>
      <c r="D23" s="4" t="n">
        <f aca="false">Assumptions!D16</f>
        <v>15</v>
      </c>
      <c r="E23" s="4" t="n">
        <f aca="false">Assumptions!E16</f>
        <v>15</v>
      </c>
      <c r="F23" s="4" t="n">
        <f aca="false">Assumptions!F16</f>
        <v>15</v>
      </c>
      <c r="G23" s="4" t="n">
        <f aca="false">Assumptions!G16</f>
        <v>15</v>
      </c>
      <c r="H23" s="4" t="n">
        <f aca="false">Assumptions!H16</f>
        <v>15</v>
      </c>
      <c r="I23" s="4" t="n">
        <f aca="false">Assumptions!I16</f>
        <v>15</v>
      </c>
      <c r="J23" s="4" t="n">
        <f aca="false">Assumptions!J16</f>
        <v>15</v>
      </c>
      <c r="K23" s="4" t="n">
        <f aca="false">Assumptions!K16</f>
        <v>15</v>
      </c>
      <c r="L23" s="4" t="n">
        <f aca="false">Assumptions!L16</f>
        <v>15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-809.35922172</v>
      </c>
      <c r="D24" s="0" t="n">
        <f aca="false">-D6*D23/100</f>
        <v>-754.67278782</v>
      </c>
      <c r="E24" s="0" t="n">
        <f aca="false">-E6*E23/100</f>
        <v>-716.939148429</v>
      </c>
      <c r="F24" s="0" t="n">
        <f aca="false">-F6*F23/100</f>
        <v>-695.43097397613</v>
      </c>
      <c r="G24" s="0" t="n">
        <f aca="false">-G6*G23/100</f>
        <v>-681.522354496607</v>
      </c>
      <c r="H24" s="0" t="n">
        <f aca="false">-H6*H23/100</f>
        <v>-674.707130951641</v>
      </c>
      <c r="I24" s="0" t="n">
        <f aca="false">-I6*I23/100</f>
        <v>-674.707130951641</v>
      </c>
      <c r="J24" s="0" t="n">
        <f aca="false">-J6*J23/100</f>
        <v>-674.707130951641</v>
      </c>
      <c r="K24" s="0" t="n">
        <f aca="false">-K6*K23/100</f>
        <v>-678.080666606399</v>
      </c>
      <c r="L24" s="0" t="n">
        <f aca="false">-L6*L23/100</f>
        <v>-681.471069939431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1536.7114601211</v>
      </c>
    </row>
    <row r="31" customFormat="false" ht="15" hidden="false" customHeight="false" outlineLevel="0" collapsed="false">
      <c r="A31" s="0" t="s">
        <v>135</v>
      </c>
      <c r="B31" s="0" t="n">
        <f aca="false">L19</f>
        <v>172.247407092691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2046.70448427786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2066.96888511229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2046.70448427786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825.874295469353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2362.58575559045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3167.30675559045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5.5546866812056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0.43531955586708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264.772653763769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174.263891462776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6.32465013549621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1242.64200831156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4.19435191810663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-10</v>
      </c>
      <c r="D5" s="4" t="n">
        <f aca="false">Assumptions!D27</f>
        <v>-3</v>
      </c>
      <c r="E5" s="4" t="n">
        <f aca="false">Assumptions!E27</f>
        <v>0</v>
      </c>
      <c r="F5" s="4" t="n">
        <f aca="false">Assumptions!F27</f>
        <v>1.5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6285.797</v>
      </c>
      <c r="C6" s="0" t="n">
        <f aca="false">B6*(1+C5/100)</f>
        <v>5657.2173</v>
      </c>
      <c r="D6" s="0" t="n">
        <f aca="false">C6*(1+D5/100)</f>
        <v>5487.500781</v>
      </c>
      <c r="E6" s="0" t="n">
        <f aca="false">D6*(1+E5/100)</f>
        <v>5487.500781</v>
      </c>
      <c r="F6" s="0" t="n">
        <f aca="false">E6*(1+F5/100)</f>
        <v>5569.813292715</v>
      </c>
      <c r="G6" s="0" t="n">
        <f aca="false">F6*(1+G5/100)</f>
        <v>5681.2095585693</v>
      </c>
      <c r="H6" s="0" t="n">
        <f aca="false">G6*(1+H5/100)</f>
        <v>5794.83374974069</v>
      </c>
      <c r="I6" s="0" t="n">
        <f aca="false">H6*(1+I5/100)</f>
        <v>5910.7304247355</v>
      </c>
      <c r="J6" s="0" t="n">
        <f aca="false">I6*(1+J5/100)</f>
        <v>6028.94503323021</v>
      </c>
      <c r="K6" s="0" t="n">
        <f aca="false">J6*(1+K5/100)</f>
        <v>6149.52393389481</v>
      </c>
      <c r="L6" s="0" t="n">
        <f aca="false">K6*(1+L5/100)</f>
        <v>6272.51441257271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25</v>
      </c>
      <c r="D7" s="4" t="n">
        <f aca="false">Assumptions!D28</f>
        <v>25</v>
      </c>
      <c r="E7" s="4" t="n">
        <f aca="false">Assumptions!E28</f>
        <v>25</v>
      </c>
      <c r="F7" s="4" t="n">
        <f aca="false">Assumptions!F28</f>
        <v>25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1414.304325</v>
      </c>
      <c r="D8" s="0" t="n">
        <f aca="false">D6*D7/100</f>
        <v>1371.87519525</v>
      </c>
      <c r="E8" s="0" t="n">
        <f aca="false">E6*E7/100</f>
        <v>1371.87519525</v>
      </c>
      <c r="F8" s="0" t="n">
        <f aca="false">F6*F7/100</f>
        <v>1392.45332317875</v>
      </c>
      <c r="G8" s="0" t="n">
        <f aca="false">G6*G7/100</f>
        <v>1420.30238964232</v>
      </c>
      <c r="H8" s="0" t="n">
        <f aca="false">H6*H7/100</f>
        <v>1448.70843743517</v>
      </c>
      <c r="I8" s="0" t="n">
        <f aca="false">I6*I7/100</f>
        <v>1477.68260618387</v>
      </c>
      <c r="J8" s="0" t="n">
        <f aca="false">J6*J7/100</f>
        <v>1507.23625830755</v>
      </c>
      <c r="K8" s="0" t="n">
        <f aca="false">K6*K7/100</f>
        <v>1537.3809834737</v>
      </c>
      <c r="L8" s="0" t="n">
        <f aca="false">L6*L7/100</f>
        <v>1568.12860314318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-56.572173</v>
      </c>
      <c r="D10" s="0" t="n">
        <f aca="false">-D6*D9/100</f>
        <v>-54.87500781</v>
      </c>
      <c r="E10" s="0" t="n">
        <f aca="false">-E6*E9/100</f>
        <v>-49.387507029</v>
      </c>
      <c r="F10" s="0" t="n">
        <f aca="false">-F6*F9/100</f>
        <v>-50.128319634435</v>
      </c>
      <c r="G10" s="0" t="n">
        <f aca="false">-G6*G9/100</f>
        <v>-45.4496764685544</v>
      </c>
      <c r="H10" s="0" t="n">
        <f aca="false">-H6*H9/100</f>
        <v>-46.3586699979255</v>
      </c>
      <c r="I10" s="0" t="n">
        <f aca="false">-I6*I9/100</f>
        <v>-47.285843397884</v>
      </c>
      <c r="J10" s="0" t="n">
        <f aca="false">-J6*J9/100</f>
        <v>-48.2315602658417</v>
      </c>
      <c r="K10" s="0" t="n">
        <f aca="false">-K6*K9/100</f>
        <v>-49.1961914711585</v>
      </c>
      <c r="L10" s="0" t="n">
        <f aca="false">-L6*L9/100</f>
        <v>-50.1801153005817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531.7784262</v>
      </c>
      <c r="D11" s="0" t="n">
        <f aca="false">D8+D10+D24</f>
        <v>526.800074976</v>
      </c>
      <c r="E11" s="0" t="n">
        <f aca="false">E8+E10+E24</f>
        <v>543.262577319</v>
      </c>
      <c r="F11" s="0" t="n">
        <f aca="false">F8+F10+F24</f>
        <v>562.551142564215</v>
      </c>
      <c r="G11" s="0" t="n">
        <f aca="false">G8+G10+G24</f>
        <v>590.845794091207</v>
      </c>
      <c r="H11" s="0" t="n">
        <f aca="false">H8+H10+H24</f>
        <v>608.457543722772</v>
      </c>
      <c r="I11" s="0" t="n">
        <f aca="false">I8+I10+I24</f>
        <v>626.537425021963</v>
      </c>
      <c r="J11" s="0" t="n">
        <f aca="false">J8+J10+J24</f>
        <v>645.097118555632</v>
      </c>
      <c r="K11" s="0" t="n">
        <f aca="false">K8+K10+K24</f>
        <v>657.999060926745</v>
      </c>
      <c r="L11" s="0" t="n">
        <f aca="false">L8+L10+L24</f>
        <v>671.15904214528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-118.8015633</v>
      </c>
      <c r="D12" s="4" t="n">
        <f aca="false">-D6*Assumptions!D31/100</f>
        <v>-109.75001562</v>
      </c>
      <c r="E12" s="4" t="n">
        <f aca="false">-E6*Assumptions!E31/100</f>
        <v>-109.75001562</v>
      </c>
      <c r="F12" s="4" t="n">
        <f aca="false">-F6*Assumptions!F31/100</f>
        <v>-111.3962658543</v>
      </c>
      <c r="G12" s="4" t="n">
        <f aca="false">-G6*Assumptions!G31/100</f>
        <v>-113.624191171386</v>
      </c>
      <c r="H12" s="4" t="n">
        <f aca="false">-H6*Assumptions!H31/100</f>
        <v>-115.896674994814</v>
      </c>
      <c r="I12" s="4" t="n">
        <f aca="false">-I6*Assumptions!I31/100</f>
        <v>-118.21460849471</v>
      </c>
      <c r="J12" s="4" t="n">
        <f aca="false">-J6*Assumptions!J31/100</f>
        <v>-120.578900664604</v>
      </c>
      <c r="K12" s="4" t="n">
        <f aca="false">-K6*Assumptions!K31/100</f>
        <v>-122.990478677896</v>
      </c>
      <c r="L12" s="4" t="n">
        <f aca="false">-L6*Assumptions!L31/100</f>
        <v>-125.450288251454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412.9768629</v>
      </c>
      <c r="D13" s="0" t="n">
        <f aca="false">D11+D12</f>
        <v>417.050059356</v>
      </c>
      <c r="E13" s="0" t="n">
        <f aca="false">E11+E12</f>
        <v>433.512561699</v>
      </c>
      <c r="F13" s="0" t="n">
        <f aca="false">F11+F12</f>
        <v>451.154876709915</v>
      </c>
      <c r="G13" s="0" t="n">
        <f aca="false">G11+G12</f>
        <v>477.221602919821</v>
      </c>
      <c r="H13" s="0" t="n">
        <f aca="false">H11+H12</f>
        <v>492.560868727958</v>
      </c>
      <c r="I13" s="0" t="n">
        <f aca="false">I11+I12</f>
        <v>508.322816527253</v>
      </c>
      <c r="J13" s="0" t="n">
        <f aca="false">J11+J12</f>
        <v>524.518217891028</v>
      </c>
      <c r="K13" s="0" t="n">
        <f aca="false">K11+K12</f>
        <v>535.008582248849</v>
      </c>
      <c r="L13" s="0" t="n">
        <f aca="false">L11+L12</f>
        <v>545.708753893826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322.121953062</v>
      </c>
      <c r="D15" s="0" t="n">
        <f aca="false">D13-MAX(0,D13)*D14/100</f>
        <v>325.29904629768</v>
      </c>
      <c r="E15" s="0" t="n">
        <f aca="false">E13-MAX(0,E13)*E14/100</f>
        <v>338.13979812522</v>
      </c>
      <c r="F15" s="0" t="n">
        <f aca="false">F13-MAX(0,F13)*F14/100</f>
        <v>351.900803833733</v>
      </c>
      <c r="G15" s="0" t="n">
        <f aca="false">G13-MAX(0,G13)*G14/100</f>
        <v>372.23285027746</v>
      </c>
      <c r="H15" s="0" t="n">
        <f aca="false">H13-MAX(0,H13)*H14/100</f>
        <v>384.197477607807</v>
      </c>
      <c r="I15" s="0" t="n">
        <f aca="false">I13-MAX(0,I13)*I14/100</f>
        <v>396.491796891257</v>
      </c>
      <c r="J15" s="0" t="n">
        <f aca="false">J13-MAX(0,J13)*J14/100</f>
        <v>409.124209955002</v>
      </c>
      <c r="K15" s="0" t="n">
        <f aca="false">K13-MAX(0,K13)*K14/100</f>
        <v>417.306694154102</v>
      </c>
      <c r="L15" s="0" t="n">
        <f aca="false">L13-MAX(0,L13)*L14/100</f>
        <v>425.652828037184</v>
      </c>
    </row>
    <row r="16" customFormat="false" ht="15" hidden="false" customHeight="false" outlineLevel="0" collapsed="false">
      <c r="A16" s="0" t="s">
        <v>126</v>
      </c>
      <c r="C16" s="0" t="n">
        <f aca="false">-C12</f>
        <v>118.8015633</v>
      </c>
      <c r="D16" s="0" t="n">
        <f aca="false">-D12</f>
        <v>109.75001562</v>
      </c>
      <c r="E16" s="0" t="n">
        <f aca="false">-E12</f>
        <v>109.75001562</v>
      </c>
      <c r="F16" s="0" t="n">
        <f aca="false">-F12</f>
        <v>111.3962658543</v>
      </c>
      <c r="G16" s="0" t="n">
        <f aca="false">-G12</f>
        <v>113.624191171386</v>
      </c>
      <c r="H16" s="0" t="n">
        <f aca="false">-H12</f>
        <v>115.896674994814</v>
      </c>
      <c r="I16" s="0" t="n">
        <f aca="false">-I12</f>
        <v>118.21460849471</v>
      </c>
      <c r="J16" s="0" t="n">
        <f aca="false">-J12</f>
        <v>120.578900664604</v>
      </c>
      <c r="K16" s="0" t="n">
        <f aca="false">-K12</f>
        <v>122.990478677896</v>
      </c>
      <c r="L16" s="0" t="n">
        <f aca="false">-L12</f>
        <v>125.450288251454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-101.8299114</v>
      </c>
      <c r="D17" s="4" t="n">
        <f aca="false">-D6*Assumptions!D32/100</f>
        <v>-109.75001562</v>
      </c>
      <c r="E17" s="4" t="n">
        <f aca="false">-E6*Assumptions!E32/100</f>
        <v>-120.725017182</v>
      </c>
      <c r="F17" s="4" t="n">
        <f aca="false">-F6*Assumptions!F32/100</f>
        <v>-122.53589243973</v>
      </c>
      <c r="G17" s="4" t="n">
        <f aca="false">-G6*Assumptions!G32/100</f>
        <v>-124.986610288525</v>
      </c>
      <c r="H17" s="4" t="n">
        <f aca="false">-H6*Assumptions!H32/100</f>
        <v>-127.486342494295</v>
      </c>
      <c r="I17" s="4" t="n">
        <f aca="false">-I6*Assumptions!I32/100</f>
        <v>-130.036069344181</v>
      </c>
      <c r="J17" s="4" t="n">
        <f aca="false">-J6*Assumptions!J32/100</f>
        <v>-132.636790731065</v>
      </c>
      <c r="K17" s="4" t="n">
        <f aca="false">-K6*Assumptions!K32/100</f>
        <v>-135.289526545686</v>
      </c>
      <c r="L17" s="4" t="n">
        <f aca="false">-L6*Assumptions!L32/100</f>
        <v>-137.9953170766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94.286955</v>
      </c>
      <c r="D18" s="4" t="n">
        <f aca="false">(D6-C6)*Assumptions!$B$37/100</f>
        <v>25.4574778500001</v>
      </c>
      <c r="E18" s="4" t="n">
        <f aca="false">(E6-D6)*Assumptions!$B$37/100</f>
        <v>-0</v>
      </c>
      <c r="F18" s="4" t="n">
        <f aca="false">(F6-E6)*Assumptions!$B$37/100</f>
        <v>-12.3468767572499</v>
      </c>
      <c r="G18" s="4" t="n">
        <f aca="false">(G6-F6)*Assumptions!$B$37/100</f>
        <v>-16.7094398781451</v>
      </c>
      <c r="H18" s="4" t="n">
        <f aca="false">(H6-G6)*Assumptions!$B$37/100</f>
        <v>-17.0436286757079</v>
      </c>
      <c r="I18" s="4" t="n">
        <f aca="false">(I6-H6)*Assumptions!$B$37/100</f>
        <v>-17.3845012492221</v>
      </c>
      <c r="J18" s="4" t="n">
        <f aca="false">(J6-I6)*Assumptions!$B$37/100</f>
        <v>-17.7321912742065</v>
      </c>
      <c r="K18" s="4" t="n">
        <f aca="false">(K6-J6)*Assumptions!$B$37/100</f>
        <v>-18.0868350996907</v>
      </c>
      <c r="L18" s="4" t="n">
        <f aca="false">(L6-K6)*Assumptions!$B$37/100</f>
        <v>-18.4485718016844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433.380559962</v>
      </c>
      <c r="D19" s="0" t="n">
        <f aca="false">D15+D16+D17+D18</f>
        <v>350.75652414768</v>
      </c>
      <c r="E19" s="0" t="n">
        <f aca="false">E15+E16+E17+E18</f>
        <v>327.16479656322</v>
      </c>
      <c r="F19" s="0" t="n">
        <f aca="false">F15+F16+F17+F18</f>
        <v>328.414300491054</v>
      </c>
      <c r="G19" s="0" t="n">
        <f aca="false">G15+G16+G17+G18</f>
        <v>344.160991282177</v>
      </c>
      <c r="H19" s="0" t="n">
        <f aca="false">H15+H16+H17+H18</f>
        <v>355.564181432618</v>
      </c>
      <c r="I19" s="0" t="n">
        <f aca="false">I15+I16+I17+I18</f>
        <v>367.285834792564</v>
      </c>
      <c r="J19" s="0" t="n">
        <f aca="false">J15+J16+J17+J18</f>
        <v>379.334128614335</v>
      </c>
      <c r="K19" s="0" t="n">
        <f aca="false">K15+K16+K17+K18</f>
        <v>386.920811186622</v>
      </c>
      <c r="L19" s="0" t="n">
        <f aca="false">L15+L16+L17+L18</f>
        <v>394.659227410354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395.78133329863</v>
      </c>
      <c r="D21" s="0" t="n">
        <f aca="false">D19*D20</f>
        <v>292.534787971627</v>
      </c>
      <c r="E21" s="0" t="n">
        <f aca="false">E19*E20</f>
        <v>249.186327333287</v>
      </c>
      <c r="F21" s="0" t="n">
        <f aca="false">F19*F20</f>
        <v>228.436545033988</v>
      </c>
      <c r="G21" s="0" t="n">
        <f aca="false">G19*G20</f>
        <v>218.620582973268</v>
      </c>
      <c r="H21" s="0" t="n">
        <f aca="false">H19*H20</f>
        <v>206.268680209405</v>
      </c>
      <c r="I21" s="0" t="n">
        <f aca="false">I19*I20</f>
        <v>194.583201623302</v>
      </c>
      <c r="J21" s="0" t="n">
        <f aca="false">J19*J20</f>
        <v>183.530802857545</v>
      </c>
      <c r="K21" s="0" t="n">
        <f aca="false">K19*K20</f>
        <v>170.960199922097</v>
      </c>
      <c r="L21" s="0" t="n">
        <f aca="false">L19*L20</f>
        <v>159.250597187707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14.6</v>
      </c>
      <c r="D23" s="4" t="n">
        <f aca="false">Assumptions!D30</f>
        <v>14.4</v>
      </c>
      <c r="E23" s="4" t="n">
        <f aca="false">Assumptions!E30</f>
        <v>14.2</v>
      </c>
      <c r="F23" s="4" t="n">
        <f aca="false">Assumptions!F30</f>
        <v>14</v>
      </c>
      <c r="G23" s="4" t="n">
        <f aca="false">Assumptions!G30</f>
        <v>13.8</v>
      </c>
      <c r="H23" s="4" t="n">
        <f aca="false">Assumptions!H30</f>
        <v>13.7</v>
      </c>
      <c r="I23" s="4" t="n">
        <f aca="false">Assumptions!I30</f>
        <v>13.6</v>
      </c>
      <c r="J23" s="4" t="n">
        <f aca="false">Assumptions!J30</f>
        <v>13.5</v>
      </c>
      <c r="K23" s="4" t="n">
        <f aca="false">Assumptions!K30</f>
        <v>13.5</v>
      </c>
      <c r="L23" s="4" t="n">
        <f aca="false">Assumptions!L30</f>
        <v>13.5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-825.9537258</v>
      </c>
      <c r="D24" s="0" t="n">
        <f aca="false">-D6*D23/100</f>
        <v>-790.200112464</v>
      </c>
      <c r="E24" s="0" t="n">
        <f aca="false">-E6*E23/100</f>
        <v>-779.225110902</v>
      </c>
      <c r="F24" s="0" t="n">
        <f aca="false">-F6*F23/100</f>
        <v>-779.7738609801</v>
      </c>
      <c r="G24" s="0" t="n">
        <f aca="false">-G6*G23/100</f>
        <v>-784.006919082563</v>
      </c>
      <c r="H24" s="0" t="n">
        <f aca="false">-H6*H23/100</f>
        <v>-793.892223714474</v>
      </c>
      <c r="I24" s="0" t="n">
        <f aca="false">-I6*I23/100</f>
        <v>-803.859337764028</v>
      </c>
      <c r="J24" s="0" t="n">
        <f aca="false">-J6*J23/100</f>
        <v>-813.907579486078</v>
      </c>
      <c r="K24" s="0" t="n">
        <f aca="false">-K6*K23/100</f>
        <v>-830.1857310758</v>
      </c>
      <c r="L24" s="0" t="n">
        <f aca="false">-L6*L23/100</f>
        <v>-846.789445697316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2299.15305841086</v>
      </c>
    </row>
    <row r="31" customFormat="false" ht="15" hidden="false" customHeight="false" outlineLevel="0" collapsed="false">
      <c r="A31" s="0" t="s">
        <v>135</v>
      </c>
      <c r="B31" s="0" t="n">
        <f aca="false">L19</f>
        <v>394.659227410354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5367.36549278082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4735.91072892425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4735.91072892425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1911.00716625248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4210.16022466334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5014.88122466334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8.79488350703577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1.2725797175803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316.05153758182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275.378082457679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9.8321073968612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3096.55701506586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5.97953439818226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-7</v>
      </c>
      <c r="D5" s="4" t="n">
        <f aca="false">Assumptions!D41</f>
        <v>1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6285.797</v>
      </c>
      <c r="C6" s="0" t="n">
        <f aca="false">B6*(1+C5/100)</f>
        <v>5845.79121</v>
      </c>
      <c r="D6" s="0" t="n">
        <f aca="false">C6*(1+D5/100)</f>
        <v>5904.2491221</v>
      </c>
      <c r="E6" s="0" t="n">
        <f aca="false">D6*(1+E5/100)</f>
        <v>6140.419086984</v>
      </c>
      <c r="F6" s="0" t="n">
        <f aca="false">E6*(1+F5/100)</f>
        <v>6386.03585046336</v>
      </c>
      <c r="G6" s="0" t="n">
        <f aca="false">F6*(1+G5/100)</f>
        <v>6609.54710522958</v>
      </c>
      <c r="H6" s="0" t="n">
        <f aca="false">G6*(1+H5/100)</f>
        <v>6807.83351838647</v>
      </c>
      <c r="I6" s="0" t="n">
        <f aca="false">H6*(1+I5/100)</f>
        <v>7012.06852393806</v>
      </c>
      <c r="J6" s="0" t="n">
        <f aca="false">I6*(1+J5/100)</f>
        <v>7187.37023703651</v>
      </c>
      <c r="K6" s="0" t="n">
        <f aca="false">J6*(1+K5/100)</f>
        <v>7367.05449296242</v>
      </c>
      <c r="L6" s="0" t="n">
        <f aca="false">K6*(1+L5/100)</f>
        <v>7551.23085528648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25.5</v>
      </c>
      <c r="D7" s="4" t="n">
        <f aca="false">Assumptions!D42</f>
        <v>25.8</v>
      </c>
      <c r="E7" s="4" t="n">
        <f aca="false">Assumptions!E42</f>
        <v>26</v>
      </c>
      <c r="F7" s="4" t="n">
        <f aca="false">Assumptions!F42</f>
        <v>26.2</v>
      </c>
      <c r="G7" s="4" t="n">
        <f aca="false">Assumptions!G42</f>
        <v>26.4</v>
      </c>
      <c r="H7" s="4" t="n">
        <f aca="false">Assumptions!H42</f>
        <v>26.5</v>
      </c>
      <c r="I7" s="4" t="n">
        <f aca="false">Assumptions!I42</f>
        <v>26.5</v>
      </c>
      <c r="J7" s="4" t="n">
        <f aca="false">Assumptions!J42</f>
        <v>26.5</v>
      </c>
      <c r="K7" s="4" t="n">
        <f aca="false">Assumptions!K42</f>
        <v>26.5</v>
      </c>
      <c r="L7" s="4" t="n">
        <f aca="false">Assumptions!L42</f>
        <v>26.5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1490.67675855</v>
      </c>
      <c r="D8" s="0" t="n">
        <f aca="false">D6*D7/100</f>
        <v>1523.2962735018</v>
      </c>
      <c r="E8" s="0" t="n">
        <f aca="false">E6*E7/100</f>
        <v>1596.50896261584</v>
      </c>
      <c r="F8" s="0" t="n">
        <f aca="false">F6*F7/100</f>
        <v>1673.1413928214</v>
      </c>
      <c r="G8" s="0" t="n">
        <f aca="false">G6*G7/100</f>
        <v>1744.92043578061</v>
      </c>
      <c r="H8" s="0" t="n">
        <f aca="false">H6*H7/100</f>
        <v>1804.07588237241</v>
      </c>
      <c r="I8" s="0" t="n">
        <f aca="false">I6*I7/100</f>
        <v>1858.19815884359</v>
      </c>
      <c r="J8" s="0" t="n">
        <f aca="false">J6*J7/100</f>
        <v>1904.65311281468</v>
      </c>
      <c r="K8" s="0" t="n">
        <f aca="false">K6*K7/100</f>
        <v>1952.26944063504</v>
      </c>
      <c r="L8" s="0" t="n">
        <f aca="false">L6*L7/100</f>
        <v>2001.07617665092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-58.4579121</v>
      </c>
      <c r="D10" s="0" t="n">
        <f aca="false">-D6*D9/100</f>
        <v>-59.042491221</v>
      </c>
      <c r="E10" s="0" t="n">
        <f aca="false">-E6*E9/100</f>
        <v>-55.263771782856</v>
      </c>
      <c r="F10" s="0" t="n">
        <f aca="false">-F6*F9/100</f>
        <v>-57.4743226541702</v>
      </c>
      <c r="G10" s="0" t="n">
        <f aca="false">-G6*G9/100</f>
        <v>-52.8763768418366</v>
      </c>
      <c r="H10" s="0" t="n">
        <f aca="false">-H6*H9/100</f>
        <v>-54.4626681470917</v>
      </c>
      <c r="I10" s="0" t="n">
        <f aca="false">-I6*I9/100</f>
        <v>-56.0965481915045</v>
      </c>
      <c r="J10" s="0" t="n">
        <f aca="false">-J6*J9/100</f>
        <v>-57.4989618962921</v>
      </c>
      <c r="K10" s="0" t="n">
        <f aca="false">-K6*K9/100</f>
        <v>-58.9364359436994</v>
      </c>
      <c r="L10" s="0" t="n">
        <f aca="false">-L6*L9/100</f>
        <v>-60.4098468422919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590.42491221</v>
      </c>
      <c r="D11" s="0" t="n">
        <f aca="false">D8+D10+D24</f>
        <v>637.6589051868</v>
      </c>
      <c r="E11" s="0" t="n">
        <f aca="false">E8+E10+E24</f>
        <v>706.14819500316</v>
      </c>
      <c r="F11" s="0" t="n">
        <f aca="false">F8+F10+F24</f>
        <v>766.324302055603</v>
      </c>
      <c r="G11" s="0" t="n">
        <f aca="false">G8+G10+G24</f>
        <v>826.193388153697</v>
      </c>
      <c r="H11" s="0" t="n">
        <f aca="false">H8+H10+H24</f>
        <v>864.594856835081</v>
      </c>
      <c r="I11" s="0" t="n">
        <f aca="false">I8+I10+I24</f>
        <v>890.532702540133</v>
      </c>
      <c r="J11" s="0" t="n">
        <f aca="false">J8+J10+J24</f>
        <v>912.796020103637</v>
      </c>
      <c r="K11" s="0" t="n">
        <f aca="false">K8+K10+K24</f>
        <v>935.615920606228</v>
      </c>
      <c r="L11" s="0" t="n">
        <f aca="false">L8+L10+L24</f>
        <v>959.006318621383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-122.76161541</v>
      </c>
      <c r="D12" s="4" t="n">
        <f aca="false">-D6*Assumptions!D45/100</f>
        <v>-118.084982442</v>
      </c>
      <c r="E12" s="4" t="n">
        <f aca="false">-E6*Assumptions!E45/100</f>
        <v>-122.80838173968</v>
      </c>
      <c r="F12" s="4" t="n">
        <f aca="false">-F6*Assumptions!F45/100</f>
        <v>-127.720717009267</v>
      </c>
      <c r="G12" s="4" t="n">
        <f aca="false">-G6*Assumptions!G45/100</f>
        <v>-132.190942104592</v>
      </c>
      <c r="H12" s="4" t="n">
        <f aca="false">-H6*Assumptions!H45/100</f>
        <v>-136.156670367729</v>
      </c>
      <c r="I12" s="4" t="n">
        <f aca="false">-I6*Assumptions!I45/100</f>
        <v>-140.241370478761</v>
      </c>
      <c r="J12" s="4" t="n">
        <f aca="false">-J6*Assumptions!J45/100</f>
        <v>-143.74740474073</v>
      </c>
      <c r="K12" s="4" t="n">
        <f aca="false">-K6*Assumptions!K45/100</f>
        <v>-147.341089859248</v>
      </c>
      <c r="L12" s="4" t="n">
        <f aca="false">-L6*Assumptions!L45/100</f>
        <v>-151.02461710573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467.6632968</v>
      </c>
      <c r="D13" s="0" t="n">
        <f aca="false">D11+D12</f>
        <v>519.5739227448</v>
      </c>
      <c r="E13" s="0" t="n">
        <f aca="false">E11+E12</f>
        <v>583.33981326348</v>
      </c>
      <c r="F13" s="0" t="n">
        <f aca="false">F11+F12</f>
        <v>638.603585046336</v>
      </c>
      <c r="G13" s="0" t="n">
        <f aca="false">G11+G12</f>
        <v>694.002446049106</v>
      </c>
      <c r="H13" s="0" t="n">
        <f aca="false">H11+H12</f>
        <v>728.438186467352</v>
      </c>
      <c r="I13" s="0" t="n">
        <f aca="false">I11+I12</f>
        <v>750.291332061372</v>
      </c>
      <c r="J13" s="0" t="n">
        <f aca="false">J11+J12</f>
        <v>769.048615362907</v>
      </c>
      <c r="K13" s="0" t="n">
        <f aca="false">K11+K12</f>
        <v>788.274830746979</v>
      </c>
      <c r="L13" s="0" t="n">
        <f aca="false">L11+L12</f>
        <v>807.981701515654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364.777371504</v>
      </c>
      <c r="D15" s="0" t="n">
        <f aca="false">D13-MAX(0,D13)*D14/100</f>
        <v>405.267659740944</v>
      </c>
      <c r="E15" s="0" t="n">
        <f aca="false">E13-MAX(0,E13)*E14/100</f>
        <v>455.005054345515</v>
      </c>
      <c r="F15" s="0" t="n">
        <f aca="false">F13-MAX(0,F13)*F14/100</f>
        <v>498.110796336142</v>
      </c>
      <c r="G15" s="0" t="n">
        <f aca="false">G13-MAX(0,G13)*G14/100</f>
        <v>541.321907918302</v>
      </c>
      <c r="H15" s="0" t="n">
        <f aca="false">H13-MAX(0,H13)*H14/100</f>
        <v>568.181785444534</v>
      </c>
      <c r="I15" s="0" t="n">
        <f aca="false">I13-MAX(0,I13)*I14/100</f>
        <v>585.22723900787</v>
      </c>
      <c r="J15" s="0" t="n">
        <f aca="false">J13-MAX(0,J13)*J14/100</f>
        <v>599.857919983067</v>
      </c>
      <c r="K15" s="0" t="n">
        <f aca="false">K13-MAX(0,K13)*K14/100</f>
        <v>614.854367982644</v>
      </c>
      <c r="L15" s="0" t="n">
        <f aca="false">L13-MAX(0,L13)*L14/100</f>
        <v>630.22572718221</v>
      </c>
    </row>
    <row r="16" customFormat="false" ht="15" hidden="false" customHeight="false" outlineLevel="0" collapsed="false">
      <c r="A16" s="0" t="s">
        <v>126</v>
      </c>
      <c r="C16" s="0" t="n">
        <f aca="false">-C12</f>
        <v>122.76161541</v>
      </c>
      <c r="D16" s="0" t="n">
        <f aca="false">-D12</f>
        <v>118.084982442</v>
      </c>
      <c r="E16" s="0" t="n">
        <f aca="false">-E12</f>
        <v>122.80838173968</v>
      </c>
      <c r="F16" s="0" t="n">
        <f aca="false">-F12</f>
        <v>127.720717009267</v>
      </c>
      <c r="G16" s="0" t="n">
        <f aca="false">-G12</f>
        <v>132.190942104592</v>
      </c>
      <c r="H16" s="0" t="n">
        <f aca="false">-H12</f>
        <v>136.156670367729</v>
      </c>
      <c r="I16" s="0" t="n">
        <f aca="false">-I12</f>
        <v>140.241370478761</v>
      </c>
      <c r="J16" s="0" t="n">
        <f aca="false">-J12</f>
        <v>143.74740474073</v>
      </c>
      <c r="K16" s="0" t="n">
        <f aca="false">-K12</f>
        <v>147.341089859248</v>
      </c>
      <c r="L16" s="0" t="n">
        <f aca="false">-L12</f>
        <v>151.02461710573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-105.22424178</v>
      </c>
      <c r="D17" s="4" t="n">
        <f aca="false">-D6*Assumptions!D46/100</f>
        <v>-129.8934806862</v>
      </c>
      <c r="E17" s="4" t="n">
        <f aca="false">-E6*Assumptions!E46/100</f>
        <v>-147.370058087616</v>
      </c>
      <c r="F17" s="4" t="n">
        <f aca="false">-F6*Assumptions!F46/100</f>
        <v>-153.264860411121</v>
      </c>
      <c r="G17" s="4" t="n">
        <f aca="false">-G6*Assumptions!G46/100</f>
        <v>-158.62913052551</v>
      </c>
      <c r="H17" s="4" t="n">
        <f aca="false">-H6*Assumptions!H46/100</f>
        <v>-156.580170922889</v>
      </c>
      <c r="I17" s="4" t="n">
        <f aca="false">-I6*Assumptions!I46/100</f>
        <v>-161.277576050575</v>
      </c>
      <c r="J17" s="4" t="n">
        <f aca="false">-J6*Assumptions!J46/100</f>
        <v>-165.30951545184</v>
      </c>
      <c r="K17" s="4" t="n">
        <f aca="false">-K6*Assumptions!K46/100</f>
        <v>-169.442253338136</v>
      </c>
      <c r="L17" s="4" t="n">
        <f aca="false">-L6*Assumptions!L46/100</f>
        <v>-173.678309671589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66.0008685</v>
      </c>
      <c r="D18" s="4" t="n">
        <f aca="false">(D6-C6)*Assumptions!$B$51/100</f>
        <v>-8.76868681499996</v>
      </c>
      <c r="E18" s="4" t="n">
        <f aca="false">(E6-D6)*Assumptions!$B$51/100</f>
        <v>-35.4254947326001</v>
      </c>
      <c r="F18" s="4" t="n">
        <f aca="false">(F6-E6)*Assumptions!$B$51/100</f>
        <v>-36.842514521904</v>
      </c>
      <c r="G18" s="4" t="n">
        <f aca="false">(G6-F6)*Assumptions!$B$51/100</f>
        <v>-33.5266882149326</v>
      </c>
      <c r="H18" s="4" t="n">
        <f aca="false">(H6-G6)*Assumptions!$B$51/100</f>
        <v>-29.7429619735332</v>
      </c>
      <c r="I18" s="4" t="n">
        <f aca="false">(I6-H6)*Assumptions!$B$51/100</f>
        <v>-30.6352508327392</v>
      </c>
      <c r="J18" s="4" t="n">
        <f aca="false">(J6-I6)*Assumptions!$B$51/100</f>
        <v>-26.2952569647676</v>
      </c>
      <c r="K18" s="4" t="n">
        <f aca="false">(K6-J6)*Assumptions!$B$51/100</f>
        <v>-26.9526383888868</v>
      </c>
      <c r="L18" s="4" t="n">
        <f aca="false">(L6-K6)*Assumptions!$B$51/100</f>
        <v>-27.6264543486089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448.315613634</v>
      </c>
      <c r="D19" s="0" t="n">
        <f aca="false">D15+D16+D17+D18</f>
        <v>384.690474681744</v>
      </c>
      <c r="E19" s="0" t="n">
        <f aca="false">E15+E16+E17+E18</f>
        <v>395.017883264979</v>
      </c>
      <c r="F19" s="0" t="n">
        <f aca="false">F15+F16+F17+F18</f>
        <v>435.724138412385</v>
      </c>
      <c r="G19" s="0" t="n">
        <f aca="false">G15+G16+G17+G18</f>
        <v>481.357031282451</v>
      </c>
      <c r="H19" s="0" t="n">
        <f aca="false">H15+H16+H17+H18</f>
        <v>518.015322915842</v>
      </c>
      <c r="I19" s="0" t="n">
        <f aca="false">I15+I16+I17+I18</f>
        <v>533.555782603317</v>
      </c>
      <c r="J19" s="0" t="n">
        <f aca="false">J15+J16+J17+J18</f>
        <v>552.00055230719</v>
      </c>
      <c r="K19" s="0" t="n">
        <f aca="false">K15+K16+K17+K18</f>
        <v>565.80056611487</v>
      </c>
      <c r="L19" s="0" t="n">
        <f aca="false">L15+L16+L17+L18</f>
        <v>579.945580267741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409.420651720548</v>
      </c>
      <c r="D21" s="0" t="n">
        <f aca="false">D19*D20</f>
        <v>320.836074878959</v>
      </c>
      <c r="E21" s="0" t="n">
        <f aca="false">E19*E20</f>
        <v>300.866892146657</v>
      </c>
      <c r="F21" s="0" t="n">
        <f aca="false">F19*F20</f>
        <v>303.078509729961</v>
      </c>
      <c r="G21" s="0" t="n">
        <f aca="false">G19*G20</f>
        <v>305.77130314856</v>
      </c>
      <c r="H21" s="0" t="n">
        <f aca="false">H19*H20</f>
        <v>300.509282334301</v>
      </c>
      <c r="I21" s="0" t="n">
        <f aca="false">I19*I20</f>
        <v>282.670831784776</v>
      </c>
      <c r="J21" s="0" t="n">
        <f aca="false">J19*J20</f>
        <v>267.070893180157</v>
      </c>
      <c r="K21" s="0" t="n">
        <f aca="false">K19*K20</f>
        <v>249.997868045352</v>
      </c>
      <c r="L21" s="0" t="n">
        <f aca="false">L19*L20</f>
        <v>234.016269174873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14.4</v>
      </c>
      <c r="D23" s="4" t="n">
        <f aca="false">Assumptions!D44</f>
        <v>14</v>
      </c>
      <c r="E23" s="4" t="n">
        <f aca="false">Assumptions!E44</f>
        <v>13.6</v>
      </c>
      <c r="F23" s="4" t="n">
        <f aca="false">Assumptions!F44</f>
        <v>13.3</v>
      </c>
      <c r="G23" s="4" t="n">
        <f aca="false">Assumptions!G44</f>
        <v>13.1</v>
      </c>
      <c r="H23" s="4" t="n">
        <f aca="false">Assumptions!H44</f>
        <v>13</v>
      </c>
      <c r="I23" s="4" t="n">
        <f aca="false">Assumptions!I44</f>
        <v>13</v>
      </c>
      <c r="J23" s="4" t="n">
        <f aca="false">Assumptions!J44</f>
        <v>13</v>
      </c>
      <c r="K23" s="4" t="n">
        <f aca="false">Assumptions!K44</f>
        <v>13</v>
      </c>
      <c r="L23" s="4" t="n">
        <f aca="false">Assumptions!L44</f>
        <v>13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-841.79393424</v>
      </c>
      <c r="D24" s="0" t="n">
        <f aca="false">-D6*D23/100</f>
        <v>-826.594877094</v>
      </c>
      <c r="E24" s="0" t="n">
        <f aca="false">-E6*E23/100</f>
        <v>-835.096995829824</v>
      </c>
      <c r="F24" s="0" t="n">
        <f aca="false">-F6*F23/100</f>
        <v>-849.342768111627</v>
      </c>
      <c r="G24" s="0" t="n">
        <f aca="false">-G6*G23/100</f>
        <v>-865.850670785075</v>
      </c>
      <c r="H24" s="0" t="n">
        <f aca="false">-H6*H23/100</f>
        <v>-885.018357390241</v>
      </c>
      <c r="I24" s="0" t="n">
        <f aca="false">-I6*I23/100</f>
        <v>-911.568908111948</v>
      </c>
      <c r="J24" s="0" t="n">
        <f aca="false">-J6*J23/100</f>
        <v>-934.358130814746</v>
      </c>
      <c r="K24" s="0" t="n">
        <f aca="false">-K6*K23/100</f>
        <v>-957.717084085115</v>
      </c>
      <c r="L24" s="0" t="n">
        <f aca="false">-L6*L23/100</f>
        <v>-981.660011187243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2974.23857614414</v>
      </c>
    </row>
    <row r="31" customFormat="false" ht="15" hidden="false" customHeight="false" outlineLevel="0" collapsed="false">
      <c r="A31" s="0" t="s">
        <v>135</v>
      </c>
      <c r="B31" s="0" t="n">
        <f aca="false">L19</f>
        <v>579.945580267741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8492.06028249193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6959.3469632129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6959.3469632129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2808.19523009848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5782.43380624262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6587.15480624262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11.5522694493335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1.98508254504743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357.83681318802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356.937656787319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12.8058102443418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4755.55375819548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7.57323896523278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5.5546866812056</v>
      </c>
      <c r="C4" s="0" t="n">
        <f aca="false">B4/Assumptions!$B$2-1</f>
        <v>0.43531955586708</v>
      </c>
      <c r="D4" s="4" t="n">
        <f aca="false">Assumptions!$B$24</f>
        <v>0.3</v>
      </c>
      <c r="E4" s="4" t="n">
        <f aca="false">DCF_Bear!$B$43</f>
        <v>6.32465013549621</v>
      </c>
      <c r="F4" s="4" t="n">
        <f aca="false">DCF_Bear!$B$47</f>
        <v>4.19435191810663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8.79488350703577</v>
      </c>
      <c r="C5" s="0" t="n">
        <f aca="false">B5/Assumptions!$B$2-1</f>
        <v>1.2725797175803</v>
      </c>
      <c r="D5" s="4" t="n">
        <f aca="false">Assumptions!$B$38</f>
        <v>0.5</v>
      </c>
      <c r="E5" s="4" t="n">
        <f aca="false">DCF_Base!$B$43</f>
        <v>9.8321073968612</v>
      </c>
      <c r="F5" s="4" t="n">
        <f aca="false">DCF_Base!$B$47</f>
        <v>5.97953439818226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11.5522694493335</v>
      </c>
      <c r="C6" s="0" t="n">
        <f aca="false">B6/Assumptions!$B$2-1</f>
        <v>1.98508254504743</v>
      </c>
      <c r="D6" s="4" t="n">
        <f aca="false">Assumptions!$B$52</f>
        <v>0.2</v>
      </c>
      <c r="E6" s="4" t="n">
        <f aca="false">DCF_Bull!$B$43</f>
        <v>12.8058102443418</v>
      </c>
      <c r="F6" s="4" t="n">
        <f aca="false">DCF_Bull!$B$47</f>
        <v>7.57323896523278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8.37430164774628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9.37461078794782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0.537871913051817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-450.290961735963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5.76272056756968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9.04092185266588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8.79488350703577</v>
      </c>
      <c r="C16" s="3" t="n">
        <v>9.5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8.55954538235726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7.95635056163227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7.31378795060576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5.97953439818226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9.84907924616199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9.84907924616199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9.84907924616199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9.84907924616199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9.84907924616199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9.29822753049917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9.29822753049917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9.29822753049917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9.29822753049917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9.29822753049917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8.76202622891524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8.79488350703577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8.79488350703577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8.79488350703577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8.79488350703577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7.98540142166257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8.15019302861804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8.33437188345063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8.33437188345063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8.33437188345063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7.35764949883158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7.48138621898688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7.61814785705327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7.77010523268258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7.9125226833845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2026-10-22T12:06:46Z</dcterms:created>
  <dc:creator>openpyxl</dc:creator>
  <dc:description/>
  <dc:language>en-NZ</dc:language>
  <cp:lastModifiedBy/>
  <dcterms:modified xsi:type="dcterms:W3CDTF">2026-10-22T12:06:46Z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