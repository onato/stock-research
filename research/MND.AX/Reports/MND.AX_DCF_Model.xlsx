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<sst xmlns="http://schemas.openxmlformats.org/spreadsheetml/2006/main" count="363" uniqueCount="166">
  <si>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</si>
  <si>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MND.AX</t>
  </si>
  <si>
    <t xml:space="preserve">Company</t>
  </si>
  <si>
    <t xml:space="preserve">Monadelphous Group Limited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</si>
  <si>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</si>
  <si>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</si>
  <si>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</si>
  <si>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</si>
  <si>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2026-09-24T06:10:04Z regular session (ASX)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</si>
  <si>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</si>
  <si>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</si>
  <si>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</si>
  <si>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</si>
  <si>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</si>
  <si>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</si>
  <si>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</si>
  <si>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</si>
  <si>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</si>
  <si>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</si>
  <si>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</si>
  <si>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</si>
  <si>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2026-09-24T08:50:30Z</t>
  </si>
  <si>
    <t xml:space="preserve">Drivers file</t>
  </si>
  <si>
    <t xml:space="preserve">MND.AX_Drivers.json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</si>
  <si>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</si>
  <si>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</si>
  <si>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</si>
  <si>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capital-light, net-cash, 85%-payout contractor whose value is a mid-cycle owner-FCF stream, not the FY2026 peak. Three deliberate choices drive the result: (1) the FCF base is normalised for a $73m working-capital inflow and the $105m of excess customer advances is worked off in the bridge; (2) margins mean-revert toward the ten-year IFRS-16-equivalent average rather than holding the record; (3) risk is charged once - a single 10% AUD WACC, with cyclicality in the bear path and a 25% bear weight - and the terminal value is capped at 14x FCF because the market has historically paid ~8-12x EBITDA for this business.
key_risks_to_valuation: Margin path: every 0.5pp of sustained EBITDA margin is worth roughly $2/share; if the FY2026 8.1% proves structural (maintenance mix, scale), the base is too low; Working-capital normalisation: if elevated customer advances persist across the contract book rather than unwinding, the $95m bridge deduction is too harsh (~$0.94/share); Terminal multiple: the market currently pays ~25x FY2026 earnings and ~13x EV/EBITDA; the 14x FCF cap embeds no re-rating and the price implies the market disagrees; Cycle timing: the bear path assumes a 2027-28 downturn; a longer resources capex cycle (energy transition metals, gas, data-centre power) shifts weight to bull; Revenue definition: statutory revenue (2,796) excludes the $193m JV share; JV profits are inside EBITDA but only their dividends are cash</t>
  </si>
  <si>
    <t xml:space="preserve">Data sources</t>
  </si>
  <si>
    <t xml:space="preserve">price: Yahoo Finance chart API at inputs.price_as_of; 52-week range 21.85-36.88
financials: MND.AX_Metrics.csv / core_metrics FY2016-FY2026 (annual + half-year) from ASX annual reports; FY2026 Annual Report (year ended 30 June 2026) for the balance sheet, EPS note (diluted shares), cash-flow reconciliation (working-capital lines), note 12 (contract liabilities), lease/hire-purchase notes and the page-17 JV revenue reconciliation
qualitative: MND.AX_Analysis.json (2026-09-24): FY2027 'flattish, potentially some modest growth' guidance from the 25-Aug-2026 result; segment/customer/geographic mix; bull/bear axes</t>
  </si>
  <si>
    <t xml:space="preserve">Scenario narrative: bear</t>
  </si>
  <si>
    <t xml:space="preserve">Iron ore and energy capex roll over in FY2027-28: awards are deferred, shutdown scopes shrink, and competitive tendering compresses the margin to the 6.2% that prevailed through FY2020-24. Revenue retraces ~14% before resuming low growth. The net-cash balance sheet means no distress, but the valuation carries no re-rating and the terminal cap (14x) binds on a smaller FCF base.</t>
  </si>
  <si>
    <t xml:space="preserve">Scenario narrative: base</t>
  </si>
  <si>
    <t xml:space="preserve">FY2027 is the consolidation year management guided (+2%), followed by a three-year ramp (+7/+6/+5%) as the record FY2026 order intake and the $680m+ secured since 1 July 2026 convert to revenue in FY2028+, fading to 2.5% by year 10. The EBITDA margin drifts from the 8.1% FY2026 record back to a 7.25% mid-cycle level - the IFRS-16-equivalent ten-year mean - because the FY2025-26 expansion (6.3% -&gt; 8.1%) was operating leverage on a 50% revenue step-up that is now over. Leases and hire purchase are charged as an operating cost (~1.1% of revenue), owned-PPE capex settles at 1.25%, working capital consumes 5.5c per dollar of growth, cash tax 30%.</t>
  </si>
  <si>
    <t xml:space="preserve">Scenario narrative: bull</t>
  </si>
  <si>
    <t xml:space="preserve">FY2027 delivers the modest-growth end of guidance (+5%) and FY2028-29 compound at +12/+10% as electrification, BESS/wind (Zenviron), gas construction and copper/critical-minerals processing come on top of sustained Pilbara maintenance; the Kerman/APIP/High Energy Service acquisitions widen the addressable market. Margin holds at ~8% on scale and maintenance mix. Ten-year revenue CAGR ~6%.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</si>
  <si>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</si>
  <si>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</si>
  <si>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</si>
  <si>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</si>
  <si>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</si>
  <si>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</si>
  <si>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</si>
  <si>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</si>
  <si>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</si>
  <si>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</si>
  <si>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</si>
  <si>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</si>
  <si>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</si>
  <si>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</si>
  <si>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</si>
  <si>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</si>
  <si>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</si>
  <si>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</si>
  <si>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</si>
  <si>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</si>
  <si>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</si>
  <si>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</si>
  <si>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</si>
  <si>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</si>
  <si>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</si>
  <si>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</si>
  <si>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</si>
  <si>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BasicEPS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</si>
  <si>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</si>
  <si>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</si>
  <si>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</si>
  <si>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</si>
  <si>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</si>
  <si>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</si>
  <si>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</si>
  <si>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</si>
  <si>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</si>
  <si>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</si>
  <si>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</si>
  <si>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</si>
  <si>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</si>
  <si>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</si>
  <si>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</si>
  <si>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</si>
  <si>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</si>
  <si>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</si>
  <si>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</si>
  <si>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</si>
  <si>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</si>
  <si>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</si>
  <si>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</si>
  <si>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</si>
  <si>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</si>
  <si>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</si>
  <si>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</si>
  <si>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</si>
  <si>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</si>
  <si>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</si>
  <si>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</si>
  <si>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</si>
  <si>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</si>
  <si>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</si>
  <si>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</si>
  <si>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</si>
  <si>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</si>
  <si>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</si>
  <si>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</si>
  <si>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</si>
  <si>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</si>
  <si>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</si>
  <si>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</si>
  <si>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</si>
  <si>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</si>
  <si>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</si>
  <si>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</si>
  <si>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</si>
  <si>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MND.AX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</si>
  <si>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</si>
  <si>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</si>
  <si>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</si>
  <si>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</si>
  <si>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</si>
  <si>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</si>
  <si>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</si>
  <si>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</si>
  <si>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</si>
  <si>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</si>
  <si>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</si>
  <si>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</si>
  <si>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</si>
  <si>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</si>
  <si>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</si>
  <si>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</si>
  <si>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</si>
  <si>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</si>
  <si>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</si>
  <si>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</si>
  <si>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</si>
  <si>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</si>
  <si>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</si>
  <si>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</si>
  <si>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</si>
  <si>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</si>
  <si>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</si>
  <si>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</si>
  <si>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</si>
  <si>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</si>
  <si>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MND.AX owner-FCF component DCF: base case (millions, AUD)</t>
  </si>
  <si>
    <t xml:space="preserve">MND.AX owner-FCF component DCF: bull case (millions, AUD)</t>
  </si>
  <si>
    <t xml:space="preserve">MND.AX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</si>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</sst>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31.79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1368.849</v>
      </c>
      <c r="C2" s="0" t="n">
        <v>1228.15</v>
      </c>
      <c r="D2" s="0" t="n">
        <v>140.699</v>
      </c>
      <c r="E2" s="0" t="n">
        <v>10.3</v>
      </c>
      <c r="H2" s="0" t="n">
        <v>113.63</v>
      </c>
      <c r="I2" s="0" t="n">
        <v>67.014</v>
      </c>
      <c r="J2" s="0" t="n">
        <v>4.9</v>
      </c>
      <c r="K2" s="0" t="n">
        <v>0.7177</v>
      </c>
      <c r="L2" s="0" t="n">
        <v>77.969</v>
      </c>
      <c r="M2" s="0" t="n">
        <v>0.836</v>
      </c>
      <c r="N2" s="0" t="n">
        <v>77.133</v>
      </c>
      <c r="O2" s="0" t="n">
        <v>368.889</v>
      </c>
      <c r="P2" s="0" t="n">
        <v>705.337</v>
      </c>
      <c r="Q2" s="0" t="n">
        <v>336.448</v>
      </c>
      <c r="R2" s="0" t="n">
        <v>17.546</v>
      </c>
      <c r="S2" s="0" t="n">
        <v>203.515</v>
      </c>
      <c r="T2" s="0" t="n">
        <v>93.37</v>
      </c>
      <c r="U2" s="0" t="n">
        <v>-1.178</v>
      </c>
      <c r="AA2" s="0" t="s">
        <v>17</v>
      </c>
      <c r="AB2" s="0" t="s">
        <v>14</v>
      </c>
      <c r="AC2" s="0" t="n">
        <v>0.7177</v>
      </c>
    </row>
    <row r="3" customFormat="false" ht="15" hidden="false" customHeight="false" outlineLevel="0" collapsed="false">
      <c r="A3" s="0" t="s">
        <v>65</v>
      </c>
      <c r="B3" s="0" t="n">
        <v>1249.085</v>
      </c>
      <c r="C3" s="0" t="n">
        <v>1121.827</v>
      </c>
      <c r="D3" s="0" t="n">
        <v>127.258</v>
      </c>
      <c r="E3" s="0" t="n">
        <v>10.2</v>
      </c>
      <c r="H3" s="0" t="n">
        <v>98.184</v>
      </c>
      <c r="I3" s="0" t="n">
        <v>57.563</v>
      </c>
      <c r="J3" s="0" t="n">
        <v>4.6</v>
      </c>
      <c r="K3" s="0" t="n">
        <v>0.6134</v>
      </c>
      <c r="L3" s="0" t="n">
        <v>111.193</v>
      </c>
      <c r="M3" s="0" t="n">
        <v>12.368</v>
      </c>
      <c r="N3" s="0" t="n">
        <v>98.825</v>
      </c>
      <c r="O3" s="0" t="n">
        <v>378.244</v>
      </c>
      <c r="P3" s="0" t="n">
        <v>669.698</v>
      </c>
      <c r="Q3" s="0" t="n">
        <v>291.454</v>
      </c>
      <c r="R3" s="0" t="n">
        <v>13.76</v>
      </c>
      <c r="S3" s="0" t="n">
        <v>241.909</v>
      </c>
      <c r="T3" s="0" t="n">
        <v>93.84</v>
      </c>
      <c r="U3" s="0" t="n">
        <v>1.04</v>
      </c>
      <c r="AA3" s="0" t="s">
        <v>17</v>
      </c>
      <c r="AB3" s="0" t="s">
        <v>14</v>
      </c>
      <c r="AC3" s="0" t="n">
        <v>0.6141</v>
      </c>
    </row>
    <row r="4" customFormat="false" ht="15" hidden="false" customHeight="false" outlineLevel="0" collapsed="false">
      <c r="A4" s="0" t="s">
        <v>66</v>
      </c>
      <c r="B4" s="0" t="n">
        <v>1737.632</v>
      </c>
      <c r="C4" s="0" t="n">
        <v>1590.821</v>
      </c>
      <c r="D4" s="0" t="n">
        <v>146.811</v>
      </c>
      <c r="E4" s="0" t="n">
        <v>8.4</v>
      </c>
      <c r="H4" s="0" t="n">
        <v>119.046</v>
      </c>
      <c r="I4" s="0" t="n">
        <v>71.479</v>
      </c>
      <c r="J4" s="0" t="n">
        <v>4.1</v>
      </c>
      <c r="K4" s="0" t="n">
        <v>0.7607</v>
      </c>
      <c r="L4" s="0" t="n">
        <v>51.647</v>
      </c>
      <c r="M4" s="0" t="n">
        <v>25.039</v>
      </c>
      <c r="N4" s="0" t="n">
        <v>26.608</v>
      </c>
      <c r="O4" s="0" t="n">
        <v>396.128</v>
      </c>
      <c r="P4" s="0" t="n">
        <v>688.994</v>
      </c>
      <c r="Q4" s="0" t="n">
        <v>292.866</v>
      </c>
      <c r="R4" s="0" t="n">
        <v>20.971</v>
      </c>
      <c r="S4" s="0" t="n">
        <v>208.773</v>
      </c>
      <c r="T4" s="0" t="n">
        <v>93.96</v>
      </c>
      <c r="U4" s="0" t="n">
        <v>-0.48</v>
      </c>
      <c r="AA4" s="0" t="s">
        <v>17</v>
      </c>
      <c r="AB4" s="0" t="s">
        <v>14</v>
      </c>
      <c r="AC4" s="0" t="n">
        <v>0.7611</v>
      </c>
    </row>
    <row r="5" customFormat="false" ht="15" hidden="false" customHeight="false" outlineLevel="0" collapsed="false">
      <c r="A5" s="0" t="s">
        <v>67</v>
      </c>
      <c r="B5" s="0" t="n">
        <v>1479.737</v>
      </c>
      <c r="C5" s="0" t="n">
        <v>1351.482</v>
      </c>
      <c r="D5" s="0" t="n">
        <v>128.255</v>
      </c>
      <c r="E5" s="0" t="n">
        <v>8.7</v>
      </c>
      <c r="H5" s="0" t="n">
        <v>106.791</v>
      </c>
      <c r="I5" s="0" t="n">
        <v>50.565</v>
      </c>
      <c r="J5" s="0" t="n">
        <v>3.4</v>
      </c>
      <c r="K5" s="0" t="n">
        <v>0.5362</v>
      </c>
      <c r="L5" s="0" t="n">
        <v>15.965</v>
      </c>
      <c r="M5" s="0" t="n">
        <v>19.707</v>
      </c>
      <c r="N5" s="0" t="n">
        <v>-3.742</v>
      </c>
      <c r="O5" s="0" t="n">
        <v>394.681</v>
      </c>
      <c r="P5" s="0" t="n">
        <v>684.986</v>
      </c>
      <c r="Q5" s="0" t="n">
        <v>290.305</v>
      </c>
      <c r="R5" s="0" t="n">
        <v>38.229</v>
      </c>
      <c r="S5" s="0" t="n">
        <v>164.042</v>
      </c>
      <c r="T5" s="0" t="n">
        <v>94.3</v>
      </c>
      <c r="U5" s="0" t="n">
        <v>2.953</v>
      </c>
      <c r="AA5" s="0" t="s">
        <v>17</v>
      </c>
      <c r="AB5" s="0" t="s">
        <v>14</v>
      </c>
      <c r="AC5" s="0" t="n">
        <v>0.5372</v>
      </c>
    </row>
    <row r="6" customFormat="false" ht="15" hidden="false" customHeight="false" outlineLevel="0" collapsed="false">
      <c r="A6" s="0" t="s">
        <v>68</v>
      </c>
      <c r="B6" s="0" t="n">
        <v>1488.749</v>
      </c>
      <c r="C6" s="0" t="n">
        <v>1386.327</v>
      </c>
      <c r="D6" s="0" t="n">
        <v>102.422</v>
      </c>
      <c r="E6" s="0" t="n">
        <v>6.9</v>
      </c>
      <c r="H6" s="0" t="n">
        <v>92.077</v>
      </c>
      <c r="I6" s="0" t="n">
        <v>36.483</v>
      </c>
      <c r="J6" s="0" t="n">
        <v>2.5</v>
      </c>
      <c r="K6" s="0" t="n">
        <v>0.3852</v>
      </c>
      <c r="L6" s="0" t="n">
        <v>119.078</v>
      </c>
      <c r="M6" s="0" t="n">
        <v>12.126</v>
      </c>
      <c r="N6" s="0" t="n">
        <v>106.952</v>
      </c>
      <c r="O6" s="0" t="n">
        <v>384.442</v>
      </c>
      <c r="P6" s="0" t="n">
        <v>714.162</v>
      </c>
      <c r="Q6" s="0" t="n">
        <v>329.72</v>
      </c>
      <c r="R6" s="0" t="n">
        <v>3.523</v>
      </c>
      <c r="S6" s="0" t="n">
        <v>208.292</v>
      </c>
      <c r="T6" s="0" t="n">
        <v>94.71</v>
      </c>
      <c r="U6" s="0" t="n">
        <v>2.186</v>
      </c>
      <c r="AA6" s="0" t="s">
        <v>17</v>
      </c>
      <c r="AB6" s="0" t="s">
        <v>14</v>
      </c>
      <c r="AC6" s="0" t="n">
        <v>0.3865</v>
      </c>
    </row>
    <row r="7" customFormat="false" ht="15" hidden="false" customHeight="false" outlineLevel="0" collapsed="false">
      <c r="A7" s="0" t="s">
        <v>69</v>
      </c>
      <c r="B7" s="0" t="n">
        <v>1754.242</v>
      </c>
      <c r="C7" s="0" t="n">
        <v>1641.572</v>
      </c>
      <c r="D7" s="0" t="n">
        <v>112.67</v>
      </c>
      <c r="E7" s="0" t="n">
        <v>6.4</v>
      </c>
      <c r="H7" s="0" t="n">
        <v>108.696</v>
      </c>
      <c r="I7" s="0" t="n">
        <v>47.06</v>
      </c>
      <c r="J7" s="0" t="n">
        <v>2.7</v>
      </c>
      <c r="K7" s="0" t="n">
        <v>0.4945</v>
      </c>
      <c r="L7" s="0" t="n">
        <v>26.735</v>
      </c>
      <c r="M7" s="0" t="n">
        <v>8.191</v>
      </c>
      <c r="N7" s="0" t="n">
        <v>18.544</v>
      </c>
      <c r="O7" s="0" t="n">
        <v>395.581</v>
      </c>
      <c r="P7" s="0" t="n">
        <v>777.067</v>
      </c>
      <c r="Q7" s="0" t="n">
        <v>381.486</v>
      </c>
      <c r="R7" s="0" t="n">
        <v>0.9</v>
      </c>
      <c r="S7" s="0" t="n">
        <v>175.708</v>
      </c>
      <c r="T7" s="0" t="n">
        <v>95.17</v>
      </c>
      <c r="U7" s="0" t="n">
        <v>2.538</v>
      </c>
      <c r="AA7" s="0" t="s">
        <v>17</v>
      </c>
      <c r="AB7" s="0" t="s">
        <v>14</v>
      </c>
      <c r="AC7" s="0" t="n">
        <v>0.497</v>
      </c>
    </row>
    <row r="8" customFormat="false" ht="15" hidden="false" customHeight="false" outlineLevel="0" collapsed="false">
      <c r="A8" s="0" t="s">
        <v>70</v>
      </c>
      <c r="B8" s="0" t="n">
        <v>1810.39</v>
      </c>
      <c r="C8" s="0" t="n">
        <v>1686.937</v>
      </c>
      <c r="D8" s="0" t="n">
        <v>123.453</v>
      </c>
      <c r="E8" s="0" t="n">
        <v>6.8</v>
      </c>
      <c r="H8" s="0" t="n">
        <v>111.201</v>
      </c>
      <c r="I8" s="0" t="n">
        <v>52.219</v>
      </c>
      <c r="J8" s="0" t="n">
        <v>2.9</v>
      </c>
      <c r="K8" s="0" t="n">
        <v>0.5454</v>
      </c>
      <c r="L8" s="0" t="n">
        <v>64.871</v>
      </c>
      <c r="M8" s="0" t="n">
        <v>9.118</v>
      </c>
      <c r="N8" s="0" t="n">
        <v>55.753</v>
      </c>
      <c r="O8" s="0" t="n">
        <v>412.184</v>
      </c>
      <c r="P8" s="0" t="n">
        <v>791.361</v>
      </c>
      <c r="Q8" s="0" t="n">
        <v>379.177</v>
      </c>
      <c r="R8" s="0" t="n">
        <v>11.672</v>
      </c>
      <c r="S8" s="0" t="n">
        <v>183.329</v>
      </c>
      <c r="T8" s="0" t="n">
        <v>95.74</v>
      </c>
      <c r="U8" s="0" t="n">
        <v>5.234</v>
      </c>
      <c r="AA8" s="0" t="s">
        <v>17</v>
      </c>
      <c r="AB8" s="0" t="s">
        <v>14</v>
      </c>
      <c r="AC8" s="0" t="n">
        <v>0.549</v>
      </c>
    </row>
    <row r="9" customFormat="false" ht="15" hidden="false" customHeight="false" outlineLevel="0" collapsed="false">
      <c r="A9" s="0" t="s">
        <v>71</v>
      </c>
      <c r="B9" s="0" t="n">
        <v>1725.691</v>
      </c>
      <c r="C9" s="0" t="n">
        <v>1602.298</v>
      </c>
      <c r="D9" s="0" t="n">
        <v>123.393</v>
      </c>
      <c r="E9" s="0" t="n">
        <v>7.2</v>
      </c>
      <c r="H9" s="0" t="n">
        <v>109.083</v>
      </c>
      <c r="I9" s="0" t="n">
        <v>53.543</v>
      </c>
      <c r="J9" s="0" t="n">
        <v>3.1</v>
      </c>
      <c r="K9" s="0" t="n">
        <v>0.5502</v>
      </c>
      <c r="L9" s="0" t="n">
        <v>93.29</v>
      </c>
      <c r="M9" s="0" t="n">
        <v>19.042</v>
      </c>
      <c r="N9" s="0" t="n">
        <v>74.248</v>
      </c>
      <c r="O9" s="0" t="n">
        <v>437.978</v>
      </c>
      <c r="P9" s="0" t="n">
        <v>768.174</v>
      </c>
      <c r="Q9" s="0" t="n">
        <v>330.196</v>
      </c>
      <c r="R9" s="0" t="n">
        <v>0.77</v>
      </c>
      <c r="S9" s="0" t="n">
        <v>178.323</v>
      </c>
      <c r="T9" s="0" t="n">
        <v>97.32</v>
      </c>
      <c r="U9" s="0" t="n">
        <v>10.725</v>
      </c>
      <c r="AA9" s="0" t="s">
        <v>17</v>
      </c>
      <c r="AB9" s="0" t="s">
        <v>14</v>
      </c>
      <c r="AC9" s="0" t="n">
        <v>0.5585</v>
      </c>
    </row>
    <row r="10" customFormat="false" ht="15" hidden="false" customHeight="false" outlineLevel="0" collapsed="false">
      <c r="A10" s="0" t="s">
        <v>72</v>
      </c>
      <c r="B10" s="0" t="n">
        <v>2015.915</v>
      </c>
      <c r="C10" s="0" t="n">
        <v>1872.79</v>
      </c>
      <c r="D10" s="0" t="n">
        <v>143.125</v>
      </c>
      <c r="E10" s="0" t="n">
        <v>7.1</v>
      </c>
      <c r="H10" s="0" t="n">
        <v>127.436</v>
      </c>
      <c r="I10" s="0" t="n">
        <v>62.203</v>
      </c>
      <c r="J10" s="0" t="n">
        <v>3.1</v>
      </c>
      <c r="K10" s="0" t="n">
        <v>0.6313</v>
      </c>
      <c r="L10" s="0" t="n">
        <v>187.738</v>
      </c>
      <c r="M10" s="0" t="n">
        <v>88.882</v>
      </c>
      <c r="N10" s="0" t="n">
        <v>98.856</v>
      </c>
      <c r="O10" s="0" t="n">
        <v>465.594</v>
      </c>
      <c r="P10" s="0" t="n">
        <v>887.363</v>
      </c>
      <c r="Q10" s="0" t="n">
        <v>421.769</v>
      </c>
      <c r="R10" s="0" t="n">
        <v>10.895</v>
      </c>
      <c r="S10" s="0" t="n">
        <v>225.864</v>
      </c>
      <c r="T10" s="0" t="n">
        <v>98.53</v>
      </c>
      <c r="U10" s="0" t="n">
        <v>7.475</v>
      </c>
      <c r="AA10" s="0" t="s">
        <v>17</v>
      </c>
      <c r="AB10" s="0" t="s">
        <v>14</v>
      </c>
      <c r="AC10" s="0" t="n">
        <v>0.6408</v>
      </c>
    </row>
    <row r="11" customFormat="false" ht="15" hidden="false" customHeight="false" outlineLevel="0" collapsed="false">
      <c r="A11" s="0" t="s">
        <v>73</v>
      </c>
      <c r="B11" s="0" t="n">
        <v>2162.571</v>
      </c>
      <c r="C11" s="0" t="n">
        <v>1999.44</v>
      </c>
      <c r="D11" s="0" t="n">
        <v>163.131</v>
      </c>
      <c r="E11" s="0" t="n">
        <v>7.5</v>
      </c>
      <c r="H11" s="0" t="n">
        <v>158.211</v>
      </c>
      <c r="I11" s="0" t="n">
        <v>83.721</v>
      </c>
      <c r="J11" s="0" t="n">
        <v>3.9</v>
      </c>
      <c r="K11" s="0" t="n">
        <v>0.841</v>
      </c>
      <c r="L11" s="0" t="n">
        <v>81.039</v>
      </c>
      <c r="M11" s="0" t="n">
        <v>13.879</v>
      </c>
      <c r="N11" s="0" t="n">
        <v>67.16</v>
      </c>
      <c r="O11" s="0" t="n">
        <v>497.836</v>
      </c>
      <c r="P11" s="0" t="n">
        <v>1005.23</v>
      </c>
      <c r="Q11" s="0" t="n">
        <v>507.394</v>
      </c>
      <c r="R11" s="0" t="n">
        <v>6.365</v>
      </c>
      <c r="S11" s="0" t="n">
        <v>205.829</v>
      </c>
      <c r="T11" s="0" t="n">
        <v>99.55</v>
      </c>
      <c r="U11" s="0" t="n">
        <v>8.311</v>
      </c>
      <c r="AA11" s="0" t="s">
        <v>17</v>
      </c>
      <c r="AB11" s="0" t="s">
        <v>14</v>
      </c>
      <c r="AC11" s="0" t="n">
        <v>0.8501</v>
      </c>
    </row>
    <row r="12" customFormat="false" ht="15" hidden="false" customHeight="false" outlineLevel="0" collapsed="false">
      <c r="A12" s="0" t="s">
        <v>74</v>
      </c>
      <c r="B12" s="0" t="n">
        <v>2796.117</v>
      </c>
      <c r="C12" s="0" t="n">
        <v>2565.92</v>
      </c>
      <c r="D12" s="0" t="n">
        <v>230.197</v>
      </c>
      <c r="E12" s="0" t="n">
        <v>8.2</v>
      </c>
      <c r="H12" s="0" t="n">
        <v>226.026</v>
      </c>
      <c r="I12" s="0" t="n">
        <v>127.3</v>
      </c>
      <c r="J12" s="0" t="n">
        <v>4.6</v>
      </c>
      <c r="K12" s="0" t="n">
        <v>1.2609</v>
      </c>
      <c r="L12" s="0" t="n">
        <v>245.091</v>
      </c>
      <c r="M12" s="0" t="n">
        <v>38.547</v>
      </c>
      <c r="N12" s="0" t="n">
        <v>206.544</v>
      </c>
      <c r="O12" s="0" t="n">
        <v>569.049</v>
      </c>
      <c r="P12" s="0" t="n">
        <v>1231.449</v>
      </c>
      <c r="Q12" s="0" t="n">
        <v>662.4</v>
      </c>
      <c r="R12" s="0" t="n">
        <v>0</v>
      </c>
      <c r="S12" s="0" t="n">
        <v>293.642</v>
      </c>
      <c r="T12" s="0" t="n">
        <v>100.96</v>
      </c>
      <c r="U12" s="0" t="n">
        <v>10.063</v>
      </c>
      <c r="AA12" s="0" t="s">
        <v>17</v>
      </c>
      <c r="AB12" s="0" t="s">
        <v>14</v>
      </c>
      <c r="AC12" s="0" t="n">
        <v>1.2756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31.79</v>
      </c>
    </row>
    <row r="3" customFormat="false" ht="15" hidden="false" customHeight="false" outlineLevel="0" collapsed="false">
      <c r="A3" s="0" t="s">
        <v>78</v>
      </c>
      <c r="B3" s="3" t="n">
        <v>100.963</v>
      </c>
    </row>
    <row r="4" customFormat="false" ht="15" hidden="false" customHeight="false" outlineLevel="0" collapsed="false">
      <c r="A4" s="0" t="s">
        <v>79</v>
      </c>
      <c r="B4" s="3" t="n">
        <v>-293.642</v>
      </c>
    </row>
    <row r="5" customFormat="false" ht="15" hidden="false" customHeight="false" outlineLevel="0" collapsed="false">
      <c r="A5" s="0" t="s">
        <v>80</v>
      </c>
      <c r="B5" s="3" t="n">
        <v>-95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2796.117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-4</v>
      </c>
      <c r="D13" s="3" t="n">
        <v>-8</v>
      </c>
      <c r="E13" s="3" t="n">
        <v>-3</v>
      </c>
      <c r="F13" s="3" t="n">
        <v>2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99</v>
      </c>
      <c r="C14" s="3" t="n">
        <v>7.2</v>
      </c>
      <c r="D14" s="3" t="n">
        <v>6.5</v>
      </c>
      <c r="E14" s="3" t="n">
        <v>6.2</v>
      </c>
      <c r="F14" s="3" t="n">
        <v>6.2</v>
      </c>
      <c r="G14" s="3" t="n">
        <v>6.25</v>
      </c>
      <c r="H14" s="3" t="n">
        <v>6.25</v>
      </c>
      <c r="I14" s="3" t="n">
        <v>6.25</v>
      </c>
      <c r="J14" s="3" t="n">
        <v>6.25</v>
      </c>
      <c r="K14" s="3" t="n">
        <v>6.25</v>
      </c>
      <c r="L14" s="3" t="n">
        <v>6.25</v>
      </c>
    </row>
    <row r="15" customFormat="false" ht="15" hidden="false" customHeight="false" outlineLevel="0" collapsed="false">
      <c r="A15" s="0" t="s">
        <v>100</v>
      </c>
      <c r="C15" s="3" t="n">
        <v>0.36</v>
      </c>
      <c r="D15" s="3" t="n">
        <v>0.36</v>
      </c>
      <c r="E15" s="3" t="n">
        <v>0.36</v>
      </c>
      <c r="F15" s="3" t="n">
        <v>0.36</v>
      </c>
      <c r="G15" s="3" t="n">
        <v>0.36</v>
      </c>
      <c r="H15" s="3" t="n">
        <v>0.36</v>
      </c>
      <c r="I15" s="3" t="n">
        <v>0.36</v>
      </c>
      <c r="J15" s="3" t="n">
        <v>0.36</v>
      </c>
      <c r="K15" s="3" t="n">
        <v>0.36</v>
      </c>
      <c r="L15" s="3" t="n">
        <v>0.36</v>
      </c>
    </row>
    <row r="16" customFormat="false" ht="15" hidden="false" customHeight="false" outlineLevel="0" collapsed="false">
      <c r="A16" s="0" t="s">
        <v>101</v>
      </c>
      <c r="C16" s="3" t="n">
        <v>1.05</v>
      </c>
      <c r="D16" s="3" t="n">
        <v>1.15</v>
      </c>
      <c r="E16" s="3" t="n">
        <v>1.2</v>
      </c>
      <c r="F16" s="3" t="n">
        <v>1.2</v>
      </c>
      <c r="G16" s="3" t="n">
        <v>1.2</v>
      </c>
      <c r="H16" s="3" t="n">
        <v>1.2</v>
      </c>
      <c r="I16" s="3" t="n">
        <v>1.2</v>
      </c>
      <c r="J16" s="3" t="n">
        <v>1.2</v>
      </c>
      <c r="K16" s="3" t="n">
        <v>1.2</v>
      </c>
      <c r="L16" s="3" t="n">
        <v>1.2</v>
      </c>
    </row>
    <row r="17" customFormat="false" ht="15" hidden="false" customHeight="false" outlineLevel="0" collapsed="false">
      <c r="A17" s="0" t="s">
        <v>102</v>
      </c>
      <c r="C17" s="3" t="n">
        <v>1.05</v>
      </c>
      <c r="D17" s="3" t="n">
        <v>1.1</v>
      </c>
      <c r="E17" s="3" t="n">
        <v>1.1</v>
      </c>
      <c r="F17" s="3" t="n">
        <v>1.1</v>
      </c>
      <c r="G17" s="3" t="n">
        <v>1.1</v>
      </c>
      <c r="H17" s="3" t="n">
        <v>1.1</v>
      </c>
      <c r="I17" s="3" t="n">
        <v>1.1</v>
      </c>
      <c r="J17" s="3" t="n">
        <v>1.1</v>
      </c>
      <c r="K17" s="3" t="n">
        <v>1.1</v>
      </c>
      <c r="L17" s="3" t="n">
        <v>1.1</v>
      </c>
    </row>
    <row r="18" customFormat="false" ht="15" hidden="false" customHeight="false" outlineLevel="0" collapsed="false">
      <c r="A18" s="0" t="s">
        <v>103</v>
      </c>
      <c r="C18" s="3" t="n">
        <v>1.3</v>
      </c>
      <c r="D18" s="3" t="n">
        <v>1.2</v>
      </c>
      <c r="E18" s="3" t="n">
        <v>1.2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104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105</v>
      </c>
      <c r="B20" s="3" t="n">
        <v>10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14</v>
      </c>
    </row>
    <row r="23" customFormat="false" ht="15" hidden="false" customHeight="false" outlineLevel="0" collapsed="false">
      <c r="A23" s="0" t="s">
        <v>108</v>
      </c>
      <c r="B23" s="3" t="n">
        <v>-5.5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</v>
      </c>
      <c r="D27" s="3" t="n">
        <v>7</v>
      </c>
      <c r="E27" s="3" t="n">
        <v>6</v>
      </c>
      <c r="F27" s="3" t="n">
        <v>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7.6</v>
      </c>
      <c r="D28" s="3" t="n">
        <v>7.5</v>
      </c>
      <c r="E28" s="3" t="n">
        <v>7.5</v>
      </c>
      <c r="F28" s="3" t="n">
        <v>7.4</v>
      </c>
      <c r="G28" s="3" t="n">
        <v>7.3</v>
      </c>
      <c r="H28" s="3" t="n">
        <v>7.25</v>
      </c>
      <c r="I28" s="3" t="n">
        <v>7.25</v>
      </c>
      <c r="J28" s="3" t="n">
        <v>7.25</v>
      </c>
      <c r="K28" s="3" t="n">
        <v>7.25</v>
      </c>
      <c r="L28" s="3" t="n">
        <v>7.25</v>
      </c>
    </row>
    <row r="29" customFormat="false" ht="15" hidden="false" customHeight="false" outlineLevel="0" collapsed="false">
      <c r="A29" s="0" t="s">
        <v>100</v>
      </c>
      <c r="C29" s="3" t="n">
        <v>0.36</v>
      </c>
      <c r="D29" s="3" t="n">
        <v>0.36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101</v>
      </c>
      <c r="C30" s="3" t="n">
        <v>1</v>
      </c>
      <c r="D30" s="3" t="n">
        <v>1.05</v>
      </c>
      <c r="E30" s="3" t="n">
        <v>1.1</v>
      </c>
      <c r="F30" s="3" t="n">
        <v>1.1</v>
      </c>
      <c r="G30" s="3" t="n">
        <v>1.1</v>
      </c>
      <c r="H30" s="3" t="n">
        <v>1.1</v>
      </c>
      <c r="I30" s="3" t="n">
        <v>1.1</v>
      </c>
      <c r="J30" s="3" t="n">
        <v>1.1</v>
      </c>
      <c r="K30" s="3" t="n">
        <v>1.1</v>
      </c>
      <c r="L30" s="3" t="n">
        <v>1.1</v>
      </c>
    </row>
    <row r="31" customFormat="false" ht="15" hidden="false" customHeight="false" outlineLevel="0" collapsed="false">
      <c r="A31" s="0" t="s">
        <v>102</v>
      </c>
      <c r="C31" s="3" t="n">
        <v>1.05</v>
      </c>
      <c r="D31" s="3" t="n">
        <v>1.05</v>
      </c>
      <c r="E31" s="3" t="n">
        <v>1.05</v>
      </c>
      <c r="F31" s="3" t="n">
        <v>1.05</v>
      </c>
      <c r="G31" s="3" t="n">
        <v>1.05</v>
      </c>
      <c r="H31" s="3" t="n">
        <v>1.05</v>
      </c>
      <c r="I31" s="3" t="n">
        <v>1.05</v>
      </c>
      <c r="J31" s="3" t="n">
        <v>1.05</v>
      </c>
      <c r="K31" s="3" t="n">
        <v>1.05</v>
      </c>
      <c r="L31" s="3" t="n">
        <v>1.05</v>
      </c>
    </row>
    <row r="32" customFormat="false" ht="15" hidden="false" customHeight="false" outlineLevel="0" collapsed="false">
      <c r="A32" s="0" t="s">
        <v>103</v>
      </c>
      <c r="C32" s="3" t="n">
        <v>1.4</v>
      </c>
      <c r="D32" s="3" t="n">
        <v>1.4</v>
      </c>
      <c r="E32" s="3" t="n">
        <v>1.35</v>
      </c>
      <c r="F32" s="3" t="n">
        <v>1.3</v>
      </c>
      <c r="G32" s="3" t="n">
        <v>1.3</v>
      </c>
      <c r="H32" s="3" t="n">
        <v>1.25</v>
      </c>
      <c r="I32" s="3" t="n">
        <v>1.25</v>
      </c>
      <c r="J32" s="3" t="n">
        <v>1.25</v>
      </c>
      <c r="K32" s="3" t="n">
        <v>1.25</v>
      </c>
      <c r="L32" s="3" t="n">
        <v>1.25</v>
      </c>
    </row>
    <row r="33" customFormat="false" ht="15" hidden="false" customHeight="false" outlineLevel="0" collapsed="false">
      <c r="A33" s="0" t="s">
        <v>104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105</v>
      </c>
      <c r="B34" s="3" t="n">
        <v>10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-5.5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5</v>
      </c>
      <c r="D41" s="3" t="n">
        <v>12</v>
      </c>
      <c r="E41" s="3" t="n">
        <v>10</v>
      </c>
      <c r="F41" s="3" t="n">
        <v>8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7.9</v>
      </c>
      <c r="D42" s="3" t="n">
        <v>8</v>
      </c>
      <c r="E42" s="3" t="n">
        <v>8.1</v>
      </c>
      <c r="F42" s="3" t="n">
        <v>8.1</v>
      </c>
      <c r="G42" s="3" t="n">
        <v>8.1</v>
      </c>
      <c r="H42" s="3" t="n">
        <v>8</v>
      </c>
      <c r="I42" s="3" t="n">
        <v>8</v>
      </c>
      <c r="J42" s="3" t="n">
        <v>8</v>
      </c>
      <c r="K42" s="3" t="n">
        <v>8</v>
      </c>
      <c r="L42" s="3" t="n">
        <v>8</v>
      </c>
    </row>
    <row r="43" customFormat="false" ht="15" hidden="false" customHeight="false" outlineLevel="0" collapsed="false">
      <c r="A43" s="0" t="s">
        <v>100</v>
      </c>
      <c r="C43" s="3" t="n">
        <v>0.36</v>
      </c>
      <c r="D43" s="3" t="n">
        <v>0.36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101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102</v>
      </c>
      <c r="C45" s="3" t="n">
        <v>1.05</v>
      </c>
      <c r="D45" s="3" t="n">
        <v>1.05</v>
      </c>
      <c r="E45" s="3" t="n">
        <v>1.05</v>
      </c>
      <c r="F45" s="3" t="n">
        <v>1.05</v>
      </c>
      <c r="G45" s="3" t="n">
        <v>1.05</v>
      </c>
      <c r="H45" s="3" t="n">
        <v>1.05</v>
      </c>
      <c r="I45" s="3" t="n">
        <v>1.05</v>
      </c>
      <c r="J45" s="3" t="n">
        <v>1.05</v>
      </c>
      <c r="K45" s="3" t="n">
        <v>1.05</v>
      </c>
      <c r="L45" s="3" t="n">
        <v>1.05</v>
      </c>
    </row>
    <row r="46" customFormat="false" ht="15" hidden="false" customHeight="false" outlineLevel="0" collapsed="false">
      <c r="A46" s="0" t="s">
        <v>103</v>
      </c>
      <c r="C46" s="3" t="n">
        <v>1.4</v>
      </c>
      <c r="D46" s="3" t="n">
        <v>1.4</v>
      </c>
      <c r="E46" s="3" t="n">
        <v>1.35</v>
      </c>
      <c r="F46" s="3" t="n">
        <v>1.3</v>
      </c>
      <c r="G46" s="3" t="n">
        <v>1.3</v>
      </c>
      <c r="H46" s="3" t="n">
        <v>1.25</v>
      </c>
      <c r="I46" s="3" t="n">
        <v>1.25</v>
      </c>
      <c r="J46" s="3" t="n">
        <v>1.25</v>
      </c>
      <c r="K46" s="3" t="n">
        <v>1.25</v>
      </c>
      <c r="L46" s="3" t="n">
        <v>1.25</v>
      </c>
    </row>
    <row r="47" customFormat="false" ht="15" hidden="false" customHeight="false" outlineLevel="0" collapsed="false">
      <c r="A47" s="0" t="s">
        <v>104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105</v>
      </c>
      <c r="B48" s="3" t="n">
        <v>10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-5.5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-4</v>
      </c>
      <c r="D5" s="4" t="n">
        <f aca="false">Assumptions!D13</f>
        <v>-8</v>
      </c>
      <c r="E5" s="4" t="n">
        <f aca="false">Assumptions!E13</f>
        <v>-3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2796.117</v>
      </c>
      <c r="C6" s="0" t="n">
        <f aca="false">B6*(1+C5/100)</f>
        <v>2684.27232</v>
      </c>
      <c r="D6" s="0" t="n">
        <f aca="false">C6*(1+D5/100)</f>
        <v>2469.5305344</v>
      </c>
      <c r="E6" s="0" t="n">
        <f aca="false">D6*(1+E5/100)</f>
        <v>2395.444618368</v>
      </c>
      <c r="F6" s="0" t="n">
        <f aca="false">E6*(1+F5/100)</f>
        <v>2443.35351073536</v>
      </c>
      <c r="G6" s="0" t="n">
        <f aca="false">F6*(1+G5/100)</f>
        <v>2516.65411605742</v>
      </c>
      <c r="H6" s="0" t="n">
        <f aca="false">G6*(1+H5/100)</f>
        <v>2592.15373953914</v>
      </c>
      <c r="I6" s="0" t="n">
        <f aca="false">H6*(1+I5/100)</f>
        <v>2656.95758302762</v>
      </c>
      <c r="J6" s="0" t="n">
        <f aca="false">I6*(1+J5/100)</f>
        <v>2723.38152260331</v>
      </c>
      <c r="K6" s="0" t="n">
        <f aca="false">J6*(1+K5/100)</f>
        <v>2791.4660606684</v>
      </c>
      <c r="L6" s="0" t="n">
        <f aca="false">K6*(1+L5/100)</f>
        <v>2861.25271218511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7.2</v>
      </c>
      <c r="D7" s="4" t="n">
        <f aca="false">Assumptions!D14</f>
        <v>6.5</v>
      </c>
      <c r="E7" s="4" t="n">
        <f aca="false">Assumptions!E14</f>
        <v>6.2</v>
      </c>
      <c r="F7" s="4" t="n">
        <f aca="false">Assumptions!F14</f>
        <v>6.2</v>
      </c>
      <c r="G7" s="4" t="n">
        <f aca="false">Assumptions!G14</f>
        <v>6.25</v>
      </c>
      <c r="H7" s="4" t="n">
        <f aca="false">Assumptions!H14</f>
        <v>6.25</v>
      </c>
      <c r="I7" s="4" t="n">
        <f aca="false">Assumptions!I14</f>
        <v>6.25</v>
      </c>
      <c r="J7" s="4" t="n">
        <f aca="false">Assumptions!J14</f>
        <v>6.25</v>
      </c>
      <c r="K7" s="4" t="n">
        <f aca="false">Assumptions!K14</f>
        <v>6.25</v>
      </c>
      <c r="L7" s="4" t="n">
        <f aca="false">Assumptions!L14</f>
        <v>6.25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193.26760704</v>
      </c>
      <c r="D8" s="0" t="n">
        <f aca="false">D6*D7/100</f>
        <v>160.519484736</v>
      </c>
      <c r="E8" s="0" t="n">
        <f aca="false">E6*E7/100</f>
        <v>148.517566338816</v>
      </c>
      <c r="F8" s="0" t="n">
        <f aca="false">F6*F7/100</f>
        <v>151.487917665592</v>
      </c>
      <c r="G8" s="0" t="n">
        <f aca="false">G6*G7/100</f>
        <v>157.290882253589</v>
      </c>
      <c r="H8" s="0" t="n">
        <f aca="false">H6*H7/100</f>
        <v>162.009608721196</v>
      </c>
      <c r="I8" s="0" t="n">
        <f aca="false">I6*I7/100</f>
        <v>166.059848939226</v>
      </c>
      <c r="J8" s="0" t="n">
        <f aca="false">J6*J7/100</f>
        <v>170.211345162707</v>
      </c>
      <c r="K8" s="0" t="n">
        <f aca="false">K6*K7/100</f>
        <v>174.466628791775</v>
      </c>
      <c r="L8" s="0" t="n">
        <f aca="false">L6*L7/100</f>
        <v>178.828294511569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0.36</v>
      </c>
      <c r="D9" s="4" t="n">
        <f aca="false">Assumptions!D15</f>
        <v>0.36</v>
      </c>
      <c r="E9" s="4" t="n">
        <f aca="false">Assumptions!E15</f>
        <v>0.36</v>
      </c>
      <c r="F9" s="4" t="n">
        <f aca="false">Assumptions!F15</f>
        <v>0.36</v>
      </c>
      <c r="G9" s="4" t="n">
        <f aca="false">Assumptions!G15</f>
        <v>0.36</v>
      </c>
      <c r="H9" s="4" t="n">
        <f aca="false">Assumptions!H15</f>
        <v>0.36</v>
      </c>
      <c r="I9" s="4" t="n">
        <f aca="false">Assumptions!I15</f>
        <v>0.36</v>
      </c>
      <c r="J9" s="4" t="n">
        <f aca="false">Assumptions!J15</f>
        <v>0.36</v>
      </c>
      <c r="K9" s="4" t="n">
        <f aca="false">Assumptions!K15</f>
        <v>0.36</v>
      </c>
      <c r="L9" s="4" t="n">
        <f aca="false">Assumptions!L15</f>
        <v>0.36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-9.663380352</v>
      </c>
      <c r="D10" s="0" t="n">
        <f aca="false">-D6*D9/100</f>
        <v>-8.89030992384</v>
      </c>
      <c r="E10" s="0" t="n">
        <f aca="false">-E6*E9/100</f>
        <v>-8.6236006261248</v>
      </c>
      <c r="F10" s="0" t="n">
        <f aca="false">-F6*F9/100</f>
        <v>-8.7960726386473</v>
      </c>
      <c r="G10" s="0" t="n">
        <f aca="false">-G6*G9/100</f>
        <v>-9.05995481780672</v>
      </c>
      <c r="H10" s="0" t="n">
        <f aca="false">-H6*H9/100</f>
        <v>-9.33175346234092</v>
      </c>
      <c r="I10" s="0" t="n">
        <f aca="false">-I6*I9/100</f>
        <v>-9.56504729889944</v>
      </c>
      <c r="J10" s="0" t="n">
        <f aca="false">-J6*J9/100</f>
        <v>-9.80417348137192</v>
      </c>
      <c r="K10" s="0" t="n">
        <f aca="false">-K6*K9/100</f>
        <v>-10.0492778184062</v>
      </c>
      <c r="L10" s="0" t="n">
        <f aca="false">-L6*L9/100</f>
        <v>-10.3005097638664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155.419367328</v>
      </c>
      <c r="D11" s="0" t="n">
        <f aca="false">D8+D10+D24</f>
        <v>123.22957366656</v>
      </c>
      <c r="E11" s="0" t="n">
        <f aca="false">E8+E10+E24</f>
        <v>111.148630292275</v>
      </c>
      <c r="F11" s="0" t="n">
        <f aca="false">F8+F10+F24</f>
        <v>113.371602898121</v>
      </c>
      <c r="G11" s="0" t="n">
        <f aca="false">G8+G10+G24</f>
        <v>118.031078043093</v>
      </c>
      <c r="H11" s="0" t="n">
        <f aca="false">H8+H10+H24</f>
        <v>121.572010384386</v>
      </c>
      <c r="I11" s="0" t="n">
        <f aca="false">I8+I10+I24</f>
        <v>124.611310643996</v>
      </c>
      <c r="J11" s="0" t="n">
        <f aca="false">J8+J10+J24</f>
        <v>127.726593410095</v>
      </c>
      <c r="K11" s="0" t="n">
        <f aca="false">K8+K10+K24</f>
        <v>130.919758245348</v>
      </c>
      <c r="L11" s="0" t="n">
        <f aca="false">L8+L10+L24</f>
        <v>134.192752201481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-28.18485936</v>
      </c>
      <c r="D12" s="4" t="n">
        <f aca="false">-D6*Assumptions!D17/100</f>
        <v>-27.1648358784</v>
      </c>
      <c r="E12" s="4" t="n">
        <f aca="false">-E6*Assumptions!E17/100</f>
        <v>-26.349890802048</v>
      </c>
      <c r="F12" s="4" t="n">
        <f aca="false">-F6*Assumptions!F17/100</f>
        <v>-26.876888618089</v>
      </c>
      <c r="G12" s="4" t="n">
        <f aca="false">-G6*Assumptions!G17/100</f>
        <v>-27.6831952766316</v>
      </c>
      <c r="H12" s="4" t="n">
        <f aca="false">-H6*Assumptions!H17/100</f>
        <v>-28.5136911349306</v>
      </c>
      <c r="I12" s="4" t="n">
        <f aca="false">-I6*Assumptions!I17/100</f>
        <v>-29.2265334133038</v>
      </c>
      <c r="J12" s="4" t="n">
        <f aca="false">-J6*Assumptions!J17/100</f>
        <v>-29.9571967486364</v>
      </c>
      <c r="K12" s="4" t="n">
        <f aca="false">-K6*Assumptions!K17/100</f>
        <v>-30.7061266673524</v>
      </c>
      <c r="L12" s="4" t="n">
        <f aca="false">-L6*Assumptions!L17/100</f>
        <v>-31.4737798340362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127.234507968</v>
      </c>
      <c r="D13" s="0" t="n">
        <f aca="false">D11+D12</f>
        <v>96.06473778816</v>
      </c>
      <c r="E13" s="0" t="n">
        <f aca="false">E11+E12</f>
        <v>84.7987394902272</v>
      </c>
      <c r="F13" s="0" t="n">
        <f aca="false">F11+F12</f>
        <v>86.4947142800318</v>
      </c>
      <c r="G13" s="0" t="n">
        <f aca="false">G11+G12</f>
        <v>90.3478827664614</v>
      </c>
      <c r="H13" s="0" t="n">
        <f aca="false">H11+H12</f>
        <v>93.0583192494553</v>
      </c>
      <c r="I13" s="0" t="n">
        <f aca="false">I11+I12</f>
        <v>95.3847772306917</v>
      </c>
      <c r="J13" s="0" t="n">
        <f aca="false">J11+J12</f>
        <v>97.7693966614589</v>
      </c>
      <c r="K13" s="0" t="n">
        <f aca="false">K11+K12</f>
        <v>100.213631577995</v>
      </c>
      <c r="L13" s="0" t="n">
        <f aca="false">L11+L12</f>
        <v>102.718972367445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89.0641555776</v>
      </c>
      <c r="D15" s="0" t="n">
        <f aca="false">D13-MAX(0,D13)*D14/100</f>
        <v>67.245316451712</v>
      </c>
      <c r="E15" s="0" t="n">
        <f aca="false">E13-MAX(0,E13)*E14/100</f>
        <v>59.359117643159</v>
      </c>
      <c r="F15" s="0" t="n">
        <f aca="false">F13-MAX(0,F13)*F14/100</f>
        <v>60.5462999960222</v>
      </c>
      <c r="G15" s="0" t="n">
        <f aca="false">G13-MAX(0,G13)*G14/100</f>
        <v>63.243517936523</v>
      </c>
      <c r="H15" s="0" t="n">
        <f aca="false">H13-MAX(0,H13)*H14/100</f>
        <v>65.1408234746187</v>
      </c>
      <c r="I15" s="0" t="n">
        <f aca="false">I13-MAX(0,I13)*I14/100</f>
        <v>66.7693440614842</v>
      </c>
      <c r="J15" s="0" t="n">
        <f aca="false">J13-MAX(0,J13)*J14/100</f>
        <v>68.4385776630213</v>
      </c>
      <c r="K15" s="0" t="n">
        <f aca="false">K13-MAX(0,K13)*K14/100</f>
        <v>70.1495421045968</v>
      </c>
      <c r="L15" s="0" t="n">
        <f aca="false">L13-MAX(0,L13)*L14/100</f>
        <v>71.9032806572117</v>
      </c>
    </row>
    <row r="16" customFormat="false" ht="15" hidden="false" customHeight="false" outlineLevel="0" collapsed="false">
      <c r="A16" s="0" t="s">
        <v>120</v>
      </c>
      <c r="C16" s="0" t="n">
        <f aca="false">-C12</f>
        <v>28.18485936</v>
      </c>
      <c r="D16" s="0" t="n">
        <f aca="false">-D12</f>
        <v>27.1648358784</v>
      </c>
      <c r="E16" s="0" t="n">
        <f aca="false">-E12</f>
        <v>26.349890802048</v>
      </c>
      <c r="F16" s="0" t="n">
        <f aca="false">-F12</f>
        <v>26.876888618089</v>
      </c>
      <c r="G16" s="0" t="n">
        <f aca="false">-G12</f>
        <v>27.6831952766316</v>
      </c>
      <c r="H16" s="0" t="n">
        <f aca="false">-H12</f>
        <v>28.5136911349306</v>
      </c>
      <c r="I16" s="0" t="n">
        <f aca="false">-I12</f>
        <v>29.2265334133038</v>
      </c>
      <c r="J16" s="0" t="n">
        <f aca="false">-J12</f>
        <v>29.9571967486364</v>
      </c>
      <c r="K16" s="0" t="n">
        <f aca="false">-K12</f>
        <v>30.7061266673524</v>
      </c>
      <c r="L16" s="0" t="n">
        <f aca="false">-L12</f>
        <v>31.4737798340362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-34.89554016</v>
      </c>
      <c r="D17" s="4" t="n">
        <f aca="false">-D6*Assumptions!D18/100</f>
        <v>-29.6343664128</v>
      </c>
      <c r="E17" s="4" t="n">
        <f aca="false">-E6*Assumptions!E18/100</f>
        <v>-28.745335420416</v>
      </c>
      <c r="F17" s="4" t="n">
        <f aca="false">-F6*Assumptions!F18/100</f>
        <v>-29.3202421288243</v>
      </c>
      <c r="G17" s="4" t="n">
        <f aca="false">-G6*Assumptions!G18/100</f>
        <v>-30.1998493926891</v>
      </c>
      <c r="H17" s="4" t="n">
        <f aca="false">-H6*Assumptions!H18/100</f>
        <v>-31.1058448744697</v>
      </c>
      <c r="I17" s="4" t="n">
        <f aca="false">-I6*Assumptions!I18/100</f>
        <v>-31.8834909963315</v>
      </c>
      <c r="J17" s="4" t="n">
        <f aca="false">-J6*Assumptions!J18/100</f>
        <v>-32.6805782712398</v>
      </c>
      <c r="K17" s="4" t="n">
        <f aca="false">-K6*Assumptions!K18/100</f>
        <v>-33.4975927280207</v>
      </c>
      <c r="L17" s="4" t="n">
        <f aca="false">-L6*Assumptions!L18/100</f>
        <v>-34.3350325462213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6.15145740000001</v>
      </c>
      <c r="D18" s="4" t="n">
        <f aca="false">(D6-C6)*Assumptions!$B$23/100</f>
        <v>11.810798208</v>
      </c>
      <c r="E18" s="4" t="n">
        <f aca="false">(E6-D6)*Assumptions!$B$23/100</f>
        <v>4.07472538176001</v>
      </c>
      <c r="F18" s="4" t="n">
        <f aca="false">(F6-E6)*Assumptions!$B$23/100</f>
        <v>-2.63498908020479</v>
      </c>
      <c r="G18" s="4" t="n">
        <f aca="false">(G6-F6)*Assumptions!$B$23/100</f>
        <v>-4.03153329271336</v>
      </c>
      <c r="H18" s="4" t="n">
        <f aca="false">(H6-G6)*Assumptions!$B$23/100</f>
        <v>-4.15247929149475</v>
      </c>
      <c r="I18" s="4" t="n">
        <f aca="false">(I6-H6)*Assumptions!$B$23/100</f>
        <v>-3.56421139186631</v>
      </c>
      <c r="J18" s="4" t="n">
        <f aca="false">(J6-I6)*Assumptions!$B$23/100</f>
        <v>-3.65331667666297</v>
      </c>
      <c r="K18" s="4" t="n">
        <f aca="false">(K6-J6)*Assumptions!$B$23/100</f>
        <v>-3.74464959357954</v>
      </c>
      <c r="L18" s="4" t="n">
        <f aca="false">(L6-K6)*Assumptions!$B$23/100</f>
        <v>-3.83826583341904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88.5049321776</v>
      </c>
      <c r="D19" s="0" t="n">
        <f aca="false">D15+D16+D17+D18</f>
        <v>76.586584125312</v>
      </c>
      <c r="E19" s="0" t="n">
        <f aca="false">E15+E16+E17+E18</f>
        <v>61.0383984065511</v>
      </c>
      <c r="F19" s="0" t="n">
        <f aca="false">F15+F16+F17+F18</f>
        <v>55.4679574050821</v>
      </c>
      <c r="G19" s="0" t="n">
        <f aca="false">G15+G16+G17+G18</f>
        <v>56.6953305277522</v>
      </c>
      <c r="H19" s="0" t="n">
        <f aca="false">H15+H16+H17+H18</f>
        <v>58.3961904435848</v>
      </c>
      <c r="I19" s="0" t="n">
        <f aca="false">I15+I16+I17+I18</f>
        <v>60.5481750865902</v>
      </c>
      <c r="J19" s="0" t="n">
        <f aca="false">J15+J16+J17+J18</f>
        <v>62.061879463755</v>
      </c>
      <c r="K19" s="0" t="n">
        <f aca="false">K15+K16+K17+K18</f>
        <v>63.6134264503489</v>
      </c>
      <c r="L19" s="0" t="n">
        <f aca="false">L15+L16+L17+L18</f>
        <v>65.2037621116075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80.4590292523637</v>
      </c>
      <c r="D21" s="0" t="n">
        <f aca="false">D19*D20</f>
        <v>63.2946976242248</v>
      </c>
      <c r="E21" s="0" t="n">
        <f aca="false">E19*E20</f>
        <v>45.8590521461691</v>
      </c>
      <c r="F21" s="0" t="n">
        <f aca="false">F19*F20</f>
        <v>37.8853612492877</v>
      </c>
      <c r="G21" s="0" t="n">
        <f aca="false">G19*G20</f>
        <v>35.203339642568</v>
      </c>
      <c r="H21" s="0" t="n">
        <f aca="false">H19*H20</f>
        <v>32.9631271198591</v>
      </c>
      <c r="I21" s="0" t="n">
        <f aca="false">I19*I20</f>
        <v>31.070787589738</v>
      </c>
      <c r="J21" s="0" t="n">
        <f aca="false">J19*J20</f>
        <v>28.9523247995286</v>
      </c>
      <c r="K21" s="0" t="n">
        <f aca="false">K19*K20</f>
        <v>26.9783026541062</v>
      </c>
      <c r="L21" s="0" t="n">
        <f aca="false">L19*L20</f>
        <v>25.1388729276898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1.05</v>
      </c>
      <c r="D23" s="4" t="n">
        <f aca="false">Assumptions!D16</f>
        <v>1.15</v>
      </c>
      <c r="E23" s="4" t="n">
        <f aca="false">Assumptions!E16</f>
        <v>1.2</v>
      </c>
      <c r="F23" s="4" t="n">
        <f aca="false">Assumptions!F16</f>
        <v>1.2</v>
      </c>
      <c r="G23" s="4" t="n">
        <f aca="false">Assumptions!G16</f>
        <v>1.2</v>
      </c>
      <c r="H23" s="4" t="n">
        <f aca="false">Assumptions!H16</f>
        <v>1.2</v>
      </c>
      <c r="I23" s="4" t="n">
        <f aca="false">Assumptions!I16</f>
        <v>1.2</v>
      </c>
      <c r="J23" s="4" t="n">
        <f aca="false">Assumptions!J16</f>
        <v>1.2</v>
      </c>
      <c r="K23" s="4" t="n">
        <f aca="false">Assumptions!K16</f>
        <v>1.2</v>
      </c>
      <c r="L23" s="4" t="n">
        <f aca="false">Assumptions!L16</f>
        <v>1.2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-28.18485936</v>
      </c>
      <c r="D24" s="0" t="n">
        <f aca="false">-D6*D23/100</f>
        <v>-28.3996011456</v>
      </c>
      <c r="E24" s="0" t="n">
        <f aca="false">-E6*E23/100</f>
        <v>-28.745335420416</v>
      </c>
      <c r="F24" s="0" t="n">
        <f aca="false">-F6*F23/100</f>
        <v>-29.3202421288243</v>
      </c>
      <c r="G24" s="0" t="n">
        <f aca="false">-G6*G23/100</f>
        <v>-30.1998493926891</v>
      </c>
      <c r="H24" s="0" t="n">
        <f aca="false">-H6*H23/100</f>
        <v>-31.1058448744697</v>
      </c>
      <c r="I24" s="0" t="n">
        <f aca="false">-I6*I23/100</f>
        <v>-31.8834909963315</v>
      </c>
      <c r="J24" s="0" t="n">
        <f aca="false">-J6*J23/100</f>
        <v>-32.6805782712398</v>
      </c>
      <c r="K24" s="0" t="n">
        <f aca="false">-K6*K23/100</f>
        <v>-33.4975927280207</v>
      </c>
      <c r="L24" s="0" t="n">
        <f aca="false">-L6*L23/100</f>
        <v>-34.3350325462213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407.804895005535</v>
      </c>
    </row>
    <row r="31" customFormat="false" ht="15" hidden="false" customHeight="false" outlineLevel="0" collapsed="false">
      <c r="A31" s="0" t="s">
        <v>129</v>
      </c>
      <c r="B31" s="0" t="n">
        <f aca="false">L19</f>
        <v>65.2037621116075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891.118082191969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912.852669562505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891.118082191969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343.564596678427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751.369491683962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950.011491683962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9.40950141818253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-0.704010650576202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57.227448404977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54.2743297012147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10.5138839950294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534.670849315182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6.61834586275813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2796.117</v>
      </c>
      <c r="C6" s="0" t="n">
        <f aca="false">B6*(1+C5/100)</f>
        <v>2852.03934</v>
      </c>
      <c r="D6" s="0" t="n">
        <f aca="false">C6*(1+D5/100)</f>
        <v>3051.6820938</v>
      </c>
      <c r="E6" s="0" t="n">
        <f aca="false">D6*(1+E5/100)</f>
        <v>3234.783019428</v>
      </c>
      <c r="F6" s="0" t="n">
        <f aca="false">E6*(1+F5/100)</f>
        <v>3396.5221703994</v>
      </c>
      <c r="G6" s="0" t="n">
        <f aca="false">F6*(1+G5/100)</f>
        <v>3532.38305721538</v>
      </c>
      <c r="H6" s="0" t="n">
        <f aca="false">G6*(1+H5/100)</f>
        <v>3656.01646421792</v>
      </c>
      <c r="I6" s="0" t="n">
        <f aca="false">H6*(1+I5/100)</f>
        <v>3765.69695814445</v>
      </c>
      <c r="J6" s="0" t="n">
        <f aca="false">I6*(1+J5/100)</f>
        <v>3878.66786688879</v>
      </c>
      <c r="K6" s="0" t="n">
        <f aca="false">J6*(1+K5/100)</f>
        <v>3975.63456356101</v>
      </c>
      <c r="L6" s="0" t="n">
        <f aca="false">K6*(1+L5/100)</f>
        <v>4075.02542765003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7.6</v>
      </c>
      <c r="D7" s="4" t="n">
        <f aca="false">Assumptions!D28</f>
        <v>7.5</v>
      </c>
      <c r="E7" s="4" t="n">
        <f aca="false">Assumptions!E28</f>
        <v>7.5</v>
      </c>
      <c r="F7" s="4" t="n">
        <f aca="false">Assumptions!F28</f>
        <v>7.4</v>
      </c>
      <c r="G7" s="4" t="n">
        <f aca="false">Assumptions!G28</f>
        <v>7.3</v>
      </c>
      <c r="H7" s="4" t="n">
        <f aca="false">Assumptions!H28</f>
        <v>7.25</v>
      </c>
      <c r="I7" s="4" t="n">
        <f aca="false">Assumptions!I28</f>
        <v>7.25</v>
      </c>
      <c r="J7" s="4" t="n">
        <f aca="false">Assumptions!J28</f>
        <v>7.25</v>
      </c>
      <c r="K7" s="4" t="n">
        <f aca="false">Assumptions!K28</f>
        <v>7.25</v>
      </c>
      <c r="L7" s="4" t="n">
        <f aca="false">Assumptions!L28</f>
        <v>7.25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216.75498984</v>
      </c>
      <c r="D8" s="0" t="n">
        <f aca="false">D6*D7/100</f>
        <v>228.876157035</v>
      </c>
      <c r="E8" s="0" t="n">
        <f aca="false">E6*E7/100</f>
        <v>242.6087264571</v>
      </c>
      <c r="F8" s="0" t="n">
        <f aca="false">F6*F7/100</f>
        <v>251.342640609556</v>
      </c>
      <c r="G8" s="0" t="n">
        <f aca="false">G6*G7/100</f>
        <v>257.863963176723</v>
      </c>
      <c r="H8" s="0" t="n">
        <f aca="false">H6*H7/100</f>
        <v>265.061193655799</v>
      </c>
      <c r="I8" s="0" t="n">
        <f aca="false">I6*I7/100</f>
        <v>273.013029465473</v>
      </c>
      <c r="J8" s="0" t="n">
        <f aca="false">J6*J7/100</f>
        <v>281.203420349437</v>
      </c>
      <c r="K8" s="0" t="n">
        <f aca="false">K6*K7/100</f>
        <v>288.233505858173</v>
      </c>
      <c r="L8" s="0" t="n">
        <f aca="false">L6*L7/100</f>
        <v>295.439343504627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0.36</v>
      </c>
      <c r="D9" s="4" t="n">
        <f aca="false">Assumptions!D29</f>
        <v>0.36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-10.267341624</v>
      </c>
      <c r="D10" s="0" t="n">
        <f aca="false">-D6*D9/100</f>
        <v>-10.98605553768</v>
      </c>
      <c r="E10" s="0" t="n">
        <f aca="false">-E6*E9/100</f>
        <v>-11.321740567998</v>
      </c>
      <c r="F10" s="0" t="n">
        <f aca="false">-F6*F9/100</f>
        <v>-11.8878275963979</v>
      </c>
      <c r="G10" s="0" t="n">
        <f aca="false">-G6*G9/100</f>
        <v>-12.3633407002538</v>
      </c>
      <c r="H10" s="0" t="n">
        <f aca="false">-H6*H9/100</f>
        <v>-12.7960576247627</v>
      </c>
      <c r="I10" s="0" t="n">
        <f aca="false">-I6*I9/100</f>
        <v>-13.1799393535056</v>
      </c>
      <c r="J10" s="0" t="n">
        <f aca="false">-J6*J9/100</f>
        <v>-13.5753375341108</v>
      </c>
      <c r="K10" s="0" t="n">
        <f aca="false">-K6*K9/100</f>
        <v>-13.9147209724635</v>
      </c>
      <c r="L10" s="0" t="n">
        <f aca="false">-L6*L9/100</f>
        <v>-14.2625889967751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177.967254816</v>
      </c>
      <c r="D11" s="0" t="n">
        <f aca="false">D8+D10+D24</f>
        <v>185.84743951242</v>
      </c>
      <c r="E11" s="0" t="n">
        <f aca="false">E8+E10+E24</f>
        <v>195.704372675394</v>
      </c>
      <c r="F11" s="0" t="n">
        <f aca="false">F8+F10+F24</f>
        <v>202.093069138764</v>
      </c>
      <c r="G11" s="0" t="n">
        <f aca="false">G8+G10+G24</f>
        <v>206.6444088471</v>
      </c>
      <c r="H11" s="0" t="n">
        <f aca="false">H8+H10+H24</f>
        <v>212.048954924639</v>
      </c>
      <c r="I11" s="0" t="n">
        <f aca="false">I8+I10+I24</f>
        <v>218.410423572378</v>
      </c>
      <c r="J11" s="0" t="n">
        <f aca="false">J8+J10+J24</f>
        <v>224.96273627955</v>
      </c>
      <c r="K11" s="0" t="n">
        <f aca="false">K8+K10+K24</f>
        <v>230.586804686538</v>
      </c>
      <c r="L11" s="0" t="n">
        <f aca="false">L8+L10+L24</f>
        <v>236.351474803702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-29.94641307</v>
      </c>
      <c r="D12" s="4" t="n">
        <f aca="false">-D6*Assumptions!D31/100</f>
        <v>-32.0426619849</v>
      </c>
      <c r="E12" s="4" t="n">
        <f aca="false">-E6*Assumptions!E31/100</f>
        <v>-33.965221703994</v>
      </c>
      <c r="F12" s="4" t="n">
        <f aca="false">-F6*Assumptions!F31/100</f>
        <v>-35.6634827891937</v>
      </c>
      <c r="G12" s="4" t="n">
        <f aca="false">-G6*Assumptions!G31/100</f>
        <v>-37.0900221007615</v>
      </c>
      <c r="H12" s="4" t="n">
        <f aca="false">-H6*Assumptions!H31/100</f>
        <v>-38.3881728742881</v>
      </c>
      <c r="I12" s="4" t="n">
        <f aca="false">-I6*Assumptions!I31/100</f>
        <v>-39.5398180605168</v>
      </c>
      <c r="J12" s="4" t="n">
        <f aca="false">-J6*Assumptions!J31/100</f>
        <v>-40.7260126023323</v>
      </c>
      <c r="K12" s="4" t="n">
        <f aca="false">-K6*Assumptions!K31/100</f>
        <v>-41.7441629173906</v>
      </c>
      <c r="L12" s="4" t="n">
        <f aca="false">-L6*Assumptions!L31/100</f>
        <v>-42.7877669903253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148.020841746</v>
      </c>
      <c r="D13" s="0" t="n">
        <f aca="false">D11+D12</f>
        <v>153.80477752752</v>
      </c>
      <c r="E13" s="0" t="n">
        <f aca="false">E11+E12</f>
        <v>161.7391509714</v>
      </c>
      <c r="F13" s="0" t="n">
        <f aca="false">F11+F12</f>
        <v>166.429586349571</v>
      </c>
      <c r="G13" s="0" t="n">
        <f aca="false">G11+G12</f>
        <v>169.554386746338</v>
      </c>
      <c r="H13" s="0" t="n">
        <f aca="false">H11+H12</f>
        <v>173.660782050351</v>
      </c>
      <c r="I13" s="0" t="n">
        <f aca="false">I11+I12</f>
        <v>178.870605511862</v>
      </c>
      <c r="J13" s="0" t="n">
        <f aca="false">J11+J12</f>
        <v>184.236723677217</v>
      </c>
      <c r="K13" s="0" t="n">
        <f aca="false">K11+K12</f>
        <v>188.842641769148</v>
      </c>
      <c r="L13" s="0" t="n">
        <f aca="false">L11+L12</f>
        <v>193.563707813376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103.6145892222</v>
      </c>
      <c r="D15" s="0" t="n">
        <f aca="false">D13-MAX(0,D13)*D14/100</f>
        <v>107.663344269264</v>
      </c>
      <c r="E15" s="0" t="n">
        <f aca="false">E13-MAX(0,E13)*E14/100</f>
        <v>113.21740567998</v>
      </c>
      <c r="F15" s="0" t="n">
        <f aca="false">F13-MAX(0,F13)*F14/100</f>
        <v>116.500710444699</v>
      </c>
      <c r="G15" s="0" t="n">
        <f aca="false">G13-MAX(0,G13)*G14/100</f>
        <v>118.688070722437</v>
      </c>
      <c r="H15" s="0" t="n">
        <f aca="false">H13-MAX(0,H13)*H14/100</f>
        <v>121.562547435246</v>
      </c>
      <c r="I15" s="0" t="n">
        <f aca="false">I13-MAX(0,I13)*I14/100</f>
        <v>125.209423858303</v>
      </c>
      <c r="J15" s="0" t="n">
        <f aca="false">J13-MAX(0,J13)*J14/100</f>
        <v>128.965706574052</v>
      </c>
      <c r="K15" s="0" t="n">
        <f aca="false">K13-MAX(0,K13)*K14/100</f>
        <v>132.189849238403</v>
      </c>
      <c r="L15" s="0" t="n">
        <f aca="false">L13-MAX(0,L13)*L14/100</f>
        <v>135.494595469364</v>
      </c>
    </row>
    <row r="16" customFormat="false" ht="15" hidden="false" customHeight="false" outlineLevel="0" collapsed="false">
      <c r="A16" s="0" t="s">
        <v>120</v>
      </c>
      <c r="C16" s="0" t="n">
        <f aca="false">-C12</f>
        <v>29.94641307</v>
      </c>
      <c r="D16" s="0" t="n">
        <f aca="false">-D12</f>
        <v>32.0426619849</v>
      </c>
      <c r="E16" s="0" t="n">
        <f aca="false">-E12</f>
        <v>33.965221703994</v>
      </c>
      <c r="F16" s="0" t="n">
        <f aca="false">-F12</f>
        <v>35.6634827891937</v>
      </c>
      <c r="G16" s="0" t="n">
        <f aca="false">-G12</f>
        <v>37.0900221007615</v>
      </c>
      <c r="H16" s="0" t="n">
        <f aca="false">-H12</f>
        <v>38.3881728742881</v>
      </c>
      <c r="I16" s="0" t="n">
        <f aca="false">-I12</f>
        <v>39.5398180605168</v>
      </c>
      <c r="J16" s="0" t="n">
        <f aca="false">-J12</f>
        <v>40.7260126023323</v>
      </c>
      <c r="K16" s="0" t="n">
        <f aca="false">-K12</f>
        <v>41.7441629173906</v>
      </c>
      <c r="L16" s="0" t="n">
        <f aca="false">-L12</f>
        <v>42.7877669903253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-39.92855076</v>
      </c>
      <c r="D17" s="4" t="n">
        <f aca="false">-D6*Assumptions!D32/100</f>
        <v>-42.7235493132</v>
      </c>
      <c r="E17" s="4" t="n">
        <f aca="false">-E6*Assumptions!E32/100</f>
        <v>-43.669570762278</v>
      </c>
      <c r="F17" s="4" t="n">
        <f aca="false">-F6*Assumptions!F32/100</f>
        <v>-44.1547882151922</v>
      </c>
      <c r="G17" s="4" t="n">
        <f aca="false">-G6*Assumptions!G32/100</f>
        <v>-45.9209797437999</v>
      </c>
      <c r="H17" s="4" t="n">
        <f aca="false">-H6*Assumptions!H32/100</f>
        <v>-45.7002058027239</v>
      </c>
      <c r="I17" s="4" t="n">
        <f aca="false">-I6*Assumptions!I32/100</f>
        <v>-47.0712119768057</v>
      </c>
      <c r="J17" s="4" t="n">
        <f aca="false">-J6*Assumptions!J32/100</f>
        <v>-48.4833483361098</v>
      </c>
      <c r="K17" s="4" t="n">
        <f aca="false">-K6*Assumptions!K32/100</f>
        <v>-49.6954320445126</v>
      </c>
      <c r="L17" s="4" t="n">
        <f aca="false">-L6*Assumptions!L32/100</f>
        <v>-50.9378178456254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-3.0757287</v>
      </c>
      <c r="D18" s="4" t="n">
        <f aca="false">(D6-C6)*Assumptions!$B$37/100</f>
        <v>-10.980351459</v>
      </c>
      <c r="E18" s="4" t="n">
        <f aca="false">(E6-D6)*Assumptions!$B$37/100</f>
        <v>-10.07055090954</v>
      </c>
      <c r="F18" s="4" t="n">
        <f aca="false">(F6-E6)*Assumptions!$B$37/100</f>
        <v>-8.89565330342701</v>
      </c>
      <c r="G18" s="4" t="n">
        <f aca="false">(G6-F6)*Assumptions!$B$37/100</f>
        <v>-7.4723487748787</v>
      </c>
      <c r="H18" s="4" t="n">
        <f aca="false">(H6-G6)*Assumptions!$B$37/100</f>
        <v>-6.79983738513958</v>
      </c>
      <c r="I18" s="4" t="n">
        <f aca="false">(I6-H6)*Assumptions!$B$37/100</f>
        <v>-6.03242716595957</v>
      </c>
      <c r="J18" s="4" t="n">
        <f aca="false">(J6-I6)*Assumptions!$B$37/100</f>
        <v>-6.21339998093836</v>
      </c>
      <c r="K18" s="4" t="n">
        <f aca="false">(K6-J6)*Assumptions!$B$37/100</f>
        <v>-5.33316831697206</v>
      </c>
      <c r="L18" s="4" t="n">
        <f aca="false">(L6-K6)*Assumptions!$B$37/100</f>
        <v>-5.46649752489637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90.5567228322</v>
      </c>
      <c r="D19" s="0" t="n">
        <f aca="false">D15+D16+D17+D18</f>
        <v>86.002105481964</v>
      </c>
      <c r="E19" s="0" t="n">
        <f aca="false">E15+E16+E17+E18</f>
        <v>93.442505712156</v>
      </c>
      <c r="F19" s="0" t="n">
        <f aca="false">F15+F16+F17+F18</f>
        <v>99.113751715274</v>
      </c>
      <c r="G19" s="0" t="n">
        <f aca="false">G15+G16+G17+G18</f>
        <v>102.38476430452</v>
      </c>
      <c r="H19" s="0" t="n">
        <f aca="false">H15+H16+H17+H18</f>
        <v>107.45067712167</v>
      </c>
      <c r="I19" s="0" t="n">
        <f aca="false">I15+I16+I17+I18</f>
        <v>111.645602776055</v>
      </c>
      <c r="J19" s="0" t="n">
        <f aca="false">J15+J16+J17+J18</f>
        <v>114.994970859336</v>
      </c>
      <c r="K19" s="0" t="n">
        <f aca="false">K15+K16+K17+K18</f>
        <v>118.905411794309</v>
      </c>
      <c r="L19" s="0" t="n">
        <f aca="false">L15+L16+L17+L18</f>
        <v>121.878047089167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82.3242934838182</v>
      </c>
      <c r="D21" s="0" t="n">
        <f aca="false">D19*D20</f>
        <v>71.0761202330281</v>
      </c>
      <c r="E21" s="0" t="n">
        <f aca="false">E19*E20</f>
        <v>70.204737574873</v>
      </c>
      <c r="F21" s="0" t="n">
        <f aca="false">F19*F20</f>
        <v>67.696026033245</v>
      </c>
      <c r="G21" s="0" t="n">
        <f aca="false">G19*G20</f>
        <v>63.572883313062</v>
      </c>
      <c r="H21" s="0" t="n">
        <f aca="false">H19*H20</f>
        <v>60.6531060018087</v>
      </c>
      <c r="I21" s="0" t="n">
        <f aca="false">I19*I20</f>
        <v>57.2918474292931</v>
      </c>
      <c r="J21" s="0" t="n">
        <f aca="false">J19*J20</f>
        <v>53.6460025928836</v>
      </c>
      <c r="K21" s="0" t="n">
        <f aca="false">K19*K20</f>
        <v>50.4275019535662</v>
      </c>
      <c r="L21" s="0" t="n">
        <f aca="false">L19*L20</f>
        <v>46.9892631840048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1</v>
      </c>
      <c r="D23" s="4" t="n">
        <f aca="false">Assumptions!D30</f>
        <v>1.05</v>
      </c>
      <c r="E23" s="4" t="n">
        <f aca="false">Assumptions!E30</f>
        <v>1.1</v>
      </c>
      <c r="F23" s="4" t="n">
        <f aca="false">Assumptions!F30</f>
        <v>1.1</v>
      </c>
      <c r="G23" s="4" t="n">
        <f aca="false">Assumptions!G30</f>
        <v>1.1</v>
      </c>
      <c r="H23" s="4" t="n">
        <f aca="false">Assumptions!H30</f>
        <v>1.1</v>
      </c>
      <c r="I23" s="4" t="n">
        <f aca="false">Assumptions!I30</f>
        <v>1.1</v>
      </c>
      <c r="J23" s="4" t="n">
        <f aca="false">Assumptions!J30</f>
        <v>1.1</v>
      </c>
      <c r="K23" s="4" t="n">
        <f aca="false">Assumptions!K30</f>
        <v>1.1</v>
      </c>
      <c r="L23" s="4" t="n">
        <f aca="false">Assumptions!L30</f>
        <v>1.1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-28.5203934</v>
      </c>
      <c r="D24" s="0" t="n">
        <f aca="false">-D6*D23/100</f>
        <v>-32.0426619849</v>
      </c>
      <c r="E24" s="0" t="n">
        <f aca="false">-E6*E23/100</f>
        <v>-35.582613213708</v>
      </c>
      <c r="F24" s="0" t="n">
        <f aca="false">-F6*F23/100</f>
        <v>-37.3617438743934</v>
      </c>
      <c r="G24" s="0" t="n">
        <f aca="false">-G6*G23/100</f>
        <v>-38.8562136293692</v>
      </c>
      <c r="H24" s="0" t="n">
        <f aca="false">-H6*H23/100</f>
        <v>-40.2161811063971</v>
      </c>
      <c r="I24" s="0" t="n">
        <f aca="false">-I6*I23/100</f>
        <v>-41.422666539589</v>
      </c>
      <c r="J24" s="0" t="n">
        <f aca="false">-J6*J23/100</f>
        <v>-42.6653465357767</v>
      </c>
      <c r="K24" s="0" t="n">
        <f aca="false">-K6*K23/100</f>
        <v>-43.7319801991711</v>
      </c>
      <c r="L24" s="0" t="n">
        <f aca="false">-L6*L23/100</f>
        <v>-44.8252797041504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623.881781799583</v>
      </c>
    </row>
    <row r="31" customFormat="false" ht="15" hidden="false" customHeight="false" outlineLevel="0" collapsed="false">
      <c r="A31" s="0" t="s">
        <v>129</v>
      </c>
      <c r="B31" s="0" t="n">
        <f aca="false">L19</f>
        <v>121.878047089167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1665.66664355195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1706.29265924834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1665.66664355195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642.186596848066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1266.06837864765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1464.71037864765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14.5073975480884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-0.543649023337893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74.4352054664534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75.1508881938409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15.9889907422317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999.39998613117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9.39363539901326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5</v>
      </c>
      <c r="D5" s="4" t="n">
        <f aca="false">Assumptions!D41</f>
        <v>12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2796.117</v>
      </c>
      <c r="C6" s="0" t="n">
        <f aca="false">B6*(1+C5/100)</f>
        <v>2935.92285</v>
      </c>
      <c r="D6" s="0" t="n">
        <f aca="false">C6*(1+D5/100)</f>
        <v>3288.233592</v>
      </c>
      <c r="E6" s="0" t="n">
        <f aca="false">D6*(1+E5/100)</f>
        <v>3617.0569512</v>
      </c>
      <c r="F6" s="0" t="n">
        <f aca="false">E6*(1+F5/100)</f>
        <v>3906.421507296</v>
      </c>
      <c r="G6" s="0" t="n">
        <f aca="false">F6*(1+G5/100)</f>
        <v>4140.80679773376</v>
      </c>
      <c r="H6" s="0" t="n">
        <f aca="false">G6*(1+H5/100)</f>
        <v>4347.84713762045</v>
      </c>
      <c r="I6" s="0" t="n">
        <f aca="false">H6*(1+I5/100)</f>
        <v>4521.76102312527</v>
      </c>
      <c r="J6" s="0" t="n">
        <f aca="false">I6*(1+J5/100)</f>
        <v>4680.02265893465</v>
      </c>
      <c r="K6" s="0" t="n">
        <f aca="false">J6*(1+K5/100)</f>
        <v>4820.42333870269</v>
      </c>
      <c r="L6" s="0" t="n">
        <f aca="false">K6*(1+L5/100)</f>
        <v>4940.93392217026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7.9</v>
      </c>
      <c r="D7" s="4" t="n">
        <f aca="false">Assumptions!D42</f>
        <v>8</v>
      </c>
      <c r="E7" s="4" t="n">
        <f aca="false">Assumptions!E42</f>
        <v>8.1</v>
      </c>
      <c r="F7" s="4" t="n">
        <f aca="false">Assumptions!F42</f>
        <v>8.1</v>
      </c>
      <c r="G7" s="4" t="n">
        <f aca="false">Assumptions!G42</f>
        <v>8.1</v>
      </c>
      <c r="H7" s="4" t="n">
        <f aca="false">Assumptions!H42</f>
        <v>8</v>
      </c>
      <c r="I7" s="4" t="n">
        <f aca="false">Assumptions!I42</f>
        <v>8</v>
      </c>
      <c r="J7" s="4" t="n">
        <f aca="false">Assumptions!J42</f>
        <v>8</v>
      </c>
      <c r="K7" s="4" t="n">
        <f aca="false">Assumptions!K42</f>
        <v>8</v>
      </c>
      <c r="L7" s="4" t="n">
        <f aca="false">Assumptions!L42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231.93790515</v>
      </c>
      <c r="D8" s="0" t="n">
        <f aca="false">D6*D7/100</f>
        <v>263.05868736</v>
      </c>
      <c r="E8" s="0" t="n">
        <f aca="false">E6*E7/100</f>
        <v>292.9816130472</v>
      </c>
      <c r="F8" s="0" t="n">
        <f aca="false">F6*F7/100</f>
        <v>316.420142090976</v>
      </c>
      <c r="G8" s="0" t="n">
        <f aca="false">G6*G7/100</f>
        <v>335.405350616435</v>
      </c>
      <c r="H8" s="0" t="n">
        <f aca="false">H6*H7/100</f>
        <v>347.827771009636</v>
      </c>
      <c r="I8" s="0" t="n">
        <f aca="false">I6*I7/100</f>
        <v>361.740881850022</v>
      </c>
      <c r="J8" s="0" t="n">
        <f aca="false">J6*J7/100</f>
        <v>374.401812714772</v>
      </c>
      <c r="K8" s="0" t="n">
        <f aca="false">K6*K7/100</f>
        <v>385.633867096215</v>
      </c>
      <c r="L8" s="0" t="n">
        <f aca="false">L6*L7/100</f>
        <v>395.274713773621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0.36</v>
      </c>
      <c r="D9" s="4" t="n">
        <f aca="false">Assumptions!D43</f>
        <v>0.36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-10.56932226</v>
      </c>
      <c r="D10" s="0" t="n">
        <f aca="false">-D6*D9/100</f>
        <v>-11.8376409312</v>
      </c>
      <c r="E10" s="0" t="n">
        <f aca="false">-E6*E9/100</f>
        <v>-12.6596993292</v>
      </c>
      <c r="F10" s="0" t="n">
        <f aca="false">-F6*F9/100</f>
        <v>-13.672475275536</v>
      </c>
      <c r="G10" s="0" t="n">
        <f aca="false">-G6*G9/100</f>
        <v>-14.4928237920682</v>
      </c>
      <c r="H10" s="0" t="n">
        <f aca="false">-H6*H9/100</f>
        <v>-15.2174649816716</v>
      </c>
      <c r="I10" s="0" t="n">
        <f aca="false">-I6*I9/100</f>
        <v>-15.8261635809384</v>
      </c>
      <c r="J10" s="0" t="n">
        <f aca="false">-J6*J9/100</f>
        <v>-16.3800793062713</v>
      </c>
      <c r="K10" s="0" t="n">
        <f aca="false">-K6*K9/100</f>
        <v>-16.8714816854594</v>
      </c>
      <c r="L10" s="0" t="n">
        <f aca="false">-L6*L9/100</f>
        <v>-17.2932687275959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192.00935439</v>
      </c>
      <c r="D11" s="0" t="n">
        <f aca="false">D8+D10+D24</f>
        <v>218.3387105088</v>
      </c>
      <c r="E11" s="0" t="n">
        <f aca="false">E8+E10+E24</f>
        <v>244.151344206</v>
      </c>
      <c r="F11" s="0" t="n">
        <f aca="false">F8+F10+F24</f>
        <v>263.68345174248</v>
      </c>
      <c r="G11" s="0" t="n">
        <f aca="false">G8+G10+G24</f>
        <v>279.504458847029</v>
      </c>
      <c r="H11" s="0" t="n">
        <f aca="false">H8+H10+H24</f>
        <v>289.13183465176</v>
      </c>
      <c r="I11" s="0" t="n">
        <f aca="false">I8+I10+I24</f>
        <v>300.69710803783</v>
      </c>
      <c r="J11" s="0" t="n">
        <f aca="false">J8+J10+J24</f>
        <v>311.221506819154</v>
      </c>
      <c r="K11" s="0" t="n">
        <f aca="false">K8+K10+K24</f>
        <v>320.558152023729</v>
      </c>
      <c r="L11" s="0" t="n">
        <f aca="false">L8+L10+L24</f>
        <v>328.572105824322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-30.827189925</v>
      </c>
      <c r="D12" s="4" t="n">
        <f aca="false">-D6*Assumptions!D45/100</f>
        <v>-34.526452716</v>
      </c>
      <c r="E12" s="4" t="n">
        <f aca="false">-E6*Assumptions!E45/100</f>
        <v>-37.9790979876</v>
      </c>
      <c r="F12" s="4" t="n">
        <f aca="false">-F6*Assumptions!F45/100</f>
        <v>-41.017425826608</v>
      </c>
      <c r="G12" s="4" t="n">
        <f aca="false">-G6*Assumptions!G45/100</f>
        <v>-43.4784713762045</v>
      </c>
      <c r="H12" s="4" t="n">
        <f aca="false">-H6*Assumptions!H45/100</f>
        <v>-45.6523949450147</v>
      </c>
      <c r="I12" s="4" t="n">
        <f aca="false">-I6*Assumptions!I45/100</f>
        <v>-47.4784907428153</v>
      </c>
      <c r="J12" s="4" t="n">
        <f aca="false">-J6*Assumptions!J45/100</f>
        <v>-49.1402379188139</v>
      </c>
      <c r="K12" s="4" t="n">
        <f aca="false">-K6*Assumptions!K45/100</f>
        <v>-50.6144450563783</v>
      </c>
      <c r="L12" s="4" t="n">
        <f aca="false">-L6*Assumptions!L45/100</f>
        <v>-51.8798061827877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161.182164465</v>
      </c>
      <c r="D13" s="0" t="n">
        <f aca="false">D11+D12</f>
        <v>183.8122577928</v>
      </c>
      <c r="E13" s="0" t="n">
        <f aca="false">E11+E12</f>
        <v>206.1722462184</v>
      </c>
      <c r="F13" s="0" t="n">
        <f aca="false">F11+F12</f>
        <v>222.666025915872</v>
      </c>
      <c r="G13" s="0" t="n">
        <f aca="false">G11+G12</f>
        <v>236.025987470824</v>
      </c>
      <c r="H13" s="0" t="n">
        <f aca="false">H11+H12</f>
        <v>243.479439706745</v>
      </c>
      <c r="I13" s="0" t="n">
        <f aca="false">I11+I12</f>
        <v>253.218617295015</v>
      </c>
      <c r="J13" s="0" t="n">
        <f aca="false">J11+J12</f>
        <v>262.081268900341</v>
      </c>
      <c r="K13" s="0" t="n">
        <f aca="false">K11+K12</f>
        <v>269.943706967351</v>
      </c>
      <c r="L13" s="0" t="n">
        <f aca="false">L11+L12</f>
        <v>276.692299641535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112.8275151255</v>
      </c>
      <c r="D15" s="0" t="n">
        <f aca="false">D13-MAX(0,D13)*D14/100</f>
        <v>128.66858045496</v>
      </c>
      <c r="E15" s="0" t="n">
        <f aca="false">E13-MAX(0,E13)*E14/100</f>
        <v>144.32057235288</v>
      </c>
      <c r="F15" s="0" t="n">
        <f aca="false">F13-MAX(0,F13)*F14/100</f>
        <v>155.866218141111</v>
      </c>
      <c r="G15" s="0" t="n">
        <f aca="false">G13-MAX(0,G13)*G14/100</f>
        <v>165.218191229577</v>
      </c>
      <c r="H15" s="0" t="n">
        <f aca="false">H13-MAX(0,H13)*H14/100</f>
        <v>170.435607794722</v>
      </c>
      <c r="I15" s="0" t="n">
        <f aca="false">I13-MAX(0,I13)*I14/100</f>
        <v>177.253032106511</v>
      </c>
      <c r="J15" s="0" t="n">
        <f aca="false">J13-MAX(0,J13)*J14/100</f>
        <v>183.456888230238</v>
      </c>
      <c r="K15" s="0" t="n">
        <f aca="false">K13-MAX(0,K13)*K14/100</f>
        <v>188.960594877146</v>
      </c>
      <c r="L15" s="0" t="n">
        <f aca="false">L13-MAX(0,L13)*L14/100</f>
        <v>193.684609749074</v>
      </c>
    </row>
    <row r="16" customFormat="false" ht="15" hidden="false" customHeight="false" outlineLevel="0" collapsed="false">
      <c r="A16" s="0" t="s">
        <v>120</v>
      </c>
      <c r="C16" s="0" t="n">
        <f aca="false">-C12</f>
        <v>30.827189925</v>
      </c>
      <c r="D16" s="0" t="n">
        <f aca="false">-D12</f>
        <v>34.526452716</v>
      </c>
      <c r="E16" s="0" t="n">
        <f aca="false">-E12</f>
        <v>37.9790979876</v>
      </c>
      <c r="F16" s="0" t="n">
        <f aca="false">-F12</f>
        <v>41.017425826608</v>
      </c>
      <c r="G16" s="0" t="n">
        <f aca="false">-G12</f>
        <v>43.4784713762045</v>
      </c>
      <c r="H16" s="0" t="n">
        <f aca="false">-H12</f>
        <v>45.6523949450147</v>
      </c>
      <c r="I16" s="0" t="n">
        <f aca="false">-I12</f>
        <v>47.4784907428153</v>
      </c>
      <c r="J16" s="0" t="n">
        <f aca="false">-J12</f>
        <v>49.1402379188139</v>
      </c>
      <c r="K16" s="0" t="n">
        <f aca="false">-K12</f>
        <v>50.6144450563783</v>
      </c>
      <c r="L16" s="0" t="n">
        <f aca="false">-L12</f>
        <v>51.8798061827877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-41.1029199</v>
      </c>
      <c r="D17" s="4" t="n">
        <f aca="false">-D6*Assumptions!D46/100</f>
        <v>-46.035270288</v>
      </c>
      <c r="E17" s="4" t="n">
        <f aca="false">-E6*Assumptions!E46/100</f>
        <v>-48.8302688412</v>
      </c>
      <c r="F17" s="4" t="n">
        <f aca="false">-F6*Assumptions!F46/100</f>
        <v>-50.783479594848</v>
      </c>
      <c r="G17" s="4" t="n">
        <f aca="false">-G6*Assumptions!G46/100</f>
        <v>-53.8304883705389</v>
      </c>
      <c r="H17" s="4" t="n">
        <f aca="false">-H6*Assumptions!H46/100</f>
        <v>-54.3480892202556</v>
      </c>
      <c r="I17" s="4" t="n">
        <f aca="false">-I6*Assumptions!I46/100</f>
        <v>-56.5220127890659</v>
      </c>
      <c r="J17" s="4" t="n">
        <f aca="false">-J6*Assumptions!J46/100</f>
        <v>-58.5002832366832</v>
      </c>
      <c r="K17" s="4" t="n">
        <f aca="false">-K6*Assumptions!K46/100</f>
        <v>-60.2552917337837</v>
      </c>
      <c r="L17" s="4" t="n">
        <f aca="false">-L6*Assumptions!L46/100</f>
        <v>-61.7616740271282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-7.68932175000001</v>
      </c>
      <c r="D18" s="4" t="n">
        <f aca="false">(D6-C6)*Assumptions!$B$51/100</f>
        <v>-19.37709081</v>
      </c>
      <c r="E18" s="4" t="n">
        <f aca="false">(E6-D6)*Assumptions!$B$51/100</f>
        <v>-18.085284756</v>
      </c>
      <c r="F18" s="4" t="n">
        <f aca="false">(F6-E6)*Assumptions!$B$51/100</f>
        <v>-15.91505058528</v>
      </c>
      <c r="G18" s="4" t="n">
        <f aca="false">(G6-F6)*Assumptions!$B$51/100</f>
        <v>-12.8911909740768</v>
      </c>
      <c r="H18" s="4" t="n">
        <f aca="false">(H6-G6)*Assumptions!$B$51/100</f>
        <v>-11.3872186937679</v>
      </c>
      <c r="I18" s="4" t="n">
        <f aca="false">(I6-H6)*Assumptions!$B$51/100</f>
        <v>-9.56526370276502</v>
      </c>
      <c r="J18" s="4" t="n">
        <f aca="false">(J6-I6)*Assumptions!$B$51/100</f>
        <v>-8.70438996951611</v>
      </c>
      <c r="K18" s="4" t="n">
        <f aca="false">(K6-J6)*Assumptions!$B$51/100</f>
        <v>-7.72203738724217</v>
      </c>
      <c r="L18" s="4" t="n">
        <f aca="false">(L6-K6)*Assumptions!$B$51/100</f>
        <v>-6.62808209071618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94.8624634005</v>
      </c>
      <c r="D19" s="0" t="n">
        <f aca="false">D15+D16+D17+D18</f>
        <v>97.78267207296</v>
      </c>
      <c r="E19" s="0" t="n">
        <f aca="false">E15+E16+E17+E18</f>
        <v>115.38411674328</v>
      </c>
      <c r="F19" s="0" t="n">
        <f aca="false">F15+F16+F17+F18</f>
        <v>130.18511378759</v>
      </c>
      <c r="G19" s="0" t="n">
        <f aca="false">G15+G16+G17+G18</f>
        <v>141.974983261166</v>
      </c>
      <c r="H19" s="0" t="n">
        <f aca="false">H15+H16+H17+H18</f>
        <v>150.352694825713</v>
      </c>
      <c r="I19" s="0" t="n">
        <f aca="false">I15+I16+I17+I18</f>
        <v>158.644246357495</v>
      </c>
      <c r="J19" s="0" t="n">
        <f aca="false">J15+J16+J17+J18</f>
        <v>165.392452942853</v>
      </c>
      <c r="K19" s="0" t="n">
        <f aca="false">K15+K16+K17+K18</f>
        <v>171.597710812498</v>
      </c>
      <c r="L19" s="0" t="n">
        <f aca="false">L15+L16+L17+L18</f>
        <v>177.174659814017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86.2386030913636</v>
      </c>
      <c r="D21" s="0" t="n">
        <f aca="false">D19*D20</f>
        <v>80.8121256801322</v>
      </c>
      <c r="E21" s="0" t="n">
        <f aca="false">E19*E20</f>
        <v>86.6897946981818</v>
      </c>
      <c r="F21" s="0" t="n">
        <f aca="false">F19*F20</f>
        <v>88.9181844051571</v>
      </c>
      <c r="G21" s="0" t="n">
        <f aca="false">G19*G20</f>
        <v>88.1552944478245</v>
      </c>
      <c r="H21" s="0" t="n">
        <f aca="false">H19*H20</f>
        <v>84.8701765424464</v>
      </c>
      <c r="I21" s="0" t="n">
        <f aca="false">I19*I20</f>
        <v>81.4095829289407</v>
      </c>
      <c r="J21" s="0" t="n">
        <f aca="false">J19*J20</f>
        <v>77.1567999288319</v>
      </c>
      <c r="K21" s="0" t="n">
        <f aca="false">K19*K20</f>
        <v>72.7741804737508</v>
      </c>
      <c r="L21" s="0" t="n">
        <f aca="false">L19*L20</f>
        <v>68.3085011482545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-29.3592285</v>
      </c>
      <c r="D24" s="0" t="n">
        <f aca="false">-D6*D23/100</f>
        <v>-32.88233592</v>
      </c>
      <c r="E24" s="0" t="n">
        <f aca="false">-E6*E23/100</f>
        <v>-36.170569512</v>
      </c>
      <c r="F24" s="0" t="n">
        <f aca="false">-F6*F23/100</f>
        <v>-39.06421507296</v>
      </c>
      <c r="G24" s="0" t="n">
        <f aca="false">-G6*G23/100</f>
        <v>-41.4080679773376</v>
      </c>
      <c r="H24" s="0" t="n">
        <f aca="false">-H6*H23/100</f>
        <v>-43.4784713762045</v>
      </c>
      <c r="I24" s="0" t="n">
        <f aca="false">-I6*I23/100</f>
        <v>-45.2176102312527</v>
      </c>
      <c r="J24" s="0" t="n">
        <f aca="false">-J6*J23/100</f>
        <v>-46.8002265893465</v>
      </c>
      <c r="K24" s="0" t="n">
        <f aca="false">-K6*K23/100</f>
        <v>-48.2042333870269</v>
      </c>
      <c r="L24" s="0" t="n">
        <f aca="false">-L6*L23/100</f>
        <v>-49.4093392217026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815.333243344884</v>
      </c>
    </row>
    <row r="31" customFormat="false" ht="15" hidden="false" customHeight="false" outlineLevel="0" collapsed="false">
      <c r="A31" s="0" t="s">
        <v>129</v>
      </c>
      <c r="B31" s="0" t="n">
        <f aca="false">L19</f>
        <v>177.174659814017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2421.38701745824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2480.44523739624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2421.38701745824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933.549515692812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1748.8827590377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1947.5247590377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19.2894898035686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-0.393221459466229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85.4155298731936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91.119817373091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21.0380050739774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1452.83221047494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11.9485029040536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9.40950141818253</v>
      </c>
      <c r="C4" s="0" t="n">
        <f aca="false">B4/Assumptions!$B$2-1</f>
        <v>-0.704010650576202</v>
      </c>
      <c r="D4" s="4" t="n">
        <f aca="false">Assumptions!$B$24</f>
        <v>0.25</v>
      </c>
      <c r="E4" s="4" t="n">
        <f aca="false">DCF_Bear!$B$43</f>
        <v>10.5138839950294</v>
      </c>
      <c r="F4" s="4" t="n">
        <f aca="false">DCF_Bear!$B$47</f>
        <v>6.61834586275813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14.5073975480884</v>
      </c>
      <c r="C5" s="0" t="n">
        <f aca="false">B5/Assumptions!$B$2-1</f>
        <v>-0.543649023337893</v>
      </c>
      <c r="D5" s="4" t="n">
        <f aca="false">Assumptions!$B$38</f>
        <v>0.5</v>
      </c>
      <c r="E5" s="4" t="n">
        <f aca="false">DCF_Base!$B$43</f>
        <v>15.9889907422317</v>
      </c>
      <c r="F5" s="4" t="n">
        <f aca="false">DCF_Base!$B$47</f>
        <v>9.39363539901326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19.2894898035686</v>
      </c>
      <c r="C6" s="0" t="n">
        <f aca="false">B6/Assumptions!$B$2-1</f>
        <v>-0.393221459466229</v>
      </c>
      <c r="D6" s="4" t="n">
        <f aca="false">Assumptions!$B$52</f>
        <v>0.25</v>
      </c>
      <c r="E6" s="4" t="n">
        <f aca="false">DCF_Bull!$B$43</f>
        <v>21.0380050739774</v>
      </c>
      <c r="F6" s="4" t="n">
        <f aca="false">DCF_Bull!$B$47</f>
        <v>11.9485029040536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14.428446579482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15.8824676383676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-1.20328639156533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1194.03727438614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9.33852989120957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15.5785994619915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14.5073975480884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13.0001688471932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11.8117676323426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9.39363539901326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16.5822917476082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16.5822917476082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16.5822917476082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16.5822917476082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16.5822917476082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15.3406388694994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15.5785994619915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15.5785994619915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15.5785994619915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15.5785994619915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13.704335902288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14.0807710487569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14.5073975480884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14.6625344569362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14.6625344569362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12.4157638781675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12.6917328913185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13.0001688471932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13.3471592975521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13.7404151412923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11.3753642261614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11.5826558440975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11.8117676323426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12.0663362859483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12.3508541929194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2026-09-24T08:50:30Z</dcterms:created>
  <dc:creator>openpyxl</dc:creator>
  <dc:description/>
  <dc:language>en-NZ</dc:language>
  <cp:lastModifiedBy/>
  <dcterms:modified xsi:type="dcterms:W3CDTF">2026-09-24T08:50:30Z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