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<sst xmlns="http://schemas.openxmlformats.org/spreadsheetml/2006/main" count="359" uniqueCount="165">
  <si>
    <t xml:space="preserve">Ticker</t>
  </si>
  <si>
    <t xml:space="preserve">NXT.L</t>
  </si>
  <si>
    <t xml:space="preserve">Company</t>
  </si>
  <si>
    <t xml:space="preserve">Next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</si>
  <si>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</si>
  <si>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</si>
  <si>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</si>
  <si>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</si>
  <si>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2026-10-09T16:15:00Z (LSE regular close, Friday; Yahoo chart API)</t>
  </si>
  <si>
    <t xml:space="preserve">Balance sheet date</t>
  </si>
  <si>
    <t xml:space="preserve">2026-01-31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</si>
  <si>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</si>
  <si>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</si>
  <si>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</si>
  <si>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</si>
  <si>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</si>
  <si>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</si>
  <si>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</si>
  <si>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</si>
  <si>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</si>
  <si>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</si>
  <si>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</si>
  <si>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2026-10-10T01:15:07Z</t>
  </si>
  <si>
    <t xml:space="preserve">Drivers file</t>
  </si>
  <si>
    <t xml:space="preserve">NXT.L_Drivers.json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</si>
  <si>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</si>
  <si>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</si>
  <si>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</si>
  <si>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Next is a mature, exceptionally well-run UK retailer whose value is a stream of owner free cash flow after SBC and after the full cash cost of its leases, discounted at a GBP-built 9% WACC and capitalised at no more than 15x. The flows are consolidated and unlevered; ex-lease net debt and the minority interests are deducted once in the bridge. The market prices Next at ~18x forward EPS, above management's own 8% ERR buyback ceiling of GBP135; the DCF asks what growth and margin path that multiple requires.
key_risks_to_valuation: Terminal multiple: at a 9% WACC and 2% growth the Gordon value is near the 15x cap, so the result is sensitive to whether a mature UK retailer deserves 15x owner FCF in perpetuity.; Lease charge: treating leases as an operating cost deducts ~GBP220m a year; if the store estate shrinks faster than modelled the charge falls and value rises (and vice versa).; International marketing ROI: management says returns could fall from GBP1.75-2.08 to ~GBP1.01 per GBP1 spent if fixed-cost leverage is lost -- the single biggest swing in the growth path.; Equal Pay: a successful claimant appeal would add a structural store wage cost not in the base case.; Share count anchor: Jan 2026 count (116.9m) and Jan 2026 net debt are used as a pair; GBP355m+ of FY2027 buybacks have since reduced the count ~2.3% and raised net debt by a similar amount -- value-neutral in aggregate but the per-share split will move at the next balance sheet.</t>
  </si>
  <si>
    <t xml:space="preserve">Data sources</t>
  </si>
  <si>
    <t xml:space="preserve">price: Yahoo Finance chart API regular close at inputs.price_as_of; 52-week range 11,695-16,175p
financials: NXT.L_Metrics.csv / core_metrics (FY2017-FY2026 annual, H1 FY2017-H1 FY2026); FY2026 Annual Report (53 weeks to 31 Jan 2026): cash flow statement p.10519-10560, trading cash flow bridge p.2780-2788, FY2027 forecast p.2372-2376, shares in issue p.9661, ESOT holdings p.13458, NCI p.10511; kpis table for lease liabilities, lease principal, ESOT purchases, cash taxes, depreciation
qualitative: NXT.L_Analysis.json (2026-10-10); Q2 FY2027 trading statement 5 Aug 2026 (NXT.L_Quarterly_Q2-2026.txt) for the raised guidance and buyback ceiling</t>
  </si>
  <si>
    <t xml:space="preserve">Scenario narrative: bear</t>
  </si>
  <si>
    <t xml:space="preserve">Growth stalls in FY2028-29 as one-off tailwinds annualise, Shein takes UK online share, and UK consumer weakness plus a lost Equal Pay appeal compress margins to 21% while E3 capex is still being spent. The business remains solidly profitable and investment grade -- this is a de-rating, not a solvency, case.</t>
  </si>
  <si>
    <t xml:space="preserve">Scenario narrative: base</t>
  </si>
  <si>
    <t xml:space="preserve">Next delivers the raised FY2027 guidance and then grows at 2.5-4% as International online, LABEL and WOBL offset a shrinking store estate; EBITDA margin holds at 23.4-23.8% with the lease charge drifting lower; capex normalises after the E3 warehouse programme. Value accrues through ~GBP0.8-1.2bn a year of owner FCF, largely returned to shareholders.</t>
  </si>
  <si>
    <t xml:space="preserve">Scenario narrative: bull</t>
  </si>
  <si>
    <t xml:space="preserve">International online keeps compounding at 15-20%, marketing ROI holds, Total Platform and WOBL scale at high ROCE, and operating leverage takes EBITDA margin to 25%. The company continues to beat and raise; Equal Pay is finally closed.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</si>
  <si>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</si>
  <si>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</si>
  <si>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</si>
  <si>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</si>
  <si>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</si>
  <si>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</si>
  <si>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</si>
  <si>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</si>
  <si>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</si>
  <si>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</si>
  <si>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</si>
  <si>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</si>
  <si>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</si>
  <si>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</si>
  <si>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</si>
  <si>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</si>
  <si>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</si>
  <si>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</si>
  <si>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</si>
  <si>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</si>
  <si>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</si>
  <si>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</si>
  <si>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</si>
  <si>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</si>
  <si>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</si>
  <si>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</si>
  <si>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</si>
  <si>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</si>
  <si>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</si>
  <si>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</si>
  <si>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</si>
  <si>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</si>
  <si>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</si>
  <si>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</si>
  <si>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</si>
  <si>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</si>
  <si>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</si>
  <si>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</si>
  <si>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</si>
  <si>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</si>
  <si>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</si>
  <si>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</si>
  <si>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</si>
  <si>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</si>
  <si>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</si>
  <si>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</si>
  <si>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</si>
  <si>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</si>
  <si>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</si>
  <si>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</si>
  <si>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</si>
  <si>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</si>
  <si>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</si>
  <si>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</si>
  <si>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</si>
  <si>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</si>
  <si>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</si>
  <si>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</si>
  <si>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</si>
  <si>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</si>
  <si>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</si>
  <si>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</si>
  <si>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</si>
  <si>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</si>
  <si>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</si>
  <si>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</si>
  <si>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</si>
  <si>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</si>
  <si>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</si>
  <si>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</si>
  <si>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</si>
  <si>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</si>
  <si>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</si>
  <si>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</si>
  <si>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NXT.L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</si>
  <si>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</si>
  <si>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</si>
  <si>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</si>
  <si>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</si>
  <si>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</si>
  <si>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</si>
  <si>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</si>
  <si>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</si>
  <si>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</si>
  <si>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</si>
  <si>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</si>
  <si>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</si>
  <si>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</si>
  <si>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</si>
  <si>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</si>
  <si>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</si>
  <si>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</si>
  <si>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</si>
  <si>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</si>
  <si>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</si>
  <si>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</si>
  <si>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</si>
  <si>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</si>
  <si>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</si>
  <si>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</si>
  <si>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</si>
  <si>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</si>
  <si>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</si>
  <si>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</si>
  <si>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</si>
  <si>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NXT.L owner-FCF component DCF: base case (millions, GBP)</t>
  </si>
  <si>
    <t xml:space="preserve">NXT.L owner-FCF component DCF: bull case (millions, GBP)</t>
  </si>
  <si>
    <t xml:space="preserve">NXT.L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</si>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</sst>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14700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4097.3</v>
      </c>
      <c r="C2" s="0" t="n">
        <v>2710.7</v>
      </c>
      <c r="D2" s="0" t="n">
        <v>1386.6</v>
      </c>
      <c r="E2" s="0" t="n">
        <v>33.8</v>
      </c>
      <c r="F2" s="0" t="n">
        <v>827.7</v>
      </c>
      <c r="G2" s="0" t="n">
        <v>20.2</v>
      </c>
      <c r="H2" s="0" t="n">
        <v>944.4</v>
      </c>
      <c r="I2" s="0" t="n">
        <v>635.3</v>
      </c>
      <c r="J2" s="0" t="n">
        <v>15.5</v>
      </c>
      <c r="K2" s="0" t="n">
        <v>4.381</v>
      </c>
      <c r="L2" s="0" t="n">
        <v>699.5</v>
      </c>
      <c r="M2" s="0" t="n">
        <v>160.8</v>
      </c>
      <c r="N2" s="0" t="n">
        <v>538.7</v>
      </c>
      <c r="O2" s="0" t="n">
        <v>510.5</v>
      </c>
      <c r="P2" s="0" t="n">
        <v>2404.8</v>
      </c>
      <c r="Q2" s="0" t="n">
        <v>1894.3</v>
      </c>
      <c r="R2" s="0" t="n">
        <v>948.8</v>
      </c>
      <c r="S2" s="0" t="n">
        <v>49.7</v>
      </c>
      <c r="T2" s="0" t="n">
        <v>145</v>
      </c>
      <c r="U2" s="0" t="n">
        <v>13.1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4055.5</v>
      </c>
      <c r="C3" s="0" t="n">
        <v>2699.3</v>
      </c>
      <c r="D3" s="0" t="n">
        <v>1356.2</v>
      </c>
      <c r="E3" s="0" t="n">
        <v>33.4</v>
      </c>
      <c r="F3" s="0" t="n">
        <v>759.9</v>
      </c>
      <c r="G3" s="0" t="n">
        <v>18.7</v>
      </c>
      <c r="H3" s="0" t="n">
        <v>882.9</v>
      </c>
      <c r="I3" s="0" t="n">
        <v>591.8</v>
      </c>
      <c r="J3" s="0" t="n">
        <v>14.6</v>
      </c>
      <c r="K3" s="0" t="n">
        <v>4.157</v>
      </c>
      <c r="L3" s="0" t="n">
        <v>615.2</v>
      </c>
      <c r="M3" s="0" t="n">
        <v>104.2</v>
      </c>
      <c r="N3" s="0" t="n">
        <v>511</v>
      </c>
      <c r="O3" s="0" t="n">
        <v>482.6</v>
      </c>
      <c r="P3" s="0" t="n">
        <v>2561.5</v>
      </c>
      <c r="Q3" s="0" t="n">
        <v>2078.9</v>
      </c>
      <c r="R3" s="0" t="n">
        <v>1088.5</v>
      </c>
      <c r="S3" s="0" t="n">
        <v>53.5</v>
      </c>
      <c r="T3" s="0" t="n">
        <v>142.4</v>
      </c>
      <c r="U3" s="0" t="n">
        <v>14.1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4167.4</v>
      </c>
      <c r="C4" s="0" t="n">
        <v>2693.2</v>
      </c>
      <c r="D4" s="0" t="n">
        <v>1474.2</v>
      </c>
      <c r="E4" s="0" t="n">
        <v>35.4</v>
      </c>
      <c r="F4" s="0" t="n">
        <v>762</v>
      </c>
      <c r="G4" s="0" t="n">
        <v>18.3</v>
      </c>
      <c r="H4" s="0" t="n">
        <v>884.6</v>
      </c>
      <c r="I4" s="0" t="n">
        <v>590.4</v>
      </c>
      <c r="J4" s="0" t="n">
        <v>14.2</v>
      </c>
      <c r="K4" s="0" t="n">
        <v>4.33</v>
      </c>
      <c r="L4" s="0" t="n">
        <v>654.3</v>
      </c>
      <c r="M4" s="0" t="n">
        <v>128.6</v>
      </c>
      <c r="N4" s="0" t="n">
        <v>525.7</v>
      </c>
      <c r="O4" s="0" t="n">
        <v>553.8</v>
      </c>
      <c r="P4" s="0" t="n">
        <v>2811.3</v>
      </c>
      <c r="Q4" s="0" t="n">
        <v>2257.5</v>
      </c>
      <c r="R4" s="0" t="n">
        <v>1282.5</v>
      </c>
      <c r="S4" s="0" t="n">
        <v>156.3</v>
      </c>
      <c r="T4" s="0" t="n">
        <v>136.4</v>
      </c>
      <c r="U4" s="0" t="n">
        <v>13.8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4266.2</v>
      </c>
      <c r="C5" s="0" t="n">
        <v>2625.7</v>
      </c>
      <c r="D5" s="0" t="n">
        <v>1640.5</v>
      </c>
      <c r="E5" s="0" t="n">
        <v>38.5</v>
      </c>
      <c r="F5" s="0" t="n">
        <v>853.9</v>
      </c>
      <c r="G5" s="0" t="n">
        <v>20</v>
      </c>
      <c r="H5" s="0" t="n">
        <v>1116.9</v>
      </c>
      <c r="I5" s="0" t="n">
        <v>610.2</v>
      </c>
      <c r="J5" s="0" t="n">
        <v>14.3</v>
      </c>
      <c r="K5" s="0" t="n">
        <v>4.688</v>
      </c>
      <c r="L5" s="0" t="n">
        <v>927.2</v>
      </c>
      <c r="M5" s="0" t="n">
        <v>138.8</v>
      </c>
      <c r="N5" s="0" t="n">
        <v>788.4</v>
      </c>
      <c r="O5" s="0" t="n">
        <v>441.5</v>
      </c>
      <c r="P5" s="0" t="n">
        <v>3673.3</v>
      </c>
      <c r="Q5" s="0" t="n">
        <v>3231.8</v>
      </c>
      <c r="R5" s="0" t="n">
        <v>1237.4</v>
      </c>
      <c r="S5" s="0" t="n">
        <v>86.6</v>
      </c>
      <c r="T5" s="0" t="n">
        <v>130.2</v>
      </c>
      <c r="U5" s="0" t="n">
        <v>14.7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3534.4</v>
      </c>
      <c r="C6" s="0" t="n">
        <v>2286.5</v>
      </c>
      <c r="D6" s="0" t="n">
        <v>1247.9</v>
      </c>
      <c r="E6" s="0" t="n">
        <v>35.3</v>
      </c>
      <c r="F6" s="0" t="n">
        <v>444.5</v>
      </c>
      <c r="G6" s="0" t="n">
        <v>12.6</v>
      </c>
      <c r="H6" s="0" t="n">
        <v>778.3</v>
      </c>
      <c r="I6" s="0" t="n">
        <v>286.7</v>
      </c>
      <c r="J6" s="0" t="n">
        <v>8.1</v>
      </c>
      <c r="K6" s="0" t="n">
        <v>2.219</v>
      </c>
      <c r="L6" s="0" t="n">
        <v>824.8</v>
      </c>
      <c r="M6" s="0" t="n">
        <v>163</v>
      </c>
      <c r="N6" s="0" t="n">
        <v>661.8</v>
      </c>
      <c r="O6" s="0" t="n">
        <v>660.9</v>
      </c>
      <c r="P6" s="0" t="n">
        <v>3758</v>
      </c>
      <c r="Q6" s="0" t="n">
        <v>3097.1</v>
      </c>
      <c r="R6" s="0" t="n">
        <v>1256.4</v>
      </c>
      <c r="S6" s="0" t="n">
        <v>608.2</v>
      </c>
      <c r="T6" s="0" t="n">
        <v>129.2</v>
      </c>
      <c r="U6" s="0" t="n">
        <v>16.7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4625.9</v>
      </c>
      <c r="C7" s="0" t="n">
        <v>2653.9</v>
      </c>
      <c r="D7" s="0" t="n">
        <v>1972</v>
      </c>
      <c r="E7" s="0" t="n">
        <v>42.6</v>
      </c>
      <c r="F7" s="0" t="n">
        <v>905.4</v>
      </c>
      <c r="G7" s="0" t="n">
        <v>19.6</v>
      </c>
      <c r="H7" s="0" t="n">
        <v>1112.6</v>
      </c>
      <c r="I7" s="0" t="n">
        <v>677.5</v>
      </c>
      <c r="J7" s="0" t="n">
        <v>14.6</v>
      </c>
      <c r="K7" s="0" t="n">
        <v>5.24</v>
      </c>
      <c r="L7" s="0" t="n">
        <v>971.4</v>
      </c>
      <c r="M7" s="0" t="n">
        <v>266.3</v>
      </c>
      <c r="N7" s="0" t="n">
        <v>705.1</v>
      </c>
      <c r="O7" s="0" t="n">
        <v>1010</v>
      </c>
      <c r="P7" s="0" t="n">
        <v>3981.8</v>
      </c>
      <c r="Q7" s="0" t="n">
        <v>2971.8</v>
      </c>
      <c r="R7" s="0" t="n">
        <v>1048.8</v>
      </c>
      <c r="S7" s="0" t="n">
        <v>433</v>
      </c>
      <c r="T7" s="0" t="n">
        <v>129.3</v>
      </c>
      <c r="U7" s="0" t="n">
        <v>19.9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5034</v>
      </c>
      <c r="C8" s="0" t="n">
        <v>2858.7</v>
      </c>
      <c r="D8" s="0" t="n">
        <v>2175.3</v>
      </c>
      <c r="E8" s="0" t="n">
        <v>43.2</v>
      </c>
      <c r="F8" s="0" t="n">
        <v>941.5</v>
      </c>
      <c r="G8" s="0" t="n">
        <v>18.7</v>
      </c>
      <c r="H8" s="0" t="n">
        <v>1107.3</v>
      </c>
      <c r="I8" s="0" t="n">
        <v>711.7</v>
      </c>
      <c r="J8" s="0" t="n">
        <v>14.1</v>
      </c>
      <c r="K8" s="0" t="n">
        <v>5.705</v>
      </c>
      <c r="L8" s="0" t="n">
        <v>798.8</v>
      </c>
      <c r="M8" s="0" t="n">
        <v>246.1</v>
      </c>
      <c r="N8" s="0" t="n">
        <v>552.7</v>
      </c>
      <c r="O8" s="0" t="n">
        <v>1165.1</v>
      </c>
      <c r="P8" s="0" t="n">
        <v>3983.8</v>
      </c>
      <c r="Q8" s="0" t="n">
        <v>2818.7</v>
      </c>
      <c r="R8" s="0" t="n">
        <v>893</v>
      </c>
      <c r="S8" s="0" t="n">
        <v>105</v>
      </c>
      <c r="T8" s="0" t="n">
        <v>124.8</v>
      </c>
      <c r="U8" s="0" t="n">
        <v>24.3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5491</v>
      </c>
      <c r="C9" s="0" t="n">
        <v>3070.5</v>
      </c>
      <c r="D9" s="0" t="n">
        <v>2420.5</v>
      </c>
      <c r="E9" s="0" t="n">
        <v>44.1</v>
      </c>
      <c r="F9" s="0" t="n">
        <v>987.9</v>
      </c>
      <c r="G9" s="0" t="n">
        <v>18</v>
      </c>
      <c r="H9" s="0" t="n">
        <v>1233.9</v>
      </c>
      <c r="I9" s="0" t="n">
        <v>802.3</v>
      </c>
      <c r="J9" s="0" t="n">
        <v>14.6</v>
      </c>
      <c r="K9" s="0" t="n">
        <v>6.559</v>
      </c>
      <c r="L9" s="0" t="n">
        <v>1120.3</v>
      </c>
      <c r="M9" s="0" t="n">
        <v>188.2</v>
      </c>
      <c r="N9" s="0" t="n">
        <v>932.1</v>
      </c>
      <c r="O9" s="0" t="n">
        <v>1638.8</v>
      </c>
      <c r="P9" s="0" t="n">
        <v>4724.3</v>
      </c>
      <c r="Q9" s="0" t="n">
        <v>3085.5</v>
      </c>
      <c r="R9" s="0" t="n">
        <v>879</v>
      </c>
      <c r="S9" s="0" t="n">
        <v>188.3</v>
      </c>
      <c r="T9" s="0" t="n">
        <v>122.3</v>
      </c>
      <c r="U9" s="0" t="n">
        <v>31.9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6118.1</v>
      </c>
      <c r="C10" s="0" t="n">
        <v>3475.9</v>
      </c>
      <c r="D10" s="0" t="n">
        <v>2642.2</v>
      </c>
      <c r="E10" s="0" t="n">
        <v>43.2</v>
      </c>
      <c r="F10" s="0" t="n">
        <v>1075.4</v>
      </c>
      <c r="G10" s="0" t="n">
        <v>17.6</v>
      </c>
      <c r="H10" s="0" t="n">
        <v>1386.4</v>
      </c>
      <c r="I10" s="0" t="n">
        <v>736.1</v>
      </c>
      <c r="J10" s="0" t="n">
        <v>12</v>
      </c>
      <c r="K10" s="0" t="n">
        <v>6.055</v>
      </c>
      <c r="L10" s="0" t="n">
        <v>1133.9</v>
      </c>
      <c r="M10" s="0" t="n">
        <v>157.5</v>
      </c>
      <c r="N10" s="0" t="n">
        <v>976.4</v>
      </c>
      <c r="O10" s="0" t="n">
        <v>1754.3</v>
      </c>
      <c r="P10" s="0" t="n">
        <v>4872.5</v>
      </c>
      <c r="Q10" s="0" t="n">
        <v>3118.2</v>
      </c>
      <c r="R10" s="0" t="n">
        <v>854.4</v>
      </c>
      <c r="S10" s="0" t="n">
        <v>200.4</v>
      </c>
      <c r="T10" s="0" t="n">
        <v>121.6</v>
      </c>
      <c r="U10" s="0" t="n">
        <v>40.9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6901.3</v>
      </c>
      <c r="C11" s="0" t="n">
        <v>3854.6</v>
      </c>
      <c r="D11" s="0" t="n">
        <v>3046.7</v>
      </c>
      <c r="E11" s="0" t="n">
        <v>44.1</v>
      </c>
      <c r="F11" s="0" t="n">
        <v>1278.8</v>
      </c>
      <c r="G11" s="0" t="n">
        <v>18.5</v>
      </c>
      <c r="H11" s="0" t="n">
        <v>1613.5</v>
      </c>
      <c r="I11" s="0" t="n">
        <v>888.5</v>
      </c>
      <c r="J11" s="0" t="n">
        <v>12.9</v>
      </c>
      <c r="K11" s="0" t="n">
        <v>7.454</v>
      </c>
      <c r="L11" s="0" t="n">
        <v>1233.6</v>
      </c>
      <c r="M11" s="0" t="n">
        <v>171.2</v>
      </c>
      <c r="N11" s="0" t="n">
        <v>1062.4</v>
      </c>
      <c r="O11" s="0" t="n">
        <v>1780.5</v>
      </c>
      <c r="P11" s="0" t="n">
        <v>4915.3</v>
      </c>
      <c r="Q11" s="0" t="n">
        <v>3134.8</v>
      </c>
      <c r="R11" s="0" t="n">
        <v>808.9</v>
      </c>
      <c r="S11" s="0" t="n">
        <v>96.2</v>
      </c>
      <c r="T11" s="0" t="n">
        <v>119.2</v>
      </c>
      <c r="U11" s="0" t="n">
        <v>43.1</v>
      </c>
      <c r="AA11" s="0" t="s">
        <v>18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14700</v>
      </c>
    </row>
    <row r="3" customFormat="false" ht="15" hidden="false" customHeight="false" outlineLevel="0" collapsed="false">
      <c r="A3" s="0" t="s">
        <v>77</v>
      </c>
      <c r="B3" s="3" t="n">
        <v>116.93</v>
      </c>
    </row>
    <row r="4" customFormat="false" ht="15" hidden="false" customHeight="false" outlineLevel="0" collapsed="false">
      <c r="A4" s="0" t="s">
        <v>78</v>
      </c>
      <c r="B4" s="3" t="n">
        <v>712.7</v>
      </c>
    </row>
    <row r="5" customFormat="false" ht="15" hidden="false" customHeight="false" outlineLevel="0" collapsed="false">
      <c r="A5" s="0" t="s">
        <v>79</v>
      </c>
      <c r="B5" s="3" t="n">
        <v>-118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6901.3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100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4</v>
      </c>
      <c r="D13" s="3" t="n">
        <v>1</v>
      </c>
      <c r="E13" s="3" t="n">
        <v>0.5</v>
      </c>
      <c r="F13" s="3" t="n">
        <v>1</v>
      </c>
      <c r="G13" s="3" t="n">
        <v>1.5</v>
      </c>
      <c r="H13" s="3" t="n">
        <v>1.5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23.2</v>
      </c>
      <c r="D14" s="3" t="n">
        <v>22.6</v>
      </c>
      <c r="E14" s="3" t="n">
        <v>22</v>
      </c>
      <c r="F14" s="3" t="n">
        <v>21.6</v>
      </c>
      <c r="G14" s="3" t="n">
        <v>21.3</v>
      </c>
      <c r="H14" s="3" t="n">
        <v>21</v>
      </c>
      <c r="I14" s="3" t="n">
        <v>21</v>
      </c>
      <c r="J14" s="3" t="n">
        <v>21</v>
      </c>
      <c r="K14" s="3" t="n">
        <v>21</v>
      </c>
      <c r="L14" s="3" t="n">
        <v>21</v>
      </c>
    </row>
    <row r="15" customFormat="false" ht="15" hidden="false" customHeight="false" outlineLevel="0" collapsed="false">
      <c r="A15" s="0" t="s">
        <v>99</v>
      </c>
      <c r="C15" s="3" t="n">
        <v>0.62</v>
      </c>
      <c r="D15" s="3" t="n">
        <v>0.62</v>
      </c>
      <c r="E15" s="3" t="n">
        <v>0.62</v>
      </c>
      <c r="F15" s="3" t="n">
        <v>0.62</v>
      </c>
      <c r="G15" s="3" t="n">
        <v>0.62</v>
      </c>
      <c r="H15" s="3" t="n">
        <v>0.62</v>
      </c>
      <c r="I15" s="3" t="n">
        <v>0.62</v>
      </c>
      <c r="J15" s="3" t="n">
        <v>0.62</v>
      </c>
      <c r="K15" s="3" t="n">
        <v>0.62</v>
      </c>
      <c r="L15" s="3" t="n">
        <v>0.62</v>
      </c>
    </row>
    <row r="16" customFormat="false" ht="15" hidden="false" customHeight="false" outlineLevel="0" collapsed="false">
      <c r="A16" s="0" t="s">
        <v>100</v>
      </c>
      <c r="C16" s="3" t="n">
        <v>3.25</v>
      </c>
      <c r="D16" s="3" t="n">
        <v>3.3</v>
      </c>
      <c r="E16" s="3" t="n">
        <v>3.35</v>
      </c>
      <c r="F16" s="3" t="n">
        <v>3.35</v>
      </c>
      <c r="G16" s="3" t="n">
        <v>3.35</v>
      </c>
      <c r="H16" s="3" t="n">
        <v>3.3</v>
      </c>
      <c r="I16" s="3" t="n">
        <v>3.3</v>
      </c>
      <c r="J16" s="3" t="n">
        <v>3.3</v>
      </c>
      <c r="K16" s="3" t="n">
        <v>3.3</v>
      </c>
      <c r="L16" s="3" t="n">
        <v>3.3</v>
      </c>
    </row>
    <row r="17" customFormat="false" ht="15" hidden="false" customHeight="false" outlineLevel="0" collapsed="false">
      <c r="A17" s="0" t="s">
        <v>101</v>
      </c>
      <c r="C17" s="3" t="n">
        <v>2.15</v>
      </c>
      <c r="D17" s="3" t="n">
        <v>2.25</v>
      </c>
      <c r="E17" s="3" t="n">
        <v>2.35</v>
      </c>
      <c r="F17" s="3" t="n">
        <v>2.4</v>
      </c>
      <c r="G17" s="3" t="n">
        <v>2.45</v>
      </c>
      <c r="H17" s="3" t="n">
        <v>2.5</v>
      </c>
      <c r="I17" s="3" t="n">
        <v>2.5</v>
      </c>
      <c r="J17" s="3" t="n">
        <v>2.5</v>
      </c>
      <c r="K17" s="3" t="n">
        <v>2.5</v>
      </c>
      <c r="L17" s="3" t="n">
        <v>2.5</v>
      </c>
    </row>
    <row r="18" customFormat="false" ht="15" hidden="false" customHeight="false" outlineLevel="0" collapsed="false">
      <c r="A18" s="0" t="s">
        <v>102</v>
      </c>
      <c r="C18" s="3" t="n">
        <v>3.3</v>
      </c>
      <c r="D18" s="3" t="n">
        <v>3.2</v>
      </c>
      <c r="E18" s="3" t="n">
        <v>3</v>
      </c>
      <c r="F18" s="3" t="n">
        <v>2.8</v>
      </c>
      <c r="G18" s="3" t="n">
        <v>2.7</v>
      </c>
      <c r="H18" s="3" t="n">
        <v>2.7</v>
      </c>
      <c r="I18" s="3" t="n">
        <v>2.7</v>
      </c>
      <c r="J18" s="3" t="n">
        <v>2.7</v>
      </c>
      <c r="K18" s="3" t="n">
        <v>2.7</v>
      </c>
      <c r="L18" s="3" t="n">
        <v>2.7</v>
      </c>
    </row>
    <row r="19" customFormat="false" ht="15" hidden="false" customHeight="false" outlineLevel="0" collapsed="false">
      <c r="A19" s="0" t="s">
        <v>103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104</v>
      </c>
      <c r="B20" s="3" t="n">
        <v>9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13</v>
      </c>
    </row>
    <row r="23" customFormat="false" ht="15" hidden="false" customHeight="false" outlineLevel="0" collapsed="false">
      <c r="A23" s="0" t="s">
        <v>107</v>
      </c>
      <c r="B23" s="3" t="n">
        <v>-10</v>
      </c>
    </row>
    <row r="24" customFormat="false" ht="15" hidden="false" customHeight="false" outlineLevel="0" collapsed="false">
      <c r="A24" s="0" t="s">
        <v>108</v>
      </c>
      <c r="B24" s="3" t="n">
        <v>0.2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4.6</v>
      </c>
      <c r="D27" s="3" t="n">
        <v>4</v>
      </c>
      <c r="E27" s="3" t="n">
        <v>3.5</v>
      </c>
      <c r="F27" s="3" t="n">
        <v>3.5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23.4</v>
      </c>
      <c r="D28" s="3" t="n">
        <v>23.5</v>
      </c>
      <c r="E28" s="3" t="n">
        <v>23.6</v>
      </c>
      <c r="F28" s="3" t="n">
        <v>23.7</v>
      </c>
      <c r="G28" s="3" t="n">
        <v>23.8</v>
      </c>
      <c r="H28" s="3" t="n">
        <v>23.8</v>
      </c>
      <c r="I28" s="3" t="n">
        <v>23.8</v>
      </c>
      <c r="J28" s="3" t="n">
        <v>23.8</v>
      </c>
      <c r="K28" s="3" t="n">
        <v>23.8</v>
      </c>
      <c r="L28" s="3" t="n">
        <v>23.8</v>
      </c>
    </row>
    <row r="29" customFormat="false" ht="15" hidden="false" customHeight="false" outlineLevel="0" collapsed="false">
      <c r="A29" s="0" t="s">
        <v>99</v>
      </c>
      <c r="C29" s="3" t="n">
        <v>0.62</v>
      </c>
      <c r="D29" s="3" t="n">
        <v>0.62</v>
      </c>
      <c r="E29" s="3" t="n">
        <v>0.62</v>
      </c>
      <c r="F29" s="3" t="n">
        <v>0.62</v>
      </c>
      <c r="G29" s="3" t="n">
        <v>0.62</v>
      </c>
      <c r="H29" s="3" t="n">
        <v>0.62</v>
      </c>
      <c r="I29" s="3" t="n">
        <v>0.62</v>
      </c>
      <c r="J29" s="3" t="n">
        <v>0.62</v>
      </c>
      <c r="K29" s="3" t="n">
        <v>0.62</v>
      </c>
      <c r="L29" s="3" t="n">
        <v>0.62</v>
      </c>
    </row>
    <row r="30" customFormat="false" ht="15" hidden="false" customHeight="false" outlineLevel="0" collapsed="false">
      <c r="A30" s="0" t="s">
        <v>100</v>
      </c>
      <c r="C30" s="3" t="n">
        <v>3.2</v>
      </c>
      <c r="D30" s="3" t="n">
        <v>3.1</v>
      </c>
      <c r="E30" s="3" t="n">
        <v>3.05</v>
      </c>
      <c r="F30" s="3" t="n">
        <v>3</v>
      </c>
      <c r="G30" s="3" t="n">
        <v>2.95</v>
      </c>
      <c r="H30" s="3" t="n">
        <v>2.9</v>
      </c>
      <c r="I30" s="3" t="n">
        <v>2.9</v>
      </c>
      <c r="J30" s="3" t="n">
        <v>2.9</v>
      </c>
      <c r="K30" s="3" t="n">
        <v>2.9</v>
      </c>
      <c r="L30" s="3" t="n">
        <v>2.9</v>
      </c>
    </row>
    <row r="31" customFormat="false" ht="15" hidden="false" customHeight="false" outlineLevel="0" collapsed="false">
      <c r="A31" s="0" t="s">
        <v>101</v>
      </c>
      <c r="C31" s="3" t="n">
        <v>2.15</v>
      </c>
      <c r="D31" s="3" t="n">
        <v>2.2</v>
      </c>
      <c r="E31" s="3" t="n">
        <v>2.25</v>
      </c>
      <c r="F31" s="3" t="n">
        <v>2.3</v>
      </c>
      <c r="G31" s="3" t="n">
        <v>2.35</v>
      </c>
      <c r="H31" s="3" t="n">
        <v>2.4</v>
      </c>
      <c r="I31" s="3" t="n">
        <v>2.4</v>
      </c>
      <c r="J31" s="3" t="n">
        <v>2.4</v>
      </c>
      <c r="K31" s="3" t="n">
        <v>2.4</v>
      </c>
      <c r="L31" s="3" t="n">
        <v>2.4</v>
      </c>
    </row>
    <row r="32" customFormat="false" ht="15" hidden="false" customHeight="false" outlineLevel="0" collapsed="false">
      <c r="A32" s="0" t="s">
        <v>102</v>
      </c>
      <c r="C32" s="3" t="n">
        <v>3.3</v>
      </c>
      <c r="D32" s="3" t="n">
        <v>3.2</v>
      </c>
      <c r="E32" s="3" t="n">
        <v>3</v>
      </c>
      <c r="F32" s="3" t="n">
        <v>2.8</v>
      </c>
      <c r="G32" s="3" t="n">
        <v>2.7</v>
      </c>
      <c r="H32" s="3" t="n">
        <v>2.6</v>
      </c>
      <c r="I32" s="3" t="n">
        <v>2.6</v>
      </c>
      <c r="J32" s="3" t="n">
        <v>2.6</v>
      </c>
      <c r="K32" s="3" t="n">
        <v>2.6</v>
      </c>
      <c r="L32" s="3" t="n">
        <v>2.6</v>
      </c>
    </row>
    <row r="33" customFormat="false" ht="15" hidden="false" customHeight="false" outlineLevel="0" collapsed="false">
      <c r="A33" s="0" t="s">
        <v>103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104</v>
      </c>
      <c r="B34" s="3" t="n">
        <v>9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15</v>
      </c>
    </row>
    <row r="37" customFormat="false" ht="15" hidden="false" customHeight="false" outlineLevel="0" collapsed="false">
      <c r="A37" s="0" t="s">
        <v>107</v>
      </c>
      <c r="B37" s="3" t="n">
        <v>-10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5.5</v>
      </c>
      <c r="D41" s="3" t="n">
        <v>5.5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23.5</v>
      </c>
      <c r="D42" s="3" t="n">
        <v>23.8</v>
      </c>
      <c r="E42" s="3" t="n">
        <v>24.1</v>
      </c>
      <c r="F42" s="3" t="n">
        <v>24.4</v>
      </c>
      <c r="G42" s="3" t="n">
        <v>24.6</v>
      </c>
      <c r="H42" s="3" t="n">
        <v>24.8</v>
      </c>
      <c r="I42" s="3" t="n">
        <v>25</v>
      </c>
      <c r="J42" s="3" t="n">
        <v>25</v>
      </c>
      <c r="K42" s="3" t="n">
        <v>25</v>
      </c>
      <c r="L42" s="3" t="n">
        <v>25</v>
      </c>
    </row>
    <row r="43" customFormat="false" ht="15" hidden="false" customHeight="false" outlineLevel="0" collapsed="false">
      <c r="A43" s="0" t="s">
        <v>99</v>
      </c>
      <c r="C43" s="3" t="n">
        <v>0.62</v>
      </c>
      <c r="D43" s="3" t="n">
        <v>0.62</v>
      </c>
      <c r="E43" s="3" t="n">
        <v>0.62</v>
      </c>
      <c r="F43" s="3" t="n">
        <v>0.62</v>
      </c>
      <c r="G43" s="3" t="n">
        <v>0.62</v>
      </c>
      <c r="H43" s="3" t="n">
        <v>0.62</v>
      </c>
      <c r="I43" s="3" t="n">
        <v>0.62</v>
      </c>
      <c r="J43" s="3" t="n">
        <v>0.62</v>
      </c>
      <c r="K43" s="3" t="n">
        <v>0.62</v>
      </c>
      <c r="L43" s="3" t="n">
        <v>0.62</v>
      </c>
    </row>
    <row r="44" customFormat="false" ht="15" hidden="false" customHeight="false" outlineLevel="0" collapsed="false">
      <c r="A44" s="0" t="s">
        <v>100</v>
      </c>
      <c r="C44" s="3" t="n">
        <v>3.2</v>
      </c>
      <c r="D44" s="3" t="n">
        <v>3.05</v>
      </c>
      <c r="E44" s="3" t="n">
        <v>2.95</v>
      </c>
      <c r="F44" s="3" t="n">
        <v>2.85</v>
      </c>
      <c r="G44" s="3" t="n">
        <v>2.75</v>
      </c>
      <c r="H44" s="3" t="n">
        <v>2.7</v>
      </c>
      <c r="I44" s="3" t="n">
        <v>2.65</v>
      </c>
      <c r="J44" s="3" t="n">
        <v>2.6</v>
      </c>
      <c r="K44" s="3" t="n">
        <v>2.6</v>
      </c>
      <c r="L44" s="3" t="n">
        <v>2.6</v>
      </c>
    </row>
    <row r="45" customFormat="false" ht="15" hidden="false" customHeight="false" outlineLevel="0" collapsed="false">
      <c r="A45" s="0" t="s">
        <v>101</v>
      </c>
      <c r="C45" s="3" t="n">
        <v>2.15</v>
      </c>
      <c r="D45" s="3" t="n">
        <v>2.2</v>
      </c>
      <c r="E45" s="3" t="n">
        <v>2.25</v>
      </c>
      <c r="F45" s="3" t="n">
        <v>2.3</v>
      </c>
      <c r="G45" s="3" t="n">
        <v>2.35</v>
      </c>
      <c r="H45" s="3" t="n">
        <v>2.4</v>
      </c>
      <c r="I45" s="3" t="n">
        <v>2.4</v>
      </c>
      <c r="J45" s="3" t="n">
        <v>2.4</v>
      </c>
      <c r="K45" s="3" t="n">
        <v>2.4</v>
      </c>
      <c r="L45" s="3" t="n">
        <v>2.4</v>
      </c>
    </row>
    <row r="46" customFormat="false" ht="15" hidden="false" customHeight="false" outlineLevel="0" collapsed="false">
      <c r="A46" s="0" t="s">
        <v>102</v>
      </c>
      <c r="C46" s="3" t="n">
        <v>3.3</v>
      </c>
      <c r="D46" s="3" t="n">
        <v>3.2</v>
      </c>
      <c r="E46" s="3" t="n">
        <v>3</v>
      </c>
      <c r="F46" s="3" t="n">
        <v>2.8</v>
      </c>
      <c r="G46" s="3" t="n">
        <v>2.6</v>
      </c>
      <c r="H46" s="3" t="n">
        <v>2.5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103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104</v>
      </c>
      <c r="B48" s="3" t="n">
        <v>9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15</v>
      </c>
    </row>
    <row r="51" customFormat="false" ht="15" hidden="false" customHeight="false" outlineLevel="0" collapsed="false">
      <c r="A51" s="0" t="s">
        <v>107</v>
      </c>
      <c r="B51" s="3" t="n">
        <v>-10</v>
      </c>
    </row>
    <row r="52" customFormat="false" ht="15" hidden="false" customHeight="false" outlineLevel="0" collapsed="false">
      <c r="A52" s="0" t="s">
        <v>108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4</v>
      </c>
      <c r="D5" s="4" t="n">
        <f aca="false">Assumptions!D13</f>
        <v>1</v>
      </c>
      <c r="E5" s="4" t="n">
        <f aca="false">Assumptions!E13</f>
        <v>0.5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6901.3</v>
      </c>
      <c r="C6" s="0" t="n">
        <f aca="false">B6*(1+C5/100)</f>
        <v>7177.352</v>
      </c>
      <c r="D6" s="0" t="n">
        <f aca="false">C6*(1+D5/100)</f>
        <v>7249.12552</v>
      </c>
      <c r="E6" s="0" t="n">
        <f aca="false">D6*(1+E5/100)</f>
        <v>7285.3711476</v>
      </c>
      <c r="F6" s="0" t="n">
        <f aca="false">E6*(1+F5/100)</f>
        <v>7358.224859076</v>
      </c>
      <c r="G6" s="0" t="n">
        <f aca="false">F6*(1+G5/100)</f>
        <v>7468.59823196214</v>
      </c>
      <c r="H6" s="0" t="n">
        <f aca="false">G6*(1+H5/100)</f>
        <v>7580.62720544157</v>
      </c>
      <c r="I6" s="0" t="n">
        <f aca="false">H6*(1+I5/100)</f>
        <v>7732.2397495504</v>
      </c>
      <c r="J6" s="0" t="n">
        <f aca="false">I6*(1+J5/100)</f>
        <v>7886.88454454141</v>
      </c>
      <c r="K6" s="0" t="n">
        <f aca="false">J6*(1+K5/100)</f>
        <v>8044.62223543224</v>
      </c>
      <c r="L6" s="0" t="n">
        <f aca="false">K6*(1+L5/100)</f>
        <v>8205.51468014088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23.2</v>
      </c>
      <c r="D7" s="4" t="n">
        <f aca="false">Assumptions!D14</f>
        <v>22.6</v>
      </c>
      <c r="E7" s="4" t="n">
        <f aca="false">Assumptions!E14</f>
        <v>22</v>
      </c>
      <c r="F7" s="4" t="n">
        <f aca="false">Assumptions!F14</f>
        <v>21.6</v>
      </c>
      <c r="G7" s="4" t="n">
        <f aca="false">Assumptions!G14</f>
        <v>21.3</v>
      </c>
      <c r="H7" s="4" t="n">
        <f aca="false">Assumptions!H14</f>
        <v>21</v>
      </c>
      <c r="I7" s="4" t="n">
        <f aca="false">Assumptions!I14</f>
        <v>21</v>
      </c>
      <c r="J7" s="4" t="n">
        <f aca="false">Assumptions!J14</f>
        <v>21</v>
      </c>
      <c r="K7" s="4" t="n">
        <f aca="false">Assumptions!K14</f>
        <v>21</v>
      </c>
      <c r="L7" s="4" t="n">
        <f aca="false">Assumptions!L14</f>
        <v>21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1665.145664</v>
      </c>
      <c r="D8" s="0" t="n">
        <f aca="false">D6*D7/100</f>
        <v>1638.30236752</v>
      </c>
      <c r="E8" s="0" t="n">
        <f aca="false">E6*E7/100</f>
        <v>1602.781652472</v>
      </c>
      <c r="F8" s="0" t="n">
        <f aca="false">F6*F7/100</f>
        <v>1589.37656956042</v>
      </c>
      <c r="G8" s="0" t="n">
        <f aca="false">G6*G7/100</f>
        <v>1590.81142340794</v>
      </c>
      <c r="H8" s="0" t="n">
        <f aca="false">H6*H7/100</f>
        <v>1591.93171314273</v>
      </c>
      <c r="I8" s="0" t="n">
        <f aca="false">I6*I7/100</f>
        <v>1623.77034740558</v>
      </c>
      <c r="J8" s="0" t="n">
        <f aca="false">J6*J7/100</f>
        <v>1656.2457543537</v>
      </c>
      <c r="K8" s="0" t="n">
        <f aca="false">K6*K7/100</f>
        <v>1689.37066944077</v>
      </c>
      <c r="L8" s="0" t="n">
        <f aca="false">L6*L7/100</f>
        <v>1723.15808282959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0.62</v>
      </c>
      <c r="D9" s="4" t="n">
        <f aca="false">Assumptions!D15</f>
        <v>0.62</v>
      </c>
      <c r="E9" s="4" t="n">
        <f aca="false">Assumptions!E15</f>
        <v>0.62</v>
      </c>
      <c r="F9" s="4" t="n">
        <f aca="false">Assumptions!F15</f>
        <v>0.62</v>
      </c>
      <c r="G9" s="4" t="n">
        <f aca="false">Assumptions!G15</f>
        <v>0.62</v>
      </c>
      <c r="H9" s="4" t="n">
        <f aca="false">Assumptions!H15</f>
        <v>0.62</v>
      </c>
      <c r="I9" s="4" t="n">
        <f aca="false">Assumptions!I15</f>
        <v>0.62</v>
      </c>
      <c r="J9" s="4" t="n">
        <f aca="false">Assumptions!J15</f>
        <v>0.62</v>
      </c>
      <c r="K9" s="4" t="n">
        <f aca="false">Assumptions!K15</f>
        <v>0.62</v>
      </c>
      <c r="L9" s="4" t="n">
        <f aca="false">Assumptions!L15</f>
        <v>0.62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-44.4995824</v>
      </c>
      <c r="D10" s="0" t="n">
        <f aca="false">-D6*D9/100</f>
        <v>-44.944578224</v>
      </c>
      <c r="E10" s="0" t="n">
        <f aca="false">-E6*E9/100</f>
        <v>-45.16930111512</v>
      </c>
      <c r="F10" s="0" t="n">
        <f aca="false">-F6*F9/100</f>
        <v>-45.6209941262712</v>
      </c>
      <c r="G10" s="0" t="n">
        <f aca="false">-G6*G9/100</f>
        <v>-46.3053090381653</v>
      </c>
      <c r="H10" s="0" t="n">
        <f aca="false">-H6*H9/100</f>
        <v>-46.9998886737377</v>
      </c>
      <c r="I10" s="0" t="n">
        <f aca="false">-I6*I9/100</f>
        <v>-47.9398864472125</v>
      </c>
      <c r="J10" s="0" t="n">
        <f aca="false">-J6*J9/100</f>
        <v>-48.8986841761567</v>
      </c>
      <c r="K10" s="0" t="n">
        <f aca="false">-K6*K9/100</f>
        <v>-49.8766578596799</v>
      </c>
      <c r="L10" s="0" t="n">
        <f aca="false">-L6*L9/100</f>
        <v>-50.8741910168735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1387.3821416</v>
      </c>
      <c r="D11" s="0" t="n">
        <f aca="false">D8+D10+D24</f>
        <v>1354.136647136</v>
      </c>
      <c r="E11" s="0" t="n">
        <f aca="false">E8+E10+E24</f>
        <v>1313.55241791228</v>
      </c>
      <c r="F11" s="0" t="n">
        <f aca="false">F8+F10+F24</f>
        <v>1297.2550426551</v>
      </c>
      <c r="G11" s="0" t="n">
        <f aca="false">G8+G10+G24</f>
        <v>1294.30807359904</v>
      </c>
      <c r="H11" s="0" t="n">
        <f aca="false">H8+H10+H24</f>
        <v>1294.77112668942</v>
      </c>
      <c r="I11" s="0" t="n">
        <f aca="false">I8+I10+I24</f>
        <v>1320.66654922321</v>
      </c>
      <c r="J11" s="0" t="n">
        <f aca="false">J8+J10+J24</f>
        <v>1347.07988020767</v>
      </c>
      <c r="K11" s="0" t="n">
        <f aca="false">K8+K10+K24</f>
        <v>1374.02147781183</v>
      </c>
      <c r="L11" s="0" t="n">
        <f aca="false">L8+L10+L24</f>
        <v>1401.50190736806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-154.313068</v>
      </c>
      <c r="D12" s="4" t="n">
        <f aca="false">-D6*Assumptions!D17/100</f>
        <v>-163.1053242</v>
      </c>
      <c r="E12" s="4" t="n">
        <f aca="false">-E6*Assumptions!E17/100</f>
        <v>-171.2062219686</v>
      </c>
      <c r="F12" s="4" t="n">
        <f aca="false">-F6*Assumptions!F17/100</f>
        <v>-176.597396617824</v>
      </c>
      <c r="G12" s="4" t="n">
        <f aca="false">-G6*Assumptions!G17/100</f>
        <v>-182.980656683072</v>
      </c>
      <c r="H12" s="4" t="n">
        <f aca="false">-H6*Assumptions!H17/100</f>
        <v>-189.515680136039</v>
      </c>
      <c r="I12" s="4" t="n">
        <f aca="false">-I6*Assumptions!I17/100</f>
        <v>-193.30599373876</v>
      </c>
      <c r="J12" s="4" t="n">
        <f aca="false">-J6*Assumptions!J17/100</f>
        <v>-197.172113613535</v>
      </c>
      <c r="K12" s="4" t="n">
        <f aca="false">-K6*Assumptions!K17/100</f>
        <v>-201.115555885806</v>
      </c>
      <c r="L12" s="4" t="n">
        <f aca="false">-L6*Assumptions!L17/100</f>
        <v>-205.137867003522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1233.0690736</v>
      </c>
      <c r="D13" s="0" t="n">
        <f aca="false">D11+D12</f>
        <v>1191.031322936</v>
      </c>
      <c r="E13" s="0" t="n">
        <f aca="false">E11+E12</f>
        <v>1142.34619594368</v>
      </c>
      <c r="F13" s="0" t="n">
        <f aca="false">F11+F12</f>
        <v>1120.65764603727</v>
      </c>
      <c r="G13" s="0" t="n">
        <f aca="false">G11+G12</f>
        <v>1111.32741691597</v>
      </c>
      <c r="H13" s="0" t="n">
        <f aca="false">H11+H12</f>
        <v>1105.25544655338</v>
      </c>
      <c r="I13" s="0" t="n">
        <f aca="false">I11+I12</f>
        <v>1127.36055548445</v>
      </c>
      <c r="J13" s="0" t="n">
        <f aca="false">J11+J12</f>
        <v>1149.90776659414</v>
      </c>
      <c r="K13" s="0" t="n">
        <f aca="false">K11+K12</f>
        <v>1172.90592192602</v>
      </c>
      <c r="L13" s="0" t="n">
        <f aca="false">L11+L12</f>
        <v>1196.36404036454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924.8018052</v>
      </c>
      <c r="D15" s="0" t="n">
        <f aca="false">D13-MAX(0,D13)*D14/100</f>
        <v>893.273492202</v>
      </c>
      <c r="E15" s="0" t="n">
        <f aca="false">E13-MAX(0,E13)*E14/100</f>
        <v>856.75964695776</v>
      </c>
      <c r="F15" s="0" t="n">
        <f aca="false">F13-MAX(0,F13)*F14/100</f>
        <v>840.493234527956</v>
      </c>
      <c r="G15" s="0" t="n">
        <f aca="false">G13-MAX(0,G13)*G14/100</f>
        <v>833.495562686975</v>
      </c>
      <c r="H15" s="0" t="n">
        <f aca="false">H13-MAX(0,H13)*H14/100</f>
        <v>828.941584915036</v>
      </c>
      <c r="I15" s="0" t="n">
        <f aca="false">I13-MAX(0,I13)*I14/100</f>
        <v>845.520416613337</v>
      </c>
      <c r="J15" s="0" t="n">
        <f aca="false">J13-MAX(0,J13)*J14/100</f>
        <v>862.430824945603</v>
      </c>
      <c r="K15" s="0" t="n">
        <f aca="false">K13-MAX(0,K13)*K14/100</f>
        <v>879.679441444515</v>
      </c>
      <c r="L15" s="0" t="n">
        <f aca="false">L13-MAX(0,L13)*L14/100</f>
        <v>897.273030273406</v>
      </c>
    </row>
    <row r="16" customFormat="false" ht="15" hidden="false" customHeight="false" outlineLevel="0" collapsed="false">
      <c r="A16" s="0" t="s">
        <v>119</v>
      </c>
      <c r="C16" s="0" t="n">
        <f aca="false">-C12</f>
        <v>154.313068</v>
      </c>
      <c r="D16" s="0" t="n">
        <f aca="false">-D12</f>
        <v>163.1053242</v>
      </c>
      <c r="E16" s="0" t="n">
        <f aca="false">-E12</f>
        <v>171.2062219686</v>
      </c>
      <c r="F16" s="0" t="n">
        <f aca="false">-F12</f>
        <v>176.597396617824</v>
      </c>
      <c r="G16" s="0" t="n">
        <f aca="false">-G12</f>
        <v>182.980656683072</v>
      </c>
      <c r="H16" s="0" t="n">
        <f aca="false">-H12</f>
        <v>189.515680136039</v>
      </c>
      <c r="I16" s="0" t="n">
        <f aca="false">-I12</f>
        <v>193.30599373876</v>
      </c>
      <c r="J16" s="0" t="n">
        <f aca="false">-J12</f>
        <v>197.172113613535</v>
      </c>
      <c r="K16" s="0" t="n">
        <f aca="false">-K12</f>
        <v>201.115555885806</v>
      </c>
      <c r="L16" s="0" t="n">
        <f aca="false">-L12</f>
        <v>205.137867003522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-236.852616</v>
      </c>
      <c r="D17" s="4" t="n">
        <f aca="false">-D6*Assumptions!D18/100</f>
        <v>-231.97201664</v>
      </c>
      <c r="E17" s="4" t="n">
        <f aca="false">-E6*Assumptions!E18/100</f>
        <v>-218.561134428</v>
      </c>
      <c r="F17" s="4" t="n">
        <f aca="false">-F6*Assumptions!F18/100</f>
        <v>-206.030296054128</v>
      </c>
      <c r="G17" s="4" t="n">
        <f aca="false">-G6*Assumptions!G18/100</f>
        <v>-201.652152262978</v>
      </c>
      <c r="H17" s="4" t="n">
        <f aca="false">-H6*Assumptions!H18/100</f>
        <v>-204.676934546922</v>
      </c>
      <c r="I17" s="4" t="n">
        <f aca="false">-I6*Assumptions!I18/100</f>
        <v>-208.770473237861</v>
      </c>
      <c r="J17" s="4" t="n">
        <f aca="false">-J6*Assumptions!J18/100</f>
        <v>-212.945882702618</v>
      </c>
      <c r="K17" s="4" t="n">
        <f aca="false">-K6*Assumptions!K18/100</f>
        <v>-217.20480035667</v>
      </c>
      <c r="L17" s="4" t="n">
        <f aca="false">-L6*Assumptions!L18/100</f>
        <v>-221.548896363804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-27.6052000000001</v>
      </c>
      <c r="D18" s="4" t="n">
        <f aca="false">(D6-C6)*Assumptions!$B$23/100</f>
        <v>-7.17735199999997</v>
      </c>
      <c r="E18" s="4" t="n">
        <f aca="false">(E6-D6)*Assumptions!$B$23/100</f>
        <v>-3.62456275999994</v>
      </c>
      <c r="F18" s="4" t="n">
        <f aca="false">(F6-E6)*Assumptions!$B$23/100</f>
        <v>-7.28537114760002</v>
      </c>
      <c r="G18" s="4" t="n">
        <f aca="false">(G6-F6)*Assumptions!$B$23/100</f>
        <v>-11.0373372886139</v>
      </c>
      <c r="H18" s="4" t="n">
        <f aca="false">(H6-G6)*Assumptions!$B$23/100</f>
        <v>-11.2028973479431</v>
      </c>
      <c r="I18" s="4" t="n">
        <f aca="false">(I6-H6)*Assumptions!$B$23/100</f>
        <v>-15.1612544108832</v>
      </c>
      <c r="J18" s="4" t="n">
        <f aca="false">(J6-I6)*Assumptions!$B$23/100</f>
        <v>-15.4644794991008</v>
      </c>
      <c r="K18" s="4" t="n">
        <f aca="false">(K6-J6)*Assumptions!$B$23/100</f>
        <v>-15.7737690890828</v>
      </c>
      <c r="L18" s="4" t="n">
        <f aca="false">(L6-K6)*Assumptions!$B$23/100</f>
        <v>-16.0892444708645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814.6570572</v>
      </c>
      <c r="D19" s="0" t="n">
        <f aca="false">D15+D16+D17+D18</f>
        <v>817.229447762</v>
      </c>
      <c r="E19" s="0" t="n">
        <f aca="false">E15+E16+E17+E18</f>
        <v>805.78017173836</v>
      </c>
      <c r="F19" s="0" t="n">
        <f aca="false">F15+F16+F17+F18</f>
        <v>803.774963944052</v>
      </c>
      <c r="G19" s="0" t="n">
        <f aca="false">G15+G16+G17+G18</f>
        <v>803.786729818456</v>
      </c>
      <c r="H19" s="0" t="n">
        <f aca="false">H15+H16+H17+H18</f>
        <v>802.577433156209</v>
      </c>
      <c r="I19" s="0" t="n">
        <f aca="false">I15+I16+I17+I18</f>
        <v>814.894682703352</v>
      </c>
      <c r="J19" s="0" t="n">
        <f aca="false">J15+J16+J17+J18</f>
        <v>831.192576357419</v>
      </c>
      <c r="K19" s="0" t="n">
        <f aca="false">K15+K16+K17+K18</f>
        <v>847.816427884568</v>
      </c>
      <c r="L19" s="0" t="n">
        <f aca="false">L15+L16+L17+L18</f>
        <v>864.772756442259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747.39179559633</v>
      </c>
      <c r="D21" s="0" t="n">
        <f aca="false">D19*D20</f>
        <v>687.845676089555</v>
      </c>
      <c r="E21" s="0" t="n">
        <f aca="false">E19*E20</f>
        <v>622.210137177129</v>
      </c>
      <c r="F21" s="0" t="n">
        <f aca="false">F19*F20</f>
        <v>569.414448480986</v>
      </c>
      <c r="G21" s="0" t="n">
        <f aca="false">G19*G20</f>
        <v>522.406223599122</v>
      </c>
      <c r="H21" s="0" t="n">
        <f aca="false">H19*H20</f>
        <v>478.550700681635</v>
      </c>
      <c r="I21" s="0" t="n">
        <f aca="false">I19*I20</f>
        <v>445.775297379463</v>
      </c>
      <c r="J21" s="0" t="n">
        <f aca="false">J19*J20</f>
        <v>417.147525988121</v>
      </c>
      <c r="K21" s="0" t="n">
        <f aca="false">K19*K20</f>
        <v>390.358235328334</v>
      </c>
      <c r="L21" s="0" t="n">
        <f aca="false">L19*L20</f>
        <v>365.289357830184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3.25</v>
      </c>
      <c r="D23" s="4" t="n">
        <f aca="false">Assumptions!D16</f>
        <v>3.3</v>
      </c>
      <c r="E23" s="4" t="n">
        <f aca="false">Assumptions!E16</f>
        <v>3.35</v>
      </c>
      <c r="F23" s="4" t="n">
        <f aca="false">Assumptions!F16</f>
        <v>3.35</v>
      </c>
      <c r="G23" s="4" t="n">
        <f aca="false">Assumptions!G16</f>
        <v>3.35</v>
      </c>
      <c r="H23" s="4" t="n">
        <f aca="false">Assumptions!H16</f>
        <v>3.3</v>
      </c>
      <c r="I23" s="4" t="n">
        <f aca="false">Assumptions!I16</f>
        <v>3.3</v>
      </c>
      <c r="J23" s="4" t="n">
        <f aca="false">Assumptions!J16</f>
        <v>3.3</v>
      </c>
      <c r="K23" s="4" t="n">
        <f aca="false">Assumptions!K16</f>
        <v>3.3</v>
      </c>
      <c r="L23" s="4" t="n">
        <f aca="false">Assumptions!L16</f>
        <v>3.3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-233.26394</v>
      </c>
      <c r="D24" s="0" t="n">
        <f aca="false">-D6*D23/100</f>
        <v>-239.22114216</v>
      </c>
      <c r="E24" s="0" t="n">
        <f aca="false">-E6*E23/100</f>
        <v>-244.0599334446</v>
      </c>
      <c r="F24" s="0" t="n">
        <f aca="false">-F6*F23/100</f>
        <v>-246.500532779046</v>
      </c>
      <c r="G24" s="0" t="n">
        <f aca="false">-G6*G23/100</f>
        <v>-250.198040770732</v>
      </c>
      <c r="H24" s="0" t="n">
        <f aca="false">-H6*H23/100</f>
        <v>-250.160697779572</v>
      </c>
      <c r="I24" s="0" t="n">
        <f aca="false">-I6*I23/100</f>
        <v>-255.163911735163</v>
      </c>
      <c r="J24" s="0" t="n">
        <f aca="false">-J6*J23/100</f>
        <v>-260.267189969867</v>
      </c>
      <c r="K24" s="0" t="n">
        <f aca="false">-K6*K23/100</f>
        <v>-265.472533769264</v>
      </c>
      <c r="L24" s="0" t="n">
        <f aca="false">-L6*L23/100</f>
        <v>-270.781984444649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5246.38939815086</v>
      </c>
    </row>
    <row r="31" customFormat="false" ht="15" hidden="false" customHeight="false" outlineLevel="0" collapsed="false">
      <c r="A31" s="0" t="s">
        <v>128</v>
      </c>
      <c r="B31" s="0" t="n">
        <f aca="false">L19</f>
        <v>864.772756442259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11703.2579705186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11242.0458337494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11242.0458337494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4748.76165179239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9995.15104994325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9164.45104994325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7837.55327969148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-0.466833110225069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299.191846644775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290.82873598356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8342.1462691966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6501.80998362143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4166.24612086828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4.6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6901.3</v>
      </c>
      <c r="C6" s="0" t="n">
        <f aca="false">B6*(1+C5/100)</f>
        <v>7218.7598</v>
      </c>
      <c r="D6" s="0" t="n">
        <f aca="false">C6*(1+D5/100)</f>
        <v>7507.510192</v>
      </c>
      <c r="E6" s="0" t="n">
        <f aca="false">D6*(1+E5/100)</f>
        <v>7770.27304872</v>
      </c>
      <c r="F6" s="0" t="n">
        <f aca="false">E6*(1+F5/100)</f>
        <v>8042.2326054252</v>
      </c>
      <c r="G6" s="0" t="n">
        <f aca="false">F6*(1+G5/100)</f>
        <v>8283.49958358795</v>
      </c>
      <c r="H6" s="0" t="n">
        <f aca="false">G6*(1+H5/100)</f>
        <v>8532.00457109559</v>
      </c>
      <c r="I6" s="0" t="n">
        <f aca="false">H6*(1+I5/100)</f>
        <v>8745.30468537298</v>
      </c>
      <c r="J6" s="0" t="n">
        <f aca="false">I6*(1+J5/100)</f>
        <v>8963.93730250731</v>
      </c>
      <c r="K6" s="0" t="n">
        <f aca="false">J6*(1+K5/100)</f>
        <v>9188.03573506999</v>
      </c>
      <c r="L6" s="0" t="n">
        <f aca="false">K6*(1+L5/100)</f>
        <v>9417.73662844674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23.4</v>
      </c>
      <c r="D7" s="4" t="n">
        <f aca="false">Assumptions!D28</f>
        <v>23.5</v>
      </c>
      <c r="E7" s="4" t="n">
        <f aca="false">Assumptions!E28</f>
        <v>23.6</v>
      </c>
      <c r="F7" s="4" t="n">
        <f aca="false">Assumptions!F28</f>
        <v>23.7</v>
      </c>
      <c r="G7" s="4" t="n">
        <f aca="false">Assumptions!G28</f>
        <v>23.8</v>
      </c>
      <c r="H7" s="4" t="n">
        <f aca="false">Assumptions!H28</f>
        <v>23.8</v>
      </c>
      <c r="I7" s="4" t="n">
        <f aca="false">Assumptions!I28</f>
        <v>23.8</v>
      </c>
      <c r="J7" s="4" t="n">
        <f aca="false">Assumptions!J28</f>
        <v>23.8</v>
      </c>
      <c r="K7" s="4" t="n">
        <f aca="false">Assumptions!K28</f>
        <v>23.8</v>
      </c>
      <c r="L7" s="4" t="n">
        <f aca="false">Assumptions!L28</f>
        <v>23.8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1689.1897932</v>
      </c>
      <c r="D8" s="0" t="n">
        <f aca="false">D6*D7/100</f>
        <v>1764.26489512</v>
      </c>
      <c r="E8" s="0" t="n">
        <f aca="false">E6*E7/100</f>
        <v>1833.78443949792</v>
      </c>
      <c r="F8" s="0" t="n">
        <f aca="false">F6*F7/100</f>
        <v>1906.00912748577</v>
      </c>
      <c r="G8" s="0" t="n">
        <f aca="false">G6*G7/100</f>
        <v>1971.47290089393</v>
      </c>
      <c r="H8" s="0" t="n">
        <f aca="false">H6*H7/100</f>
        <v>2030.61708792075</v>
      </c>
      <c r="I8" s="0" t="n">
        <f aca="false">I6*I7/100</f>
        <v>2081.38251511877</v>
      </c>
      <c r="J8" s="0" t="n">
        <f aca="false">J6*J7/100</f>
        <v>2133.41707799674</v>
      </c>
      <c r="K8" s="0" t="n">
        <f aca="false">K6*K7/100</f>
        <v>2186.75250494666</v>
      </c>
      <c r="L8" s="0" t="n">
        <f aca="false">L6*L7/100</f>
        <v>2241.42131757032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0.62</v>
      </c>
      <c r="D9" s="4" t="n">
        <f aca="false">Assumptions!D29</f>
        <v>0.62</v>
      </c>
      <c r="E9" s="4" t="n">
        <f aca="false">Assumptions!E29</f>
        <v>0.62</v>
      </c>
      <c r="F9" s="4" t="n">
        <f aca="false">Assumptions!F29</f>
        <v>0.62</v>
      </c>
      <c r="G9" s="4" t="n">
        <f aca="false">Assumptions!G29</f>
        <v>0.62</v>
      </c>
      <c r="H9" s="4" t="n">
        <f aca="false">Assumptions!H29</f>
        <v>0.62</v>
      </c>
      <c r="I9" s="4" t="n">
        <f aca="false">Assumptions!I29</f>
        <v>0.62</v>
      </c>
      <c r="J9" s="4" t="n">
        <f aca="false">Assumptions!J29</f>
        <v>0.62</v>
      </c>
      <c r="K9" s="4" t="n">
        <f aca="false">Assumptions!K29</f>
        <v>0.62</v>
      </c>
      <c r="L9" s="4" t="n">
        <f aca="false">Assumptions!L29</f>
        <v>0.62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-44.75631076</v>
      </c>
      <c r="D10" s="0" t="n">
        <f aca="false">-D6*D9/100</f>
        <v>-46.5465631904</v>
      </c>
      <c r="E10" s="0" t="n">
        <f aca="false">-E6*E9/100</f>
        <v>-48.175692902064</v>
      </c>
      <c r="F10" s="0" t="n">
        <f aca="false">-F6*F9/100</f>
        <v>-49.8618421536362</v>
      </c>
      <c r="G10" s="0" t="n">
        <f aca="false">-G6*G9/100</f>
        <v>-51.3576974182453</v>
      </c>
      <c r="H10" s="0" t="n">
        <f aca="false">-H6*H9/100</f>
        <v>-52.8984283407927</v>
      </c>
      <c r="I10" s="0" t="n">
        <f aca="false">-I6*I9/100</f>
        <v>-54.2208890493125</v>
      </c>
      <c r="J10" s="0" t="n">
        <f aca="false">-J6*J9/100</f>
        <v>-55.5764112755453</v>
      </c>
      <c r="K10" s="0" t="n">
        <f aca="false">-K6*K9/100</f>
        <v>-56.9658215574339</v>
      </c>
      <c r="L10" s="0" t="n">
        <f aca="false">-L6*L9/100</f>
        <v>-58.3899670963698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1413.43316884</v>
      </c>
      <c r="D11" s="0" t="n">
        <f aca="false">D8+D10+D24</f>
        <v>1484.9855159776</v>
      </c>
      <c r="E11" s="0" t="n">
        <f aca="false">E8+E10+E24</f>
        <v>1548.6154186099</v>
      </c>
      <c r="F11" s="0" t="n">
        <f aca="false">F8+F10+F24</f>
        <v>1614.88030716938</v>
      </c>
      <c r="G11" s="0" t="n">
        <f aca="false">G8+G10+G24</f>
        <v>1675.75196575984</v>
      </c>
      <c r="H11" s="0" t="n">
        <f aca="false">H8+H10+H24</f>
        <v>1730.29052701819</v>
      </c>
      <c r="I11" s="0" t="n">
        <f aca="false">I8+I10+I24</f>
        <v>1773.54779019364</v>
      </c>
      <c r="J11" s="0" t="n">
        <f aca="false">J8+J10+J24</f>
        <v>1817.88648494848</v>
      </c>
      <c r="K11" s="0" t="n">
        <f aca="false">K8+K10+K24</f>
        <v>1863.33364707219</v>
      </c>
      <c r="L11" s="0" t="n">
        <f aca="false">L8+L10+L24</f>
        <v>1909.916988249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-155.2033357</v>
      </c>
      <c r="D12" s="4" t="n">
        <f aca="false">-D6*Assumptions!D31/100</f>
        <v>-165.165224224</v>
      </c>
      <c r="E12" s="4" t="n">
        <f aca="false">-E6*Assumptions!E31/100</f>
        <v>-174.8311435962</v>
      </c>
      <c r="F12" s="4" t="n">
        <f aca="false">-F6*Assumptions!F31/100</f>
        <v>-184.97134992478</v>
      </c>
      <c r="G12" s="4" t="n">
        <f aca="false">-G6*Assumptions!G31/100</f>
        <v>-194.662240214317</v>
      </c>
      <c r="H12" s="4" t="n">
        <f aca="false">-H6*Assumptions!H31/100</f>
        <v>-204.768109706294</v>
      </c>
      <c r="I12" s="4" t="n">
        <f aca="false">-I6*Assumptions!I31/100</f>
        <v>-209.887312448952</v>
      </c>
      <c r="J12" s="4" t="n">
        <f aca="false">-J6*Assumptions!J31/100</f>
        <v>-215.134495260175</v>
      </c>
      <c r="K12" s="4" t="n">
        <f aca="false">-K6*Assumptions!K31/100</f>
        <v>-220.51285764168</v>
      </c>
      <c r="L12" s="4" t="n">
        <f aca="false">-L6*Assumptions!L31/100</f>
        <v>-226.025679082722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1258.22983314</v>
      </c>
      <c r="D13" s="0" t="n">
        <f aca="false">D11+D12</f>
        <v>1319.8202917536</v>
      </c>
      <c r="E13" s="0" t="n">
        <f aca="false">E11+E12</f>
        <v>1373.7842750137</v>
      </c>
      <c r="F13" s="0" t="n">
        <f aca="false">F11+F12</f>
        <v>1429.9089572446</v>
      </c>
      <c r="G13" s="0" t="n">
        <f aca="false">G11+G12</f>
        <v>1481.08972554553</v>
      </c>
      <c r="H13" s="0" t="n">
        <f aca="false">H11+H12</f>
        <v>1525.52241731189</v>
      </c>
      <c r="I13" s="0" t="n">
        <f aca="false">I11+I12</f>
        <v>1563.66047774469</v>
      </c>
      <c r="J13" s="0" t="n">
        <f aca="false">J11+J12</f>
        <v>1602.75198968831</v>
      </c>
      <c r="K13" s="0" t="n">
        <f aca="false">K11+K12</f>
        <v>1642.82078943051</v>
      </c>
      <c r="L13" s="0" t="n">
        <f aca="false">L11+L12</f>
        <v>1683.89130916628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943.672374855</v>
      </c>
      <c r="D15" s="0" t="n">
        <f aca="false">D13-MAX(0,D13)*D14/100</f>
        <v>989.8652188152</v>
      </c>
      <c r="E15" s="0" t="n">
        <f aca="false">E13-MAX(0,E13)*E14/100</f>
        <v>1030.33820626027</v>
      </c>
      <c r="F15" s="0" t="n">
        <f aca="false">F13-MAX(0,F13)*F14/100</f>
        <v>1072.43171793345</v>
      </c>
      <c r="G15" s="0" t="n">
        <f aca="false">G13-MAX(0,G13)*G14/100</f>
        <v>1110.81729415914</v>
      </c>
      <c r="H15" s="0" t="n">
        <f aca="false">H13-MAX(0,H13)*H14/100</f>
        <v>1144.14181298392</v>
      </c>
      <c r="I15" s="0" t="n">
        <f aca="false">I13-MAX(0,I13)*I14/100</f>
        <v>1172.74535830852</v>
      </c>
      <c r="J15" s="0" t="n">
        <f aca="false">J13-MAX(0,J13)*J14/100</f>
        <v>1202.06399226623</v>
      </c>
      <c r="K15" s="0" t="n">
        <f aca="false">K13-MAX(0,K13)*K14/100</f>
        <v>1232.11559207289</v>
      </c>
      <c r="L15" s="0" t="n">
        <f aca="false">L13-MAX(0,L13)*L14/100</f>
        <v>1262.91848187471</v>
      </c>
    </row>
    <row r="16" customFormat="false" ht="15" hidden="false" customHeight="false" outlineLevel="0" collapsed="false">
      <c r="A16" s="0" t="s">
        <v>119</v>
      </c>
      <c r="C16" s="0" t="n">
        <f aca="false">-C12</f>
        <v>155.2033357</v>
      </c>
      <c r="D16" s="0" t="n">
        <f aca="false">-D12</f>
        <v>165.165224224</v>
      </c>
      <c r="E16" s="0" t="n">
        <f aca="false">-E12</f>
        <v>174.8311435962</v>
      </c>
      <c r="F16" s="0" t="n">
        <f aca="false">-F12</f>
        <v>184.97134992478</v>
      </c>
      <c r="G16" s="0" t="n">
        <f aca="false">-G12</f>
        <v>194.662240214317</v>
      </c>
      <c r="H16" s="0" t="n">
        <f aca="false">-H12</f>
        <v>204.768109706294</v>
      </c>
      <c r="I16" s="0" t="n">
        <f aca="false">-I12</f>
        <v>209.887312448952</v>
      </c>
      <c r="J16" s="0" t="n">
        <f aca="false">-J12</f>
        <v>215.134495260175</v>
      </c>
      <c r="K16" s="0" t="n">
        <f aca="false">-K12</f>
        <v>220.51285764168</v>
      </c>
      <c r="L16" s="0" t="n">
        <f aca="false">-L12</f>
        <v>226.025679082722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-238.2190734</v>
      </c>
      <c r="D17" s="4" t="n">
        <f aca="false">-D6*Assumptions!D32/100</f>
        <v>-240.240326144</v>
      </c>
      <c r="E17" s="4" t="n">
        <f aca="false">-E6*Assumptions!E32/100</f>
        <v>-233.1081914616</v>
      </c>
      <c r="F17" s="4" t="n">
        <f aca="false">-F6*Assumptions!F32/100</f>
        <v>-225.182512951906</v>
      </c>
      <c r="G17" s="4" t="n">
        <f aca="false">-G6*Assumptions!G32/100</f>
        <v>-223.654488756875</v>
      </c>
      <c r="H17" s="4" t="n">
        <f aca="false">-H6*Assumptions!H32/100</f>
        <v>-221.832118848485</v>
      </c>
      <c r="I17" s="4" t="n">
        <f aca="false">-I6*Assumptions!I32/100</f>
        <v>-227.377921819698</v>
      </c>
      <c r="J17" s="4" t="n">
        <f aca="false">-J6*Assumptions!J32/100</f>
        <v>-233.06236986519</v>
      </c>
      <c r="K17" s="4" t="n">
        <f aca="false">-K6*Assumptions!K32/100</f>
        <v>-238.88892911182</v>
      </c>
      <c r="L17" s="4" t="n">
        <f aca="false">-L6*Assumptions!L32/100</f>
        <v>-244.861152339615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-31.7459800000001</v>
      </c>
      <c r="D18" s="4" t="n">
        <f aca="false">(D6-C6)*Assumptions!$B$37/100</f>
        <v>-28.8750392</v>
      </c>
      <c r="E18" s="4" t="n">
        <f aca="false">(E6-D6)*Assumptions!$B$37/100</f>
        <v>-26.2762856719999</v>
      </c>
      <c r="F18" s="4" t="n">
        <f aca="false">(F6-E6)*Assumptions!$B$37/100</f>
        <v>-27.1959556705199</v>
      </c>
      <c r="G18" s="4" t="n">
        <f aca="false">(G6-F6)*Assumptions!$B$37/100</f>
        <v>-24.1266978162756</v>
      </c>
      <c r="H18" s="4" t="n">
        <f aca="false">(H6-G6)*Assumptions!$B$37/100</f>
        <v>-24.8504987507638</v>
      </c>
      <c r="I18" s="4" t="n">
        <f aca="false">(I6-H6)*Assumptions!$B$37/100</f>
        <v>-21.3300114277388</v>
      </c>
      <c r="J18" s="4" t="n">
        <f aca="false">(J6-I6)*Assumptions!$B$37/100</f>
        <v>-21.8632617134324</v>
      </c>
      <c r="K18" s="4" t="n">
        <f aca="false">(K6-J6)*Assumptions!$B$37/100</f>
        <v>-22.4098432562681</v>
      </c>
      <c r="L18" s="4" t="n">
        <f aca="false">(L6-K6)*Assumptions!$B$37/100</f>
        <v>-22.9700893376748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828.910657155</v>
      </c>
      <c r="D19" s="0" t="n">
        <f aca="false">D15+D16+D17+D18</f>
        <v>885.9150776952</v>
      </c>
      <c r="E19" s="0" t="n">
        <f aca="false">E15+E16+E17+E18</f>
        <v>945.784872722873</v>
      </c>
      <c r="F19" s="0" t="n">
        <f aca="false">F15+F16+F17+F18</f>
        <v>1005.0245992358</v>
      </c>
      <c r="G19" s="0" t="n">
        <f aca="false">G15+G16+G17+G18</f>
        <v>1057.69834780031</v>
      </c>
      <c r="H19" s="0" t="n">
        <f aca="false">H15+H16+H17+H18</f>
        <v>1102.22730509096</v>
      </c>
      <c r="I19" s="0" t="n">
        <f aca="false">I15+I16+I17+I18</f>
        <v>1133.92473751003</v>
      </c>
      <c r="J19" s="0" t="n">
        <f aca="false">J15+J16+J17+J18</f>
        <v>1162.27285594778</v>
      </c>
      <c r="K19" s="0" t="n">
        <f aca="false">K15+K16+K17+K18</f>
        <v>1191.32967734648</v>
      </c>
      <c r="L19" s="0" t="n">
        <f aca="false">L15+L16+L17+L18</f>
        <v>1221.11291928014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760.468492802752</v>
      </c>
      <c r="D21" s="0" t="n">
        <f aca="false">D19*D20</f>
        <v>745.65699662924</v>
      </c>
      <c r="E21" s="0" t="n">
        <f aca="false">E19*E20</f>
        <v>730.319454408258</v>
      </c>
      <c r="F21" s="0" t="n">
        <f aca="false">F19*F20</f>
        <v>711.984763839339</v>
      </c>
      <c r="G21" s="0" t="n">
        <f aca="false">G19*G20</f>
        <v>687.431353471326</v>
      </c>
      <c r="H21" s="0" t="n">
        <f aca="false">H19*H20</f>
        <v>657.222128819871</v>
      </c>
      <c r="I21" s="0" t="n">
        <f aca="false">I19*I20</f>
        <v>620.295662492957</v>
      </c>
      <c r="J21" s="0" t="n">
        <f aca="false">J19*J20</f>
        <v>583.305554179157</v>
      </c>
      <c r="K21" s="0" t="n">
        <f aca="false">K19*K20</f>
        <v>548.52127801251</v>
      </c>
      <c r="L21" s="0" t="n">
        <f aca="false">L19*L20</f>
        <v>515.811293543874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3.2</v>
      </c>
      <c r="D23" s="4" t="n">
        <f aca="false">Assumptions!D30</f>
        <v>3.1</v>
      </c>
      <c r="E23" s="4" t="n">
        <f aca="false">Assumptions!E30</f>
        <v>3.05</v>
      </c>
      <c r="F23" s="4" t="n">
        <f aca="false">Assumptions!F30</f>
        <v>3</v>
      </c>
      <c r="G23" s="4" t="n">
        <f aca="false">Assumptions!G30</f>
        <v>2.95</v>
      </c>
      <c r="H23" s="4" t="n">
        <f aca="false">Assumptions!H30</f>
        <v>2.9</v>
      </c>
      <c r="I23" s="4" t="n">
        <f aca="false">Assumptions!I30</f>
        <v>2.9</v>
      </c>
      <c r="J23" s="4" t="n">
        <f aca="false">Assumptions!J30</f>
        <v>2.9</v>
      </c>
      <c r="K23" s="4" t="n">
        <f aca="false">Assumptions!K30</f>
        <v>2.9</v>
      </c>
      <c r="L23" s="4" t="n">
        <f aca="false">Assumptions!L30</f>
        <v>2.9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-231.0003136</v>
      </c>
      <c r="D24" s="0" t="n">
        <f aca="false">-D6*D23/100</f>
        <v>-232.732815952</v>
      </c>
      <c r="E24" s="0" t="n">
        <f aca="false">-E6*E23/100</f>
        <v>-236.99332798596</v>
      </c>
      <c r="F24" s="0" t="n">
        <f aca="false">-F6*F23/100</f>
        <v>-241.266978162756</v>
      </c>
      <c r="G24" s="0" t="n">
        <f aca="false">-G6*G23/100</f>
        <v>-244.363237715845</v>
      </c>
      <c r="H24" s="0" t="n">
        <f aca="false">-H6*H23/100</f>
        <v>-247.428132561772</v>
      </c>
      <c r="I24" s="0" t="n">
        <f aca="false">-I6*I23/100</f>
        <v>-253.613835875816</v>
      </c>
      <c r="J24" s="0" t="n">
        <f aca="false">-J6*J23/100</f>
        <v>-259.954181772712</v>
      </c>
      <c r="K24" s="0" t="n">
        <f aca="false">-K6*K23/100</f>
        <v>-266.45303631703</v>
      </c>
      <c r="L24" s="0" t="n">
        <f aca="false">-L6*L23/100</f>
        <v>-273.114362224955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6561.01697819928</v>
      </c>
    </row>
    <row r="31" customFormat="false" ht="15" hidden="false" customHeight="false" outlineLevel="0" collapsed="false">
      <c r="A31" s="0" t="s">
        <v>128</v>
      </c>
      <c r="B31" s="0" t="n">
        <f aca="false">L19</f>
        <v>1221.11291928014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17793.3596809392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18316.6937892021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17793.3596809392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7516.10742021073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14077.12439841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13246.42439841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11328.5079948773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-0.229353197627395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326.128400450623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359.397773972944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11914.7785622454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9581.03982819801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5622.0497685099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5.5</v>
      </c>
      <c r="D5" s="4" t="n">
        <f aca="false">Assumptions!D41</f>
        <v>5.5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6901.3</v>
      </c>
      <c r="C6" s="0" t="n">
        <f aca="false">B6*(1+C5/100)</f>
        <v>7280.8715</v>
      </c>
      <c r="D6" s="0" t="n">
        <f aca="false">C6*(1+D5/100)</f>
        <v>7681.3194325</v>
      </c>
      <c r="E6" s="0" t="n">
        <f aca="false">D6*(1+E5/100)</f>
        <v>8065.385404125</v>
      </c>
      <c r="F6" s="0" t="n">
        <f aca="false">E6*(1+F5/100)</f>
        <v>8428.32774731063</v>
      </c>
      <c r="G6" s="0" t="n">
        <f aca="false">F6*(1+G5/100)</f>
        <v>8765.46085720305</v>
      </c>
      <c r="H6" s="0" t="n">
        <f aca="false">G6*(1+H5/100)</f>
        <v>9072.25198720516</v>
      </c>
      <c r="I6" s="0" t="n">
        <f aca="false">H6*(1+I5/100)</f>
        <v>9344.41954682131</v>
      </c>
      <c r="J6" s="0" t="n">
        <f aca="false">I6*(1+J5/100)</f>
        <v>9624.75213322595</v>
      </c>
      <c r="K6" s="0" t="n">
        <f aca="false">J6*(1+K5/100)</f>
        <v>9913.49469722273</v>
      </c>
      <c r="L6" s="0" t="n">
        <f aca="false">K6*(1+L5/100)</f>
        <v>10210.8995381394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23.5</v>
      </c>
      <c r="D7" s="4" t="n">
        <f aca="false">Assumptions!D42</f>
        <v>23.8</v>
      </c>
      <c r="E7" s="4" t="n">
        <f aca="false">Assumptions!E42</f>
        <v>24.1</v>
      </c>
      <c r="F7" s="4" t="n">
        <f aca="false">Assumptions!F42</f>
        <v>24.4</v>
      </c>
      <c r="G7" s="4" t="n">
        <f aca="false">Assumptions!G42</f>
        <v>24.6</v>
      </c>
      <c r="H7" s="4" t="n">
        <f aca="false">Assumptions!H42</f>
        <v>24.8</v>
      </c>
      <c r="I7" s="4" t="n">
        <f aca="false">Assumptions!I42</f>
        <v>25</v>
      </c>
      <c r="J7" s="4" t="n">
        <f aca="false">Assumptions!J42</f>
        <v>25</v>
      </c>
      <c r="K7" s="4" t="n">
        <f aca="false">Assumptions!K42</f>
        <v>25</v>
      </c>
      <c r="L7" s="4" t="n">
        <f aca="false">Assumptions!L42</f>
        <v>25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1711.0048025</v>
      </c>
      <c r="D8" s="0" t="n">
        <f aca="false">D6*D7/100</f>
        <v>1828.154024935</v>
      </c>
      <c r="E8" s="0" t="n">
        <f aca="false">E6*E7/100</f>
        <v>1943.75788239413</v>
      </c>
      <c r="F8" s="0" t="n">
        <f aca="false">F6*F7/100</f>
        <v>2056.51197034379</v>
      </c>
      <c r="G8" s="0" t="n">
        <f aca="false">G6*G7/100</f>
        <v>2156.30337087195</v>
      </c>
      <c r="H8" s="0" t="n">
        <f aca="false">H6*H7/100</f>
        <v>2249.91849282688</v>
      </c>
      <c r="I8" s="0" t="n">
        <f aca="false">I6*I7/100</f>
        <v>2336.10488670533</v>
      </c>
      <c r="J8" s="0" t="n">
        <f aca="false">J6*J7/100</f>
        <v>2406.18803330649</v>
      </c>
      <c r="K8" s="0" t="n">
        <f aca="false">K6*K7/100</f>
        <v>2478.37367430568</v>
      </c>
      <c r="L8" s="0" t="n">
        <f aca="false">L6*L7/100</f>
        <v>2552.72488453485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0.62</v>
      </c>
      <c r="D9" s="4" t="n">
        <f aca="false">Assumptions!D43</f>
        <v>0.62</v>
      </c>
      <c r="E9" s="4" t="n">
        <f aca="false">Assumptions!E43</f>
        <v>0.62</v>
      </c>
      <c r="F9" s="4" t="n">
        <f aca="false">Assumptions!F43</f>
        <v>0.62</v>
      </c>
      <c r="G9" s="4" t="n">
        <f aca="false">Assumptions!G43</f>
        <v>0.62</v>
      </c>
      <c r="H9" s="4" t="n">
        <f aca="false">Assumptions!H43</f>
        <v>0.62</v>
      </c>
      <c r="I9" s="4" t="n">
        <f aca="false">Assumptions!I43</f>
        <v>0.62</v>
      </c>
      <c r="J9" s="4" t="n">
        <f aca="false">Assumptions!J43</f>
        <v>0.62</v>
      </c>
      <c r="K9" s="4" t="n">
        <f aca="false">Assumptions!K43</f>
        <v>0.62</v>
      </c>
      <c r="L9" s="4" t="n">
        <f aca="false">Assumptions!L43</f>
        <v>0.62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-45.1414033</v>
      </c>
      <c r="D10" s="0" t="n">
        <f aca="false">-D6*D9/100</f>
        <v>-47.6241804815</v>
      </c>
      <c r="E10" s="0" t="n">
        <f aca="false">-E6*E9/100</f>
        <v>-50.005389505575</v>
      </c>
      <c r="F10" s="0" t="n">
        <f aca="false">-F6*F9/100</f>
        <v>-52.2556320333259</v>
      </c>
      <c r="G10" s="0" t="n">
        <f aca="false">-G6*G9/100</f>
        <v>-54.3458573146589</v>
      </c>
      <c r="H10" s="0" t="n">
        <f aca="false">-H6*H9/100</f>
        <v>-56.247962320672</v>
      </c>
      <c r="I10" s="0" t="n">
        <f aca="false">-I6*I9/100</f>
        <v>-57.9354011902921</v>
      </c>
      <c r="J10" s="0" t="n">
        <f aca="false">-J6*J9/100</f>
        <v>-59.6734632260009</v>
      </c>
      <c r="K10" s="0" t="n">
        <f aca="false">-K6*K9/100</f>
        <v>-61.4636671227809</v>
      </c>
      <c r="L10" s="0" t="n">
        <f aca="false">-L6*L9/100</f>
        <v>-63.3075771364644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1432.8755112</v>
      </c>
      <c r="D11" s="0" t="n">
        <f aca="false">D8+D10+D24</f>
        <v>1546.24960176225</v>
      </c>
      <c r="E11" s="0" t="n">
        <f aca="false">E8+E10+E24</f>
        <v>1655.82362346686</v>
      </c>
      <c r="F11" s="0" t="n">
        <f aca="false">F8+F10+F24</f>
        <v>1764.04899751211</v>
      </c>
      <c r="G11" s="0" t="n">
        <f aca="false">G8+G10+G24</f>
        <v>1860.90733998421</v>
      </c>
      <c r="H11" s="0" t="n">
        <f aca="false">H8+H10+H24</f>
        <v>1948.71972685167</v>
      </c>
      <c r="I11" s="0" t="n">
        <f aca="false">I8+I10+I24</f>
        <v>2030.54236752427</v>
      </c>
      <c r="J11" s="0" t="n">
        <f aca="false">J8+J10+J24</f>
        <v>2096.27101461661</v>
      </c>
      <c r="K11" s="0" t="n">
        <f aca="false">K8+K10+K24</f>
        <v>2159.15914505511</v>
      </c>
      <c r="L11" s="0" t="n">
        <f aca="false">L8+L10+L24</f>
        <v>2223.93391940676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-156.53873725</v>
      </c>
      <c r="D12" s="4" t="n">
        <f aca="false">-D6*Assumptions!D45/100</f>
        <v>-168.989027515</v>
      </c>
      <c r="E12" s="4" t="n">
        <f aca="false">-E6*Assumptions!E45/100</f>
        <v>-181.471171592813</v>
      </c>
      <c r="F12" s="4" t="n">
        <f aca="false">-F6*Assumptions!F45/100</f>
        <v>-193.851538188144</v>
      </c>
      <c r="G12" s="4" t="n">
        <f aca="false">-G6*Assumptions!G45/100</f>
        <v>-205.988330144272</v>
      </c>
      <c r="H12" s="4" t="n">
        <f aca="false">-H6*Assumptions!H45/100</f>
        <v>-217.734047692924</v>
      </c>
      <c r="I12" s="4" t="n">
        <f aca="false">-I6*Assumptions!I45/100</f>
        <v>-224.266069123711</v>
      </c>
      <c r="J12" s="4" t="n">
        <f aca="false">-J6*Assumptions!J45/100</f>
        <v>-230.994051197423</v>
      </c>
      <c r="K12" s="4" t="n">
        <f aca="false">-K6*Assumptions!K45/100</f>
        <v>-237.923872733346</v>
      </c>
      <c r="L12" s="4" t="n">
        <f aca="false">-L6*Assumptions!L45/100</f>
        <v>-245.061588915346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1276.33677395</v>
      </c>
      <c r="D13" s="0" t="n">
        <f aca="false">D11+D12</f>
        <v>1377.26057424725</v>
      </c>
      <c r="E13" s="0" t="n">
        <f aca="false">E11+E12</f>
        <v>1474.35245187405</v>
      </c>
      <c r="F13" s="0" t="n">
        <f aca="false">F11+F12</f>
        <v>1570.19745932397</v>
      </c>
      <c r="G13" s="0" t="n">
        <f aca="false">G11+G12</f>
        <v>1654.91900983994</v>
      </c>
      <c r="H13" s="0" t="n">
        <f aca="false">H11+H12</f>
        <v>1730.98567915874</v>
      </c>
      <c r="I13" s="0" t="n">
        <f aca="false">I11+I12</f>
        <v>1806.27629840056</v>
      </c>
      <c r="J13" s="0" t="n">
        <f aca="false">J11+J12</f>
        <v>1865.27696341919</v>
      </c>
      <c r="K13" s="0" t="n">
        <f aca="false">K11+K12</f>
        <v>1921.23527232177</v>
      </c>
      <c r="L13" s="0" t="n">
        <f aca="false">L11+L12</f>
        <v>1978.87233049142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957.2525804625</v>
      </c>
      <c r="D15" s="0" t="n">
        <f aca="false">D13-MAX(0,D13)*D14/100</f>
        <v>1032.94543068544</v>
      </c>
      <c r="E15" s="0" t="n">
        <f aca="false">E13-MAX(0,E13)*E14/100</f>
        <v>1105.76433890554</v>
      </c>
      <c r="F15" s="0" t="n">
        <f aca="false">F13-MAX(0,F13)*F14/100</f>
        <v>1177.64809449298</v>
      </c>
      <c r="G15" s="0" t="n">
        <f aca="false">G13-MAX(0,G13)*G14/100</f>
        <v>1241.18925737995</v>
      </c>
      <c r="H15" s="0" t="n">
        <f aca="false">H13-MAX(0,H13)*H14/100</f>
        <v>1298.23925936906</v>
      </c>
      <c r="I15" s="0" t="n">
        <f aca="false">I13-MAX(0,I13)*I14/100</f>
        <v>1354.70722380042</v>
      </c>
      <c r="J15" s="0" t="n">
        <f aca="false">J13-MAX(0,J13)*J14/100</f>
        <v>1398.95772256439</v>
      </c>
      <c r="K15" s="0" t="n">
        <f aca="false">K13-MAX(0,K13)*K14/100</f>
        <v>1440.92645424132</v>
      </c>
      <c r="L15" s="0" t="n">
        <f aca="false">L13-MAX(0,L13)*L14/100</f>
        <v>1484.15424786856</v>
      </c>
    </row>
    <row r="16" customFormat="false" ht="15" hidden="false" customHeight="false" outlineLevel="0" collapsed="false">
      <c r="A16" s="0" t="s">
        <v>119</v>
      </c>
      <c r="C16" s="0" t="n">
        <f aca="false">-C12</f>
        <v>156.53873725</v>
      </c>
      <c r="D16" s="0" t="n">
        <f aca="false">-D12</f>
        <v>168.989027515</v>
      </c>
      <c r="E16" s="0" t="n">
        <f aca="false">-E12</f>
        <v>181.471171592813</v>
      </c>
      <c r="F16" s="0" t="n">
        <f aca="false">-F12</f>
        <v>193.851538188144</v>
      </c>
      <c r="G16" s="0" t="n">
        <f aca="false">-G12</f>
        <v>205.988330144272</v>
      </c>
      <c r="H16" s="0" t="n">
        <f aca="false">-H12</f>
        <v>217.734047692924</v>
      </c>
      <c r="I16" s="0" t="n">
        <f aca="false">-I12</f>
        <v>224.266069123711</v>
      </c>
      <c r="J16" s="0" t="n">
        <f aca="false">-J12</f>
        <v>230.994051197423</v>
      </c>
      <c r="K16" s="0" t="n">
        <f aca="false">-K12</f>
        <v>237.923872733346</v>
      </c>
      <c r="L16" s="0" t="n">
        <f aca="false">-L12</f>
        <v>245.061588915346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-240.2687595</v>
      </c>
      <c r="D17" s="4" t="n">
        <f aca="false">-D6*Assumptions!D46/100</f>
        <v>-245.80222184</v>
      </c>
      <c r="E17" s="4" t="n">
        <f aca="false">-E6*Assumptions!E46/100</f>
        <v>-241.96156212375</v>
      </c>
      <c r="F17" s="4" t="n">
        <f aca="false">-F6*Assumptions!F46/100</f>
        <v>-235.993176924697</v>
      </c>
      <c r="G17" s="4" t="n">
        <f aca="false">-G6*Assumptions!G46/100</f>
        <v>-227.901982287279</v>
      </c>
      <c r="H17" s="4" t="n">
        <f aca="false">-H6*Assumptions!H46/100</f>
        <v>-226.806299680129</v>
      </c>
      <c r="I17" s="4" t="n">
        <f aca="false">-I6*Assumptions!I46/100</f>
        <v>-233.610488670533</v>
      </c>
      <c r="J17" s="4" t="n">
        <f aca="false">-J6*Assumptions!J46/100</f>
        <v>-240.618803330649</v>
      </c>
      <c r="K17" s="4" t="n">
        <f aca="false">-K6*Assumptions!K46/100</f>
        <v>-247.837367430568</v>
      </c>
      <c r="L17" s="4" t="n">
        <f aca="false">-L6*Assumptions!L46/100</f>
        <v>-255.272488453485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-37.95715</v>
      </c>
      <c r="D18" s="4" t="n">
        <f aca="false">(D6-C6)*Assumptions!$B$51/100</f>
        <v>-40.0447932499999</v>
      </c>
      <c r="E18" s="4" t="n">
        <f aca="false">(E6-D6)*Assumptions!$B$51/100</f>
        <v>-38.4065971625</v>
      </c>
      <c r="F18" s="4" t="n">
        <f aca="false">(F6-E6)*Assumptions!$B$51/100</f>
        <v>-36.2942343185625</v>
      </c>
      <c r="G18" s="4" t="n">
        <f aca="false">(G6-F6)*Assumptions!$B$51/100</f>
        <v>-33.7133109892426</v>
      </c>
      <c r="H18" s="4" t="n">
        <f aca="false">(H6-G6)*Assumptions!$B$51/100</f>
        <v>-30.6791130002106</v>
      </c>
      <c r="I18" s="4" t="n">
        <f aca="false">(I6-H6)*Assumptions!$B$51/100</f>
        <v>-27.2167559616155</v>
      </c>
      <c r="J18" s="4" t="n">
        <f aca="false">(J6-I6)*Assumptions!$B$51/100</f>
        <v>-28.033258640464</v>
      </c>
      <c r="K18" s="4" t="n">
        <f aca="false">(K6-J6)*Assumptions!$B$51/100</f>
        <v>-28.8742563996779</v>
      </c>
      <c r="L18" s="4" t="n">
        <f aca="false">(L6-K6)*Assumptions!$B$51/100</f>
        <v>-29.7404840916683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835.5654082125</v>
      </c>
      <c r="D19" s="0" t="n">
        <f aca="false">D15+D16+D17+D18</f>
        <v>916.087443110438</v>
      </c>
      <c r="E19" s="0" t="n">
        <f aca="false">E15+E16+E17+E18</f>
        <v>1006.8673512121</v>
      </c>
      <c r="F19" s="0" t="n">
        <f aca="false">F15+F16+F17+F18</f>
        <v>1099.21222143786</v>
      </c>
      <c r="G19" s="0" t="n">
        <f aca="false">G15+G16+G17+G18</f>
        <v>1185.5622942477</v>
      </c>
      <c r="H19" s="0" t="n">
        <f aca="false">H15+H16+H17+H18</f>
        <v>1258.48789438164</v>
      </c>
      <c r="I19" s="0" t="n">
        <f aca="false">I15+I16+I17+I18</f>
        <v>1318.14604829198</v>
      </c>
      <c r="J19" s="0" t="n">
        <f aca="false">J15+J16+J17+J18</f>
        <v>1361.2997117907</v>
      </c>
      <c r="K19" s="0" t="n">
        <f aca="false">K15+K16+K17+K18</f>
        <v>1402.13870314442</v>
      </c>
      <c r="L19" s="0" t="n">
        <f aca="false">L15+L16+L17+L18</f>
        <v>1444.20286423876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766.573769002293</v>
      </c>
      <c r="D21" s="0" t="n">
        <f aca="false">D19*D20</f>
        <v>771.052472948774</v>
      </c>
      <c r="E21" s="0" t="n">
        <f aca="false">E19*E20</f>
        <v>777.486335218825</v>
      </c>
      <c r="F21" s="0" t="n">
        <f aca="false">F19*F20</f>
        <v>778.70964997756</v>
      </c>
      <c r="G21" s="0" t="n">
        <f aca="false">G19*G20</f>
        <v>770.534145443456</v>
      </c>
      <c r="H21" s="0" t="n">
        <f aca="false">H19*H20</f>
        <v>750.395212692795</v>
      </c>
      <c r="I21" s="0" t="n">
        <f aca="false">I19*I20</f>
        <v>721.071028120608</v>
      </c>
      <c r="J21" s="0" t="n">
        <f aca="false">J19*J20</f>
        <v>683.190421876011</v>
      </c>
      <c r="K21" s="0" t="n">
        <f aca="false">K19*K20</f>
        <v>645.583609662652</v>
      </c>
      <c r="L21" s="0" t="n">
        <f aca="false">L19*L20</f>
        <v>610.046897204158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3.2</v>
      </c>
      <c r="D23" s="4" t="n">
        <f aca="false">Assumptions!D44</f>
        <v>3.05</v>
      </c>
      <c r="E23" s="4" t="n">
        <f aca="false">Assumptions!E44</f>
        <v>2.95</v>
      </c>
      <c r="F23" s="4" t="n">
        <f aca="false">Assumptions!F44</f>
        <v>2.85</v>
      </c>
      <c r="G23" s="4" t="n">
        <f aca="false">Assumptions!G44</f>
        <v>2.75</v>
      </c>
      <c r="H23" s="4" t="n">
        <f aca="false">Assumptions!H44</f>
        <v>2.7</v>
      </c>
      <c r="I23" s="4" t="n">
        <f aca="false">Assumptions!I44</f>
        <v>2.65</v>
      </c>
      <c r="J23" s="4" t="n">
        <f aca="false">Assumptions!J44</f>
        <v>2.6</v>
      </c>
      <c r="K23" s="4" t="n">
        <f aca="false">Assumptions!K44</f>
        <v>2.6</v>
      </c>
      <c r="L23" s="4" t="n">
        <f aca="false">Assumptions!L44</f>
        <v>2.6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-232.987888</v>
      </c>
      <c r="D24" s="0" t="n">
        <f aca="false">-D6*D23/100</f>
        <v>-234.28024269125</v>
      </c>
      <c r="E24" s="0" t="n">
        <f aca="false">-E6*E23/100</f>
        <v>-237.928869421688</v>
      </c>
      <c r="F24" s="0" t="n">
        <f aca="false">-F6*F23/100</f>
        <v>-240.207340798353</v>
      </c>
      <c r="G24" s="0" t="n">
        <f aca="false">-G6*G23/100</f>
        <v>-241.050173573084</v>
      </c>
      <c r="H24" s="0" t="n">
        <f aca="false">-H6*H23/100</f>
        <v>-244.950803654539</v>
      </c>
      <c r="I24" s="0" t="n">
        <f aca="false">-I6*I23/100</f>
        <v>-247.627117990765</v>
      </c>
      <c r="J24" s="0" t="n">
        <f aca="false">-J6*J23/100</f>
        <v>-250.243555463875</v>
      </c>
      <c r="K24" s="0" t="n">
        <f aca="false">-K6*K23/100</f>
        <v>-257.750862127791</v>
      </c>
      <c r="L24" s="0" t="n">
        <f aca="false">-L6*L23/100</f>
        <v>-265.483387991625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7274.64354214713</v>
      </c>
    </row>
    <row r="31" customFormat="false" ht="15" hidden="false" customHeight="false" outlineLevel="0" collapsed="false">
      <c r="A31" s="0" t="s">
        <v>128</v>
      </c>
      <c r="B31" s="0" t="n">
        <f aca="false">L19</f>
        <v>1444.20286423876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22773.968243765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21663.0429635813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21663.0429635813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9150.70345806237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16425.3470002095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15594.6470002095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13336.7373644142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-0.0927389548017567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342.673026676446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421.697690143778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13990.4367715982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11842.4634867578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6530.38776631912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7837.55327969148</v>
      </c>
      <c r="C4" s="0" t="n">
        <f aca="false">B4/Assumptions!$B$2-1</f>
        <v>-0.466833110225069</v>
      </c>
      <c r="D4" s="4" t="n">
        <f aca="false">Assumptions!$B$24</f>
        <v>0.2</v>
      </c>
      <c r="E4" s="4" t="n">
        <f aca="false">DCF_Bear!$B$43</f>
        <v>8342.1462691966</v>
      </c>
      <c r="F4" s="4" t="n">
        <f aca="false">DCF_Bear!$B$47</f>
        <v>4166.24612086828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11328.5079948773</v>
      </c>
      <c r="C5" s="0" t="n">
        <f aca="false">B5/Assumptions!$B$2-1</f>
        <v>-0.229353197627395</v>
      </c>
      <c r="D5" s="4" t="n">
        <f aca="false">Assumptions!$B$38</f>
        <v>0.5</v>
      </c>
      <c r="E5" s="4" t="n">
        <f aca="false">DCF_Base!$B$43</f>
        <v>11914.7785622454</v>
      </c>
      <c r="F5" s="4" t="n">
        <f aca="false">DCF_Base!$B$47</f>
        <v>5622.0497685099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13336.7373644142</v>
      </c>
      <c r="C6" s="0" t="n">
        <f aca="false">B6/Assumptions!$B$2-1</f>
        <v>-0.0927389548017567</v>
      </c>
      <c r="D6" s="4" t="n">
        <f aca="false">Assumptions!$B$52</f>
        <v>0.3</v>
      </c>
      <c r="E6" s="4" t="n">
        <f aca="false">DCF_Bull!$B$43</f>
        <v>13990.4367715982</v>
      </c>
      <c r="F6" s="4" t="n">
        <f aca="false">DCF_Bull!$B$47</f>
        <v>6530.38776631912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11232.7858627012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11822.9495664415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-0.308669120882273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587.500402909331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5603.39043832434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11328.5079948773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9778.23487283467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8574.30591537281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7612.7168215152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5622.0497685099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13433.4818044251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13433.4818044251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13433.4818044251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13433.4818044251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13433.4818044251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12154.6331026594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12431.0434348125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12431.0434348125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12431.0434348125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12431.0434348125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10469.8833141116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10870.5748318023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11328.5079948773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11517.5629704587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11517.5629704587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9163.11010584376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9452.58058442772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9778.23487283467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10147.3097330292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10569.1095732516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8120.69806939507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8335.56494380558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8574.30591537281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8841.13406006561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9141.315722845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2026-10-10T01:15:07Z</dcterms:created>
  <dc:creator>openpyxl</dc:creator>
  <dc:description/>
  <dc:language>en-NZ</dc:language>
  <cp:lastModifiedBy/>
  <dcterms:modified xsi:type="dcterms:W3CDTF">2026-10-10T01:15:07Z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