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<sst xmlns="http://schemas.openxmlformats.org/spreadsheetml/2006/main" count="357" uniqueCount="165">
  <si>
    <t xml:space="preserve">Ticker</t>
  </si>
  <si>
    <t xml:space="preserve">2338.HK</t>
  </si>
  <si>
    <t xml:space="preserve">Company</t>
  </si>
  <si>
    <t xml:space="preserve">Weichai Power Co., Ltd. (H shares)</t>
  </si>
  <si>
    <t xml:space="preserve">Valuation date</t>
  </si>
  <si>
    <t xml:space="preserve">2026-10-18</t>
  </si>
  <si>
    <t xml:space="preserve">Current price</t>
  </si>
  <si>
    <t xml:space="preserve">Price as of</t>
  </si>
  <si>
    <t xml:space="preserve">2026-10-16T08:08:14Z regular HKEX close (Yahoo chart API)</t>
  </si>
  <si>
    <t xml:space="preserve">Balance sheet date</t>
  </si>
  <si>
    <t xml:space="preserve">2025-12-31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</si>
  <si>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</si>
  <si>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</si>
  <si>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</si>
  <si>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</si>
  <si>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</si>
  <si>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</si>
  <si>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</si>
  <si>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</si>
  <si>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</si>
  <si>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</si>
  <si>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</si>
  <si>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2026-10-18T02:12:06Z</t>
  </si>
  <si>
    <t xml:space="preserve">Drivers file</t>
  </si>
  <si>
    <t xml:space="preserve">2338.HK_Drivers.json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</si>
  <si>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</si>
  <si>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</si>
  <si>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</si>
  <si>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Consolidated mid-cycle owner FCF (interest income stripped, IFRS-16 lease cash charged, KION fleet reinvestment charged), discounted at a 9% CNY/EUR-blended WACC with a 12x cyclical terminal cap, bridged to the parent's equity through net financial cash (incl. all KION finance-book funding as debt), non-operating stakes, the pension deficit and minority interests at book. SBC-zero market: house and street values coincide.
key_risks_to_valuation: Cycle timing: a 2022-style China HDT downturn takes owner FCF negative for a year; the base year is mid-cycle, not trough; Minority interests deducted at book (RMB37.9bn); if KION re-rates, the NCI claim is worth more than book; KION finance-book treatment: funding in debt, receivables valued through the flows; mis-sizing the 1.5% fleet reinvestment moves value ~RMB2/share per 0.5pp; Cash quality: ~RMB28.6bn of cash sits at the related-party Shandong Heavy Industry finance company; RMB19.4bn of restricted cash/pledged deposits is excluded as working-capital collateral; Electrification of China heavy trucks eroding diesel/gas engine content; H1-2026 interim not yet in the folder; bridge is the 31-Dec-2025 balance sheet less the FY2025 final dividend</t>
  </si>
  <si>
    <t xml:space="preserve">Data sources</t>
  </si>
  <si>
    <t xml:space="preserve">price: Yahoo Finance chart API at inputs.price_as_of; 52-week range HKD 14.85-45.44; A-share 000338.SZ (RMB21.77 at 2026-10-16 close) used for the FX parity check
fx: Yahoo CNYHKD=X, 2026-10-16
financials: 2338.HK_Metrics.csv (core_metrics, CNY millions) and the FY2025 annual report (CAS consolidated balance sheet, income statement, cash-flow supplement note V.68, notes V.1, V.25, V.34, V.39, V.43, gearing table); Q1-2026 quarterly report for the balance-sheet cross-check
qualitative: FY2025 annual report MD&amp;A; no Analysis.json was available at build time</t>
  </si>
  <si>
    <t xml:space="preserve">Scenario narrative: bear</t>
  </si>
  <si>
    <t xml:space="preserve">The China truck cycle turns as it did in 2022 (revenue -15% that year, OCF negative) on a weak property/infrastructure economy and pulled-forward replacement demand; KION is hit by EU/US tariff friction and weak European industrial capex; over the decade battery-electric and fuel-cell heavy trucks cut the diesel/gas engine content Weichai sells. Revenue -8% then -4%, EBITDA margin troughs at 10.5% and settles at 11.5%, terminal growth 1.5%.</t>
  </si>
  <si>
    <t xml:space="preserve">Scenario narrative: base</t>
  </si>
  <si>
    <t xml:space="preserve">China heavy-duty truck volumes stay near mid-cycle (~1.0-1.1m units with exports and natural-gas trucks offsetting a soft domestic freight market), Weichai keeps its ~30%+ HDT engine share, large-bore engines for data-centre gensets and marine keep growing, and KION's efficiency programme lifts its margin modestly. Revenue +6% in FY2026 (Q1 +8.9%) fading to 2.5%; EBITDA 12.5% -&gt; 12.8%; owner FCF ~6.1-6.3% of revenue, anchored on the FY2017-25 average rather than on the strong FY2025.</t>
  </si>
  <si>
    <t xml:space="preserve">Scenario narrative: bull</t>
  </si>
  <si>
    <t xml:space="preserve">The AI data-centre build-out makes large-bore engines and SOFC a material second leg, HDT exports keep growing, Weichai holds share as LNG trucks gain, and KION's supply-chain-solutions (warehouse automation) backlog converts at recovered margins. Revenue grows 9% fading to 3%, EBITDA margin reaches 13.8%.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</si>
  <si>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</si>
  <si>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</si>
  <si>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</si>
  <si>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</si>
  <si>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</si>
  <si>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</si>
  <si>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</si>
  <si>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</si>
  <si>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</si>
  <si>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</si>
  <si>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</si>
  <si>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</si>
  <si>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</si>
  <si>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</si>
  <si>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</si>
  <si>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</si>
  <si>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</si>
  <si>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</si>
  <si>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</si>
  <si>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</si>
  <si>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</si>
  <si>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</si>
  <si>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</si>
  <si>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</si>
  <si>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</si>
  <si>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</si>
  <si>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</si>
  <si>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EPSBasic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</si>
  <si>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</si>
  <si>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</si>
  <si>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</si>
  <si>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</si>
  <si>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</si>
  <si>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</si>
  <si>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</si>
  <si>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</si>
  <si>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</si>
  <si>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</si>
  <si>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</si>
  <si>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</si>
  <si>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</si>
  <si>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</si>
  <si>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</si>
  <si>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</si>
  <si>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</si>
  <si>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</si>
  <si>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</si>
  <si>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</si>
  <si>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</si>
  <si>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</si>
  <si>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</si>
  <si>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</si>
  <si>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</si>
  <si>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</si>
  <si>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</si>
  <si>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</si>
  <si>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</si>
  <si>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</si>
  <si>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</si>
  <si>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</si>
  <si>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</si>
  <si>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</si>
  <si>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</si>
  <si>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</si>
  <si>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</si>
  <si>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</si>
  <si>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</si>
  <si>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</si>
  <si>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</si>
  <si>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</si>
  <si>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</si>
  <si>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</si>
  <si>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</si>
  <si>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</si>
  <si>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2338.HK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</si>
  <si>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</si>
  <si>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</si>
  <si>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</si>
  <si>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</si>
  <si>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</si>
  <si>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</si>
  <si>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</si>
  <si>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</si>
  <si>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</si>
  <si>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</si>
  <si>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</si>
  <si>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</si>
  <si>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</si>
  <si>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</si>
  <si>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</si>
  <si>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</si>
  <si>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</si>
  <si>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</si>
  <si>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</si>
  <si>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</si>
  <si>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</si>
  <si>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</si>
  <si>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</si>
  <si>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</si>
  <si>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</si>
  <si>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</si>
  <si>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</si>
  <si>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</si>
  <si>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</si>
  <si>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</si>
  <si>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2338.HK owner-FCF component DCF: base case (millions, CNY)</t>
  </si>
  <si>
    <t xml:space="preserve">2338.HK owner-FCF component DCF: bull case (millions, CNY)</t>
  </si>
  <si>
    <t xml:space="preserve">2338.HK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</si>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</sst>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25.42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46.2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</row>
    <row r="2" customFormat="false" ht="15" hidden="false" customHeight="false" outlineLevel="0" collapsed="false">
      <c r="A2" s="0" t="s">
        <v>65</v>
      </c>
      <c r="B2" s="0" t="n">
        <v>151569.4</v>
      </c>
      <c r="C2" s="0" t="n">
        <v>118467.6</v>
      </c>
      <c r="D2" s="0" t="n">
        <v>33101.8</v>
      </c>
      <c r="E2" s="0" t="n">
        <v>21.8</v>
      </c>
      <c r="F2" s="0" t="n">
        <v>10384.9</v>
      </c>
      <c r="G2" s="0" t="n">
        <v>6.9</v>
      </c>
      <c r="I2" s="0" t="n">
        <v>6808.3</v>
      </c>
      <c r="J2" s="0" t="n">
        <v>4.5</v>
      </c>
      <c r="K2" s="0" t="n">
        <v>0.85</v>
      </c>
      <c r="L2" s="0" t="n">
        <v>16443.1</v>
      </c>
      <c r="M2" s="0" t="n">
        <v>2541.7</v>
      </c>
      <c r="N2" s="0" t="n">
        <v>13901.4</v>
      </c>
      <c r="O2" s="0" t="n">
        <v>35239.5</v>
      </c>
      <c r="P2" s="0" t="n">
        <v>189638.2</v>
      </c>
      <c r="Q2" s="0" t="n">
        <v>133283.2</v>
      </c>
      <c r="R2" s="0" t="n">
        <v>34909.5</v>
      </c>
      <c r="S2" s="0" t="n">
        <v>34221.8</v>
      </c>
      <c r="T2" s="0" t="n">
        <v>7997.24</v>
      </c>
      <c r="U2" s="0" t="n">
        <v>10.8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66</v>
      </c>
      <c r="B3" s="0" t="n">
        <v>159255.8</v>
      </c>
      <c r="C3" s="0" t="n">
        <v>123686.4</v>
      </c>
      <c r="D3" s="0" t="n">
        <v>35569.4</v>
      </c>
      <c r="E3" s="0" t="n">
        <v>22.3</v>
      </c>
      <c r="F3" s="0" t="n">
        <v>13603.7</v>
      </c>
      <c r="G3" s="0" t="n">
        <v>8.5</v>
      </c>
      <c r="I3" s="0" t="n">
        <v>8657.5</v>
      </c>
      <c r="J3" s="0" t="n">
        <v>5.4</v>
      </c>
      <c r="K3" s="0" t="n">
        <v>1.08</v>
      </c>
      <c r="L3" s="0" t="n">
        <v>22261.6</v>
      </c>
      <c r="M3" s="0" t="n">
        <v>3683.6</v>
      </c>
      <c r="N3" s="0" t="n">
        <v>18578</v>
      </c>
      <c r="O3" s="0" t="n">
        <v>39313.7</v>
      </c>
      <c r="P3" s="0" t="n">
        <v>205276.4</v>
      </c>
      <c r="Q3" s="0" t="n">
        <v>143017</v>
      </c>
      <c r="R3" s="0" t="n">
        <v>35545</v>
      </c>
      <c r="S3" s="0" t="n">
        <v>38210</v>
      </c>
      <c r="T3" s="0" t="n">
        <v>7995.25</v>
      </c>
      <c r="U3" s="0" t="n">
        <v>3.4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67</v>
      </c>
      <c r="B4" s="0" t="n">
        <v>174360.9</v>
      </c>
      <c r="C4" s="0" t="n">
        <v>136353.2</v>
      </c>
      <c r="D4" s="0" t="n">
        <v>38007.7</v>
      </c>
      <c r="E4" s="0" t="n">
        <v>21.8</v>
      </c>
      <c r="F4" s="0" t="n">
        <v>14155.9</v>
      </c>
      <c r="G4" s="0" t="n">
        <v>8.1</v>
      </c>
      <c r="I4" s="0" t="n">
        <v>9105</v>
      </c>
      <c r="J4" s="0" t="n">
        <v>5.2</v>
      </c>
      <c r="K4" s="0" t="n">
        <v>1.15</v>
      </c>
      <c r="L4" s="0" t="n">
        <v>23834.7</v>
      </c>
      <c r="M4" s="0" t="n">
        <v>5393.9</v>
      </c>
      <c r="N4" s="0" t="n">
        <v>18440.8</v>
      </c>
      <c r="O4" s="0" t="n">
        <v>45223.9</v>
      </c>
      <c r="P4" s="0" t="n">
        <v>236831.7</v>
      </c>
      <c r="Q4" s="0" t="n">
        <v>167057</v>
      </c>
      <c r="R4" s="0" t="n">
        <v>36682.1</v>
      </c>
      <c r="S4" s="0" t="n">
        <v>48817.6</v>
      </c>
      <c r="T4" s="0" t="n">
        <v>7933.87</v>
      </c>
      <c r="U4" s="0" t="n">
        <v>3.2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68</v>
      </c>
      <c r="B5" s="0" t="n">
        <v>197288.4</v>
      </c>
      <c r="C5" s="0" t="n">
        <v>158978.9</v>
      </c>
      <c r="D5" s="0" t="n">
        <v>38309.5</v>
      </c>
      <c r="E5" s="0" t="n">
        <v>19.4</v>
      </c>
      <c r="F5" s="0" t="n">
        <v>12487.1</v>
      </c>
      <c r="G5" s="0" t="n">
        <v>6.3</v>
      </c>
      <c r="I5" s="0" t="n">
        <v>9228.3</v>
      </c>
      <c r="J5" s="0" t="n">
        <v>4.7</v>
      </c>
      <c r="K5" s="0" t="n">
        <v>1.16</v>
      </c>
      <c r="L5" s="0" t="n">
        <v>22991.6</v>
      </c>
      <c r="M5" s="0" t="n">
        <v>5765.9</v>
      </c>
      <c r="N5" s="0" t="n">
        <v>17225.7</v>
      </c>
      <c r="O5" s="0" t="n">
        <v>51468.2</v>
      </c>
      <c r="P5" s="0" t="n">
        <v>271061.7</v>
      </c>
      <c r="Q5" s="0" t="n">
        <v>190362.5</v>
      </c>
      <c r="R5" s="0" t="n">
        <v>37735.1</v>
      </c>
      <c r="S5" s="0" t="n">
        <v>62429.3</v>
      </c>
      <c r="T5" s="0" t="n">
        <v>7933.87</v>
      </c>
      <c r="U5" s="0" t="n">
        <v>32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69</v>
      </c>
      <c r="B6" s="0" t="n">
        <v>203547.7</v>
      </c>
      <c r="C6" s="0" t="n">
        <v>163946.8</v>
      </c>
      <c r="D6" s="0" t="n">
        <v>39600.9</v>
      </c>
      <c r="E6" s="0" t="n">
        <v>19.5</v>
      </c>
      <c r="F6" s="0" t="n">
        <v>13889</v>
      </c>
      <c r="G6" s="0" t="n">
        <v>6.8</v>
      </c>
      <c r="I6" s="0" t="n">
        <v>9254.5</v>
      </c>
      <c r="J6" s="0" t="n">
        <v>4.5</v>
      </c>
      <c r="K6" s="0" t="n">
        <v>1.1</v>
      </c>
      <c r="L6" s="0" t="n">
        <v>14657.6</v>
      </c>
      <c r="M6" s="0" t="n">
        <v>6011.1</v>
      </c>
      <c r="N6" s="0" t="n">
        <v>8646.5</v>
      </c>
      <c r="O6" s="0" t="n">
        <v>70906.8</v>
      </c>
      <c r="P6" s="0" t="n">
        <v>277044.4</v>
      </c>
      <c r="Q6" s="0" t="n">
        <v>174082.8</v>
      </c>
      <c r="R6" s="0" t="n">
        <v>31821.4</v>
      </c>
      <c r="S6" s="0" t="n">
        <v>75043.4</v>
      </c>
      <c r="T6" s="0" t="n">
        <v>8396.27</v>
      </c>
      <c r="U6" s="0" t="n">
        <v>2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70</v>
      </c>
      <c r="B7" s="0" t="n">
        <v>175157.5</v>
      </c>
      <c r="C7" s="0" t="n">
        <v>144010.6</v>
      </c>
      <c r="D7" s="0" t="n">
        <v>31146.9</v>
      </c>
      <c r="E7" s="0" t="n">
        <v>17.8</v>
      </c>
      <c r="F7" s="0" t="n">
        <v>5834</v>
      </c>
      <c r="G7" s="0" t="n">
        <v>3.3</v>
      </c>
      <c r="I7" s="0" t="n">
        <v>4905</v>
      </c>
      <c r="J7" s="0" t="n">
        <v>2.8</v>
      </c>
      <c r="K7" s="0" t="n">
        <v>0.57</v>
      </c>
      <c r="L7" s="0" t="n">
        <v>-2349.5</v>
      </c>
      <c r="M7" s="0" t="n">
        <v>6635.2</v>
      </c>
      <c r="N7" s="0" t="n">
        <v>-8984.7</v>
      </c>
      <c r="O7" s="0" t="n">
        <v>73184.3</v>
      </c>
      <c r="P7" s="0" t="n">
        <v>293666.1</v>
      </c>
      <c r="Q7" s="0" t="n">
        <v>189555.4</v>
      </c>
      <c r="R7" s="0" t="n">
        <v>44663.6</v>
      </c>
      <c r="S7" s="0" t="n">
        <v>70841.7</v>
      </c>
      <c r="T7" s="0" t="n">
        <v>8675.82</v>
      </c>
      <c r="U7" s="0" t="n">
        <v>1.1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71</v>
      </c>
      <c r="B8" s="0" t="n">
        <v>213958.5</v>
      </c>
      <c r="C8" s="0" t="n">
        <v>168842.3</v>
      </c>
      <c r="D8" s="0" t="n">
        <v>45116.2</v>
      </c>
      <c r="E8" s="0" t="n">
        <v>21.1</v>
      </c>
      <c r="F8" s="0" t="n">
        <v>12905.2</v>
      </c>
      <c r="G8" s="0" t="n">
        <v>6</v>
      </c>
      <c r="I8" s="0" t="n">
        <v>9013.9</v>
      </c>
      <c r="J8" s="0" t="n">
        <v>4.2</v>
      </c>
      <c r="K8" s="0" t="n">
        <v>1.04</v>
      </c>
      <c r="L8" s="0" t="n">
        <v>27470.9</v>
      </c>
      <c r="M8" s="0" t="n">
        <v>7199.8</v>
      </c>
      <c r="N8" s="0" t="n">
        <v>20271.1</v>
      </c>
      <c r="O8" s="0" t="n">
        <v>79335.2</v>
      </c>
      <c r="P8" s="0" t="n">
        <v>334247.2</v>
      </c>
      <c r="Q8" s="0" t="n">
        <v>221561.5</v>
      </c>
      <c r="R8" s="0" t="n">
        <v>43694.2</v>
      </c>
      <c r="S8" s="0" t="n">
        <v>92856.9</v>
      </c>
      <c r="T8" s="0" t="n">
        <v>8639.29</v>
      </c>
      <c r="U8" s="0" t="n">
        <v>17.5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72</v>
      </c>
      <c r="B9" s="0" t="n">
        <v>215690.5</v>
      </c>
      <c r="C9" s="0" t="n">
        <v>167304.9</v>
      </c>
      <c r="D9" s="0" t="n">
        <v>48385.6</v>
      </c>
      <c r="E9" s="0" t="n">
        <v>22.4</v>
      </c>
      <c r="F9" s="0" t="n">
        <v>17428</v>
      </c>
      <c r="G9" s="0" t="n">
        <v>8.1</v>
      </c>
      <c r="I9" s="0" t="n">
        <v>11403.3</v>
      </c>
      <c r="J9" s="0" t="n">
        <v>5.3</v>
      </c>
      <c r="K9" s="0" t="n">
        <v>1.31</v>
      </c>
      <c r="L9" s="0" t="n">
        <v>26094.1</v>
      </c>
      <c r="M9" s="0" t="n">
        <v>7359.8</v>
      </c>
      <c r="N9" s="0" t="n">
        <v>18734.3</v>
      </c>
      <c r="O9" s="0" t="n">
        <v>86696.4</v>
      </c>
      <c r="P9" s="0" t="n">
        <v>343879.4</v>
      </c>
      <c r="Q9" s="0" t="n">
        <v>221920.8</v>
      </c>
      <c r="R9" s="0" t="n">
        <v>38405.6</v>
      </c>
      <c r="S9" s="0" t="n">
        <v>72066.9</v>
      </c>
      <c r="T9" s="0" t="n">
        <v>8717.56</v>
      </c>
      <c r="U9" s="0" t="n">
        <v>205.1</v>
      </c>
      <c r="AA9" s="0" t="s">
        <v>18</v>
      </c>
      <c r="AB9" s="0" t="s">
        <v>14</v>
      </c>
    </row>
    <row r="10" customFormat="false" ht="15" hidden="false" customHeight="false" outlineLevel="0" collapsed="false">
      <c r="A10" s="0" t="s">
        <v>73</v>
      </c>
      <c r="B10" s="0" t="n">
        <v>231809.3</v>
      </c>
      <c r="C10" s="0" t="n">
        <v>182027.3</v>
      </c>
      <c r="D10" s="0" t="n">
        <v>49782</v>
      </c>
      <c r="E10" s="0" t="n">
        <v>21.5</v>
      </c>
      <c r="F10" s="0" t="n">
        <v>16073.6</v>
      </c>
      <c r="G10" s="0" t="n">
        <v>6.9</v>
      </c>
      <c r="I10" s="0" t="n">
        <v>10930.5</v>
      </c>
      <c r="J10" s="0" t="n">
        <v>4.7</v>
      </c>
      <c r="K10" s="0" t="n">
        <v>1.26</v>
      </c>
      <c r="L10" s="0" t="n">
        <v>28681.5</v>
      </c>
      <c r="M10" s="0" t="n">
        <v>6796.7</v>
      </c>
      <c r="N10" s="0" t="n">
        <v>21884.8</v>
      </c>
      <c r="O10" s="0" t="n">
        <v>93190.2</v>
      </c>
      <c r="P10" s="0" t="n">
        <v>367475.6</v>
      </c>
      <c r="Q10" s="0" t="n">
        <v>236413.6</v>
      </c>
      <c r="R10" s="0" t="n">
        <v>34162.5</v>
      </c>
      <c r="S10" s="0" t="n">
        <v>68712.7</v>
      </c>
      <c r="T10" s="0" t="n">
        <v>8713.58</v>
      </c>
      <c r="U10" s="0" t="n">
        <v>66.5</v>
      </c>
      <c r="AA10" s="0" t="s">
        <v>18</v>
      </c>
      <c r="AB10" s="0" t="s">
        <v>14</v>
      </c>
      <c r="AC10" s="0" t="n">
        <v>1.27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25.42</v>
      </c>
    </row>
    <row r="3" customFormat="false" ht="15" hidden="false" customHeight="false" outlineLevel="0" collapsed="false">
      <c r="A3" s="0" t="s">
        <v>77</v>
      </c>
      <c r="B3" s="3" t="n">
        <v>8662.1</v>
      </c>
    </row>
    <row r="4" customFormat="false" ht="15" hidden="false" customHeight="false" outlineLevel="0" collapsed="false">
      <c r="A4" s="0" t="s">
        <v>78</v>
      </c>
      <c r="B4" s="3" t="n">
        <v>-19918.9</v>
      </c>
    </row>
    <row r="5" customFormat="false" ht="15" hidden="false" customHeight="false" outlineLevel="0" collapsed="false">
      <c r="A5" s="0" t="s">
        <v>79</v>
      </c>
      <c r="B5" s="3" t="n">
        <v>-34029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231809.3</v>
      </c>
    </row>
    <row r="8" customFormat="false" ht="15" hidden="false" customHeight="false" outlineLevel="0" collapsed="false">
      <c r="A8" s="0" t="s">
        <v>82</v>
      </c>
      <c r="B8" s="3" t="s">
        <v>73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1.1724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-8</v>
      </c>
      <c r="D13" s="3" t="n">
        <v>-4</v>
      </c>
      <c r="E13" s="3" t="n">
        <v>3</v>
      </c>
      <c r="F13" s="3" t="n">
        <v>4</v>
      </c>
      <c r="G13" s="3" t="n">
        <v>3</v>
      </c>
      <c r="H13" s="3" t="n">
        <v>2.5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98</v>
      </c>
      <c r="C14" s="3" t="n">
        <v>11</v>
      </c>
      <c r="D14" s="3" t="n">
        <v>10.5</v>
      </c>
      <c r="E14" s="3" t="n">
        <v>11</v>
      </c>
      <c r="F14" s="3" t="n">
        <v>11.5</v>
      </c>
      <c r="G14" s="3" t="n">
        <v>11.5</v>
      </c>
      <c r="H14" s="3" t="n">
        <v>11.5</v>
      </c>
      <c r="I14" s="3" t="n">
        <v>11.5</v>
      </c>
      <c r="J14" s="3" t="n">
        <v>11.5</v>
      </c>
      <c r="K14" s="3" t="n">
        <v>11.5</v>
      </c>
      <c r="L14" s="3" t="n">
        <v>11.5</v>
      </c>
    </row>
    <row r="15" customFormat="false" ht="15" hidden="false" customHeight="false" outlineLevel="0" collapsed="false">
      <c r="A15" s="0" t="s">
        <v>99</v>
      </c>
      <c r="C15" s="3" t="n">
        <v>0.05</v>
      </c>
      <c r="D15" s="3" t="n">
        <v>0.05</v>
      </c>
      <c r="E15" s="3" t="n">
        <v>0.05</v>
      </c>
      <c r="F15" s="3" t="n">
        <v>0.05</v>
      </c>
      <c r="G15" s="3" t="n">
        <v>0.05</v>
      </c>
      <c r="H15" s="3" t="n">
        <v>0.05</v>
      </c>
      <c r="I15" s="3" t="n">
        <v>0.05</v>
      </c>
      <c r="J15" s="3" t="n">
        <v>0.05</v>
      </c>
      <c r="K15" s="3" t="n">
        <v>0.05</v>
      </c>
      <c r="L15" s="3" t="n">
        <v>0.05</v>
      </c>
    </row>
    <row r="16" customFormat="false" ht="15" hidden="false" customHeight="false" outlineLevel="0" collapsed="false">
      <c r="A16" s="0" t="s">
        <v>100</v>
      </c>
      <c r="C16" s="3" t="n">
        <v>0.77</v>
      </c>
      <c r="D16" s="3" t="n">
        <v>0.77</v>
      </c>
      <c r="E16" s="3" t="n">
        <v>0.77</v>
      </c>
      <c r="F16" s="3" t="n">
        <v>0.77</v>
      </c>
      <c r="G16" s="3" t="n">
        <v>0.77</v>
      </c>
      <c r="H16" s="3" t="n">
        <v>0.77</v>
      </c>
      <c r="I16" s="3" t="n">
        <v>0.77</v>
      </c>
      <c r="J16" s="3" t="n">
        <v>0.77</v>
      </c>
      <c r="K16" s="3" t="n">
        <v>0.77</v>
      </c>
      <c r="L16" s="3" t="n">
        <v>0.77</v>
      </c>
    </row>
    <row r="17" customFormat="false" ht="15" hidden="false" customHeight="false" outlineLevel="0" collapsed="false">
      <c r="A17" s="0" t="s">
        <v>101</v>
      </c>
      <c r="C17" s="3" t="n">
        <v>5.2</v>
      </c>
      <c r="D17" s="3" t="n">
        <v>5.2</v>
      </c>
      <c r="E17" s="3" t="n">
        <v>5.2</v>
      </c>
      <c r="F17" s="3" t="n">
        <v>5.2</v>
      </c>
      <c r="G17" s="3" t="n">
        <v>5.2</v>
      </c>
      <c r="H17" s="3" t="n">
        <v>5.2</v>
      </c>
      <c r="I17" s="3" t="n">
        <v>5.2</v>
      </c>
      <c r="J17" s="3" t="n">
        <v>5.2</v>
      </c>
      <c r="K17" s="3" t="n">
        <v>5.2</v>
      </c>
      <c r="L17" s="3" t="n">
        <v>5.2</v>
      </c>
    </row>
    <row r="18" customFormat="false" ht="15" hidden="false" customHeight="false" outlineLevel="0" collapsed="false">
      <c r="A18" s="0" t="s">
        <v>102</v>
      </c>
      <c r="C18" s="3" t="n">
        <v>4.4</v>
      </c>
      <c r="D18" s="3" t="n">
        <v>4.4</v>
      </c>
      <c r="E18" s="3" t="n">
        <v>4.4</v>
      </c>
      <c r="F18" s="3" t="n">
        <v>4.4</v>
      </c>
      <c r="G18" s="3" t="n">
        <v>4.4</v>
      </c>
      <c r="H18" s="3" t="n">
        <v>4.4</v>
      </c>
      <c r="I18" s="3" t="n">
        <v>4.4</v>
      </c>
      <c r="J18" s="3" t="n">
        <v>4.4</v>
      </c>
      <c r="K18" s="3" t="n">
        <v>4.4</v>
      </c>
      <c r="L18" s="3" t="n">
        <v>4.4</v>
      </c>
    </row>
    <row r="19" customFormat="false" ht="15" hidden="false" customHeight="false" outlineLevel="0" collapsed="false">
      <c r="A19" s="0" t="s">
        <v>103</v>
      </c>
      <c r="C19" s="3" t="n">
        <v>19</v>
      </c>
      <c r="D19" s="3" t="n">
        <v>19</v>
      </c>
      <c r="E19" s="3" t="n">
        <v>19</v>
      </c>
      <c r="F19" s="3" t="n">
        <v>19</v>
      </c>
      <c r="G19" s="3" t="n">
        <v>19</v>
      </c>
      <c r="H19" s="3" t="n">
        <v>19</v>
      </c>
      <c r="I19" s="3" t="n">
        <v>19</v>
      </c>
      <c r="J19" s="3" t="n">
        <v>19</v>
      </c>
      <c r="K19" s="3" t="n">
        <v>19</v>
      </c>
      <c r="L19" s="3" t="n">
        <v>19</v>
      </c>
    </row>
    <row r="20" customFormat="false" ht="15" hidden="false" customHeight="false" outlineLevel="0" collapsed="false">
      <c r="A20" s="0" t="s">
        <v>104</v>
      </c>
      <c r="B20" s="3" t="n">
        <v>9</v>
      </c>
    </row>
    <row r="21" customFormat="false" ht="15" hidden="false" customHeight="false" outlineLevel="0" collapsed="false">
      <c r="A21" s="0" t="s">
        <v>105</v>
      </c>
      <c r="B21" s="3" t="n">
        <v>1.5</v>
      </c>
    </row>
    <row r="22" customFormat="false" ht="15" hidden="false" customHeight="false" outlineLevel="0" collapsed="false">
      <c r="A22" s="0" t="s">
        <v>106</v>
      </c>
      <c r="B22" s="3" t="n">
        <v>12</v>
      </c>
    </row>
    <row r="23" customFormat="false" ht="15" hidden="false" customHeight="false" outlineLevel="0" collapsed="false">
      <c r="A23" s="0" t="s">
        <v>107</v>
      </c>
      <c r="B23" s="3" t="n">
        <v>0</v>
      </c>
    </row>
    <row r="24" customFormat="false" ht="15" hidden="false" customHeight="false" outlineLevel="0" collapsed="false">
      <c r="A24" s="0" t="s">
        <v>108</v>
      </c>
      <c r="B24" s="3" t="n">
        <v>0.25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6</v>
      </c>
      <c r="D27" s="3" t="n">
        <v>5</v>
      </c>
      <c r="E27" s="3" t="n">
        <v>4</v>
      </c>
      <c r="F27" s="3" t="n">
        <v>4</v>
      </c>
      <c r="G27" s="3" t="n">
        <v>3.5</v>
      </c>
      <c r="H27" s="3" t="n">
        <v>3</v>
      </c>
      <c r="I27" s="3" t="n">
        <v>3</v>
      </c>
      <c r="J27" s="3" t="n">
        <v>3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98</v>
      </c>
      <c r="C28" s="3" t="n">
        <v>12.5</v>
      </c>
      <c r="D28" s="3" t="n">
        <v>12.6</v>
      </c>
      <c r="E28" s="3" t="n">
        <v>12.7</v>
      </c>
      <c r="F28" s="3" t="n">
        <v>12.8</v>
      </c>
      <c r="G28" s="3" t="n">
        <v>12.8</v>
      </c>
      <c r="H28" s="3" t="n">
        <v>12.8</v>
      </c>
      <c r="I28" s="3" t="n">
        <v>12.8</v>
      </c>
      <c r="J28" s="3" t="n">
        <v>12.8</v>
      </c>
      <c r="K28" s="3" t="n">
        <v>12.8</v>
      </c>
      <c r="L28" s="3" t="n">
        <v>12.8</v>
      </c>
    </row>
    <row r="29" customFormat="false" ht="15" hidden="false" customHeight="false" outlineLevel="0" collapsed="false">
      <c r="A29" s="0" t="s">
        <v>99</v>
      </c>
      <c r="C29" s="3" t="n">
        <v>0.05</v>
      </c>
      <c r="D29" s="3" t="n">
        <v>0.05</v>
      </c>
      <c r="E29" s="3" t="n">
        <v>0.05</v>
      </c>
      <c r="F29" s="3" t="n">
        <v>0.05</v>
      </c>
      <c r="G29" s="3" t="n">
        <v>0.05</v>
      </c>
      <c r="H29" s="3" t="n">
        <v>0.05</v>
      </c>
      <c r="I29" s="3" t="n">
        <v>0.05</v>
      </c>
      <c r="J29" s="3" t="n">
        <v>0.05</v>
      </c>
      <c r="K29" s="3" t="n">
        <v>0.05</v>
      </c>
      <c r="L29" s="3" t="n">
        <v>0.05</v>
      </c>
    </row>
    <row r="30" customFormat="false" ht="15" hidden="false" customHeight="false" outlineLevel="0" collapsed="false">
      <c r="A30" s="0" t="s">
        <v>100</v>
      </c>
      <c r="C30" s="3" t="n">
        <v>0.77</v>
      </c>
      <c r="D30" s="3" t="n">
        <v>0.77</v>
      </c>
      <c r="E30" s="3" t="n">
        <v>0.77</v>
      </c>
      <c r="F30" s="3" t="n">
        <v>0.77</v>
      </c>
      <c r="G30" s="3" t="n">
        <v>0.77</v>
      </c>
      <c r="H30" s="3" t="n">
        <v>0.77</v>
      </c>
      <c r="I30" s="3" t="n">
        <v>0.77</v>
      </c>
      <c r="J30" s="3" t="n">
        <v>0.77</v>
      </c>
      <c r="K30" s="3" t="n">
        <v>0.77</v>
      </c>
      <c r="L30" s="3" t="n">
        <v>0.77</v>
      </c>
    </row>
    <row r="31" customFormat="false" ht="15" hidden="false" customHeight="false" outlineLevel="0" collapsed="false">
      <c r="A31" s="0" t="s">
        <v>101</v>
      </c>
      <c r="C31" s="3" t="n">
        <v>5.2</v>
      </c>
      <c r="D31" s="3" t="n">
        <v>5.2</v>
      </c>
      <c r="E31" s="3" t="n">
        <v>5.2</v>
      </c>
      <c r="F31" s="3" t="n">
        <v>5.2</v>
      </c>
      <c r="G31" s="3" t="n">
        <v>5.2</v>
      </c>
      <c r="H31" s="3" t="n">
        <v>5.2</v>
      </c>
      <c r="I31" s="3" t="n">
        <v>5.2</v>
      </c>
      <c r="J31" s="3" t="n">
        <v>5.2</v>
      </c>
      <c r="K31" s="3" t="n">
        <v>5.2</v>
      </c>
      <c r="L31" s="3" t="n">
        <v>5.2</v>
      </c>
    </row>
    <row r="32" customFormat="false" ht="15" hidden="false" customHeight="false" outlineLevel="0" collapsed="false">
      <c r="A32" s="0" t="s">
        <v>102</v>
      </c>
      <c r="C32" s="3" t="n">
        <v>4.4</v>
      </c>
      <c r="D32" s="3" t="n">
        <v>4.4</v>
      </c>
      <c r="E32" s="3" t="n">
        <v>4.4</v>
      </c>
      <c r="F32" s="3" t="n">
        <v>4.4</v>
      </c>
      <c r="G32" s="3" t="n">
        <v>4.4</v>
      </c>
      <c r="H32" s="3" t="n">
        <v>4.4</v>
      </c>
      <c r="I32" s="3" t="n">
        <v>4.4</v>
      </c>
      <c r="J32" s="3" t="n">
        <v>4.4</v>
      </c>
      <c r="K32" s="3" t="n">
        <v>4.4</v>
      </c>
      <c r="L32" s="3" t="n">
        <v>4.4</v>
      </c>
    </row>
    <row r="33" customFormat="false" ht="15" hidden="false" customHeight="false" outlineLevel="0" collapsed="false">
      <c r="A33" s="0" t="s">
        <v>103</v>
      </c>
      <c r="C33" s="3" t="n">
        <v>19</v>
      </c>
      <c r="D33" s="3" t="n">
        <v>19</v>
      </c>
      <c r="E33" s="3" t="n">
        <v>19</v>
      </c>
      <c r="F33" s="3" t="n">
        <v>19</v>
      </c>
      <c r="G33" s="3" t="n">
        <v>19</v>
      </c>
      <c r="H33" s="3" t="n">
        <v>19</v>
      </c>
      <c r="I33" s="3" t="n">
        <v>19</v>
      </c>
      <c r="J33" s="3" t="n">
        <v>19</v>
      </c>
      <c r="K33" s="3" t="n">
        <v>19</v>
      </c>
      <c r="L33" s="3" t="n">
        <v>19</v>
      </c>
    </row>
    <row r="34" customFormat="false" ht="15" hidden="false" customHeight="false" outlineLevel="0" collapsed="false">
      <c r="A34" s="0" t="s">
        <v>104</v>
      </c>
      <c r="B34" s="3" t="n">
        <v>9</v>
      </c>
    </row>
    <row r="35" customFormat="false" ht="15" hidden="false" customHeight="false" outlineLevel="0" collapsed="false">
      <c r="A35" s="0" t="s">
        <v>105</v>
      </c>
      <c r="B35" s="3" t="n">
        <v>2</v>
      </c>
    </row>
    <row r="36" customFormat="false" ht="15" hidden="false" customHeight="false" outlineLevel="0" collapsed="false">
      <c r="A36" s="0" t="s">
        <v>106</v>
      </c>
      <c r="B36" s="3" t="n">
        <v>12</v>
      </c>
    </row>
    <row r="37" customFormat="false" ht="15" hidden="false" customHeight="false" outlineLevel="0" collapsed="false">
      <c r="A37" s="0" t="s">
        <v>107</v>
      </c>
      <c r="B37" s="3" t="n">
        <v>0</v>
      </c>
    </row>
    <row r="38" customFormat="false" ht="15" hidden="false" customHeight="false" outlineLevel="0" collapsed="false">
      <c r="A38" s="0" t="s">
        <v>108</v>
      </c>
      <c r="B38" s="3" t="n">
        <v>0.5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9</v>
      </c>
      <c r="D41" s="3" t="n">
        <v>8</v>
      </c>
      <c r="E41" s="3" t="n">
        <v>7</v>
      </c>
      <c r="F41" s="3" t="n">
        <v>6</v>
      </c>
      <c r="G41" s="3" t="n">
        <v>5</v>
      </c>
      <c r="H41" s="3" t="n">
        <v>4</v>
      </c>
      <c r="I41" s="3" t="n">
        <v>3.5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98</v>
      </c>
      <c r="C42" s="3" t="n">
        <v>12.8</v>
      </c>
      <c r="D42" s="3" t="n">
        <v>13.1</v>
      </c>
      <c r="E42" s="3" t="n">
        <v>13.4</v>
      </c>
      <c r="F42" s="3" t="n">
        <v>13.6</v>
      </c>
      <c r="G42" s="3" t="n">
        <v>13.8</v>
      </c>
      <c r="H42" s="3" t="n">
        <v>13.8</v>
      </c>
      <c r="I42" s="3" t="n">
        <v>13.8</v>
      </c>
      <c r="J42" s="3" t="n">
        <v>13.8</v>
      </c>
      <c r="K42" s="3" t="n">
        <v>13.8</v>
      </c>
      <c r="L42" s="3" t="n">
        <v>13.8</v>
      </c>
    </row>
    <row r="43" customFormat="false" ht="15" hidden="false" customHeight="false" outlineLevel="0" collapsed="false">
      <c r="A43" s="0" t="s">
        <v>99</v>
      </c>
      <c r="C43" s="3" t="n">
        <v>0.05</v>
      </c>
      <c r="D43" s="3" t="n">
        <v>0.05</v>
      </c>
      <c r="E43" s="3" t="n">
        <v>0.05</v>
      </c>
      <c r="F43" s="3" t="n">
        <v>0.05</v>
      </c>
      <c r="G43" s="3" t="n">
        <v>0.05</v>
      </c>
      <c r="H43" s="3" t="n">
        <v>0.05</v>
      </c>
      <c r="I43" s="3" t="n">
        <v>0.05</v>
      </c>
      <c r="J43" s="3" t="n">
        <v>0.05</v>
      </c>
      <c r="K43" s="3" t="n">
        <v>0.05</v>
      </c>
      <c r="L43" s="3" t="n">
        <v>0.05</v>
      </c>
    </row>
    <row r="44" customFormat="false" ht="15" hidden="false" customHeight="false" outlineLevel="0" collapsed="false">
      <c r="A44" s="0" t="s">
        <v>100</v>
      </c>
      <c r="C44" s="3" t="n">
        <v>0.77</v>
      </c>
      <c r="D44" s="3" t="n">
        <v>0.77</v>
      </c>
      <c r="E44" s="3" t="n">
        <v>0.77</v>
      </c>
      <c r="F44" s="3" t="n">
        <v>0.77</v>
      </c>
      <c r="G44" s="3" t="n">
        <v>0.77</v>
      </c>
      <c r="H44" s="3" t="n">
        <v>0.77</v>
      </c>
      <c r="I44" s="3" t="n">
        <v>0.77</v>
      </c>
      <c r="J44" s="3" t="n">
        <v>0.77</v>
      </c>
      <c r="K44" s="3" t="n">
        <v>0.77</v>
      </c>
      <c r="L44" s="3" t="n">
        <v>0.77</v>
      </c>
    </row>
    <row r="45" customFormat="false" ht="15" hidden="false" customHeight="false" outlineLevel="0" collapsed="false">
      <c r="A45" s="0" t="s">
        <v>101</v>
      </c>
      <c r="C45" s="3" t="n">
        <v>5.2</v>
      </c>
      <c r="D45" s="3" t="n">
        <v>5.2</v>
      </c>
      <c r="E45" s="3" t="n">
        <v>5.2</v>
      </c>
      <c r="F45" s="3" t="n">
        <v>5.2</v>
      </c>
      <c r="G45" s="3" t="n">
        <v>5.2</v>
      </c>
      <c r="H45" s="3" t="n">
        <v>5.2</v>
      </c>
      <c r="I45" s="3" t="n">
        <v>5.2</v>
      </c>
      <c r="J45" s="3" t="n">
        <v>5.2</v>
      </c>
      <c r="K45" s="3" t="n">
        <v>5.2</v>
      </c>
      <c r="L45" s="3" t="n">
        <v>5.2</v>
      </c>
    </row>
    <row r="46" customFormat="false" ht="15" hidden="false" customHeight="false" outlineLevel="0" collapsed="false">
      <c r="A46" s="0" t="s">
        <v>102</v>
      </c>
      <c r="C46" s="3" t="n">
        <v>4.4</v>
      </c>
      <c r="D46" s="3" t="n">
        <v>4.4</v>
      </c>
      <c r="E46" s="3" t="n">
        <v>4.4</v>
      </c>
      <c r="F46" s="3" t="n">
        <v>4.4</v>
      </c>
      <c r="G46" s="3" t="n">
        <v>4.4</v>
      </c>
      <c r="H46" s="3" t="n">
        <v>4.4</v>
      </c>
      <c r="I46" s="3" t="n">
        <v>4.4</v>
      </c>
      <c r="J46" s="3" t="n">
        <v>4.4</v>
      </c>
      <c r="K46" s="3" t="n">
        <v>4.4</v>
      </c>
      <c r="L46" s="3" t="n">
        <v>4.4</v>
      </c>
    </row>
    <row r="47" customFormat="false" ht="15" hidden="false" customHeight="false" outlineLevel="0" collapsed="false">
      <c r="A47" s="0" t="s">
        <v>103</v>
      </c>
      <c r="C47" s="3" t="n">
        <v>19</v>
      </c>
      <c r="D47" s="3" t="n">
        <v>19</v>
      </c>
      <c r="E47" s="3" t="n">
        <v>19</v>
      </c>
      <c r="F47" s="3" t="n">
        <v>19</v>
      </c>
      <c r="G47" s="3" t="n">
        <v>19</v>
      </c>
      <c r="H47" s="3" t="n">
        <v>19</v>
      </c>
      <c r="I47" s="3" t="n">
        <v>19</v>
      </c>
      <c r="J47" s="3" t="n">
        <v>19</v>
      </c>
      <c r="K47" s="3" t="n">
        <v>19</v>
      </c>
      <c r="L47" s="3" t="n">
        <v>19</v>
      </c>
    </row>
    <row r="48" customFormat="false" ht="15" hidden="false" customHeight="false" outlineLevel="0" collapsed="false">
      <c r="A48" s="0" t="s">
        <v>104</v>
      </c>
      <c r="B48" s="3" t="n">
        <v>9</v>
      </c>
    </row>
    <row r="49" customFormat="false" ht="15" hidden="false" customHeight="false" outlineLevel="0" collapsed="false">
      <c r="A49" s="0" t="s">
        <v>105</v>
      </c>
      <c r="B49" s="3" t="n">
        <v>2.5</v>
      </c>
    </row>
    <row r="50" customFormat="false" ht="15" hidden="false" customHeight="false" outlineLevel="0" collapsed="false">
      <c r="A50" s="0" t="s">
        <v>106</v>
      </c>
      <c r="B50" s="3" t="n">
        <v>12</v>
      </c>
    </row>
    <row r="51" customFormat="false" ht="15" hidden="false" customHeight="false" outlineLevel="0" collapsed="false">
      <c r="A51" s="0" t="s">
        <v>107</v>
      </c>
      <c r="B51" s="3" t="n">
        <v>0</v>
      </c>
    </row>
    <row r="52" customFormat="false" ht="15" hidden="false" customHeight="false" outlineLevel="0" collapsed="false">
      <c r="A52" s="0" t="s">
        <v>108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-8</v>
      </c>
      <c r="D5" s="4" t="n">
        <f aca="false">Assumptions!D13</f>
        <v>-4</v>
      </c>
      <c r="E5" s="4" t="n">
        <f aca="false">Assumptions!E13</f>
        <v>3</v>
      </c>
      <c r="F5" s="4" t="n">
        <f aca="false">Assumptions!F13</f>
        <v>4</v>
      </c>
      <c r="G5" s="4" t="n">
        <f aca="false">Assumptions!G13</f>
        <v>3</v>
      </c>
      <c r="H5" s="4" t="n">
        <f aca="false">Assumptions!H13</f>
        <v>2.5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231809.3</v>
      </c>
      <c r="C6" s="0" t="n">
        <f aca="false">B6*(1+C5/100)</f>
        <v>213264.556</v>
      </c>
      <c r="D6" s="0" t="n">
        <f aca="false">C6*(1+D5/100)</f>
        <v>204733.97376</v>
      </c>
      <c r="E6" s="0" t="n">
        <f aca="false">D6*(1+E5/100)</f>
        <v>210875.9929728</v>
      </c>
      <c r="F6" s="0" t="n">
        <f aca="false">E6*(1+F5/100)</f>
        <v>219311.032691712</v>
      </c>
      <c r="G6" s="0" t="n">
        <f aca="false">F6*(1+G5/100)</f>
        <v>225890.363672463</v>
      </c>
      <c r="H6" s="0" t="n">
        <f aca="false">G6*(1+H5/100)</f>
        <v>231537.622764275</v>
      </c>
      <c r="I6" s="0" t="n">
        <f aca="false">H6*(1+I5/100)</f>
        <v>236168.37521956</v>
      </c>
      <c r="J6" s="0" t="n">
        <f aca="false">I6*(1+J5/100)</f>
        <v>240891.742723952</v>
      </c>
      <c r="K6" s="0" t="n">
        <f aca="false">J6*(1+K5/100)</f>
        <v>245709.577578431</v>
      </c>
      <c r="L6" s="0" t="n">
        <f aca="false">K6*(1+L5/100)</f>
        <v>250623.769129999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11</v>
      </c>
      <c r="D7" s="4" t="n">
        <f aca="false">Assumptions!D14</f>
        <v>10.5</v>
      </c>
      <c r="E7" s="4" t="n">
        <f aca="false">Assumptions!E14</f>
        <v>11</v>
      </c>
      <c r="F7" s="4" t="n">
        <f aca="false">Assumptions!F14</f>
        <v>11.5</v>
      </c>
      <c r="G7" s="4" t="n">
        <f aca="false">Assumptions!G14</f>
        <v>11.5</v>
      </c>
      <c r="H7" s="4" t="n">
        <f aca="false">Assumptions!H14</f>
        <v>11.5</v>
      </c>
      <c r="I7" s="4" t="n">
        <f aca="false">Assumptions!I14</f>
        <v>11.5</v>
      </c>
      <c r="J7" s="4" t="n">
        <f aca="false">Assumptions!J14</f>
        <v>11.5</v>
      </c>
      <c r="K7" s="4" t="n">
        <f aca="false">Assumptions!K14</f>
        <v>11.5</v>
      </c>
      <c r="L7" s="4" t="n">
        <f aca="false">Assumptions!L14</f>
        <v>11.5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23459.10116</v>
      </c>
      <c r="D8" s="0" t="n">
        <f aca="false">D6*D7/100</f>
        <v>21497.0672448</v>
      </c>
      <c r="E8" s="0" t="n">
        <f aca="false">E6*E7/100</f>
        <v>23196.359227008</v>
      </c>
      <c r="F8" s="0" t="n">
        <f aca="false">F6*F7/100</f>
        <v>25220.7687595469</v>
      </c>
      <c r="G8" s="0" t="n">
        <f aca="false">G6*G7/100</f>
        <v>25977.3918223333</v>
      </c>
      <c r="H8" s="0" t="n">
        <f aca="false">H6*H7/100</f>
        <v>26626.8266178916</v>
      </c>
      <c r="I8" s="0" t="n">
        <f aca="false">I6*I7/100</f>
        <v>27159.3631502495</v>
      </c>
      <c r="J8" s="0" t="n">
        <f aca="false">J6*J7/100</f>
        <v>27702.5504132544</v>
      </c>
      <c r="K8" s="0" t="n">
        <f aca="false">K6*K7/100</f>
        <v>28256.6014215195</v>
      </c>
      <c r="L8" s="0" t="n">
        <f aca="false">L6*L7/100</f>
        <v>28821.7334499499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0.05</v>
      </c>
      <c r="D9" s="4" t="n">
        <f aca="false">Assumptions!D15</f>
        <v>0.05</v>
      </c>
      <c r="E9" s="4" t="n">
        <f aca="false">Assumptions!E15</f>
        <v>0.05</v>
      </c>
      <c r="F9" s="4" t="n">
        <f aca="false">Assumptions!F15</f>
        <v>0.05</v>
      </c>
      <c r="G9" s="4" t="n">
        <f aca="false">Assumptions!G15</f>
        <v>0.05</v>
      </c>
      <c r="H9" s="4" t="n">
        <f aca="false">Assumptions!H15</f>
        <v>0.05</v>
      </c>
      <c r="I9" s="4" t="n">
        <f aca="false">Assumptions!I15</f>
        <v>0.05</v>
      </c>
      <c r="J9" s="4" t="n">
        <f aca="false">Assumptions!J15</f>
        <v>0.05</v>
      </c>
      <c r="K9" s="4" t="n">
        <f aca="false">Assumptions!K15</f>
        <v>0.05</v>
      </c>
      <c r="L9" s="4" t="n">
        <f aca="false">Assumptions!L15</f>
        <v>0.05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-106.632278</v>
      </c>
      <c r="D10" s="0" t="n">
        <f aca="false">-D6*D9/100</f>
        <v>-102.36698688</v>
      </c>
      <c r="E10" s="0" t="n">
        <f aca="false">-E6*E9/100</f>
        <v>-105.4379964864</v>
      </c>
      <c r="F10" s="0" t="n">
        <f aca="false">-F6*F9/100</f>
        <v>-109.655516345856</v>
      </c>
      <c r="G10" s="0" t="n">
        <f aca="false">-G6*G9/100</f>
        <v>-112.945181836232</v>
      </c>
      <c r="H10" s="0" t="n">
        <f aca="false">-H6*H9/100</f>
        <v>-115.768811382137</v>
      </c>
      <c r="I10" s="0" t="n">
        <f aca="false">-I6*I9/100</f>
        <v>-118.08418760978</v>
      </c>
      <c r="J10" s="0" t="n">
        <f aca="false">-J6*J9/100</f>
        <v>-120.445871361976</v>
      </c>
      <c r="K10" s="0" t="n">
        <f aca="false">-K6*K9/100</f>
        <v>-122.854788789215</v>
      </c>
      <c r="L10" s="0" t="n">
        <f aca="false">-L6*L9/100</f>
        <v>-125.311884565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21710.3318008</v>
      </c>
      <c r="D11" s="0" t="n">
        <f aca="false">D8+D10+D24</f>
        <v>19818.248659968</v>
      </c>
      <c r="E11" s="0" t="n">
        <f aca="false">E8+E10+E24</f>
        <v>21467.176084631</v>
      </c>
      <c r="F11" s="0" t="n">
        <f aca="false">F8+F10+F24</f>
        <v>23422.4182914748</v>
      </c>
      <c r="G11" s="0" t="n">
        <f aca="false">G8+G10+G24</f>
        <v>24125.0908402191</v>
      </c>
      <c r="H11" s="0" t="n">
        <f aca="false">H8+H10+H24</f>
        <v>24728.2181112246</v>
      </c>
      <c r="I11" s="0" t="n">
        <f aca="false">I8+I10+I24</f>
        <v>25222.7824734491</v>
      </c>
      <c r="J11" s="0" t="n">
        <f aca="false">J8+J10+J24</f>
        <v>25727.238122918</v>
      </c>
      <c r="K11" s="0" t="n">
        <f aca="false">K8+K10+K24</f>
        <v>26241.7828853764</v>
      </c>
      <c r="L11" s="0" t="n">
        <f aca="false">L8+L10+L24</f>
        <v>26766.6185430839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-11089.756912</v>
      </c>
      <c r="D12" s="4" t="n">
        <f aca="false">-D6*Assumptions!D17/100</f>
        <v>-10646.16663552</v>
      </c>
      <c r="E12" s="4" t="n">
        <f aca="false">-E6*Assumptions!E17/100</f>
        <v>-10965.5516345856</v>
      </c>
      <c r="F12" s="4" t="n">
        <f aca="false">-F6*Assumptions!F17/100</f>
        <v>-11404.173699969</v>
      </c>
      <c r="G12" s="4" t="n">
        <f aca="false">-G6*Assumptions!G17/100</f>
        <v>-11746.2989109681</v>
      </c>
      <c r="H12" s="4" t="n">
        <f aca="false">-H6*Assumptions!H17/100</f>
        <v>-12039.9563837423</v>
      </c>
      <c r="I12" s="4" t="n">
        <f aca="false">-I6*Assumptions!I17/100</f>
        <v>-12280.7555114171</v>
      </c>
      <c r="J12" s="4" t="n">
        <f aca="false">-J6*Assumptions!J17/100</f>
        <v>-12526.3706216455</v>
      </c>
      <c r="K12" s="4" t="n">
        <f aca="false">-K6*Assumptions!K17/100</f>
        <v>-12776.8980340784</v>
      </c>
      <c r="L12" s="4" t="n">
        <f aca="false">-L6*Assumptions!L17/100</f>
        <v>-13032.43599476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10620.5748888</v>
      </c>
      <c r="D13" s="0" t="n">
        <f aca="false">D11+D12</f>
        <v>9172.082024448</v>
      </c>
      <c r="E13" s="0" t="n">
        <f aca="false">E11+E12</f>
        <v>10501.6244500454</v>
      </c>
      <c r="F13" s="0" t="n">
        <f aca="false">F11+F12</f>
        <v>12018.2445915058</v>
      </c>
      <c r="G13" s="0" t="n">
        <f aca="false">G11+G12</f>
        <v>12378.791929251</v>
      </c>
      <c r="H13" s="0" t="n">
        <f aca="false">H11+H12</f>
        <v>12688.2617274823</v>
      </c>
      <c r="I13" s="0" t="n">
        <f aca="false">I11+I12</f>
        <v>12942.0269620319</v>
      </c>
      <c r="J13" s="0" t="n">
        <f aca="false">J11+J12</f>
        <v>13200.8675012726</v>
      </c>
      <c r="K13" s="0" t="n">
        <f aca="false">K11+K12</f>
        <v>13464.884851298</v>
      </c>
      <c r="L13" s="0" t="n">
        <f aca="false">L11+L12</f>
        <v>13734.182548324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19</v>
      </c>
      <c r="D14" s="4" t="n">
        <f aca="false">Assumptions!D19</f>
        <v>19</v>
      </c>
      <c r="E14" s="4" t="n">
        <f aca="false">Assumptions!E19</f>
        <v>19</v>
      </c>
      <c r="F14" s="4" t="n">
        <f aca="false">Assumptions!F19</f>
        <v>19</v>
      </c>
      <c r="G14" s="4" t="n">
        <f aca="false">Assumptions!G19</f>
        <v>19</v>
      </c>
      <c r="H14" s="4" t="n">
        <f aca="false">Assumptions!H19</f>
        <v>19</v>
      </c>
      <c r="I14" s="4" t="n">
        <f aca="false">Assumptions!I19</f>
        <v>19</v>
      </c>
      <c r="J14" s="4" t="n">
        <f aca="false">Assumptions!J19</f>
        <v>19</v>
      </c>
      <c r="K14" s="4" t="n">
        <f aca="false">Assumptions!K19</f>
        <v>19</v>
      </c>
      <c r="L14" s="4" t="n">
        <f aca="false">Assumptions!L19</f>
        <v>19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8602.665659928</v>
      </c>
      <c r="D15" s="0" t="n">
        <f aca="false">D13-MAX(0,D13)*D14/100</f>
        <v>7429.38643980288</v>
      </c>
      <c r="E15" s="0" t="n">
        <f aca="false">E13-MAX(0,E13)*E14/100</f>
        <v>8506.31580453681</v>
      </c>
      <c r="F15" s="0" t="n">
        <f aca="false">F13-MAX(0,F13)*F14/100</f>
        <v>9734.77811911971</v>
      </c>
      <c r="G15" s="0" t="n">
        <f aca="false">G13-MAX(0,G13)*G14/100</f>
        <v>10026.8214626933</v>
      </c>
      <c r="H15" s="0" t="n">
        <f aca="false">H13-MAX(0,H13)*H14/100</f>
        <v>10277.4919992606</v>
      </c>
      <c r="I15" s="0" t="n">
        <f aca="false">I13-MAX(0,I13)*I14/100</f>
        <v>10483.0418392458</v>
      </c>
      <c r="J15" s="0" t="n">
        <f aca="false">J13-MAX(0,J13)*J14/100</f>
        <v>10692.7026760308</v>
      </c>
      <c r="K15" s="0" t="n">
        <f aca="false">K13-MAX(0,K13)*K14/100</f>
        <v>10906.5567295514</v>
      </c>
      <c r="L15" s="0" t="n">
        <f aca="false">L13-MAX(0,L13)*L14/100</f>
        <v>11124.6878641424</v>
      </c>
    </row>
    <row r="16" customFormat="false" ht="15" hidden="false" customHeight="false" outlineLevel="0" collapsed="false">
      <c r="A16" s="0" t="s">
        <v>119</v>
      </c>
      <c r="C16" s="0" t="n">
        <f aca="false">-C12</f>
        <v>11089.756912</v>
      </c>
      <c r="D16" s="0" t="n">
        <f aca="false">-D12</f>
        <v>10646.16663552</v>
      </c>
      <c r="E16" s="0" t="n">
        <f aca="false">-E12</f>
        <v>10965.5516345856</v>
      </c>
      <c r="F16" s="0" t="n">
        <f aca="false">-F12</f>
        <v>11404.173699969</v>
      </c>
      <c r="G16" s="0" t="n">
        <f aca="false">-G12</f>
        <v>11746.2989109681</v>
      </c>
      <c r="H16" s="0" t="n">
        <f aca="false">-H12</f>
        <v>12039.9563837423</v>
      </c>
      <c r="I16" s="0" t="n">
        <f aca="false">-I12</f>
        <v>12280.7555114171</v>
      </c>
      <c r="J16" s="0" t="n">
        <f aca="false">-J12</f>
        <v>12526.3706216455</v>
      </c>
      <c r="K16" s="0" t="n">
        <f aca="false">-K12</f>
        <v>12776.8980340784</v>
      </c>
      <c r="L16" s="0" t="n">
        <f aca="false">-L12</f>
        <v>13032.43599476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-9383.640464</v>
      </c>
      <c r="D17" s="4" t="n">
        <f aca="false">-D6*Assumptions!D18/100</f>
        <v>-9008.29484544</v>
      </c>
      <c r="E17" s="4" t="n">
        <f aca="false">-E6*Assumptions!E18/100</f>
        <v>-9278.5436908032</v>
      </c>
      <c r="F17" s="4" t="n">
        <f aca="false">-F6*Assumptions!F18/100</f>
        <v>-9649.68543843533</v>
      </c>
      <c r="G17" s="4" t="n">
        <f aca="false">-G6*Assumptions!G18/100</f>
        <v>-9939.17600158839</v>
      </c>
      <c r="H17" s="4" t="n">
        <f aca="false">-H6*Assumptions!H18/100</f>
        <v>-10187.6554016281</v>
      </c>
      <c r="I17" s="4" t="n">
        <f aca="false">-I6*Assumptions!I18/100</f>
        <v>-10391.4085096607</v>
      </c>
      <c r="J17" s="4" t="n">
        <f aca="false">-J6*Assumptions!J18/100</f>
        <v>-10599.2366798539</v>
      </c>
      <c r="K17" s="4" t="n">
        <f aca="false">-K6*Assumptions!K18/100</f>
        <v>-10811.221413451</v>
      </c>
      <c r="L17" s="4" t="n">
        <f aca="false">-L6*Assumptions!L18/100</f>
        <v>-11027.44584172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-0</v>
      </c>
      <c r="D18" s="4" t="n">
        <f aca="false">(D6-C6)*Assumptions!$B$23/100</f>
        <v>-0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10308.782107928</v>
      </c>
      <c r="D19" s="0" t="n">
        <f aca="false">D15+D16+D17+D18</f>
        <v>9067.25822988288</v>
      </c>
      <c r="E19" s="0" t="n">
        <f aca="false">E15+E16+E17+E18</f>
        <v>10193.3237483192</v>
      </c>
      <c r="F19" s="0" t="n">
        <f aca="false">F15+F16+F17+F18</f>
        <v>11489.2663806534</v>
      </c>
      <c r="G19" s="0" t="n">
        <f aca="false">G15+G16+G17+G18</f>
        <v>11833.944372073</v>
      </c>
      <c r="H19" s="0" t="n">
        <f aca="false">H15+H16+H17+H18</f>
        <v>12129.7929813748</v>
      </c>
      <c r="I19" s="0" t="n">
        <f aca="false">I15+I16+I17+I18</f>
        <v>12372.3888410023</v>
      </c>
      <c r="J19" s="0" t="n">
        <f aca="false">J15+J16+J17+J18</f>
        <v>12619.8366178224</v>
      </c>
      <c r="K19" s="0" t="n">
        <f aca="false">K15+K16+K17+K18</f>
        <v>12872.2333501788</v>
      </c>
      <c r="L19" s="0" t="n">
        <f aca="false">L15+L16+L17+L18</f>
        <v>13129.6780171824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9457.59826415413</v>
      </c>
      <c r="D21" s="0" t="n">
        <f aca="false">D19*D20</f>
        <v>7631.72984587398</v>
      </c>
      <c r="E21" s="0" t="n">
        <f aca="false">E19*E20</f>
        <v>7871.11620536622</v>
      </c>
      <c r="F21" s="0" t="n">
        <f aca="false">F19*F20</f>
        <v>8139.28596069866</v>
      </c>
      <c r="G21" s="0" t="n">
        <f aca="false">G19*G20</f>
        <v>7691.25187111891</v>
      </c>
      <c r="H21" s="0" t="n">
        <f aca="false">H19*H20</f>
        <v>7232.59923660265</v>
      </c>
      <c r="I21" s="0" t="n">
        <f aca="false">I19*I20</f>
        <v>6768.1203865456</v>
      </c>
      <c r="J21" s="0" t="n">
        <f aca="false">J19*J20</f>
        <v>6333.47045346469</v>
      </c>
      <c r="K21" s="0" t="n">
        <f aca="false">K19*K20</f>
        <v>5926.73381883851</v>
      </c>
      <c r="L21" s="0" t="n">
        <f aca="false">L19*L20</f>
        <v>5546.11788551861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0.77</v>
      </c>
      <c r="D23" s="4" t="n">
        <f aca="false">Assumptions!D16</f>
        <v>0.77</v>
      </c>
      <c r="E23" s="4" t="n">
        <f aca="false">Assumptions!E16</f>
        <v>0.77</v>
      </c>
      <c r="F23" s="4" t="n">
        <f aca="false">Assumptions!F16</f>
        <v>0.77</v>
      </c>
      <c r="G23" s="4" t="n">
        <f aca="false">Assumptions!G16</f>
        <v>0.77</v>
      </c>
      <c r="H23" s="4" t="n">
        <f aca="false">Assumptions!H16</f>
        <v>0.77</v>
      </c>
      <c r="I23" s="4" t="n">
        <f aca="false">Assumptions!I16</f>
        <v>0.77</v>
      </c>
      <c r="J23" s="4" t="n">
        <f aca="false">Assumptions!J16</f>
        <v>0.77</v>
      </c>
      <c r="K23" s="4" t="n">
        <f aca="false">Assumptions!K16</f>
        <v>0.77</v>
      </c>
      <c r="L23" s="4" t="n">
        <f aca="false">Assumptions!L16</f>
        <v>0.77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-1642.1370812</v>
      </c>
      <c r="D24" s="0" t="n">
        <f aca="false">-D6*D23/100</f>
        <v>-1576.451597952</v>
      </c>
      <c r="E24" s="0" t="n">
        <f aca="false">-E6*E23/100</f>
        <v>-1623.74514589056</v>
      </c>
      <c r="F24" s="0" t="n">
        <f aca="false">-F6*F23/100</f>
        <v>-1688.69495172618</v>
      </c>
      <c r="G24" s="0" t="n">
        <f aca="false">-G6*G23/100</f>
        <v>-1739.35580027797</v>
      </c>
      <c r="H24" s="0" t="n">
        <f aca="false">-H6*H23/100</f>
        <v>-1782.83969528492</v>
      </c>
      <c r="I24" s="0" t="n">
        <f aca="false">-I6*I23/100</f>
        <v>-1818.49648919062</v>
      </c>
      <c r="J24" s="0" t="n">
        <f aca="false">-J6*J23/100</f>
        <v>-1854.86641897443</v>
      </c>
      <c r="K24" s="0" t="n">
        <f aca="false">-K6*K23/100</f>
        <v>-1891.96374735392</v>
      </c>
      <c r="L24" s="0" t="n">
        <f aca="false">-L6*L23/100</f>
        <v>-1929.80302230099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72598.0239281819</v>
      </c>
    </row>
    <row r="31" customFormat="false" ht="15" hidden="false" customHeight="false" outlineLevel="0" collapsed="false">
      <c r="A31" s="0" t="s">
        <v>128</v>
      </c>
      <c r="B31" s="0" t="n">
        <f aca="false">L19</f>
        <v>13129.6780171824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177688.309165869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157556.136206189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157556.136206189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66553.4146262233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139151.438554405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125041.338554405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16.9241252492103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-0.334220092477958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720.066680121506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716.36120915749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17.1185432376185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98715.7273143714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8.95888516539159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6</v>
      </c>
      <c r="D5" s="4" t="n">
        <f aca="false">Assumptions!D27</f>
        <v>5</v>
      </c>
      <c r="E5" s="4" t="n">
        <f aca="false">Assumptions!E27</f>
        <v>4</v>
      </c>
      <c r="F5" s="4" t="n">
        <f aca="false">Assumptions!F27</f>
        <v>4</v>
      </c>
      <c r="G5" s="4" t="n">
        <f aca="false">Assumptions!G27</f>
        <v>3.5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231809.3</v>
      </c>
      <c r="C6" s="0" t="n">
        <f aca="false">B6*(1+C5/100)</f>
        <v>245717.858</v>
      </c>
      <c r="D6" s="0" t="n">
        <f aca="false">C6*(1+D5/100)</f>
        <v>258003.7509</v>
      </c>
      <c r="E6" s="0" t="n">
        <f aca="false">D6*(1+E5/100)</f>
        <v>268323.900936</v>
      </c>
      <c r="F6" s="0" t="n">
        <f aca="false">E6*(1+F5/100)</f>
        <v>279056.85697344</v>
      </c>
      <c r="G6" s="0" t="n">
        <f aca="false">F6*(1+G5/100)</f>
        <v>288823.84696751</v>
      </c>
      <c r="H6" s="0" t="n">
        <f aca="false">G6*(1+H5/100)</f>
        <v>297488.562376536</v>
      </c>
      <c r="I6" s="0" t="n">
        <f aca="false">H6*(1+I5/100)</f>
        <v>306413.219247832</v>
      </c>
      <c r="J6" s="0" t="n">
        <f aca="false">I6*(1+J5/100)</f>
        <v>315605.615825267</v>
      </c>
      <c r="K6" s="0" t="n">
        <f aca="false">J6*(1+K5/100)</f>
        <v>323495.756220898</v>
      </c>
      <c r="L6" s="0" t="n">
        <f aca="false">K6*(1+L5/100)</f>
        <v>331583.150126421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12.5</v>
      </c>
      <c r="D7" s="4" t="n">
        <f aca="false">Assumptions!D28</f>
        <v>12.6</v>
      </c>
      <c r="E7" s="4" t="n">
        <f aca="false">Assumptions!E28</f>
        <v>12.7</v>
      </c>
      <c r="F7" s="4" t="n">
        <f aca="false">Assumptions!F28</f>
        <v>12.8</v>
      </c>
      <c r="G7" s="4" t="n">
        <f aca="false">Assumptions!G28</f>
        <v>12.8</v>
      </c>
      <c r="H7" s="4" t="n">
        <f aca="false">Assumptions!H28</f>
        <v>12.8</v>
      </c>
      <c r="I7" s="4" t="n">
        <f aca="false">Assumptions!I28</f>
        <v>12.8</v>
      </c>
      <c r="J7" s="4" t="n">
        <f aca="false">Assumptions!J28</f>
        <v>12.8</v>
      </c>
      <c r="K7" s="4" t="n">
        <f aca="false">Assumptions!K28</f>
        <v>12.8</v>
      </c>
      <c r="L7" s="4" t="n">
        <f aca="false">Assumptions!L28</f>
        <v>12.8</v>
      </c>
    </row>
    <row r="8" customFormat="false" ht="15" hidden="false" customHeight="false" outlineLevel="0" collapsed="false">
      <c r="A8" s="0" t="s">
        <v>44</v>
      </c>
      <c r="C8" s="0" t="n">
        <f aca="false">C6*C7/100</f>
        <v>30714.73225</v>
      </c>
      <c r="D8" s="0" t="n">
        <f aca="false">D6*D7/100</f>
        <v>32508.4726134</v>
      </c>
      <c r="E8" s="0" t="n">
        <f aca="false">E6*E7/100</f>
        <v>34077.135418872</v>
      </c>
      <c r="F8" s="0" t="n">
        <f aca="false">F6*F7/100</f>
        <v>35719.2776926003</v>
      </c>
      <c r="G8" s="0" t="n">
        <f aca="false">G6*G7/100</f>
        <v>36969.4524118413</v>
      </c>
      <c r="H8" s="0" t="n">
        <f aca="false">H6*H7/100</f>
        <v>38078.5359841966</v>
      </c>
      <c r="I8" s="0" t="n">
        <f aca="false">I6*I7/100</f>
        <v>39220.8920637225</v>
      </c>
      <c r="J8" s="0" t="n">
        <f aca="false">J6*J7/100</f>
        <v>40397.5188256341</v>
      </c>
      <c r="K8" s="0" t="n">
        <f aca="false">K6*K7/100</f>
        <v>41407.456796275</v>
      </c>
      <c r="L8" s="0" t="n">
        <f aca="false">L6*L7/100</f>
        <v>42442.6432161819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0.05</v>
      </c>
      <c r="D9" s="4" t="n">
        <f aca="false">Assumptions!D29</f>
        <v>0.05</v>
      </c>
      <c r="E9" s="4" t="n">
        <f aca="false">Assumptions!E29</f>
        <v>0.05</v>
      </c>
      <c r="F9" s="4" t="n">
        <f aca="false">Assumptions!F29</f>
        <v>0.05</v>
      </c>
      <c r="G9" s="4" t="n">
        <f aca="false">Assumptions!G29</f>
        <v>0.05</v>
      </c>
      <c r="H9" s="4" t="n">
        <f aca="false">Assumptions!H29</f>
        <v>0.05</v>
      </c>
      <c r="I9" s="4" t="n">
        <f aca="false">Assumptions!I29</f>
        <v>0.05</v>
      </c>
      <c r="J9" s="4" t="n">
        <f aca="false">Assumptions!J29</f>
        <v>0.05</v>
      </c>
      <c r="K9" s="4" t="n">
        <f aca="false">Assumptions!K29</f>
        <v>0.05</v>
      </c>
      <c r="L9" s="4" t="n">
        <f aca="false">Assumptions!L29</f>
        <v>0.05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-122.858929</v>
      </c>
      <c r="D10" s="0" t="n">
        <f aca="false">-D6*D9/100</f>
        <v>-129.00187545</v>
      </c>
      <c r="E10" s="0" t="n">
        <f aca="false">-E6*E9/100</f>
        <v>-134.161950468</v>
      </c>
      <c r="F10" s="0" t="n">
        <f aca="false">-F6*F9/100</f>
        <v>-139.52842848672</v>
      </c>
      <c r="G10" s="0" t="n">
        <f aca="false">-G6*G9/100</f>
        <v>-144.411923483755</v>
      </c>
      <c r="H10" s="0" t="n">
        <f aca="false">-H6*H9/100</f>
        <v>-148.744281188268</v>
      </c>
      <c r="I10" s="0" t="n">
        <f aca="false">-I6*I9/100</f>
        <v>-153.206609623916</v>
      </c>
      <c r="J10" s="0" t="n">
        <f aca="false">-J6*J9/100</f>
        <v>-157.802807912633</v>
      </c>
      <c r="K10" s="0" t="n">
        <f aca="false">-K6*K9/100</f>
        <v>-161.747878110449</v>
      </c>
      <c r="L10" s="0" t="n">
        <f aca="false">-L6*L9/100</f>
        <v>-165.79157506321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28699.8458144</v>
      </c>
      <c r="D11" s="0" t="n">
        <f aca="false">D8+D10+D24</f>
        <v>30392.84185602</v>
      </c>
      <c r="E11" s="0" t="n">
        <f aca="false">E8+E10+E24</f>
        <v>31876.8794311968</v>
      </c>
      <c r="F11" s="0" t="n">
        <f aca="false">F8+F10+F24</f>
        <v>33431.0114654181</v>
      </c>
      <c r="G11" s="0" t="n">
        <f aca="false">G8+G10+G24</f>
        <v>34601.0968667078</v>
      </c>
      <c r="H11" s="0" t="n">
        <f aca="false">H8+H10+H24</f>
        <v>35639.129772709</v>
      </c>
      <c r="I11" s="0" t="n">
        <f aca="false">I8+I10+I24</f>
        <v>36708.3036658903</v>
      </c>
      <c r="J11" s="0" t="n">
        <f aca="false">J8+J10+J24</f>
        <v>37809.552775867</v>
      </c>
      <c r="K11" s="0" t="n">
        <f aca="false">K8+K10+K24</f>
        <v>38754.7915952636</v>
      </c>
      <c r="L11" s="0" t="n">
        <f aca="false">L8+L10+L24</f>
        <v>39723.6613851452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-12777.328616</v>
      </c>
      <c r="D12" s="4" t="n">
        <f aca="false">-D6*Assumptions!D31/100</f>
        <v>-13416.1950468</v>
      </c>
      <c r="E12" s="4" t="n">
        <f aca="false">-E6*Assumptions!E31/100</f>
        <v>-13952.842848672</v>
      </c>
      <c r="F12" s="4" t="n">
        <f aca="false">-F6*Assumptions!F31/100</f>
        <v>-14510.9565626189</v>
      </c>
      <c r="G12" s="4" t="n">
        <f aca="false">-G6*Assumptions!G31/100</f>
        <v>-15018.8400423105</v>
      </c>
      <c r="H12" s="4" t="n">
        <f aca="false">-H6*Assumptions!H31/100</f>
        <v>-15469.4052435799</v>
      </c>
      <c r="I12" s="4" t="n">
        <f aca="false">-I6*Assumptions!I31/100</f>
        <v>-15933.4874008873</v>
      </c>
      <c r="J12" s="4" t="n">
        <f aca="false">-J6*Assumptions!J31/100</f>
        <v>-16411.4920229139</v>
      </c>
      <c r="K12" s="4" t="n">
        <f aca="false">-K6*Assumptions!K31/100</f>
        <v>-16821.7793234867</v>
      </c>
      <c r="L12" s="4" t="n">
        <f aca="false">-L6*Assumptions!L31/100</f>
        <v>-17242.3238065739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15922.5171984</v>
      </c>
      <c r="D13" s="0" t="n">
        <f aca="false">D11+D12</f>
        <v>16976.64680922</v>
      </c>
      <c r="E13" s="0" t="n">
        <f aca="false">E11+E12</f>
        <v>17924.0365825248</v>
      </c>
      <c r="F13" s="0" t="n">
        <f aca="false">F11+F12</f>
        <v>18920.0549027992</v>
      </c>
      <c r="G13" s="0" t="n">
        <f aca="false">G11+G12</f>
        <v>19582.2568243972</v>
      </c>
      <c r="H13" s="0" t="n">
        <f aca="false">H11+H12</f>
        <v>20169.7245291291</v>
      </c>
      <c r="I13" s="0" t="n">
        <f aca="false">I11+I12</f>
        <v>20774.816265003</v>
      </c>
      <c r="J13" s="0" t="n">
        <f aca="false">J11+J12</f>
        <v>21398.0607529531</v>
      </c>
      <c r="K13" s="0" t="n">
        <f aca="false">K11+K12</f>
        <v>21933.0122717769</v>
      </c>
      <c r="L13" s="0" t="n">
        <f aca="false">L11+L12</f>
        <v>22481.3375785713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19</v>
      </c>
      <c r="D14" s="4" t="n">
        <f aca="false">Assumptions!D33</f>
        <v>19</v>
      </c>
      <c r="E14" s="4" t="n">
        <f aca="false">Assumptions!E33</f>
        <v>19</v>
      </c>
      <c r="F14" s="4" t="n">
        <f aca="false">Assumptions!F33</f>
        <v>19</v>
      </c>
      <c r="G14" s="4" t="n">
        <f aca="false">Assumptions!G33</f>
        <v>19</v>
      </c>
      <c r="H14" s="4" t="n">
        <f aca="false">Assumptions!H33</f>
        <v>19</v>
      </c>
      <c r="I14" s="4" t="n">
        <f aca="false">Assumptions!I33</f>
        <v>19</v>
      </c>
      <c r="J14" s="4" t="n">
        <f aca="false">Assumptions!J33</f>
        <v>19</v>
      </c>
      <c r="K14" s="4" t="n">
        <f aca="false">Assumptions!K33</f>
        <v>19</v>
      </c>
      <c r="L14" s="4" t="n">
        <f aca="false">Assumptions!L33</f>
        <v>19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12897.238930704</v>
      </c>
      <c r="D15" s="0" t="n">
        <f aca="false">D13-MAX(0,D13)*D14/100</f>
        <v>13751.0839154682</v>
      </c>
      <c r="E15" s="0" t="n">
        <f aca="false">E13-MAX(0,E13)*E14/100</f>
        <v>14518.4696318451</v>
      </c>
      <c r="F15" s="0" t="n">
        <f aca="false">F13-MAX(0,F13)*F14/100</f>
        <v>15325.2444712674</v>
      </c>
      <c r="G15" s="0" t="n">
        <f aca="false">G13-MAX(0,G13)*G14/100</f>
        <v>15861.6280277617</v>
      </c>
      <c r="H15" s="0" t="n">
        <f aca="false">H13-MAX(0,H13)*H14/100</f>
        <v>16337.4768685946</v>
      </c>
      <c r="I15" s="0" t="n">
        <f aca="false">I13-MAX(0,I13)*I14/100</f>
        <v>16827.6011746524</v>
      </c>
      <c r="J15" s="0" t="n">
        <f aca="false">J13-MAX(0,J13)*J14/100</f>
        <v>17332.429209892</v>
      </c>
      <c r="K15" s="0" t="n">
        <f aca="false">K13-MAX(0,K13)*K14/100</f>
        <v>17765.7399401393</v>
      </c>
      <c r="L15" s="0" t="n">
        <f aca="false">L13-MAX(0,L13)*L14/100</f>
        <v>18209.8834386428</v>
      </c>
    </row>
    <row r="16" customFormat="false" ht="15" hidden="false" customHeight="false" outlineLevel="0" collapsed="false">
      <c r="A16" s="0" t="s">
        <v>119</v>
      </c>
      <c r="C16" s="0" t="n">
        <f aca="false">-C12</f>
        <v>12777.328616</v>
      </c>
      <c r="D16" s="0" t="n">
        <f aca="false">-D12</f>
        <v>13416.1950468</v>
      </c>
      <c r="E16" s="0" t="n">
        <f aca="false">-E12</f>
        <v>13952.842848672</v>
      </c>
      <c r="F16" s="0" t="n">
        <f aca="false">-F12</f>
        <v>14510.9565626189</v>
      </c>
      <c r="G16" s="0" t="n">
        <f aca="false">-G12</f>
        <v>15018.8400423105</v>
      </c>
      <c r="H16" s="0" t="n">
        <f aca="false">-H12</f>
        <v>15469.4052435799</v>
      </c>
      <c r="I16" s="0" t="n">
        <f aca="false">-I12</f>
        <v>15933.4874008873</v>
      </c>
      <c r="J16" s="0" t="n">
        <f aca="false">-J12</f>
        <v>16411.4920229139</v>
      </c>
      <c r="K16" s="0" t="n">
        <f aca="false">-K12</f>
        <v>16821.7793234867</v>
      </c>
      <c r="L16" s="0" t="n">
        <f aca="false">-L12</f>
        <v>17242.3238065739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-10811.585752</v>
      </c>
      <c r="D17" s="4" t="n">
        <f aca="false">-D6*Assumptions!D32/100</f>
        <v>-11352.1650396</v>
      </c>
      <c r="E17" s="4" t="n">
        <f aca="false">-E6*Assumptions!E32/100</f>
        <v>-11806.251641184</v>
      </c>
      <c r="F17" s="4" t="n">
        <f aca="false">-F6*Assumptions!F32/100</f>
        <v>-12278.5017068314</v>
      </c>
      <c r="G17" s="4" t="n">
        <f aca="false">-G6*Assumptions!G32/100</f>
        <v>-12708.2492665705</v>
      </c>
      <c r="H17" s="4" t="n">
        <f aca="false">-H6*Assumptions!H32/100</f>
        <v>-13089.4967445676</v>
      </c>
      <c r="I17" s="4" t="n">
        <f aca="false">-I6*Assumptions!I32/100</f>
        <v>-13482.1816469046</v>
      </c>
      <c r="J17" s="4" t="n">
        <f aca="false">-J6*Assumptions!J32/100</f>
        <v>-13886.6470963117</v>
      </c>
      <c r="K17" s="4" t="n">
        <f aca="false">-K6*Assumptions!K32/100</f>
        <v>-14233.8132737195</v>
      </c>
      <c r="L17" s="4" t="n">
        <f aca="false">-L6*Assumptions!L32/100</f>
        <v>-14589.6586055625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14862.981794704</v>
      </c>
      <c r="D19" s="0" t="n">
        <f aca="false">D15+D16+D17+D18</f>
        <v>15815.1139226682</v>
      </c>
      <c r="E19" s="0" t="n">
        <f aca="false">E15+E16+E17+E18</f>
        <v>16665.0608393331</v>
      </c>
      <c r="F19" s="0" t="n">
        <f aca="false">F15+F16+F17+F18</f>
        <v>17557.6993270549</v>
      </c>
      <c r="G19" s="0" t="n">
        <f aca="false">G15+G16+G17+G18</f>
        <v>18172.2188035018</v>
      </c>
      <c r="H19" s="0" t="n">
        <f aca="false">H15+H16+H17+H18</f>
        <v>18717.3853676069</v>
      </c>
      <c r="I19" s="0" t="n">
        <f aca="false">I15+I16+I17+I18</f>
        <v>19278.9069286351</v>
      </c>
      <c r="J19" s="0" t="n">
        <f aca="false">J15+J16+J17+J18</f>
        <v>19857.2741364941</v>
      </c>
      <c r="K19" s="0" t="n">
        <f aca="false">K15+K16+K17+K18</f>
        <v>20353.7059899065</v>
      </c>
      <c r="L19" s="0" t="n">
        <f aca="false">L15+L16+L17+L18</f>
        <v>20862.5486396542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13635.7631144073</v>
      </c>
      <c r="D21" s="0" t="n">
        <f aca="false">D19*D20</f>
        <v>13311.2649799412</v>
      </c>
      <c r="E21" s="0" t="n">
        <f aca="false">E19*E20</f>
        <v>12868.4846743456</v>
      </c>
      <c r="F21" s="0" t="n">
        <f aca="false">F19*F20</f>
        <v>12438.3168515881</v>
      </c>
      <c r="G21" s="0" t="n">
        <f aca="false">G19*G20</f>
        <v>11810.6953590768</v>
      </c>
      <c r="H21" s="0" t="n">
        <f aca="false">H19*H20</f>
        <v>11160.5653393111</v>
      </c>
      <c r="I21" s="0" t="n">
        <f aca="false">I19*I20</f>
        <v>10546.2222931105</v>
      </c>
      <c r="J21" s="0" t="n">
        <f aca="false">J19*J20</f>
        <v>9965.69629532458</v>
      </c>
      <c r="K21" s="0" t="n">
        <f aca="false">K19*K20</f>
        <v>9371.41165386028</v>
      </c>
      <c r="L21" s="0" t="n">
        <f aca="false">L19*L20</f>
        <v>8812.56600477687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0.77</v>
      </c>
      <c r="D23" s="4" t="n">
        <f aca="false">Assumptions!D30</f>
        <v>0.77</v>
      </c>
      <c r="E23" s="4" t="n">
        <f aca="false">Assumptions!E30</f>
        <v>0.77</v>
      </c>
      <c r="F23" s="4" t="n">
        <f aca="false">Assumptions!F30</f>
        <v>0.77</v>
      </c>
      <c r="G23" s="4" t="n">
        <f aca="false">Assumptions!G30</f>
        <v>0.77</v>
      </c>
      <c r="H23" s="4" t="n">
        <f aca="false">Assumptions!H30</f>
        <v>0.77</v>
      </c>
      <c r="I23" s="4" t="n">
        <f aca="false">Assumptions!I30</f>
        <v>0.77</v>
      </c>
      <c r="J23" s="4" t="n">
        <f aca="false">Assumptions!J30</f>
        <v>0.77</v>
      </c>
      <c r="K23" s="4" t="n">
        <f aca="false">Assumptions!K30</f>
        <v>0.77</v>
      </c>
      <c r="L23" s="4" t="n">
        <f aca="false">Assumptions!L30</f>
        <v>0.77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-1892.0275066</v>
      </c>
      <c r="D24" s="0" t="n">
        <f aca="false">-D6*D23/100</f>
        <v>-1986.62888193</v>
      </c>
      <c r="E24" s="0" t="n">
        <f aca="false">-E6*E23/100</f>
        <v>-2066.0940372072</v>
      </c>
      <c r="F24" s="0" t="n">
        <f aca="false">-F6*F23/100</f>
        <v>-2148.73779869549</v>
      </c>
      <c r="G24" s="0" t="n">
        <f aca="false">-G6*G23/100</f>
        <v>-2223.94362164983</v>
      </c>
      <c r="H24" s="0" t="n">
        <f aca="false">-H6*H23/100</f>
        <v>-2290.66193029933</v>
      </c>
      <c r="I24" s="0" t="n">
        <f aca="false">-I6*I23/100</f>
        <v>-2359.38178820831</v>
      </c>
      <c r="J24" s="0" t="n">
        <f aca="false">-J6*J23/100</f>
        <v>-2430.16324185455</v>
      </c>
      <c r="K24" s="0" t="n">
        <f aca="false">-K6*K23/100</f>
        <v>-2490.91732290092</v>
      </c>
      <c r="L24" s="0" t="n">
        <f aca="false">-L6*L23/100</f>
        <v>-2553.19025597344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113920.986565742</v>
      </c>
    </row>
    <row r="31" customFormat="false" ht="15" hidden="false" customHeight="false" outlineLevel="0" collapsed="false">
      <c r="A31" s="0" t="s">
        <v>128</v>
      </c>
      <c r="B31" s="0" t="n">
        <f aca="false">L19</f>
        <v>20862.5486396542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303997.137320675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250350.58367585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250350.58367585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105750.792057322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219671.778623065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205561.678623065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27.8224116574135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0.0945087198038344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913.795745675043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1020.46851512767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28.0842109231071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163690.766249594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15.4350295456406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9</v>
      </c>
      <c r="D5" s="4" t="n">
        <f aca="false">Assumptions!D41</f>
        <v>8</v>
      </c>
      <c r="E5" s="4" t="n">
        <f aca="false">Assumptions!E41</f>
        <v>7</v>
      </c>
      <c r="F5" s="4" t="n">
        <f aca="false">Assumptions!F41</f>
        <v>6</v>
      </c>
      <c r="G5" s="4" t="n">
        <f aca="false">Assumptions!G41</f>
        <v>5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231809.3</v>
      </c>
      <c r="C6" s="0" t="n">
        <f aca="false">B6*(1+C5/100)</f>
        <v>252672.137</v>
      </c>
      <c r="D6" s="0" t="n">
        <f aca="false">C6*(1+D5/100)</f>
        <v>272885.90796</v>
      </c>
      <c r="E6" s="0" t="n">
        <f aca="false">D6*(1+E5/100)</f>
        <v>291987.9215172</v>
      </c>
      <c r="F6" s="0" t="n">
        <f aca="false">E6*(1+F5/100)</f>
        <v>309507.196808232</v>
      </c>
      <c r="G6" s="0" t="n">
        <f aca="false">F6*(1+G5/100)</f>
        <v>324982.556648644</v>
      </c>
      <c r="H6" s="0" t="n">
        <f aca="false">G6*(1+H5/100)</f>
        <v>337981.85891459</v>
      </c>
      <c r="I6" s="0" t="n">
        <f aca="false">H6*(1+I5/100)</f>
        <v>349811.2239766</v>
      </c>
      <c r="J6" s="0" t="n">
        <f aca="false">I6*(1+J5/100)</f>
        <v>360305.560695898</v>
      </c>
      <c r="K6" s="0" t="n">
        <f aca="false">J6*(1+K5/100)</f>
        <v>371114.727516775</v>
      </c>
      <c r="L6" s="0" t="n">
        <f aca="false">K6*(1+L5/100)</f>
        <v>382248.169342278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12.8</v>
      </c>
      <c r="D7" s="4" t="n">
        <f aca="false">Assumptions!D42</f>
        <v>13.1</v>
      </c>
      <c r="E7" s="4" t="n">
        <f aca="false">Assumptions!E42</f>
        <v>13.4</v>
      </c>
      <c r="F7" s="4" t="n">
        <f aca="false">Assumptions!F42</f>
        <v>13.6</v>
      </c>
      <c r="G7" s="4" t="n">
        <f aca="false">Assumptions!G42</f>
        <v>13.8</v>
      </c>
      <c r="H7" s="4" t="n">
        <f aca="false">Assumptions!H42</f>
        <v>13.8</v>
      </c>
      <c r="I7" s="4" t="n">
        <f aca="false">Assumptions!I42</f>
        <v>13.8</v>
      </c>
      <c r="J7" s="4" t="n">
        <f aca="false">Assumptions!J42</f>
        <v>13.8</v>
      </c>
      <c r="K7" s="4" t="n">
        <f aca="false">Assumptions!K42</f>
        <v>13.8</v>
      </c>
      <c r="L7" s="4" t="n">
        <f aca="false">Assumptions!L42</f>
        <v>13.8</v>
      </c>
    </row>
    <row r="8" customFormat="false" ht="15" hidden="false" customHeight="false" outlineLevel="0" collapsed="false">
      <c r="A8" s="0" t="s">
        <v>44</v>
      </c>
      <c r="C8" s="0" t="n">
        <f aca="false">C6*C7/100</f>
        <v>32342.033536</v>
      </c>
      <c r="D8" s="0" t="n">
        <f aca="false">D6*D7/100</f>
        <v>35748.05394276</v>
      </c>
      <c r="E8" s="0" t="n">
        <f aca="false">E6*E7/100</f>
        <v>39126.3814833048</v>
      </c>
      <c r="F8" s="0" t="n">
        <f aca="false">F6*F7/100</f>
        <v>42092.9787659196</v>
      </c>
      <c r="G8" s="0" t="n">
        <f aca="false">G6*G7/100</f>
        <v>44847.5928175128</v>
      </c>
      <c r="H8" s="0" t="n">
        <f aca="false">H6*H7/100</f>
        <v>46641.4965302134</v>
      </c>
      <c r="I8" s="0" t="n">
        <f aca="false">I6*I7/100</f>
        <v>48273.9489087708</v>
      </c>
      <c r="J8" s="0" t="n">
        <f aca="false">J6*J7/100</f>
        <v>49722.1673760339</v>
      </c>
      <c r="K8" s="0" t="n">
        <f aca="false">K6*K7/100</f>
        <v>51213.832397315</v>
      </c>
      <c r="L8" s="0" t="n">
        <f aca="false">L6*L7/100</f>
        <v>52750.2473692344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0.05</v>
      </c>
      <c r="D9" s="4" t="n">
        <f aca="false">Assumptions!D43</f>
        <v>0.05</v>
      </c>
      <c r="E9" s="4" t="n">
        <f aca="false">Assumptions!E43</f>
        <v>0.05</v>
      </c>
      <c r="F9" s="4" t="n">
        <f aca="false">Assumptions!F43</f>
        <v>0.05</v>
      </c>
      <c r="G9" s="4" t="n">
        <f aca="false">Assumptions!G43</f>
        <v>0.05</v>
      </c>
      <c r="H9" s="4" t="n">
        <f aca="false">Assumptions!H43</f>
        <v>0.05</v>
      </c>
      <c r="I9" s="4" t="n">
        <f aca="false">Assumptions!I43</f>
        <v>0.05</v>
      </c>
      <c r="J9" s="4" t="n">
        <f aca="false">Assumptions!J43</f>
        <v>0.05</v>
      </c>
      <c r="K9" s="4" t="n">
        <f aca="false">Assumptions!K43</f>
        <v>0.05</v>
      </c>
      <c r="L9" s="4" t="n">
        <f aca="false">Assumptions!L43</f>
        <v>0.05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-126.3360685</v>
      </c>
      <c r="D10" s="0" t="n">
        <f aca="false">-D6*D9/100</f>
        <v>-136.44295398</v>
      </c>
      <c r="E10" s="0" t="n">
        <f aca="false">-E6*E9/100</f>
        <v>-145.9939607586</v>
      </c>
      <c r="F10" s="0" t="n">
        <f aca="false">-F6*F9/100</f>
        <v>-154.753598404116</v>
      </c>
      <c r="G10" s="0" t="n">
        <f aca="false">-G6*G9/100</f>
        <v>-162.491278324322</v>
      </c>
      <c r="H10" s="0" t="n">
        <f aca="false">-H6*H9/100</f>
        <v>-168.990929457295</v>
      </c>
      <c r="I10" s="0" t="n">
        <f aca="false">-I6*I9/100</f>
        <v>-174.9056119883</v>
      </c>
      <c r="J10" s="0" t="n">
        <f aca="false">-J6*J9/100</f>
        <v>-180.152780347949</v>
      </c>
      <c r="K10" s="0" t="n">
        <f aca="false">-K6*K9/100</f>
        <v>-185.557363758388</v>
      </c>
      <c r="L10" s="0" t="n">
        <f aca="false">-L6*L9/100</f>
        <v>-191.124084671139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30270.1220126</v>
      </c>
      <c r="D11" s="0" t="n">
        <f aca="false">D8+D10+D24</f>
        <v>33510.389497488</v>
      </c>
      <c r="E11" s="0" t="n">
        <f aca="false">E8+E10+E24</f>
        <v>36732.0805268638</v>
      </c>
      <c r="F11" s="0" t="n">
        <f aca="false">F8+F10+F24</f>
        <v>39555.0197520921</v>
      </c>
      <c r="G11" s="0" t="n">
        <f aca="false">G8+G10+G24</f>
        <v>42182.735852994</v>
      </c>
      <c r="H11" s="0" t="n">
        <f aca="false">H8+H10+H24</f>
        <v>43870.0452871137</v>
      </c>
      <c r="I11" s="0" t="n">
        <f aca="false">I8+I10+I24</f>
        <v>45405.4968721627</v>
      </c>
      <c r="J11" s="0" t="n">
        <f aca="false">J8+J10+J24</f>
        <v>46767.6617783276</v>
      </c>
      <c r="K11" s="0" t="n">
        <f aca="false">K8+K10+K24</f>
        <v>48170.6916316774</v>
      </c>
      <c r="L11" s="0" t="n">
        <f aca="false">L8+L10+L24</f>
        <v>49615.8123806277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-13138.951124</v>
      </c>
      <c r="D12" s="4" t="n">
        <f aca="false">-D6*Assumptions!D45/100</f>
        <v>-14190.06721392</v>
      </c>
      <c r="E12" s="4" t="n">
        <f aca="false">-E6*Assumptions!E45/100</f>
        <v>-15183.3719188944</v>
      </c>
      <c r="F12" s="4" t="n">
        <f aca="false">-F6*Assumptions!F45/100</f>
        <v>-16094.3742340281</v>
      </c>
      <c r="G12" s="4" t="n">
        <f aca="false">-G6*Assumptions!G45/100</f>
        <v>-16899.0929457295</v>
      </c>
      <c r="H12" s="4" t="n">
        <f aca="false">-H6*Assumptions!H45/100</f>
        <v>-17575.0566635587</v>
      </c>
      <c r="I12" s="4" t="n">
        <f aca="false">-I6*Assumptions!I45/100</f>
        <v>-18190.1836467832</v>
      </c>
      <c r="J12" s="4" t="n">
        <f aca="false">-J6*Assumptions!J45/100</f>
        <v>-18735.8891561867</v>
      </c>
      <c r="K12" s="4" t="n">
        <f aca="false">-K6*Assumptions!K45/100</f>
        <v>-19297.9658308723</v>
      </c>
      <c r="L12" s="4" t="n">
        <f aca="false">-L6*Assumptions!L45/100</f>
        <v>-19876.9048057985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17131.1708886</v>
      </c>
      <c r="D13" s="0" t="n">
        <f aca="false">D11+D12</f>
        <v>19320.322283568</v>
      </c>
      <c r="E13" s="0" t="n">
        <f aca="false">E11+E12</f>
        <v>21548.7086079694</v>
      </c>
      <c r="F13" s="0" t="n">
        <f aca="false">F11+F12</f>
        <v>23460.645518064</v>
      </c>
      <c r="G13" s="0" t="n">
        <f aca="false">G11+G12</f>
        <v>25283.6429072645</v>
      </c>
      <c r="H13" s="0" t="n">
        <f aca="false">H11+H12</f>
        <v>26294.9886235551</v>
      </c>
      <c r="I13" s="0" t="n">
        <f aca="false">I11+I12</f>
        <v>27215.3132253795</v>
      </c>
      <c r="J13" s="0" t="n">
        <f aca="false">J11+J12</f>
        <v>28031.7726221409</v>
      </c>
      <c r="K13" s="0" t="n">
        <f aca="false">K11+K12</f>
        <v>28872.7258008051</v>
      </c>
      <c r="L13" s="0" t="n">
        <f aca="false">L11+L12</f>
        <v>29738.9075748293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19</v>
      </c>
      <c r="D14" s="4" t="n">
        <f aca="false">Assumptions!D47</f>
        <v>19</v>
      </c>
      <c r="E14" s="4" t="n">
        <f aca="false">Assumptions!E47</f>
        <v>19</v>
      </c>
      <c r="F14" s="4" t="n">
        <f aca="false">Assumptions!F47</f>
        <v>19</v>
      </c>
      <c r="G14" s="4" t="n">
        <f aca="false">Assumptions!G47</f>
        <v>19</v>
      </c>
      <c r="H14" s="4" t="n">
        <f aca="false">Assumptions!H47</f>
        <v>19</v>
      </c>
      <c r="I14" s="4" t="n">
        <f aca="false">Assumptions!I47</f>
        <v>19</v>
      </c>
      <c r="J14" s="4" t="n">
        <f aca="false">Assumptions!J47</f>
        <v>19</v>
      </c>
      <c r="K14" s="4" t="n">
        <f aca="false">Assumptions!K47</f>
        <v>19</v>
      </c>
      <c r="L14" s="4" t="n">
        <f aca="false">Assumptions!L47</f>
        <v>19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13876.248419766</v>
      </c>
      <c r="D15" s="0" t="n">
        <f aca="false">D13-MAX(0,D13)*D14/100</f>
        <v>15649.4610496901</v>
      </c>
      <c r="E15" s="0" t="n">
        <f aca="false">E13-MAX(0,E13)*E14/100</f>
        <v>17454.4539724552</v>
      </c>
      <c r="F15" s="0" t="n">
        <f aca="false">F13-MAX(0,F13)*F14/100</f>
        <v>19003.1228696318</v>
      </c>
      <c r="G15" s="0" t="n">
        <f aca="false">G13-MAX(0,G13)*G14/100</f>
        <v>20479.7507548842</v>
      </c>
      <c r="H15" s="0" t="n">
        <f aca="false">H13-MAX(0,H13)*H14/100</f>
        <v>21298.9407850796</v>
      </c>
      <c r="I15" s="0" t="n">
        <f aca="false">I13-MAX(0,I13)*I14/100</f>
        <v>22044.4037125574</v>
      </c>
      <c r="J15" s="0" t="n">
        <f aca="false">J13-MAX(0,J13)*J14/100</f>
        <v>22705.7358239341</v>
      </c>
      <c r="K15" s="0" t="n">
        <f aca="false">K13-MAX(0,K13)*K14/100</f>
        <v>23386.9078986521</v>
      </c>
      <c r="L15" s="0" t="n">
        <f aca="false">L13-MAX(0,L13)*L14/100</f>
        <v>24088.5151356117</v>
      </c>
    </row>
    <row r="16" customFormat="false" ht="15" hidden="false" customHeight="false" outlineLevel="0" collapsed="false">
      <c r="A16" s="0" t="s">
        <v>119</v>
      </c>
      <c r="C16" s="0" t="n">
        <f aca="false">-C12</f>
        <v>13138.951124</v>
      </c>
      <c r="D16" s="0" t="n">
        <f aca="false">-D12</f>
        <v>14190.06721392</v>
      </c>
      <c r="E16" s="0" t="n">
        <f aca="false">-E12</f>
        <v>15183.3719188944</v>
      </c>
      <c r="F16" s="0" t="n">
        <f aca="false">-F12</f>
        <v>16094.3742340281</v>
      </c>
      <c r="G16" s="0" t="n">
        <f aca="false">-G12</f>
        <v>16899.0929457295</v>
      </c>
      <c r="H16" s="0" t="n">
        <f aca="false">-H12</f>
        <v>17575.0566635587</v>
      </c>
      <c r="I16" s="0" t="n">
        <f aca="false">-I12</f>
        <v>18190.1836467832</v>
      </c>
      <c r="J16" s="0" t="n">
        <f aca="false">-J12</f>
        <v>18735.8891561867</v>
      </c>
      <c r="K16" s="0" t="n">
        <f aca="false">-K12</f>
        <v>19297.9658308723</v>
      </c>
      <c r="L16" s="0" t="n">
        <f aca="false">-L12</f>
        <v>19876.9048057985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-11117.574028</v>
      </c>
      <c r="D17" s="4" t="n">
        <f aca="false">-D6*Assumptions!D46/100</f>
        <v>-12006.97995024</v>
      </c>
      <c r="E17" s="4" t="n">
        <f aca="false">-E6*Assumptions!E46/100</f>
        <v>-12847.4685467568</v>
      </c>
      <c r="F17" s="4" t="n">
        <f aca="false">-F6*Assumptions!F46/100</f>
        <v>-13618.3166595622</v>
      </c>
      <c r="G17" s="4" t="n">
        <f aca="false">-G6*Assumptions!G46/100</f>
        <v>-14299.2324925403</v>
      </c>
      <c r="H17" s="4" t="n">
        <f aca="false">-H6*Assumptions!H46/100</f>
        <v>-14871.2017922419</v>
      </c>
      <c r="I17" s="4" t="n">
        <f aca="false">-I6*Assumptions!I46/100</f>
        <v>-15391.6938549704</v>
      </c>
      <c r="J17" s="4" t="n">
        <f aca="false">-J6*Assumptions!J46/100</f>
        <v>-15853.4446706195</v>
      </c>
      <c r="K17" s="4" t="n">
        <f aca="false">-K6*Assumptions!K46/100</f>
        <v>-16329.0480107381</v>
      </c>
      <c r="L17" s="4" t="n">
        <f aca="false">-L6*Assumptions!L46/100</f>
        <v>-16818.9194510603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15897.625515766</v>
      </c>
      <c r="D19" s="0" t="n">
        <f aca="false">D15+D16+D17+D18</f>
        <v>17832.5483133701</v>
      </c>
      <c r="E19" s="0" t="n">
        <f aca="false">E15+E16+E17+E18</f>
        <v>19790.3573445928</v>
      </c>
      <c r="F19" s="0" t="n">
        <f aca="false">F15+F16+F17+F18</f>
        <v>21479.1804440977</v>
      </c>
      <c r="G19" s="0" t="n">
        <f aca="false">G15+G16+G17+G18</f>
        <v>23079.6112080734</v>
      </c>
      <c r="H19" s="0" t="n">
        <f aca="false">H15+H16+H17+H18</f>
        <v>24002.7956563963</v>
      </c>
      <c r="I19" s="0" t="n">
        <f aca="false">I15+I16+I17+I18</f>
        <v>24842.8935043702</v>
      </c>
      <c r="J19" s="0" t="n">
        <f aca="false">J15+J16+J17+J18</f>
        <v>25588.1803095013</v>
      </c>
      <c r="K19" s="0" t="n">
        <f aca="false">K15+K16+K17+K18</f>
        <v>26355.8257187863</v>
      </c>
      <c r="L19" s="0" t="n">
        <f aca="false">L15+L16+L17+L18</f>
        <v>27146.5004903499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14584.9775374</v>
      </c>
      <c r="D21" s="0" t="n">
        <f aca="false">D19*D20</f>
        <v>15009.2991443229</v>
      </c>
      <c r="E21" s="0" t="n">
        <f aca="false">E19*E20</f>
        <v>15281.7870059997</v>
      </c>
      <c r="F21" s="0" t="n">
        <f aca="false">F19*F20</f>
        <v>15216.3929396173</v>
      </c>
      <c r="G21" s="0" t="n">
        <f aca="false">G19*G20</f>
        <v>15000.16370769</v>
      </c>
      <c r="H21" s="0" t="n">
        <f aca="false">H19*H20</f>
        <v>14312.0828036675</v>
      </c>
      <c r="I21" s="0" t="n">
        <f aca="false">I19*I20</f>
        <v>13589.9134878861</v>
      </c>
      <c r="J21" s="0" t="n">
        <f aca="false">J19*J20</f>
        <v>12841.8448555254</v>
      </c>
      <c r="K21" s="0" t="n">
        <f aca="false">K19*K20</f>
        <v>12134.9543130194</v>
      </c>
      <c r="L21" s="0" t="n">
        <f aca="false">L19*L20</f>
        <v>11466.9751765229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0.77</v>
      </c>
      <c r="D23" s="4" t="n">
        <f aca="false">Assumptions!D44</f>
        <v>0.77</v>
      </c>
      <c r="E23" s="4" t="n">
        <f aca="false">Assumptions!E44</f>
        <v>0.77</v>
      </c>
      <c r="F23" s="4" t="n">
        <f aca="false">Assumptions!F44</f>
        <v>0.77</v>
      </c>
      <c r="G23" s="4" t="n">
        <f aca="false">Assumptions!G44</f>
        <v>0.77</v>
      </c>
      <c r="H23" s="4" t="n">
        <f aca="false">Assumptions!H44</f>
        <v>0.77</v>
      </c>
      <c r="I23" s="4" t="n">
        <f aca="false">Assumptions!I44</f>
        <v>0.77</v>
      </c>
      <c r="J23" s="4" t="n">
        <f aca="false">Assumptions!J44</f>
        <v>0.77</v>
      </c>
      <c r="K23" s="4" t="n">
        <f aca="false">Assumptions!K44</f>
        <v>0.77</v>
      </c>
      <c r="L23" s="4" t="n">
        <f aca="false">Assumptions!L44</f>
        <v>0.77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-1945.5754549</v>
      </c>
      <c r="D24" s="0" t="n">
        <f aca="false">-D6*D23/100</f>
        <v>-2101.221491292</v>
      </c>
      <c r="E24" s="0" t="n">
        <f aca="false">-E6*E23/100</f>
        <v>-2248.30699568244</v>
      </c>
      <c r="F24" s="0" t="n">
        <f aca="false">-F6*F23/100</f>
        <v>-2383.20541542339</v>
      </c>
      <c r="G24" s="0" t="n">
        <f aca="false">-G6*G23/100</f>
        <v>-2502.36568619456</v>
      </c>
      <c r="H24" s="0" t="n">
        <f aca="false">-H6*H23/100</f>
        <v>-2602.46031364234</v>
      </c>
      <c r="I24" s="0" t="n">
        <f aca="false">-I6*I23/100</f>
        <v>-2693.54642461982</v>
      </c>
      <c r="J24" s="0" t="n">
        <f aca="false">-J6*J23/100</f>
        <v>-2774.35281735842</v>
      </c>
      <c r="K24" s="0" t="n">
        <f aca="false">-K6*K23/100</f>
        <v>-2857.58340187917</v>
      </c>
      <c r="L24" s="0" t="n">
        <f aca="false">-L6*L23/100</f>
        <v>-2943.31090393554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139438.390971651</v>
      </c>
    </row>
    <row r="31" customFormat="false" ht="15" hidden="false" customHeight="false" outlineLevel="0" collapsed="false">
      <c r="A31" s="0" t="s">
        <v>128</v>
      </c>
      <c r="B31" s="0" t="n">
        <f aca="false">L19</f>
        <v>27146.5004903499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428079.430809364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325758.005884199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325758.005884199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137603.702118275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277042.093089926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262931.993089926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35.5873828169416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0.399975720572053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1011.74399025333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1273.09539682637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35.8966318093813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222601.304020869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19.9331243792191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16.9241252492103</v>
      </c>
      <c r="C4" s="0" t="n">
        <f aca="false">B4/Assumptions!$B$2-1</f>
        <v>-0.334220092477958</v>
      </c>
      <c r="D4" s="4" t="n">
        <f aca="false">Assumptions!$B$24</f>
        <v>0.25</v>
      </c>
      <c r="E4" s="4" t="n">
        <f aca="false">DCF_Bear!$B$43</f>
        <v>17.1185432376185</v>
      </c>
      <c r="F4" s="4" t="n">
        <f aca="false">DCF_Bear!$B$47</f>
        <v>8.95888516539159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27.8224116574135</v>
      </c>
      <c r="C5" s="0" t="n">
        <f aca="false">B5/Assumptions!$B$2-1</f>
        <v>0.0945087198038344</v>
      </c>
      <c r="D5" s="4" t="n">
        <f aca="false">Assumptions!$B$38</f>
        <v>0.5</v>
      </c>
      <c r="E5" s="4" t="n">
        <f aca="false">DCF_Base!$B$43</f>
        <v>28.0842109231071</v>
      </c>
      <c r="F5" s="4" t="n">
        <f aca="false">DCF_Base!$B$47</f>
        <v>15.4350295456406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35.5873828169416</v>
      </c>
      <c r="C6" s="0" t="n">
        <f aca="false">B6/Assumptions!$B$2-1</f>
        <v>0.399975720572053</v>
      </c>
      <c r="D6" s="4" t="n">
        <f aca="false">Assumptions!$B$52</f>
        <v>0.25</v>
      </c>
      <c r="E6" s="4" t="n">
        <f aca="false">DCF_Bull!$B$43</f>
        <v>35.8966318093813</v>
      </c>
      <c r="F6" s="4" t="n">
        <f aca="false">DCF_Bull!$B$47</f>
        <v>19.9331243792191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27.0390828452447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27.2958992233035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0.0598793551730787</v>
      </c>
    </row>
    <row r="11" customFormat="false" ht="15" hidden="false" customHeight="false" outlineLevel="0" collapsed="false">
      <c r="A11" s="0" t="s">
        <v>155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14.940517158973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27.8224116574135</v>
      </c>
      <c r="C15" s="3" t="n">
        <v>9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25.8768165586941</v>
      </c>
      <c r="C16" s="3" t="n">
        <v>10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23.433705620318</v>
      </c>
      <c r="C17" s="3" t="n">
        <v>11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20.829478960864</v>
      </c>
      <c r="C18" s="3" t="n">
        <v>12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15.4350295456406</v>
      </c>
      <c r="C19" s="3" t="n">
        <v>15</v>
      </c>
    </row>
    <row r="21" customFormat="false" ht="15" hidden="false" customHeight="false" outlineLevel="0" collapsed="false">
      <c r="A21" s="2" t="s">
        <v>164</v>
      </c>
    </row>
    <row r="22" customFormat="false" ht="15" hidden="false" customHeight="false" outlineLevel="0" collapsed="false">
      <c r="B22" s="3" t="n">
        <v>1</v>
      </c>
      <c r="C22" s="3" t="n">
        <v>1.5</v>
      </c>
      <c r="D22" s="3" t="n">
        <v>2</v>
      </c>
      <c r="E22" s="3" t="n">
        <v>2.5</v>
      </c>
      <c r="F22" s="3" t="n">
        <v>3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32.2841089184523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32.2841089184523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32.2841089184523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32.2841089184523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32.2841089184523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29.9514509255828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29.9514509255828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29.9514509255828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29.9514509255828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29.9514509255828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27.8224116574135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27.8224116574135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27.8224116574135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27.8224116574135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27.8224116574135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25.03007932434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25.8127776081967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25.8768165586941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25.8768165586941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25.8768165586941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22.2071968435768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22.788174685191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23.433705620318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24.0966833374754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24.0966833374754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2026-10-18T02:12:06Z</dcterms:created>
  <dc:creator>openpyxl</dc:creator>
  <dc:description/>
  <dc:language>en-NZ</dc:language>
  <cp:lastModifiedBy/>
  <dcterms:modified xsi:type="dcterms:W3CDTF">2026-10-18T02:12:06Z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