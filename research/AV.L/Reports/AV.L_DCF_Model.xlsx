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<sst xmlns="http://schemas.openxmlformats.org/spreadsheetml/2006/main" count="371" uniqueCount="175">
  <si>
    <t xml:space="preserve">Ticker</t>
  </si>
  <si>
    <t xml:space="preserve">AV.L</t>
  </si>
  <si>
    <t xml:space="preserve">Company</t>
  </si>
  <si>
    <t xml:space="preserve">Aviva plc</t>
  </si>
  <si>
    <t xml:space="preserve">Valuation date</t>
  </si>
  <si>
    <t xml:space="preserve">2026-10-05</t>
  </si>
  <si>
    <t xml:space="preserve">Current price</t>
  </si>
  <si>
    <t xml:space="preserve">Price as of</t>
  </si>
  <si>
    <t xml:space="preserve">2026-10-02T15:35:18Z regular LSE close (Friday); no Monday 2026-10-05 print available from Yahoo at build time</t>
  </si>
  <si>
    <t xml:space="preserve">Balance sheet date</t>
  </si>
  <si>
    <t xml:space="preserve">2026-06-30</t>
  </si>
  <si>
    <t xml:space="preserve">Model</t>
  </si>
  <si>
    <t xml:space="preserve">Insurer distributable operating earnings (FCFE) capitalised at cost of equity (engine route)</t>
  </si>
  <si>
    <t xml:space="preserve">Currency (model)</t>
  </si>
  <si>
    <t xml:space="preserve">GBP</t>
  </si>
  <si>
    <t xml:space="preserve">Currency (quote)</t>
  </si>
  <si>
    <t xml:space="preserve">GBp</t>
  </si>
  <si>
    <t xml:space="preserve">Units</t>
  </si>
  <si>
    <t xml:space="preserve">millions</t>
  </si>
  <si>
    <t xml:space="preserve">Engine</t>
  </si>
  <si>
    <t xml:space="preserve">dcf_engine v1</t>
  </si>
  <si>
    <t xml:space="preserve">Built at</t>
  </si>
  <si>
    <t xml:space="preserve">2026-10-04T12:52:05Z</t>
  </si>
  <si>
    <t xml:space="preserve">Drivers file</t>
  </si>
  <si>
    <t xml:space="preserve">AV.L_Drivers.json</t>
  </si>
  <si>
    <t xml:space="preserve">Convention</t>
  </si>
  <si>
    <t xml:space="preserve">Percents stored as percents; formulas divide by 100. Blue = input, green = link, black = formula.</t>
  </si>
  <si>
    <t xml:space="preserve">Methodology</t>
  </si>
  <si>
    <t xml:space="preserve">summary: Aviva is valued as the stream of operating earnings it can actually hand to ordinary shareholders - Group adjusted operating profit after tax, NCI, Tier 1 coupons and the capital it must retain to write new business and hold its Solvency II buffer - capitalised at a GBP cost of equity of 10.5%, with no net-debt deduction because the subordinated debt is already serviced inside the flow. The three scenarios differ on the Direct Line synergy path, the general-insurance combined ratio against motor claims inflation and weather, the BPA/commercial-lines discipline that caps growth, and how much of the profit the solvency position allows out of the door. Book value is deliberately not the anchor: the CSM carries GBP7-8bn of recognised-but-unearned profit outside IFRS equity and the series was broken by IFRS 17 and the 2022 capital return. The result is a high-single-digit-yield compounder: at the current price the market pays ~10.9x FY2026 operating EPS for a 5.8% dividend yield plus buybacks.
key_risks_to_valuation: Direct Line integration: GBP225m cost synergies and &gt;GBP500m capital synergies depend on systems migration and PRA approval of the internal-model consolidation; a delay pushes the solvency rebuild and buybacks right; Motor claims and repair inflation (+23% in 2025) and weather/catastrophe losses in Ireland and Canada against the &lt;94% UK&amp;I COR target; each 1pp of COR on ~GBP14bn of GI premiums is ~GBP140m of pre-tax profit; Solvency II sensitivity: 176% at H1 2026 inside a 160-180% working range; equity, credit-spread and rate shocks or model changes can defer capital returns, which this model assumes resume at GBP300-400m a year; Growth ceded on pricing discipline: BPA PVNBP -44% and UK commercial GWP -6-8% - if the market does not rationalise, the post-2028 fade arrives sooner; Cost of equity: every 1pp on a 10.5% CoE moves the base value roughly 12-14% in the opposite direction; the required_return_table shows the implied return at the current price; Model definition risk: 'distributable' is a judgment (12.5% retention in base); if Aviva retains more to fund BPA or M&amp;A, FCFE is lower even with the same operating profit</t>
  </si>
  <si>
    <t xml:space="preserve">Data sources</t>
  </si>
  <si>
    <t xml:space="preserve">price: Yahoo Finance chart API at inputs.price_as_of; 52-week range 590.6-740.6 GBp
financials: AV.L_HalfYear_H1-2026.txt (HY26 results pack, 14 Aug 2026: notes B1/B2 operating profit and operating EPS reconciliation, E12 share counts and dilution, C1 cash remittances, D Solvency II); AV.L_Annual_FY2025.txt (FY2025 annual report, 5 Mar 2026); AV.L_Metrics.csv / core_metrics for the history; AV.L_Presentation_H1-2026.txt for the 2025-28 targets and the 2026 outlook
qualitative: AV.L_Analysis.json (2026-10-05): business model, Direct Line integration, guidance table, bull/bear points</t>
  </si>
  <si>
    <t xml:space="preserve">Scenario narrative: bear</t>
  </si>
  <si>
    <t xml:space="preserve">Motor repair inflation (claims costs +23% in 2025, ~39% above 2023) outruns rate, Irish and Canadian weather losses recur, and the enlarged personal-lines book earns a mid-90s COR rather than a low-90s one; integration slips and the PRA is slow to approve the internal-model consolidation, so capital synergies and the solvency rebuild arrive late and buybacks are deferred (as they were in FY2025). Commercial lines keep shrinking and BPA share continues to go to L&amp;G, so Retirement stalls. Operating profit still rises ~13% in 2026 on the Direct Line consolidation (H1 is already reported at +24%) but then stagnates at ~2% a year, more capital is retained (16% of pre-tax profit), the tax rate drifts to 25%, and the exit multiple compresses to 12x FCFE.</t>
  </si>
  <si>
    <t xml:space="preserve">Scenario narrative: base</t>
  </si>
  <si>
    <t xml:space="preserve">Direct Line integration delivers as guided: GBP225m cost synergies by 2028 and &gt;GBP500m capital synergies lift the Solvency II ratio into the high-180s by end-2026, restoring the GBP300-400m annual buyback cadence on top of a dividend growing mid-single digits. UK&amp;I GI holds COR below 94% as rate keeps pace with motor repair inflation; Canada reaches ~94%. Wealth compounds on net flows and the Pensions Schemes Bill toward the GBP280m 2027 ambition; Retirement grows modestly as individual annuities and equity release offset BPA volumes ceded on pricing discipline. Operating EPS compounds ~11% to 2028 (75p) then growth fades toward nominal GDP as synergies lapse. About 88% of attributable operating profit is distributable each year.</t>
  </si>
  <si>
    <t xml:space="preserve">Scenario narrative: bull</t>
  </si>
  <si>
    <t xml:space="preserve">Synergies run ahead (as the November 2025 upgrade from GBP125m to GBP225m already did), capital synergies exceed GBP500m and the solvency ratio sits comfortably above the 160-180% working range, so buybacks step up toward GBP500m+ and the payout rises to ~90%. Motor claims inflation normalises after the 2024-25 spike, letting the enlarged personal-lines book earn a low-90s COR; UK commercial pricing stabilises; BPA pricing rationalises and Aviva re-enters at scale at its low-teens IRR hurdle; Wealth beats GBP280m. Operating profit grows ~20% in 2026 and high single digits through 2029, fading to 3%, and the market pays a mature-compounder 14x on the exit.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</si>
  <si>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</si>
  <si>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</si>
  <si>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</si>
  <si>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</si>
  <si>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</si>
  <si>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</si>
  <si>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</si>
  <si>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</si>
  <si>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</si>
  <si>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</si>
  <si>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</si>
  <si>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</si>
  <si>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</si>
  <si>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</si>
  <si>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</si>
  <si>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</si>
  <si>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</si>
  <si>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</si>
  <si>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</si>
  <si>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</si>
  <si>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</si>
  <si>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</si>
  <si>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</si>
  <si>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</si>
  <si>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</si>
  <si>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</si>
  <si>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</si>
  <si>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AdjustedEPS</t>
  </si>
  <si>
    <t xml:space="preserve">DividendPerShareDeclared</t>
  </si>
  <si>
    <t xml:space="preserve">GrossWrittenPremium</t>
  </si>
  <si>
    <t xml:space="preserve">InsuranceServiceResult</t>
  </si>
  <si>
    <t xml:space="preserve">NetEarnedPremium</t>
  </si>
  <si>
    <t xml:space="preserve">SolvencyRatio</t>
  </si>
  <si>
    <t xml:space="preserve">TotalIncome</t>
  </si>
  <si>
    <t xml:space="preserve">UnderlyingProfit</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</si>
  <si>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</si>
  <si>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</si>
  <si>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</si>
  <si>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</si>
  <si>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</si>
  <si>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</si>
  <si>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</si>
  <si>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</si>
  <si>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</si>
  <si>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</si>
  <si>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</si>
  <si>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</si>
  <si>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</si>
  <si>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</si>
  <si>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</si>
  <si>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</si>
  <si>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</si>
  <si>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</si>
  <si>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</si>
  <si>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</si>
  <si>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</si>
  <si>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GBP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</si>
  <si>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</si>
  <si>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</si>
  <si>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</si>
  <si>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</si>
  <si>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</si>
  <si>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</si>
  <si>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</si>
  <si>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</si>
  <si>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</si>
  <si>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</si>
  <si>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</si>
  <si>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</si>
  <si>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</si>
  <si>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</si>
  <si>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</si>
  <si>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</si>
  <si>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</si>
  <si>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</si>
  <si>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</si>
  <si>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</si>
  <si>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</si>
  <si>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</si>
  <si>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</si>
  <si>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</si>
  <si>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</si>
  <si>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</si>
  <si>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AV.L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</si>
  <si>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</si>
  <si>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</si>
  <si>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</si>
  <si>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</si>
  <si>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</si>
  <si>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</si>
  <si>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</si>
  <si>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</si>
  <si>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</si>
  <si>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</si>
  <si>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</si>
  <si>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</si>
  <si>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</si>
  <si>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</si>
  <si>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</si>
  <si>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</si>
  <si>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</si>
  <si>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</si>
  <si>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</si>
  <si>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</si>
  <si>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</si>
  <si>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</si>
  <si>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</si>
  <si>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</si>
  <si>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</si>
  <si>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</si>
  <si>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</si>
  <si>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</si>
  <si>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</si>
  <si>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</si>
  <si>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AV.L owner-FCF component DCF: base case (millions, GBP)</t>
  </si>
  <si>
    <t xml:space="preserve">AV.L owner-FCF component DCF: bull case (millions, GBP)</t>
  </si>
  <si>
    <t xml:space="preserve">AV.L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</si>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</sst>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678.4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row>
    <row r="2" customFormat="false" ht="15" hidden="false" customHeight="false" outlineLevel="0" collapsed="false">
      <c r="A2" s="0" t="s">
        <v>72</v>
      </c>
      <c r="B2" s="0" t="n">
        <v>23728</v>
      </c>
      <c r="I2" s="0" t="n">
        <v>936</v>
      </c>
      <c r="J2" s="0" t="n">
        <v>3.9</v>
      </c>
      <c r="K2" s="0" t="n">
        <v>0.231</v>
      </c>
      <c r="L2" s="0" t="n">
        <v>4755</v>
      </c>
      <c r="O2" s="0" t="n">
        <v>16002</v>
      </c>
      <c r="P2" s="0" t="n">
        <v>387831</v>
      </c>
      <c r="Q2" s="0" t="n">
        <v>369561</v>
      </c>
      <c r="R2" s="0" t="n">
        <v>8770</v>
      </c>
      <c r="S2" s="0" t="n">
        <v>33676</v>
      </c>
      <c r="T2" s="0" t="n">
        <v>4048</v>
      </c>
      <c r="AA2" s="0" t="s">
        <v>18</v>
      </c>
      <c r="AB2" s="0" t="s">
        <v>14</v>
      </c>
      <c r="AE2" s="0" t="n">
        <v>21925</v>
      </c>
      <c r="AG2" s="0" t="n">
        <v>18924</v>
      </c>
      <c r="AI2" s="0" t="n">
        <v>23728</v>
      </c>
    </row>
    <row r="3" customFormat="false" ht="15" hidden="false" customHeight="false" outlineLevel="0" collapsed="false">
      <c r="A3" s="0" t="s">
        <v>73</v>
      </c>
      <c r="B3" s="0" t="n">
        <v>55292</v>
      </c>
      <c r="I3" s="0" t="n">
        <v>703</v>
      </c>
      <c r="J3" s="0" t="n">
        <v>1.3</v>
      </c>
      <c r="K3" s="0" t="n">
        <v>0.153</v>
      </c>
      <c r="L3" s="0" t="n">
        <v>4747</v>
      </c>
      <c r="O3" s="0" t="n">
        <v>17003</v>
      </c>
      <c r="P3" s="0" t="n">
        <v>440419</v>
      </c>
      <c r="Q3" s="0" t="n">
        <v>420868</v>
      </c>
      <c r="R3" s="0" t="n">
        <v>10295</v>
      </c>
      <c r="S3" s="0" t="n">
        <v>38708</v>
      </c>
      <c r="T3" s="0" t="n">
        <v>4062</v>
      </c>
      <c r="AA3" s="0" t="s">
        <v>18</v>
      </c>
      <c r="AB3" s="0" t="s">
        <v>14</v>
      </c>
      <c r="AE3" s="0" t="n">
        <v>25442</v>
      </c>
      <c r="AG3" s="0" t="n">
        <v>22868</v>
      </c>
      <c r="AI3" s="0" t="n">
        <v>55292</v>
      </c>
    </row>
    <row r="4" customFormat="false" ht="15" hidden="false" customHeight="false" outlineLevel="0" collapsed="false">
      <c r="A4" s="0" t="s">
        <v>74</v>
      </c>
      <c r="B4" s="0" t="n">
        <v>49653</v>
      </c>
      <c r="I4" s="0" t="n">
        <v>1497</v>
      </c>
      <c r="J4" s="0" t="n">
        <v>3</v>
      </c>
      <c r="K4" s="0" t="n">
        <v>0.35</v>
      </c>
      <c r="L4" s="0" t="n">
        <v>7741</v>
      </c>
      <c r="O4" s="0" t="n">
        <v>17169</v>
      </c>
      <c r="P4" s="0" t="n">
        <v>442685</v>
      </c>
      <c r="Q4" s="0" t="n">
        <v>423550</v>
      </c>
      <c r="R4" s="0" t="n">
        <v>10286</v>
      </c>
      <c r="S4" s="0" t="n">
        <v>43347</v>
      </c>
      <c r="AA4" s="0" t="s">
        <v>18</v>
      </c>
      <c r="AB4" s="0" t="s">
        <v>14</v>
      </c>
      <c r="AE4" s="0" t="n">
        <v>27606</v>
      </c>
      <c r="AG4" s="0" t="n">
        <v>25224</v>
      </c>
      <c r="AI4" s="0" t="n">
        <v>49653</v>
      </c>
    </row>
    <row r="5" customFormat="false" ht="15" hidden="false" customHeight="false" outlineLevel="0" collapsed="false">
      <c r="A5" s="0" t="s">
        <v>75</v>
      </c>
      <c r="B5" s="0" t="n">
        <v>17799</v>
      </c>
      <c r="I5" s="0" t="n">
        <v>1568</v>
      </c>
      <c r="J5" s="0" t="n">
        <v>8.8</v>
      </c>
      <c r="K5" s="0" t="n">
        <v>0.382</v>
      </c>
      <c r="L5" s="0" t="n">
        <v>5958</v>
      </c>
      <c r="O5" s="0" t="n">
        <v>16758</v>
      </c>
      <c r="P5" s="0" t="n">
        <v>430478</v>
      </c>
      <c r="Q5" s="0" t="n">
        <v>412023</v>
      </c>
      <c r="R5" s="0" t="n">
        <v>9420</v>
      </c>
      <c r="S5" s="0" t="n">
        <v>46484</v>
      </c>
      <c r="T5" s="0" t="n">
        <v>3902</v>
      </c>
      <c r="AA5" s="0" t="s">
        <v>18</v>
      </c>
      <c r="AB5" s="0" t="s">
        <v>14</v>
      </c>
      <c r="AE5" s="0" t="n">
        <v>28659</v>
      </c>
      <c r="AG5" s="0" t="n">
        <v>26252</v>
      </c>
      <c r="AI5" s="0" t="n">
        <v>17799</v>
      </c>
    </row>
    <row r="6" customFormat="false" ht="15" hidden="false" customHeight="false" outlineLevel="0" collapsed="false">
      <c r="A6" s="0" t="s">
        <v>76</v>
      </c>
      <c r="B6" s="0" t="n">
        <v>67981</v>
      </c>
      <c r="I6" s="0" t="n">
        <v>2548</v>
      </c>
      <c r="J6" s="0" t="n">
        <v>3.7</v>
      </c>
      <c r="K6" s="0" t="n">
        <v>0.638</v>
      </c>
      <c r="L6" s="0" t="n">
        <v>5849</v>
      </c>
      <c r="O6" s="0" t="n">
        <v>17208</v>
      </c>
      <c r="P6" s="0" t="n">
        <v>460043</v>
      </c>
      <c r="Q6" s="0" t="n">
        <v>441358</v>
      </c>
      <c r="R6" s="0" t="n">
        <v>9039</v>
      </c>
      <c r="S6" s="0" t="n">
        <v>19524</v>
      </c>
      <c r="T6" s="0" t="n">
        <v>3921</v>
      </c>
      <c r="AA6" s="0" t="s">
        <v>18</v>
      </c>
      <c r="AB6" s="0" t="s">
        <v>14</v>
      </c>
      <c r="AE6" s="0" t="n">
        <v>29711</v>
      </c>
      <c r="AG6" s="0" t="n">
        <v>26334</v>
      </c>
      <c r="AI6" s="0" t="n">
        <v>67981</v>
      </c>
    </row>
    <row r="7" customFormat="false" ht="15" hidden="false" customHeight="false" outlineLevel="0" collapsed="false">
      <c r="A7" s="0" t="s">
        <v>77</v>
      </c>
      <c r="B7" s="0" t="n">
        <v>46569</v>
      </c>
      <c r="I7" s="0" t="n">
        <v>2798</v>
      </c>
      <c r="J7" s="0" t="n">
        <v>6</v>
      </c>
      <c r="K7" s="0" t="n">
        <v>0.702</v>
      </c>
      <c r="L7" s="0" t="n">
        <v>-2684</v>
      </c>
      <c r="O7" s="0" t="n">
        <v>19554</v>
      </c>
      <c r="P7" s="0" t="n">
        <v>479857</v>
      </c>
      <c r="Q7" s="0" t="n">
        <v>459297</v>
      </c>
      <c r="R7" s="0" t="n">
        <v>9684</v>
      </c>
      <c r="S7" s="0" t="n">
        <v>16900</v>
      </c>
      <c r="T7" s="0" t="n">
        <v>3928</v>
      </c>
      <c r="AA7" s="0" t="s">
        <v>18</v>
      </c>
      <c r="AB7" s="0" t="s">
        <v>14</v>
      </c>
      <c r="AE7" s="0" t="n">
        <v>29015</v>
      </c>
      <c r="AG7" s="0" t="n">
        <v>25254</v>
      </c>
      <c r="AI7" s="0" t="n">
        <v>46569</v>
      </c>
    </row>
    <row r="8" customFormat="false" ht="15" hidden="false" customHeight="false" outlineLevel="0" collapsed="false">
      <c r="A8" s="0" t="s">
        <v>78</v>
      </c>
      <c r="B8" s="0" t="n">
        <v>33184</v>
      </c>
      <c r="I8" s="0" t="n">
        <v>1966</v>
      </c>
      <c r="J8" s="0" t="n">
        <v>5.9</v>
      </c>
      <c r="K8" s="0" t="n">
        <v>0.501</v>
      </c>
      <c r="L8" s="0" t="n">
        <v>-2858</v>
      </c>
      <c r="O8" s="0" t="n">
        <v>19202</v>
      </c>
      <c r="P8" s="0" t="n">
        <v>358474</v>
      </c>
      <c r="Q8" s="0" t="n">
        <v>339020</v>
      </c>
      <c r="R8" s="0" t="n">
        <v>7344</v>
      </c>
      <c r="S8" s="0" t="n">
        <v>12485</v>
      </c>
      <c r="T8" s="0" t="n">
        <v>3766</v>
      </c>
      <c r="AA8" s="0" t="s">
        <v>18</v>
      </c>
      <c r="AB8" s="0" t="s">
        <v>14</v>
      </c>
      <c r="AE8" s="0" t="n">
        <v>19398</v>
      </c>
      <c r="AG8" s="0" t="n">
        <v>14390</v>
      </c>
      <c r="AI8" s="0" t="n">
        <v>33184</v>
      </c>
    </row>
    <row r="9" customFormat="false" ht="15" hidden="false" customHeight="false" outlineLevel="0" collapsed="false">
      <c r="A9" s="0" t="s">
        <v>79</v>
      </c>
      <c r="B9" s="0" t="n">
        <v>18203</v>
      </c>
      <c r="I9" s="0" t="n">
        <v>-1051</v>
      </c>
      <c r="J9" s="0" t="n">
        <v>-5.8</v>
      </c>
      <c r="K9" s="0" t="n">
        <v>-0.347</v>
      </c>
      <c r="L9" s="0" t="n">
        <v>15883</v>
      </c>
      <c r="O9" s="0" t="n">
        <v>9408</v>
      </c>
      <c r="P9" s="0" t="n">
        <v>309583</v>
      </c>
      <c r="Q9" s="0" t="n">
        <v>299369</v>
      </c>
      <c r="R9" s="0" t="n">
        <v>6755</v>
      </c>
      <c r="S9" s="0" t="n">
        <v>22505</v>
      </c>
      <c r="T9" s="0" t="n">
        <v>2808</v>
      </c>
      <c r="AA9" s="0" t="s">
        <v>18</v>
      </c>
      <c r="AB9" s="0" t="s">
        <v>14</v>
      </c>
      <c r="AE9" s="0" t="n">
        <v>18919</v>
      </c>
      <c r="AF9" s="0" t="n">
        <v>1001</v>
      </c>
      <c r="AG9" s="0" t="n">
        <v>14978</v>
      </c>
      <c r="AH9" s="0" t="n">
        <v>212</v>
      </c>
      <c r="AI9" s="0" t="n">
        <v>-21244</v>
      </c>
    </row>
    <row r="10" customFormat="false" ht="15" hidden="false" customHeight="false" outlineLevel="0" collapsed="false">
      <c r="A10" s="0" t="s">
        <v>80</v>
      </c>
      <c r="B10" s="0" t="n">
        <v>19806</v>
      </c>
      <c r="I10" s="0" t="n">
        <v>1085</v>
      </c>
      <c r="J10" s="0" t="n">
        <v>5.5</v>
      </c>
      <c r="K10" s="0" t="n">
        <v>0.377</v>
      </c>
      <c r="L10" s="0" t="n">
        <v>-2732</v>
      </c>
      <c r="O10" s="0" t="n">
        <v>8786</v>
      </c>
      <c r="P10" s="0" t="n">
        <v>328843</v>
      </c>
      <c r="Q10" s="0" t="n">
        <v>319243</v>
      </c>
      <c r="R10" s="0" t="n">
        <v>6374</v>
      </c>
      <c r="S10" s="0" t="n">
        <v>17273</v>
      </c>
      <c r="T10" s="0" t="n">
        <v>2739</v>
      </c>
      <c r="AA10" s="0" t="s">
        <v>18</v>
      </c>
      <c r="AB10" s="0" t="s">
        <v>14</v>
      </c>
      <c r="AF10" s="0" t="n">
        <v>1519</v>
      </c>
      <c r="AH10" s="0" t="n">
        <v>207</v>
      </c>
    </row>
    <row r="11" customFormat="false" ht="15" hidden="false" customHeight="false" outlineLevel="0" collapsed="false">
      <c r="A11" s="0" t="s">
        <v>81</v>
      </c>
      <c r="B11" s="0" t="n">
        <v>22157</v>
      </c>
      <c r="I11" s="0" t="n">
        <v>683</v>
      </c>
      <c r="J11" s="0" t="n">
        <v>3.1</v>
      </c>
      <c r="K11" s="0" t="n">
        <v>0.236</v>
      </c>
      <c r="L11" s="0" t="n">
        <v>8445</v>
      </c>
      <c r="O11" s="0" t="n">
        <v>7809</v>
      </c>
      <c r="P11" s="0" t="n">
        <v>353883</v>
      </c>
      <c r="Q11" s="0" t="n">
        <v>345262</v>
      </c>
      <c r="R11" s="0" t="n">
        <v>5612</v>
      </c>
      <c r="S11" s="0" t="n">
        <v>23481</v>
      </c>
      <c r="T11" s="0" t="n">
        <v>2678</v>
      </c>
      <c r="AA11" s="0" t="s">
        <v>18</v>
      </c>
      <c r="AB11" s="0" t="s">
        <v>14</v>
      </c>
      <c r="AC11" s="0" t="n">
        <v>0.48</v>
      </c>
      <c r="AF11" s="0" t="n">
        <v>1818</v>
      </c>
      <c r="AJ11" s="0" t="n">
        <v>1767</v>
      </c>
    </row>
    <row r="12" customFormat="false" ht="15" hidden="false" customHeight="false" outlineLevel="0" collapsed="false">
      <c r="A12" s="0" t="s">
        <v>82</v>
      </c>
      <c r="B12" s="0" t="n">
        <v>26904</v>
      </c>
      <c r="I12" s="0" t="n">
        <v>924</v>
      </c>
      <c r="J12" s="0" t="n">
        <v>3.4</v>
      </c>
      <c r="K12" s="0" t="n">
        <v>0.269</v>
      </c>
      <c r="L12" s="0" t="n">
        <v>-2563</v>
      </c>
      <c r="O12" s="0" t="n">
        <v>9694</v>
      </c>
      <c r="P12" s="0" t="n">
        <v>395304</v>
      </c>
      <c r="Q12" s="0" t="n">
        <v>384215</v>
      </c>
      <c r="R12" s="0" t="n">
        <v>5588</v>
      </c>
      <c r="S12" s="0" t="n">
        <v>18289</v>
      </c>
      <c r="T12" s="0" t="n">
        <v>3058</v>
      </c>
      <c r="V12" s="0" t="n">
        <v>0.393</v>
      </c>
      <c r="AA12" s="0" t="s">
        <v>18</v>
      </c>
      <c r="AB12" s="0" t="s">
        <v>14</v>
      </c>
      <c r="AC12" s="0" t="n">
        <v>0.56</v>
      </c>
      <c r="AD12" s="0" t="n">
        <v>0.393</v>
      </c>
      <c r="AF12" s="0" t="n">
        <v>2260</v>
      </c>
      <c r="AJ12" s="0" t="n">
        <v>2203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678.4</v>
      </c>
    </row>
    <row r="3" customFormat="false" ht="15" hidden="false" customHeight="false" outlineLevel="0" collapsed="false">
      <c r="A3" s="0" t="s">
        <v>86</v>
      </c>
      <c r="B3" s="3" t="n">
        <v>3033</v>
      </c>
    </row>
    <row r="4" customFormat="false" ht="15" hidden="false" customHeight="false" outlineLevel="0" collapsed="false">
      <c r="A4" s="0" t="s">
        <v>87</v>
      </c>
      <c r="B4" s="3" t="n">
        <v>0</v>
      </c>
    </row>
    <row r="5" customFormat="false" ht="15" hidden="false" customHeight="false" outlineLevel="0" collapsed="false">
      <c r="A5" s="0" t="s">
        <v>88</v>
      </c>
      <c r="B5" s="3" t="n">
        <v>0</v>
      </c>
    </row>
    <row r="6" customFormat="false" ht="15" hidden="false" customHeight="false" outlineLevel="0" collapsed="false">
      <c r="A6" s="0" t="s">
        <v>89</v>
      </c>
      <c r="B6" s="3" t="n">
        <v>15</v>
      </c>
    </row>
    <row r="7" customFormat="false" ht="15" hidden="false" customHeight="false" outlineLevel="0" collapsed="false">
      <c r="A7" s="0" t="s">
        <v>90</v>
      </c>
      <c r="B7" s="3" t="n">
        <v>2203</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100</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13</v>
      </c>
      <c r="D13" s="3" t="n">
        <v>2</v>
      </c>
      <c r="E13" s="3" t="n">
        <v>1</v>
      </c>
      <c r="F13" s="3" t="n">
        <v>2</v>
      </c>
      <c r="G13" s="3" t="n">
        <v>2</v>
      </c>
      <c r="H13" s="3" t="n">
        <v>2</v>
      </c>
      <c r="I13" s="3" t="n">
        <v>2</v>
      </c>
      <c r="J13" s="3" t="n">
        <v>2</v>
      </c>
      <c r="K13" s="3" t="n">
        <v>2</v>
      </c>
      <c r="L13" s="3" t="n">
        <v>2</v>
      </c>
    </row>
    <row r="14" customFormat="false" ht="15" hidden="false" customHeight="false" outlineLevel="0" collapsed="false">
      <c r="A14" s="0" t="s">
        <v>107</v>
      </c>
      <c r="C14" s="3" t="n">
        <v>100</v>
      </c>
      <c r="D14" s="3" t="n">
        <v>100</v>
      </c>
      <c r="E14" s="3" t="n">
        <v>100</v>
      </c>
      <c r="F14" s="3" t="n">
        <v>100</v>
      </c>
      <c r="G14" s="3" t="n">
        <v>100</v>
      </c>
      <c r="H14" s="3" t="n">
        <v>100</v>
      </c>
      <c r="I14" s="3" t="n">
        <v>100</v>
      </c>
      <c r="J14" s="3" t="n">
        <v>100</v>
      </c>
      <c r="K14" s="3" t="n">
        <v>100</v>
      </c>
      <c r="L14" s="3" t="n">
        <v>100</v>
      </c>
    </row>
    <row r="15" customFormat="false" ht="15" hidden="false" customHeight="false" outlineLevel="0" collapsed="false">
      <c r="A15" s="0" t="s">
        <v>108</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111</v>
      </c>
      <c r="C18" s="3" t="n">
        <v>14</v>
      </c>
      <c r="D18" s="3" t="n">
        <v>16</v>
      </c>
      <c r="E18" s="3" t="n">
        <v>16</v>
      </c>
      <c r="F18" s="3" t="n">
        <v>16</v>
      </c>
      <c r="G18" s="3" t="n">
        <v>16</v>
      </c>
      <c r="H18" s="3" t="n">
        <v>15</v>
      </c>
      <c r="I18" s="3" t="n">
        <v>15</v>
      </c>
      <c r="J18" s="3" t="n">
        <v>15</v>
      </c>
      <c r="K18" s="3" t="n">
        <v>15</v>
      </c>
      <c r="L18" s="3" t="n">
        <v>15</v>
      </c>
    </row>
    <row r="19" customFormat="false" ht="15" hidden="false" customHeight="false" outlineLevel="0" collapsed="false">
      <c r="A19" s="0" t="s">
        <v>112</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113</v>
      </c>
      <c r="B20" s="3" t="n">
        <v>10.5</v>
      </c>
    </row>
    <row r="21" customFormat="false" ht="15" hidden="false" customHeight="false" outlineLevel="0" collapsed="false">
      <c r="A21" s="0" t="s">
        <v>114</v>
      </c>
      <c r="B21" s="3" t="n">
        <v>2</v>
      </c>
    </row>
    <row r="22" customFormat="false" ht="15" hidden="false" customHeight="false" outlineLevel="0" collapsed="false">
      <c r="A22" s="0" t="s">
        <v>115</v>
      </c>
      <c r="B22" s="3" t="n">
        <v>12</v>
      </c>
    </row>
    <row r="23" customFormat="false" ht="15" hidden="false" customHeight="false" outlineLevel="0" collapsed="false">
      <c r="A23" s="0" t="s">
        <v>116</v>
      </c>
      <c r="B23" s="3" t="n">
        <v>0</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18</v>
      </c>
      <c r="D27" s="3" t="n">
        <v>9</v>
      </c>
      <c r="E27" s="3" t="n">
        <v>7.5</v>
      </c>
      <c r="F27" s="3" t="n">
        <v>5</v>
      </c>
      <c r="G27" s="3" t="n">
        <v>4.5</v>
      </c>
      <c r="H27" s="3" t="n">
        <v>4</v>
      </c>
      <c r="I27" s="3" t="n">
        <v>3.5</v>
      </c>
      <c r="J27" s="3" t="n">
        <v>3</v>
      </c>
      <c r="K27" s="3" t="n">
        <v>2.5</v>
      </c>
      <c r="L27" s="3" t="n">
        <v>2.5</v>
      </c>
    </row>
    <row r="28" customFormat="false" ht="15" hidden="false" customHeight="false" outlineLevel="0" collapsed="false">
      <c r="A28" s="0" t="s">
        <v>107</v>
      </c>
      <c r="C28" s="3" t="n">
        <v>100</v>
      </c>
      <c r="D28" s="3" t="n">
        <v>100</v>
      </c>
      <c r="E28" s="3" t="n">
        <v>100</v>
      </c>
      <c r="F28" s="3" t="n">
        <v>100</v>
      </c>
      <c r="G28" s="3" t="n">
        <v>100</v>
      </c>
      <c r="H28" s="3" t="n">
        <v>100</v>
      </c>
      <c r="I28" s="3" t="n">
        <v>100</v>
      </c>
      <c r="J28" s="3" t="n">
        <v>100</v>
      </c>
      <c r="K28" s="3" t="n">
        <v>100</v>
      </c>
      <c r="L28" s="3" t="n">
        <v>100</v>
      </c>
    </row>
    <row r="29" customFormat="false" ht="15" hidden="false" customHeight="false" outlineLevel="0" collapsed="false">
      <c r="A29" s="0" t="s">
        <v>108</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111</v>
      </c>
      <c r="C32" s="3" t="n">
        <v>12.5</v>
      </c>
      <c r="D32" s="3" t="n">
        <v>12.5</v>
      </c>
      <c r="E32" s="3" t="n">
        <v>12.5</v>
      </c>
      <c r="F32" s="3" t="n">
        <v>12.5</v>
      </c>
      <c r="G32" s="3" t="n">
        <v>12.5</v>
      </c>
      <c r="H32" s="3" t="n">
        <v>12.5</v>
      </c>
      <c r="I32" s="3" t="n">
        <v>12.5</v>
      </c>
      <c r="J32" s="3" t="n">
        <v>12.5</v>
      </c>
      <c r="K32" s="3" t="n">
        <v>12.5</v>
      </c>
      <c r="L32" s="3" t="n">
        <v>12.5</v>
      </c>
    </row>
    <row r="33" customFormat="false" ht="15" hidden="false" customHeight="false" outlineLevel="0" collapsed="false">
      <c r="A33" s="0" t="s">
        <v>112</v>
      </c>
      <c r="C33" s="3" t="n">
        <v>24</v>
      </c>
      <c r="D33" s="3" t="n">
        <v>24</v>
      </c>
      <c r="E33" s="3" t="n">
        <v>24</v>
      </c>
      <c r="F33" s="3" t="n">
        <v>24</v>
      </c>
      <c r="G33" s="3" t="n">
        <v>24</v>
      </c>
      <c r="H33" s="3" t="n">
        <v>24</v>
      </c>
      <c r="I33" s="3" t="n">
        <v>24</v>
      </c>
      <c r="J33" s="3" t="n">
        <v>24</v>
      </c>
      <c r="K33" s="3" t="n">
        <v>24</v>
      </c>
      <c r="L33" s="3" t="n">
        <v>24</v>
      </c>
    </row>
    <row r="34" customFormat="false" ht="15" hidden="false" customHeight="false" outlineLevel="0" collapsed="false">
      <c r="A34" s="0" t="s">
        <v>113</v>
      </c>
      <c r="B34" s="3" t="n">
        <v>10.5</v>
      </c>
    </row>
    <row r="35" customFormat="false" ht="15" hidden="false" customHeight="false" outlineLevel="0" collapsed="false">
      <c r="A35" s="0" t="s">
        <v>114</v>
      </c>
      <c r="B35" s="3" t="n">
        <v>2.5</v>
      </c>
    </row>
    <row r="36" customFormat="false" ht="15" hidden="false" customHeight="false" outlineLevel="0" collapsed="false">
      <c r="A36" s="0" t="s">
        <v>115</v>
      </c>
      <c r="B36" s="3" t="n">
        <v>13</v>
      </c>
    </row>
    <row r="37" customFormat="false" ht="15" hidden="false" customHeight="false" outlineLevel="0" collapsed="false">
      <c r="A37" s="0" t="s">
        <v>116</v>
      </c>
      <c r="B37" s="3" t="n">
        <v>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20</v>
      </c>
      <c r="D41" s="3" t="n">
        <v>11</v>
      </c>
      <c r="E41" s="3" t="n">
        <v>9.5</v>
      </c>
      <c r="F41" s="3" t="n">
        <v>7</v>
      </c>
      <c r="G41" s="3" t="n">
        <v>6</v>
      </c>
      <c r="H41" s="3" t="n">
        <v>5</v>
      </c>
      <c r="I41" s="3" t="n">
        <v>4</v>
      </c>
      <c r="J41" s="3" t="n">
        <v>3.5</v>
      </c>
      <c r="K41" s="3" t="n">
        <v>3</v>
      </c>
      <c r="L41" s="3" t="n">
        <v>3</v>
      </c>
    </row>
    <row r="42" customFormat="false" ht="15" hidden="false" customHeight="false" outlineLevel="0" collapsed="false">
      <c r="A42" s="0" t="s">
        <v>107</v>
      </c>
      <c r="C42" s="3" t="n">
        <v>100</v>
      </c>
      <c r="D42" s="3" t="n">
        <v>100</v>
      </c>
      <c r="E42" s="3" t="n">
        <v>100</v>
      </c>
      <c r="F42" s="3" t="n">
        <v>100</v>
      </c>
      <c r="G42" s="3" t="n">
        <v>100</v>
      </c>
      <c r="H42" s="3" t="n">
        <v>100</v>
      </c>
      <c r="I42" s="3" t="n">
        <v>100</v>
      </c>
      <c r="J42" s="3" t="n">
        <v>100</v>
      </c>
      <c r="K42" s="3" t="n">
        <v>100</v>
      </c>
      <c r="L42" s="3" t="n">
        <v>100</v>
      </c>
    </row>
    <row r="43" customFormat="false" ht="15" hidden="false" customHeight="false" outlineLevel="0" collapsed="false">
      <c r="A43" s="0" t="s">
        <v>108</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111</v>
      </c>
      <c r="C46" s="3" t="n">
        <v>12</v>
      </c>
      <c r="D46" s="3" t="n">
        <v>11.5</v>
      </c>
      <c r="E46" s="3" t="n">
        <v>11</v>
      </c>
      <c r="F46" s="3" t="n">
        <v>11</v>
      </c>
      <c r="G46" s="3" t="n">
        <v>11</v>
      </c>
      <c r="H46" s="3" t="n">
        <v>11</v>
      </c>
      <c r="I46" s="3" t="n">
        <v>11</v>
      </c>
      <c r="J46" s="3" t="n">
        <v>11</v>
      </c>
      <c r="K46" s="3" t="n">
        <v>11</v>
      </c>
      <c r="L46" s="3" t="n">
        <v>11</v>
      </c>
    </row>
    <row r="47" customFormat="false" ht="15" hidden="false" customHeight="false" outlineLevel="0" collapsed="false">
      <c r="A47" s="0" t="s">
        <v>112</v>
      </c>
      <c r="C47" s="3" t="n">
        <v>24</v>
      </c>
      <c r="D47" s="3" t="n">
        <v>24</v>
      </c>
      <c r="E47" s="3" t="n">
        <v>24</v>
      </c>
      <c r="F47" s="3" t="n">
        <v>24</v>
      </c>
      <c r="G47" s="3" t="n">
        <v>24</v>
      </c>
      <c r="H47" s="3" t="n">
        <v>24</v>
      </c>
      <c r="I47" s="3" t="n">
        <v>24</v>
      </c>
      <c r="J47" s="3" t="n">
        <v>24</v>
      </c>
      <c r="K47" s="3" t="n">
        <v>24</v>
      </c>
      <c r="L47" s="3" t="n">
        <v>24</v>
      </c>
    </row>
    <row r="48" customFormat="false" ht="15" hidden="false" customHeight="false" outlineLevel="0" collapsed="false">
      <c r="A48" s="0" t="s">
        <v>113</v>
      </c>
      <c r="B48" s="3" t="n">
        <v>10.5</v>
      </c>
    </row>
    <row r="49" customFormat="false" ht="15" hidden="false" customHeight="false" outlineLevel="0" collapsed="false">
      <c r="A49" s="0" t="s">
        <v>114</v>
      </c>
      <c r="B49" s="3" t="n">
        <v>3</v>
      </c>
    </row>
    <row r="50" customFormat="false" ht="15" hidden="false" customHeight="false" outlineLevel="0" collapsed="false">
      <c r="A50" s="0" t="s">
        <v>115</v>
      </c>
      <c r="B50" s="3" t="n">
        <v>14</v>
      </c>
    </row>
    <row r="51" customFormat="false" ht="15" hidden="false" customHeight="false" outlineLevel="0" collapsed="false">
      <c r="A51" s="0" t="s">
        <v>116</v>
      </c>
      <c r="B51" s="3" t="n">
        <v>0</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13</v>
      </c>
      <c r="D5" s="4" t="n">
        <f aca="false">Assumptions!D13</f>
        <v>2</v>
      </c>
      <c r="E5" s="4" t="n">
        <f aca="false">Assumptions!E13</f>
        <v>1</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2203</v>
      </c>
      <c r="C6" s="0" t="n">
        <f aca="false">B6*(1+C5/100)</f>
        <v>2489.39</v>
      </c>
      <c r="D6" s="0" t="n">
        <f aca="false">C6*(1+D5/100)</f>
        <v>2539.1778</v>
      </c>
      <c r="E6" s="0" t="n">
        <f aca="false">D6*(1+E5/100)</f>
        <v>2564.569578</v>
      </c>
      <c r="F6" s="0" t="n">
        <f aca="false">E6*(1+F5/100)</f>
        <v>2615.86096956</v>
      </c>
      <c r="G6" s="0" t="n">
        <f aca="false">F6*(1+G5/100)</f>
        <v>2668.1781889512</v>
      </c>
      <c r="H6" s="0" t="n">
        <f aca="false">G6*(1+H5/100)</f>
        <v>2721.54175273022</v>
      </c>
      <c r="I6" s="0" t="n">
        <f aca="false">H6*(1+I5/100)</f>
        <v>2775.97258778483</v>
      </c>
      <c r="J6" s="0" t="n">
        <f aca="false">I6*(1+J5/100)</f>
        <v>2831.49203954053</v>
      </c>
      <c r="K6" s="0" t="n">
        <f aca="false">J6*(1+K5/100)</f>
        <v>2888.12188033134</v>
      </c>
      <c r="L6" s="0" t="n">
        <f aca="false">K6*(1+L5/100)</f>
        <v>2945.88431793796</v>
      </c>
    </row>
    <row r="7" customFormat="false" ht="15" hidden="false" customHeight="false" outlineLevel="0" collapsed="false">
      <c r="A7" s="0" t="s">
        <v>107</v>
      </c>
      <c r="C7" s="4" t="n">
        <f aca="false">Assumptions!C14</f>
        <v>100</v>
      </c>
      <c r="D7" s="4" t="n">
        <f aca="false">Assumptions!D14</f>
        <v>100</v>
      </c>
      <c r="E7" s="4" t="n">
        <f aca="false">Assumptions!E14</f>
        <v>100</v>
      </c>
      <c r="F7" s="4" t="n">
        <f aca="false">Assumptions!F14</f>
        <v>100</v>
      </c>
      <c r="G7" s="4" t="n">
        <f aca="false">Assumptions!G14</f>
        <v>100</v>
      </c>
      <c r="H7" s="4" t="n">
        <f aca="false">Assumptions!H14</f>
        <v>100</v>
      </c>
      <c r="I7" s="4" t="n">
        <f aca="false">Assumptions!I14</f>
        <v>100</v>
      </c>
      <c r="J7" s="4" t="n">
        <f aca="false">Assumptions!J14</f>
        <v>100</v>
      </c>
      <c r="K7" s="4" t="n">
        <f aca="false">Assumptions!K14</f>
        <v>100</v>
      </c>
      <c r="L7" s="4" t="n">
        <f aca="false">Assumptions!L14</f>
        <v>100</v>
      </c>
    </row>
    <row r="8" customFormat="false" ht="15" hidden="false" customHeight="false" outlineLevel="0" collapsed="false">
      <c r="A8" s="0" t="s">
        <v>44</v>
      </c>
      <c r="C8" s="0" t="n">
        <f aca="false">C6*C7/100</f>
        <v>2489.39</v>
      </c>
      <c r="D8" s="0" t="n">
        <f aca="false">D6*D7/100</f>
        <v>2539.1778</v>
      </c>
      <c r="E8" s="0" t="n">
        <f aca="false">E6*E7/100</f>
        <v>2564.569578</v>
      </c>
      <c r="F8" s="0" t="n">
        <f aca="false">F6*F7/100</f>
        <v>2615.86096956</v>
      </c>
      <c r="G8" s="0" t="n">
        <f aca="false">G6*G7/100</f>
        <v>2668.1781889512</v>
      </c>
      <c r="H8" s="0" t="n">
        <f aca="false">H6*H7/100</f>
        <v>2721.54175273022</v>
      </c>
      <c r="I8" s="0" t="n">
        <f aca="false">I6*I7/100</f>
        <v>2775.97258778483</v>
      </c>
      <c r="J8" s="0" t="n">
        <f aca="false">J6*J7/100</f>
        <v>2831.49203954053</v>
      </c>
      <c r="K8" s="0" t="n">
        <f aca="false">K6*K7/100</f>
        <v>2888.12188033134</v>
      </c>
      <c r="L8" s="0" t="n">
        <f aca="false">L6*L7/100</f>
        <v>2945.88431793796</v>
      </c>
    </row>
    <row r="9" customFormat="false" ht="15" hidden="false" customHeight="false" outlineLevel="0" collapsed="false">
      <c r="A9" s="0" t="s">
        <v>108</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124</v>
      </c>
      <c r="C11" s="0" t="n">
        <f aca="false">C8+C10+C24</f>
        <v>2489.39</v>
      </c>
      <c r="D11" s="0" t="n">
        <f aca="false">D8+D10+D24</f>
        <v>2539.1778</v>
      </c>
      <c r="E11" s="0" t="n">
        <f aca="false">E8+E10+E24</f>
        <v>2564.569578</v>
      </c>
      <c r="F11" s="0" t="n">
        <f aca="false">F8+F10+F24</f>
        <v>2615.86096956</v>
      </c>
      <c r="G11" s="0" t="n">
        <f aca="false">G8+G10+G24</f>
        <v>2668.1781889512</v>
      </c>
      <c r="H11" s="0" t="n">
        <f aca="false">H8+H10+H24</f>
        <v>2721.54175273022</v>
      </c>
      <c r="I11" s="0" t="n">
        <f aca="false">I8+I10+I24</f>
        <v>2775.97258778483</v>
      </c>
      <c r="J11" s="0" t="n">
        <f aca="false">J8+J10+J24</f>
        <v>2831.49203954053</v>
      </c>
      <c r="K11" s="0" t="n">
        <f aca="false">K8+K10+K24</f>
        <v>2888.12188033134</v>
      </c>
      <c r="L11" s="0" t="n">
        <f aca="false">L8+L10+L24</f>
        <v>2945.88431793796</v>
      </c>
    </row>
    <row r="12" customFormat="false" ht="15" hidden="false" customHeight="false" outlineLevel="0" collapsed="false">
      <c r="A12" s="0" t="s">
        <v>125</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126</v>
      </c>
      <c r="C13" s="0" t="n">
        <f aca="false">C11+C12</f>
        <v>2489.39</v>
      </c>
      <c r="D13" s="0" t="n">
        <f aca="false">D11+D12</f>
        <v>2539.1778</v>
      </c>
      <c r="E13" s="0" t="n">
        <f aca="false">E11+E12</f>
        <v>2564.569578</v>
      </c>
      <c r="F13" s="0" t="n">
        <f aca="false">F11+F12</f>
        <v>2615.86096956</v>
      </c>
      <c r="G13" s="0" t="n">
        <f aca="false">G11+G12</f>
        <v>2668.1781889512</v>
      </c>
      <c r="H13" s="0" t="n">
        <f aca="false">H11+H12</f>
        <v>2721.54175273022</v>
      </c>
      <c r="I13" s="0" t="n">
        <f aca="false">I11+I12</f>
        <v>2775.97258778483</v>
      </c>
      <c r="J13" s="0" t="n">
        <f aca="false">J11+J12</f>
        <v>2831.49203954053</v>
      </c>
      <c r="K13" s="0" t="n">
        <f aca="false">K11+K12</f>
        <v>2888.12188033134</v>
      </c>
      <c r="L13" s="0" t="n">
        <f aca="false">L11+L12</f>
        <v>2945.88431793796</v>
      </c>
    </row>
    <row r="14" customFormat="false" ht="15" hidden="false" customHeight="false" outlineLevel="0" collapsed="false">
      <c r="A14" s="0" t="s">
        <v>112</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127</v>
      </c>
      <c r="C15" s="0" t="n">
        <f aca="false">C13-MAX(0,C13)*C14/100</f>
        <v>1867.0425</v>
      </c>
      <c r="D15" s="0" t="n">
        <f aca="false">D13-MAX(0,D13)*D14/100</f>
        <v>1904.38335</v>
      </c>
      <c r="E15" s="0" t="n">
        <f aca="false">E13-MAX(0,E13)*E14/100</f>
        <v>1923.4271835</v>
      </c>
      <c r="F15" s="0" t="n">
        <f aca="false">F13-MAX(0,F13)*F14/100</f>
        <v>1961.89572717</v>
      </c>
      <c r="G15" s="0" t="n">
        <f aca="false">G13-MAX(0,G13)*G14/100</f>
        <v>2001.1336417134</v>
      </c>
      <c r="H15" s="0" t="n">
        <f aca="false">H13-MAX(0,H13)*H14/100</f>
        <v>2041.15631454767</v>
      </c>
      <c r="I15" s="0" t="n">
        <f aca="false">I13-MAX(0,I13)*I14/100</f>
        <v>2081.97944083862</v>
      </c>
      <c r="J15" s="0" t="n">
        <f aca="false">J13-MAX(0,J13)*J14/100</f>
        <v>2123.61902965539</v>
      </c>
      <c r="K15" s="0" t="n">
        <f aca="false">K13-MAX(0,K13)*K14/100</f>
        <v>2166.0914102485</v>
      </c>
      <c r="L15" s="0" t="n">
        <f aca="false">L13-MAX(0,L13)*L14/100</f>
        <v>2209.41323845347</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-C6*Assumptions!C18/100</f>
        <v>-348.5146</v>
      </c>
      <c r="D17" s="4" t="n">
        <f aca="false">-D6*Assumptions!D18/100</f>
        <v>-406.268448</v>
      </c>
      <c r="E17" s="4" t="n">
        <f aca="false">-E6*Assumptions!E18/100</f>
        <v>-410.33113248</v>
      </c>
      <c r="F17" s="4" t="n">
        <f aca="false">-F6*Assumptions!F18/100</f>
        <v>-418.5377551296</v>
      </c>
      <c r="G17" s="4" t="n">
        <f aca="false">-G6*Assumptions!G18/100</f>
        <v>-426.908510232192</v>
      </c>
      <c r="H17" s="4" t="n">
        <f aca="false">-H6*Assumptions!H18/100</f>
        <v>-408.231262909534</v>
      </c>
      <c r="I17" s="4" t="n">
        <f aca="false">-I6*Assumptions!I18/100</f>
        <v>-416.395888167724</v>
      </c>
      <c r="J17" s="4" t="n">
        <f aca="false">-J6*Assumptions!J18/100</f>
        <v>-424.723805931079</v>
      </c>
      <c r="K17" s="4" t="n">
        <f aca="false">-K6*Assumptions!K18/100</f>
        <v>-433.2182820497</v>
      </c>
      <c r="L17" s="4" t="n">
        <f aca="false">-L6*Assumptions!L18/100</f>
        <v>-441.882647690694</v>
      </c>
    </row>
    <row r="18" customFormat="false" ht="15" hidden="false" customHeight="false" outlineLevel="0" collapsed="false">
      <c r="A18" s="0" t="s">
        <v>130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131</v>
      </c>
      <c r="C19" s="0" t="n">
        <f aca="false">C15+C16+C17+C18</f>
        <v>1518.5279</v>
      </c>
      <c r="D19" s="0" t="n">
        <f aca="false">D15+D16+D17+D18</f>
        <v>1498.114902</v>
      </c>
      <c r="E19" s="0" t="n">
        <f aca="false">E15+E16+E17+E18</f>
        <v>1513.09605102</v>
      </c>
      <c r="F19" s="0" t="n">
        <f aca="false">F15+F16+F17+F18</f>
        <v>1543.3579720404</v>
      </c>
      <c r="G19" s="0" t="n">
        <f aca="false">G15+G16+G17+G18</f>
        <v>1574.22513148121</v>
      </c>
      <c r="H19" s="0" t="n">
        <f aca="false">H15+H16+H17+H18</f>
        <v>1632.92505163813</v>
      </c>
      <c r="I19" s="0" t="n">
        <f aca="false">I15+I16+I17+I18</f>
        <v>1665.5835526709</v>
      </c>
      <c r="J19" s="0" t="n">
        <f aca="false">J15+J16+J17+J18</f>
        <v>1698.89522372432</v>
      </c>
      <c r="K19" s="0" t="n">
        <f aca="false">K15+K16+K17+K18</f>
        <v>1732.8731281988</v>
      </c>
      <c r="L19" s="0" t="n">
        <f aca="false">L15+L16+L17+L18</f>
        <v>1767.53059076278</v>
      </c>
    </row>
    <row r="20" customFormat="false" ht="15" hidden="false" customHeight="false" outlineLevel="0" collapsed="false">
      <c r="A20" s="0" t="s">
        <v>132</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133</v>
      </c>
      <c r="C21" s="0" t="n">
        <f aca="false">C19*C20</f>
        <v>1374.23339366516</v>
      </c>
      <c r="D21" s="0" t="n">
        <f aca="false">D19*D20</f>
        <v>1226.93221023321</v>
      </c>
      <c r="E21" s="0" t="n">
        <f aca="false">E19*E20</f>
        <v>1121.4493505299</v>
      </c>
      <c r="F21" s="0" t="n">
        <f aca="false">F19*F20</f>
        <v>1035.18401587375</v>
      </c>
      <c r="G21" s="0" t="n">
        <f aca="false">G19*G20</f>
        <v>955.554476191156</v>
      </c>
      <c r="H21" s="0" t="n">
        <f aca="false">H19*H20</f>
        <v>897.000290557539</v>
      </c>
      <c r="I21" s="0" t="n">
        <f aca="false">I19*I20</f>
        <v>828.000268206959</v>
      </c>
      <c r="J21" s="0" t="n">
        <f aca="false">J19*J20</f>
        <v>764.307939883347</v>
      </c>
      <c r="K21" s="0" t="n">
        <f aca="false">K19*K20</f>
        <v>705.515021430782</v>
      </c>
      <c r="L21" s="0" t="n">
        <f aca="false">L19*L20</f>
        <v>651.244635166876</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10.5</v>
      </c>
    </row>
    <row r="28" customFormat="false" ht="15" hidden="false" customHeight="false" outlineLevel="0" collapsed="false">
      <c r="A28" s="0" t="s">
        <v>114</v>
      </c>
      <c r="B28" s="4" t="n">
        <f aca="false">Assumptions!$B$21</f>
        <v>2</v>
      </c>
    </row>
    <row r="29" customFormat="false" ht="15" hidden="false" customHeight="false" outlineLevel="0" collapsed="false">
      <c r="A29" s="0" t="s">
        <v>115</v>
      </c>
      <c r="B29" s="4" t="n">
        <f aca="false">Assumptions!$B$22</f>
        <v>12</v>
      </c>
    </row>
    <row r="30" customFormat="false" ht="15" hidden="false" customHeight="false" outlineLevel="0" collapsed="false">
      <c r="A30" s="0" t="s">
        <v>136</v>
      </c>
      <c r="B30" s="0" t="n">
        <f aca="false">SUM(C21:L21)</f>
        <v>9559.42160173868</v>
      </c>
    </row>
    <row r="31" customFormat="false" ht="15" hidden="false" customHeight="false" outlineLevel="0" collapsed="false">
      <c r="A31" s="0" t="s">
        <v>137</v>
      </c>
      <c r="B31" s="0" t="n">
        <f aca="false">L19</f>
        <v>1767.53059076278</v>
      </c>
    </row>
    <row r="32" customFormat="false" ht="15" hidden="false" customHeight="false" outlineLevel="0" collapsed="false">
      <c r="A32" s="0" t="s">
        <v>138</v>
      </c>
      <c r="B32" s="0" t="n">
        <f aca="false">IF(B27&gt;B28,B31*(1+B28/100)/((B27-B28)/100),B31*B29)</f>
        <v>21210.3670891533</v>
      </c>
    </row>
    <row r="33" customFormat="false" ht="15" hidden="false" customHeight="false" outlineLevel="0" collapsed="false">
      <c r="A33" s="0" t="s">
        <v>139</v>
      </c>
      <c r="B33" s="0" t="n">
        <f aca="false">B31*B29</f>
        <v>21210.3670891533</v>
      </c>
    </row>
    <row r="34" customFormat="false" ht="15" hidden="false" customHeight="false" outlineLevel="0" collapsed="false">
      <c r="A34" s="0" t="s">
        <v>140</v>
      </c>
      <c r="B34" s="0" t="n">
        <f aca="false">MAX(0,MIN(B32,B33))</f>
        <v>21210.3670891533</v>
      </c>
    </row>
    <row r="35" customFormat="false" ht="15" hidden="false" customHeight="false" outlineLevel="0" collapsed="false">
      <c r="A35" s="0" t="s">
        <v>141</v>
      </c>
      <c r="B35" s="0" t="n">
        <f aca="false">B34/(1+B27/100)^L4</f>
        <v>7814.93562200251</v>
      </c>
    </row>
    <row r="36" customFormat="false" ht="15" hidden="false" customHeight="false" outlineLevel="0" collapsed="false">
      <c r="A36" s="0" t="s">
        <v>142</v>
      </c>
      <c r="B36" s="0" t="n">
        <f aca="false">B30+B35</f>
        <v>17374.3572237412</v>
      </c>
    </row>
    <row r="37" customFormat="false" ht="15" hidden="false" customHeight="false" outlineLevel="0" collapsed="false">
      <c r="A37" s="0" t="s">
        <v>143</v>
      </c>
      <c r="B37" s="0" t="n">
        <f aca="false">B36+Assumptions!$B$5-Assumptions!$B$4</f>
        <v>17374.3572237412</v>
      </c>
    </row>
    <row r="38" customFormat="false" ht="15" hidden="false" customHeight="false" outlineLevel="0" collapsed="false">
      <c r="A38" s="0" t="s">
        <v>144</v>
      </c>
      <c r="B38" s="0" t="n">
        <f aca="false">B37/Assumptions!$B$3*Assumptions!$B$10</f>
        <v>572.843957261496</v>
      </c>
    </row>
    <row r="39" customFormat="false" ht="15" hidden="false" customHeight="false" outlineLevel="0" collapsed="false">
      <c r="A39" s="0" t="s">
        <v>145</v>
      </c>
      <c r="B39" s="4" t="n">
        <f aca="false">B38/Assumptions!$B$2-1</f>
        <v>-0.155595581866898</v>
      </c>
    </row>
    <row r="41" customFormat="false" ht="15" hidden="false" customHeight="false" outlineLevel="0" collapsed="false">
      <c r="A41" s="0" t="s">
        <v>146</v>
      </c>
      <c r="B41" s="0" t="n">
        <f aca="false">SUMPRODUCT(-C10:L10/(1+$B$27/100)^C4:L4)</f>
        <v>0</v>
      </c>
    </row>
    <row r="42" customFormat="false" ht="15" hidden="false" customHeight="false" outlineLevel="0" collapsed="false">
      <c r="A42" s="0" t="s">
        <v>147</v>
      </c>
      <c r="B42" s="0" t="n">
        <f aca="false">IF(B27&gt;B28,-L10*(1+B28/100)/((B27-B28)/100),-L10*20)/(1+B27/100)^L4</f>
        <v>0</v>
      </c>
    </row>
    <row r="43" customFormat="false" ht="15" hidden="false" customHeight="false" outlineLevel="0" collapsed="false">
      <c r="A43" s="0" t="s">
        <v>148</v>
      </c>
      <c r="B43" s="0" t="n">
        <f aca="false">(B37+B41+B42)/Assumptions!$B$3*Assumptions!$B$10</f>
        <v>572.843957261496</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13868.316942908</v>
      </c>
    </row>
    <row r="47" customFormat="false" ht="15" hidden="false" customHeight="false" outlineLevel="0" collapsed="false">
      <c r="A47" s="0" t="s">
        <v>150</v>
      </c>
      <c r="B47" s="0" t="n">
        <f aca="false">(SUMPRODUCT(C19:L19/(1+B45/100)^C4:L4)+B46/(1+B45/100)^L4+Assumptions!$B$5-Assumptions!$B$4)/Assumptions!$B$3*Assumptions!$B$10</f>
        <v>374.488639722706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18</v>
      </c>
      <c r="D5" s="4" t="n">
        <f aca="false">Assumptions!D27</f>
        <v>9</v>
      </c>
      <c r="E5" s="4" t="n">
        <f aca="false">Assumptions!E27</f>
        <v>7.5</v>
      </c>
      <c r="F5" s="4" t="n">
        <f aca="false">Assumptions!F27</f>
        <v>5</v>
      </c>
      <c r="G5" s="4" t="n">
        <f aca="false">Assumptions!G27</f>
        <v>4.5</v>
      </c>
      <c r="H5" s="4" t="n">
        <f aca="false">Assumptions!H27</f>
        <v>4</v>
      </c>
      <c r="I5" s="4" t="n">
        <f aca="false">Assumptions!I27</f>
        <v>3.5</v>
      </c>
      <c r="J5" s="4" t="n">
        <f aca="false">Assumptions!J27</f>
        <v>3</v>
      </c>
      <c r="K5" s="4" t="n">
        <f aca="false">Assumptions!K27</f>
        <v>2.5</v>
      </c>
      <c r="L5" s="4" t="n">
        <f aca="false">Assumptions!L27</f>
        <v>2.5</v>
      </c>
    </row>
    <row r="6" customFormat="false" ht="15" hidden="false" customHeight="false" outlineLevel="0" collapsed="false">
      <c r="A6" s="0" t="s">
        <v>38</v>
      </c>
      <c r="B6" s="3" t="n">
        <v>2203</v>
      </c>
      <c r="C6" s="0" t="n">
        <f aca="false">B6*(1+C5/100)</f>
        <v>2599.54</v>
      </c>
      <c r="D6" s="0" t="n">
        <f aca="false">C6*(1+D5/100)</f>
        <v>2833.4986</v>
      </c>
      <c r="E6" s="0" t="n">
        <f aca="false">D6*(1+E5/100)</f>
        <v>3046.010995</v>
      </c>
      <c r="F6" s="0" t="n">
        <f aca="false">E6*(1+F5/100)</f>
        <v>3198.31154475</v>
      </c>
      <c r="G6" s="0" t="n">
        <f aca="false">F6*(1+G5/100)</f>
        <v>3342.23556426375</v>
      </c>
      <c r="H6" s="0" t="n">
        <f aca="false">G6*(1+H5/100)</f>
        <v>3475.9249868343</v>
      </c>
      <c r="I6" s="0" t="n">
        <f aca="false">H6*(1+I5/100)</f>
        <v>3597.5823613735</v>
      </c>
      <c r="J6" s="0" t="n">
        <f aca="false">I6*(1+J5/100)</f>
        <v>3705.50983221471</v>
      </c>
      <c r="K6" s="0" t="n">
        <f aca="false">J6*(1+K5/100)</f>
        <v>3798.14757802007</v>
      </c>
      <c r="L6" s="0" t="n">
        <f aca="false">K6*(1+L5/100)</f>
        <v>3893.10126747057</v>
      </c>
    </row>
    <row r="7" customFormat="false" ht="15" hidden="false" customHeight="false" outlineLevel="0" collapsed="false">
      <c r="A7" s="0" t="s">
        <v>107</v>
      </c>
      <c r="C7" s="4" t="n">
        <f aca="false">Assumptions!C28</f>
        <v>100</v>
      </c>
      <c r="D7" s="4" t="n">
        <f aca="false">Assumptions!D28</f>
        <v>100</v>
      </c>
      <c r="E7" s="4" t="n">
        <f aca="false">Assumptions!E28</f>
        <v>100</v>
      </c>
      <c r="F7" s="4" t="n">
        <f aca="false">Assumptions!F28</f>
        <v>100</v>
      </c>
      <c r="G7" s="4" t="n">
        <f aca="false">Assumptions!G28</f>
        <v>100</v>
      </c>
      <c r="H7" s="4" t="n">
        <f aca="false">Assumptions!H28</f>
        <v>100</v>
      </c>
      <c r="I7" s="4" t="n">
        <f aca="false">Assumptions!I28</f>
        <v>100</v>
      </c>
      <c r="J7" s="4" t="n">
        <f aca="false">Assumptions!J28</f>
        <v>100</v>
      </c>
      <c r="K7" s="4" t="n">
        <f aca="false">Assumptions!K28</f>
        <v>100</v>
      </c>
      <c r="L7" s="4" t="n">
        <f aca="false">Assumptions!L28</f>
        <v>100</v>
      </c>
    </row>
    <row r="8" customFormat="false" ht="15" hidden="false" customHeight="false" outlineLevel="0" collapsed="false">
      <c r="A8" s="0" t="s">
        <v>44</v>
      </c>
      <c r="C8" s="0" t="n">
        <f aca="false">C6*C7/100</f>
        <v>2599.54</v>
      </c>
      <c r="D8" s="0" t="n">
        <f aca="false">D6*D7/100</f>
        <v>2833.4986</v>
      </c>
      <c r="E8" s="0" t="n">
        <f aca="false">E6*E7/100</f>
        <v>3046.010995</v>
      </c>
      <c r="F8" s="0" t="n">
        <f aca="false">F6*F7/100</f>
        <v>3198.31154475</v>
      </c>
      <c r="G8" s="0" t="n">
        <f aca="false">G6*G7/100</f>
        <v>3342.23556426375</v>
      </c>
      <c r="H8" s="0" t="n">
        <f aca="false">H6*H7/100</f>
        <v>3475.9249868343</v>
      </c>
      <c r="I8" s="0" t="n">
        <f aca="false">I6*I7/100</f>
        <v>3597.5823613735</v>
      </c>
      <c r="J8" s="0" t="n">
        <f aca="false">J6*J7/100</f>
        <v>3705.50983221471</v>
      </c>
      <c r="K8" s="0" t="n">
        <f aca="false">K6*K7/100</f>
        <v>3798.14757802007</v>
      </c>
      <c r="L8" s="0" t="n">
        <f aca="false">L6*L7/100</f>
        <v>3893.10126747057</v>
      </c>
    </row>
    <row r="9" customFormat="false" ht="15" hidden="false" customHeight="false" outlineLevel="0" collapsed="false">
      <c r="A9" s="0" t="s">
        <v>108</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124</v>
      </c>
      <c r="C11" s="0" t="n">
        <f aca="false">C8+C10+C24</f>
        <v>2599.54</v>
      </c>
      <c r="D11" s="0" t="n">
        <f aca="false">D8+D10+D24</f>
        <v>2833.4986</v>
      </c>
      <c r="E11" s="0" t="n">
        <f aca="false">E8+E10+E24</f>
        <v>3046.010995</v>
      </c>
      <c r="F11" s="0" t="n">
        <f aca="false">F8+F10+F24</f>
        <v>3198.31154475</v>
      </c>
      <c r="G11" s="0" t="n">
        <f aca="false">G8+G10+G24</f>
        <v>3342.23556426375</v>
      </c>
      <c r="H11" s="0" t="n">
        <f aca="false">H8+H10+H24</f>
        <v>3475.9249868343</v>
      </c>
      <c r="I11" s="0" t="n">
        <f aca="false">I8+I10+I24</f>
        <v>3597.5823613735</v>
      </c>
      <c r="J11" s="0" t="n">
        <f aca="false">J8+J10+J24</f>
        <v>3705.50983221471</v>
      </c>
      <c r="K11" s="0" t="n">
        <f aca="false">K8+K10+K24</f>
        <v>3798.14757802007</v>
      </c>
      <c r="L11" s="0" t="n">
        <f aca="false">L8+L10+L24</f>
        <v>3893.10126747057</v>
      </c>
    </row>
    <row r="12" customFormat="false" ht="15" hidden="false" customHeight="false" outlineLevel="0" collapsed="false">
      <c r="A12" s="0" t="s">
        <v>125</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126</v>
      </c>
      <c r="C13" s="0" t="n">
        <f aca="false">C11+C12</f>
        <v>2599.54</v>
      </c>
      <c r="D13" s="0" t="n">
        <f aca="false">D11+D12</f>
        <v>2833.4986</v>
      </c>
      <c r="E13" s="0" t="n">
        <f aca="false">E11+E12</f>
        <v>3046.010995</v>
      </c>
      <c r="F13" s="0" t="n">
        <f aca="false">F11+F12</f>
        <v>3198.31154475</v>
      </c>
      <c r="G13" s="0" t="n">
        <f aca="false">G11+G12</f>
        <v>3342.23556426375</v>
      </c>
      <c r="H13" s="0" t="n">
        <f aca="false">H11+H12</f>
        <v>3475.9249868343</v>
      </c>
      <c r="I13" s="0" t="n">
        <f aca="false">I11+I12</f>
        <v>3597.5823613735</v>
      </c>
      <c r="J13" s="0" t="n">
        <f aca="false">J11+J12</f>
        <v>3705.50983221471</v>
      </c>
      <c r="K13" s="0" t="n">
        <f aca="false">K11+K12</f>
        <v>3798.14757802007</v>
      </c>
      <c r="L13" s="0" t="n">
        <f aca="false">L11+L12</f>
        <v>3893.10126747057</v>
      </c>
    </row>
    <row r="14" customFormat="false" ht="15" hidden="false" customHeight="false" outlineLevel="0" collapsed="false">
      <c r="A14" s="0" t="s">
        <v>112</v>
      </c>
      <c r="C14" s="4" t="n">
        <f aca="false">Assumptions!C33</f>
        <v>24</v>
      </c>
      <c r="D14" s="4" t="n">
        <f aca="false">Assumptions!D33</f>
        <v>24</v>
      </c>
      <c r="E14" s="4" t="n">
        <f aca="false">Assumptions!E33</f>
        <v>24</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127</v>
      </c>
      <c r="C15" s="0" t="n">
        <f aca="false">C13-MAX(0,C13)*C14/100</f>
        <v>1975.6504</v>
      </c>
      <c r="D15" s="0" t="n">
        <f aca="false">D13-MAX(0,D13)*D14/100</f>
        <v>2153.458936</v>
      </c>
      <c r="E15" s="0" t="n">
        <f aca="false">E13-MAX(0,E13)*E14/100</f>
        <v>2314.9683562</v>
      </c>
      <c r="F15" s="0" t="n">
        <f aca="false">F13-MAX(0,F13)*F14/100</f>
        <v>2430.71677401</v>
      </c>
      <c r="G15" s="0" t="n">
        <f aca="false">G13-MAX(0,G13)*G14/100</f>
        <v>2540.09902884045</v>
      </c>
      <c r="H15" s="0" t="n">
        <f aca="false">H13-MAX(0,H13)*H14/100</f>
        <v>2641.70298999407</v>
      </c>
      <c r="I15" s="0" t="n">
        <f aca="false">I13-MAX(0,I13)*I14/100</f>
        <v>2734.16259464386</v>
      </c>
      <c r="J15" s="0" t="n">
        <f aca="false">J13-MAX(0,J13)*J14/100</f>
        <v>2816.18747248318</v>
      </c>
      <c r="K15" s="0" t="n">
        <f aca="false">K13-MAX(0,K13)*K14/100</f>
        <v>2886.59215929526</v>
      </c>
      <c r="L15" s="0" t="n">
        <f aca="false">L13-MAX(0,L13)*L14/100</f>
        <v>2958.75696327764</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-C6*Assumptions!C32/100</f>
        <v>-324.9425</v>
      </c>
      <c r="D17" s="4" t="n">
        <f aca="false">-D6*Assumptions!D32/100</f>
        <v>-354.187325</v>
      </c>
      <c r="E17" s="4" t="n">
        <f aca="false">-E6*Assumptions!E32/100</f>
        <v>-380.751374375</v>
      </c>
      <c r="F17" s="4" t="n">
        <f aca="false">-F6*Assumptions!F32/100</f>
        <v>-399.78894309375</v>
      </c>
      <c r="G17" s="4" t="n">
        <f aca="false">-G6*Assumptions!G32/100</f>
        <v>-417.779445532969</v>
      </c>
      <c r="H17" s="4" t="n">
        <f aca="false">-H6*Assumptions!H32/100</f>
        <v>-434.490623354288</v>
      </c>
      <c r="I17" s="4" t="n">
        <f aca="false">-I6*Assumptions!I32/100</f>
        <v>-449.697795171688</v>
      </c>
      <c r="J17" s="4" t="n">
        <f aca="false">-J6*Assumptions!J32/100</f>
        <v>-463.188729026838</v>
      </c>
      <c r="K17" s="4" t="n">
        <f aca="false">-K6*Assumptions!K32/100</f>
        <v>-474.768447252509</v>
      </c>
      <c r="L17" s="4" t="n">
        <f aca="false">-L6*Assumptions!L32/100</f>
        <v>-486.637658433822</v>
      </c>
    </row>
    <row r="18" customFormat="false" ht="15" hidden="false" customHeight="false" outlineLevel="0" collapsed="false">
      <c r="A18" s="0" t="s">
        <v>130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131</v>
      </c>
      <c r="C19" s="0" t="n">
        <f aca="false">C15+C16+C17+C18</f>
        <v>1650.7079</v>
      </c>
      <c r="D19" s="0" t="n">
        <f aca="false">D15+D16+D17+D18</f>
        <v>1799.271611</v>
      </c>
      <c r="E19" s="0" t="n">
        <f aca="false">E15+E16+E17+E18</f>
        <v>1934.216981825</v>
      </c>
      <c r="F19" s="0" t="n">
        <f aca="false">F15+F16+F17+F18</f>
        <v>2030.92783091625</v>
      </c>
      <c r="G19" s="0" t="n">
        <f aca="false">G15+G16+G17+G18</f>
        <v>2122.31958330748</v>
      </c>
      <c r="H19" s="0" t="n">
        <f aca="false">H15+H16+H17+H18</f>
        <v>2207.21236663978</v>
      </c>
      <c r="I19" s="0" t="n">
        <f aca="false">I15+I16+I17+I18</f>
        <v>2284.46479947217</v>
      </c>
      <c r="J19" s="0" t="n">
        <f aca="false">J15+J16+J17+J18</f>
        <v>2352.99874345634</v>
      </c>
      <c r="K19" s="0" t="n">
        <f aca="false">K15+K16+K17+K18</f>
        <v>2411.82371204275</v>
      </c>
      <c r="L19" s="0" t="n">
        <f aca="false">L15+L16+L17+L18</f>
        <v>2472.11930484381</v>
      </c>
    </row>
    <row r="20" customFormat="false" ht="15" hidden="false" customHeight="false" outlineLevel="0" collapsed="false">
      <c r="A20" s="0" t="s">
        <v>132</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133</v>
      </c>
      <c r="C21" s="0" t="n">
        <f aca="false">C19*C20</f>
        <v>1493.85330316742</v>
      </c>
      <c r="D21" s="0" t="n">
        <f aca="false">D19*D20</f>
        <v>1473.57475154071</v>
      </c>
      <c r="E21" s="0" t="n">
        <f aca="false">E19*E20</f>
        <v>1433.56819720024</v>
      </c>
      <c r="F21" s="0" t="n">
        <f aca="false">F19*F20</f>
        <v>1362.21412403643</v>
      </c>
      <c r="G21" s="0" t="n">
        <f aca="false">G19*G20</f>
        <v>1288.2477462607</v>
      </c>
      <c r="H21" s="0" t="n">
        <f aca="false">H19*H20</f>
        <v>1212.46846706889</v>
      </c>
      <c r="I21" s="0" t="n">
        <f aca="false">I19*I20</f>
        <v>1135.66050987901</v>
      </c>
      <c r="J21" s="0" t="n">
        <f aca="false">J19*J20</f>
        <v>1058.57947979672</v>
      </c>
      <c r="K21" s="0" t="n">
        <f aca="false">K19*K20</f>
        <v>981.940241440396</v>
      </c>
      <c r="L21" s="0" t="n">
        <f aca="false">L19*L20</f>
        <v>910.849545227517</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10.5</v>
      </c>
    </row>
    <row r="28" customFormat="false" ht="15" hidden="false" customHeight="false" outlineLevel="0" collapsed="false">
      <c r="A28" s="0" t="s">
        <v>114</v>
      </c>
      <c r="B28" s="4" t="n">
        <f aca="false">Assumptions!$B$35</f>
        <v>2.5</v>
      </c>
    </row>
    <row r="29" customFormat="false" ht="15" hidden="false" customHeight="false" outlineLevel="0" collapsed="false">
      <c r="A29" s="0" t="s">
        <v>115</v>
      </c>
      <c r="B29" s="4" t="n">
        <f aca="false">Assumptions!$B$36</f>
        <v>13</v>
      </c>
    </row>
    <row r="30" customFormat="false" ht="15" hidden="false" customHeight="false" outlineLevel="0" collapsed="false">
      <c r="A30" s="0" t="s">
        <v>136</v>
      </c>
      <c r="B30" s="0" t="n">
        <f aca="false">SUM(C21:L21)</f>
        <v>12350.956365618</v>
      </c>
    </row>
    <row r="31" customFormat="false" ht="15" hidden="false" customHeight="false" outlineLevel="0" collapsed="false">
      <c r="A31" s="0" t="s">
        <v>137</v>
      </c>
      <c r="B31" s="0" t="n">
        <f aca="false">L19</f>
        <v>2472.11930484381</v>
      </c>
    </row>
    <row r="32" customFormat="false" ht="15" hidden="false" customHeight="false" outlineLevel="0" collapsed="false">
      <c r="A32" s="0" t="s">
        <v>138</v>
      </c>
      <c r="B32" s="0" t="n">
        <f aca="false">IF(B27&gt;B28,B31*(1+B28/100)/((B27-B28)/100),B31*B29)</f>
        <v>31674.0285933114</v>
      </c>
    </row>
    <row r="33" customFormat="false" ht="15" hidden="false" customHeight="false" outlineLevel="0" collapsed="false">
      <c r="A33" s="0" t="s">
        <v>139</v>
      </c>
      <c r="B33" s="0" t="n">
        <f aca="false">B31*B29</f>
        <v>32137.5509629696</v>
      </c>
    </row>
    <row r="34" customFormat="false" ht="15" hidden="false" customHeight="false" outlineLevel="0" collapsed="false">
      <c r="A34" s="0" t="s">
        <v>140</v>
      </c>
      <c r="B34" s="0" t="n">
        <f aca="false">MAX(0,MIN(B32,B33))</f>
        <v>31674.0285933114</v>
      </c>
    </row>
    <row r="35" customFormat="false" ht="15" hidden="false" customHeight="false" outlineLevel="0" collapsed="false">
      <c r="A35" s="0" t="s">
        <v>141</v>
      </c>
      <c r="B35" s="0" t="n">
        <f aca="false">B34/(1+B27/100)^L4</f>
        <v>11670.2597982276</v>
      </c>
    </row>
    <row r="36" customFormat="false" ht="15" hidden="false" customHeight="false" outlineLevel="0" collapsed="false">
      <c r="A36" s="0" t="s">
        <v>142</v>
      </c>
      <c r="B36" s="0" t="n">
        <f aca="false">B30+B35</f>
        <v>24021.2161638456</v>
      </c>
    </row>
    <row r="37" customFormat="false" ht="15" hidden="false" customHeight="false" outlineLevel="0" collapsed="false">
      <c r="A37" s="0" t="s">
        <v>143</v>
      </c>
      <c r="B37" s="0" t="n">
        <f aca="false">B36+Assumptions!$B$5-Assumptions!$B$4</f>
        <v>24021.2161638456</v>
      </c>
    </row>
    <row r="38" customFormat="false" ht="15" hidden="false" customHeight="false" outlineLevel="0" collapsed="false">
      <c r="A38" s="0" t="s">
        <v>144</v>
      </c>
      <c r="B38" s="0" t="n">
        <f aca="false">B37/Assumptions!$B$3*Assumptions!$B$10</f>
        <v>791.995257627616</v>
      </c>
    </row>
    <row r="39" customFormat="false" ht="15" hidden="false" customHeight="false" outlineLevel="0" collapsed="false">
      <c r="A39" s="0" t="s">
        <v>145</v>
      </c>
      <c r="B39" s="4" t="n">
        <f aca="false">B38/Assumptions!$B$2-1</f>
        <v>0.167445839663349</v>
      </c>
    </row>
    <row r="41" customFormat="false" ht="15" hidden="false" customHeight="false" outlineLevel="0" collapsed="false">
      <c r="A41" s="0" t="s">
        <v>146</v>
      </c>
      <c r="B41" s="0" t="n">
        <f aca="false">SUMPRODUCT(-C10:L10/(1+$B$27/100)^C4:L4)</f>
        <v>0</v>
      </c>
    </row>
    <row r="42" customFormat="false" ht="15" hidden="false" customHeight="false" outlineLevel="0" collapsed="false">
      <c r="A42" s="0" t="s">
        <v>147</v>
      </c>
      <c r="B42" s="0" t="n">
        <f aca="false">IF(B27&gt;B28,-L10*(1+B28/100)/((B27-B28)/100),-L10*20)/(1+B27/100)^L4</f>
        <v>0</v>
      </c>
    </row>
    <row r="43" customFormat="false" ht="15" hidden="false" customHeight="false" outlineLevel="0" collapsed="false">
      <c r="A43" s="0" t="s">
        <v>148</v>
      </c>
      <c r="B43" s="0" t="n">
        <f aca="false">(B37+B41+B42)/Assumptions!$B$3*Assumptions!$B$10</f>
        <v>791.995257627616</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20271.3782997193</v>
      </c>
    </row>
    <row r="47" customFormat="false" ht="15" hidden="false" customHeight="false" outlineLevel="0" collapsed="false">
      <c r="A47" s="0" t="s">
        <v>150</v>
      </c>
      <c r="B47" s="0" t="n">
        <f aca="false">(SUMPRODUCT(C19:L19/(1+B45/100)^C4:L4)+B46/(1+B45/100)^L4+Assumptions!$B$5-Assumptions!$B$4)/Assumptions!$B$3*Assumptions!$B$10</f>
        <v>500.287879413541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20</v>
      </c>
      <c r="D5" s="4" t="n">
        <f aca="false">Assumptions!D41</f>
        <v>11</v>
      </c>
      <c r="E5" s="4" t="n">
        <f aca="false">Assumptions!E41</f>
        <v>9.5</v>
      </c>
      <c r="F5" s="4" t="n">
        <f aca="false">Assumptions!F41</f>
        <v>7</v>
      </c>
      <c r="G5" s="4" t="n">
        <f aca="false">Assumptions!G41</f>
        <v>6</v>
      </c>
      <c r="H5" s="4" t="n">
        <f aca="false">Assumptions!H41</f>
        <v>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2203</v>
      </c>
      <c r="C6" s="0" t="n">
        <f aca="false">B6*(1+C5/100)</f>
        <v>2643.6</v>
      </c>
      <c r="D6" s="0" t="n">
        <f aca="false">C6*(1+D5/100)</f>
        <v>2934.396</v>
      </c>
      <c r="E6" s="0" t="n">
        <f aca="false">D6*(1+E5/100)</f>
        <v>3213.16362</v>
      </c>
      <c r="F6" s="0" t="n">
        <f aca="false">E6*(1+F5/100)</f>
        <v>3438.0850734</v>
      </c>
      <c r="G6" s="0" t="n">
        <f aca="false">F6*(1+G5/100)</f>
        <v>3644.370177804</v>
      </c>
      <c r="H6" s="0" t="n">
        <f aca="false">G6*(1+H5/100)</f>
        <v>3826.5886866942</v>
      </c>
      <c r="I6" s="0" t="n">
        <f aca="false">H6*(1+I5/100)</f>
        <v>3979.65223416197</v>
      </c>
      <c r="J6" s="0" t="n">
        <f aca="false">I6*(1+J5/100)</f>
        <v>4118.94006235764</v>
      </c>
      <c r="K6" s="0" t="n">
        <f aca="false">J6*(1+K5/100)</f>
        <v>4242.50826422837</v>
      </c>
      <c r="L6" s="0" t="n">
        <f aca="false">K6*(1+L5/100)</f>
        <v>4369.78351215522</v>
      </c>
    </row>
    <row r="7" customFormat="false" ht="15" hidden="false" customHeight="false" outlineLevel="0" collapsed="false">
      <c r="A7" s="0" t="s">
        <v>107</v>
      </c>
      <c r="C7" s="4" t="n">
        <f aca="false">Assumptions!C42</f>
        <v>100</v>
      </c>
      <c r="D7" s="4" t="n">
        <f aca="false">Assumptions!D42</f>
        <v>100</v>
      </c>
      <c r="E7" s="4" t="n">
        <f aca="false">Assumptions!E42</f>
        <v>100</v>
      </c>
      <c r="F7" s="4" t="n">
        <f aca="false">Assumptions!F42</f>
        <v>100</v>
      </c>
      <c r="G7" s="4" t="n">
        <f aca="false">Assumptions!G42</f>
        <v>100</v>
      </c>
      <c r="H7" s="4" t="n">
        <f aca="false">Assumptions!H42</f>
        <v>100</v>
      </c>
      <c r="I7" s="4" t="n">
        <f aca="false">Assumptions!I42</f>
        <v>100</v>
      </c>
      <c r="J7" s="4" t="n">
        <f aca="false">Assumptions!J42</f>
        <v>100</v>
      </c>
      <c r="K7" s="4" t="n">
        <f aca="false">Assumptions!K42</f>
        <v>100</v>
      </c>
      <c r="L7" s="4" t="n">
        <f aca="false">Assumptions!L42</f>
        <v>100</v>
      </c>
    </row>
    <row r="8" customFormat="false" ht="15" hidden="false" customHeight="false" outlineLevel="0" collapsed="false">
      <c r="A8" s="0" t="s">
        <v>44</v>
      </c>
      <c r="C8" s="0" t="n">
        <f aca="false">C6*C7/100</f>
        <v>2643.6</v>
      </c>
      <c r="D8" s="0" t="n">
        <f aca="false">D6*D7/100</f>
        <v>2934.396</v>
      </c>
      <c r="E8" s="0" t="n">
        <f aca="false">E6*E7/100</f>
        <v>3213.16362</v>
      </c>
      <c r="F8" s="0" t="n">
        <f aca="false">F6*F7/100</f>
        <v>3438.0850734</v>
      </c>
      <c r="G8" s="0" t="n">
        <f aca="false">G6*G7/100</f>
        <v>3644.370177804</v>
      </c>
      <c r="H8" s="0" t="n">
        <f aca="false">H6*H7/100</f>
        <v>3826.5886866942</v>
      </c>
      <c r="I8" s="0" t="n">
        <f aca="false">I6*I7/100</f>
        <v>3979.65223416197</v>
      </c>
      <c r="J8" s="0" t="n">
        <f aca="false">J6*J7/100</f>
        <v>4118.94006235764</v>
      </c>
      <c r="K8" s="0" t="n">
        <f aca="false">K6*K7/100</f>
        <v>4242.50826422837</v>
      </c>
      <c r="L8" s="0" t="n">
        <f aca="false">L6*L7/100</f>
        <v>4369.78351215522</v>
      </c>
    </row>
    <row r="9" customFormat="false" ht="15" hidden="false" customHeight="false" outlineLevel="0" collapsed="false">
      <c r="A9" s="0" t="s">
        <v>108</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124</v>
      </c>
      <c r="C11" s="0" t="n">
        <f aca="false">C8+C10+C24</f>
        <v>2643.6</v>
      </c>
      <c r="D11" s="0" t="n">
        <f aca="false">D8+D10+D24</f>
        <v>2934.396</v>
      </c>
      <c r="E11" s="0" t="n">
        <f aca="false">E8+E10+E24</f>
        <v>3213.16362</v>
      </c>
      <c r="F11" s="0" t="n">
        <f aca="false">F8+F10+F24</f>
        <v>3438.0850734</v>
      </c>
      <c r="G11" s="0" t="n">
        <f aca="false">G8+G10+G24</f>
        <v>3644.370177804</v>
      </c>
      <c r="H11" s="0" t="n">
        <f aca="false">H8+H10+H24</f>
        <v>3826.5886866942</v>
      </c>
      <c r="I11" s="0" t="n">
        <f aca="false">I8+I10+I24</f>
        <v>3979.65223416197</v>
      </c>
      <c r="J11" s="0" t="n">
        <f aca="false">J8+J10+J24</f>
        <v>4118.94006235764</v>
      </c>
      <c r="K11" s="0" t="n">
        <f aca="false">K8+K10+K24</f>
        <v>4242.50826422837</v>
      </c>
      <c r="L11" s="0" t="n">
        <f aca="false">L8+L10+L24</f>
        <v>4369.78351215522</v>
      </c>
    </row>
    <row r="12" customFormat="false" ht="15" hidden="false" customHeight="false" outlineLevel="0" collapsed="false">
      <c r="A12" s="0" t="s">
        <v>125</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126</v>
      </c>
      <c r="C13" s="0" t="n">
        <f aca="false">C11+C12</f>
        <v>2643.6</v>
      </c>
      <c r="D13" s="0" t="n">
        <f aca="false">D11+D12</f>
        <v>2934.396</v>
      </c>
      <c r="E13" s="0" t="n">
        <f aca="false">E11+E12</f>
        <v>3213.16362</v>
      </c>
      <c r="F13" s="0" t="n">
        <f aca="false">F11+F12</f>
        <v>3438.0850734</v>
      </c>
      <c r="G13" s="0" t="n">
        <f aca="false">G11+G12</f>
        <v>3644.370177804</v>
      </c>
      <c r="H13" s="0" t="n">
        <f aca="false">H11+H12</f>
        <v>3826.5886866942</v>
      </c>
      <c r="I13" s="0" t="n">
        <f aca="false">I11+I12</f>
        <v>3979.65223416197</v>
      </c>
      <c r="J13" s="0" t="n">
        <f aca="false">J11+J12</f>
        <v>4118.94006235764</v>
      </c>
      <c r="K13" s="0" t="n">
        <f aca="false">K11+K12</f>
        <v>4242.50826422837</v>
      </c>
      <c r="L13" s="0" t="n">
        <f aca="false">L11+L12</f>
        <v>4369.78351215522</v>
      </c>
    </row>
    <row r="14" customFormat="false" ht="15" hidden="false" customHeight="false" outlineLevel="0" collapsed="false">
      <c r="A14" s="0" t="s">
        <v>112</v>
      </c>
      <c r="C14" s="4" t="n">
        <f aca="false">Assumptions!C47</f>
        <v>24</v>
      </c>
      <c r="D14" s="4" t="n">
        <f aca="false">Assumptions!D47</f>
        <v>24</v>
      </c>
      <c r="E14" s="4" t="n">
        <f aca="false">Assumptions!E47</f>
        <v>24</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127</v>
      </c>
      <c r="C15" s="0" t="n">
        <f aca="false">C13-MAX(0,C13)*C14/100</f>
        <v>2009.136</v>
      </c>
      <c r="D15" s="0" t="n">
        <f aca="false">D13-MAX(0,D13)*D14/100</f>
        <v>2230.14096</v>
      </c>
      <c r="E15" s="0" t="n">
        <f aca="false">E13-MAX(0,E13)*E14/100</f>
        <v>2442.0043512</v>
      </c>
      <c r="F15" s="0" t="n">
        <f aca="false">F13-MAX(0,F13)*F14/100</f>
        <v>2612.944655784</v>
      </c>
      <c r="G15" s="0" t="n">
        <f aca="false">G13-MAX(0,G13)*G14/100</f>
        <v>2769.72133513104</v>
      </c>
      <c r="H15" s="0" t="n">
        <f aca="false">H13-MAX(0,H13)*H14/100</f>
        <v>2908.20740188759</v>
      </c>
      <c r="I15" s="0" t="n">
        <f aca="false">I13-MAX(0,I13)*I14/100</f>
        <v>3024.5356979631</v>
      </c>
      <c r="J15" s="0" t="n">
        <f aca="false">J13-MAX(0,J13)*J14/100</f>
        <v>3130.3944473918</v>
      </c>
      <c r="K15" s="0" t="n">
        <f aca="false">K13-MAX(0,K13)*K14/100</f>
        <v>3224.30628081356</v>
      </c>
      <c r="L15" s="0" t="n">
        <f aca="false">L13-MAX(0,L13)*L14/100</f>
        <v>3321.03546923797</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-C6*Assumptions!C46/100</f>
        <v>-317.232</v>
      </c>
      <c r="D17" s="4" t="n">
        <f aca="false">-D6*Assumptions!D46/100</f>
        <v>-337.45554</v>
      </c>
      <c r="E17" s="4" t="n">
        <f aca="false">-E6*Assumptions!E46/100</f>
        <v>-353.4479982</v>
      </c>
      <c r="F17" s="4" t="n">
        <f aca="false">-F6*Assumptions!F46/100</f>
        <v>-378.189358074</v>
      </c>
      <c r="G17" s="4" t="n">
        <f aca="false">-G6*Assumptions!G46/100</f>
        <v>-400.88071955844</v>
      </c>
      <c r="H17" s="4" t="n">
        <f aca="false">-H6*Assumptions!H46/100</f>
        <v>-420.924755536362</v>
      </c>
      <c r="I17" s="4" t="n">
        <f aca="false">-I6*Assumptions!I46/100</f>
        <v>-437.761745757817</v>
      </c>
      <c r="J17" s="4" t="n">
        <f aca="false">-J6*Assumptions!J46/100</f>
        <v>-453.08340685934</v>
      </c>
      <c r="K17" s="4" t="n">
        <f aca="false">-K6*Assumptions!K46/100</f>
        <v>-466.67590906512</v>
      </c>
      <c r="L17" s="4" t="n">
        <f aca="false">-L6*Assumptions!L46/100</f>
        <v>-480.676186337074</v>
      </c>
    </row>
    <row r="18" customFormat="false" ht="15" hidden="false" customHeight="false" outlineLevel="0" collapsed="false">
      <c r="A18" s="0" t="s">
        <v>130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131</v>
      </c>
      <c r="C19" s="0" t="n">
        <f aca="false">C15+C16+C17+C18</f>
        <v>1691.904</v>
      </c>
      <c r="D19" s="0" t="n">
        <f aca="false">D15+D16+D17+D18</f>
        <v>1892.68542</v>
      </c>
      <c r="E19" s="0" t="n">
        <f aca="false">E15+E16+E17+E18</f>
        <v>2088.556353</v>
      </c>
      <c r="F19" s="0" t="n">
        <f aca="false">F15+F16+F17+F18</f>
        <v>2234.75529771</v>
      </c>
      <c r="G19" s="0" t="n">
        <f aca="false">G15+G16+G17+G18</f>
        <v>2368.8406155726</v>
      </c>
      <c r="H19" s="0" t="n">
        <f aca="false">H15+H16+H17+H18</f>
        <v>2487.28264635123</v>
      </c>
      <c r="I19" s="0" t="n">
        <f aca="false">I15+I16+I17+I18</f>
        <v>2586.77395220528</v>
      </c>
      <c r="J19" s="0" t="n">
        <f aca="false">J15+J16+J17+J18</f>
        <v>2677.31104053246</v>
      </c>
      <c r="K19" s="0" t="n">
        <f aca="false">K15+K16+K17+K18</f>
        <v>2757.63037174844</v>
      </c>
      <c r="L19" s="0" t="n">
        <f aca="false">L15+L16+L17+L18</f>
        <v>2840.35928290089</v>
      </c>
    </row>
    <row r="20" customFormat="false" ht="15" hidden="false" customHeight="false" outlineLevel="0" collapsed="false">
      <c r="A20" s="0" t="s">
        <v>132</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133</v>
      </c>
      <c r="C21" s="0" t="n">
        <f aca="false">C19*C20</f>
        <v>1531.13484162896</v>
      </c>
      <c r="D21" s="0" t="n">
        <f aca="false">D19*D20</f>
        <v>1550.07917118814</v>
      </c>
      <c r="E21" s="0" t="n">
        <f aca="false">E19*E20</f>
        <v>1547.95867984589</v>
      </c>
      <c r="F21" s="0" t="n">
        <f aca="false">F19*F20</f>
        <v>1498.9283144209</v>
      </c>
      <c r="G21" s="0" t="n">
        <f aca="false">G19*G20</f>
        <v>1437.88598487435</v>
      </c>
      <c r="H21" s="0" t="n">
        <f aca="false">H19*H20</f>
        <v>1366.31699920187</v>
      </c>
      <c r="I21" s="0" t="n">
        <f aca="false">I19*I20</f>
        <v>1285.94541101353</v>
      </c>
      <c r="J21" s="0" t="n">
        <f aca="false">J19*J20</f>
        <v>1204.48280579095</v>
      </c>
      <c r="K21" s="0" t="n">
        <f aca="false">K19*K20</f>
        <v>1122.73057915356</v>
      </c>
      <c r="L21" s="0" t="n">
        <f aca="false">L19*L20</f>
        <v>1046.52714617933</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10.5</v>
      </c>
    </row>
    <row r="28" customFormat="false" ht="15" hidden="false" customHeight="false" outlineLevel="0" collapsed="false">
      <c r="A28" s="0" t="s">
        <v>114</v>
      </c>
      <c r="B28" s="4" t="n">
        <f aca="false">Assumptions!$B$49</f>
        <v>3</v>
      </c>
    </row>
    <row r="29" customFormat="false" ht="15" hidden="false" customHeight="false" outlineLevel="0" collapsed="false">
      <c r="A29" s="0" t="s">
        <v>115</v>
      </c>
      <c r="B29" s="4" t="n">
        <f aca="false">Assumptions!$B$50</f>
        <v>14</v>
      </c>
    </row>
    <row r="30" customFormat="false" ht="15" hidden="false" customHeight="false" outlineLevel="0" collapsed="false">
      <c r="A30" s="0" t="s">
        <v>136</v>
      </c>
      <c r="B30" s="0" t="n">
        <f aca="false">SUM(C21:L21)</f>
        <v>13591.9899332975</v>
      </c>
    </row>
    <row r="31" customFormat="false" ht="15" hidden="false" customHeight="false" outlineLevel="0" collapsed="false">
      <c r="A31" s="0" t="s">
        <v>137</v>
      </c>
      <c r="B31" s="0" t="n">
        <f aca="false">L19</f>
        <v>2840.35928290089</v>
      </c>
    </row>
    <row r="32" customFormat="false" ht="15" hidden="false" customHeight="false" outlineLevel="0" collapsed="false">
      <c r="A32" s="0" t="s">
        <v>138</v>
      </c>
      <c r="B32" s="0" t="n">
        <f aca="false">IF(B27&gt;B28,B31*(1+B28/100)/((B27-B28)/100),B31*B29)</f>
        <v>39007.6008185056</v>
      </c>
    </row>
    <row r="33" customFormat="false" ht="15" hidden="false" customHeight="false" outlineLevel="0" collapsed="false">
      <c r="A33" s="0" t="s">
        <v>139</v>
      </c>
      <c r="B33" s="0" t="n">
        <f aca="false">B31*B29</f>
        <v>39765.0299606125</v>
      </c>
    </row>
    <row r="34" customFormat="false" ht="15" hidden="false" customHeight="false" outlineLevel="0" collapsed="false">
      <c r="A34" s="0" t="s">
        <v>140</v>
      </c>
      <c r="B34" s="0" t="n">
        <f aca="false">MAX(0,MIN(B32,B33))</f>
        <v>39007.6008185056</v>
      </c>
    </row>
    <row r="35" customFormat="false" ht="15" hidden="false" customHeight="false" outlineLevel="0" collapsed="false">
      <c r="A35" s="0" t="s">
        <v>141</v>
      </c>
      <c r="B35" s="0" t="n">
        <f aca="false">B34/(1+B27/100)^L4</f>
        <v>14372.3061408628</v>
      </c>
    </row>
    <row r="36" customFormat="false" ht="15" hidden="false" customHeight="false" outlineLevel="0" collapsed="false">
      <c r="A36" s="0" t="s">
        <v>142</v>
      </c>
      <c r="B36" s="0" t="n">
        <f aca="false">B30+B35</f>
        <v>27964.2960741603</v>
      </c>
    </row>
    <row r="37" customFormat="false" ht="15" hidden="false" customHeight="false" outlineLevel="0" collapsed="false">
      <c r="A37" s="0" t="s">
        <v>143</v>
      </c>
      <c r="B37" s="0" t="n">
        <f aca="false">B36+Assumptions!$B$5-Assumptions!$B$4</f>
        <v>27964.2960741603</v>
      </c>
    </row>
    <row r="38" customFormat="false" ht="15" hidden="false" customHeight="false" outlineLevel="0" collapsed="false">
      <c r="A38" s="0" t="s">
        <v>144</v>
      </c>
      <c r="B38" s="0" t="n">
        <f aca="false">B37/Assumptions!$B$3*Assumptions!$B$10</f>
        <v>922.001189388734</v>
      </c>
    </row>
    <row r="39" customFormat="false" ht="15" hidden="false" customHeight="false" outlineLevel="0" collapsed="false">
      <c r="A39" s="0" t="s">
        <v>145</v>
      </c>
      <c r="B39" s="4" t="n">
        <f aca="false">B38/Assumptions!$B$2-1</f>
        <v>0.359081941905564</v>
      </c>
    </row>
    <row r="41" customFormat="false" ht="15" hidden="false" customHeight="false" outlineLevel="0" collapsed="false">
      <c r="A41" s="0" t="s">
        <v>146</v>
      </c>
      <c r="B41" s="0" t="n">
        <f aca="false">SUMPRODUCT(-C10:L10/(1+$B$27/100)^C4:L4)</f>
        <v>0</v>
      </c>
    </row>
    <row r="42" customFormat="false" ht="15" hidden="false" customHeight="false" outlineLevel="0" collapsed="false">
      <c r="A42" s="0" t="s">
        <v>147</v>
      </c>
      <c r="B42" s="0" t="n">
        <f aca="false">IF(B27&gt;B28,-L10*(1+B28/100)/((B27-B28)/100),-L10*20)/(1+B27/100)^L4</f>
        <v>0</v>
      </c>
    </row>
    <row r="43" customFormat="false" ht="15" hidden="false" customHeight="false" outlineLevel="0" collapsed="false">
      <c r="A43" s="0" t="s">
        <v>148</v>
      </c>
      <c r="B43" s="0" t="n">
        <f aca="false">(B37+B41+B42)/Assumptions!$B$3*Assumptions!$B$10</f>
        <v>922.001189388734</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24379.750511566</v>
      </c>
    </row>
    <row r="47" customFormat="false" ht="15" hidden="false" customHeight="false" outlineLevel="0" collapsed="false">
      <c r="A47" s="0" t="s">
        <v>150</v>
      </c>
      <c r="B47" s="0" t="n">
        <f aca="false">(SUMPRODUCT(C19:L19/(1+B45/100)^C4:L4)+B46/(1+B45/100)^L4+Assumptions!$B$5-Assumptions!$B$4)/Assumptions!$B$3*Assumptions!$B$10</f>
        <v>565.986548157345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572.843957261496</v>
      </c>
      <c r="C4" s="0" t="n">
        <f aca="false">B4/Assumptions!$B$2-1</f>
        <v>-0.155595581866898</v>
      </c>
      <c r="D4" s="4" t="n">
        <f aca="false">Assumptions!$B$24</f>
        <v>0.25</v>
      </c>
      <c r="E4" s="4" t="n">
        <f aca="false">DCF_Bear!$B$43</f>
        <v>572.843957261496</v>
      </c>
      <c r="F4" s="4" t="n">
        <f aca="false">DCF_Bear!$B$47</f>
        <v>374.488639722706</v>
      </c>
    </row>
    <row r="5" customFormat="false" ht="15" hidden="false" customHeight="false" outlineLevel="0" collapsed="false">
      <c r="A5" s="0" t="s">
        <v>159</v>
      </c>
      <c r="B5" s="4" t="n">
        <f aca="false">DCF_Base!$B$38</f>
        <v>791.995257627616</v>
      </c>
      <c r="C5" s="0" t="n">
        <f aca="false">B5/Assumptions!$B$2-1</f>
        <v>0.167445839663349</v>
      </c>
      <c r="D5" s="4" t="n">
        <f aca="false">Assumptions!$B$38</f>
        <v>0.5</v>
      </c>
      <c r="E5" s="4" t="n">
        <f aca="false">DCF_Base!$B$43</f>
        <v>791.995257627616</v>
      </c>
      <c r="F5" s="4" t="n">
        <f aca="false">DCF_Base!$B$47</f>
        <v>500.287879413541</v>
      </c>
    </row>
    <row r="6" customFormat="false" ht="15" hidden="false" customHeight="false" outlineLevel="0" collapsed="false">
      <c r="A6" s="0" t="s">
        <v>160</v>
      </c>
      <c r="B6" s="4" t="n">
        <f aca="false">DCF_Bull!$B$38</f>
        <v>922.001189388734</v>
      </c>
      <c r="C6" s="0" t="n">
        <f aca="false">B6/Assumptions!$B$2-1</f>
        <v>0.359081941905564</v>
      </c>
      <c r="D6" s="4" t="n">
        <f aca="false">Assumptions!$B$52</f>
        <v>0.25</v>
      </c>
      <c r="E6" s="4" t="n">
        <f aca="false">DCF_Bull!$B$43</f>
        <v>922.001189388734</v>
      </c>
      <c r="F6" s="4" t="n">
        <f aca="false">DCF_Bull!$B$47</f>
        <v>565.986548157345</v>
      </c>
    </row>
    <row r="8" customFormat="false" ht="15" hidden="false" customHeight="false" outlineLevel="0" collapsed="false">
      <c r="A8" s="0" t="s">
        <v>161</v>
      </c>
      <c r="B8" s="0" t="n">
        <f aca="false">SUMPRODUCT(B4:B6,D4:D6)</f>
        <v>769.708915476366</v>
      </c>
    </row>
    <row r="9" customFormat="false" ht="15" hidden="false" customHeight="false" outlineLevel="0" collapsed="false">
      <c r="A9" s="0" t="s">
        <v>162</v>
      </c>
      <c r="B9" s="0" t="n">
        <f aca="false">SUMPRODUCT(E4:E6,D4:D6)</f>
        <v>769.708915476366</v>
      </c>
    </row>
    <row r="10" customFormat="false" ht="15" hidden="false" customHeight="false" outlineLevel="0" collapsed="false">
      <c r="A10" s="0" t="s">
        <v>163</v>
      </c>
      <c r="B10" s="0" t="n">
        <f aca="false">1-Assumptions!$B$2/B8</f>
        <v>0.118627852218465</v>
      </c>
    </row>
    <row r="11" customFormat="false" ht="15" hidden="false" customHeight="false" outlineLevel="0" collapsed="false">
      <c r="A11" s="0" t="s">
        <v>164</v>
      </c>
      <c r="B11" s="0" t="str">
        <f aca="false">IF(ABS(B9-B8)&gt;0.01*ABS(B8),(Assumptions!$B$2-B8)/(B9-B8)*100,"n/a")</f>
        <v>n/a</v>
      </c>
    </row>
    <row r="12" customFormat="false" ht="15" hidden="false" customHeight="false" outlineLevel="0" collapsed="false">
      <c r="A12" s="0" t="s">
        <v>165</v>
      </c>
      <c r="B12" s="0" t="n">
        <f aca="false">SUMPRODUCT(F4:F6,D4:D6)</f>
        <v>485.262736676784</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884.178833546303</v>
      </c>
      <c r="C15" s="3" t="n">
        <v>9</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825.191784766798</v>
      </c>
      <c r="C16" s="3" t="n">
        <v>10</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791.995257627616</v>
      </c>
      <c r="C17" s="3" t="n">
        <v>10.5</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744.243100062725</v>
      </c>
      <c r="C18" s="3" t="n">
        <v>11</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663.880407365872</v>
      </c>
      <c r="C19" s="3" t="n">
        <v>12</v>
      </c>
    </row>
    <row r="20" customFormat="false" ht="15" hidden="false" customHeight="false" outlineLevel="0" collapsed="false">
      <c r="A20" s="0" t="s">
        <v>173</v>
      </c>
      <c r="B20" s="0" t="n">
        <f aca="false">(SUMPRODUCT(DCF_Base!$C$19:$L$19/(1+$C$20/100)^DCF_Base!$C$4:$L$4)+MAX(0,MIN(IF($C$20&gt;DCF_Base!$B$28,DCF_Base!$L$19*(1+DCF_Base!$B$28/100)/(($C$20-DCF_Base!$B$28)/100),DCF_Base!$L$19*DCF_Base!$B$29),DCF_Base!$L$19*DCF_Base!$B$29))/(1+$C$20/100)^DCF_Base!$L$4+Assumptions!$B$5-Assumptions!$B$4)/Assumptions!$B$3*Assumptions!$B$10</f>
        <v>500.287879413541</v>
      </c>
      <c r="C20" s="3" t="n">
        <v>15</v>
      </c>
    </row>
    <row r="22" customFormat="false" ht="15" hidden="false" customHeight="false" outlineLevel="0" collapsed="false">
      <c r="A22" s="2" t="s">
        <v>174</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915.738060474194</v>
      </c>
      <c r="C24" s="0" t="n">
        <f aca="false">(SUMPRODUCT(DCF_Base!$C$19:$L$19/(1+$A$24/100)^DCF_Base!$C$4:$L$4)+MAX(0,MIN(IF($A$24&gt;$C$23,DCF_Base!$L$19*(1+$C$23/100)/(($A$24-$C$23)/100),DCF_Base!$L$19*DCF_Base!$B$29),DCF_Base!$L$19*DCF_Base!$B$29))/(1+$A$24/100)^DCF_Base!$L$4+Assumptions!$B$5-Assumptions!$B$4)/Assumptions!$B$3*Assumptions!$B$10</f>
        <v>915.738060474194</v>
      </c>
      <c r="D24" s="0" t="n">
        <f aca="false">(SUMPRODUCT(DCF_Base!$C$19:$L$19/(1+$A$24/100)^DCF_Base!$C$4:$L$4)+MAX(0,MIN(IF($A$24&gt;$D$23,DCF_Base!$L$19*(1+$D$23/100)/(($A$24-$D$23)/100),DCF_Base!$L$19*DCF_Base!$B$29),DCF_Base!$L$19*DCF_Base!$B$29))/(1+$A$24/100)^DCF_Base!$L$4+Assumptions!$B$5-Assumptions!$B$4)/Assumptions!$B$3*Assumptions!$B$10</f>
        <v>915.738060474194</v>
      </c>
      <c r="E24" s="0" t="n">
        <f aca="false">(SUMPRODUCT(DCF_Base!$C$19:$L$19/(1+$A$24/100)^DCF_Base!$C$4:$L$4)+MAX(0,MIN(IF($A$24&gt;$E$23,DCF_Base!$L$19*(1+$E$23/100)/(($A$24-$E$23)/100),DCF_Base!$L$19*DCF_Base!$B$29),DCF_Base!$L$19*DCF_Base!$B$29))/(1+$A$24/100)^DCF_Base!$L$4+Assumptions!$B$5-Assumptions!$B$4)/Assumptions!$B$3*Assumptions!$B$10</f>
        <v>915.738060474194</v>
      </c>
      <c r="F24" s="0" t="n">
        <f aca="false">(SUMPRODUCT(DCF_Base!$C$19:$L$19/(1+$A$24/100)^DCF_Base!$C$4:$L$4)+MAX(0,MIN(IF($A$24&gt;$F$23,DCF_Base!$L$19*(1+$F$23/100)/(($A$24-$F$23)/100),DCF_Base!$L$19*DCF_Base!$B$29),DCF_Base!$L$19*DCF_Base!$B$29))/(1+$A$24/100)^DCF_Base!$L$4+Assumptions!$B$5-Assumptions!$B$4)/Assumptions!$B$3*Assumptions!$B$10</f>
        <v>915.738060474194</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843.742438270453</v>
      </c>
      <c r="C25" s="0" t="n">
        <f aca="false">(SUMPRODUCT(DCF_Base!$C$19:$L$19/(1+$A$25/100)^DCF_Base!$C$4:$L$4)+MAX(0,MIN(IF($A$25&gt;$C$23,DCF_Base!$L$19*(1+$C$23/100)/(($A$25-$C$23)/100),DCF_Base!$L$19*DCF_Base!$B$29),DCF_Base!$L$19*DCF_Base!$B$29))/(1+$A$25/100)^DCF_Base!$L$4+Assumptions!$B$5-Assumptions!$B$4)/Assumptions!$B$3*Assumptions!$B$10</f>
        <v>854.020372770298</v>
      </c>
      <c r="D25" s="0" t="n">
        <f aca="false">(SUMPRODUCT(DCF_Base!$C$19:$L$19/(1+$A$25/100)^DCF_Base!$C$4:$L$4)+MAX(0,MIN(IF($A$25&gt;$D$23,DCF_Base!$L$19*(1+$D$23/100)/(($A$25-$D$23)/100),DCF_Base!$L$19*DCF_Base!$B$29),DCF_Base!$L$19*DCF_Base!$B$29))/(1+$A$25/100)^DCF_Base!$L$4+Assumptions!$B$5-Assumptions!$B$4)/Assumptions!$B$3*Assumptions!$B$10</f>
        <v>854.020372770298</v>
      </c>
      <c r="E25" s="0" t="n">
        <f aca="false">(SUMPRODUCT(DCF_Base!$C$19:$L$19/(1+$A$25/100)^DCF_Base!$C$4:$L$4)+MAX(0,MIN(IF($A$25&gt;$E$23,DCF_Base!$L$19*(1+$E$23/100)/(($A$25-$E$23)/100),DCF_Base!$L$19*DCF_Base!$B$29),DCF_Base!$L$19*DCF_Base!$B$29))/(1+$A$25/100)^DCF_Base!$L$4+Assumptions!$B$5-Assumptions!$B$4)/Assumptions!$B$3*Assumptions!$B$10</f>
        <v>854.020372770298</v>
      </c>
      <c r="F25" s="0" t="n">
        <f aca="false">(SUMPRODUCT(DCF_Base!$C$19:$L$19/(1+$A$25/100)^DCF_Base!$C$4:$L$4)+MAX(0,MIN(IF($A$25&gt;$F$23,DCF_Base!$L$19*(1+$F$23/100)/(($A$25-$F$23)/100),DCF_Base!$L$19*DCF_Base!$B$29),DCF_Base!$L$19*DCF_Base!$B$29))/(1+$A$25/100)^DCF_Base!$L$4+Assumptions!$B$5-Assumptions!$B$4)/Assumptions!$B$3*Assumptions!$B$10</f>
        <v>854.020372770298</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745.905543214109</v>
      </c>
      <c r="C26" s="0" t="n">
        <f aca="false">(SUMPRODUCT(DCF_Base!$C$19:$L$19/(1+$A$26/100)^DCF_Base!$C$4:$L$4)+MAX(0,MIN(IF($A$26&gt;$C$23,DCF_Base!$L$19*(1+$C$23/100)/(($A$26-$C$23)/100),DCF_Base!$L$19*DCF_Base!$B$29),DCF_Base!$L$19*DCF_Base!$B$29))/(1+$A$26/100)^DCF_Base!$L$4+Assumptions!$B$5-Assumptions!$B$4)/Assumptions!$B$3*Assumptions!$B$10</f>
        <v>767.594820585171</v>
      </c>
      <c r="D26" s="0" t="n">
        <f aca="false">(SUMPRODUCT(DCF_Base!$C$19:$L$19/(1+$A$26/100)^DCF_Base!$C$4:$L$4)+MAX(0,MIN(IF($A$26&gt;$D$23,DCF_Base!$L$19*(1+$D$23/100)/(($A$26-$D$23)/100),DCF_Base!$L$19*DCF_Base!$B$29),DCF_Base!$L$19*DCF_Base!$B$29))/(1+$A$26/100)^DCF_Base!$L$4+Assumptions!$B$5-Assumptions!$B$4)/Assumptions!$B$3*Assumptions!$B$10</f>
        <v>791.995257627616</v>
      </c>
      <c r="E26" s="0" t="n">
        <f aca="false">(SUMPRODUCT(DCF_Base!$C$19:$L$19/(1+$A$26/100)^DCF_Base!$C$4:$L$4)+MAX(0,MIN(IF($A$26&gt;$E$23,DCF_Base!$L$19*(1+$E$23/100)/(($A$26-$E$23)/100),DCF_Base!$L$19*DCF_Base!$B$29),DCF_Base!$L$19*DCF_Base!$B$29))/(1+$A$26/100)^DCF_Base!$L$4+Assumptions!$B$5-Assumptions!$B$4)/Assumptions!$B$3*Assumptions!$B$10</f>
        <v>797.626127714334</v>
      </c>
      <c r="F26" s="0" t="n">
        <f aca="false">(SUMPRODUCT(DCF_Base!$C$19:$L$19/(1+$A$26/100)^DCF_Base!$C$4:$L$4)+MAX(0,MIN(IF($A$26&gt;$F$23,DCF_Base!$L$19*(1+$F$23/100)/(($A$26-$F$23)/100),DCF_Base!$L$19*DCF_Base!$B$29),DCF_Base!$L$19*DCF_Base!$B$29))/(1+$A$26/100)^DCF_Base!$L$4+Assumptions!$B$5-Assumptions!$B$4)/Assumptions!$B$3*Assumptions!$B$10</f>
        <v>797.626127714334</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667.818612362712</v>
      </c>
      <c r="C27" s="0" t="n">
        <f aca="false">(SUMPRODUCT(DCF_Base!$C$19:$L$19/(1+$A$27/100)^DCF_Base!$C$4:$L$4)+MAX(0,MIN(IF($A$27&gt;$C$23,DCF_Base!$L$19*(1+$C$23/100)/(($A$27-$C$23)/100),DCF_Base!$L$19*DCF_Base!$B$29),DCF_Base!$L$19*DCF_Base!$B$29))/(1+$A$27/100)^DCF_Base!$L$4+Assumptions!$B$5-Assumptions!$B$4)/Assumptions!$B$3*Assumptions!$B$10</f>
        <v>683.923941633214</v>
      </c>
      <c r="D27" s="0" t="n">
        <f aca="false">(SUMPRODUCT(DCF_Base!$C$19:$L$19/(1+$A$27/100)^DCF_Base!$C$4:$L$4)+MAX(0,MIN(IF($A$27&gt;$D$23,DCF_Base!$L$19*(1+$D$23/100)/(($A$27-$D$23)/100),DCF_Base!$L$19*DCF_Base!$B$29),DCF_Base!$L$19*DCF_Base!$B$29))/(1+$A$27/100)^DCF_Base!$L$4+Assumptions!$B$5-Assumptions!$B$4)/Assumptions!$B$3*Assumptions!$B$10</f>
        <v>701.81875193377</v>
      </c>
      <c r="E27" s="0" t="n">
        <f aca="false">(SUMPRODUCT(DCF_Base!$C$19:$L$19/(1+$A$27/100)^DCF_Base!$C$4:$L$4)+MAX(0,MIN(IF($A$27&gt;$E$23,DCF_Base!$L$19*(1+$E$23/100)/(($A$27-$E$23)/100),DCF_Base!$L$19*DCF_Base!$B$29),DCF_Base!$L$19*DCF_Base!$B$29))/(1+$A$27/100)^DCF_Base!$L$4+Assumptions!$B$5-Assumptions!$B$4)/Assumptions!$B$3*Assumptions!$B$10</f>
        <v>721.818834034393</v>
      </c>
      <c r="F27" s="0" t="n">
        <f aca="false">(SUMPRODUCT(DCF_Base!$C$19:$L$19/(1+$A$27/100)^DCF_Base!$C$4:$L$4)+MAX(0,MIN(IF($A$27&gt;$F$23,DCF_Base!$L$19*(1+$F$23/100)/(($A$27-$F$23)/100),DCF_Base!$L$19*DCF_Base!$B$29),DCF_Base!$L$19*DCF_Base!$B$29))/(1+$A$27/100)^DCF_Base!$L$4+Assumptions!$B$5-Assumptions!$B$4)/Assumptions!$B$3*Assumptions!$B$10</f>
        <v>744.318926397593</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604.084299645937</v>
      </c>
      <c r="C28" s="0" t="n">
        <f aca="false">(SUMPRODUCT(DCF_Base!$C$19:$L$19/(1+$A$28/100)^DCF_Base!$C$4:$L$4)+MAX(0,MIN(IF($A$28&gt;$C$23,DCF_Base!$L$19*(1+$C$23/100)/(($A$28-$C$23)/100),DCF_Base!$L$19*DCF_Base!$B$29),DCF_Base!$L$19*DCF_Base!$B$29))/(1+$A$28/100)^DCF_Base!$L$4+Assumptions!$B$5-Assumptions!$B$4)/Assumptions!$B$3*Assumptions!$B$10</f>
        <v>616.308271290256</v>
      </c>
      <c r="D28" s="0" t="n">
        <f aca="false">(SUMPRODUCT(DCF_Base!$C$19:$L$19/(1+$A$28/100)^DCF_Base!$C$4:$L$4)+MAX(0,MIN(IF($A$28&gt;$D$23,DCF_Base!$L$19*(1+$D$23/100)/(($A$28-$D$23)/100),DCF_Base!$L$19*DCF_Base!$B$29),DCF_Base!$L$19*DCF_Base!$B$29))/(1+$A$28/100)^DCF_Base!$L$4+Assumptions!$B$5-Assumptions!$B$4)/Assumptions!$B$3*Assumptions!$B$10</f>
        <v>629.754640099007</v>
      </c>
      <c r="E28" s="0" t="n">
        <f aca="false">(SUMPRODUCT(DCF_Base!$C$19:$L$19/(1+$A$28/100)^DCF_Base!$C$4:$L$4)+MAX(0,MIN(IF($A$28&gt;$E$23,DCF_Base!$L$19*(1+$E$23/100)/(($A$28-$E$23)/100),DCF_Base!$L$19*DCF_Base!$B$29),DCF_Base!$L$19*DCF_Base!$B$29))/(1+$A$28/100)^DCF_Base!$L$4+Assumptions!$B$5-Assumptions!$B$4)/Assumptions!$B$3*Assumptions!$B$10</f>
        <v>644.616416150784</v>
      </c>
      <c r="F28" s="0" t="n">
        <f aca="false">(SUMPRODUCT(DCF_Base!$C$19:$L$19/(1+$A$28/100)^DCF_Base!$C$4:$L$4)+MAX(0,MIN(IF($A$28&gt;$F$23,DCF_Base!$L$19*(1+$F$23/100)/(($A$28-$F$23)/100),DCF_Base!$L$19*DCF_Base!$B$29),DCF_Base!$L$19*DCF_Base!$B$29))/(1+$A$28/100)^DCF_Base!$L$4+Assumptions!$B$5-Assumptions!$B$4)/Assumptions!$B$3*Assumptions!$B$10</f>
        <v>661.129500652759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2026-10-04T12:52:05Z</dcterms:created>
  <dc:creator>openpyxl</dc:creator>
  <dc:description/>
  <dc:language>en-NZ</dc:language>
  <cp:lastModifiedBy/>
  <dcterms:modified xsi:type="dcterms:W3CDTF">2026-10-04T12:52:05Z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