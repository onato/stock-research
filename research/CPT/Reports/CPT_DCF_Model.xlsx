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<sst xmlns="http://schemas.openxmlformats.org/spreadsheetml/2006/main" count="387" uniqueCount="174">
  <si>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</si>
  <si>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CPT</t>
  </si>
  <si>
    <t xml:space="preserve">Company</t>
  </si>
  <si>
    <t xml:space="preserve">Camden Property Trust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</si>
  <si>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</si>
  <si>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</si>
  <si>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</si>
  <si>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</si>
  <si>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NYSE regular close (Yahoo v8 chart meta)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</si>
  <si>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</si>
  <si>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</si>
  <si>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</si>
  <si>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</si>
  <si>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</si>
  <si>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</si>
  <si>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</si>
  <si>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</si>
  <si>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</si>
  <si>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</si>
  <si>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</si>
  <si>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</si>
  <si>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2026-09-26T01:14:02Z</t>
  </si>
  <si>
    <t xml:space="preserve">Drivers file</t>
  </si>
  <si>
    <t xml:space="preserve">CPT_Drivers.json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</si>
  <si>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</si>
  <si>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</si>
  <si>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</si>
  <si>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Camden is valued as a stream of Core AFFO, which is Core FFO less recurring capitalised expenditures and is the company's own distributable-cash measure. It is capitalised at a 9.5% USD cost of equity, with no net-debt deduction because the flow is already after interest. GAAP EPS is set aside: it is dominated by real-estate depreciation and gains on sale. Year 1 is a pro-forma run-rate after the July-2026 California exit and Sun Belt acquisitions, anchored to reaffirmed FY2026 Core FFO guidance. The current price capitalises run-rate Core AFFO at a ~5.8% yield (~17x). That implies about a 9% cost of equity at 3% growth, and a ~7% cap rate on property NOI against the ~5% Camden achieved selling California in July. So the stock sits well below private-market NAV (~$115-128 at a 5.75-6.25% cap) but near what a 5.2% risk-free rate supports on a pure cash-yield basis.
key_risks_to_valuation: Discount rate: this is a long-duration income stream, so each 50bp on the 9.5% cost of equity moves the base value by roughly 7-8%, and the 10-year Treasury at 5.2% is the dominant input.; The pro-forma revenue base is estimated. Camden does not disclose California revenue separately; the ~$125m estimate uses 3,620 homes at ~1.35x the portfolio's revenue per home, and a +/-$25m error moves Year-1 revenue by ~1.7%. The Year-1 Core FFO anchor comes from guidance, not from that estimate, so the value is less sensitive than revenue.; Sun Belt supply absorption: new-lease rates were still -3.3% in 2Q26. If the 2027 recovery slips a year, the base path converges on the bear path.; Refinancing: $695m of contractual maturities in the next 12 months, $600m of CP at quarter-end, and a new $350m term loan due Jul-2027, all refinancing near 5%.; Regulatory: rent-control and stabilisation legislation, plus the revenue-management class action ($53m settled 2026). Core FFO excludes these costs, but the cash still leaves.; Capital allocation: buybacks at ~$104 in 2026 were above today's price, and redeploying California proceeds at a ~5% FFO yield is at best neutral against a 5.8% AFFO yield on Camden's own stock.</t>
  </si>
  <si>
    <t xml:space="preserve">Data sources</t>
  </si>
  <si>
    <t xml:space="preserve">price: Yahoo Finance v8 chart API at inputs.price_as_of (NYSE regular close); 52-week range 96.53-119.81.
financials: CPT_Metrics.csv / core_metrics (SEC XBRL: property revenues, net income, OCF, debt, cash, shares, SBC, FY2007-Q2 2026). Core FFO, Core AFFO and recurring capex from Camden earnings releases on EDGAR (CIK 906345): 8-K exhibit 99.1 of 2026-07-30 (Q2-26, guidance), 2026-02-05 (FY2025), 2024-02-01 (FY2023/22) and 2022-02-03 (FY2021/20). Balance sheet, share counts and the California held-for-sale note from the Q2-2026 10-Q (filed 2026-07-31).
qualitative: CPT_Analysis.json (2026-09-26): business model, Sun Belt supply cycle, California exit, guidance, risks.</t>
  </si>
  <si>
    <t xml:space="preserve">Scenario narrative: bear</t>
  </si>
  <si>
    <t xml:space="preserve">Sun Belt oversupply and a regional labour slowdown keep new-lease rates negative through 2027, so same-property revenue is flat in Y2. Refinancing at 5%+ and rising property tax and insurance compress the Core FFO margin to ~44.8%. Rent-stabilisation measures spread to Camden's jurisdictions, recurring capex creeps to 7.2%, and long-run growth settles at 2.0%. Exit at ~13.6x Core AFFO.</t>
  </si>
  <si>
    <t xml:space="preserve">Scenario narrative: base</t>
  </si>
  <si>
    <t xml:space="preserve">Camden completes its California-to-Sun Belt rebalancing roughly FFO-neutral: run-rate Core AFFO is about $5.72/share on 103.2m FFO-diluted shares, in line with reaffirmed FY2026 Core FFO guidance of $6.75. As Sun Belt deliveries fall away, same-property revenue growth recovers from 0.5% in 2026 to ~3-3.5% in 2028-30 and then fades to CPI-like 2.5%. The Core FFO margin dips on refinancing and the end of development capitalised interest, then recovers to 47.5%. Recurring capex stays at 6.9% of revenue. Core AFFO is capitalised at a 9.5% USD cost of equity with no net-debt deduction.</t>
  </si>
  <si>
    <t xml:space="preserve">Scenario narrative: bull</t>
  </si>
  <si>
    <t xml:space="preserve">The supply cliff produces a 2011-15-style rent recovery: new-lease rates turn positive in 2027 and revenue grows 4.5-5% at the peak. Recycled capital earns above its ~5% FFO yield, the Core FFO margin rises to 49% on operating leverage and easier refinancing, and a younger portfolio trims recurring capex to 6.7%. Long-run growth is 3.0%.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</si>
  <si>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</si>
  <si>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</si>
  <si>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</si>
  <si>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</si>
  <si>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</si>
  <si>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</si>
  <si>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</si>
  <si>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</si>
  <si>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</si>
  <si>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</si>
  <si>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</si>
  <si>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</si>
  <si>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</si>
  <si>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</si>
  <si>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</si>
  <si>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</si>
  <si>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</si>
  <si>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</si>
  <si>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</si>
  <si>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</si>
  <si>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</si>
  <si>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</si>
  <si>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</si>
  <si>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</si>
  <si>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</si>
  <si>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</si>
  <si>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</si>
  <si>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</si>
  <si>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</si>
  <si>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</si>
  <si>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</si>
  <si>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</si>
  <si>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</si>
  <si>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</si>
  <si>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</si>
  <si>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</si>
  <si>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</si>
  <si>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</si>
  <si>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</si>
  <si>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</si>
  <si>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</si>
  <si>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</si>
  <si>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</si>
  <si>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</si>
  <si>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</si>
  <si>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</si>
  <si>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</si>
  <si>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</si>
  <si>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</si>
  <si>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</si>
  <si>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</si>
  <si>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</si>
  <si>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</si>
  <si>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</si>
  <si>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</si>
  <si>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</si>
  <si>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</si>
  <si>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</si>
  <si>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</si>
  <si>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</si>
  <si>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</si>
  <si>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</si>
  <si>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</si>
  <si>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</si>
  <si>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</si>
  <si>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</si>
  <si>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</si>
  <si>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</si>
  <si>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</si>
  <si>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</si>
  <si>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</si>
  <si>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</si>
  <si>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</si>
  <si>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</si>
  <si>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</si>
  <si>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</si>
  <si>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</si>
  <si>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</si>
  <si>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</si>
  <si>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</si>
  <si>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</si>
  <si>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</si>
  <si>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</si>
  <si>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CPT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</si>
  <si>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</si>
  <si>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</si>
  <si>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</si>
  <si>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</si>
  <si>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</si>
  <si>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</si>
  <si>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</si>
  <si>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</si>
  <si>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</si>
  <si>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</si>
  <si>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</si>
  <si>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</si>
  <si>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</si>
  <si>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</si>
  <si>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</si>
  <si>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</si>
  <si>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</si>
  <si>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</si>
  <si>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</si>
  <si>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</si>
  <si>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</si>
  <si>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</si>
  <si>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</si>
  <si>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</si>
  <si>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</si>
  <si>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</si>
  <si>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</si>
  <si>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</si>
  <si>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</si>
  <si>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</si>
  <si>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CPT owner-FCF component DCF: base case (millions, USD)</t>
  </si>
  <si>
    <t xml:space="preserve">CPT owner-FCF component DCF: bull case (millions, USD)</t>
  </si>
  <si>
    <t xml:space="preserve">CPT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</si>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</sst>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98.12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1653.34</v>
      </c>
      <c r="S2" s="0" t="n">
        <v>0.897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82.025</v>
      </c>
      <c r="K3" s="0" t="n">
        <v>1.28</v>
      </c>
      <c r="L3" s="0" t="n">
        <v>216.958</v>
      </c>
      <c r="O3" s="0" t="n">
        <v>1501.356</v>
      </c>
      <c r="S3" s="0" t="n">
        <v>7.407</v>
      </c>
      <c r="T3" s="0" t="n">
        <v>55.272</v>
      </c>
      <c r="U3" s="0" t="n">
        <v>7.663</v>
      </c>
      <c r="V3" s="0" t="n">
        <v>2.8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602.648</v>
      </c>
      <c r="I4" s="0" t="n">
        <v>-50.8</v>
      </c>
      <c r="J4" s="0" t="n">
        <v>-8.42946462943542</v>
      </c>
      <c r="K4" s="0" t="n">
        <v>-0.8</v>
      </c>
      <c r="L4" s="0" t="n">
        <v>217.688</v>
      </c>
      <c r="O4" s="0" t="n">
        <v>1609.013</v>
      </c>
      <c r="P4" s="0" t="n">
        <v>4607.999</v>
      </c>
      <c r="Q4" s="0" t="n">
        <v>2901.061</v>
      </c>
      <c r="S4" s="0" t="n">
        <v>64.156</v>
      </c>
      <c r="T4" s="0" t="n">
        <v>62.359</v>
      </c>
      <c r="U4" s="0" t="n">
        <v>9.053</v>
      </c>
      <c r="V4" s="0" t="n">
        <v>2.05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568.072</v>
      </c>
      <c r="I5" s="0" t="n">
        <v>31.142</v>
      </c>
      <c r="J5" s="0" t="n">
        <v>5.48205157092763</v>
      </c>
      <c r="K5" s="0" t="n">
        <v>0.33</v>
      </c>
      <c r="L5" s="0" t="n">
        <v>224.036</v>
      </c>
      <c r="O5" s="0" t="n">
        <v>1757.373</v>
      </c>
      <c r="P5" s="0" t="n">
        <v>4699.737</v>
      </c>
      <c r="Q5" s="0" t="n">
        <v>2844.439</v>
      </c>
      <c r="S5" s="0" t="n">
        <v>170.575</v>
      </c>
      <c r="T5" s="0" t="n">
        <v>68.608</v>
      </c>
      <c r="U5" s="0" t="n">
        <v>11.306</v>
      </c>
      <c r="V5" s="0" t="n">
        <v>1.8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599.401</v>
      </c>
      <c r="I6" s="0" t="n">
        <v>59.961</v>
      </c>
      <c r="J6" s="0" t="n">
        <v>10.0034868143363</v>
      </c>
      <c r="K6" s="0" t="n">
        <v>0.67</v>
      </c>
      <c r="L6" s="0" t="n">
        <v>244.834</v>
      </c>
      <c r="O6" s="0" t="n">
        <v>1827.768</v>
      </c>
      <c r="P6" s="0" t="n">
        <v>4622.075</v>
      </c>
      <c r="Q6" s="0" t="n">
        <v>2696.382</v>
      </c>
      <c r="R6" s="0" t="n">
        <v>2432.1</v>
      </c>
      <c r="S6" s="0" t="n">
        <v>55.159</v>
      </c>
      <c r="T6" s="0" t="n">
        <v>73.462</v>
      </c>
      <c r="U6" s="0" t="n">
        <v>12.039</v>
      </c>
      <c r="V6" s="0" t="n">
        <v>1.96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698.318</v>
      </c>
      <c r="I7" s="0" t="n">
        <v>293.9</v>
      </c>
      <c r="J7" s="0" t="n">
        <v>42.0868429569337</v>
      </c>
      <c r="K7" s="0" t="n">
        <v>3.35</v>
      </c>
      <c r="L7" s="0" t="n">
        <v>324.267</v>
      </c>
      <c r="O7" s="0" t="n">
        <v>2626.708</v>
      </c>
      <c r="P7" s="0" t="n">
        <v>5385.172</v>
      </c>
      <c r="Q7" s="0" t="n">
        <v>2758.464</v>
      </c>
      <c r="R7" s="0" t="n">
        <v>2510.5</v>
      </c>
      <c r="S7" s="0" t="n">
        <v>26.669</v>
      </c>
      <c r="T7" s="0" t="n">
        <v>85.556</v>
      </c>
      <c r="U7" s="0" t="n">
        <v>13.086</v>
      </c>
      <c r="V7" s="0" t="n">
        <v>2.24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788.851</v>
      </c>
      <c r="I8" s="0" t="n">
        <v>346.291</v>
      </c>
      <c r="J8" s="0" t="n">
        <v>43.8981506013176</v>
      </c>
      <c r="K8" s="0" t="n">
        <v>3.82</v>
      </c>
      <c r="L8" s="0" t="n">
        <v>404.291</v>
      </c>
      <c r="O8" s="0" t="n">
        <v>2760.181</v>
      </c>
      <c r="P8" s="0" t="n">
        <v>5632.141</v>
      </c>
      <c r="Q8" s="0" t="n">
        <v>2824.78</v>
      </c>
      <c r="R8" s="0" t="n">
        <v>2530.8</v>
      </c>
      <c r="S8" s="0" t="n">
        <v>17.794</v>
      </c>
      <c r="T8" s="0" t="n">
        <v>88.494</v>
      </c>
      <c r="U8" s="0" t="n">
        <v>14.063</v>
      </c>
      <c r="V8" s="0" t="n">
        <v>2.52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790.263</v>
      </c>
      <c r="I9" s="0" t="n">
        <v>301.314</v>
      </c>
      <c r="J9" s="0" t="n">
        <v>38.1283193063575</v>
      </c>
      <c r="K9" s="0" t="n">
        <v>3.29</v>
      </c>
      <c r="L9" s="0" t="n">
        <v>418.528</v>
      </c>
      <c r="O9" s="0" t="n">
        <v>2888.409</v>
      </c>
      <c r="P9" s="0" t="n">
        <v>6043.981</v>
      </c>
      <c r="Q9" s="0" t="n">
        <v>3087.438</v>
      </c>
      <c r="R9" s="0" t="n">
        <v>2743.5</v>
      </c>
      <c r="S9" s="0" t="n">
        <v>153.918</v>
      </c>
      <c r="T9" s="0" t="n">
        <v>88.468</v>
      </c>
      <c r="U9" s="0" t="n">
        <v>15.552</v>
      </c>
      <c r="V9" s="0" t="n">
        <v>2.64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835.618</v>
      </c>
      <c r="I10" s="0" t="n">
        <v>258.262</v>
      </c>
      <c r="J10" s="0" t="n">
        <v>30.9067061743524</v>
      </c>
      <c r="K10" s="0" t="n">
        <v>2.77</v>
      </c>
      <c r="L10" s="0" t="n">
        <v>423.238</v>
      </c>
      <c r="O10" s="0" t="n">
        <v>2892.896</v>
      </c>
      <c r="P10" s="0" t="n">
        <v>6037.612</v>
      </c>
      <c r="Q10" s="0" t="n">
        <v>3065.352</v>
      </c>
      <c r="R10" s="0" t="n">
        <v>2724.7</v>
      </c>
      <c r="S10" s="0" t="n">
        <v>10.617</v>
      </c>
      <c r="T10" s="0" t="n">
        <v>89.49</v>
      </c>
      <c r="U10" s="0" t="n">
        <v>17.674</v>
      </c>
      <c r="V10" s="0" t="n">
        <v>2.8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876.447</v>
      </c>
      <c r="I11" s="0" t="n">
        <v>838.226</v>
      </c>
      <c r="J11" s="0" t="n">
        <v>95.6390974012119</v>
      </c>
      <c r="K11" s="0" t="n">
        <v>9.08</v>
      </c>
      <c r="L11" s="0" t="n">
        <v>443.063</v>
      </c>
      <c r="O11" s="0" t="n">
        <v>3095.553</v>
      </c>
      <c r="P11" s="0" t="n">
        <v>6028.152</v>
      </c>
      <c r="Q11" s="0" t="n">
        <v>2855.562</v>
      </c>
      <c r="R11" s="0" t="n">
        <v>2480.6</v>
      </c>
      <c r="S11" s="0" t="n">
        <v>237.364</v>
      </c>
      <c r="T11" s="0" t="n">
        <v>89.903</v>
      </c>
      <c r="U11" s="0" t="n">
        <v>20.123</v>
      </c>
      <c r="V11" s="0" t="n">
        <v>7.25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900.896</v>
      </c>
      <c r="C12" s="0" t="n">
        <v>328.742</v>
      </c>
      <c r="I12" s="0" t="n">
        <v>200.86</v>
      </c>
      <c r="J12" s="0" t="n">
        <v>22.2955812879622</v>
      </c>
      <c r="K12" s="0" t="n">
        <v>2.14</v>
      </c>
      <c r="L12" s="0" t="n">
        <v>434.656</v>
      </c>
      <c r="O12" s="0" t="n">
        <v>3484.714</v>
      </c>
      <c r="P12" s="0" t="n">
        <v>6173.748</v>
      </c>
      <c r="Q12" s="0" t="n">
        <v>2611.804</v>
      </c>
      <c r="R12" s="0" t="n">
        <v>2204.6</v>
      </c>
      <c r="S12" s="0" t="n">
        <v>368.492</v>
      </c>
      <c r="T12" s="0" t="n">
        <v>92.7</v>
      </c>
      <c r="U12" s="0" t="n">
        <v>17.547</v>
      </c>
      <c r="V12" s="0" t="n">
        <v>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954.505</v>
      </c>
      <c r="C13" s="0" t="n">
        <v>343.579</v>
      </c>
      <c r="I13" s="0" t="n">
        <v>160.694</v>
      </c>
      <c r="J13" s="0" t="n">
        <v>16.8353230208328</v>
      </c>
      <c r="K13" s="0" t="n">
        <v>1.63</v>
      </c>
      <c r="L13" s="0" t="n">
        <v>503.747</v>
      </c>
      <c r="O13" s="0" t="n">
        <v>3385.104</v>
      </c>
      <c r="P13" s="0" t="n">
        <v>6219.586</v>
      </c>
      <c r="Q13" s="0" t="n">
        <v>2781.808</v>
      </c>
      <c r="R13" s="0" t="n">
        <v>2321.6</v>
      </c>
      <c r="S13" s="0" t="n">
        <v>34.378</v>
      </c>
      <c r="T13" s="0" t="n">
        <v>95.366</v>
      </c>
      <c r="U13" s="0" t="n">
        <v>16.749</v>
      </c>
      <c r="V13" s="0" t="n">
        <v>3.08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1028.461</v>
      </c>
      <c r="C14" s="0" t="n">
        <v>366.347</v>
      </c>
      <c r="I14" s="0" t="n">
        <v>224.27</v>
      </c>
      <c r="J14" s="0" t="n">
        <v>21.8063689337758</v>
      </c>
      <c r="K14" s="0" t="n">
        <v>2.23</v>
      </c>
      <c r="L14" s="0" t="n">
        <v>555.597</v>
      </c>
      <c r="O14" s="0" t="n">
        <v>3701.724</v>
      </c>
      <c r="P14" s="0" t="n">
        <v>6748.504</v>
      </c>
      <c r="Q14" s="0" t="n">
        <v>3046.78</v>
      </c>
      <c r="R14" s="0" t="n">
        <v>2524.1</v>
      </c>
      <c r="S14" s="0" t="n">
        <v>23.184</v>
      </c>
      <c r="T14" s="0" t="n">
        <v>99.384</v>
      </c>
      <c r="U14" s="0" t="n">
        <v>15.235</v>
      </c>
      <c r="V14" s="0" t="n">
        <v>3.2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1043.837</v>
      </c>
      <c r="C15" s="0" t="n">
        <v>394.826</v>
      </c>
      <c r="I15" s="0" t="n">
        <v>128.579</v>
      </c>
      <c r="J15" s="0" t="n">
        <v>12.3179193686371</v>
      </c>
      <c r="K15" s="0" t="n">
        <v>1.24</v>
      </c>
      <c r="L15" s="0" t="n">
        <v>519.319</v>
      </c>
      <c r="O15" s="0" t="n">
        <v>3516.587</v>
      </c>
      <c r="P15" s="0" t="n">
        <v>7198.952</v>
      </c>
      <c r="Q15" s="0" t="n">
        <v>3682.365</v>
      </c>
      <c r="R15" s="0" t="n">
        <v>3166.6</v>
      </c>
      <c r="S15" s="0" t="n">
        <v>420.441</v>
      </c>
      <c r="T15" s="0" t="n">
        <v>99.438</v>
      </c>
      <c r="U15" s="0" t="n">
        <v>13.942</v>
      </c>
      <c r="V15" s="0" t="n">
        <v>3.32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1143.585</v>
      </c>
      <c r="C16" s="0" t="n">
        <v>417.025</v>
      </c>
      <c r="I16" s="0" t="n">
        <v>312.376</v>
      </c>
      <c r="J16" s="0" t="n">
        <v>27.3155034387475</v>
      </c>
      <c r="K16" s="0" t="n">
        <v>2.97</v>
      </c>
      <c r="L16" s="0" t="n">
        <v>577.467</v>
      </c>
      <c r="O16" s="0" t="n">
        <v>4266.255</v>
      </c>
      <c r="P16" s="0" t="n">
        <v>7976.784</v>
      </c>
      <c r="Q16" s="0" t="n">
        <v>3710.529</v>
      </c>
      <c r="R16" s="0" t="n">
        <v>3170.4</v>
      </c>
      <c r="S16" s="0" t="n">
        <v>613.391</v>
      </c>
      <c r="T16" s="0" t="n">
        <v>103.3</v>
      </c>
      <c r="U16" s="0" t="n">
        <v>15.397</v>
      </c>
      <c r="V16" s="0" t="n">
        <v>3.32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1422.756</v>
      </c>
      <c r="C17" s="0" t="n">
        <v>498.081</v>
      </c>
      <c r="I17" s="0" t="n">
        <v>661.508</v>
      </c>
      <c r="J17" s="0" t="n">
        <v>46.4948311586808</v>
      </c>
      <c r="K17" s="0" t="n">
        <v>6.07</v>
      </c>
      <c r="L17" s="0" t="n">
        <v>744.712</v>
      </c>
      <c r="O17" s="0" t="n">
        <v>5056.921</v>
      </c>
      <c r="P17" s="0" t="n">
        <v>9327.935</v>
      </c>
      <c r="Q17" s="0" t="n">
        <v>4271.014</v>
      </c>
      <c r="R17" s="0" t="n">
        <v>3680.9</v>
      </c>
      <c r="S17" s="0" t="n">
        <v>10.687</v>
      </c>
      <c r="T17" s="0" t="n">
        <v>108.388</v>
      </c>
      <c r="U17" s="0" t="n">
        <v>12.822</v>
      </c>
      <c r="V17" s="0" t="n">
        <v>3.76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1542.027</v>
      </c>
      <c r="C18" s="0" t="n">
        <v>548.92</v>
      </c>
      <c r="I18" s="0" t="n">
        <v>410.553</v>
      </c>
      <c r="J18" s="0" t="n">
        <v>26.6242419879808</v>
      </c>
      <c r="K18" s="0" t="n">
        <v>3.71</v>
      </c>
      <c r="L18" s="0" t="n">
        <v>794.95</v>
      </c>
      <c r="O18" s="0" t="n">
        <v>5051.771</v>
      </c>
      <c r="P18" s="0" t="n">
        <v>9383.737</v>
      </c>
      <c r="Q18" s="0" t="n">
        <v>4331.966</v>
      </c>
      <c r="R18" s="0" t="n">
        <v>3715.4</v>
      </c>
      <c r="S18" s="0" t="n">
        <v>259.686</v>
      </c>
      <c r="T18" s="0" t="n">
        <v>109.399</v>
      </c>
      <c r="U18" s="0" t="n">
        <v>14.512</v>
      </c>
      <c r="V18" s="0" t="n">
        <v>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1543.842</v>
      </c>
      <c r="C19" s="0" t="n">
        <v>558.805</v>
      </c>
      <c r="I19" s="0" t="n">
        <v>170.84</v>
      </c>
      <c r="J19" s="0" t="n">
        <v>11.0658992306208</v>
      </c>
      <c r="K19" s="0" t="n">
        <v>1.5</v>
      </c>
      <c r="L19" s="0" t="n">
        <v>774.877</v>
      </c>
      <c r="O19" s="0" t="n">
        <v>4747.189</v>
      </c>
      <c r="P19" s="0" t="n">
        <v>8852.144</v>
      </c>
      <c r="Q19" s="0" t="n">
        <v>4104.955</v>
      </c>
      <c r="R19" s="0" t="n">
        <v>3485.6</v>
      </c>
      <c r="S19" s="0" t="n">
        <v>21.045</v>
      </c>
      <c r="T19" s="0" t="n">
        <v>108.539</v>
      </c>
      <c r="U19" s="0" t="n">
        <v>15.166</v>
      </c>
      <c r="V19" s="0" t="n">
        <v>4.12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1573.544</v>
      </c>
      <c r="C20" s="0" t="n">
        <v>566.71</v>
      </c>
      <c r="I20" s="0" t="n">
        <v>394.898</v>
      </c>
      <c r="J20" s="0" t="n">
        <v>25.0960888287839</v>
      </c>
      <c r="K20" s="0" t="n">
        <v>3.54</v>
      </c>
      <c r="L20" s="0" t="n">
        <v>826.621</v>
      </c>
      <c r="O20" s="0" t="n">
        <v>4438.253</v>
      </c>
      <c r="P20" s="0" t="n">
        <v>9042.989</v>
      </c>
      <c r="Q20" s="0" t="n">
        <v>4604.736</v>
      </c>
      <c r="R20" s="0" t="n">
        <v>3900.8</v>
      </c>
      <c r="S20" s="0" t="n">
        <v>25.203</v>
      </c>
      <c r="T20" s="0" t="n">
        <v>108.434</v>
      </c>
      <c r="U20" s="0" t="n">
        <v>16.959</v>
      </c>
      <c r="V20" s="0" t="n">
        <v>4.2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98.12</v>
      </c>
    </row>
    <row r="3" customFormat="false" ht="15" hidden="false" customHeight="false" outlineLevel="0" collapsed="false">
      <c r="A3" s="0" t="s">
        <v>85</v>
      </c>
      <c r="B3" s="3" t="n">
        <v>103.2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1573.544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-5.8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46.2</v>
      </c>
      <c r="D14" s="3" t="n">
        <v>45.5</v>
      </c>
      <c r="E14" s="3" t="n">
        <v>45</v>
      </c>
      <c r="F14" s="3" t="n">
        <v>44.8</v>
      </c>
      <c r="G14" s="3" t="n">
        <v>44.8</v>
      </c>
      <c r="H14" s="3" t="n">
        <v>44.8</v>
      </c>
      <c r="I14" s="3" t="n">
        <v>44.8</v>
      </c>
      <c r="J14" s="3" t="n">
        <v>44.8</v>
      </c>
      <c r="K14" s="3" t="n">
        <v>44.8</v>
      </c>
      <c r="L14" s="3" t="n">
        <v>44.8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7.2</v>
      </c>
      <c r="D18" s="3" t="n">
        <v>7.2</v>
      </c>
      <c r="E18" s="3" t="n">
        <v>7.2</v>
      </c>
      <c r="F18" s="3" t="n">
        <v>7.2</v>
      </c>
      <c r="G18" s="3" t="n">
        <v>7.2</v>
      </c>
      <c r="H18" s="3" t="n">
        <v>7.2</v>
      </c>
      <c r="I18" s="3" t="n">
        <v>7.2</v>
      </c>
      <c r="J18" s="3" t="n">
        <v>7.2</v>
      </c>
      <c r="K18" s="3" t="n">
        <v>7.2</v>
      </c>
      <c r="L18" s="3" t="n">
        <v>7.2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16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-5.3</v>
      </c>
      <c r="D27" s="3" t="n">
        <v>2</v>
      </c>
      <c r="E27" s="3" t="n">
        <v>3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46.5</v>
      </c>
      <c r="D28" s="3" t="n">
        <v>46.3</v>
      </c>
      <c r="E28" s="3" t="n">
        <v>46.6</v>
      </c>
      <c r="F28" s="3" t="n">
        <v>47</v>
      </c>
      <c r="G28" s="3" t="n">
        <v>47.3</v>
      </c>
      <c r="H28" s="3" t="n">
        <v>47.5</v>
      </c>
      <c r="I28" s="3" t="n">
        <v>47.5</v>
      </c>
      <c r="J28" s="3" t="n">
        <v>47.5</v>
      </c>
      <c r="K28" s="3" t="n">
        <v>47.5</v>
      </c>
      <c r="L28" s="3" t="n">
        <v>47.5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6.9</v>
      </c>
      <c r="D32" s="3" t="n">
        <v>6.9</v>
      </c>
      <c r="E32" s="3" t="n">
        <v>6.9</v>
      </c>
      <c r="F32" s="3" t="n">
        <v>6.9</v>
      </c>
      <c r="G32" s="3" t="n">
        <v>6.9</v>
      </c>
      <c r="H32" s="3" t="n">
        <v>6.9</v>
      </c>
      <c r="I32" s="3" t="n">
        <v>6.9</v>
      </c>
      <c r="J32" s="3" t="n">
        <v>6.9</v>
      </c>
      <c r="K32" s="3" t="n">
        <v>6.9</v>
      </c>
      <c r="L32" s="3" t="n">
        <v>6.9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9.5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-5</v>
      </c>
      <c r="D41" s="3" t="n">
        <v>3</v>
      </c>
      <c r="E41" s="3" t="n">
        <v>4.5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46.7</v>
      </c>
      <c r="D42" s="3" t="n">
        <v>47</v>
      </c>
      <c r="E42" s="3" t="n">
        <v>47.8</v>
      </c>
      <c r="F42" s="3" t="n">
        <v>48.5</v>
      </c>
      <c r="G42" s="3" t="n">
        <v>49</v>
      </c>
      <c r="H42" s="3" t="n">
        <v>49</v>
      </c>
      <c r="I42" s="3" t="n">
        <v>49</v>
      </c>
      <c r="J42" s="3" t="n">
        <v>49</v>
      </c>
      <c r="K42" s="3" t="n">
        <v>49</v>
      </c>
      <c r="L42" s="3" t="n">
        <v>49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6.7</v>
      </c>
      <c r="D46" s="3" t="n">
        <v>6.7</v>
      </c>
      <c r="E46" s="3" t="n">
        <v>6.7</v>
      </c>
      <c r="F46" s="3" t="n">
        <v>6.7</v>
      </c>
      <c r="G46" s="3" t="n">
        <v>6.7</v>
      </c>
      <c r="H46" s="3" t="n">
        <v>6.7</v>
      </c>
      <c r="I46" s="3" t="n">
        <v>6.7</v>
      </c>
      <c r="J46" s="3" t="n">
        <v>6.7</v>
      </c>
      <c r="K46" s="3" t="n">
        <v>6.7</v>
      </c>
      <c r="L46" s="3" t="n">
        <v>6.7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9.5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-5.8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1573.544</v>
      </c>
      <c r="C6" s="0" t="n">
        <f aca="false">B6*(1+C5/100)</f>
        <v>1482.278448</v>
      </c>
      <c r="D6" s="0" t="n">
        <f aca="false">C6*(1+D5/100)</f>
        <v>1482.278448</v>
      </c>
      <c r="E6" s="0" t="n">
        <f aca="false">D6*(1+E5/100)</f>
        <v>1504.51262472</v>
      </c>
      <c r="F6" s="0" t="n">
        <f aca="false">E6*(1+F5/100)</f>
        <v>1534.6028772144</v>
      </c>
      <c r="G6" s="0" t="n">
        <f aca="false">F6*(1+G5/100)</f>
        <v>1565.29493475869</v>
      </c>
      <c r="H6" s="0" t="n">
        <f aca="false">G6*(1+H5/100)</f>
        <v>1596.60083345386</v>
      </c>
      <c r="I6" s="0" t="n">
        <f aca="false">H6*(1+I5/100)</f>
        <v>1628.53285012294</v>
      </c>
      <c r="J6" s="0" t="n">
        <f aca="false">I6*(1+J5/100)</f>
        <v>1661.1035071254</v>
      </c>
      <c r="K6" s="0" t="n">
        <f aca="false">J6*(1+K5/100)</f>
        <v>1694.32557726791</v>
      </c>
      <c r="L6" s="0" t="n">
        <f aca="false">K6*(1+L5/100)</f>
        <v>1728.21208881326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46.2</v>
      </c>
      <c r="D7" s="4" t="n">
        <f aca="false">Assumptions!D14</f>
        <v>45.5</v>
      </c>
      <c r="E7" s="4" t="n">
        <f aca="false">Assumptions!E14</f>
        <v>45</v>
      </c>
      <c r="F7" s="4" t="n">
        <f aca="false">Assumptions!F14</f>
        <v>44.8</v>
      </c>
      <c r="G7" s="4" t="n">
        <f aca="false">Assumptions!G14</f>
        <v>44.8</v>
      </c>
      <c r="H7" s="4" t="n">
        <f aca="false">Assumptions!H14</f>
        <v>44.8</v>
      </c>
      <c r="I7" s="4" t="n">
        <f aca="false">Assumptions!I14</f>
        <v>44.8</v>
      </c>
      <c r="J7" s="4" t="n">
        <f aca="false">Assumptions!J14</f>
        <v>44.8</v>
      </c>
      <c r="K7" s="4" t="n">
        <f aca="false">Assumptions!K14</f>
        <v>44.8</v>
      </c>
      <c r="L7" s="4" t="n">
        <f aca="false">Assumptions!L14</f>
        <v>44.8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684.812642976</v>
      </c>
      <c r="D8" s="0" t="n">
        <f aca="false">D6*D7/100</f>
        <v>674.43669384</v>
      </c>
      <c r="E8" s="0" t="n">
        <f aca="false">E6*E7/100</f>
        <v>677.030681124</v>
      </c>
      <c r="F8" s="0" t="n">
        <f aca="false">F6*F7/100</f>
        <v>687.502088992051</v>
      </c>
      <c r="G8" s="0" t="n">
        <f aca="false">G6*G7/100</f>
        <v>701.252130771892</v>
      </c>
      <c r="H8" s="0" t="n">
        <f aca="false">H6*H7/100</f>
        <v>715.27717338733</v>
      </c>
      <c r="I8" s="0" t="n">
        <f aca="false">I6*I7/100</f>
        <v>729.582716855077</v>
      </c>
      <c r="J8" s="0" t="n">
        <f aca="false">J6*J7/100</f>
        <v>744.174371192178</v>
      </c>
      <c r="K8" s="0" t="n">
        <f aca="false">K6*K7/100</f>
        <v>759.057858616022</v>
      </c>
      <c r="L8" s="0" t="n">
        <f aca="false">L6*L7/100</f>
        <v>774.239015788342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684.812642976</v>
      </c>
      <c r="D11" s="0" t="n">
        <f aca="false">D8+D10+D24</f>
        <v>674.43669384</v>
      </c>
      <c r="E11" s="0" t="n">
        <f aca="false">E8+E10+E24</f>
        <v>677.030681124</v>
      </c>
      <c r="F11" s="0" t="n">
        <f aca="false">F8+F10+F24</f>
        <v>687.502088992051</v>
      </c>
      <c r="G11" s="0" t="n">
        <f aca="false">G8+G10+G24</f>
        <v>701.252130771892</v>
      </c>
      <c r="H11" s="0" t="n">
        <f aca="false">H8+H10+H24</f>
        <v>715.27717338733</v>
      </c>
      <c r="I11" s="0" t="n">
        <f aca="false">I8+I10+I24</f>
        <v>729.582716855077</v>
      </c>
      <c r="J11" s="0" t="n">
        <f aca="false">J8+J10+J24</f>
        <v>744.174371192178</v>
      </c>
      <c r="K11" s="0" t="n">
        <f aca="false">K8+K10+K24</f>
        <v>759.057858616022</v>
      </c>
      <c r="L11" s="0" t="n">
        <f aca="false">L8+L10+L24</f>
        <v>774.239015788342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684.812642976</v>
      </c>
      <c r="D13" s="0" t="n">
        <f aca="false">D11+D12</f>
        <v>674.43669384</v>
      </c>
      <c r="E13" s="0" t="n">
        <f aca="false">E11+E12</f>
        <v>677.030681124</v>
      </c>
      <c r="F13" s="0" t="n">
        <f aca="false">F11+F12</f>
        <v>687.502088992051</v>
      </c>
      <c r="G13" s="0" t="n">
        <f aca="false">G11+G12</f>
        <v>701.252130771892</v>
      </c>
      <c r="H13" s="0" t="n">
        <f aca="false">H11+H12</f>
        <v>715.27717338733</v>
      </c>
      <c r="I13" s="0" t="n">
        <f aca="false">I11+I12</f>
        <v>729.582716855077</v>
      </c>
      <c r="J13" s="0" t="n">
        <f aca="false">J11+J12</f>
        <v>744.174371192178</v>
      </c>
      <c r="K13" s="0" t="n">
        <f aca="false">K11+K12</f>
        <v>759.057858616022</v>
      </c>
      <c r="L13" s="0" t="n">
        <f aca="false">L11+L12</f>
        <v>774.239015788342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684.812642976</v>
      </c>
      <c r="D15" s="0" t="n">
        <f aca="false">D13-MAX(0,D13)*D14/100</f>
        <v>674.43669384</v>
      </c>
      <c r="E15" s="0" t="n">
        <f aca="false">E13-MAX(0,E13)*E14/100</f>
        <v>677.030681124</v>
      </c>
      <c r="F15" s="0" t="n">
        <f aca="false">F13-MAX(0,F13)*F14/100</f>
        <v>687.502088992051</v>
      </c>
      <c r="G15" s="0" t="n">
        <f aca="false">G13-MAX(0,G13)*G14/100</f>
        <v>701.252130771892</v>
      </c>
      <c r="H15" s="0" t="n">
        <f aca="false">H13-MAX(0,H13)*H14/100</f>
        <v>715.27717338733</v>
      </c>
      <c r="I15" s="0" t="n">
        <f aca="false">I13-MAX(0,I13)*I14/100</f>
        <v>729.582716855077</v>
      </c>
      <c r="J15" s="0" t="n">
        <f aca="false">J13-MAX(0,J13)*J14/100</f>
        <v>744.174371192178</v>
      </c>
      <c r="K15" s="0" t="n">
        <f aca="false">K13-MAX(0,K13)*K14/100</f>
        <v>759.057858616022</v>
      </c>
      <c r="L15" s="0" t="n">
        <f aca="false">L13-MAX(0,L13)*L14/100</f>
        <v>774.239015788342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-106.724048256</v>
      </c>
      <c r="D17" s="4" t="n">
        <f aca="false">-D6*Assumptions!D18/100</f>
        <v>-106.724048256</v>
      </c>
      <c r="E17" s="4" t="n">
        <f aca="false">-E6*Assumptions!E18/100</f>
        <v>-108.32490897984</v>
      </c>
      <c r="F17" s="4" t="n">
        <f aca="false">-F6*Assumptions!F18/100</f>
        <v>-110.491407159437</v>
      </c>
      <c r="G17" s="4" t="n">
        <f aca="false">-G6*Assumptions!G18/100</f>
        <v>-112.701235302626</v>
      </c>
      <c r="H17" s="4" t="n">
        <f aca="false">-H6*Assumptions!H18/100</f>
        <v>-114.955260008678</v>
      </c>
      <c r="I17" s="4" t="n">
        <f aca="false">-I6*Assumptions!I18/100</f>
        <v>-117.254365208852</v>
      </c>
      <c r="J17" s="4" t="n">
        <f aca="false">-J6*Assumptions!J18/100</f>
        <v>-119.599452513029</v>
      </c>
      <c r="K17" s="4" t="n">
        <f aca="false">-K6*Assumptions!K18/100</f>
        <v>-121.991441563289</v>
      </c>
      <c r="L17" s="4" t="n">
        <f aca="false">-L6*Assumptions!L18/100</f>
        <v>-124.431270394555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578.08859472</v>
      </c>
      <c r="D19" s="0" t="n">
        <f aca="false">D15+D16+D17+D18</f>
        <v>567.712645584</v>
      </c>
      <c r="E19" s="0" t="n">
        <f aca="false">E15+E16+E17+E18</f>
        <v>568.70577214416</v>
      </c>
      <c r="F19" s="0" t="n">
        <f aca="false">F15+F16+F17+F18</f>
        <v>577.010681832614</v>
      </c>
      <c r="G19" s="0" t="n">
        <f aca="false">G15+G16+G17+G18</f>
        <v>588.550895469267</v>
      </c>
      <c r="H19" s="0" t="n">
        <f aca="false">H15+H16+H17+H18</f>
        <v>600.321913378652</v>
      </c>
      <c r="I19" s="0" t="n">
        <f aca="false">I15+I16+I17+I18</f>
        <v>612.328351646225</v>
      </c>
      <c r="J19" s="0" t="n">
        <f aca="false">J15+J16+J17+J18</f>
        <v>624.57491867915</v>
      </c>
      <c r="K19" s="0" t="n">
        <f aca="false">K15+K16+K17+K18</f>
        <v>637.066417052733</v>
      </c>
      <c r="L19" s="0" t="n">
        <f aca="false">L15+L16+L17+L18</f>
        <v>649.807745393787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527.93478969863</v>
      </c>
      <c r="D21" s="0" t="n">
        <f aca="false">D19*D20</f>
        <v>473.478572660287</v>
      </c>
      <c r="E21" s="0" t="n">
        <f aca="false">E19*E20</f>
        <v>433.156941646869</v>
      </c>
      <c r="F21" s="0" t="n">
        <f aca="false">F19*F20</f>
        <v>401.353797348233</v>
      </c>
      <c r="G21" s="0" t="n">
        <f aca="false">G19*G20</f>
        <v>373.863811228491</v>
      </c>
      <c r="H21" s="0" t="n">
        <f aca="false">H19*H20</f>
        <v>348.256700870375</v>
      </c>
      <c r="I21" s="0" t="n">
        <f aca="false">I19*I20</f>
        <v>324.403502180624</v>
      </c>
      <c r="J21" s="0" t="n">
        <f aca="false">J19*J20</f>
        <v>302.184084223047</v>
      </c>
      <c r="K21" s="0" t="n">
        <f aca="false">K19*K20</f>
        <v>281.486544207769</v>
      </c>
      <c r="L21" s="0" t="n">
        <f aca="false">L19*L20</f>
        <v>262.206643919566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3728.32538798389</v>
      </c>
    </row>
    <row r="31" customFormat="false" ht="15" hidden="false" customHeight="false" outlineLevel="0" collapsed="false">
      <c r="A31" s="0" t="s">
        <v>136</v>
      </c>
      <c r="B31" s="0" t="n">
        <f aca="false">L19</f>
        <v>649.807745393787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8837.38533735551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10396.9239263006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8837.38533735551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3566.0103573061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7294.33574528999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7294.33574528999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70.6815479194766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-0.279641786389353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70.6815479194766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5098.49154078202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40.9331963984911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-5.3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1573.544</v>
      </c>
      <c r="C6" s="0" t="n">
        <f aca="false">B6*(1+C5/100)</f>
        <v>1490.146168</v>
      </c>
      <c r="D6" s="0" t="n">
        <f aca="false">C6*(1+D5/100)</f>
        <v>1519.94909136</v>
      </c>
      <c r="E6" s="0" t="n">
        <f aca="false">D6*(1+E5/100)</f>
        <v>1565.5475641008</v>
      </c>
      <c r="F6" s="0" t="n">
        <f aca="false">E6*(1+F5/100)</f>
        <v>1620.34172884433</v>
      </c>
      <c r="G6" s="0" t="n">
        <f aca="false">F6*(1+G5/100)</f>
        <v>1677.05368935388</v>
      </c>
      <c r="H6" s="0" t="n">
        <f aca="false">G6*(1+H5/100)</f>
        <v>1727.3653000345</v>
      </c>
      <c r="I6" s="0" t="n">
        <f aca="false">H6*(1+I5/100)</f>
        <v>1779.18625903553</v>
      </c>
      <c r="J6" s="0" t="n">
        <f aca="false">I6*(1+J5/100)</f>
        <v>1828.11388115901</v>
      </c>
      <c r="K6" s="0" t="n">
        <f aca="false">J6*(1+K5/100)</f>
        <v>1873.81672818798</v>
      </c>
      <c r="L6" s="0" t="n">
        <f aca="false">K6*(1+L5/100)</f>
        <v>1920.66214639268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46.5</v>
      </c>
      <c r="D7" s="4" t="n">
        <f aca="false">Assumptions!D28</f>
        <v>46.3</v>
      </c>
      <c r="E7" s="4" t="n">
        <f aca="false">Assumptions!E28</f>
        <v>46.6</v>
      </c>
      <c r="F7" s="4" t="n">
        <f aca="false">Assumptions!F28</f>
        <v>47</v>
      </c>
      <c r="G7" s="4" t="n">
        <f aca="false">Assumptions!G28</f>
        <v>47.3</v>
      </c>
      <c r="H7" s="4" t="n">
        <f aca="false">Assumptions!H28</f>
        <v>47.5</v>
      </c>
      <c r="I7" s="4" t="n">
        <f aca="false">Assumptions!I28</f>
        <v>47.5</v>
      </c>
      <c r="J7" s="4" t="n">
        <f aca="false">Assumptions!J28</f>
        <v>47.5</v>
      </c>
      <c r="K7" s="4" t="n">
        <f aca="false">Assumptions!K28</f>
        <v>47.5</v>
      </c>
      <c r="L7" s="4" t="n">
        <f aca="false">Assumptions!L28</f>
        <v>47.5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692.91796812</v>
      </c>
      <c r="D8" s="0" t="n">
        <f aca="false">D6*D7/100</f>
        <v>703.73642929968</v>
      </c>
      <c r="E8" s="0" t="n">
        <f aca="false">E6*E7/100</f>
        <v>729.545164870973</v>
      </c>
      <c r="F8" s="0" t="n">
        <f aca="false">F6*F7/100</f>
        <v>761.560612556834</v>
      </c>
      <c r="G8" s="0" t="n">
        <f aca="false">G6*G7/100</f>
        <v>793.246395064385</v>
      </c>
      <c r="H8" s="0" t="n">
        <f aca="false">H6*H7/100</f>
        <v>820.498517516386</v>
      </c>
      <c r="I8" s="0" t="n">
        <f aca="false">I6*I7/100</f>
        <v>845.113473041877</v>
      </c>
      <c r="J8" s="0" t="n">
        <f aca="false">J6*J7/100</f>
        <v>868.354093550529</v>
      </c>
      <c r="K8" s="0" t="n">
        <f aca="false">K6*K7/100</f>
        <v>890.062945889292</v>
      </c>
      <c r="L8" s="0" t="n">
        <f aca="false">L6*L7/100</f>
        <v>912.314519536524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692.91796812</v>
      </c>
      <c r="D11" s="0" t="n">
        <f aca="false">D8+D10+D24</f>
        <v>703.73642929968</v>
      </c>
      <c r="E11" s="0" t="n">
        <f aca="false">E8+E10+E24</f>
        <v>729.545164870973</v>
      </c>
      <c r="F11" s="0" t="n">
        <f aca="false">F8+F10+F24</f>
        <v>761.560612556834</v>
      </c>
      <c r="G11" s="0" t="n">
        <f aca="false">G8+G10+G24</f>
        <v>793.246395064385</v>
      </c>
      <c r="H11" s="0" t="n">
        <f aca="false">H8+H10+H24</f>
        <v>820.498517516386</v>
      </c>
      <c r="I11" s="0" t="n">
        <f aca="false">I8+I10+I24</f>
        <v>845.113473041877</v>
      </c>
      <c r="J11" s="0" t="n">
        <f aca="false">J8+J10+J24</f>
        <v>868.354093550529</v>
      </c>
      <c r="K11" s="0" t="n">
        <f aca="false">K8+K10+K24</f>
        <v>890.062945889292</v>
      </c>
      <c r="L11" s="0" t="n">
        <f aca="false">L8+L10+L24</f>
        <v>912.314519536524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692.91796812</v>
      </c>
      <c r="D13" s="0" t="n">
        <f aca="false">D11+D12</f>
        <v>703.73642929968</v>
      </c>
      <c r="E13" s="0" t="n">
        <f aca="false">E11+E12</f>
        <v>729.545164870973</v>
      </c>
      <c r="F13" s="0" t="n">
        <f aca="false">F11+F12</f>
        <v>761.560612556834</v>
      </c>
      <c r="G13" s="0" t="n">
        <f aca="false">G11+G12</f>
        <v>793.246395064385</v>
      </c>
      <c r="H13" s="0" t="n">
        <f aca="false">H11+H12</f>
        <v>820.498517516386</v>
      </c>
      <c r="I13" s="0" t="n">
        <f aca="false">I11+I12</f>
        <v>845.113473041877</v>
      </c>
      <c r="J13" s="0" t="n">
        <f aca="false">J11+J12</f>
        <v>868.354093550529</v>
      </c>
      <c r="K13" s="0" t="n">
        <f aca="false">K11+K12</f>
        <v>890.062945889292</v>
      </c>
      <c r="L13" s="0" t="n">
        <f aca="false">L11+L12</f>
        <v>912.314519536524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692.91796812</v>
      </c>
      <c r="D15" s="0" t="n">
        <f aca="false">D13-MAX(0,D13)*D14/100</f>
        <v>703.73642929968</v>
      </c>
      <c r="E15" s="0" t="n">
        <f aca="false">E13-MAX(0,E13)*E14/100</f>
        <v>729.545164870973</v>
      </c>
      <c r="F15" s="0" t="n">
        <f aca="false">F13-MAX(0,F13)*F14/100</f>
        <v>761.560612556834</v>
      </c>
      <c r="G15" s="0" t="n">
        <f aca="false">G13-MAX(0,G13)*G14/100</f>
        <v>793.246395064385</v>
      </c>
      <c r="H15" s="0" t="n">
        <f aca="false">H13-MAX(0,H13)*H14/100</f>
        <v>820.498517516386</v>
      </c>
      <c r="I15" s="0" t="n">
        <f aca="false">I13-MAX(0,I13)*I14/100</f>
        <v>845.113473041877</v>
      </c>
      <c r="J15" s="0" t="n">
        <f aca="false">J13-MAX(0,J13)*J14/100</f>
        <v>868.354093550529</v>
      </c>
      <c r="K15" s="0" t="n">
        <f aca="false">K13-MAX(0,K13)*K14/100</f>
        <v>890.062945889292</v>
      </c>
      <c r="L15" s="0" t="n">
        <f aca="false">L13-MAX(0,L13)*L14/100</f>
        <v>912.314519536524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-102.820085592</v>
      </c>
      <c r="D17" s="4" t="n">
        <f aca="false">-D6*Assumptions!D32/100</f>
        <v>-104.87648730384</v>
      </c>
      <c r="E17" s="4" t="n">
        <f aca="false">-E6*Assumptions!E32/100</f>
        <v>-108.022781922955</v>
      </c>
      <c r="F17" s="4" t="n">
        <f aca="false">-F6*Assumptions!F32/100</f>
        <v>-111.803579290259</v>
      </c>
      <c r="G17" s="4" t="n">
        <f aca="false">-G6*Assumptions!G32/100</f>
        <v>-115.716704565418</v>
      </c>
      <c r="H17" s="4" t="n">
        <f aca="false">-H6*Assumptions!H32/100</f>
        <v>-119.18820570238</v>
      </c>
      <c r="I17" s="4" t="n">
        <f aca="false">-I6*Assumptions!I32/100</f>
        <v>-122.763851873452</v>
      </c>
      <c r="J17" s="4" t="n">
        <f aca="false">-J6*Assumptions!J32/100</f>
        <v>-126.139857799972</v>
      </c>
      <c r="K17" s="4" t="n">
        <f aca="false">-K6*Assumptions!K32/100</f>
        <v>-129.293354244971</v>
      </c>
      <c r="L17" s="4" t="n">
        <f aca="false">-L6*Assumptions!L32/100</f>
        <v>-132.525688101095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590.097882528</v>
      </c>
      <c r="D19" s="0" t="n">
        <f aca="false">D15+D16+D17+D18</f>
        <v>598.85994199584</v>
      </c>
      <c r="E19" s="0" t="n">
        <f aca="false">E15+E16+E17+E18</f>
        <v>621.522382948018</v>
      </c>
      <c r="F19" s="0" t="n">
        <f aca="false">F15+F16+F17+F18</f>
        <v>649.757033266576</v>
      </c>
      <c r="G19" s="0" t="n">
        <f aca="false">G15+G16+G17+G18</f>
        <v>677.529690498967</v>
      </c>
      <c r="H19" s="0" t="n">
        <f aca="false">H15+H16+H17+H18</f>
        <v>701.310311814005</v>
      </c>
      <c r="I19" s="0" t="n">
        <f aca="false">I15+I16+I17+I18</f>
        <v>722.349621168425</v>
      </c>
      <c r="J19" s="0" t="n">
        <f aca="false">J15+J16+J17+J18</f>
        <v>742.214235750557</v>
      </c>
      <c r="K19" s="0" t="n">
        <f aca="false">K15+K16+K17+K18</f>
        <v>760.769591644321</v>
      </c>
      <c r="L19" s="0" t="n">
        <f aca="false">L15+L16+L17+L18</f>
        <v>779.788831435429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538.902175824657</v>
      </c>
      <c r="D21" s="0" t="n">
        <f aca="false">D19*D20</f>
        <v>499.455759467768</v>
      </c>
      <c r="E21" s="0" t="n">
        <f aca="false">E19*E20</f>
        <v>473.384916681651</v>
      </c>
      <c r="F21" s="0" t="n">
        <f aca="false">F19*F20</f>
        <v>451.954289350423</v>
      </c>
      <c r="G21" s="0" t="n">
        <f aca="false">G19*G20</f>
        <v>430.385603454801</v>
      </c>
      <c r="H21" s="0" t="n">
        <f aca="false">H19*H20</f>
        <v>406.841746129411</v>
      </c>
      <c r="I21" s="0" t="n">
        <f aca="false">I19*I20</f>
        <v>382.69132284319</v>
      </c>
      <c r="J21" s="0" t="n">
        <f aca="false">J19*J20</f>
        <v>359.100761846007</v>
      </c>
      <c r="K21" s="0" t="n">
        <f aca="false">K19*K20</f>
        <v>336.144548759961</v>
      </c>
      <c r="L21" s="0" t="n">
        <f aca="false">L19*L20</f>
        <v>314.655856145169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4193.51698050304</v>
      </c>
    </row>
    <row r="31" customFormat="false" ht="15" hidden="false" customHeight="false" outlineLevel="0" collapsed="false">
      <c r="A31" s="0" t="s">
        <v>136</v>
      </c>
      <c r="B31" s="0" t="n">
        <f aca="false">L19</f>
        <v>779.788831435429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11418.3364603045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15595.7766287086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11418.3364603045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4607.46075069712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8800.97773120015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8800.97773120015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85.2807919689937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-0.13085209978604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85.2807919689937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6394.26841777052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47.3830121679897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-5</v>
      </c>
      <c r="D5" s="4" t="n">
        <f aca="false">Assumptions!D41</f>
        <v>3</v>
      </c>
      <c r="E5" s="4" t="n">
        <f aca="false">Assumptions!E41</f>
        <v>4.5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1573.544</v>
      </c>
      <c r="C6" s="0" t="n">
        <f aca="false">B6*(1+C5/100)</f>
        <v>1494.8668</v>
      </c>
      <c r="D6" s="0" t="n">
        <f aca="false">C6*(1+D5/100)</f>
        <v>1539.712804</v>
      </c>
      <c r="E6" s="0" t="n">
        <f aca="false">D6*(1+E5/100)</f>
        <v>1608.99988018</v>
      </c>
      <c r="F6" s="0" t="n">
        <f aca="false">E6*(1+F5/100)</f>
        <v>1689.449874189</v>
      </c>
      <c r="G6" s="0" t="n">
        <f aca="false">F6*(1+G5/100)</f>
        <v>1765.47511852751</v>
      </c>
      <c r="H6" s="0" t="n">
        <f aca="false">G6*(1+H5/100)</f>
        <v>1836.09412326861</v>
      </c>
      <c r="I6" s="0" t="n">
        <f aca="false">H6*(1+I5/100)</f>
        <v>1900.35741758301</v>
      </c>
      <c r="J6" s="0" t="n">
        <f aca="false">I6*(1+J5/100)</f>
        <v>1957.3681401105</v>
      </c>
      <c r="K6" s="0" t="n">
        <f aca="false">J6*(1+K5/100)</f>
        <v>2016.08918431381</v>
      </c>
      <c r="L6" s="0" t="n">
        <f aca="false">K6*(1+L5/100)</f>
        <v>2076.57185984323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46.7</v>
      </c>
      <c r="D7" s="4" t="n">
        <f aca="false">Assumptions!D42</f>
        <v>47</v>
      </c>
      <c r="E7" s="4" t="n">
        <f aca="false">Assumptions!E42</f>
        <v>47.8</v>
      </c>
      <c r="F7" s="4" t="n">
        <f aca="false">Assumptions!F42</f>
        <v>48.5</v>
      </c>
      <c r="G7" s="4" t="n">
        <f aca="false">Assumptions!G42</f>
        <v>49</v>
      </c>
      <c r="H7" s="4" t="n">
        <f aca="false">Assumptions!H42</f>
        <v>49</v>
      </c>
      <c r="I7" s="4" t="n">
        <f aca="false">Assumptions!I42</f>
        <v>49</v>
      </c>
      <c r="J7" s="4" t="n">
        <f aca="false">Assumptions!J42</f>
        <v>49</v>
      </c>
      <c r="K7" s="4" t="n">
        <f aca="false">Assumptions!K42</f>
        <v>49</v>
      </c>
      <c r="L7" s="4" t="n">
        <f aca="false">Assumptions!L42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698.1027956</v>
      </c>
      <c r="D8" s="0" t="n">
        <f aca="false">D6*D7/100</f>
        <v>723.66501788</v>
      </c>
      <c r="E8" s="0" t="n">
        <f aca="false">E6*E7/100</f>
        <v>769.10194272604</v>
      </c>
      <c r="F8" s="0" t="n">
        <f aca="false">F6*F7/100</f>
        <v>819.383188981665</v>
      </c>
      <c r="G8" s="0" t="n">
        <f aca="false">G6*G7/100</f>
        <v>865.082808078477</v>
      </c>
      <c r="H8" s="0" t="n">
        <f aca="false">H6*H7/100</f>
        <v>899.686120401616</v>
      </c>
      <c r="I8" s="0" t="n">
        <f aca="false">I6*I7/100</f>
        <v>931.175134615673</v>
      </c>
      <c r="J8" s="0" t="n">
        <f aca="false">J6*J7/100</f>
        <v>959.110388654143</v>
      </c>
      <c r="K8" s="0" t="n">
        <f aca="false">K6*K7/100</f>
        <v>987.883700313768</v>
      </c>
      <c r="L8" s="0" t="n">
        <f aca="false">L6*L7/100</f>
        <v>1017.52021132318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698.1027956</v>
      </c>
      <c r="D11" s="0" t="n">
        <f aca="false">D8+D10+D24</f>
        <v>723.66501788</v>
      </c>
      <c r="E11" s="0" t="n">
        <f aca="false">E8+E10+E24</f>
        <v>769.10194272604</v>
      </c>
      <c r="F11" s="0" t="n">
        <f aca="false">F8+F10+F24</f>
        <v>819.383188981665</v>
      </c>
      <c r="G11" s="0" t="n">
        <f aca="false">G8+G10+G24</f>
        <v>865.082808078477</v>
      </c>
      <c r="H11" s="0" t="n">
        <f aca="false">H8+H10+H24</f>
        <v>899.686120401616</v>
      </c>
      <c r="I11" s="0" t="n">
        <f aca="false">I8+I10+I24</f>
        <v>931.175134615673</v>
      </c>
      <c r="J11" s="0" t="n">
        <f aca="false">J8+J10+J24</f>
        <v>959.110388654143</v>
      </c>
      <c r="K11" s="0" t="n">
        <f aca="false">K8+K10+K24</f>
        <v>987.883700313768</v>
      </c>
      <c r="L11" s="0" t="n">
        <f aca="false">L8+L10+L24</f>
        <v>1017.52021132318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698.1027956</v>
      </c>
      <c r="D13" s="0" t="n">
        <f aca="false">D11+D12</f>
        <v>723.66501788</v>
      </c>
      <c r="E13" s="0" t="n">
        <f aca="false">E11+E12</f>
        <v>769.10194272604</v>
      </c>
      <c r="F13" s="0" t="n">
        <f aca="false">F11+F12</f>
        <v>819.383188981665</v>
      </c>
      <c r="G13" s="0" t="n">
        <f aca="false">G11+G12</f>
        <v>865.082808078477</v>
      </c>
      <c r="H13" s="0" t="n">
        <f aca="false">H11+H12</f>
        <v>899.686120401616</v>
      </c>
      <c r="I13" s="0" t="n">
        <f aca="false">I11+I12</f>
        <v>931.175134615673</v>
      </c>
      <c r="J13" s="0" t="n">
        <f aca="false">J11+J12</f>
        <v>959.110388654143</v>
      </c>
      <c r="K13" s="0" t="n">
        <f aca="false">K11+K12</f>
        <v>987.883700313768</v>
      </c>
      <c r="L13" s="0" t="n">
        <f aca="false">L11+L12</f>
        <v>1017.52021132318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698.1027956</v>
      </c>
      <c r="D15" s="0" t="n">
        <f aca="false">D13-MAX(0,D13)*D14/100</f>
        <v>723.66501788</v>
      </c>
      <c r="E15" s="0" t="n">
        <f aca="false">E13-MAX(0,E13)*E14/100</f>
        <v>769.10194272604</v>
      </c>
      <c r="F15" s="0" t="n">
        <f aca="false">F13-MAX(0,F13)*F14/100</f>
        <v>819.383188981665</v>
      </c>
      <c r="G15" s="0" t="n">
        <f aca="false">G13-MAX(0,G13)*G14/100</f>
        <v>865.082808078477</v>
      </c>
      <c r="H15" s="0" t="n">
        <f aca="false">H13-MAX(0,H13)*H14/100</f>
        <v>899.686120401616</v>
      </c>
      <c r="I15" s="0" t="n">
        <f aca="false">I13-MAX(0,I13)*I14/100</f>
        <v>931.175134615673</v>
      </c>
      <c r="J15" s="0" t="n">
        <f aca="false">J13-MAX(0,J13)*J14/100</f>
        <v>959.110388654143</v>
      </c>
      <c r="K15" s="0" t="n">
        <f aca="false">K13-MAX(0,K13)*K14/100</f>
        <v>987.883700313768</v>
      </c>
      <c r="L15" s="0" t="n">
        <f aca="false">L13-MAX(0,L13)*L14/100</f>
        <v>1017.52021132318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-100.1560756</v>
      </c>
      <c r="D17" s="4" t="n">
        <f aca="false">-D6*Assumptions!D46/100</f>
        <v>-103.160757868</v>
      </c>
      <c r="E17" s="4" t="n">
        <f aca="false">-E6*Assumptions!E46/100</f>
        <v>-107.80299197206</v>
      </c>
      <c r="F17" s="4" t="n">
        <f aca="false">-F6*Assumptions!F46/100</f>
        <v>-113.193141570663</v>
      </c>
      <c r="G17" s="4" t="n">
        <f aca="false">-G6*Assumptions!G46/100</f>
        <v>-118.286832941343</v>
      </c>
      <c r="H17" s="4" t="n">
        <f aca="false">-H6*Assumptions!H46/100</f>
        <v>-123.018306258997</v>
      </c>
      <c r="I17" s="4" t="n">
        <f aca="false">-I6*Assumptions!I46/100</f>
        <v>-127.323946978061</v>
      </c>
      <c r="J17" s="4" t="n">
        <f aca="false">-J6*Assumptions!J46/100</f>
        <v>-131.143665387403</v>
      </c>
      <c r="K17" s="4" t="n">
        <f aca="false">-K6*Assumptions!K46/100</f>
        <v>-135.077975349025</v>
      </c>
      <c r="L17" s="4" t="n">
        <f aca="false">-L6*Assumptions!L46/100</f>
        <v>-139.130314609496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597.94672</v>
      </c>
      <c r="D19" s="0" t="n">
        <f aca="false">D15+D16+D17+D18</f>
        <v>620.504260012</v>
      </c>
      <c r="E19" s="0" t="n">
        <f aca="false">E15+E16+E17+E18</f>
        <v>661.29895075398</v>
      </c>
      <c r="F19" s="0" t="n">
        <f aca="false">F15+F16+F17+F18</f>
        <v>706.190047411002</v>
      </c>
      <c r="G19" s="0" t="n">
        <f aca="false">G15+G16+G17+G18</f>
        <v>746.795975137135</v>
      </c>
      <c r="H19" s="0" t="n">
        <f aca="false">H15+H16+H17+H18</f>
        <v>776.66781414262</v>
      </c>
      <c r="I19" s="0" t="n">
        <f aca="false">I15+I16+I17+I18</f>
        <v>803.851187637612</v>
      </c>
      <c r="J19" s="0" t="n">
        <f aca="false">J15+J16+J17+J18</f>
        <v>827.96672326674</v>
      </c>
      <c r="K19" s="0" t="n">
        <f aca="false">K15+K16+K17+K18</f>
        <v>852.805724964742</v>
      </c>
      <c r="L19" s="0" t="n">
        <f aca="false">L15+L16+L17+L18</f>
        <v>878.389896713685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546.070063926941</v>
      </c>
      <c r="D21" s="0" t="n">
        <f aca="false">D19*D20</f>
        <v>517.507358071767</v>
      </c>
      <c r="E21" s="0" t="n">
        <f aca="false">E19*E20</f>
        <v>503.680892745127</v>
      </c>
      <c r="F21" s="0" t="n">
        <f aca="false">F19*F20</f>
        <v>491.207643293085</v>
      </c>
      <c r="G21" s="0" t="n">
        <f aca="false">G19*G20</f>
        <v>474.385463728253</v>
      </c>
      <c r="H21" s="0" t="n">
        <f aca="false">H19*H20</f>
        <v>450.557883358341</v>
      </c>
      <c r="I21" s="0" t="n">
        <f aca="false">I19*I20</f>
        <v>425.869780160623</v>
      </c>
      <c r="J21" s="0" t="n">
        <f aca="false">J19*J20</f>
        <v>400.58983887255</v>
      </c>
      <c r="K21" s="0" t="n">
        <f aca="false">K19*K20</f>
        <v>376.8105333687</v>
      </c>
      <c r="L21" s="0" t="n">
        <f aca="false">L19*L20</f>
        <v>354.442784812567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4541.12224233795</v>
      </c>
    </row>
    <row r="31" customFormat="false" ht="15" hidden="false" customHeight="false" outlineLevel="0" collapsed="false">
      <c r="A31" s="0" t="s">
        <v>136</v>
      </c>
      <c r="B31" s="0" t="n">
        <f aca="false">L19</f>
        <v>878.389896713685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13919.1014402322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17567.7979342737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13919.1014402322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5616.55489779914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10157.6771401371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10157.6771401371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98.4271040710959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0.00312988250199608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98.4271040710959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7539.51328012579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52.6245015323701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70.6815479194766</v>
      </c>
      <c r="C4" s="0" t="n">
        <f aca="false">B4/Assumptions!$B$2-1</f>
        <v>-0.279641786389353</v>
      </c>
      <c r="D4" s="4" t="n">
        <f aca="false">Assumptions!$B$24</f>
        <v>0.2</v>
      </c>
      <c r="E4" s="4" t="n">
        <f aca="false">DCF_Bear!$B$43</f>
        <v>70.6815479194766</v>
      </c>
      <c r="F4" s="4" t="n">
        <f aca="false">DCF_Bear!$B$47</f>
        <v>40.9331963984911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85.2807919689937</v>
      </c>
      <c r="C5" s="0" t="n">
        <f aca="false">B5/Assumptions!$B$2-1</f>
        <v>-0.13085209978604</v>
      </c>
      <c r="D5" s="4" t="n">
        <f aca="false">Assumptions!$B$38</f>
        <v>0.5</v>
      </c>
      <c r="E5" s="4" t="n">
        <f aca="false">DCF_Base!$B$43</f>
        <v>85.2807919689937</v>
      </c>
      <c r="F5" s="4" t="n">
        <f aca="false">DCF_Base!$B$47</f>
        <v>47.3830121679897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98.4271040710959</v>
      </c>
      <c r="C6" s="0" t="n">
        <f aca="false">B6/Assumptions!$B$2-1</f>
        <v>0.00312988250199608</v>
      </c>
      <c r="D6" s="4" t="n">
        <f aca="false">Assumptions!$B$52</f>
        <v>0.3</v>
      </c>
      <c r="E6" s="4" t="n">
        <f aca="false">DCF_Bull!$B$43</f>
        <v>98.4271040710959</v>
      </c>
      <c r="F6" s="4" t="n">
        <f aca="false">DCF_Bull!$B$47</f>
        <v>52.6245015323701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86.304836789721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86.304836789721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-0.1369003598149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47.6654958234041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91.9160050715756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85.2807919689937</v>
      </c>
      <c r="C16" s="3" t="n">
        <v>9.5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79.5318186706506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70.066852205156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62.5989756827618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47.3830121679897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106.661407162123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112.63282140407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117.965433192227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117.965433192227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117.965433192227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91.025706004055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95.0103385456208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99.6590765107808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105.153039560515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109.406430308697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79.3189259238844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82.1011300782688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85.2807919689937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88.949632612138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93.2299466958062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70.2301539802257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72.2408451950387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74.5028728117034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77.06650411059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79.9963684521747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62.9729386733892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64.465973389201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66.1249008512142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67.9789962499347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70.0648535734954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2026-09-26T01:14:02Z</dcterms:created>
  <dc:creator>openpyxl</dc:creator>
  <dc:description/>
  <dc:language>en-NZ</dc:language>
  <cp:lastModifiedBy/>
  <dcterms:modified xsi:type="dcterms:W3CDTF">2026-09-26T01:14:02Z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