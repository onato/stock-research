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<sst xmlns="http://schemas.openxmlformats.org/spreadsheetml/2006/main" count="367" uniqueCount="169">
  <si>
    <t xml:space="preserve">Ticker</t>
  </si>
  <si>
    <t xml:space="preserve">FBU.AX</t>
  </si>
  <si>
    <t xml:space="preserve">Company</t>
  </si>
  <si>
    <t xml:space="preserve">Fletcher Building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</si>
  <si>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</si>
  <si>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</si>
  <si>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</si>
  <si>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</si>
  <si>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2026-09-22T06:10:05Z regular close (ASX)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</si>
  <si>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</si>
  <si>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</si>
  <si>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</si>
  <si>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</si>
  <si>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</si>
  <si>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</si>
  <si>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</si>
  <si>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</si>
  <si>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</si>
  <si>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</si>
  <si>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</si>
  <si>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</si>
  <si>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</si>
  <si>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2026-09-22T10:52:33Z</t>
  </si>
  <si>
    <t xml:space="preserve">Drivers file</t>
  </si>
  <si>
    <t xml:space="preserve">FBU.AX_Drivers.json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</si>
  <si>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</si>
  <si>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</si>
  <si>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</si>
  <si>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cyclical building-materials manufacturer/distributor at a construction trough, valued on normalised (mid-cycle) owner FCF of the continuing portfolio only, with leases treated as operating cost, a recurring significant-items haircut inside the margin, cash tax ramped to statutory, a single NZD WACC of 9.5%, and a 13x FCF terminal cap. All values are computed in NZD and converted to the AUD quote at 0.806. Historical CAGRs are reported but explicitly not used: they describe the pre-divestiture group and the FY24-25 distress.
key_risks_to_valuation: Mid-cycle margin assumption (~8% pre-IFRS-16 EBIT in base) may be too high if the FY26 trough is the new normal for a portfolio still earning 5% ROIC; Recurring significant items: a fresh NZ$250m+ legacy charge (SkyCity NZICC NZ$330m claim, Iplex 15-year window, retained construction provisions) is worth ~NZ$0.20-0.25/share each time and is only partly captured by the 1%/yr leakage; Cycle timing: management's CY2027 recovery is a forecast, and 1H FY27 is already flagged softer; every year of delay pushes the ramp out; Lease-heavy structure (NZ$1.2bn of liabilities) means the ex-lease EV/EBITDA looks cheap on post-IFRS-16 EBITDA -- compare only against EBITDA less the NZ$231m lease cash; Residential &amp; Development strategic review could crystallise value above the in-model worth (upside) or be sold at a distressed price to fund debt reduction (downside); AUD/NZD translation: the ASX holder is exposed to the NZD IV moving with the cross; 0.806 is the 2026-09-22 rate; Capital notes: 49m dilutive shares on conversion are carried as debt instead; a conversion would move value from the debt line to the share count with no net change</t>
  </si>
  <si>
    <t xml:space="preserve">Data sources</t>
  </si>
  <si>
    <t xml:space="preserve">price: Yahoo Finance chart API for FBU.AX at inputs.price_as_of; 52-week range A$2.22-3.44. Parity against FBU.NZ (NZX primary) at NZDAUD=X 0.806, see inputs.fx_note.
financials: FBU.AX_Metrics.csv / core_metrics (FY2015-FY2026 + 5 half-years); FY2026 Annual Report (signed 18-Aug-2026): income statement, cash-flow statement, note 2.2/2.4 (Significant Items, discontinued ops, held for sale), segment income-statement and cash-flow notes, note 4 (EPS/dilution), note 5 (D&amp;A split incl. right-of-use), note 14/15 (borrowings, funding costs), note 18 (shares on issue), note 26 (share-based payments).
qualitative: FBU.AX_Analysis.json (2026-09-22): guidance block (FY27 capex ~NZ$170m, 1H FY27 softer, NZ recovery not before CY2027, dividend reset conditions), bull/bear cases, risk register (Iplex, SkyCity NZICC, retained legacy construction liabilities).</t>
  </si>
  <si>
    <t xml:space="preserve">Scenario narrative: bear</t>
  </si>
  <si>
    <t xml:space="preserve">The recovery slips and the legacy tail persists: FY27 revenue -4% then a slow crawl, margin stuck at the ~6% trough level, and significant items keep running at 1.75% of revenue (Iplex 15-year window, retained construction provisions, SkyCity NZICC NZ$330m claim). ROIC never clears WACC; the equity is worth roughly the balance-sheet-adjusted value of a sub-hurdle asset base.</t>
  </si>
  <si>
    <t xml:space="preserve">Scenario narrative: base</t>
  </si>
  <si>
    <t xml:space="preserve">Trough-to-mid-cycle recovery on the continuing portfolio (Light Building Products, Heavy Building Materials, Distribution, Residential &amp; Development): flat FY27 as guided (softer 1H, commercial delays, residential volumes below pcp), +5% in FY28-29 as NZ residential and civil demand recovers from CY2027, then GDP-like growth. Pre-IFRS-16 EBIT margin rebuilds from ~6% (FY26 ex property gains) to ~8% mid-cycle by FY31-32, cash tax normalises to 28% by FY30, capex ~3% of revenue after the FY27 NZ$170m guide, and a 1%-of-revenue significant-items leakage is charged every year. Terminal value bound by the 13x FCF cap.</t>
  </si>
  <si>
    <t xml:space="preserve">Scenario narrative: bull</t>
  </si>
  <si>
    <t xml:space="preserve">Cycle turns on schedule and the ROIC programme delivers: FY28-29 revenue +8%/+7% with operating leverage, cost-out and capacity investments (Taupo, Firth, Sonata) lift the pre-IFRS-16 EBIT margin to ~9.5% by FY32, legacy charges fade to 0.5% of revenue, dividends resume, and the Residential &amp; Development review crystallises value at or above its in-model worth.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</si>
  <si>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</si>
  <si>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</si>
  <si>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</si>
  <si>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</si>
  <si>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</si>
  <si>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</si>
  <si>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</si>
  <si>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</si>
  <si>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</si>
  <si>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</si>
  <si>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</si>
  <si>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</si>
  <si>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</si>
  <si>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</si>
  <si>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</si>
  <si>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</si>
  <si>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</si>
  <si>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</si>
  <si>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</si>
  <si>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</si>
  <si>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</si>
  <si>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</si>
  <si>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</si>
  <si>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</si>
  <si>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</si>
  <si>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</si>
  <si>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</si>
  <si>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SegmentRevenueDistribution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</si>
  <si>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</si>
  <si>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</si>
  <si>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</si>
  <si>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</si>
  <si>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</si>
  <si>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</si>
  <si>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</si>
  <si>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</si>
  <si>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</si>
  <si>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</si>
  <si>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</si>
  <si>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</si>
  <si>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</si>
  <si>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</si>
  <si>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</si>
  <si>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</si>
  <si>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</si>
  <si>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</si>
  <si>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</si>
  <si>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</si>
  <si>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</si>
  <si>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</si>
  <si>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</si>
  <si>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</si>
  <si>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</si>
  <si>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</si>
  <si>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</si>
  <si>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</si>
  <si>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</si>
  <si>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</si>
  <si>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</si>
  <si>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</si>
  <si>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</si>
  <si>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</si>
  <si>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</si>
  <si>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</si>
  <si>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</si>
  <si>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</si>
  <si>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</si>
  <si>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</si>
  <si>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</si>
  <si>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</si>
  <si>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</si>
  <si>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</si>
  <si>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</si>
  <si>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</si>
  <si>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</si>
  <si>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</si>
  <si>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</si>
  <si>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FBU.AX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</si>
  <si>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</si>
  <si>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</si>
  <si>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</si>
  <si>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</si>
  <si>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</si>
  <si>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</si>
  <si>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</si>
  <si>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</si>
  <si>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</si>
  <si>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</si>
  <si>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</si>
  <si>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</si>
  <si>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</si>
  <si>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</si>
  <si>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</si>
  <si>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</si>
  <si>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</si>
  <si>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</si>
  <si>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</si>
  <si>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</si>
  <si>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</si>
  <si>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</si>
  <si>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</si>
  <si>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</si>
  <si>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</si>
  <si>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</si>
  <si>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</si>
  <si>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</si>
  <si>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</si>
  <si>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</si>
  <si>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FBU.AX owner-FCF component DCF: base case (millions, NZD)</t>
  </si>
  <si>
    <t xml:space="preserve">FBU.AX owner-FCF component DCF: bull case (millions, NZD)</t>
  </si>
  <si>
    <t xml:space="preserve">FBU.AX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</si>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</sst>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2.91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8661</v>
      </c>
      <c r="C2" s="0" t="n">
        <v>-6553</v>
      </c>
      <c r="D2" s="0" t="n">
        <v>2108</v>
      </c>
      <c r="E2" s="0" t="n">
        <v>24.3</v>
      </c>
      <c r="F2" s="0" t="n">
        <v>503</v>
      </c>
      <c r="G2" s="0" t="n">
        <v>5.8</v>
      </c>
      <c r="I2" s="0" t="n">
        <v>270</v>
      </c>
      <c r="J2" s="0" t="n">
        <v>3.1</v>
      </c>
      <c r="K2" s="0" t="n">
        <v>39.2</v>
      </c>
      <c r="L2" s="0" t="n">
        <v>575</v>
      </c>
      <c r="M2" s="0" t="n">
        <v>278</v>
      </c>
      <c r="N2" s="0" t="n">
        <v>297</v>
      </c>
      <c r="O2" s="0" t="n">
        <v>3710</v>
      </c>
      <c r="P2" s="0" t="n">
        <v>7501</v>
      </c>
      <c r="Q2" s="0" t="n">
        <v>3791</v>
      </c>
      <c r="R2" s="0" t="n">
        <v>1954</v>
      </c>
      <c r="S2" s="0" t="n">
        <v>154</v>
      </c>
      <c r="T2" s="0" t="n">
        <v>688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9004</v>
      </c>
      <c r="C3" s="0" t="n">
        <v>-6767</v>
      </c>
      <c r="D3" s="0" t="n">
        <v>2237</v>
      </c>
      <c r="E3" s="0" t="n">
        <v>24.8</v>
      </c>
      <c r="F3" s="0" t="n">
        <v>719</v>
      </c>
      <c r="G3" s="0" t="n">
        <v>8</v>
      </c>
      <c r="I3" s="0" t="n">
        <v>462</v>
      </c>
      <c r="J3" s="0" t="n">
        <v>5.1</v>
      </c>
      <c r="K3" s="0" t="n">
        <v>67</v>
      </c>
      <c r="L3" s="0" t="n">
        <v>660</v>
      </c>
      <c r="M3" s="0" t="n">
        <v>300</v>
      </c>
      <c r="N3" s="0" t="n">
        <v>360</v>
      </c>
      <c r="O3" s="0" t="n">
        <v>3713</v>
      </c>
      <c r="P3" s="0" t="n">
        <v>7267</v>
      </c>
      <c r="Q3" s="0" t="n">
        <v>3554</v>
      </c>
      <c r="R3" s="0" t="n">
        <v>1752</v>
      </c>
      <c r="S3" s="0" t="n">
        <v>147</v>
      </c>
      <c r="T3" s="0" t="n">
        <v>690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9399</v>
      </c>
      <c r="C4" s="0" t="n">
        <v>-7319</v>
      </c>
      <c r="D4" s="0" t="n">
        <v>2080</v>
      </c>
      <c r="E4" s="0" t="n">
        <v>22.1</v>
      </c>
      <c r="F4" s="0" t="n">
        <v>273</v>
      </c>
      <c r="G4" s="0" t="n">
        <v>2.9</v>
      </c>
      <c r="I4" s="0" t="n">
        <v>94</v>
      </c>
      <c r="J4" s="0" t="n">
        <v>1</v>
      </c>
      <c r="K4" s="0" t="n">
        <v>13.5</v>
      </c>
      <c r="L4" s="0" t="n">
        <v>243</v>
      </c>
      <c r="M4" s="0" t="n">
        <v>319</v>
      </c>
      <c r="N4" s="0" t="n">
        <v>-76</v>
      </c>
      <c r="O4" s="0" t="n">
        <v>3580</v>
      </c>
      <c r="P4" s="0" t="n">
        <v>7673</v>
      </c>
      <c r="Q4" s="0" t="n">
        <v>4093</v>
      </c>
      <c r="R4" s="0" t="n">
        <v>2172</v>
      </c>
      <c r="S4" s="0" t="n">
        <v>219</v>
      </c>
      <c r="T4" s="0" t="n">
        <v>694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9471</v>
      </c>
      <c r="C5" s="0" t="n">
        <v>-7775</v>
      </c>
      <c r="D5" s="0" t="n">
        <v>1696</v>
      </c>
      <c r="E5" s="0" t="n">
        <v>17.9</v>
      </c>
      <c r="F5" s="0" t="n">
        <v>-118</v>
      </c>
      <c r="G5" s="0" t="n">
        <v>-1.2</v>
      </c>
      <c r="I5" s="0" t="n">
        <v>-190</v>
      </c>
      <c r="J5" s="0" t="n">
        <v>-2</v>
      </c>
      <c r="K5" s="0" t="n">
        <v>-25.5</v>
      </c>
      <c r="L5" s="0" t="n">
        <v>396</v>
      </c>
      <c r="M5" s="0" t="n">
        <v>304</v>
      </c>
      <c r="N5" s="0" t="n">
        <v>92</v>
      </c>
      <c r="O5" s="0" t="n">
        <v>4142</v>
      </c>
      <c r="P5" s="0" t="n">
        <v>8532</v>
      </c>
      <c r="Q5" s="0" t="n">
        <v>4390</v>
      </c>
      <c r="R5" s="0" t="n">
        <v>1938</v>
      </c>
      <c r="S5" s="0" t="n">
        <v>665</v>
      </c>
      <c r="T5" s="0" t="n">
        <v>745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8308</v>
      </c>
      <c r="C6" s="0" t="n">
        <v>-6025</v>
      </c>
      <c r="D6" s="0" t="n">
        <v>2283</v>
      </c>
      <c r="E6" s="0" t="n">
        <v>27.5</v>
      </c>
      <c r="F6" s="0" t="n">
        <v>455</v>
      </c>
      <c r="G6" s="0" t="n">
        <v>5.5</v>
      </c>
      <c r="I6" s="0" t="n">
        <v>164</v>
      </c>
      <c r="J6" s="0" t="n">
        <v>2</v>
      </c>
      <c r="K6" s="0" t="n">
        <v>19.2</v>
      </c>
      <c r="L6" s="0" t="n">
        <v>153</v>
      </c>
      <c r="M6" s="0" t="n">
        <v>348</v>
      </c>
      <c r="N6" s="0" t="n">
        <v>-195</v>
      </c>
      <c r="O6" s="0" t="n">
        <v>4173</v>
      </c>
      <c r="P6" s="0" t="n">
        <v>7710</v>
      </c>
      <c r="Q6" s="0" t="n">
        <v>3537</v>
      </c>
      <c r="R6" s="0" t="n">
        <v>1697</v>
      </c>
      <c r="S6" s="0" t="n">
        <v>1372</v>
      </c>
      <c r="T6" s="0" t="n">
        <v>853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7309</v>
      </c>
      <c r="C7" s="0" t="n">
        <v>-5496</v>
      </c>
      <c r="D7" s="0" t="n">
        <v>1813</v>
      </c>
      <c r="E7" s="0" t="n">
        <v>24.8</v>
      </c>
      <c r="F7" s="0" t="n">
        <v>-116</v>
      </c>
      <c r="G7" s="0" t="n">
        <v>-1.6</v>
      </c>
      <c r="I7" s="0" t="n">
        <v>-196</v>
      </c>
      <c r="J7" s="0" t="n">
        <v>-2.7</v>
      </c>
      <c r="K7" s="0" t="n">
        <v>-23.5</v>
      </c>
      <c r="L7" s="0" t="n">
        <v>410</v>
      </c>
      <c r="M7" s="0" t="n">
        <v>240</v>
      </c>
      <c r="N7" s="0" t="n">
        <v>170</v>
      </c>
      <c r="O7" s="0" t="n">
        <v>3535</v>
      </c>
      <c r="P7" s="0" t="n">
        <v>8778</v>
      </c>
      <c r="Q7" s="0" t="n">
        <v>5243</v>
      </c>
      <c r="R7" s="0" t="n">
        <v>1791</v>
      </c>
      <c r="S7" s="0" t="n">
        <v>1104</v>
      </c>
      <c r="T7" s="0" t="n">
        <v>835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8120</v>
      </c>
      <c r="C8" s="0" t="n">
        <v>-5778</v>
      </c>
      <c r="D8" s="0" t="n">
        <v>2342</v>
      </c>
      <c r="E8" s="0" t="n">
        <v>28.8</v>
      </c>
      <c r="F8" s="0" t="n">
        <v>541</v>
      </c>
      <c r="G8" s="0" t="n">
        <v>6.7</v>
      </c>
      <c r="I8" s="0" t="n">
        <v>305</v>
      </c>
      <c r="J8" s="0" t="n">
        <v>3.8</v>
      </c>
      <c r="K8" s="0" t="n">
        <v>37</v>
      </c>
      <c r="L8" s="0" t="n">
        <v>889</v>
      </c>
      <c r="M8" s="0" t="n">
        <v>231</v>
      </c>
      <c r="N8" s="0" t="n">
        <v>658</v>
      </c>
      <c r="O8" s="0" t="n">
        <v>3771</v>
      </c>
      <c r="P8" s="0" t="n">
        <v>8010</v>
      </c>
      <c r="Q8" s="0" t="n">
        <v>4239</v>
      </c>
      <c r="R8" s="0" t="n">
        <v>857</v>
      </c>
      <c r="S8" s="0" t="n">
        <v>666</v>
      </c>
      <c r="T8" s="0" t="n">
        <v>824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8498</v>
      </c>
      <c r="C9" s="0" t="n">
        <v>-5989</v>
      </c>
      <c r="D9" s="0" t="n">
        <v>2509</v>
      </c>
      <c r="E9" s="0" t="n">
        <v>29.5</v>
      </c>
      <c r="F9" s="0" t="n">
        <v>702</v>
      </c>
      <c r="G9" s="0" t="n">
        <v>8.3</v>
      </c>
      <c r="I9" s="0" t="n">
        <v>432</v>
      </c>
      <c r="J9" s="0" t="n">
        <v>5.1</v>
      </c>
      <c r="K9" s="0" t="n">
        <v>53.5</v>
      </c>
      <c r="L9" s="0" t="n">
        <v>592</v>
      </c>
      <c r="M9" s="0" t="n">
        <v>399</v>
      </c>
      <c r="N9" s="0" t="n">
        <v>193</v>
      </c>
      <c r="O9" s="0" t="n">
        <v>3765</v>
      </c>
      <c r="P9" s="0" t="n">
        <v>8421</v>
      </c>
      <c r="Q9" s="0" t="n">
        <v>4656</v>
      </c>
      <c r="R9" s="0" t="n">
        <v>1040</v>
      </c>
      <c r="S9" s="0" t="n">
        <v>351</v>
      </c>
      <c r="T9" s="0" t="n">
        <v>807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8469</v>
      </c>
      <c r="C10" s="0" t="n">
        <v>-5838</v>
      </c>
      <c r="D10" s="0" t="n">
        <v>2631</v>
      </c>
      <c r="E10" s="0" t="n">
        <v>31.1</v>
      </c>
      <c r="F10" s="0" t="n">
        <v>497</v>
      </c>
      <c r="G10" s="0" t="n">
        <v>5.9</v>
      </c>
      <c r="I10" s="0" t="n">
        <v>235</v>
      </c>
      <c r="J10" s="0" t="n">
        <v>2.8</v>
      </c>
      <c r="K10" s="0" t="n">
        <v>30</v>
      </c>
      <c r="L10" s="0" t="n">
        <v>388</v>
      </c>
      <c r="M10" s="0" t="n">
        <v>445</v>
      </c>
      <c r="N10" s="0" t="n">
        <v>-57</v>
      </c>
      <c r="O10" s="0" t="n">
        <v>3677</v>
      </c>
      <c r="P10" s="0" t="n">
        <v>9081</v>
      </c>
      <c r="Q10" s="0" t="n">
        <v>5404</v>
      </c>
      <c r="R10" s="0" t="n">
        <v>1803</v>
      </c>
      <c r="S10" s="0" t="n">
        <v>365</v>
      </c>
      <c r="T10" s="0" t="n">
        <v>783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74</v>
      </c>
      <c r="B11" s="0" t="n">
        <v>7683</v>
      </c>
      <c r="C11" s="0" t="n">
        <v>-5521</v>
      </c>
      <c r="D11" s="0" t="n">
        <v>2162</v>
      </c>
      <c r="E11" s="0" t="n">
        <v>28.1</v>
      </c>
      <c r="F11" s="0" t="n">
        <v>176</v>
      </c>
      <c r="G11" s="0" t="n">
        <v>2.3</v>
      </c>
      <c r="I11" s="0" t="n">
        <v>-227</v>
      </c>
      <c r="J11" s="0" t="n">
        <v>-3</v>
      </c>
      <c r="K11" s="0" t="n">
        <v>-29</v>
      </c>
      <c r="L11" s="0" t="n">
        <v>398</v>
      </c>
      <c r="M11" s="0" t="n">
        <v>402</v>
      </c>
      <c r="N11" s="0" t="n">
        <v>-4</v>
      </c>
      <c r="O11" s="0" t="n">
        <v>3328</v>
      </c>
      <c r="P11" s="0" t="n">
        <v>8874</v>
      </c>
      <c r="Q11" s="0" t="n">
        <v>5546</v>
      </c>
      <c r="R11" s="0" t="n">
        <v>2108</v>
      </c>
      <c r="S11" s="0" t="n">
        <v>311</v>
      </c>
      <c r="T11" s="0" t="n">
        <v>783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75</v>
      </c>
      <c r="B12" s="0" t="n">
        <v>6994</v>
      </c>
      <c r="C12" s="0" t="n">
        <v>-5044</v>
      </c>
      <c r="D12" s="0" t="n">
        <v>1950</v>
      </c>
      <c r="E12" s="0" t="n">
        <v>27.9</v>
      </c>
      <c r="F12" s="0" t="n">
        <v>-260</v>
      </c>
      <c r="G12" s="0" t="n">
        <v>-3.7</v>
      </c>
      <c r="I12" s="0" t="n">
        <v>-419</v>
      </c>
      <c r="J12" s="0" t="n">
        <v>-6</v>
      </c>
      <c r="K12" s="0" t="n">
        <v>-41.4</v>
      </c>
      <c r="L12" s="0" t="n">
        <v>501</v>
      </c>
      <c r="M12" s="0" t="n">
        <v>280</v>
      </c>
      <c r="N12" s="0" t="n">
        <v>221</v>
      </c>
      <c r="O12" s="0" t="n">
        <v>3607</v>
      </c>
      <c r="P12" s="0" t="n">
        <v>7898</v>
      </c>
      <c r="Q12" s="0" t="n">
        <v>4291</v>
      </c>
      <c r="R12" s="0" t="n">
        <v>1172</v>
      </c>
      <c r="S12" s="0" t="n">
        <v>139</v>
      </c>
      <c r="T12" s="0" t="n">
        <v>1013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76</v>
      </c>
      <c r="B13" s="0" t="n">
        <v>5994</v>
      </c>
      <c r="C13" s="0" t="n">
        <v>-4060</v>
      </c>
      <c r="D13" s="0" t="n">
        <v>1934</v>
      </c>
      <c r="E13" s="0" t="n">
        <v>32.3</v>
      </c>
      <c r="F13" s="0" t="n">
        <v>373</v>
      </c>
      <c r="G13" s="0" t="n">
        <v>6.2</v>
      </c>
      <c r="H13" s="0" t="n">
        <v>689</v>
      </c>
      <c r="I13" s="0" t="n">
        <v>228</v>
      </c>
      <c r="J13" s="0" t="n">
        <v>3.8</v>
      </c>
      <c r="K13" s="0" t="n">
        <v>21.2</v>
      </c>
      <c r="L13" s="0" t="n">
        <v>715</v>
      </c>
      <c r="M13" s="0" t="n">
        <v>288</v>
      </c>
      <c r="N13" s="0" t="n">
        <v>427</v>
      </c>
      <c r="O13" s="0" t="n">
        <v>3957</v>
      </c>
      <c r="P13" s="0" t="n">
        <v>7481</v>
      </c>
      <c r="Q13" s="0" t="n">
        <v>3524</v>
      </c>
      <c r="R13" s="0" t="n">
        <v>789</v>
      </c>
      <c r="S13" s="0" t="n">
        <v>145</v>
      </c>
      <c r="T13" s="0" t="n">
        <v>1075</v>
      </c>
      <c r="W13" s="0" t="n">
        <v>730</v>
      </c>
      <c r="X13" s="0" t="n">
        <v>5994</v>
      </c>
      <c r="Z13" s="0" t="n">
        <v>414</v>
      </c>
      <c r="AA13" s="0" t="s">
        <v>18</v>
      </c>
      <c r="AB13" s="0" t="s">
        <v>14</v>
      </c>
      <c r="AC13" s="0" t="n">
        <v>1557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2.91</v>
      </c>
    </row>
    <row r="3" customFormat="false" ht="15" hidden="false" customHeight="false" outlineLevel="0" collapsed="false">
      <c r="A3" s="0" t="s">
        <v>80</v>
      </c>
      <c r="B3" s="3" t="n">
        <v>1075.6</v>
      </c>
    </row>
    <row r="4" customFormat="false" ht="15" hidden="false" customHeight="false" outlineLevel="0" collapsed="false">
      <c r="A4" s="0" t="s">
        <v>81</v>
      </c>
      <c r="B4" s="3" t="n">
        <v>637</v>
      </c>
    </row>
    <row r="5" customFormat="false" ht="15" hidden="false" customHeight="false" outlineLevel="0" collapsed="false">
      <c r="A5" s="0" t="s">
        <v>82</v>
      </c>
      <c r="B5" s="3" t="n">
        <v>20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5994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0.806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-4</v>
      </c>
      <c r="D13" s="3" t="n">
        <v>0</v>
      </c>
      <c r="E13" s="3" t="n">
        <v>2</v>
      </c>
      <c r="F13" s="3" t="n">
        <v>3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9.6</v>
      </c>
      <c r="D14" s="3" t="n">
        <v>9.6</v>
      </c>
      <c r="E14" s="3" t="n">
        <v>10</v>
      </c>
      <c r="F14" s="3" t="n">
        <v>10.3</v>
      </c>
      <c r="G14" s="3" t="n">
        <v>10.5</v>
      </c>
      <c r="H14" s="3" t="n">
        <v>10.6</v>
      </c>
      <c r="I14" s="3" t="n">
        <v>10.6</v>
      </c>
      <c r="J14" s="3" t="n">
        <v>10.6</v>
      </c>
      <c r="K14" s="3" t="n">
        <v>10.6</v>
      </c>
      <c r="L14" s="3" t="n">
        <v>10.6</v>
      </c>
    </row>
    <row r="15" customFormat="false" ht="15" hidden="false" customHeight="false" outlineLevel="0" collapsed="false">
      <c r="A15" s="0" t="s">
        <v>102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103</v>
      </c>
      <c r="C16" s="3" t="n">
        <v>3.85</v>
      </c>
      <c r="D16" s="3" t="n">
        <v>3.85</v>
      </c>
      <c r="E16" s="3" t="n">
        <v>3.85</v>
      </c>
      <c r="F16" s="3" t="n">
        <v>3.85</v>
      </c>
      <c r="G16" s="3" t="n">
        <v>3.85</v>
      </c>
      <c r="H16" s="3" t="n">
        <v>3.85</v>
      </c>
      <c r="I16" s="3" t="n">
        <v>3.85</v>
      </c>
      <c r="J16" s="3" t="n">
        <v>3.85</v>
      </c>
      <c r="K16" s="3" t="n">
        <v>3.85</v>
      </c>
      <c r="L16" s="3" t="n">
        <v>3.85</v>
      </c>
    </row>
    <row r="17" customFormat="false" ht="15" hidden="false" customHeight="false" outlineLevel="0" collapsed="false">
      <c r="A17" s="0" t="s">
        <v>104</v>
      </c>
      <c r="C17" s="3" t="n">
        <v>2.5</v>
      </c>
      <c r="D17" s="3" t="n">
        <v>2.5</v>
      </c>
      <c r="E17" s="3" t="n">
        <v>2.5</v>
      </c>
      <c r="F17" s="3" t="n">
        <v>2.5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105</v>
      </c>
      <c r="C18" s="3" t="n">
        <v>2.85</v>
      </c>
      <c r="D18" s="3" t="n">
        <v>2.8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106</v>
      </c>
      <c r="C19" s="3" t="n">
        <v>8</v>
      </c>
      <c r="D19" s="3" t="n">
        <v>16</v>
      </c>
      <c r="E19" s="3" t="n">
        <v>22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107</v>
      </c>
      <c r="B20" s="3" t="n">
        <v>9.5</v>
      </c>
    </row>
    <row r="21" customFormat="false" ht="15" hidden="false" customHeight="false" outlineLevel="0" collapsed="false">
      <c r="A21" s="0" t="s">
        <v>108</v>
      </c>
      <c r="B21" s="3" t="n">
        <v>2.5</v>
      </c>
    </row>
    <row r="22" customFormat="false" ht="15" hidden="false" customHeight="false" outlineLevel="0" collapsed="false">
      <c r="A22" s="0" t="s">
        <v>109</v>
      </c>
      <c r="B22" s="3" t="n">
        <v>13</v>
      </c>
    </row>
    <row r="23" customFormat="false" ht="15" hidden="false" customHeight="false" outlineLevel="0" collapsed="false">
      <c r="A23" s="0" t="s">
        <v>110</v>
      </c>
      <c r="B23" s="3" t="n">
        <v>-8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1</v>
      </c>
      <c r="D27" s="3" t="n">
        <v>5</v>
      </c>
      <c r="E27" s="3" t="n">
        <v>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10.3</v>
      </c>
      <c r="D28" s="3" t="n">
        <v>10.9</v>
      </c>
      <c r="E28" s="3" t="n">
        <v>11.6</v>
      </c>
      <c r="F28" s="3" t="n">
        <v>12.3</v>
      </c>
      <c r="G28" s="3" t="n">
        <v>12.8</v>
      </c>
      <c r="H28" s="3" t="n">
        <v>13.1</v>
      </c>
      <c r="I28" s="3" t="n">
        <v>13.3</v>
      </c>
      <c r="J28" s="3" t="n">
        <v>13.3</v>
      </c>
      <c r="K28" s="3" t="n">
        <v>13.3</v>
      </c>
      <c r="L28" s="3" t="n">
        <v>13.3</v>
      </c>
    </row>
    <row r="29" customFormat="false" ht="15" hidden="false" customHeight="false" outlineLevel="0" collapsed="false">
      <c r="A29" s="0" t="s">
        <v>102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103</v>
      </c>
      <c r="C30" s="3" t="n">
        <v>3.85</v>
      </c>
      <c r="D30" s="3" t="n">
        <v>3.85</v>
      </c>
      <c r="E30" s="3" t="n">
        <v>3.85</v>
      </c>
      <c r="F30" s="3" t="n">
        <v>3.85</v>
      </c>
      <c r="G30" s="3" t="n">
        <v>3.85</v>
      </c>
      <c r="H30" s="3" t="n">
        <v>3.85</v>
      </c>
      <c r="I30" s="3" t="n">
        <v>3.85</v>
      </c>
      <c r="J30" s="3" t="n">
        <v>3.85</v>
      </c>
      <c r="K30" s="3" t="n">
        <v>3.85</v>
      </c>
      <c r="L30" s="3" t="n">
        <v>3.85</v>
      </c>
    </row>
    <row r="31" customFormat="false" ht="15" hidden="false" customHeight="false" outlineLevel="0" collapsed="false">
      <c r="A31" s="0" t="s">
        <v>104</v>
      </c>
      <c r="C31" s="3" t="n">
        <v>2.5</v>
      </c>
      <c r="D31" s="3" t="n">
        <v>2.5</v>
      </c>
      <c r="E31" s="3" t="n">
        <v>2.5</v>
      </c>
      <c r="F31" s="3" t="n">
        <v>2.5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105</v>
      </c>
      <c r="C32" s="3" t="n">
        <v>2.85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106</v>
      </c>
      <c r="C33" s="3" t="n">
        <v>8</v>
      </c>
      <c r="D33" s="3" t="n">
        <v>16</v>
      </c>
      <c r="E33" s="3" t="n">
        <v>22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107</v>
      </c>
      <c r="B34" s="3" t="n">
        <v>9.5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13</v>
      </c>
    </row>
    <row r="37" customFormat="false" ht="15" hidden="false" customHeight="false" outlineLevel="0" collapsed="false">
      <c r="A37" s="0" t="s">
        <v>110</v>
      </c>
      <c r="B37" s="3" t="n">
        <v>-8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3</v>
      </c>
      <c r="D41" s="3" t="n">
        <v>8</v>
      </c>
      <c r="E41" s="3" t="n">
        <v>7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101</v>
      </c>
      <c r="C42" s="3" t="n">
        <v>10.9</v>
      </c>
      <c r="D42" s="3" t="n">
        <v>11.9</v>
      </c>
      <c r="E42" s="3" t="n">
        <v>12.9</v>
      </c>
      <c r="F42" s="3" t="n">
        <v>13.9</v>
      </c>
      <c r="G42" s="3" t="n">
        <v>14.6</v>
      </c>
      <c r="H42" s="3" t="n">
        <v>15</v>
      </c>
      <c r="I42" s="3" t="n">
        <v>15.3</v>
      </c>
      <c r="J42" s="3" t="n">
        <v>15.3</v>
      </c>
      <c r="K42" s="3" t="n">
        <v>15.3</v>
      </c>
      <c r="L42" s="3" t="n">
        <v>15.3</v>
      </c>
    </row>
    <row r="43" customFormat="false" ht="15" hidden="false" customHeight="false" outlineLevel="0" collapsed="false">
      <c r="A43" s="0" t="s">
        <v>102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103</v>
      </c>
      <c r="C44" s="3" t="n">
        <v>3.85</v>
      </c>
      <c r="D44" s="3" t="n">
        <v>3.85</v>
      </c>
      <c r="E44" s="3" t="n">
        <v>3.85</v>
      </c>
      <c r="F44" s="3" t="n">
        <v>3.85</v>
      </c>
      <c r="G44" s="3" t="n">
        <v>3.85</v>
      </c>
      <c r="H44" s="3" t="n">
        <v>3.85</v>
      </c>
      <c r="I44" s="3" t="n">
        <v>3.85</v>
      </c>
      <c r="J44" s="3" t="n">
        <v>3.85</v>
      </c>
      <c r="K44" s="3" t="n">
        <v>3.85</v>
      </c>
      <c r="L44" s="3" t="n">
        <v>3.85</v>
      </c>
    </row>
    <row r="45" customFormat="false" ht="15" hidden="false" customHeight="false" outlineLevel="0" collapsed="false">
      <c r="A45" s="0" t="s">
        <v>104</v>
      </c>
      <c r="C45" s="3" t="n">
        <v>2.5</v>
      </c>
      <c r="D45" s="3" t="n">
        <v>2.5</v>
      </c>
      <c r="E45" s="3" t="n">
        <v>2.5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105</v>
      </c>
      <c r="C46" s="3" t="n">
        <v>2.85</v>
      </c>
      <c r="D46" s="3" t="n">
        <v>3.1</v>
      </c>
      <c r="E46" s="3" t="n">
        <v>3.2</v>
      </c>
      <c r="F46" s="3" t="n">
        <v>3.2</v>
      </c>
      <c r="G46" s="3" t="n">
        <v>3.2</v>
      </c>
      <c r="H46" s="3" t="n">
        <v>3.2</v>
      </c>
      <c r="I46" s="3" t="n">
        <v>3.2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106</v>
      </c>
      <c r="C47" s="3" t="n">
        <v>8</v>
      </c>
      <c r="D47" s="3" t="n">
        <v>16</v>
      </c>
      <c r="E47" s="3" t="n">
        <v>22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107</v>
      </c>
      <c r="B48" s="3" t="n">
        <v>9.5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13</v>
      </c>
    </row>
    <row r="51" customFormat="false" ht="15" hidden="false" customHeight="false" outlineLevel="0" collapsed="false">
      <c r="A51" s="0" t="s">
        <v>110</v>
      </c>
      <c r="B51" s="3" t="n">
        <v>-8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-4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5994</v>
      </c>
      <c r="C6" s="0" t="n">
        <f aca="false">B6*(1+C5/100)</f>
        <v>5754.24</v>
      </c>
      <c r="D6" s="0" t="n">
        <f aca="false">C6*(1+D5/100)</f>
        <v>5754.24</v>
      </c>
      <c r="E6" s="0" t="n">
        <f aca="false">D6*(1+E5/100)</f>
        <v>5869.3248</v>
      </c>
      <c r="F6" s="0" t="n">
        <f aca="false">E6*(1+F5/100)</f>
        <v>6045.404544</v>
      </c>
      <c r="G6" s="0" t="n">
        <f aca="false">F6*(1+G5/100)</f>
        <v>6196.5396576</v>
      </c>
      <c r="H6" s="0" t="n">
        <f aca="false">G6*(1+H5/100)</f>
        <v>6351.45314904</v>
      </c>
      <c r="I6" s="0" t="n">
        <f aca="false">H6*(1+I5/100)</f>
        <v>6478.4822120208</v>
      </c>
      <c r="J6" s="0" t="n">
        <f aca="false">I6*(1+J5/100)</f>
        <v>6608.05185626122</v>
      </c>
      <c r="K6" s="0" t="n">
        <f aca="false">J6*(1+K5/100)</f>
        <v>6740.21289338644</v>
      </c>
      <c r="L6" s="0" t="n">
        <f aca="false">K6*(1+L5/100)</f>
        <v>6875.01715125417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9.6</v>
      </c>
      <c r="D7" s="4" t="n">
        <f aca="false">Assumptions!D14</f>
        <v>9.6</v>
      </c>
      <c r="E7" s="4" t="n">
        <f aca="false">Assumptions!E14</f>
        <v>10</v>
      </c>
      <c r="F7" s="4" t="n">
        <f aca="false">Assumptions!F14</f>
        <v>10.3</v>
      </c>
      <c r="G7" s="4" t="n">
        <f aca="false">Assumptions!G14</f>
        <v>10.5</v>
      </c>
      <c r="H7" s="4" t="n">
        <f aca="false">Assumptions!H14</f>
        <v>10.6</v>
      </c>
      <c r="I7" s="4" t="n">
        <f aca="false">Assumptions!I14</f>
        <v>10.6</v>
      </c>
      <c r="J7" s="4" t="n">
        <f aca="false">Assumptions!J14</f>
        <v>10.6</v>
      </c>
      <c r="K7" s="4" t="n">
        <f aca="false">Assumptions!K14</f>
        <v>10.6</v>
      </c>
      <c r="L7" s="4" t="n">
        <f aca="false">Assumptions!L14</f>
        <v>10.6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552.40704</v>
      </c>
      <c r="D8" s="0" t="n">
        <f aca="false">D6*D7/100</f>
        <v>552.40704</v>
      </c>
      <c r="E8" s="0" t="n">
        <f aca="false">E6*E7/100</f>
        <v>586.93248</v>
      </c>
      <c r="F8" s="0" t="n">
        <f aca="false">F6*F7/100</f>
        <v>622.676668032</v>
      </c>
      <c r="G8" s="0" t="n">
        <f aca="false">G6*G7/100</f>
        <v>650.636664048</v>
      </c>
      <c r="H8" s="0" t="n">
        <f aca="false">H6*H7/100</f>
        <v>673.25403379824</v>
      </c>
      <c r="I8" s="0" t="n">
        <f aca="false">I6*I7/100</f>
        <v>686.719114474205</v>
      </c>
      <c r="J8" s="0" t="n">
        <f aca="false">J6*J7/100</f>
        <v>700.453496763689</v>
      </c>
      <c r="K8" s="0" t="n">
        <f aca="false">K6*K7/100</f>
        <v>714.462566698963</v>
      </c>
      <c r="L8" s="0" t="n">
        <f aca="false">L6*L7/100</f>
        <v>728.751818032942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-5.75424</v>
      </c>
      <c r="D10" s="0" t="n">
        <f aca="false">-D6*D9/100</f>
        <v>-5.75424</v>
      </c>
      <c r="E10" s="0" t="n">
        <f aca="false">-E6*E9/100</f>
        <v>-5.8693248</v>
      </c>
      <c r="F10" s="0" t="n">
        <f aca="false">-F6*F9/100</f>
        <v>-6.045404544</v>
      </c>
      <c r="G10" s="0" t="n">
        <f aca="false">-G6*G9/100</f>
        <v>-6.1965396576</v>
      </c>
      <c r="H10" s="0" t="n">
        <f aca="false">-H6*H9/100</f>
        <v>-6.35145314904</v>
      </c>
      <c r="I10" s="0" t="n">
        <f aca="false">-I6*I9/100</f>
        <v>-6.4784822120208</v>
      </c>
      <c r="J10" s="0" t="n">
        <f aca="false">-J6*J9/100</f>
        <v>-6.60805185626122</v>
      </c>
      <c r="K10" s="0" t="n">
        <f aca="false">-K6*K9/100</f>
        <v>-6.74021289338644</v>
      </c>
      <c r="L10" s="0" t="n">
        <f aca="false">-L6*L9/100</f>
        <v>-6.87501715125417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325.11456</v>
      </c>
      <c r="D11" s="0" t="n">
        <f aca="false">D8+D10+D24</f>
        <v>325.11456</v>
      </c>
      <c r="E11" s="0" t="n">
        <f aca="false">E8+E10+E24</f>
        <v>355.0941504</v>
      </c>
      <c r="F11" s="0" t="n">
        <f aca="false">F8+F10+F24</f>
        <v>383.883188544</v>
      </c>
      <c r="G11" s="0" t="n">
        <f aca="false">G8+G10+G24</f>
        <v>405.8733475728</v>
      </c>
      <c r="H11" s="0" t="n">
        <f aca="false">H8+H10+H24</f>
        <v>422.37163441116</v>
      </c>
      <c r="I11" s="0" t="n">
        <f aca="false">I8+I10+I24</f>
        <v>430.819067099383</v>
      </c>
      <c r="J11" s="0" t="n">
        <f aca="false">J8+J10+J24</f>
        <v>439.435448441371</v>
      </c>
      <c r="K11" s="0" t="n">
        <f aca="false">K8+K10+K24</f>
        <v>448.224157410198</v>
      </c>
      <c r="L11" s="0" t="n">
        <f aca="false">L8+L10+L24</f>
        <v>457.188640558402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-143.856</v>
      </c>
      <c r="D12" s="4" t="n">
        <f aca="false">-D6*Assumptions!D17/100</f>
        <v>-143.856</v>
      </c>
      <c r="E12" s="4" t="n">
        <f aca="false">-E6*Assumptions!E17/100</f>
        <v>-146.73312</v>
      </c>
      <c r="F12" s="4" t="n">
        <f aca="false">-F6*Assumptions!F17/100</f>
        <v>-151.1351136</v>
      </c>
      <c r="G12" s="4" t="n">
        <f aca="false">-G6*Assumptions!G17/100</f>
        <v>-154.91349144</v>
      </c>
      <c r="H12" s="4" t="n">
        <f aca="false">-H6*Assumptions!H17/100</f>
        <v>-158.786328726</v>
      </c>
      <c r="I12" s="4" t="n">
        <f aca="false">-I6*Assumptions!I17/100</f>
        <v>-161.96205530052</v>
      </c>
      <c r="J12" s="4" t="n">
        <f aca="false">-J6*Assumptions!J17/100</f>
        <v>-165.20129640653</v>
      </c>
      <c r="K12" s="4" t="n">
        <f aca="false">-K6*Assumptions!K17/100</f>
        <v>-168.505322334661</v>
      </c>
      <c r="L12" s="4" t="n">
        <f aca="false">-L6*Assumptions!L17/100</f>
        <v>-171.875428781354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181.25856</v>
      </c>
      <c r="D13" s="0" t="n">
        <f aca="false">D11+D12</f>
        <v>181.25856</v>
      </c>
      <c r="E13" s="0" t="n">
        <f aca="false">E11+E12</f>
        <v>208.3610304</v>
      </c>
      <c r="F13" s="0" t="n">
        <f aca="false">F11+F12</f>
        <v>232.748074944</v>
      </c>
      <c r="G13" s="0" t="n">
        <f aca="false">G11+G12</f>
        <v>250.9598561328</v>
      </c>
      <c r="H13" s="0" t="n">
        <f aca="false">H11+H12</f>
        <v>263.58530568516</v>
      </c>
      <c r="I13" s="0" t="n">
        <f aca="false">I11+I12</f>
        <v>268.857011798863</v>
      </c>
      <c r="J13" s="0" t="n">
        <f aca="false">J11+J12</f>
        <v>274.23415203484</v>
      </c>
      <c r="K13" s="0" t="n">
        <f aca="false">K11+K12</f>
        <v>279.718835075537</v>
      </c>
      <c r="L13" s="0" t="n">
        <f aca="false">L11+L12</f>
        <v>285.313211777048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8</v>
      </c>
      <c r="D14" s="4" t="n">
        <f aca="false">Assumptions!D19</f>
        <v>16</v>
      </c>
      <c r="E14" s="4" t="n">
        <f aca="false">Assumptions!E19</f>
        <v>22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166.7578752</v>
      </c>
      <c r="D15" s="0" t="n">
        <f aca="false">D13-MAX(0,D13)*D14/100</f>
        <v>152.2571904</v>
      </c>
      <c r="E15" s="0" t="n">
        <f aca="false">E13-MAX(0,E13)*E14/100</f>
        <v>162.521603712</v>
      </c>
      <c r="F15" s="0" t="n">
        <f aca="false">F13-MAX(0,F13)*F14/100</f>
        <v>167.57861395968</v>
      </c>
      <c r="G15" s="0" t="n">
        <f aca="false">G13-MAX(0,G13)*G14/100</f>
        <v>180.691096415616</v>
      </c>
      <c r="H15" s="0" t="n">
        <f aca="false">H13-MAX(0,H13)*H14/100</f>
        <v>189.781420093315</v>
      </c>
      <c r="I15" s="0" t="n">
        <f aca="false">I13-MAX(0,I13)*I14/100</f>
        <v>193.577048495182</v>
      </c>
      <c r="J15" s="0" t="n">
        <f aca="false">J13-MAX(0,J13)*J14/100</f>
        <v>197.448589465085</v>
      </c>
      <c r="K15" s="0" t="n">
        <f aca="false">K13-MAX(0,K13)*K14/100</f>
        <v>201.397561254387</v>
      </c>
      <c r="L15" s="0" t="n">
        <f aca="false">L13-MAX(0,L13)*L14/100</f>
        <v>205.425512479475</v>
      </c>
    </row>
    <row r="16" customFormat="false" ht="15" hidden="false" customHeight="false" outlineLevel="0" collapsed="false">
      <c r="A16" s="0" t="s">
        <v>122</v>
      </c>
      <c r="C16" s="0" t="n">
        <f aca="false">-C12</f>
        <v>143.856</v>
      </c>
      <c r="D16" s="0" t="n">
        <f aca="false">-D12</f>
        <v>143.856</v>
      </c>
      <c r="E16" s="0" t="n">
        <f aca="false">-E12</f>
        <v>146.73312</v>
      </c>
      <c r="F16" s="0" t="n">
        <f aca="false">-F12</f>
        <v>151.1351136</v>
      </c>
      <c r="G16" s="0" t="n">
        <f aca="false">-G12</f>
        <v>154.91349144</v>
      </c>
      <c r="H16" s="0" t="n">
        <f aca="false">-H12</f>
        <v>158.786328726</v>
      </c>
      <c r="I16" s="0" t="n">
        <f aca="false">-I12</f>
        <v>161.96205530052</v>
      </c>
      <c r="J16" s="0" t="n">
        <f aca="false">-J12</f>
        <v>165.20129640653</v>
      </c>
      <c r="K16" s="0" t="n">
        <f aca="false">-K12</f>
        <v>168.505322334661</v>
      </c>
      <c r="L16" s="0" t="n">
        <f aca="false">-L12</f>
        <v>171.875428781354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-163.99584</v>
      </c>
      <c r="D17" s="4" t="n">
        <f aca="false">-D6*Assumptions!D18/100</f>
        <v>-161.11872</v>
      </c>
      <c r="E17" s="4" t="n">
        <f aca="false">-E6*Assumptions!E18/100</f>
        <v>-164.3410944</v>
      </c>
      <c r="F17" s="4" t="n">
        <f aca="false">-F6*Assumptions!F18/100</f>
        <v>-169.271327232</v>
      </c>
      <c r="G17" s="4" t="n">
        <f aca="false">-G6*Assumptions!G18/100</f>
        <v>-173.5031104128</v>
      </c>
      <c r="H17" s="4" t="n">
        <f aca="false">-H6*Assumptions!H18/100</f>
        <v>-177.84068817312</v>
      </c>
      <c r="I17" s="4" t="n">
        <f aca="false">-I6*Assumptions!I18/100</f>
        <v>-181.397501936582</v>
      </c>
      <c r="J17" s="4" t="n">
        <f aca="false">-J6*Assumptions!J18/100</f>
        <v>-185.025451975314</v>
      </c>
      <c r="K17" s="4" t="n">
        <f aca="false">-K6*Assumptions!K18/100</f>
        <v>-188.72596101482</v>
      </c>
      <c r="L17" s="4" t="n">
        <f aca="false">-L6*Assumptions!L18/100</f>
        <v>-192.500480235117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19.1808</v>
      </c>
      <c r="D18" s="4" t="n">
        <f aca="false">(D6-C6)*Assumptions!$B$23/100</f>
        <v>-0</v>
      </c>
      <c r="E18" s="4" t="n">
        <f aca="false">(E6-D6)*Assumptions!$B$23/100</f>
        <v>-9.20678400000004</v>
      </c>
      <c r="F18" s="4" t="n">
        <f aca="false">(F6-E6)*Assumptions!$B$23/100</f>
        <v>-14.08637952</v>
      </c>
      <c r="G18" s="4" t="n">
        <f aca="false">(G6-F6)*Assumptions!$B$23/100</f>
        <v>-12.090809088</v>
      </c>
      <c r="H18" s="4" t="n">
        <f aca="false">(H6-G6)*Assumptions!$B$23/100</f>
        <v>-12.3930793151999</v>
      </c>
      <c r="I18" s="4" t="n">
        <f aca="false">(I6-H6)*Assumptions!$B$23/100</f>
        <v>-10.162325038464</v>
      </c>
      <c r="J18" s="4" t="n">
        <f aca="false">(J6-I6)*Assumptions!$B$23/100</f>
        <v>-10.3655715392333</v>
      </c>
      <c r="K18" s="4" t="n">
        <f aca="false">(K6-J6)*Assumptions!$B$23/100</f>
        <v>-10.572882970018</v>
      </c>
      <c r="L18" s="4" t="n">
        <f aca="false">(L6-K6)*Assumptions!$B$23/100</f>
        <v>-10.7843406294183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165.7988352</v>
      </c>
      <c r="D19" s="0" t="n">
        <f aca="false">D15+D16+D17+D18</f>
        <v>134.9944704</v>
      </c>
      <c r="E19" s="0" t="n">
        <f aca="false">E15+E16+E17+E18</f>
        <v>135.706845312</v>
      </c>
      <c r="F19" s="0" t="n">
        <f aca="false">F15+F16+F17+F18</f>
        <v>135.35602080768</v>
      </c>
      <c r="G19" s="0" t="n">
        <f aca="false">G15+G16+G17+G18</f>
        <v>150.010668354816</v>
      </c>
      <c r="H19" s="0" t="n">
        <f aca="false">H15+H16+H17+H18</f>
        <v>158.333981330995</v>
      </c>
      <c r="I19" s="0" t="n">
        <f aca="false">I15+I16+I17+I18</f>
        <v>163.979276820655</v>
      </c>
      <c r="J19" s="0" t="n">
        <f aca="false">J15+J16+J17+J18</f>
        <v>167.258862357068</v>
      </c>
      <c r="K19" s="0" t="n">
        <f aca="false">K15+K16+K17+K18</f>
        <v>170.60403960421</v>
      </c>
      <c r="L19" s="0" t="n">
        <f aca="false">L15+L16+L17+L18</f>
        <v>174.016120396294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151.414461369863</v>
      </c>
      <c r="D21" s="0" t="n">
        <f aca="false">D19*D20</f>
        <v>112.586868830925</v>
      </c>
      <c r="E21" s="0" t="n">
        <f aca="false">E19*E20</f>
        <v>103.361641388423</v>
      </c>
      <c r="F21" s="0" t="n">
        <f aca="false">F19*F20</f>
        <v>94.1501685420587</v>
      </c>
      <c r="G21" s="0" t="n">
        <f aca="false">G19*G20</f>
        <v>95.2909266264014</v>
      </c>
      <c r="H21" s="0" t="n">
        <f aca="false">H19*H20</f>
        <v>91.85216921979</v>
      </c>
      <c r="I21" s="0" t="n">
        <f aca="false">I19*I20</f>
        <v>86.8740628171996</v>
      </c>
      <c r="J21" s="0" t="n">
        <f aca="false">J19*J20</f>
        <v>80.923784542049</v>
      </c>
      <c r="K21" s="0" t="n">
        <f aca="false">K19*K20</f>
        <v>75.3810595734155</v>
      </c>
      <c r="L21" s="0" t="n">
        <f aca="false">L19*L20</f>
        <v>70.2179733012638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3.85</v>
      </c>
      <c r="D23" s="4" t="n">
        <f aca="false">Assumptions!D16</f>
        <v>3.85</v>
      </c>
      <c r="E23" s="4" t="n">
        <f aca="false">Assumptions!E16</f>
        <v>3.85</v>
      </c>
      <c r="F23" s="4" t="n">
        <f aca="false">Assumptions!F16</f>
        <v>3.85</v>
      </c>
      <c r="G23" s="4" t="n">
        <f aca="false">Assumptions!G16</f>
        <v>3.85</v>
      </c>
      <c r="H23" s="4" t="n">
        <f aca="false">Assumptions!H16</f>
        <v>3.85</v>
      </c>
      <c r="I23" s="4" t="n">
        <f aca="false">Assumptions!I16</f>
        <v>3.85</v>
      </c>
      <c r="J23" s="4" t="n">
        <f aca="false">Assumptions!J16</f>
        <v>3.85</v>
      </c>
      <c r="K23" s="4" t="n">
        <f aca="false">Assumptions!K16</f>
        <v>3.85</v>
      </c>
      <c r="L23" s="4" t="n">
        <f aca="false">Assumptions!L16</f>
        <v>3.85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-221.53824</v>
      </c>
      <c r="D24" s="0" t="n">
        <f aca="false">-D6*D23/100</f>
        <v>-221.53824</v>
      </c>
      <c r="E24" s="0" t="n">
        <f aca="false">-E6*E23/100</f>
        <v>-225.9690048</v>
      </c>
      <c r="F24" s="0" t="n">
        <f aca="false">-F6*F23/100</f>
        <v>-232.748074944</v>
      </c>
      <c r="G24" s="0" t="n">
        <f aca="false">-G6*G23/100</f>
        <v>-238.5667768176</v>
      </c>
      <c r="H24" s="0" t="n">
        <f aca="false">-H6*H23/100</f>
        <v>-244.53094623804</v>
      </c>
      <c r="I24" s="0" t="n">
        <f aca="false">-I6*I23/100</f>
        <v>-249.421565162801</v>
      </c>
      <c r="J24" s="0" t="n">
        <f aca="false">-J6*J23/100</f>
        <v>-254.409996466057</v>
      </c>
      <c r="K24" s="0" t="n">
        <f aca="false">-K6*K23/100</f>
        <v>-259.498196395378</v>
      </c>
      <c r="L24" s="0" t="n">
        <f aca="false">-L6*L23/100</f>
        <v>-264.688160323286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962.053116211389</v>
      </c>
    </row>
    <row r="31" customFormat="false" ht="15" hidden="false" customHeight="false" outlineLevel="0" collapsed="false">
      <c r="A31" s="0" t="s">
        <v>131</v>
      </c>
      <c r="B31" s="0" t="n">
        <f aca="false">L19</f>
        <v>174.016120396294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2548.09319151716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2262.20956515182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2262.20956515182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912.833652916429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1874.88676912782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1257.88676912782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0.942596444697863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-0.676083695980116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38.7319943704756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40.6217304067609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1.00206009491212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1426.93218724961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0.374263305877447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1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5994</v>
      </c>
      <c r="C6" s="0" t="n">
        <f aca="false">B6*(1+C5/100)</f>
        <v>6053.94</v>
      </c>
      <c r="D6" s="0" t="n">
        <f aca="false">C6*(1+D5/100)</f>
        <v>6356.637</v>
      </c>
      <c r="E6" s="0" t="n">
        <f aca="false">D6*(1+E5/100)</f>
        <v>6674.46885</v>
      </c>
      <c r="F6" s="0" t="n">
        <f aca="false">E6*(1+F5/100)</f>
        <v>6941.447604</v>
      </c>
      <c r="G6" s="0" t="n">
        <f aca="false">F6*(1+G5/100)</f>
        <v>7184.39827014</v>
      </c>
      <c r="H6" s="0" t="n">
        <f aca="false">G6*(1+H5/100)</f>
        <v>7399.9302182442</v>
      </c>
      <c r="I6" s="0" t="n">
        <f aca="false">H6*(1+I5/100)</f>
        <v>7621.92812479153</v>
      </c>
      <c r="J6" s="0" t="n">
        <f aca="false">I6*(1+J5/100)</f>
        <v>7812.47632791131</v>
      </c>
      <c r="K6" s="0" t="n">
        <f aca="false">J6*(1+K5/100)</f>
        <v>8007.7882361091</v>
      </c>
      <c r="L6" s="0" t="n">
        <f aca="false">K6*(1+L5/100)</f>
        <v>8207.98294201182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10.3</v>
      </c>
      <c r="D7" s="4" t="n">
        <f aca="false">Assumptions!D28</f>
        <v>10.9</v>
      </c>
      <c r="E7" s="4" t="n">
        <f aca="false">Assumptions!E28</f>
        <v>11.6</v>
      </c>
      <c r="F7" s="4" t="n">
        <f aca="false">Assumptions!F28</f>
        <v>12.3</v>
      </c>
      <c r="G7" s="4" t="n">
        <f aca="false">Assumptions!G28</f>
        <v>12.8</v>
      </c>
      <c r="H7" s="4" t="n">
        <f aca="false">Assumptions!H28</f>
        <v>13.1</v>
      </c>
      <c r="I7" s="4" t="n">
        <f aca="false">Assumptions!I28</f>
        <v>13.3</v>
      </c>
      <c r="J7" s="4" t="n">
        <f aca="false">Assumptions!J28</f>
        <v>13.3</v>
      </c>
      <c r="K7" s="4" t="n">
        <f aca="false">Assumptions!K28</f>
        <v>13.3</v>
      </c>
      <c r="L7" s="4" t="n">
        <f aca="false">Assumptions!L28</f>
        <v>13.3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623.55582</v>
      </c>
      <c r="D8" s="0" t="n">
        <f aca="false">D6*D7/100</f>
        <v>692.873433</v>
      </c>
      <c r="E8" s="0" t="n">
        <f aca="false">E6*E7/100</f>
        <v>774.2383866</v>
      </c>
      <c r="F8" s="0" t="n">
        <f aca="false">F6*F7/100</f>
        <v>853.798055292</v>
      </c>
      <c r="G8" s="0" t="n">
        <f aca="false">G6*G7/100</f>
        <v>919.60297857792</v>
      </c>
      <c r="H8" s="0" t="n">
        <f aca="false">H6*H7/100</f>
        <v>969.39085858999</v>
      </c>
      <c r="I8" s="0" t="n">
        <f aca="false">I6*I7/100</f>
        <v>1013.71644059727</v>
      </c>
      <c r="J8" s="0" t="n">
        <f aca="false">J6*J7/100</f>
        <v>1039.0593516122</v>
      </c>
      <c r="K8" s="0" t="n">
        <f aca="false">K6*K7/100</f>
        <v>1065.03583540251</v>
      </c>
      <c r="L8" s="0" t="n">
        <f aca="false">L6*L7/100</f>
        <v>1091.66173128757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-6.05394</v>
      </c>
      <c r="D10" s="0" t="n">
        <f aca="false">-D6*D9/100</f>
        <v>-6.356637</v>
      </c>
      <c r="E10" s="0" t="n">
        <f aca="false">-E6*E9/100</f>
        <v>-6.67446885</v>
      </c>
      <c r="F10" s="0" t="n">
        <f aca="false">-F6*F9/100</f>
        <v>-6.941447604</v>
      </c>
      <c r="G10" s="0" t="n">
        <f aca="false">-G6*G9/100</f>
        <v>-7.18439827014</v>
      </c>
      <c r="H10" s="0" t="n">
        <f aca="false">-H6*H9/100</f>
        <v>-7.3999302182442</v>
      </c>
      <c r="I10" s="0" t="n">
        <f aca="false">-I6*I9/100</f>
        <v>-7.62192812479153</v>
      </c>
      <c r="J10" s="0" t="n">
        <f aca="false">-J6*J9/100</f>
        <v>-7.81247632791131</v>
      </c>
      <c r="K10" s="0" t="n">
        <f aca="false">-K6*K9/100</f>
        <v>-8.0077882361091</v>
      </c>
      <c r="L10" s="0" t="n">
        <f aca="false">-L6*L9/100</f>
        <v>-8.20798294201182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384.42519</v>
      </c>
      <c r="D11" s="0" t="n">
        <f aca="false">D8+D10+D24</f>
        <v>441.7862715</v>
      </c>
      <c r="E11" s="0" t="n">
        <f aca="false">E8+E10+E24</f>
        <v>510.596867025</v>
      </c>
      <c r="F11" s="0" t="n">
        <f aca="false">F8+F10+F24</f>
        <v>579.610874934</v>
      </c>
      <c r="G11" s="0" t="n">
        <f aca="false">G8+G10+G24</f>
        <v>635.81924690739</v>
      </c>
      <c r="H11" s="0" t="n">
        <f aca="false">H8+H10+H24</f>
        <v>677.093614969344</v>
      </c>
      <c r="I11" s="0" t="n">
        <f aca="false">I8+I10+I24</f>
        <v>712.650279668008</v>
      </c>
      <c r="J11" s="0" t="n">
        <f aca="false">J8+J10+J24</f>
        <v>730.466536659708</v>
      </c>
      <c r="K11" s="0" t="n">
        <f aca="false">K8+K10+K24</f>
        <v>748.7282000762</v>
      </c>
      <c r="L11" s="0" t="n">
        <f aca="false">L8+L10+L24</f>
        <v>767.446405078106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-151.3485</v>
      </c>
      <c r="D12" s="4" t="n">
        <f aca="false">-D6*Assumptions!D31/100</f>
        <v>-158.915925</v>
      </c>
      <c r="E12" s="4" t="n">
        <f aca="false">-E6*Assumptions!E31/100</f>
        <v>-166.86172125</v>
      </c>
      <c r="F12" s="4" t="n">
        <f aca="false">-F6*Assumptions!F31/100</f>
        <v>-173.5361901</v>
      </c>
      <c r="G12" s="4" t="n">
        <f aca="false">-G6*Assumptions!G31/100</f>
        <v>-179.6099567535</v>
      </c>
      <c r="H12" s="4" t="n">
        <f aca="false">-H6*Assumptions!H31/100</f>
        <v>-184.998255456105</v>
      </c>
      <c r="I12" s="4" t="n">
        <f aca="false">-I6*Assumptions!I31/100</f>
        <v>-190.548203119788</v>
      </c>
      <c r="J12" s="4" t="n">
        <f aca="false">-J6*Assumptions!J31/100</f>
        <v>-195.311908197783</v>
      </c>
      <c r="K12" s="4" t="n">
        <f aca="false">-K6*Assumptions!K31/100</f>
        <v>-200.194705902727</v>
      </c>
      <c r="L12" s="4" t="n">
        <f aca="false">-L6*Assumptions!L31/100</f>
        <v>-205.199573550296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233.07669</v>
      </c>
      <c r="D13" s="0" t="n">
        <f aca="false">D11+D12</f>
        <v>282.8703465</v>
      </c>
      <c r="E13" s="0" t="n">
        <f aca="false">E11+E12</f>
        <v>343.735145775</v>
      </c>
      <c r="F13" s="0" t="n">
        <f aca="false">F11+F12</f>
        <v>406.074684834</v>
      </c>
      <c r="G13" s="0" t="n">
        <f aca="false">G11+G12</f>
        <v>456.20929015389</v>
      </c>
      <c r="H13" s="0" t="n">
        <f aca="false">H11+H12</f>
        <v>492.095359513239</v>
      </c>
      <c r="I13" s="0" t="n">
        <f aca="false">I11+I12</f>
        <v>522.10207654822</v>
      </c>
      <c r="J13" s="0" t="n">
        <f aca="false">J11+J12</f>
        <v>535.154628461925</v>
      </c>
      <c r="K13" s="0" t="n">
        <f aca="false">K11+K12</f>
        <v>548.533494173473</v>
      </c>
      <c r="L13" s="0" t="n">
        <f aca="false">L11+L12</f>
        <v>562.24683152781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8</v>
      </c>
      <c r="D14" s="4" t="n">
        <f aca="false">Assumptions!D33</f>
        <v>16</v>
      </c>
      <c r="E14" s="4" t="n">
        <f aca="false">Assumptions!E33</f>
        <v>22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214.4305548</v>
      </c>
      <c r="D15" s="0" t="n">
        <f aca="false">D13-MAX(0,D13)*D14/100</f>
        <v>237.61109106</v>
      </c>
      <c r="E15" s="0" t="n">
        <f aca="false">E13-MAX(0,E13)*E14/100</f>
        <v>268.1134137045</v>
      </c>
      <c r="F15" s="0" t="n">
        <f aca="false">F13-MAX(0,F13)*F14/100</f>
        <v>292.37377308048</v>
      </c>
      <c r="G15" s="0" t="n">
        <f aca="false">G13-MAX(0,G13)*G14/100</f>
        <v>328.470688910801</v>
      </c>
      <c r="H15" s="0" t="n">
        <f aca="false">H13-MAX(0,H13)*H14/100</f>
        <v>354.308658849532</v>
      </c>
      <c r="I15" s="0" t="n">
        <f aca="false">I13-MAX(0,I13)*I14/100</f>
        <v>375.913495114718</v>
      </c>
      <c r="J15" s="0" t="n">
        <f aca="false">J13-MAX(0,J13)*J14/100</f>
        <v>385.311332492586</v>
      </c>
      <c r="K15" s="0" t="n">
        <f aca="false">K13-MAX(0,K13)*K14/100</f>
        <v>394.944115804901</v>
      </c>
      <c r="L15" s="0" t="n">
        <f aca="false">L13-MAX(0,L13)*L14/100</f>
        <v>404.817718700023</v>
      </c>
    </row>
    <row r="16" customFormat="false" ht="15" hidden="false" customHeight="false" outlineLevel="0" collapsed="false">
      <c r="A16" s="0" t="s">
        <v>122</v>
      </c>
      <c r="C16" s="0" t="n">
        <f aca="false">-C12</f>
        <v>151.3485</v>
      </c>
      <c r="D16" s="0" t="n">
        <f aca="false">-D12</f>
        <v>158.915925</v>
      </c>
      <c r="E16" s="0" t="n">
        <f aca="false">-E12</f>
        <v>166.86172125</v>
      </c>
      <c r="F16" s="0" t="n">
        <f aca="false">-F12</f>
        <v>173.5361901</v>
      </c>
      <c r="G16" s="0" t="n">
        <f aca="false">-G12</f>
        <v>179.6099567535</v>
      </c>
      <c r="H16" s="0" t="n">
        <f aca="false">-H12</f>
        <v>184.998255456105</v>
      </c>
      <c r="I16" s="0" t="n">
        <f aca="false">-I12</f>
        <v>190.548203119788</v>
      </c>
      <c r="J16" s="0" t="n">
        <f aca="false">-J12</f>
        <v>195.311908197783</v>
      </c>
      <c r="K16" s="0" t="n">
        <f aca="false">-K12</f>
        <v>200.194705902727</v>
      </c>
      <c r="L16" s="0" t="n">
        <f aca="false">-L12</f>
        <v>205.199573550296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-172.53729</v>
      </c>
      <c r="D17" s="4" t="n">
        <f aca="false">-D6*Assumptions!D32/100</f>
        <v>-190.69911</v>
      </c>
      <c r="E17" s="4" t="n">
        <f aca="false">-E6*Assumptions!E32/100</f>
        <v>-200.2340655</v>
      </c>
      <c r="F17" s="4" t="n">
        <f aca="false">-F6*Assumptions!F32/100</f>
        <v>-208.24342812</v>
      </c>
      <c r="G17" s="4" t="n">
        <f aca="false">-G6*Assumptions!G32/100</f>
        <v>-215.5319481042</v>
      </c>
      <c r="H17" s="4" t="n">
        <f aca="false">-H6*Assumptions!H32/100</f>
        <v>-221.997906547326</v>
      </c>
      <c r="I17" s="4" t="n">
        <f aca="false">-I6*Assumptions!I32/100</f>
        <v>-228.657843743746</v>
      </c>
      <c r="J17" s="4" t="n">
        <f aca="false">-J6*Assumptions!J32/100</f>
        <v>-234.374289837339</v>
      </c>
      <c r="K17" s="4" t="n">
        <f aca="false">-K6*Assumptions!K32/100</f>
        <v>-240.233647083273</v>
      </c>
      <c r="L17" s="4" t="n">
        <f aca="false">-L6*Assumptions!L32/100</f>
        <v>-246.239488260355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-4.79519999999997</v>
      </c>
      <c r="D18" s="4" t="n">
        <f aca="false">(D6-C6)*Assumptions!$B$37/100</f>
        <v>-24.21576</v>
      </c>
      <c r="E18" s="4" t="n">
        <f aca="false">(E6-D6)*Assumptions!$B$37/100</f>
        <v>-25.426548</v>
      </c>
      <c r="F18" s="4" t="n">
        <f aca="false">(F6-E6)*Assumptions!$B$37/100</f>
        <v>-21.3583003200001</v>
      </c>
      <c r="G18" s="4" t="n">
        <f aca="false">(G6-F6)*Assumptions!$B$37/100</f>
        <v>-19.4360532911999</v>
      </c>
      <c r="H18" s="4" t="n">
        <f aca="false">(H6-G6)*Assumptions!$B$37/100</f>
        <v>-17.2425558483361</v>
      </c>
      <c r="I18" s="4" t="n">
        <f aca="false">(I6-H6)*Assumptions!$B$37/100</f>
        <v>-17.7598325237861</v>
      </c>
      <c r="J18" s="4" t="n">
        <f aca="false">(J6-I6)*Assumptions!$B$37/100</f>
        <v>-15.243856249583</v>
      </c>
      <c r="K18" s="4" t="n">
        <f aca="false">(K6-J6)*Assumptions!$B$37/100</f>
        <v>-15.6249526558226</v>
      </c>
      <c r="L18" s="4" t="n">
        <f aca="false">(L6-K6)*Assumptions!$B$37/100</f>
        <v>-16.0155764722181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188.4465648</v>
      </c>
      <c r="D19" s="0" t="n">
        <f aca="false">D15+D16+D17+D18</f>
        <v>181.61214606</v>
      </c>
      <c r="E19" s="0" t="n">
        <f aca="false">E15+E16+E17+E18</f>
        <v>209.3145214545</v>
      </c>
      <c r="F19" s="0" t="n">
        <f aca="false">F15+F16+F17+F18</f>
        <v>236.30823474048</v>
      </c>
      <c r="G19" s="0" t="n">
        <f aca="false">G15+G16+G17+G18</f>
        <v>273.112644268901</v>
      </c>
      <c r="H19" s="0" t="n">
        <f aca="false">H15+H16+H17+H18</f>
        <v>300.066451909975</v>
      </c>
      <c r="I19" s="0" t="n">
        <f aca="false">I15+I16+I17+I18</f>
        <v>320.044021966974</v>
      </c>
      <c r="J19" s="0" t="n">
        <f aca="false">J15+J16+J17+J18</f>
        <v>331.005094603447</v>
      </c>
      <c r="K19" s="0" t="n">
        <f aca="false">K15+K16+K17+K18</f>
        <v>339.280221968533</v>
      </c>
      <c r="L19" s="0" t="n">
        <f aca="false">L15+L16+L17+L18</f>
        <v>347.762227517746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172.097319452055</v>
      </c>
      <c r="D21" s="0" t="n">
        <f aca="false">D19*D20</f>
        <v>151.466521598799</v>
      </c>
      <c r="E21" s="0" t="n">
        <f aca="false">E19*E20</f>
        <v>159.425211412355</v>
      </c>
      <c r="F21" s="0" t="n">
        <f aca="false">F19*F20</f>
        <v>164.369933423975</v>
      </c>
      <c r="G21" s="0" t="n">
        <f aca="false">G19*G20</f>
        <v>173.488707377889</v>
      </c>
      <c r="H21" s="0" t="n">
        <f aca="false">H19*H20</f>
        <v>174.073526644918</v>
      </c>
      <c r="I21" s="0" t="n">
        <f aca="false">I19*I20</f>
        <v>169.555110912198</v>
      </c>
      <c r="J21" s="0" t="n">
        <f aca="false">J19*J20</f>
        <v>160.148075746361</v>
      </c>
      <c r="K21" s="0" t="n">
        <f aca="false">K19*K20</f>
        <v>149.91029921463</v>
      </c>
      <c r="L21" s="0" t="n">
        <f aca="false">L19*L20</f>
        <v>140.326992415521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3.85</v>
      </c>
      <c r="D23" s="4" t="n">
        <f aca="false">Assumptions!D30</f>
        <v>3.85</v>
      </c>
      <c r="E23" s="4" t="n">
        <f aca="false">Assumptions!E30</f>
        <v>3.85</v>
      </c>
      <c r="F23" s="4" t="n">
        <f aca="false">Assumptions!F30</f>
        <v>3.85</v>
      </c>
      <c r="G23" s="4" t="n">
        <f aca="false">Assumptions!G30</f>
        <v>3.85</v>
      </c>
      <c r="H23" s="4" t="n">
        <f aca="false">Assumptions!H30</f>
        <v>3.85</v>
      </c>
      <c r="I23" s="4" t="n">
        <f aca="false">Assumptions!I30</f>
        <v>3.85</v>
      </c>
      <c r="J23" s="4" t="n">
        <f aca="false">Assumptions!J30</f>
        <v>3.85</v>
      </c>
      <c r="K23" s="4" t="n">
        <f aca="false">Assumptions!K30</f>
        <v>3.85</v>
      </c>
      <c r="L23" s="4" t="n">
        <f aca="false">Assumptions!L30</f>
        <v>3.85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-233.07669</v>
      </c>
      <c r="D24" s="0" t="n">
        <f aca="false">-D6*D23/100</f>
        <v>-244.7305245</v>
      </c>
      <c r="E24" s="0" t="n">
        <f aca="false">-E6*E23/100</f>
        <v>-256.967050725</v>
      </c>
      <c r="F24" s="0" t="n">
        <f aca="false">-F6*F23/100</f>
        <v>-267.245732754</v>
      </c>
      <c r="G24" s="0" t="n">
        <f aca="false">-G6*G23/100</f>
        <v>-276.59933340039</v>
      </c>
      <c r="H24" s="0" t="n">
        <f aca="false">-H6*H23/100</f>
        <v>-284.897313402402</v>
      </c>
      <c r="I24" s="0" t="n">
        <f aca="false">-I6*I23/100</f>
        <v>-293.444232804474</v>
      </c>
      <c r="J24" s="0" t="n">
        <f aca="false">-J6*J23/100</f>
        <v>-300.780338624586</v>
      </c>
      <c r="K24" s="0" t="n">
        <f aca="false">-K6*K23/100</f>
        <v>-308.2998470902</v>
      </c>
      <c r="L24" s="0" t="n">
        <f aca="false">-L6*L23/100</f>
        <v>-316.007343267455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1614.8616981987</v>
      </c>
    </row>
    <row r="31" customFormat="false" ht="15" hidden="false" customHeight="false" outlineLevel="0" collapsed="false">
      <c r="A31" s="0" t="s">
        <v>131</v>
      </c>
      <c r="B31" s="0" t="n">
        <f aca="false">L19</f>
        <v>347.762227517746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5092.23261722414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4520.9089577307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4520.9089577307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1824.25090140177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3439.11259960047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2822.11259960047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2.11474782007994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-0.273282536055004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44.2668162097989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48.4976928665366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2.18426083078608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2851.65026564552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1.0028198755313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3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5994</v>
      </c>
      <c r="C6" s="0" t="n">
        <f aca="false">B6*(1+C5/100)</f>
        <v>6173.82</v>
      </c>
      <c r="D6" s="0" t="n">
        <f aca="false">C6*(1+D5/100)</f>
        <v>6667.7256</v>
      </c>
      <c r="E6" s="0" t="n">
        <f aca="false">D6*(1+E5/100)</f>
        <v>7134.466392</v>
      </c>
      <c r="F6" s="0" t="n">
        <f aca="false">E6*(1+F5/100)</f>
        <v>7491.1897116</v>
      </c>
      <c r="G6" s="0" t="n">
        <f aca="false">F6*(1+G5/100)</f>
        <v>7790.837300064</v>
      </c>
      <c r="H6" s="0" t="n">
        <f aca="false">G6*(1+H5/100)</f>
        <v>8063.51660556624</v>
      </c>
      <c r="I6" s="0" t="n">
        <f aca="false">H6*(1+I5/100)</f>
        <v>8305.42210373323</v>
      </c>
      <c r="J6" s="0" t="n">
        <f aca="false">I6*(1+J5/100)</f>
        <v>8554.58476684523</v>
      </c>
      <c r="K6" s="0" t="n">
        <f aca="false">J6*(1+K5/100)</f>
        <v>8768.44938601636</v>
      </c>
      <c r="L6" s="0" t="n">
        <f aca="false">K6*(1+L5/100)</f>
        <v>8987.66062066676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10.9</v>
      </c>
      <c r="D7" s="4" t="n">
        <f aca="false">Assumptions!D42</f>
        <v>11.9</v>
      </c>
      <c r="E7" s="4" t="n">
        <f aca="false">Assumptions!E42</f>
        <v>12.9</v>
      </c>
      <c r="F7" s="4" t="n">
        <f aca="false">Assumptions!F42</f>
        <v>13.9</v>
      </c>
      <c r="G7" s="4" t="n">
        <f aca="false">Assumptions!G42</f>
        <v>14.6</v>
      </c>
      <c r="H7" s="4" t="n">
        <f aca="false">Assumptions!H42</f>
        <v>15</v>
      </c>
      <c r="I7" s="4" t="n">
        <f aca="false">Assumptions!I42</f>
        <v>15.3</v>
      </c>
      <c r="J7" s="4" t="n">
        <f aca="false">Assumptions!J42</f>
        <v>15.3</v>
      </c>
      <c r="K7" s="4" t="n">
        <f aca="false">Assumptions!K42</f>
        <v>15.3</v>
      </c>
      <c r="L7" s="4" t="n">
        <f aca="false">Assumptions!L42</f>
        <v>15.3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672.94638</v>
      </c>
      <c r="D8" s="0" t="n">
        <f aca="false">D6*D7/100</f>
        <v>793.4593464</v>
      </c>
      <c r="E8" s="0" t="n">
        <f aca="false">E6*E7/100</f>
        <v>920.346164568</v>
      </c>
      <c r="F8" s="0" t="n">
        <f aca="false">F6*F7/100</f>
        <v>1041.2753699124</v>
      </c>
      <c r="G8" s="0" t="n">
        <f aca="false">G6*G7/100</f>
        <v>1137.46224580934</v>
      </c>
      <c r="H8" s="0" t="n">
        <f aca="false">H6*H7/100</f>
        <v>1209.52749083494</v>
      </c>
      <c r="I8" s="0" t="n">
        <f aca="false">I6*I7/100</f>
        <v>1270.72958187118</v>
      </c>
      <c r="J8" s="0" t="n">
        <f aca="false">J6*J7/100</f>
        <v>1308.85146932732</v>
      </c>
      <c r="K8" s="0" t="n">
        <f aca="false">K6*K7/100</f>
        <v>1341.5727560605</v>
      </c>
      <c r="L8" s="0" t="n">
        <f aca="false">L6*L7/100</f>
        <v>1375.11207496202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-6.17382</v>
      </c>
      <c r="D10" s="0" t="n">
        <f aca="false">-D6*D9/100</f>
        <v>-6.6677256</v>
      </c>
      <c r="E10" s="0" t="n">
        <f aca="false">-E6*E9/100</f>
        <v>-7.134466392</v>
      </c>
      <c r="F10" s="0" t="n">
        <f aca="false">-F6*F9/100</f>
        <v>-7.4911897116</v>
      </c>
      <c r="G10" s="0" t="n">
        <f aca="false">-G6*G9/100</f>
        <v>-7.790837300064</v>
      </c>
      <c r="H10" s="0" t="n">
        <f aca="false">-H6*H9/100</f>
        <v>-8.06351660556624</v>
      </c>
      <c r="I10" s="0" t="n">
        <f aca="false">-I6*I9/100</f>
        <v>-8.30542210373323</v>
      </c>
      <c r="J10" s="0" t="n">
        <f aca="false">-J6*J9/100</f>
        <v>-8.55458476684523</v>
      </c>
      <c r="K10" s="0" t="n">
        <f aca="false">-K6*K9/100</f>
        <v>-8.76844938601636</v>
      </c>
      <c r="L10" s="0" t="n">
        <f aca="false">-L6*L9/100</f>
        <v>-8.98766062066676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429.08049</v>
      </c>
      <c r="D11" s="0" t="n">
        <f aca="false">D8+D10+D24</f>
        <v>530.0841852</v>
      </c>
      <c r="E11" s="0" t="n">
        <f aca="false">E8+E10+E24</f>
        <v>638.534742084</v>
      </c>
      <c r="F11" s="0" t="n">
        <f aca="false">F8+F10+F24</f>
        <v>745.3733763042</v>
      </c>
      <c r="G11" s="0" t="n">
        <f aca="false">G8+G10+G24</f>
        <v>829.724172456816</v>
      </c>
      <c r="H11" s="0" t="n">
        <f aca="false">H8+H10+H24</f>
        <v>891.01858491507</v>
      </c>
      <c r="I11" s="0" t="n">
        <f aca="false">I8+I10+I24</f>
        <v>942.665408773721</v>
      </c>
      <c r="J11" s="0" t="n">
        <f aca="false">J8+J10+J24</f>
        <v>970.945371036933</v>
      </c>
      <c r="K11" s="0" t="n">
        <f aca="false">K8+K10+K24</f>
        <v>995.219005312857</v>
      </c>
      <c r="L11" s="0" t="n">
        <f aca="false">L8+L10+L24</f>
        <v>1020.09948044568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-154.3455</v>
      </c>
      <c r="D12" s="4" t="n">
        <f aca="false">-D6*Assumptions!D45/100</f>
        <v>-166.69314</v>
      </c>
      <c r="E12" s="4" t="n">
        <f aca="false">-E6*Assumptions!E45/100</f>
        <v>-178.3616598</v>
      </c>
      <c r="F12" s="4" t="n">
        <f aca="false">-F6*Assumptions!F45/100</f>
        <v>-187.27974279</v>
      </c>
      <c r="G12" s="4" t="n">
        <f aca="false">-G6*Assumptions!G45/100</f>
        <v>-194.7709325016</v>
      </c>
      <c r="H12" s="4" t="n">
        <f aca="false">-H6*Assumptions!H45/100</f>
        <v>-201.587915139156</v>
      </c>
      <c r="I12" s="4" t="n">
        <f aca="false">-I6*Assumptions!I45/100</f>
        <v>-207.635552593331</v>
      </c>
      <c r="J12" s="4" t="n">
        <f aca="false">-J6*Assumptions!J45/100</f>
        <v>-213.864619171131</v>
      </c>
      <c r="K12" s="4" t="n">
        <f aca="false">-K6*Assumptions!K45/100</f>
        <v>-219.211234650409</v>
      </c>
      <c r="L12" s="4" t="n">
        <f aca="false">-L6*Assumptions!L45/100</f>
        <v>-224.691515516669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274.73499</v>
      </c>
      <c r="D13" s="0" t="n">
        <f aca="false">D11+D12</f>
        <v>363.3910452</v>
      </c>
      <c r="E13" s="0" t="n">
        <f aca="false">E11+E12</f>
        <v>460.173082284</v>
      </c>
      <c r="F13" s="0" t="n">
        <f aca="false">F11+F12</f>
        <v>558.0936335142</v>
      </c>
      <c r="G13" s="0" t="n">
        <f aca="false">G11+G12</f>
        <v>634.953239955216</v>
      </c>
      <c r="H13" s="0" t="n">
        <f aca="false">H11+H12</f>
        <v>689.430669775914</v>
      </c>
      <c r="I13" s="0" t="n">
        <f aca="false">I11+I12</f>
        <v>735.029856180391</v>
      </c>
      <c r="J13" s="0" t="n">
        <f aca="false">J11+J12</f>
        <v>757.080751865803</v>
      </c>
      <c r="K13" s="0" t="n">
        <f aca="false">K11+K12</f>
        <v>776.007770662448</v>
      </c>
      <c r="L13" s="0" t="n">
        <f aca="false">L11+L12</f>
        <v>795.407964929009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8</v>
      </c>
      <c r="D14" s="4" t="n">
        <f aca="false">Assumptions!D47</f>
        <v>16</v>
      </c>
      <c r="E14" s="4" t="n">
        <f aca="false">Assumptions!E47</f>
        <v>22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252.7561908</v>
      </c>
      <c r="D15" s="0" t="n">
        <f aca="false">D13-MAX(0,D13)*D14/100</f>
        <v>305.248477968</v>
      </c>
      <c r="E15" s="0" t="n">
        <f aca="false">E13-MAX(0,E13)*E14/100</f>
        <v>358.93500418152</v>
      </c>
      <c r="F15" s="0" t="n">
        <f aca="false">F13-MAX(0,F13)*F14/100</f>
        <v>401.827416130224</v>
      </c>
      <c r="G15" s="0" t="n">
        <f aca="false">G13-MAX(0,G13)*G14/100</f>
        <v>457.166332767756</v>
      </c>
      <c r="H15" s="0" t="n">
        <f aca="false">H13-MAX(0,H13)*H14/100</f>
        <v>496.390082238658</v>
      </c>
      <c r="I15" s="0" t="n">
        <f aca="false">I13-MAX(0,I13)*I14/100</f>
        <v>529.221496449881</v>
      </c>
      <c r="J15" s="0" t="n">
        <f aca="false">J13-MAX(0,J13)*J14/100</f>
        <v>545.098141343378</v>
      </c>
      <c r="K15" s="0" t="n">
        <f aca="false">K13-MAX(0,K13)*K14/100</f>
        <v>558.725594876963</v>
      </c>
      <c r="L15" s="0" t="n">
        <f aca="false">L13-MAX(0,L13)*L14/100</f>
        <v>572.693734748886</v>
      </c>
    </row>
    <row r="16" customFormat="false" ht="15" hidden="false" customHeight="false" outlineLevel="0" collapsed="false">
      <c r="A16" s="0" t="s">
        <v>122</v>
      </c>
      <c r="C16" s="0" t="n">
        <f aca="false">-C12</f>
        <v>154.3455</v>
      </c>
      <c r="D16" s="0" t="n">
        <f aca="false">-D12</f>
        <v>166.69314</v>
      </c>
      <c r="E16" s="0" t="n">
        <f aca="false">-E12</f>
        <v>178.3616598</v>
      </c>
      <c r="F16" s="0" t="n">
        <f aca="false">-F12</f>
        <v>187.27974279</v>
      </c>
      <c r="G16" s="0" t="n">
        <f aca="false">-G12</f>
        <v>194.7709325016</v>
      </c>
      <c r="H16" s="0" t="n">
        <f aca="false">-H12</f>
        <v>201.587915139156</v>
      </c>
      <c r="I16" s="0" t="n">
        <f aca="false">-I12</f>
        <v>207.635552593331</v>
      </c>
      <c r="J16" s="0" t="n">
        <f aca="false">-J12</f>
        <v>213.864619171131</v>
      </c>
      <c r="K16" s="0" t="n">
        <f aca="false">-K12</f>
        <v>219.211234650409</v>
      </c>
      <c r="L16" s="0" t="n">
        <f aca="false">-L12</f>
        <v>224.691515516669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-175.95387</v>
      </c>
      <c r="D17" s="4" t="n">
        <f aca="false">-D6*Assumptions!D46/100</f>
        <v>-206.6994936</v>
      </c>
      <c r="E17" s="4" t="n">
        <f aca="false">-E6*Assumptions!E46/100</f>
        <v>-228.302924544</v>
      </c>
      <c r="F17" s="4" t="n">
        <f aca="false">-F6*Assumptions!F46/100</f>
        <v>-239.7180707712</v>
      </c>
      <c r="G17" s="4" t="n">
        <f aca="false">-G6*Assumptions!G46/100</f>
        <v>-249.306793602048</v>
      </c>
      <c r="H17" s="4" t="n">
        <f aca="false">-H6*Assumptions!H46/100</f>
        <v>-258.03253137812</v>
      </c>
      <c r="I17" s="4" t="n">
        <f aca="false">-I6*Assumptions!I46/100</f>
        <v>-265.773507319463</v>
      </c>
      <c r="J17" s="4" t="n">
        <f aca="false">-J6*Assumptions!J46/100</f>
        <v>-273.746712539047</v>
      </c>
      <c r="K17" s="4" t="n">
        <f aca="false">-K6*Assumptions!K46/100</f>
        <v>-280.590380352523</v>
      </c>
      <c r="L17" s="4" t="n">
        <f aca="false">-L6*Assumptions!L46/100</f>
        <v>-287.605139861336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-14.3856</v>
      </c>
      <c r="D18" s="4" t="n">
        <f aca="false">(D6-C6)*Assumptions!$B$51/100</f>
        <v>-39.512448</v>
      </c>
      <c r="E18" s="4" t="n">
        <f aca="false">(E6-D6)*Assumptions!$B$51/100</f>
        <v>-37.33926336</v>
      </c>
      <c r="F18" s="4" t="n">
        <f aca="false">(F6-E6)*Assumptions!$B$51/100</f>
        <v>-28.5378655680001</v>
      </c>
      <c r="G18" s="4" t="n">
        <f aca="false">(G6-F6)*Assumptions!$B$51/100</f>
        <v>-23.97180707712</v>
      </c>
      <c r="H18" s="4" t="n">
        <f aca="false">(H6-G6)*Assumptions!$B$51/100</f>
        <v>-21.8143444401791</v>
      </c>
      <c r="I18" s="4" t="n">
        <f aca="false">(I6-H6)*Assumptions!$B$51/100</f>
        <v>-19.352439853359</v>
      </c>
      <c r="J18" s="4" t="n">
        <f aca="false">(J6-I6)*Assumptions!$B$51/100</f>
        <v>-19.9330130489598</v>
      </c>
      <c r="K18" s="4" t="n">
        <f aca="false">(K6-J6)*Assumptions!$B$51/100</f>
        <v>-17.1091695336904</v>
      </c>
      <c r="L18" s="4" t="n">
        <f aca="false">(L6-K6)*Assumptions!$B$51/100</f>
        <v>-17.5368987720326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216.7622208</v>
      </c>
      <c r="D19" s="0" t="n">
        <f aca="false">D15+D16+D17+D18</f>
        <v>225.729676368</v>
      </c>
      <c r="E19" s="0" t="n">
        <f aca="false">E15+E16+E17+E18</f>
        <v>271.65447607752</v>
      </c>
      <c r="F19" s="0" t="n">
        <f aca="false">F15+F16+F17+F18</f>
        <v>320.851222581024</v>
      </c>
      <c r="G19" s="0" t="n">
        <f aca="false">G15+G16+G17+G18</f>
        <v>378.658664590188</v>
      </c>
      <c r="H19" s="0" t="n">
        <f aca="false">H15+H16+H17+H18</f>
        <v>418.131121559515</v>
      </c>
      <c r="I19" s="0" t="n">
        <f aca="false">I15+I16+I17+I18</f>
        <v>451.73110187039</v>
      </c>
      <c r="J19" s="0" t="n">
        <f aca="false">J15+J16+J17+J18</f>
        <v>465.283034926501</v>
      </c>
      <c r="K19" s="0" t="n">
        <f aca="false">K15+K16+K17+K18</f>
        <v>480.237279641158</v>
      </c>
      <c r="L19" s="0" t="n">
        <f aca="false">L15+L16+L17+L18</f>
        <v>492.243211632186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197.956366027397</v>
      </c>
      <c r="D21" s="0" t="n">
        <f aca="false">D19*D20</f>
        <v>188.2610257234</v>
      </c>
      <c r="E21" s="0" t="n">
        <f aca="false">E19*E20</f>
        <v>206.906677944871</v>
      </c>
      <c r="F21" s="0" t="n">
        <f aca="false">F19*F20</f>
        <v>223.175862460157</v>
      </c>
      <c r="G21" s="0" t="n">
        <f aca="false">G19*G20</f>
        <v>240.534459446372</v>
      </c>
      <c r="H21" s="0" t="n">
        <f aca="false">H19*H20</f>
        <v>242.564800118664</v>
      </c>
      <c r="I21" s="0" t="n">
        <f aca="false">I19*I20</f>
        <v>239.321192782745</v>
      </c>
      <c r="J21" s="0" t="n">
        <f aca="false">J19*J20</f>
        <v>225.114911932627</v>
      </c>
      <c r="K21" s="0" t="n">
        <f aca="false">K19*K20</f>
        <v>212.19189809332</v>
      </c>
      <c r="L21" s="0" t="n">
        <f aca="false">L19*L20</f>
        <v>198.627119219774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3.85</v>
      </c>
      <c r="D23" s="4" t="n">
        <f aca="false">Assumptions!D44</f>
        <v>3.85</v>
      </c>
      <c r="E23" s="4" t="n">
        <f aca="false">Assumptions!E44</f>
        <v>3.85</v>
      </c>
      <c r="F23" s="4" t="n">
        <f aca="false">Assumptions!F44</f>
        <v>3.85</v>
      </c>
      <c r="G23" s="4" t="n">
        <f aca="false">Assumptions!G44</f>
        <v>3.85</v>
      </c>
      <c r="H23" s="4" t="n">
        <f aca="false">Assumptions!H44</f>
        <v>3.85</v>
      </c>
      <c r="I23" s="4" t="n">
        <f aca="false">Assumptions!I44</f>
        <v>3.85</v>
      </c>
      <c r="J23" s="4" t="n">
        <f aca="false">Assumptions!J44</f>
        <v>3.85</v>
      </c>
      <c r="K23" s="4" t="n">
        <f aca="false">Assumptions!K44</f>
        <v>3.85</v>
      </c>
      <c r="L23" s="4" t="n">
        <f aca="false">Assumptions!L44</f>
        <v>3.85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-237.69207</v>
      </c>
      <c r="D24" s="0" t="n">
        <f aca="false">-D6*D23/100</f>
        <v>-256.7074356</v>
      </c>
      <c r="E24" s="0" t="n">
        <f aca="false">-E6*E23/100</f>
        <v>-274.676956092</v>
      </c>
      <c r="F24" s="0" t="n">
        <f aca="false">-F6*F23/100</f>
        <v>-288.4108038966</v>
      </c>
      <c r="G24" s="0" t="n">
        <f aca="false">-G6*G23/100</f>
        <v>-299.947236052464</v>
      </c>
      <c r="H24" s="0" t="n">
        <f aca="false">-H6*H23/100</f>
        <v>-310.4453893143</v>
      </c>
      <c r="I24" s="0" t="n">
        <f aca="false">-I6*I23/100</f>
        <v>-319.758750993729</v>
      </c>
      <c r="J24" s="0" t="n">
        <f aca="false">-J6*J23/100</f>
        <v>-329.351513523541</v>
      </c>
      <c r="K24" s="0" t="n">
        <f aca="false">-K6*K23/100</f>
        <v>-337.58530136163</v>
      </c>
      <c r="L24" s="0" t="n">
        <f aca="false">-L6*L23/100</f>
        <v>-346.02493389567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2174.65431374933</v>
      </c>
    </row>
    <row r="31" customFormat="false" ht="15" hidden="false" customHeight="false" outlineLevel="0" collapsed="false">
      <c r="A31" s="0" t="s">
        <v>131</v>
      </c>
      <c r="B31" s="0" t="n">
        <f aca="false">L19</f>
        <v>492.243211632186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7207.8470274713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6399.16175121842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6399.16175121842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2582.15254985706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4756.80686360639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4139.80686360639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3.1021609632454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0.0660346952733328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47.5105399926575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53.1044968598492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3.1775567606637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4036.39433538393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1.53700173076762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0.942596444697863</v>
      </c>
      <c r="C4" s="0" t="n">
        <f aca="false">B4/Assumptions!$B$2-1</f>
        <v>-0.676083695980116</v>
      </c>
      <c r="D4" s="4" t="n">
        <f aca="false">Assumptions!$B$24</f>
        <v>0.3</v>
      </c>
      <c r="E4" s="4" t="n">
        <f aca="false">DCF_Bear!$B$43</f>
        <v>1.00206009491212</v>
      </c>
      <c r="F4" s="4" t="n">
        <f aca="false">DCF_Bear!$B$47</f>
        <v>0.374263305877447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2.11474782007994</v>
      </c>
      <c r="C5" s="0" t="n">
        <f aca="false">B5/Assumptions!$B$2-1</f>
        <v>-0.273282536055004</v>
      </c>
      <c r="D5" s="4" t="n">
        <f aca="false">Assumptions!$B$38</f>
        <v>0.5</v>
      </c>
      <c r="E5" s="4" t="n">
        <f aca="false">DCF_Base!$B$43</f>
        <v>2.18426083078608</v>
      </c>
      <c r="F5" s="4" t="n">
        <f aca="false">DCF_Base!$B$47</f>
        <v>1.0028198755313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3.1021609632454</v>
      </c>
      <c r="C6" s="0" t="n">
        <f aca="false">B6/Assumptions!$B$2-1</f>
        <v>0.0660346952733328</v>
      </c>
      <c r="D6" s="4" t="n">
        <f aca="false">Assumptions!$B$52</f>
        <v>0.2</v>
      </c>
      <c r="E6" s="4" t="n">
        <f aca="false">DCF_Bull!$B$43</f>
        <v>3.1775567606637</v>
      </c>
      <c r="F6" s="4" t="n">
        <f aca="false">DCF_Bull!$B$47</f>
        <v>1.53700173076762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1.96058503609841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2.02825979599941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-0.484250846773237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1402.90850723427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0.921089275682406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2.20922756022357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2.11474782007994</v>
      </c>
      <c r="C16" s="3" t="n">
        <v>9.5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2.0244812478855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1.76936844376172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1.51598612650412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1.0028198755313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2.52026986553633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2.52026986553633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2.52026986553633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2.52026986553633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2.52026986553633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2.30814608108637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2.30814608108637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2.30814608108637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2.30814608108637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2.30814608108637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2.08188722021506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2.11474782007994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2.11474782007994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2.11474782007994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2.11474782007994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1.77285384039355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1.84219877200987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1.92021182007823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1.93821483117093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1.93821483117093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1.52681817388023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1.57831011332176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1.6355233793679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1.69946761789006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1.77140488622748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2026-09-22T10:52:33Z</dcterms:created>
  <dc:creator>openpyxl</dc:creator>
  <dc:description/>
  <dc:language>en-NZ</dc:language>
  <cp:lastModifiedBy/>
  <dcterms:modified xsi:type="dcterms:W3CDTF">2026-09-22T10:52:33Z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