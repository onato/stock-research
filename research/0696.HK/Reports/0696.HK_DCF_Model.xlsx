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<sst xmlns="http://schemas.openxmlformats.org/spreadsheetml/2006/main" count="353" uniqueCount="163">
  <si>
    <t xml:space="preserve">Ticker</t>
  </si>
  <si>
    <t xml:space="preserve">0696.HK</t>
  </si>
  <si>
    <t xml:space="preserve">Company</t>
  </si>
  <si>
    <t xml:space="preserve">TravelSky Technology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</si>
  <si>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</si>
  <si>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</si>
  <si>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</si>
  <si>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</si>
  <si>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2026-10-09T08:08:06Z regular close (HKEX Friday close; today is a Sunday, so this is the latest regular print, not after-hours)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</si>
  <si>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</si>
  <si>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</si>
  <si>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</si>
  <si>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</si>
  <si>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</si>
  <si>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</si>
  <si>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</si>
  <si>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</si>
  <si>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</si>
  <si>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</si>
  <si>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</si>
  <si>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</si>
  <si>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</si>
  <si>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2026-10-11T06:11:41Z</t>
  </si>
  <si>
    <t xml:space="preserve">Drivers file</t>
  </si>
  <si>
    <t xml:space="preserve">0696.HK_Drivers.json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</si>
  <si>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</si>
  <si>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</si>
  <si>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</si>
  <si>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in CNY converted to the HKD quote. The operating business is valued on stripped operating cash flows (no interest, investment or fair-value income; leases expensed; working capital charged on growth) at a 9% CNY discount rate with a 15x terminal cap, and the RMB8.9bn of cash plus RMB9.2bn of deposits and financial assets are added at face per the matching-asset rule, less NCI and the dividend already declared. The result is far above the market price because the market applies a deep SOE/China governance discount to the cash pile; that discount is expressed here through a 30% bear weight and the discount rate, not by haircutting the assets, and the reader should treat the gap between IV and price as the price of trusting state-controlled capital allocation.
key_risks_to_valuation: Realisation risk on ~RMB17.6bn of net cash and financial assets held inside a state-controlled company with a ~35% payout and no buybacks; if that capital is never returned, roughly RMB6/share (HK$7/share) of the valuation is notional; State-directed pricing: distribution and settlement fees are negotiated with loss-making state airline shareholders and can be cut by CAAC fiat; Tax regime: HNTE 15% certification (2023-2025) and the 10% key-software refund are renewed periodically, not permanent; statutory rate is 25%; Air-travel shock: FY2020 showed revenue -32% and net profit -86% in a single year; not modelled explicitly in any scenario; Clearing float: ~RMB80-145bn/yr of pass-through BSP settlement flows make reported OCF noisy; a regulatory change to float handling could alter working capital materially; FX: RMB flows against an HKD quote; a 5% CNY depreciation moves every HKD value 5%; Governance continuity: board term expired Feb-2023 with re-election still in progress; new Chairman Dec-2025 and GM retirement Apr-2026</t>
  </si>
  <si>
    <t xml:space="preserve">Data sources</t>
  </si>
  <si>
    <t xml:space="preserve">price: Yahoo Finance chart API at inputs.price_as_of (HKEX regular close); 52-week range 7.92-11.55 HKD
fx: Yahoo Finance CNYHKD=X at 2026-10-10T03:38Z, parity-checked against USDHKD/USDCNY
financials: 0696.HK_Metrics.csv (core_metrics, CASBE statements in RMB); 2026 Interim Report (30 June 2026 balance sheet, notes 5.2, 5.9, 5.10, 5.12, 5.13, 5.22, cash flow statement); FY2025 Annual Report (income statement, cash flow statement, note 5.57 tax reconciliation, note 13 share-based payment, cost-by-nature D&amp;A line 10943)
qualitative: 0696.HK_Analysis.json (2026-10-11)</t>
  </si>
  <si>
    <t xml:space="preserve">Scenario narrative: bear</t>
  </si>
  <si>
    <t xml:space="preserve">The distribution core is ex-growth and its take-rate erodes under direct-sales mandates and OTA direct connects; state-directed pricing and investment priorities compress margins to 33%; tax preferences lapse; receivables from state airlines keep absorbing cash. The business remains profitable and cash-generative -- the bear case is a slowly shrinking regulated utility, not a solvency event.</t>
  </si>
  <si>
    <t xml:space="preserve">Scenario narrative: base</t>
  </si>
  <si>
    <t xml:space="preserve">TravelSky remains the unchallenged system of record for Chinese civil aviation and grows roughly with passenger volumes less a modest take-rate drift: revenue +4.5% in FY2026 fading to 2.5%, owner EBITDA margin steady at 38-38.5%, capex normalising from the Shunyi Phase II peak to ~8% of revenue, and cash tax drifting from ~12% to 15%. The axes that matter are CAAC passenger-trip growth (target +5.3% for 2026), whether airport digitalization stays lumpy-but-positive, and whether the preferential tax regime is renewed; none of these moves value as much as the market's willingness to credit an SOE's RMB17.6bn of cash and financial assets, which the model takes at face.</t>
  </si>
  <si>
    <t xml:space="preserve">Scenario narrative: bull</t>
  </si>
  <si>
    <t xml:space="preserve">Volume recovery completes and new verticals (ACCA settlement, intelligent products, low-altitude economy, AI products) lift growth to 5-6% for several years; operating leverage takes margins to 40%; both tax preferences are renewed; the stock re-rates toward its pre-COVID 15-20x earnings range as dividends rise with the ~35-40% payout.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</si>
  <si>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</si>
  <si>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</si>
  <si>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</si>
  <si>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</si>
  <si>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</si>
  <si>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</si>
  <si>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</si>
  <si>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</si>
  <si>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</si>
  <si>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</si>
  <si>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</si>
  <si>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</si>
  <si>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</si>
  <si>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</si>
  <si>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</si>
  <si>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</si>
  <si>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</si>
  <si>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</si>
  <si>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</si>
  <si>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</si>
  <si>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</si>
  <si>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</si>
  <si>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</si>
  <si>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</si>
  <si>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</si>
  <si>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</si>
  <si>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</si>
  <si>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</si>
  <si>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</si>
  <si>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</si>
  <si>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</si>
  <si>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</si>
  <si>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</si>
  <si>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</si>
  <si>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</si>
  <si>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</si>
  <si>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</si>
  <si>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</si>
  <si>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</si>
  <si>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</si>
  <si>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</si>
  <si>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</si>
  <si>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</si>
  <si>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</si>
  <si>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</si>
  <si>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</si>
  <si>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</si>
  <si>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</si>
  <si>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</si>
  <si>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</si>
  <si>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</si>
  <si>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</si>
  <si>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</si>
  <si>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</si>
  <si>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</si>
  <si>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</si>
  <si>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</si>
  <si>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</si>
  <si>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</si>
  <si>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</si>
  <si>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</si>
  <si>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</si>
  <si>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</si>
  <si>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</si>
  <si>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</si>
  <si>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</si>
  <si>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</si>
  <si>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</si>
  <si>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</si>
  <si>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</si>
  <si>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</si>
  <si>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</si>
  <si>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0696.HK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</si>
  <si>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</si>
  <si>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</si>
  <si>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</si>
  <si>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</si>
  <si>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</si>
  <si>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</si>
  <si>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</si>
  <si>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</si>
  <si>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</si>
  <si>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</si>
  <si>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</si>
  <si>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</si>
  <si>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</si>
  <si>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</si>
  <si>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</si>
  <si>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</si>
  <si>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</si>
  <si>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</si>
  <si>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</si>
  <si>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</si>
  <si>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</si>
  <si>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</si>
  <si>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</si>
  <si>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</si>
  <si>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</si>
  <si>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</si>
  <si>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</si>
  <si>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</si>
  <si>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</si>
  <si>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</si>
  <si>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0696.HK owner-FCF component DCF: base case (millions, CNY)</t>
  </si>
  <si>
    <t xml:space="preserve">0696.HK owner-FCF component DCF: bull case (millions, CNY)</t>
  </si>
  <si>
    <t xml:space="preserve">0696.HK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</si>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</sst>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8.98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7472.114</v>
      </c>
      <c r="F2" s="0" t="n">
        <v>2319.393</v>
      </c>
      <c r="G2" s="0" t="n">
        <v>31</v>
      </c>
      <c r="I2" s="0" t="n">
        <v>2325.129</v>
      </c>
      <c r="J2" s="0" t="n">
        <v>31.1</v>
      </c>
      <c r="K2" s="0" t="n">
        <v>0.79</v>
      </c>
      <c r="L2" s="0" t="n">
        <v>2140.702</v>
      </c>
      <c r="M2" s="0" t="n">
        <v>1256.1</v>
      </c>
      <c r="N2" s="0" t="n">
        <v>884.602</v>
      </c>
      <c r="O2" s="0" t="n">
        <v>17010.584</v>
      </c>
      <c r="P2" s="0" t="n">
        <v>22113.322</v>
      </c>
      <c r="Q2" s="0" t="n">
        <v>4685.762</v>
      </c>
      <c r="R2" s="0" t="n">
        <v>0</v>
      </c>
      <c r="S2" s="0" t="n">
        <v>4346.496</v>
      </c>
      <c r="T2" s="0" t="n">
        <v>2926.21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8121.673</v>
      </c>
      <c r="F3" s="0" t="n">
        <v>2463.552</v>
      </c>
      <c r="G3" s="0" t="n">
        <v>30.3</v>
      </c>
      <c r="I3" s="0" t="n">
        <v>2542.861</v>
      </c>
      <c r="J3" s="0" t="n">
        <v>31.3</v>
      </c>
      <c r="K3" s="0" t="n">
        <v>0.87</v>
      </c>
      <c r="L3" s="0" t="n">
        <v>2227.598</v>
      </c>
      <c r="M3" s="0" t="n">
        <v>852.378</v>
      </c>
      <c r="N3" s="0" t="n">
        <v>1375.22</v>
      </c>
      <c r="O3" s="0" t="n">
        <v>18777.205</v>
      </c>
      <c r="P3" s="0" t="n">
        <v>23646.384</v>
      </c>
      <c r="Q3" s="0" t="n">
        <v>4412.868</v>
      </c>
      <c r="R3" s="0" t="n">
        <v>152.857</v>
      </c>
      <c r="S3" s="0" t="n">
        <v>4546.791</v>
      </c>
      <c r="T3" s="0" t="n">
        <v>2926.21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5485.577</v>
      </c>
      <c r="C4" s="0" t="n">
        <v>3085.918</v>
      </c>
      <c r="D4" s="0" t="n">
        <v>2399.659</v>
      </c>
      <c r="E4" s="0" t="n">
        <v>43.7</v>
      </c>
      <c r="F4" s="0" t="n">
        <v>324.839</v>
      </c>
      <c r="G4" s="0" t="n">
        <v>5.9</v>
      </c>
      <c r="I4" s="0" t="n">
        <v>362.8</v>
      </c>
      <c r="J4" s="0" t="n">
        <v>6.6</v>
      </c>
      <c r="K4" s="0" t="n">
        <v>0.12</v>
      </c>
      <c r="L4" s="0" t="n">
        <v>164.215</v>
      </c>
      <c r="M4" s="0" t="n">
        <v>533.597</v>
      </c>
      <c r="N4" s="0" t="n">
        <v>-369.382</v>
      </c>
      <c r="O4" s="0" t="n">
        <v>18295.801</v>
      </c>
      <c r="P4" s="0" t="n">
        <v>22769.276</v>
      </c>
      <c r="Q4" s="0" t="n">
        <v>4001.118</v>
      </c>
      <c r="R4" s="0" t="n">
        <v>103.494</v>
      </c>
      <c r="S4" s="0" t="n">
        <v>4457.256</v>
      </c>
      <c r="T4" s="0" t="n">
        <v>2926.21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5476.177</v>
      </c>
      <c r="C5" s="0" t="n">
        <v>3312.384</v>
      </c>
      <c r="D5" s="0" t="n">
        <v>2163.793</v>
      </c>
      <c r="E5" s="0" t="n">
        <v>39.5</v>
      </c>
      <c r="F5" s="0" t="n">
        <v>671.504</v>
      </c>
      <c r="G5" s="0" t="n">
        <v>12.3</v>
      </c>
      <c r="I5" s="0" t="n">
        <v>551.301</v>
      </c>
      <c r="J5" s="0" t="n">
        <v>10.1</v>
      </c>
      <c r="K5" s="0" t="n">
        <v>0.19</v>
      </c>
      <c r="L5" s="0" t="n">
        <v>2942.825</v>
      </c>
      <c r="M5" s="0" t="n">
        <v>481.353</v>
      </c>
      <c r="N5" s="0" t="n">
        <v>2461.472</v>
      </c>
      <c r="O5" s="0" t="n">
        <v>18760.256</v>
      </c>
      <c r="P5" s="0" t="n">
        <v>24111.139</v>
      </c>
      <c r="Q5" s="0" t="n">
        <v>4881.056</v>
      </c>
      <c r="R5" s="0" t="n">
        <v>62.253</v>
      </c>
      <c r="S5" s="0" t="n">
        <v>6464.413</v>
      </c>
      <c r="T5" s="0" t="n">
        <v>2926.21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5210.106</v>
      </c>
      <c r="C6" s="0" t="n">
        <v>3089.871</v>
      </c>
      <c r="D6" s="0" t="n">
        <v>2120.235</v>
      </c>
      <c r="E6" s="0" t="n">
        <v>40.7</v>
      </c>
      <c r="F6" s="0" t="n">
        <v>699.576</v>
      </c>
      <c r="G6" s="0" t="n">
        <v>13.4</v>
      </c>
      <c r="I6" s="0" t="n">
        <v>626.499</v>
      </c>
      <c r="J6" s="0" t="n">
        <v>12</v>
      </c>
      <c r="K6" s="0" t="n">
        <v>0.21</v>
      </c>
      <c r="L6" s="0" t="n">
        <v>1336.311</v>
      </c>
      <c r="M6" s="0" t="n">
        <v>294.682</v>
      </c>
      <c r="N6" s="0" t="n">
        <v>1041.629</v>
      </c>
      <c r="O6" s="0" t="n">
        <v>19228.498</v>
      </c>
      <c r="P6" s="0" t="n">
        <v>25236.452</v>
      </c>
      <c r="Q6" s="0" t="n">
        <v>5495.296</v>
      </c>
      <c r="R6" s="0" t="n">
        <v>374.473</v>
      </c>
      <c r="S6" s="0" t="n">
        <v>7577.402</v>
      </c>
      <c r="T6" s="0" t="n">
        <v>2926.21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6983.847</v>
      </c>
      <c r="C7" s="0" t="n">
        <v>3316.519</v>
      </c>
      <c r="D7" s="0" t="n">
        <v>3667.328</v>
      </c>
      <c r="E7" s="0" t="n">
        <v>52.5</v>
      </c>
      <c r="F7" s="0" t="n">
        <v>1604.572</v>
      </c>
      <c r="G7" s="0" t="n">
        <v>23</v>
      </c>
      <c r="I7" s="0" t="n">
        <v>1398.952</v>
      </c>
      <c r="J7" s="0" t="n">
        <v>20</v>
      </c>
      <c r="K7" s="0" t="n">
        <v>0.48</v>
      </c>
      <c r="L7" s="0" t="n">
        <v>137.427</v>
      </c>
      <c r="M7" s="0" t="n">
        <v>527.897</v>
      </c>
      <c r="N7" s="0" t="n">
        <v>-390.47</v>
      </c>
      <c r="O7" s="0" t="n">
        <v>20471.132</v>
      </c>
      <c r="P7" s="0" t="n">
        <v>27500.129</v>
      </c>
      <c r="Q7" s="0" t="n">
        <v>6481.535</v>
      </c>
      <c r="R7" s="0" t="n">
        <v>1111.808</v>
      </c>
      <c r="S7" s="0" t="n">
        <v>7367.554</v>
      </c>
      <c r="T7" s="0" t="n">
        <v>2926.21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8823.023</v>
      </c>
      <c r="C8" s="0" t="n">
        <v>4309.889</v>
      </c>
      <c r="D8" s="0" t="n">
        <v>4513.134</v>
      </c>
      <c r="E8" s="0" t="n">
        <v>51.2</v>
      </c>
      <c r="F8" s="0" t="n">
        <v>2402.507</v>
      </c>
      <c r="G8" s="0" t="n">
        <v>27.2</v>
      </c>
      <c r="I8" s="0" t="n">
        <v>2074.273</v>
      </c>
      <c r="J8" s="0" t="n">
        <v>23.5</v>
      </c>
      <c r="K8" s="0" t="n">
        <v>0.71</v>
      </c>
      <c r="L8" s="0" t="n">
        <v>2525.945</v>
      </c>
      <c r="M8" s="0" t="n">
        <v>353.479</v>
      </c>
      <c r="N8" s="0" t="n">
        <v>2172.466</v>
      </c>
      <c r="O8" s="0" t="n">
        <v>22304.829</v>
      </c>
      <c r="P8" s="0" t="n">
        <v>29694.646</v>
      </c>
      <c r="Q8" s="0" t="n">
        <v>6797.66</v>
      </c>
      <c r="R8" s="0" t="n">
        <v>1453.132</v>
      </c>
      <c r="S8" s="0" t="n">
        <v>10548.986</v>
      </c>
      <c r="T8" s="0" t="n">
        <v>2926.21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8765.84</v>
      </c>
      <c r="C9" s="0" t="n">
        <v>4306.844</v>
      </c>
      <c r="D9" s="0" t="n">
        <v>4458.996</v>
      </c>
      <c r="E9" s="0" t="n">
        <v>50.9</v>
      </c>
      <c r="F9" s="0" t="n">
        <v>2706.445</v>
      </c>
      <c r="G9" s="0" t="n">
        <v>30.9</v>
      </c>
      <c r="I9" s="0" t="n">
        <v>2341.562</v>
      </c>
      <c r="J9" s="0" t="n">
        <v>26.7</v>
      </c>
      <c r="K9" s="0" t="n">
        <v>0.8</v>
      </c>
      <c r="L9" s="0" t="n">
        <v>2923.538</v>
      </c>
      <c r="M9" s="0" t="n">
        <v>842.793</v>
      </c>
      <c r="N9" s="0" t="n">
        <v>2080.745</v>
      </c>
      <c r="O9" s="0" t="n">
        <v>23983.764</v>
      </c>
      <c r="P9" s="0" t="n">
        <v>33190.595</v>
      </c>
      <c r="Q9" s="0" t="n">
        <v>8565.368</v>
      </c>
      <c r="R9" s="0" t="n">
        <v>2061.793</v>
      </c>
      <c r="S9" s="0" t="n">
        <v>10059.017</v>
      </c>
      <c r="T9" s="0" t="n">
        <v>2926.21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8.98</v>
      </c>
    </row>
    <row r="3" customFormat="false" ht="15" hidden="false" customHeight="false" outlineLevel="0" collapsed="false">
      <c r="A3" s="0" t="s">
        <v>75</v>
      </c>
      <c r="B3" s="3" t="n">
        <v>2926.21</v>
      </c>
    </row>
    <row r="4" customFormat="false" ht="15" hidden="false" customHeight="false" outlineLevel="0" collapsed="false">
      <c r="A4" s="0" t="s">
        <v>76</v>
      </c>
      <c r="B4" s="3" t="n">
        <v>-7864.3</v>
      </c>
    </row>
    <row r="5" customFormat="false" ht="15" hidden="false" customHeight="false" outlineLevel="0" collapsed="false">
      <c r="A5" s="0" t="s">
        <v>77</v>
      </c>
      <c r="B5" s="3" t="n">
        <v>9696.2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8765.84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1.1721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2</v>
      </c>
      <c r="D13" s="3" t="n">
        <v>0</v>
      </c>
      <c r="E13" s="3" t="n">
        <v>1</v>
      </c>
      <c r="F13" s="3" t="n">
        <v>1.5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96</v>
      </c>
      <c r="C14" s="3" t="n">
        <v>37</v>
      </c>
      <c r="D14" s="3" t="n">
        <v>36</v>
      </c>
      <c r="E14" s="3" t="n">
        <v>35</v>
      </c>
      <c r="F14" s="3" t="n">
        <v>34</v>
      </c>
      <c r="G14" s="3" t="n">
        <v>33</v>
      </c>
      <c r="H14" s="3" t="n">
        <v>33</v>
      </c>
      <c r="I14" s="3" t="n">
        <v>33</v>
      </c>
      <c r="J14" s="3" t="n">
        <v>33</v>
      </c>
      <c r="K14" s="3" t="n">
        <v>33</v>
      </c>
      <c r="L14" s="3" t="n">
        <v>33</v>
      </c>
    </row>
    <row r="15" customFormat="false" ht="15" hidden="false" customHeight="false" outlineLevel="0" collapsed="false">
      <c r="A15" s="0" t="s">
        <v>97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98</v>
      </c>
      <c r="C16" s="3" t="n">
        <v>1.4</v>
      </c>
      <c r="D16" s="3" t="n">
        <v>1.4</v>
      </c>
      <c r="E16" s="3" t="n">
        <v>1.4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99</v>
      </c>
      <c r="C17" s="3" t="n">
        <v>9</v>
      </c>
      <c r="D17" s="3" t="n">
        <v>9.2</v>
      </c>
      <c r="E17" s="3" t="n">
        <v>9.2</v>
      </c>
      <c r="F17" s="3" t="n">
        <v>9</v>
      </c>
      <c r="G17" s="3" t="n">
        <v>9</v>
      </c>
      <c r="H17" s="3" t="n">
        <v>8.8</v>
      </c>
      <c r="I17" s="3" t="n">
        <v>8.6</v>
      </c>
      <c r="J17" s="3" t="n">
        <v>8.5</v>
      </c>
      <c r="K17" s="3" t="n">
        <v>8.5</v>
      </c>
      <c r="L17" s="3" t="n">
        <v>8.5</v>
      </c>
    </row>
    <row r="18" customFormat="false" ht="15" hidden="false" customHeight="false" outlineLevel="0" collapsed="false">
      <c r="A18" s="0" t="s">
        <v>100</v>
      </c>
      <c r="C18" s="3" t="n">
        <v>10.5</v>
      </c>
      <c r="D18" s="3" t="n">
        <v>10.5</v>
      </c>
      <c r="E18" s="3" t="n">
        <v>10</v>
      </c>
      <c r="F18" s="3" t="n">
        <v>9.5</v>
      </c>
      <c r="G18" s="3" t="n">
        <v>9</v>
      </c>
      <c r="H18" s="3" t="n">
        <v>9</v>
      </c>
      <c r="I18" s="3" t="n">
        <v>9</v>
      </c>
      <c r="J18" s="3" t="n">
        <v>8.5</v>
      </c>
      <c r="K18" s="3" t="n">
        <v>8.5</v>
      </c>
      <c r="L18" s="3" t="n">
        <v>8.5</v>
      </c>
    </row>
    <row r="19" customFormat="false" ht="15" hidden="false" customHeight="false" outlineLevel="0" collapsed="false">
      <c r="A19" s="0" t="s">
        <v>101</v>
      </c>
      <c r="C19" s="3" t="n">
        <v>13</v>
      </c>
      <c r="D19" s="3" t="n">
        <v>14</v>
      </c>
      <c r="E19" s="3" t="n">
        <v>16</v>
      </c>
      <c r="F19" s="3" t="n">
        <v>18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102</v>
      </c>
      <c r="B20" s="3" t="n">
        <v>9</v>
      </c>
    </row>
    <row r="21" customFormat="false" ht="15" hidden="false" customHeight="false" outlineLevel="0" collapsed="false">
      <c r="A21" s="0" t="s">
        <v>103</v>
      </c>
      <c r="B21" s="3" t="n">
        <v>1.5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-20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4.5</v>
      </c>
      <c r="D27" s="3" t="n">
        <v>4</v>
      </c>
      <c r="E27" s="3" t="n">
        <v>4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96</v>
      </c>
      <c r="C28" s="3" t="n">
        <v>38</v>
      </c>
      <c r="D28" s="3" t="n">
        <v>38</v>
      </c>
      <c r="E28" s="3" t="n">
        <v>38.5</v>
      </c>
      <c r="F28" s="3" t="n">
        <v>38.5</v>
      </c>
      <c r="G28" s="3" t="n">
        <v>38.5</v>
      </c>
      <c r="H28" s="3" t="n">
        <v>38.5</v>
      </c>
      <c r="I28" s="3" t="n">
        <v>38.5</v>
      </c>
      <c r="J28" s="3" t="n">
        <v>38.5</v>
      </c>
      <c r="K28" s="3" t="n">
        <v>38.5</v>
      </c>
      <c r="L28" s="3" t="n">
        <v>38.5</v>
      </c>
    </row>
    <row r="29" customFormat="false" ht="15" hidden="false" customHeight="false" outlineLevel="0" collapsed="false">
      <c r="A29" s="0" t="s">
        <v>97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98</v>
      </c>
      <c r="C30" s="3" t="n">
        <v>1.4</v>
      </c>
      <c r="D30" s="3" t="n">
        <v>1.4</v>
      </c>
      <c r="E30" s="3" t="n">
        <v>1.4</v>
      </c>
      <c r="F30" s="3" t="n">
        <v>1.4</v>
      </c>
      <c r="G30" s="3" t="n">
        <v>1.4</v>
      </c>
      <c r="H30" s="3" t="n">
        <v>1.4</v>
      </c>
      <c r="I30" s="3" t="n">
        <v>1.4</v>
      </c>
      <c r="J30" s="3" t="n">
        <v>1.4</v>
      </c>
      <c r="K30" s="3" t="n">
        <v>1.4</v>
      </c>
      <c r="L30" s="3" t="n">
        <v>1.4</v>
      </c>
    </row>
    <row r="31" customFormat="false" ht="15" hidden="false" customHeight="false" outlineLevel="0" collapsed="false">
      <c r="A31" s="0" t="s">
        <v>99</v>
      </c>
      <c r="C31" s="3" t="n">
        <v>9</v>
      </c>
      <c r="D31" s="3" t="n">
        <v>9</v>
      </c>
      <c r="E31" s="3" t="n">
        <v>8.8</v>
      </c>
      <c r="F31" s="3" t="n">
        <v>8.6</v>
      </c>
      <c r="G31" s="3" t="n">
        <v>8.5</v>
      </c>
      <c r="H31" s="3" t="n">
        <v>8.4</v>
      </c>
      <c r="I31" s="3" t="n">
        <v>8.3</v>
      </c>
      <c r="J31" s="3" t="n">
        <v>8.2</v>
      </c>
      <c r="K31" s="3" t="n">
        <v>8.1</v>
      </c>
      <c r="L31" s="3" t="n">
        <v>8</v>
      </c>
    </row>
    <row r="32" customFormat="false" ht="15" hidden="false" customHeight="false" outlineLevel="0" collapsed="false">
      <c r="A32" s="0" t="s">
        <v>100</v>
      </c>
      <c r="C32" s="3" t="n">
        <v>10</v>
      </c>
      <c r="D32" s="3" t="n">
        <v>10</v>
      </c>
      <c r="E32" s="3" t="n">
        <v>9</v>
      </c>
      <c r="F32" s="3" t="n">
        <v>8.5</v>
      </c>
      <c r="G32" s="3" t="n">
        <v>8</v>
      </c>
      <c r="H32" s="3" t="n">
        <v>8</v>
      </c>
      <c r="I32" s="3" t="n">
        <v>8</v>
      </c>
      <c r="J32" s="3" t="n">
        <v>8</v>
      </c>
      <c r="K32" s="3" t="n">
        <v>8</v>
      </c>
      <c r="L32" s="3" t="n">
        <v>8</v>
      </c>
    </row>
    <row r="33" customFormat="false" ht="15" hidden="false" customHeight="false" outlineLevel="0" collapsed="false">
      <c r="A33" s="0" t="s">
        <v>101</v>
      </c>
      <c r="C33" s="3" t="n">
        <v>12</v>
      </c>
      <c r="D33" s="3" t="n">
        <v>12</v>
      </c>
      <c r="E33" s="3" t="n">
        <v>13</v>
      </c>
      <c r="F33" s="3" t="n">
        <v>14</v>
      </c>
      <c r="G33" s="3" t="n">
        <v>15</v>
      </c>
      <c r="H33" s="3" t="n">
        <v>15</v>
      </c>
      <c r="I33" s="3" t="n">
        <v>15</v>
      </c>
      <c r="J33" s="3" t="n">
        <v>15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102</v>
      </c>
      <c r="B34" s="3" t="n">
        <v>9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15</v>
      </c>
    </row>
    <row r="37" customFormat="false" ht="15" hidden="false" customHeight="false" outlineLevel="0" collapsed="false">
      <c r="A37" s="0" t="s">
        <v>105</v>
      </c>
      <c r="B37" s="3" t="n">
        <v>-15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6</v>
      </c>
      <c r="D41" s="3" t="n">
        <v>6</v>
      </c>
      <c r="E41" s="3" t="n">
        <v>5.5</v>
      </c>
      <c r="F41" s="3" t="n">
        <v>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38.5</v>
      </c>
      <c r="D42" s="3" t="n">
        <v>39</v>
      </c>
      <c r="E42" s="3" t="n">
        <v>39.5</v>
      </c>
      <c r="F42" s="3" t="n">
        <v>40</v>
      </c>
      <c r="G42" s="3" t="n">
        <v>40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97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98</v>
      </c>
      <c r="C44" s="3" t="n">
        <v>1.4</v>
      </c>
      <c r="D44" s="3" t="n">
        <v>1.4</v>
      </c>
      <c r="E44" s="3" t="n">
        <v>1.4</v>
      </c>
      <c r="F44" s="3" t="n">
        <v>1.4</v>
      </c>
      <c r="G44" s="3" t="n">
        <v>1.4</v>
      </c>
      <c r="H44" s="3" t="n">
        <v>1.4</v>
      </c>
      <c r="I44" s="3" t="n">
        <v>1.4</v>
      </c>
      <c r="J44" s="3" t="n">
        <v>1.4</v>
      </c>
      <c r="K44" s="3" t="n">
        <v>1.4</v>
      </c>
      <c r="L44" s="3" t="n">
        <v>1.4</v>
      </c>
    </row>
    <row r="45" customFormat="false" ht="15" hidden="false" customHeight="false" outlineLevel="0" collapsed="false">
      <c r="A45" s="0" t="s">
        <v>99</v>
      </c>
      <c r="C45" s="3" t="n">
        <v>9</v>
      </c>
      <c r="D45" s="3" t="n">
        <v>9</v>
      </c>
      <c r="E45" s="3" t="n">
        <v>8.8</v>
      </c>
      <c r="F45" s="3" t="n">
        <v>8.6</v>
      </c>
      <c r="G45" s="3" t="n">
        <v>8.5</v>
      </c>
      <c r="H45" s="3" t="n">
        <v>8.4</v>
      </c>
      <c r="I45" s="3" t="n">
        <v>8.3</v>
      </c>
      <c r="J45" s="3" t="n">
        <v>8.2</v>
      </c>
      <c r="K45" s="3" t="n">
        <v>8.1</v>
      </c>
      <c r="L45" s="3" t="n">
        <v>8</v>
      </c>
    </row>
    <row r="46" customFormat="false" ht="15" hidden="false" customHeight="false" outlineLevel="0" collapsed="false">
      <c r="A46" s="0" t="s">
        <v>100</v>
      </c>
      <c r="C46" s="3" t="n">
        <v>10</v>
      </c>
      <c r="D46" s="3" t="n">
        <v>9.5</v>
      </c>
      <c r="E46" s="3" t="n">
        <v>8.5</v>
      </c>
      <c r="F46" s="3" t="n">
        <v>8</v>
      </c>
      <c r="G46" s="3" t="n">
        <v>7.5</v>
      </c>
      <c r="H46" s="3" t="n">
        <v>7.5</v>
      </c>
      <c r="I46" s="3" t="n">
        <v>7.5</v>
      </c>
      <c r="J46" s="3" t="n">
        <v>7.5</v>
      </c>
      <c r="K46" s="3" t="n">
        <v>7.5</v>
      </c>
      <c r="L46" s="3" t="n">
        <v>7.5</v>
      </c>
    </row>
    <row r="47" customFormat="false" ht="15" hidden="false" customHeight="false" outlineLevel="0" collapsed="false">
      <c r="A47" s="0" t="s">
        <v>101</v>
      </c>
      <c r="C47" s="3" t="n">
        <v>11</v>
      </c>
      <c r="D47" s="3" t="n">
        <v>11</v>
      </c>
      <c r="E47" s="3" t="n">
        <v>12</v>
      </c>
      <c r="F47" s="3" t="n">
        <v>12</v>
      </c>
      <c r="G47" s="3" t="n">
        <v>12</v>
      </c>
      <c r="H47" s="3" t="n">
        <v>12</v>
      </c>
      <c r="I47" s="3" t="n">
        <v>12</v>
      </c>
      <c r="J47" s="3" t="n">
        <v>12</v>
      </c>
      <c r="K47" s="3" t="n">
        <v>12</v>
      </c>
      <c r="L47" s="3" t="n">
        <v>12</v>
      </c>
    </row>
    <row r="48" customFormat="false" ht="15" hidden="false" customHeight="false" outlineLevel="0" collapsed="false">
      <c r="A48" s="0" t="s">
        <v>102</v>
      </c>
      <c r="B48" s="3" t="n">
        <v>9</v>
      </c>
    </row>
    <row r="49" customFormat="false" ht="15" hidden="false" customHeight="false" outlineLevel="0" collapsed="false">
      <c r="A49" s="0" t="s">
        <v>103</v>
      </c>
      <c r="B49" s="3" t="n">
        <v>3</v>
      </c>
    </row>
    <row r="50" customFormat="false" ht="15" hidden="false" customHeight="false" outlineLevel="0" collapsed="false">
      <c r="A50" s="0" t="s">
        <v>104</v>
      </c>
      <c r="B50" s="3" t="n">
        <v>15</v>
      </c>
    </row>
    <row r="51" customFormat="false" ht="15" hidden="false" customHeight="false" outlineLevel="0" collapsed="false">
      <c r="A51" s="0" t="s">
        <v>105</v>
      </c>
      <c r="B51" s="3" t="n">
        <v>-10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2</v>
      </c>
      <c r="D5" s="4" t="n">
        <f aca="false">Assumptions!D13</f>
        <v>0</v>
      </c>
      <c r="E5" s="4" t="n">
        <f aca="false">Assumptions!E13</f>
        <v>1</v>
      </c>
      <c r="F5" s="4" t="n">
        <f aca="false">Assumptions!F13</f>
        <v>1.5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8765.84</v>
      </c>
      <c r="C6" s="0" t="n">
        <f aca="false">B6*(1+C5/100)</f>
        <v>8941.1568</v>
      </c>
      <c r="D6" s="0" t="n">
        <f aca="false">C6*(1+D5/100)</f>
        <v>8941.1568</v>
      </c>
      <c r="E6" s="0" t="n">
        <f aca="false">D6*(1+E5/100)</f>
        <v>9030.568368</v>
      </c>
      <c r="F6" s="0" t="n">
        <f aca="false">E6*(1+F5/100)</f>
        <v>9166.02689352</v>
      </c>
      <c r="G6" s="0" t="n">
        <f aca="false">F6*(1+G5/100)</f>
        <v>9349.3474313904</v>
      </c>
      <c r="H6" s="0" t="n">
        <f aca="false">G6*(1+H5/100)</f>
        <v>9536.33438001821</v>
      </c>
      <c r="I6" s="0" t="n">
        <f aca="false">H6*(1+I5/100)</f>
        <v>9727.06106761857</v>
      </c>
      <c r="J6" s="0" t="n">
        <f aca="false">I6*(1+J5/100)</f>
        <v>9921.60228897095</v>
      </c>
      <c r="K6" s="0" t="n">
        <f aca="false">J6*(1+K5/100)</f>
        <v>10070.4263233055</v>
      </c>
      <c r="L6" s="0" t="n">
        <f aca="false">K6*(1+L5/100)</f>
        <v>10221.4827181551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37</v>
      </c>
      <c r="D7" s="4" t="n">
        <f aca="false">Assumptions!D14</f>
        <v>36</v>
      </c>
      <c r="E7" s="4" t="n">
        <f aca="false">Assumptions!E14</f>
        <v>35</v>
      </c>
      <c r="F7" s="4" t="n">
        <f aca="false">Assumptions!F14</f>
        <v>34</v>
      </c>
      <c r="G7" s="4" t="n">
        <f aca="false">Assumptions!G14</f>
        <v>33</v>
      </c>
      <c r="H7" s="4" t="n">
        <f aca="false">Assumptions!H14</f>
        <v>33</v>
      </c>
      <c r="I7" s="4" t="n">
        <f aca="false">Assumptions!I14</f>
        <v>33</v>
      </c>
      <c r="J7" s="4" t="n">
        <f aca="false">Assumptions!J14</f>
        <v>33</v>
      </c>
      <c r="K7" s="4" t="n">
        <f aca="false">Assumptions!K14</f>
        <v>33</v>
      </c>
      <c r="L7" s="4" t="n">
        <f aca="false">Assumptions!L14</f>
        <v>33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3308.228016</v>
      </c>
      <c r="D8" s="0" t="n">
        <f aca="false">D6*D7/100</f>
        <v>3218.816448</v>
      </c>
      <c r="E8" s="0" t="n">
        <f aca="false">E6*E7/100</f>
        <v>3160.6989288</v>
      </c>
      <c r="F8" s="0" t="n">
        <f aca="false">F6*F7/100</f>
        <v>3116.4491437968</v>
      </c>
      <c r="G8" s="0" t="n">
        <f aca="false">G6*G7/100</f>
        <v>3085.28465235883</v>
      </c>
      <c r="H8" s="0" t="n">
        <f aca="false">H6*H7/100</f>
        <v>3146.99034540601</v>
      </c>
      <c r="I8" s="0" t="n">
        <f aca="false">I6*I7/100</f>
        <v>3209.93015231413</v>
      </c>
      <c r="J8" s="0" t="n">
        <f aca="false">J6*J7/100</f>
        <v>3274.12875536041</v>
      </c>
      <c r="K8" s="0" t="n">
        <f aca="false">K6*K7/100</f>
        <v>3323.24068669082</v>
      </c>
      <c r="L8" s="0" t="n">
        <f aca="false">L6*L7/100</f>
        <v>3373.08929699118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3183.0518208</v>
      </c>
      <c r="D11" s="0" t="n">
        <f aca="false">D8+D10+D24</f>
        <v>3093.6402528</v>
      </c>
      <c r="E11" s="0" t="n">
        <f aca="false">E8+E10+E24</f>
        <v>3034.270971648</v>
      </c>
      <c r="F11" s="0" t="n">
        <f aca="false">F8+F10+F24</f>
        <v>2988.12476728752</v>
      </c>
      <c r="G11" s="0" t="n">
        <f aca="false">G8+G10+G24</f>
        <v>2954.39378831937</v>
      </c>
      <c r="H11" s="0" t="n">
        <f aca="false">H8+H10+H24</f>
        <v>3013.48166408575</v>
      </c>
      <c r="I11" s="0" t="n">
        <f aca="false">I8+I10+I24</f>
        <v>3073.75129736747</v>
      </c>
      <c r="J11" s="0" t="n">
        <f aca="false">J8+J10+J24</f>
        <v>3135.22632331482</v>
      </c>
      <c r="K11" s="0" t="n">
        <f aca="false">K8+K10+K24</f>
        <v>3182.25471816454</v>
      </c>
      <c r="L11" s="0" t="n">
        <f aca="false">L8+L10+L24</f>
        <v>3229.98853893701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-804.704112</v>
      </c>
      <c r="D12" s="4" t="n">
        <f aca="false">-D6*Assumptions!D17/100</f>
        <v>-822.5864256</v>
      </c>
      <c r="E12" s="4" t="n">
        <f aca="false">-E6*Assumptions!E17/100</f>
        <v>-830.812289856</v>
      </c>
      <c r="F12" s="4" t="n">
        <f aca="false">-F6*Assumptions!F17/100</f>
        <v>-824.9424204168</v>
      </c>
      <c r="G12" s="4" t="n">
        <f aca="false">-G6*Assumptions!G17/100</f>
        <v>-841.441268825136</v>
      </c>
      <c r="H12" s="4" t="n">
        <f aca="false">-H6*Assumptions!H17/100</f>
        <v>-839.197425441602</v>
      </c>
      <c r="I12" s="4" t="n">
        <f aca="false">-I6*Assumptions!I17/100</f>
        <v>-836.527251815197</v>
      </c>
      <c r="J12" s="4" t="n">
        <f aca="false">-J6*Assumptions!J17/100</f>
        <v>-843.33619456253</v>
      </c>
      <c r="K12" s="4" t="n">
        <f aca="false">-K6*Assumptions!K17/100</f>
        <v>-855.986237480968</v>
      </c>
      <c r="L12" s="4" t="n">
        <f aca="false">-L6*Assumptions!L17/100</f>
        <v>-868.826031043183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2378.3477088</v>
      </c>
      <c r="D13" s="0" t="n">
        <f aca="false">D11+D12</f>
        <v>2271.0538272</v>
      </c>
      <c r="E13" s="0" t="n">
        <f aca="false">E11+E12</f>
        <v>2203.458681792</v>
      </c>
      <c r="F13" s="0" t="n">
        <f aca="false">F11+F12</f>
        <v>2163.18234687072</v>
      </c>
      <c r="G13" s="0" t="n">
        <f aca="false">G11+G12</f>
        <v>2112.95251949423</v>
      </c>
      <c r="H13" s="0" t="n">
        <f aca="false">H11+H12</f>
        <v>2174.28423864415</v>
      </c>
      <c r="I13" s="0" t="n">
        <f aca="false">I11+I12</f>
        <v>2237.22404555227</v>
      </c>
      <c r="J13" s="0" t="n">
        <f aca="false">J11+J12</f>
        <v>2291.89012875229</v>
      </c>
      <c r="K13" s="0" t="n">
        <f aca="false">K11+K12</f>
        <v>2326.26848068357</v>
      </c>
      <c r="L13" s="0" t="n">
        <f aca="false">L11+L12</f>
        <v>2361.16250789383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13</v>
      </c>
      <c r="D14" s="4" t="n">
        <f aca="false">Assumptions!D19</f>
        <v>14</v>
      </c>
      <c r="E14" s="4" t="n">
        <f aca="false">Assumptions!E19</f>
        <v>16</v>
      </c>
      <c r="F14" s="4" t="n">
        <f aca="false">Assumptions!F19</f>
        <v>18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2069.162506656</v>
      </c>
      <c r="D15" s="0" t="n">
        <f aca="false">D13-MAX(0,D13)*D14/100</f>
        <v>1953.106291392</v>
      </c>
      <c r="E15" s="0" t="n">
        <f aca="false">E13-MAX(0,E13)*E14/100</f>
        <v>1850.90529270528</v>
      </c>
      <c r="F15" s="0" t="n">
        <f aca="false">F13-MAX(0,F13)*F14/100</f>
        <v>1773.80952443399</v>
      </c>
      <c r="G15" s="0" t="n">
        <f aca="false">G13-MAX(0,G13)*G14/100</f>
        <v>1690.36201559538</v>
      </c>
      <c r="H15" s="0" t="n">
        <f aca="false">H13-MAX(0,H13)*H14/100</f>
        <v>1739.42739091532</v>
      </c>
      <c r="I15" s="0" t="n">
        <f aca="false">I13-MAX(0,I13)*I14/100</f>
        <v>1789.77923644182</v>
      </c>
      <c r="J15" s="0" t="n">
        <f aca="false">J13-MAX(0,J13)*J14/100</f>
        <v>1833.51210300183</v>
      </c>
      <c r="K15" s="0" t="n">
        <f aca="false">K13-MAX(0,K13)*K14/100</f>
        <v>1861.01478454686</v>
      </c>
      <c r="L15" s="0" t="n">
        <f aca="false">L13-MAX(0,L13)*L14/100</f>
        <v>1888.93000631506</v>
      </c>
    </row>
    <row r="16" customFormat="false" ht="15" hidden="false" customHeight="false" outlineLevel="0" collapsed="false">
      <c r="A16" s="0" t="s">
        <v>117</v>
      </c>
      <c r="C16" s="0" t="n">
        <f aca="false">-C12</f>
        <v>804.704112</v>
      </c>
      <c r="D16" s="0" t="n">
        <f aca="false">-D12</f>
        <v>822.5864256</v>
      </c>
      <c r="E16" s="0" t="n">
        <f aca="false">-E12</f>
        <v>830.812289856</v>
      </c>
      <c r="F16" s="0" t="n">
        <f aca="false">-F12</f>
        <v>824.9424204168</v>
      </c>
      <c r="G16" s="0" t="n">
        <f aca="false">-G12</f>
        <v>841.441268825136</v>
      </c>
      <c r="H16" s="0" t="n">
        <f aca="false">-H12</f>
        <v>839.197425441602</v>
      </c>
      <c r="I16" s="0" t="n">
        <f aca="false">-I12</f>
        <v>836.527251815197</v>
      </c>
      <c r="J16" s="0" t="n">
        <f aca="false">-J12</f>
        <v>843.33619456253</v>
      </c>
      <c r="K16" s="0" t="n">
        <f aca="false">-K12</f>
        <v>855.986237480968</v>
      </c>
      <c r="L16" s="0" t="n">
        <f aca="false">-L12</f>
        <v>868.826031043183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-938.821464</v>
      </c>
      <c r="D17" s="4" t="n">
        <f aca="false">-D6*Assumptions!D18/100</f>
        <v>-938.821464</v>
      </c>
      <c r="E17" s="4" t="n">
        <f aca="false">-E6*Assumptions!E18/100</f>
        <v>-903.0568368</v>
      </c>
      <c r="F17" s="4" t="n">
        <f aca="false">-F6*Assumptions!F18/100</f>
        <v>-870.7725548844</v>
      </c>
      <c r="G17" s="4" t="n">
        <f aca="false">-G6*Assumptions!G18/100</f>
        <v>-841.441268825136</v>
      </c>
      <c r="H17" s="4" t="n">
        <f aca="false">-H6*Assumptions!H18/100</f>
        <v>-858.270094201639</v>
      </c>
      <c r="I17" s="4" t="n">
        <f aca="false">-I6*Assumptions!I18/100</f>
        <v>-875.435496085672</v>
      </c>
      <c r="J17" s="4" t="n">
        <f aca="false">-J6*Assumptions!J18/100</f>
        <v>-843.33619456253</v>
      </c>
      <c r="K17" s="4" t="n">
        <f aca="false">-K6*Assumptions!K18/100</f>
        <v>-855.986237480968</v>
      </c>
      <c r="L17" s="4" t="n">
        <f aca="false">-L6*Assumptions!L18/100</f>
        <v>-868.826031043183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-35.0633600000001</v>
      </c>
      <c r="D18" s="4" t="n">
        <f aca="false">(D6-C6)*Assumptions!$B$23/100</f>
        <v>-0</v>
      </c>
      <c r="E18" s="4" t="n">
        <f aca="false">(E6-D6)*Assumptions!$B$23/100</f>
        <v>-17.8823135999999</v>
      </c>
      <c r="F18" s="4" t="n">
        <f aca="false">(F6-E6)*Assumptions!$B$23/100</f>
        <v>-27.091705104</v>
      </c>
      <c r="G18" s="4" t="n">
        <f aca="false">(G6-F6)*Assumptions!$B$23/100</f>
        <v>-36.6641075740801</v>
      </c>
      <c r="H18" s="4" t="n">
        <f aca="false">(H6-G6)*Assumptions!$B$23/100</f>
        <v>-37.3973897255615</v>
      </c>
      <c r="I18" s="4" t="n">
        <f aca="false">(I6-H6)*Assumptions!$B$23/100</f>
        <v>-38.145337520073</v>
      </c>
      <c r="J18" s="4" t="n">
        <f aca="false">(J6-I6)*Assumptions!$B$23/100</f>
        <v>-38.9082442704745</v>
      </c>
      <c r="K18" s="4" t="n">
        <f aca="false">(K6-J6)*Assumptions!$B$23/100</f>
        <v>-29.7648068669125</v>
      </c>
      <c r="L18" s="4" t="n">
        <f aca="false">(L6-K6)*Assumptions!$B$23/100</f>
        <v>-30.2112789699164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1899.981794656</v>
      </c>
      <c r="D19" s="0" t="n">
        <f aca="false">D15+D16+D17+D18</f>
        <v>1836.871252992</v>
      </c>
      <c r="E19" s="0" t="n">
        <f aca="false">E15+E16+E17+E18</f>
        <v>1760.77843216128</v>
      </c>
      <c r="F19" s="0" t="n">
        <f aca="false">F15+F16+F17+F18</f>
        <v>1700.88768486239</v>
      </c>
      <c r="G19" s="0" t="n">
        <f aca="false">G15+G16+G17+G18</f>
        <v>1653.6979080213</v>
      </c>
      <c r="H19" s="0" t="n">
        <f aca="false">H15+H16+H17+H18</f>
        <v>1682.95733242972</v>
      </c>
      <c r="I19" s="0" t="n">
        <f aca="false">I15+I16+I17+I18</f>
        <v>1712.72565465127</v>
      </c>
      <c r="J19" s="0" t="n">
        <f aca="false">J15+J16+J17+J18</f>
        <v>1794.60385873136</v>
      </c>
      <c r="K19" s="0" t="n">
        <f aca="false">K15+K16+K17+K18</f>
        <v>1831.24997767995</v>
      </c>
      <c r="L19" s="0" t="n">
        <f aca="false">L15+L16+L17+L18</f>
        <v>1858.71872734514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1743.10256390459</v>
      </c>
      <c r="D21" s="0" t="n">
        <f aca="false">D19*D20</f>
        <v>1546.05778384984</v>
      </c>
      <c r="E21" s="0" t="n">
        <f aca="false">E19*E20</f>
        <v>1359.64401736276</v>
      </c>
      <c r="F21" s="0" t="n">
        <f aca="false">F19*F20</f>
        <v>1204.95171714683</v>
      </c>
      <c r="G21" s="0" t="n">
        <f aca="false">G19*G20</f>
        <v>1074.79017387896</v>
      </c>
      <c r="H21" s="0" t="n">
        <f aca="false">H19*H20</f>
        <v>1003.49246985965</v>
      </c>
      <c r="I21" s="0" t="n">
        <f aca="false">I19*I20</f>
        <v>936.919585115933</v>
      </c>
      <c r="J21" s="0" t="n">
        <f aca="false">J19*J20</f>
        <v>900.6511620679</v>
      </c>
      <c r="K21" s="0" t="n">
        <f aca="false">K19*K20</f>
        <v>843.158360962453</v>
      </c>
      <c r="L21" s="0" t="n">
        <f aca="false">L19*L20</f>
        <v>785.14287740999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1.4</v>
      </c>
      <c r="D23" s="4" t="n">
        <f aca="false">Assumptions!D16</f>
        <v>1.4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-125.1761952</v>
      </c>
      <c r="D24" s="0" t="n">
        <f aca="false">-D6*D23/100</f>
        <v>-125.1761952</v>
      </c>
      <c r="E24" s="0" t="n">
        <f aca="false">-E6*E23/100</f>
        <v>-126.427957152</v>
      </c>
      <c r="F24" s="0" t="n">
        <f aca="false">-F6*F23/100</f>
        <v>-128.32437650928</v>
      </c>
      <c r="G24" s="0" t="n">
        <f aca="false">-G6*G23/100</f>
        <v>-130.890864039466</v>
      </c>
      <c r="H24" s="0" t="n">
        <f aca="false">-H6*H23/100</f>
        <v>-133.508681320255</v>
      </c>
      <c r="I24" s="0" t="n">
        <f aca="false">-I6*I23/100</f>
        <v>-136.17885494666</v>
      </c>
      <c r="J24" s="0" t="n">
        <f aca="false">-J6*J23/100</f>
        <v>-138.902432045593</v>
      </c>
      <c r="K24" s="0" t="n">
        <f aca="false">-K6*K23/100</f>
        <v>-140.985968526277</v>
      </c>
      <c r="L24" s="0" t="n">
        <f aca="false">-L6*L23/100</f>
        <v>-143.100758054171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11397.9107115589</v>
      </c>
    </row>
    <row r="31" customFormat="false" ht="15" hidden="false" customHeight="false" outlineLevel="0" collapsed="false">
      <c r="A31" s="0" t="s">
        <v>126</v>
      </c>
      <c r="B31" s="0" t="n">
        <f aca="false">L19</f>
        <v>1858.71872734514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25154.660110071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22304.6247281417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22304.6247281417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9421.71452891989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20819.6252404788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38380.1252404788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15.3732455272743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0.711942709050585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15.3732455272743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13974.8111722616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11.9951348741654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4.5</v>
      </c>
      <c r="D5" s="4" t="n">
        <f aca="false">Assumptions!D27</f>
        <v>4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8765.84</v>
      </c>
      <c r="C6" s="0" t="n">
        <f aca="false">B6*(1+C5/100)</f>
        <v>9160.3028</v>
      </c>
      <c r="D6" s="0" t="n">
        <f aca="false">C6*(1+D5/100)</f>
        <v>9526.714912</v>
      </c>
      <c r="E6" s="0" t="n">
        <f aca="false">D6*(1+E5/100)</f>
        <v>9907.78350848</v>
      </c>
      <c r="F6" s="0" t="n">
        <f aca="false">E6*(1+F5/100)</f>
        <v>10254.5559312768</v>
      </c>
      <c r="G6" s="0" t="n">
        <f aca="false">F6*(1+G5/100)</f>
        <v>10613.4653888715</v>
      </c>
      <c r="H6" s="0" t="n">
        <f aca="false">G6*(1+H5/100)</f>
        <v>10931.8693505376</v>
      </c>
      <c r="I6" s="0" t="n">
        <f aca="false">H6*(1+I5/100)</f>
        <v>11259.8254310538</v>
      </c>
      <c r="J6" s="0" t="n">
        <f aca="false">I6*(1+J5/100)</f>
        <v>11597.6201939854</v>
      </c>
      <c r="K6" s="0" t="n">
        <f aca="false">J6*(1+K5/100)</f>
        <v>11887.560698835</v>
      </c>
      <c r="L6" s="0" t="n">
        <f aca="false">K6*(1+L5/100)</f>
        <v>12184.7497163059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38</v>
      </c>
      <c r="D7" s="4" t="n">
        <f aca="false">Assumptions!D28</f>
        <v>38</v>
      </c>
      <c r="E7" s="4" t="n">
        <f aca="false">Assumptions!E28</f>
        <v>38.5</v>
      </c>
      <c r="F7" s="4" t="n">
        <f aca="false">Assumptions!F28</f>
        <v>38.5</v>
      </c>
      <c r="G7" s="4" t="n">
        <f aca="false">Assumptions!G28</f>
        <v>38.5</v>
      </c>
      <c r="H7" s="4" t="n">
        <f aca="false">Assumptions!H28</f>
        <v>38.5</v>
      </c>
      <c r="I7" s="4" t="n">
        <f aca="false">Assumptions!I28</f>
        <v>38.5</v>
      </c>
      <c r="J7" s="4" t="n">
        <f aca="false">Assumptions!J28</f>
        <v>38.5</v>
      </c>
      <c r="K7" s="4" t="n">
        <f aca="false">Assumptions!K28</f>
        <v>38.5</v>
      </c>
      <c r="L7" s="4" t="n">
        <f aca="false">Assumptions!L28</f>
        <v>38.5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3480.915064</v>
      </c>
      <c r="D8" s="0" t="n">
        <f aca="false">D6*D7/100</f>
        <v>3620.15166656</v>
      </c>
      <c r="E8" s="0" t="n">
        <f aca="false">E6*E7/100</f>
        <v>3814.4966507648</v>
      </c>
      <c r="F8" s="0" t="n">
        <f aca="false">F6*F7/100</f>
        <v>3948.00403354157</v>
      </c>
      <c r="G8" s="0" t="n">
        <f aca="false">G6*G7/100</f>
        <v>4086.18417471552</v>
      </c>
      <c r="H8" s="0" t="n">
        <f aca="false">H6*H7/100</f>
        <v>4208.76969995699</v>
      </c>
      <c r="I8" s="0" t="n">
        <f aca="false">I6*I7/100</f>
        <v>4335.0327909557</v>
      </c>
      <c r="J8" s="0" t="n">
        <f aca="false">J6*J7/100</f>
        <v>4465.08377468437</v>
      </c>
      <c r="K8" s="0" t="n">
        <f aca="false">K6*K7/100</f>
        <v>4576.71086905148</v>
      </c>
      <c r="L8" s="0" t="n">
        <f aca="false">L6*L7/100</f>
        <v>4691.12864077776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3352.6708248</v>
      </c>
      <c r="D11" s="0" t="n">
        <f aca="false">D8+D10+D24</f>
        <v>3486.777657792</v>
      </c>
      <c r="E11" s="0" t="n">
        <f aca="false">E8+E10+E24</f>
        <v>3675.78768164608</v>
      </c>
      <c r="F11" s="0" t="n">
        <f aca="false">F8+F10+F24</f>
        <v>3804.44025050369</v>
      </c>
      <c r="G11" s="0" t="n">
        <f aca="false">G8+G10+G24</f>
        <v>3937.59565927132</v>
      </c>
      <c r="H11" s="0" t="n">
        <f aca="false">H8+H10+H24</f>
        <v>4055.72352904946</v>
      </c>
      <c r="I11" s="0" t="n">
        <f aca="false">I8+I10+I24</f>
        <v>4177.39523492095</v>
      </c>
      <c r="J11" s="0" t="n">
        <f aca="false">J8+J10+J24</f>
        <v>4302.71709196857</v>
      </c>
      <c r="K11" s="0" t="n">
        <f aca="false">K8+K10+K24</f>
        <v>4410.28501926779</v>
      </c>
      <c r="L11" s="0" t="n">
        <f aca="false">L8+L10+L24</f>
        <v>4520.54214474948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-824.427252</v>
      </c>
      <c r="D12" s="4" t="n">
        <f aca="false">-D6*Assumptions!D31/100</f>
        <v>-857.40434208</v>
      </c>
      <c r="E12" s="4" t="n">
        <f aca="false">-E6*Assumptions!E31/100</f>
        <v>-871.88494874624</v>
      </c>
      <c r="F12" s="4" t="n">
        <f aca="false">-F6*Assumptions!F31/100</f>
        <v>-881.891810089805</v>
      </c>
      <c r="G12" s="4" t="n">
        <f aca="false">-G6*Assumptions!G31/100</f>
        <v>-902.144558054076</v>
      </c>
      <c r="H12" s="4" t="n">
        <f aca="false">-H6*Assumptions!H31/100</f>
        <v>-918.277025445161</v>
      </c>
      <c r="I12" s="4" t="n">
        <f aca="false">-I6*Assumptions!I31/100</f>
        <v>-934.565510777462</v>
      </c>
      <c r="J12" s="4" t="n">
        <f aca="false">-J6*Assumptions!J31/100</f>
        <v>-951.004855906801</v>
      </c>
      <c r="K12" s="4" t="n">
        <f aca="false">-K6*Assumptions!K31/100</f>
        <v>-962.892416605636</v>
      </c>
      <c r="L12" s="4" t="n">
        <f aca="false">-L6*Assumptions!L31/100</f>
        <v>-974.77997730447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2528.2435728</v>
      </c>
      <c r="D13" s="0" t="n">
        <f aca="false">D11+D12</f>
        <v>2629.373315712</v>
      </c>
      <c r="E13" s="0" t="n">
        <f aca="false">E11+E12</f>
        <v>2803.90273289984</v>
      </c>
      <c r="F13" s="0" t="n">
        <f aca="false">F11+F12</f>
        <v>2922.54844041389</v>
      </c>
      <c r="G13" s="0" t="n">
        <f aca="false">G11+G12</f>
        <v>3035.45110121725</v>
      </c>
      <c r="H13" s="0" t="n">
        <f aca="false">H11+H12</f>
        <v>3137.4465036043</v>
      </c>
      <c r="I13" s="0" t="n">
        <f aca="false">I11+I12</f>
        <v>3242.82972414348</v>
      </c>
      <c r="J13" s="0" t="n">
        <f aca="false">J11+J12</f>
        <v>3351.71223606177</v>
      </c>
      <c r="K13" s="0" t="n">
        <f aca="false">K11+K12</f>
        <v>3447.39260266215</v>
      </c>
      <c r="L13" s="0" t="n">
        <f aca="false">L11+L12</f>
        <v>3545.76216744501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12</v>
      </c>
      <c r="D14" s="4" t="n">
        <f aca="false">Assumptions!D33</f>
        <v>12</v>
      </c>
      <c r="E14" s="4" t="n">
        <f aca="false">Assumptions!E33</f>
        <v>13</v>
      </c>
      <c r="F14" s="4" t="n">
        <f aca="false">Assumptions!F33</f>
        <v>14</v>
      </c>
      <c r="G14" s="4" t="n">
        <f aca="false">Assumptions!G33</f>
        <v>15</v>
      </c>
      <c r="H14" s="4" t="n">
        <f aca="false">Assumptions!H33</f>
        <v>15</v>
      </c>
      <c r="I14" s="4" t="n">
        <f aca="false">Assumptions!I33</f>
        <v>15</v>
      </c>
      <c r="J14" s="4" t="n">
        <f aca="false">Assumptions!J33</f>
        <v>15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2224.854344064</v>
      </c>
      <c r="D15" s="0" t="n">
        <f aca="false">D13-MAX(0,D13)*D14/100</f>
        <v>2313.84851782656</v>
      </c>
      <c r="E15" s="0" t="n">
        <f aca="false">E13-MAX(0,E13)*E14/100</f>
        <v>2439.39537762286</v>
      </c>
      <c r="F15" s="0" t="n">
        <f aca="false">F13-MAX(0,F13)*F14/100</f>
        <v>2513.39165875594</v>
      </c>
      <c r="G15" s="0" t="n">
        <f aca="false">G13-MAX(0,G13)*G14/100</f>
        <v>2580.13343603466</v>
      </c>
      <c r="H15" s="0" t="n">
        <f aca="false">H13-MAX(0,H13)*H14/100</f>
        <v>2666.82952806366</v>
      </c>
      <c r="I15" s="0" t="n">
        <f aca="false">I13-MAX(0,I13)*I14/100</f>
        <v>2756.40526552196</v>
      </c>
      <c r="J15" s="0" t="n">
        <f aca="false">J13-MAX(0,J13)*J14/100</f>
        <v>2848.95540065251</v>
      </c>
      <c r="K15" s="0" t="n">
        <f aca="false">K13-MAX(0,K13)*K14/100</f>
        <v>2930.28371226283</v>
      </c>
      <c r="L15" s="0" t="n">
        <f aca="false">L13-MAX(0,L13)*L14/100</f>
        <v>3013.89784232826</v>
      </c>
    </row>
    <row r="16" customFormat="false" ht="15" hidden="false" customHeight="false" outlineLevel="0" collapsed="false">
      <c r="A16" s="0" t="s">
        <v>117</v>
      </c>
      <c r="C16" s="0" t="n">
        <f aca="false">-C12</f>
        <v>824.427252</v>
      </c>
      <c r="D16" s="0" t="n">
        <f aca="false">-D12</f>
        <v>857.40434208</v>
      </c>
      <c r="E16" s="0" t="n">
        <f aca="false">-E12</f>
        <v>871.88494874624</v>
      </c>
      <c r="F16" s="0" t="n">
        <f aca="false">-F12</f>
        <v>881.891810089805</v>
      </c>
      <c r="G16" s="0" t="n">
        <f aca="false">-G12</f>
        <v>902.144558054076</v>
      </c>
      <c r="H16" s="0" t="n">
        <f aca="false">-H12</f>
        <v>918.277025445161</v>
      </c>
      <c r="I16" s="0" t="n">
        <f aca="false">-I12</f>
        <v>934.565510777462</v>
      </c>
      <c r="J16" s="0" t="n">
        <f aca="false">-J12</f>
        <v>951.004855906801</v>
      </c>
      <c r="K16" s="0" t="n">
        <f aca="false">-K12</f>
        <v>962.892416605636</v>
      </c>
      <c r="L16" s="0" t="n">
        <f aca="false">-L12</f>
        <v>974.77997730447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-916.03028</v>
      </c>
      <c r="D17" s="4" t="n">
        <f aca="false">-D6*Assumptions!D32/100</f>
        <v>-952.6714912</v>
      </c>
      <c r="E17" s="4" t="n">
        <f aca="false">-E6*Assumptions!E32/100</f>
        <v>-891.7005157632</v>
      </c>
      <c r="F17" s="4" t="n">
        <f aca="false">-F6*Assumptions!F32/100</f>
        <v>-871.637254158528</v>
      </c>
      <c r="G17" s="4" t="n">
        <f aca="false">-G6*Assumptions!G32/100</f>
        <v>-849.077231109719</v>
      </c>
      <c r="H17" s="4" t="n">
        <f aca="false">-H6*Assumptions!H32/100</f>
        <v>-874.54954804301</v>
      </c>
      <c r="I17" s="4" t="n">
        <f aca="false">-I6*Assumptions!I32/100</f>
        <v>-900.786034484301</v>
      </c>
      <c r="J17" s="4" t="n">
        <f aca="false">-J6*Assumptions!J32/100</f>
        <v>-927.80961551883</v>
      </c>
      <c r="K17" s="4" t="n">
        <f aca="false">-K6*Assumptions!K32/100</f>
        <v>-951.004855906801</v>
      </c>
      <c r="L17" s="4" t="n">
        <f aca="false">-L6*Assumptions!L32/100</f>
        <v>-974.77997730447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-59.1694199999999</v>
      </c>
      <c r="D18" s="4" t="n">
        <f aca="false">(D6-C6)*Assumptions!$B$37/100</f>
        <v>-54.9618168</v>
      </c>
      <c r="E18" s="4" t="n">
        <f aca="false">(E6-D6)*Assumptions!$B$37/100</f>
        <v>-57.1602894719999</v>
      </c>
      <c r="F18" s="4" t="n">
        <f aca="false">(F6-E6)*Assumptions!$B$37/100</f>
        <v>-52.0158634195199</v>
      </c>
      <c r="G18" s="4" t="n">
        <f aca="false">(G6-F6)*Assumptions!$B$37/100</f>
        <v>-53.8364186392031</v>
      </c>
      <c r="H18" s="4" t="n">
        <f aca="false">(H6-G6)*Assumptions!$B$37/100</f>
        <v>-47.7605942499217</v>
      </c>
      <c r="I18" s="4" t="n">
        <f aca="false">(I6-H6)*Assumptions!$B$37/100</f>
        <v>-49.1934120774194</v>
      </c>
      <c r="J18" s="4" t="n">
        <f aca="false">(J6-I6)*Assumptions!$B$37/100</f>
        <v>-50.669214439742</v>
      </c>
      <c r="K18" s="4" t="n">
        <f aca="false">(K6-J6)*Assumptions!$B$37/100</f>
        <v>-43.4910757274451</v>
      </c>
      <c r="L18" s="4" t="n">
        <f aca="false">(L6-K6)*Assumptions!$B$37/100</f>
        <v>-44.578352620631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2074.081896064</v>
      </c>
      <c r="D19" s="0" t="n">
        <f aca="false">D15+D16+D17+D18</f>
        <v>2163.61955190656</v>
      </c>
      <c r="E19" s="0" t="n">
        <f aca="false">E15+E16+E17+E18</f>
        <v>2362.4195211339</v>
      </c>
      <c r="F19" s="0" t="n">
        <f aca="false">F15+F16+F17+F18</f>
        <v>2471.6303512677</v>
      </c>
      <c r="G19" s="0" t="n">
        <f aca="false">G15+G16+G17+G18</f>
        <v>2579.36434433981</v>
      </c>
      <c r="H19" s="0" t="n">
        <f aca="false">H15+H16+H17+H18</f>
        <v>2662.79641121588</v>
      </c>
      <c r="I19" s="0" t="n">
        <f aca="false">I15+I16+I17+I18</f>
        <v>2740.9913297377</v>
      </c>
      <c r="J19" s="0" t="n">
        <f aca="false">J15+J16+J17+J18</f>
        <v>2821.48142660074</v>
      </c>
      <c r="K19" s="0" t="n">
        <f aca="false">K15+K16+K17+K18</f>
        <v>2898.68019723422</v>
      </c>
      <c r="L19" s="0" t="n">
        <f aca="false">L15+L16+L17+L18</f>
        <v>2969.31948970763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1902.82742758165</v>
      </c>
      <c r="D21" s="0" t="n">
        <f aca="false">D19*D20</f>
        <v>1821.07528988011</v>
      </c>
      <c r="E21" s="0" t="n">
        <f aca="false">E19*E20</f>
        <v>1824.22132719337</v>
      </c>
      <c r="F21" s="0" t="n">
        <f aca="false">F19*F20</f>
        <v>1750.96525327197</v>
      </c>
      <c r="G21" s="0" t="n">
        <f aca="false">G19*G20</f>
        <v>1676.4098440853</v>
      </c>
      <c r="H21" s="0" t="n">
        <f aca="false">H19*H20</f>
        <v>1587.73849813926</v>
      </c>
      <c r="I21" s="0" t="n">
        <f aca="false">I19*I20</f>
        <v>1499.41612218514</v>
      </c>
      <c r="J21" s="0" t="n">
        <f aca="false">J19*J20</f>
        <v>1416.00638673393</v>
      </c>
      <c r="K21" s="0" t="n">
        <f aca="false">K19*K20</f>
        <v>1334.63288674042</v>
      </c>
      <c r="L21" s="0" t="n">
        <f aca="false">L19*L20</f>
        <v>1254.27264157849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1.4</v>
      </c>
      <c r="D23" s="4" t="n">
        <f aca="false">Assumptions!D30</f>
        <v>1.4</v>
      </c>
      <c r="E23" s="4" t="n">
        <f aca="false">Assumptions!E30</f>
        <v>1.4</v>
      </c>
      <c r="F23" s="4" t="n">
        <f aca="false">Assumptions!F30</f>
        <v>1.4</v>
      </c>
      <c r="G23" s="4" t="n">
        <f aca="false">Assumptions!G30</f>
        <v>1.4</v>
      </c>
      <c r="H23" s="4" t="n">
        <f aca="false">Assumptions!H30</f>
        <v>1.4</v>
      </c>
      <c r="I23" s="4" t="n">
        <f aca="false">Assumptions!I30</f>
        <v>1.4</v>
      </c>
      <c r="J23" s="4" t="n">
        <f aca="false">Assumptions!J30</f>
        <v>1.4</v>
      </c>
      <c r="K23" s="4" t="n">
        <f aca="false">Assumptions!K30</f>
        <v>1.4</v>
      </c>
      <c r="L23" s="4" t="n">
        <f aca="false">Assumptions!L30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-128.2442392</v>
      </c>
      <c r="D24" s="0" t="n">
        <f aca="false">-D6*D23/100</f>
        <v>-133.374008768</v>
      </c>
      <c r="E24" s="0" t="n">
        <f aca="false">-E6*E23/100</f>
        <v>-138.70896911872</v>
      </c>
      <c r="F24" s="0" t="n">
        <f aca="false">-F6*F23/100</f>
        <v>-143.563783037875</v>
      </c>
      <c r="G24" s="0" t="n">
        <f aca="false">-G6*G23/100</f>
        <v>-148.588515444201</v>
      </c>
      <c r="H24" s="0" t="n">
        <f aca="false">-H6*H23/100</f>
        <v>-153.046170907527</v>
      </c>
      <c r="I24" s="0" t="n">
        <f aca="false">-I6*I23/100</f>
        <v>-157.637556034753</v>
      </c>
      <c r="J24" s="0" t="n">
        <f aca="false">-J6*J23/100</f>
        <v>-162.366682715795</v>
      </c>
      <c r="K24" s="0" t="n">
        <f aca="false">-K6*K23/100</f>
        <v>-166.42584978369</v>
      </c>
      <c r="L24" s="0" t="n">
        <f aca="false">-L6*L23/100</f>
        <v>-170.586496028282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16067.5656773896</v>
      </c>
    </row>
    <row r="31" customFormat="false" ht="15" hidden="false" customHeight="false" outlineLevel="0" collapsed="false">
      <c r="A31" s="0" t="s">
        <v>126</v>
      </c>
      <c r="B31" s="0" t="n">
        <f aca="false">L19</f>
        <v>2969.31948970763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46823.8842607741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44539.7923456144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44539.7923456144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18814.0896236774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34881.6553010671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52442.1553010671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21.0058233101454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1.33917854233246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21.0058233101454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24348.4198156025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14.3916218478728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8765.84</v>
      </c>
      <c r="C6" s="0" t="n">
        <f aca="false">B6*(1+C5/100)</f>
        <v>9291.7904</v>
      </c>
      <c r="D6" s="0" t="n">
        <f aca="false">C6*(1+D5/100)</f>
        <v>9849.297824</v>
      </c>
      <c r="E6" s="0" t="n">
        <f aca="false">D6*(1+E5/100)</f>
        <v>10391.00920432</v>
      </c>
      <c r="F6" s="0" t="n">
        <f aca="false">E6*(1+F5/100)</f>
        <v>10910.559664536</v>
      </c>
      <c r="G6" s="0" t="n">
        <f aca="false">F6*(1+G5/100)</f>
        <v>11456.0876477628</v>
      </c>
      <c r="H6" s="0" t="n">
        <f aca="false">G6*(1+H5/100)</f>
        <v>11971.6115919121</v>
      </c>
      <c r="I6" s="0" t="n">
        <f aca="false">H6*(1+I5/100)</f>
        <v>12450.4760555886</v>
      </c>
      <c r="J6" s="0" t="n">
        <f aca="false">I6*(1+J5/100)</f>
        <v>12886.2427175342</v>
      </c>
      <c r="K6" s="0" t="n">
        <f aca="false">J6*(1+K5/100)</f>
        <v>13272.8299990602</v>
      </c>
      <c r="L6" s="0" t="n">
        <f aca="false">K6*(1+L5/100)</f>
        <v>13671.014899032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38.5</v>
      </c>
      <c r="D7" s="4" t="n">
        <f aca="false">Assumptions!D42</f>
        <v>39</v>
      </c>
      <c r="E7" s="4" t="n">
        <f aca="false">Assumptions!E42</f>
        <v>39.5</v>
      </c>
      <c r="F7" s="4" t="n">
        <f aca="false">Assumptions!F42</f>
        <v>40</v>
      </c>
      <c r="G7" s="4" t="n">
        <f aca="false">Assumptions!G42</f>
        <v>40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44</v>
      </c>
      <c r="C8" s="0" t="n">
        <f aca="false">C6*C7/100</f>
        <v>3577.339304</v>
      </c>
      <c r="D8" s="0" t="n">
        <f aca="false">D6*D7/100</f>
        <v>3841.22615136</v>
      </c>
      <c r="E8" s="0" t="n">
        <f aca="false">E6*E7/100</f>
        <v>4104.4486357064</v>
      </c>
      <c r="F8" s="0" t="n">
        <f aca="false">F6*F7/100</f>
        <v>4364.2238658144</v>
      </c>
      <c r="G8" s="0" t="n">
        <f aca="false">G6*G7/100</f>
        <v>4582.43505910512</v>
      </c>
      <c r="H8" s="0" t="n">
        <f aca="false">H6*H7/100</f>
        <v>4788.64463676485</v>
      </c>
      <c r="I8" s="0" t="n">
        <f aca="false">I6*I7/100</f>
        <v>4980.19042223544</v>
      </c>
      <c r="J8" s="0" t="n">
        <f aca="false">J6*J7/100</f>
        <v>5154.49708701369</v>
      </c>
      <c r="K8" s="0" t="n">
        <f aca="false">K6*K7/100</f>
        <v>5309.1319996241</v>
      </c>
      <c r="L8" s="0" t="n">
        <f aca="false">L6*L7/100</f>
        <v>5468.40595961282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3447.2542384</v>
      </c>
      <c r="D11" s="0" t="n">
        <f aca="false">D8+D10+D24</f>
        <v>3703.335981824</v>
      </c>
      <c r="E11" s="0" t="n">
        <f aca="false">E8+E10+E24</f>
        <v>3958.97450684592</v>
      </c>
      <c r="F11" s="0" t="n">
        <f aca="false">F8+F10+F24</f>
        <v>4211.4760305109</v>
      </c>
      <c r="G11" s="0" t="n">
        <f aca="false">G8+G10+G24</f>
        <v>4422.04983203644</v>
      </c>
      <c r="H11" s="0" t="n">
        <f aca="false">H8+H10+H24</f>
        <v>4621.04207447808</v>
      </c>
      <c r="I11" s="0" t="n">
        <f aca="false">I8+I10+I24</f>
        <v>4805.8837574572</v>
      </c>
      <c r="J11" s="0" t="n">
        <f aca="false">J8+J10+J24</f>
        <v>4974.08968896821</v>
      </c>
      <c r="K11" s="0" t="n">
        <f aca="false">K8+K10+K24</f>
        <v>5123.31237963725</v>
      </c>
      <c r="L11" s="0" t="n">
        <f aca="false">L8+L10+L24</f>
        <v>5277.01175102637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-836.261136</v>
      </c>
      <c r="D12" s="4" t="n">
        <f aca="false">-D6*Assumptions!D45/100</f>
        <v>-886.43680416</v>
      </c>
      <c r="E12" s="4" t="n">
        <f aca="false">-E6*Assumptions!E45/100</f>
        <v>-914.40880998016</v>
      </c>
      <c r="F12" s="4" t="n">
        <f aca="false">-F6*Assumptions!F45/100</f>
        <v>-938.308131150096</v>
      </c>
      <c r="G12" s="4" t="n">
        <f aca="false">-G6*Assumptions!G45/100</f>
        <v>-973.767450059838</v>
      </c>
      <c r="H12" s="4" t="n">
        <f aca="false">-H6*Assumptions!H45/100</f>
        <v>-1005.61537372062</v>
      </c>
      <c r="I12" s="4" t="n">
        <f aca="false">-I6*Assumptions!I45/100</f>
        <v>-1033.38951261386</v>
      </c>
      <c r="J12" s="4" t="n">
        <f aca="false">-J6*Assumptions!J45/100</f>
        <v>-1056.67190283781</v>
      </c>
      <c r="K12" s="4" t="n">
        <f aca="false">-K6*Assumptions!K45/100</f>
        <v>-1075.09922992388</v>
      </c>
      <c r="L12" s="4" t="n">
        <f aca="false">-L6*Assumptions!L45/100</f>
        <v>-1093.68119192256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2610.9931024</v>
      </c>
      <c r="D13" s="0" t="n">
        <f aca="false">D11+D12</f>
        <v>2816.899177664</v>
      </c>
      <c r="E13" s="0" t="n">
        <f aca="false">E11+E12</f>
        <v>3044.56569686576</v>
      </c>
      <c r="F13" s="0" t="n">
        <f aca="false">F11+F12</f>
        <v>3273.1678993608</v>
      </c>
      <c r="G13" s="0" t="n">
        <f aca="false">G11+G12</f>
        <v>3448.2823819766</v>
      </c>
      <c r="H13" s="0" t="n">
        <f aca="false">H11+H12</f>
        <v>3615.42670075746</v>
      </c>
      <c r="I13" s="0" t="n">
        <f aca="false">I11+I12</f>
        <v>3772.49424484335</v>
      </c>
      <c r="J13" s="0" t="n">
        <f aca="false">J11+J12</f>
        <v>3917.4177861304</v>
      </c>
      <c r="K13" s="0" t="n">
        <f aca="false">K11+K12</f>
        <v>4048.21314971337</v>
      </c>
      <c r="L13" s="0" t="n">
        <f aca="false">L11+L12</f>
        <v>4183.33055910381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11</v>
      </c>
      <c r="D14" s="4" t="n">
        <f aca="false">Assumptions!D47</f>
        <v>11</v>
      </c>
      <c r="E14" s="4" t="n">
        <f aca="false">Assumptions!E47</f>
        <v>12</v>
      </c>
      <c r="F14" s="4" t="n">
        <f aca="false">Assumptions!F47</f>
        <v>12</v>
      </c>
      <c r="G14" s="4" t="n">
        <f aca="false">Assumptions!G47</f>
        <v>12</v>
      </c>
      <c r="H14" s="4" t="n">
        <f aca="false">Assumptions!H47</f>
        <v>12</v>
      </c>
      <c r="I14" s="4" t="n">
        <f aca="false">Assumptions!I47</f>
        <v>12</v>
      </c>
      <c r="J14" s="4" t="n">
        <f aca="false">Assumptions!J47</f>
        <v>12</v>
      </c>
      <c r="K14" s="4" t="n">
        <f aca="false">Assumptions!K47</f>
        <v>12</v>
      </c>
      <c r="L14" s="4" t="n">
        <f aca="false">Assumptions!L47</f>
        <v>12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2323.783861136</v>
      </c>
      <c r="D15" s="0" t="n">
        <f aca="false">D13-MAX(0,D13)*D14/100</f>
        <v>2507.04026812096</v>
      </c>
      <c r="E15" s="0" t="n">
        <f aca="false">E13-MAX(0,E13)*E14/100</f>
        <v>2679.21781324187</v>
      </c>
      <c r="F15" s="0" t="n">
        <f aca="false">F13-MAX(0,F13)*F14/100</f>
        <v>2880.3877514375</v>
      </c>
      <c r="G15" s="0" t="n">
        <f aca="false">G13-MAX(0,G13)*G14/100</f>
        <v>3034.48849613941</v>
      </c>
      <c r="H15" s="0" t="n">
        <f aca="false">H13-MAX(0,H13)*H14/100</f>
        <v>3181.57549666657</v>
      </c>
      <c r="I15" s="0" t="n">
        <f aca="false">I13-MAX(0,I13)*I14/100</f>
        <v>3319.79493546215</v>
      </c>
      <c r="J15" s="0" t="n">
        <f aca="false">J13-MAX(0,J13)*J14/100</f>
        <v>3447.32765179475</v>
      </c>
      <c r="K15" s="0" t="n">
        <f aca="false">K13-MAX(0,K13)*K14/100</f>
        <v>3562.42757174777</v>
      </c>
      <c r="L15" s="0" t="n">
        <f aca="false">L13-MAX(0,L13)*L14/100</f>
        <v>3681.33089201135</v>
      </c>
    </row>
    <row r="16" customFormat="false" ht="15" hidden="false" customHeight="false" outlineLevel="0" collapsed="false">
      <c r="A16" s="0" t="s">
        <v>117</v>
      </c>
      <c r="C16" s="0" t="n">
        <f aca="false">-C12</f>
        <v>836.261136</v>
      </c>
      <c r="D16" s="0" t="n">
        <f aca="false">-D12</f>
        <v>886.43680416</v>
      </c>
      <c r="E16" s="0" t="n">
        <f aca="false">-E12</f>
        <v>914.40880998016</v>
      </c>
      <c r="F16" s="0" t="n">
        <f aca="false">-F12</f>
        <v>938.308131150096</v>
      </c>
      <c r="G16" s="0" t="n">
        <f aca="false">-G12</f>
        <v>973.767450059838</v>
      </c>
      <c r="H16" s="0" t="n">
        <f aca="false">-H12</f>
        <v>1005.61537372062</v>
      </c>
      <c r="I16" s="0" t="n">
        <f aca="false">-I12</f>
        <v>1033.38951261386</v>
      </c>
      <c r="J16" s="0" t="n">
        <f aca="false">-J12</f>
        <v>1056.67190283781</v>
      </c>
      <c r="K16" s="0" t="n">
        <f aca="false">-K12</f>
        <v>1075.09922992388</v>
      </c>
      <c r="L16" s="0" t="n">
        <f aca="false">-L12</f>
        <v>1093.68119192256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-929.17904</v>
      </c>
      <c r="D17" s="4" t="n">
        <f aca="false">-D6*Assumptions!D46/100</f>
        <v>-935.68329328</v>
      </c>
      <c r="E17" s="4" t="n">
        <f aca="false">-E6*Assumptions!E46/100</f>
        <v>-883.2357823672</v>
      </c>
      <c r="F17" s="4" t="n">
        <f aca="false">-F6*Assumptions!F46/100</f>
        <v>-872.84477316288</v>
      </c>
      <c r="G17" s="4" t="n">
        <f aca="false">-G6*Assumptions!G46/100</f>
        <v>-859.20657358221</v>
      </c>
      <c r="H17" s="4" t="n">
        <f aca="false">-H6*Assumptions!H46/100</f>
        <v>-897.870869393409</v>
      </c>
      <c r="I17" s="4" t="n">
        <f aca="false">-I6*Assumptions!I46/100</f>
        <v>-933.785704169146</v>
      </c>
      <c r="J17" s="4" t="n">
        <f aca="false">-J6*Assumptions!J46/100</f>
        <v>-966.468203815066</v>
      </c>
      <c r="K17" s="4" t="n">
        <f aca="false">-K6*Assumptions!K46/100</f>
        <v>-995.462249929518</v>
      </c>
      <c r="L17" s="4" t="n">
        <f aca="false">-L6*Assumptions!L46/100</f>
        <v>-1025.3261174274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-52.59504</v>
      </c>
      <c r="D18" s="4" t="n">
        <f aca="false">(D6-C6)*Assumptions!$B$51/100</f>
        <v>-55.7507424000001</v>
      </c>
      <c r="E18" s="4" t="n">
        <f aca="false">(E6-D6)*Assumptions!$B$51/100</f>
        <v>-54.1711380319999</v>
      </c>
      <c r="F18" s="4" t="n">
        <f aca="false">(F6-E6)*Assumptions!$B$51/100</f>
        <v>-51.9550460216</v>
      </c>
      <c r="G18" s="4" t="n">
        <f aca="false">(G6-F6)*Assumptions!$B$51/100</f>
        <v>-54.5527983226801</v>
      </c>
      <c r="H18" s="4" t="n">
        <f aca="false">(H6-G6)*Assumptions!$B$51/100</f>
        <v>-51.5523944149325</v>
      </c>
      <c r="I18" s="4" t="n">
        <f aca="false">(I6-H6)*Assumptions!$B$51/100</f>
        <v>-47.8864463676486</v>
      </c>
      <c r="J18" s="4" t="n">
        <f aca="false">(J6-I6)*Assumptions!$B$51/100</f>
        <v>-43.5766661945601</v>
      </c>
      <c r="K18" s="4" t="n">
        <f aca="false">(K6-J6)*Assumptions!$B$51/100</f>
        <v>-38.6587281526026</v>
      </c>
      <c r="L18" s="4" t="n">
        <f aca="false">(L6-K6)*Assumptions!$B$51/100</f>
        <v>-39.8184899971808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2178.270917136</v>
      </c>
      <c r="D19" s="0" t="n">
        <f aca="false">D15+D16+D17+D18</f>
        <v>2402.04303660096</v>
      </c>
      <c r="E19" s="0" t="n">
        <f aca="false">E15+E16+E17+E18</f>
        <v>2656.21970282283</v>
      </c>
      <c r="F19" s="0" t="n">
        <f aca="false">F15+F16+F17+F18</f>
        <v>2893.89606340312</v>
      </c>
      <c r="G19" s="0" t="n">
        <f aca="false">G15+G16+G17+G18</f>
        <v>3094.49657429436</v>
      </c>
      <c r="H19" s="0" t="n">
        <f aca="false">H15+H16+H17+H18</f>
        <v>3237.76760657884</v>
      </c>
      <c r="I19" s="0" t="n">
        <f aca="false">I15+I16+I17+I18</f>
        <v>3371.51229753921</v>
      </c>
      <c r="J19" s="0" t="n">
        <f aca="false">J15+J16+J17+J18</f>
        <v>3493.95468462293</v>
      </c>
      <c r="K19" s="0" t="n">
        <f aca="false">K15+K16+K17+K18</f>
        <v>3603.40582358953</v>
      </c>
      <c r="L19" s="0" t="n">
        <f aca="false">L15+L16+L17+L18</f>
        <v>3709.86747650933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1998.41368544587</v>
      </c>
      <c r="D21" s="0" t="n">
        <f aca="false">D19*D20</f>
        <v>2021.75156687228</v>
      </c>
      <c r="E21" s="0" t="n">
        <f aca="false">E19*E20</f>
        <v>2051.0889739325</v>
      </c>
      <c r="F21" s="0" t="n">
        <f aca="false">F19*F20</f>
        <v>2050.1089295171</v>
      </c>
      <c r="G21" s="0" t="n">
        <f aca="false">G19*G20</f>
        <v>2011.21044842661</v>
      </c>
      <c r="H21" s="0" t="n">
        <f aca="false">H19*H20</f>
        <v>1930.57503583088</v>
      </c>
      <c r="I21" s="0" t="n">
        <f aca="false">I19*I20</f>
        <v>1844.33268366432</v>
      </c>
      <c r="J21" s="0" t="n">
        <f aca="false">J19*J20</f>
        <v>1753.49803891695</v>
      </c>
      <c r="K21" s="0" t="n">
        <f aca="false">K19*K20</f>
        <v>1659.10814205143</v>
      </c>
      <c r="L21" s="0" t="n">
        <f aca="false">L19*L20</f>
        <v>1567.08811422838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1.4</v>
      </c>
      <c r="D23" s="4" t="n">
        <f aca="false">Assumptions!D44</f>
        <v>1.4</v>
      </c>
      <c r="E23" s="4" t="n">
        <f aca="false">Assumptions!E44</f>
        <v>1.4</v>
      </c>
      <c r="F23" s="4" t="n">
        <f aca="false">Assumptions!F44</f>
        <v>1.4</v>
      </c>
      <c r="G23" s="4" t="n">
        <f aca="false">Assumptions!G44</f>
        <v>1.4</v>
      </c>
      <c r="H23" s="4" t="n">
        <f aca="false">Assumptions!H44</f>
        <v>1.4</v>
      </c>
      <c r="I23" s="4" t="n">
        <f aca="false">Assumptions!I44</f>
        <v>1.4</v>
      </c>
      <c r="J23" s="4" t="n">
        <f aca="false">Assumptions!J44</f>
        <v>1.4</v>
      </c>
      <c r="K23" s="4" t="n">
        <f aca="false">Assumptions!K44</f>
        <v>1.4</v>
      </c>
      <c r="L23" s="4" t="n">
        <f aca="false">Assumptions!L44</f>
        <v>1.4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-130.0850656</v>
      </c>
      <c r="D24" s="0" t="n">
        <f aca="false">-D6*D23/100</f>
        <v>-137.890169536</v>
      </c>
      <c r="E24" s="0" t="n">
        <f aca="false">-E6*E23/100</f>
        <v>-145.47412886048</v>
      </c>
      <c r="F24" s="0" t="n">
        <f aca="false">-F6*F23/100</f>
        <v>-152.747835303504</v>
      </c>
      <c r="G24" s="0" t="n">
        <f aca="false">-G6*G23/100</f>
        <v>-160.385227068679</v>
      </c>
      <c r="H24" s="0" t="n">
        <f aca="false">-H6*H23/100</f>
        <v>-167.60256228677</v>
      </c>
      <c r="I24" s="0" t="n">
        <f aca="false">-I6*I23/100</f>
        <v>-174.306664778241</v>
      </c>
      <c r="J24" s="0" t="n">
        <f aca="false">-J6*J23/100</f>
        <v>-180.407398045479</v>
      </c>
      <c r="K24" s="0" t="n">
        <f aca="false">-K6*K23/100</f>
        <v>-185.819619986843</v>
      </c>
      <c r="L24" s="0" t="n">
        <f aca="false">-L6*L23/100</f>
        <v>-191.394208586449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18887.1756188863</v>
      </c>
    </row>
    <row r="31" customFormat="false" ht="15" hidden="false" customHeight="false" outlineLevel="0" collapsed="false">
      <c r="A31" s="0" t="s">
        <v>126</v>
      </c>
      <c r="B31" s="0" t="n">
        <f aca="false">L19</f>
        <v>3709.86747650933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63686.0583467435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55648.01214764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55648.01214764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23506.3217134257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42393.497332312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59953.997332312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24.0147085387593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1.67424371255672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24.0147085387593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31843.0291733718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15.9549693707708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15.3732455272743</v>
      </c>
      <c r="C4" s="0" t="n">
        <f aca="false">B4/Assumptions!$B$2-1</f>
        <v>0.711942709050585</v>
      </c>
      <c r="D4" s="4" t="n">
        <f aca="false">Assumptions!$B$24</f>
        <v>0.3</v>
      </c>
      <c r="E4" s="4" t="n">
        <f aca="false">DCF_Bear!$B$43</f>
        <v>15.3732455272743</v>
      </c>
      <c r="F4" s="4" t="n">
        <f aca="false">DCF_Bear!$B$47</f>
        <v>11.9951348741654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21.0058233101454</v>
      </c>
      <c r="C5" s="0" t="n">
        <f aca="false">B5/Assumptions!$B$2-1</f>
        <v>1.33917854233246</v>
      </c>
      <c r="D5" s="4" t="n">
        <f aca="false">Assumptions!$B$38</f>
        <v>0.5</v>
      </c>
      <c r="E5" s="4" t="n">
        <f aca="false">DCF_Base!$B$43</f>
        <v>21.0058233101454</v>
      </c>
      <c r="F5" s="4" t="n">
        <f aca="false">DCF_Base!$B$47</f>
        <v>14.3916218478728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24.0147085387593</v>
      </c>
      <c r="C6" s="0" t="n">
        <f aca="false">B6/Assumptions!$B$2-1</f>
        <v>1.67424371255672</v>
      </c>
      <c r="D6" s="4" t="n">
        <f aca="false">Assumptions!$B$52</f>
        <v>0.2</v>
      </c>
      <c r="E6" s="4" t="n">
        <f aca="false">DCF_Bull!$B$43</f>
        <v>24.0147085387593</v>
      </c>
      <c r="F6" s="4" t="n">
        <f aca="false">DCF_Bull!$B$47</f>
        <v>15.9549693707708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19.9178270210069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19.9178270210069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0.549147605784054</v>
      </c>
    </row>
    <row r="11" customFormat="false" ht="15" hidden="false" customHeight="false" outlineLevel="0" collapsed="false">
      <c r="A11" s="0" t="s">
        <v>153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13.9853452603402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21.0058233101454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19.444579958722</v>
      </c>
      <c r="C16" s="3" t="n">
        <v>10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17.9563232663948</v>
      </c>
      <c r="C17" s="3" t="n">
        <v>11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16.7823706212061</v>
      </c>
      <c r="C18" s="3" t="n">
        <v>12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14.3916218478728</v>
      </c>
      <c r="C19" s="3" t="n">
        <v>15</v>
      </c>
    </row>
    <row r="21" customFormat="false" ht="15" hidden="false" customHeight="false" outlineLevel="0" collapsed="false">
      <c r="A21" s="2" t="s">
        <v>162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23.1892091030953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23.1892091030953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23.1892091030953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23.1892091030953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23.1892091030953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22.0468554042561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22.0468554042561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22.0468554042561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22.0468554042561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22.0468554042561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20.2689674410572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20.7905082834638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21.0058233101454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21.0058233101454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21.0058233101454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18.6533517738642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19.0242399855163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19.444579958722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19.9249684995285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20.0559835561121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17.3805297575376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17.6524322478313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17.9563232663948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18.2982006622787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18.6856617109472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2026-10-11T06:11:41Z</dcterms:created>
  <dc:creator>openpyxl</dc:creator>
  <dc:description/>
  <dc:language>en-NZ</dc:language>
  <cp:lastModifiedBy/>
  <dcterms:modified xsi:type="dcterms:W3CDTF">2026-10-11T06:11:41Z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