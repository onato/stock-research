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<sst xmlns="http://schemas.openxmlformats.org/spreadsheetml/2006/main" count="363" uniqueCount="168">
  <si>
    <t xml:space="preserve">Ticker</t>
  </si>
  <si>
    <t xml:space="preserve">4204.T</t>
  </si>
  <si>
    <t xml:space="preserve">Company</t>
  </si>
  <si>
    <t xml:space="preserve">Sekisui Chemical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</si>
  <si>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</si>
  <si>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</si>
  <si>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</si>
  <si>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</si>
  <si>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close, Tokyo Stock Exchange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</si>
  <si>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</si>
  <si>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</si>
  <si>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</si>
  <si>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</si>
  <si>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</si>
  <si>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</si>
  <si>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</si>
  <si>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</si>
  <si>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</si>
  <si>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</si>
  <si>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</si>
  <si>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</si>
  <si>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2026-10-31T01:45:11Z</t>
  </si>
  <si>
    <t xml:space="preserve">Drivers file</t>
  </si>
  <si>
    <t xml:space="preserve">4204.T_Drivers.json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</si>
  <si>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</si>
  <si>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</si>
  <si>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</si>
  <si>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on a diversified, modestly cyclical Japanese industrial in the middle of a debt-funded capex supercycle. The valuation is deliberately terminal-heavy: the first three forecast years carry ~9% capex against ~4.5% D&amp;A, so near-term owner FCF is near zero and the value rests on capex normalising to 5.5% and the EBITDA margin holding ~13% from year 4. No SBC (J-GAAP), so house and street coincide. Risk is charged once, in the scenario flows and the 25/50/25 weights, with a single 7.5% JPY WACC across scenarios. The equity bridge deducts leases (treatment A) and NCI once each and adds the ¥102bn cross-shareholding/affiliate portfolio at an 80% haircut, because its income is outside the modelled flows. M&amp;A and future buybacks are excluded and are upside to the flat share count.
key_risks_to_valuation: Capex normalisation: if the ~9% capex intensity persists beyond FY2029 (perovskite phase 2, gigawatt ambitions by 2030) the mature FCF margin is 2-3pp lower and the value falls proportionately; the terminal value is ~65-70% of EV; Pre-emptive demand reversal in H2 FY2027 larger than guided, turning the year-1 beat into a FY2028 decline; High Performance Plastics cyclicality (semiconductor/display/auto/aircraft) at or near a cyclical peak; FY2021 showed OP falling ~45% in a downturn; Recurring portfolio-pruning charges (¥23.3bn impairments in FY2026, more implied in FY2027 guidance) that the component build treats as mostly non-cash; Japanese housing demand under rising mortgage rates and a shrinking population; Housing is 41% of sales; Cross-shareholding portfolio marked at an 80% haircut; a 100% or 60% treatment moves the per-share value by about ¥50 either way; WACC: a 1pp move in the JPY discount rate moves base value by roughly 10-12% because the terminal weight is high</t>
  </si>
  <si>
    <t xml:space="preserve">Data sources</t>
  </si>
  <si>
    <t xml:space="preserve">price: Yahoo Finance chart API at inputs.price_as_of (regular TSE close); 52-week range 2,248-3,065
financials: research/4204.T/Reports/4204.T_Metrics.csv (core_metrics, J-GAAP consolidated, JPY millions, FY2017-H1 FY2027 repo labels); H1 tanshin for the six months to 30 Sept 2026 (4204.T_HalfYear_H1-2026.txt) for the balance sheet, share count and revised FY guidance; FY2025 annual tanshin (4204.T_Annual_FY2025.txt) for capex split, lease repayments, taxes paid and D&amp;A
qualitative: research/4204.T/Reports/4204.T_Analysis.json (Accelerate 2028 plan, segment mix, guidance history, bull/bear axes)</t>
  </si>
  <si>
    <t xml:space="preserve">Scenario narrative: bear</t>
  </si>
  <si>
    <t xml:space="preserve">The H1 FY2027 beat was substantially front-loaded demand; H2 reverses, FY2028 is flat, and the HPP cycle turns while Middle East raw-material inflation squeezes spreads. Housing new-build volumes keep falling. Margins revert to the 11-11.5% EBITDA range of FY2021-FY2023, the committed capex earns sub-par returns, and restructuring/impairment charges keep recurring. Terminal cap 13x, growth 0.5%.</t>
  </si>
  <si>
    <t xml:space="preserve">Scenario narrative: base</t>
  </si>
  <si>
    <t xml:space="preserve">Year 1 lands slightly under the revised ¥1,491bn / ¥123bn OP guidance as the H1 pre-emptive-demand pull-forward partly reverses in H2. Growth then settles at 3-4% for two years (plan mostly but not fully delivered, no M&amp;A credited) and fades to 1.5% as the domestic housing and infrastructure businesses track Japan's demographics while HPP (interlayer film, electronic materials) and renovation/infrastructure renewal grow mid-single digits. EBITDA margin matures at 13.0% with D&amp;A at 5.0%, i.e. OP margin ~8%, below the 9.4% plan target. The Accelerate 2028 capex programme depresses owner FCF to roughly zero in year 1 and only reaches a mature ~5% FCF margin from year 6, which is why the valuation is terminal-heavy and why the capex normalisation assumption matters more than the growth path.</t>
  </si>
  <si>
    <t xml:space="preserve">Scenario narrative: bull</t>
  </si>
  <si>
    <t xml:space="preserve">Accelerate 2028 delivered: ¥1,600bn+ sales and ¥150bn OP by FY2029 on sustained semiconductor/display strength, HUD interlayer film and aircraft demand, housing mix-shift to apartments and high-end homes, and a successful SOLAFIL perovskite ramp (100MW line FY2028 in repo labels). Margin reaches 14.2% EBITDA and growth fades more slowly (2% terminal with 1.5% perpetuity).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</si>
  <si>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</si>
  <si>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</si>
  <si>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</si>
  <si>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</si>
  <si>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</si>
  <si>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</si>
  <si>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</si>
  <si>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</si>
  <si>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</si>
  <si>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</si>
  <si>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</si>
  <si>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</si>
  <si>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</si>
  <si>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</si>
  <si>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</si>
  <si>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</si>
  <si>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</si>
  <si>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</si>
  <si>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</si>
  <si>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</si>
  <si>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</si>
  <si>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</si>
  <si>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</si>
  <si>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</si>
  <si>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</si>
  <si>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</si>
  <si>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</si>
  <si>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NetAssets</t>
  </si>
  <si>
    <t xml:space="preserve">OrdinaryIncome</t>
  </si>
  <si>
    <t xml:space="preserve">SegmentOperatingProfitOther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</si>
  <si>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</si>
  <si>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</si>
  <si>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</si>
  <si>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</si>
  <si>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</si>
  <si>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</si>
  <si>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</si>
  <si>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</si>
  <si>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</si>
  <si>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</si>
  <si>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</si>
  <si>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</si>
  <si>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</si>
  <si>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</si>
  <si>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</si>
  <si>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</si>
  <si>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</si>
  <si>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</si>
  <si>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</si>
  <si>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</si>
  <si>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</si>
  <si>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</si>
  <si>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</si>
  <si>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</si>
  <si>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</si>
  <si>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</si>
  <si>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</si>
  <si>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</si>
  <si>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</si>
  <si>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</si>
  <si>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</si>
  <si>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</si>
  <si>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</si>
  <si>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</si>
  <si>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</si>
  <si>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</si>
  <si>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</si>
  <si>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</si>
  <si>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</si>
  <si>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</si>
  <si>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</si>
  <si>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</si>
  <si>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</si>
  <si>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</si>
  <si>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</si>
  <si>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</si>
  <si>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</si>
  <si>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4204.T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</si>
  <si>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</si>
  <si>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</si>
  <si>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</si>
  <si>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</si>
  <si>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</si>
  <si>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</si>
  <si>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</si>
  <si>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</si>
  <si>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</si>
  <si>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</si>
  <si>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</si>
  <si>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</si>
  <si>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</si>
  <si>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</si>
  <si>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</si>
  <si>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</si>
  <si>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</si>
  <si>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</si>
  <si>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</si>
  <si>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</si>
  <si>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</si>
  <si>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</si>
  <si>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</si>
  <si>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</si>
  <si>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</si>
  <si>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</si>
  <si>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</si>
  <si>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</si>
  <si>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</si>
  <si>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</si>
  <si>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4204.T owner-FCF component DCF: base case (millions, JPY)</t>
  </si>
  <si>
    <t xml:space="preserve">4204.T owner-FCF component DCF: bull case (millions, JPY)</t>
  </si>
  <si>
    <t xml:space="preserve">4204.T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</si>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</sst>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2574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1065776</v>
      </c>
      <c r="C2" s="0" t="n">
        <v>712258</v>
      </c>
      <c r="D2" s="0" t="n">
        <v>353517</v>
      </c>
      <c r="E2" s="0" t="n">
        <v>33.1699</v>
      </c>
      <c r="F2" s="0" t="n">
        <v>96476</v>
      </c>
      <c r="G2" s="0" t="n">
        <v>9.0522</v>
      </c>
      <c r="H2" s="0" t="n">
        <v>131319</v>
      </c>
      <c r="I2" s="0" t="n">
        <v>60850</v>
      </c>
      <c r="J2" s="0" t="n">
        <v>5.7095</v>
      </c>
      <c r="K2" s="0" t="n">
        <v>126.13</v>
      </c>
      <c r="L2" s="0" t="n">
        <v>108229</v>
      </c>
      <c r="M2" s="0" t="n">
        <v>39813</v>
      </c>
      <c r="N2" s="0" t="n">
        <v>68416</v>
      </c>
      <c r="O2" s="0" t="n">
        <v>549344</v>
      </c>
      <c r="P2" s="0" t="n">
        <v>943640</v>
      </c>
      <c r="Q2" s="0" t="n">
        <v>373090</v>
      </c>
      <c r="R2" s="0" t="n">
        <v>33333</v>
      </c>
      <c r="S2" s="0" t="n">
        <v>89856</v>
      </c>
      <c r="T2" s="0" t="n">
        <v>478.5588</v>
      </c>
      <c r="AA2" s="0" t="s">
        <v>17</v>
      </c>
      <c r="AB2" s="0" t="s">
        <v>14</v>
      </c>
      <c r="AC2" s="0" t="n">
        <v>570549</v>
      </c>
      <c r="AD2" s="0" t="n">
        <v>91513</v>
      </c>
      <c r="AE2" s="0" t="n">
        <v>-7619</v>
      </c>
    </row>
    <row r="3" customFormat="false" ht="15" hidden="false" customHeight="false" outlineLevel="0" collapsed="false">
      <c r="A3" s="0" t="s">
        <v>67</v>
      </c>
      <c r="B3" s="0" t="n">
        <v>1107429</v>
      </c>
      <c r="C3" s="0" t="n">
        <v>745346</v>
      </c>
      <c r="D3" s="0" t="n">
        <v>362082</v>
      </c>
      <c r="E3" s="0" t="n">
        <v>32.6957</v>
      </c>
      <c r="F3" s="0" t="n">
        <v>99231</v>
      </c>
      <c r="G3" s="0" t="n">
        <v>8.9605</v>
      </c>
      <c r="H3" s="0" t="n">
        <v>135247</v>
      </c>
      <c r="I3" s="0" t="n">
        <v>63459</v>
      </c>
      <c r="J3" s="0" t="n">
        <v>5.7303</v>
      </c>
      <c r="K3" s="0" t="n">
        <v>133.8</v>
      </c>
      <c r="L3" s="0" t="n">
        <v>82272</v>
      </c>
      <c r="M3" s="0" t="n">
        <v>49737</v>
      </c>
      <c r="N3" s="0" t="n">
        <v>32535</v>
      </c>
      <c r="O3" s="0" t="n">
        <v>587766</v>
      </c>
      <c r="P3" s="0" t="n">
        <v>999114</v>
      </c>
      <c r="Q3" s="0" t="n">
        <v>386356</v>
      </c>
      <c r="R3" s="0" t="n">
        <v>35992</v>
      </c>
      <c r="S3" s="0" t="n">
        <v>76723</v>
      </c>
      <c r="T3" s="0" t="n">
        <v>471.7568</v>
      </c>
      <c r="AA3" s="0" t="s">
        <v>17</v>
      </c>
      <c r="AB3" s="0" t="s">
        <v>14</v>
      </c>
      <c r="AC3" s="0" t="n">
        <v>612757</v>
      </c>
      <c r="AD3" s="0" t="n">
        <v>93929</v>
      </c>
      <c r="AE3" s="0" t="n">
        <v>-9764</v>
      </c>
    </row>
    <row r="4" customFormat="false" ht="15" hidden="false" customHeight="false" outlineLevel="0" collapsed="false">
      <c r="A4" s="0" t="s">
        <v>68</v>
      </c>
      <c r="B4" s="0" t="n">
        <v>1142713</v>
      </c>
      <c r="C4" s="0" t="n">
        <v>774647</v>
      </c>
      <c r="D4" s="0" t="n">
        <v>368065</v>
      </c>
      <c r="E4" s="0" t="n">
        <v>32.2097</v>
      </c>
      <c r="F4" s="0" t="n">
        <v>95686</v>
      </c>
      <c r="G4" s="0" t="n">
        <v>8.3736</v>
      </c>
      <c r="H4" s="0" t="n">
        <v>134475</v>
      </c>
      <c r="I4" s="0" t="n">
        <v>66093</v>
      </c>
      <c r="J4" s="0" t="n">
        <v>5.7839</v>
      </c>
      <c r="K4" s="0" t="n">
        <v>141.74</v>
      </c>
      <c r="L4" s="0" t="n">
        <v>85213</v>
      </c>
      <c r="M4" s="0" t="n">
        <v>66193</v>
      </c>
      <c r="N4" s="0" t="n">
        <v>19020</v>
      </c>
      <c r="O4" s="0" t="n">
        <v>607123</v>
      </c>
      <c r="P4" s="0" t="n">
        <v>1023706</v>
      </c>
      <c r="Q4" s="0" t="n">
        <v>390960</v>
      </c>
      <c r="R4" s="0" t="n">
        <v>43323</v>
      </c>
      <c r="S4" s="0" t="n">
        <v>68613</v>
      </c>
      <c r="T4" s="0" t="n">
        <v>464.2512</v>
      </c>
      <c r="AA4" s="0" t="s">
        <v>17</v>
      </c>
      <c r="AB4" s="0" t="s">
        <v>14</v>
      </c>
      <c r="AC4" s="0" t="n">
        <v>632746</v>
      </c>
      <c r="AD4" s="0" t="n">
        <v>93146</v>
      </c>
      <c r="AE4" s="0" t="n">
        <v>-11099</v>
      </c>
    </row>
    <row r="5" customFormat="false" ht="15" hidden="false" customHeight="false" outlineLevel="0" collapsed="false">
      <c r="A5" s="0" t="s">
        <v>69</v>
      </c>
      <c r="B5" s="0" t="n">
        <v>1129254</v>
      </c>
      <c r="C5" s="0" t="n">
        <v>766551</v>
      </c>
      <c r="D5" s="0" t="n">
        <v>362702</v>
      </c>
      <c r="E5" s="0" t="n">
        <v>32.1187</v>
      </c>
      <c r="F5" s="0" t="n">
        <v>87768</v>
      </c>
      <c r="G5" s="0" t="n">
        <v>7.7722</v>
      </c>
      <c r="H5" s="0" t="n">
        <v>129977</v>
      </c>
      <c r="I5" s="0" t="n">
        <v>58931</v>
      </c>
      <c r="J5" s="0" t="n">
        <v>5.2186</v>
      </c>
      <c r="K5" s="0" t="n">
        <v>128.25</v>
      </c>
      <c r="L5" s="0" t="n">
        <v>92647</v>
      </c>
      <c r="M5" s="0" t="n">
        <v>57227</v>
      </c>
      <c r="N5" s="0" t="n">
        <v>35420</v>
      </c>
      <c r="O5" s="0" t="n">
        <v>609309</v>
      </c>
      <c r="P5" s="0" t="n">
        <v>1102352</v>
      </c>
      <c r="Q5" s="0" t="n">
        <v>468076</v>
      </c>
      <c r="R5" s="0" t="n">
        <v>98833</v>
      </c>
      <c r="S5" s="0" t="n">
        <v>74721</v>
      </c>
      <c r="T5" s="0" t="n">
        <v>456.7948</v>
      </c>
      <c r="AA5" s="0" t="s">
        <v>17</v>
      </c>
      <c r="AB5" s="0" t="s">
        <v>14</v>
      </c>
      <c r="AC5" s="0" t="n">
        <v>634275</v>
      </c>
      <c r="AD5" s="0" t="n">
        <v>86996</v>
      </c>
      <c r="AE5" s="0" t="n">
        <v>-9721</v>
      </c>
    </row>
    <row r="6" customFormat="false" ht="15" hidden="false" customHeight="false" outlineLevel="0" collapsed="false">
      <c r="A6" s="0" t="s">
        <v>70</v>
      </c>
      <c r="B6" s="0" t="n">
        <v>1056560</v>
      </c>
      <c r="C6" s="0" t="n">
        <v>726174</v>
      </c>
      <c r="D6" s="0" t="n">
        <v>330385</v>
      </c>
      <c r="E6" s="0" t="n">
        <v>31.2699</v>
      </c>
      <c r="F6" s="0" t="n">
        <v>67300</v>
      </c>
      <c r="G6" s="0" t="n">
        <v>6.3697</v>
      </c>
      <c r="H6" s="0" t="n">
        <v>112226</v>
      </c>
      <c r="I6" s="0" t="n">
        <v>41544</v>
      </c>
      <c r="J6" s="0" t="n">
        <v>3.932</v>
      </c>
      <c r="K6" s="0" t="n">
        <v>91.92</v>
      </c>
      <c r="L6" s="0" t="n">
        <v>75271</v>
      </c>
      <c r="M6" s="0" t="n">
        <v>62067</v>
      </c>
      <c r="N6" s="0" t="n">
        <v>13204</v>
      </c>
      <c r="O6" s="0" t="n">
        <v>667066</v>
      </c>
      <c r="P6" s="0" t="n">
        <v>1150143</v>
      </c>
      <c r="Q6" s="0" t="n">
        <v>455751</v>
      </c>
      <c r="R6" s="0" t="n">
        <v>118485</v>
      </c>
      <c r="S6" s="0" t="n">
        <v>76649</v>
      </c>
      <c r="T6" s="0" t="n">
        <v>448.9336</v>
      </c>
      <c r="AA6" s="0" t="s">
        <v>17</v>
      </c>
      <c r="AB6" s="0" t="s">
        <v>14</v>
      </c>
      <c r="AC6" s="0" t="n">
        <v>694392</v>
      </c>
      <c r="AD6" s="0" t="n">
        <v>62649</v>
      </c>
      <c r="AE6" s="0" t="n">
        <v>-8746</v>
      </c>
    </row>
    <row r="7" customFormat="false" ht="15" hidden="false" customHeight="false" outlineLevel="0" collapsed="false">
      <c r="A7" s="0" t="s">
        <v>71</v>
      </c>
      <c r="B7" s="0" t="n">
        <v>1157945</v>
      </c>
      <c r="C7" s="0" t="n">
        <v>801994</v>
      </c>
      <c r="D7" s="0" t="n">
        <v>355950</v>
      </c>
      <c r="E7" s="0" t="n">
        <v>30.7398</v>
      </c>
      <c r="F7" s="0" t="n">
        <v>88879</v>
      </c>
      <c r="G7" s="0" t="n">
        <v>7.6756</v>
      </c>
      <c r="H7" s="0" t="n">
        <v>134791</v>
      </c>
      <c r="I7" s="0" t="n">
        <v>37067</v>
      </c>
      <c r="J7" s="0" t="n">
        <v>3.2011</v>
      </c>
      <c r="K7" s="0" t="n">
        <v>83.17</v>
      </c>
      <c r="L7" s="0" t="n">
        <v>105023</v>
      </c>
      <c r="M7" s="0" t="n">
        <v>44614</v>
      </c>
      <c r="N7" s="0" t="n">
        <v>60409</v>
      </c>
      <c r="O7" s="0" t="n">
        <v>674636</v>
      </c>
      <c r="P7" s="0" t="n">
        <v>1198921</v>
      </c>
      <c r="Q7" s="0" t="n">
        <v>496168</v>
      </c>
      <c r="R7" s="0" t="n">
        <v>102386</v>
      </c>
      <c r="S7" s="0" t="n">
        <v>133739</v>
      </c>
      <c r="T7" s="0" t="n">
        <v>444.0762</v>
      </c>
      <c r="AA7" s="0" t="s">
        <v>17</v>
      </c>
      <c r="AB7" s="0" t="s">
        <v>14</v>
      </c>
      <c r="AC7" s="0" t="n">
        <v>702753</v>
      </c>
      <c r="AD7" s="0" t="n">
        <v>97001</v>
      </c>
      <c r="AE7" s="0" t="n">
        <v>-10316</v>
      </c>
    </row>
    <row r="8" customFormat="false" ht="15" hidden="false" customHeight="false" outlineLevel="0" collapsed="false">
      <c r="A8" s="0" t="s">
        <v>72</v>
      </c>
      <c r="B8" s="0" t="n">
        <v>1242521</v>
      </c>
      <c r="C8" s="0" t="n">
        <v>865281</v>
      </c>
      <c r="D8" s="0" t="n">
        <v>377240</v>
      </c>
      <c r="E8" s="0" t="n">
        <v>30.3609</v>
      </c>
      <c r="F8" s="0" t="n">
        <v>91666</v>
      </c>
      <c r="G8" s="0" t="n">
        <v>7.3774</v>
      </c>
      <c r="H8" s="0" t="n">
        <v>140661</v>
      </c>
      <c r="I8" s="0" t="n">
        <v>69263</v>
      </c>
      <c r="J8" s="0" t="n">
        <v>5.5744</v>
      </c>
      <c r="K8" s="0" t="n">
        <v>159.19</v>
      </c>
      <c r="L8" s="0" t="n">
        <v>71543</v>
      </c>
      <c r="M8" s="0" t="n">
        <v>56407</v>
      </c>
      <c r="N8" s="0" t="n">
        <v>15136</v>
      </c>
      <c r="O8" s="0" t="n">
        <v>705027</v>
      </c>
      <c r="P8" s="0" t="n">
        <v>1228131</v>
      </c>
      <c r="Q8" s="0" t="n">
        <v>495606</v>
      </c>
      <c r="R8" s="0" t="n">
        <v>99786</v>
      </c>
      <c r="S8" s="0" t="n">
        <v>85207</v>
      </c>
      <c r="T8" s="0" t="n">
        <v>429.1954</v>
      </c>
      <c r="AA8" s="0" t="s">
        <v>17</v>
      </c>
      <c r="AB8" s="0" t="s">
        <v>14</v>
      </c>
      <c r="AC8" s="0" t="n">
        <v>732525</v>
      </c>
      <c r="AD8" s="0" t="n">
        <v>104241</v>
      </c>
      <c r="AE8" s="0" t="n">
        <v>-10894</v>
      </c>
    </row>
    <row r="9" customFormat="false" ht="15" hidden="false" customHeight="false" outlineLevel="0" collapsed="false">
      <c r="A9" s="0" t="s">
        <v>73</v>
      </c>
      <c r="B9" s="0" t="n">
        <v>1256538</v>
      </c>
      <c r="C9" s="0" t="n">
        <v>864343</v>
      </c>
      <c r="D9" s="0" t="n">
        <v>392195</v>
      </c>
      <c r="E9" s="0" t="n">
        <v>31.2123</v>
      </c>
      <c r="F9" s="0" t="n">
        <v>94399</v>
      </c>
      <c r="G9" s="0" t="n">
        <v>7.5126</v>
      </c>
      <c r="H9" s="0" t="n">
        <v>145594</v>
      </c>
      <c r="I9" s="0" t="n">
        <v>77930</v>
      </c>
      <c r="J9" s="0" t="n">
        <v>6.202</v>
      </c>
      <c r="K9" s="0" t="n">
        <v>183.48</v>
      </c>
      <c r="L9" s="0" t="n">
        <v>106632</v>
      </c>
      <c r="M9" s="0" t="n">
        <v>60455</v>
      </c>
      <c r="N9" s="0" t="n">
        <v>46177</v>
      </c>
      <c r="O9" s="0" t="n">
        <v>792330</v>
      </c>
      <c r="P9" s="0" t="n">
        <v>1323243</v>
      </c>
      <c r="Q9" s="0" t="n">
        <v>502318</v>
      </c>
      <c r="R9" s="0" t="n">
        <v>97869</v>
      </c>
      <c r="S9" s="0" t="n">
        <v>126367</v>
      </c>
      <c r="T9" s="0" t="n">
        <v>421.3856</v>
      </c>
      <c r="AA9" s="0" t="s">
        <v>17</v>
      </c>
      <c r="AB9" s="0" t="s">
        <v>14</v>
      </c>
      <c r="AC9" s="0" t="n">
        <v>820925</v>
      </c>
      <c r="AD9" s="0" t="n">
        <v>105921</v>
      </c>
      <c r="AE9" s="0" t="n">
        <v>-10821</v>
      </c>
    </row>
    <row r="10" customFormat="false" ht="15" hidden="false" customHeight="false" outlineLevel="0" collapsed="false">
      <c r="A10" s="0" t="s">
        <v>74</v>
      </c>
      <c r="B10" s="0" t="n">
        <v>1297754</v>
      </c>
      <c r="C10" s="0" t="n">
        <v>877147</v>
      </c>
      <c r="D10" s="0" t="n">
        <v>420606</v>
      </c>
      <c r="E10" s="0" t="n">
        <v>32.4103</v>
      </c>
      <c r="F10" s="0" t="n">
        <v>107951</v>
      </c>
      <c r="G10" s="0" t="n">
        <v>8.3183</v>
      </c>
      <c r="H10" s="0" t="n">
        <v>160312</v>
      </c>
      <c r="I10" s="0" t="n">
        <v>81925</v>
      </c>
      <c r="J10" s="0" t="n">
        <v>6.3128</v>
      </c>
      <c r="K10" s="0" t="n">
        <v>195.93</v>
      </c>
      <c r="L10" s="0" t="n">
        <v>119231</v>
      </c>
      <c r="M10" s="0" t="n">
        <v>70317</v>
      </c>
      <c r="N10" s="0" t="n">
        <v>48914</v>
      </c>
      <c r="O10" s="0" t="n">
        <v>807348</v>
      </c>
      <c r="P10" s="0" t="n">
        <v>1330786</v>
      </c>
      <c r="Q10" s="0" t="n">
        <v>495420</v>
      </c>
      <c r="R10" s="0" t="n">
        <v>88382</v>
      </c>
      <c r="S10" s="0" t="n">
        <v>120895</v>
      </c>
      <c r="T10" s="0" t="n">
        <v>417.5441</v>
      </c>
      <c r="AA10" s="0" t="s">
        <v>17</v>
      </c>
      <c r="AB10" s="0" t="s">
        <v>14</v>
      </c>
      <c r="AC10" s="0" t="n">
        <v>835366</v>
      </c>
      <c r="AD10" s="0" t="n">
        <v>110958</v>
      </c>
      <c r="AE10" s="0" t="n">
        <v>-11589</v>
      </c>
    </row>
    <row r="11" customFormat="false" ht="15" hidden="false" customHeight="false" outlineLevel="0" collapsed="false">
      <c r="A11" s="0" t="s">
        <v>75</v>
      </c>
      <c r="B11" s="0" t="n">
        <v>1309281</v>
      </c>
      <c r="C11" s="0" t="n">
        <v>885102</v>
      </c>
      <c r="D11" s="0" t="n">
        <v>424178</v>
      </c>
      <c r="E11" s="0" t="n">
        <v>32.3978</v>
      </c>
      <c r="F11" s="0" t="n">
        <v>106477</v>
      </c>
      <c r="G11" s="0" t="n">
        <v>8.1325</v>
      </c>
      <c r="H11" s="0" t="n">
        <v>163349</v>
      </c>
      <c r="I11" s="0" t="n">
        <v>75174</v>
      </c>
      <c r="J11" s="0" t="n">
        <v>5.7416</v>
      </c>
      <c r="K11" s="0" t="n">
        <v>182.7</v>
      </c>
      <c r="L11" s="0" t="n">
        <v>78301</v>
      </c>
      <c r="M11" s="0" t="n">
        <v>113587</v>
      </c>
      <c r="N11" s="0" t="n">
        <v>-35286</v>
      </c>
      <c r="O11" s="0" t="n">
        <v>851190</v>
      </c>
      <c r="P11" s="0" t="n">
        <v>1427933</v>
      </c>
      <c r="Q11" s="0" t="n">
        <v>546807</v>
      </c>
      <c r="R11" s="0" t="n">
        <v>121362</v>
      </c>
      <c r="S11" s="0" t="n">
        <v>92444</v>
      </c>
      <c r="T11" s="0" t="n">
        <v>403.706</v>
      </c>
      <c r="AA11" s="0" t="s">
        <v>17</v>
      </c>
      <c r="AB11" s="0" t="s">
        <v>14</v>
      </c>
      <c r="AC11" s="0" t="n">
        <v>881125</v>
      </c>
      <c r="AD11" s="0" t="n">
        <v>117215</v>
      </c>
      <c r="AE11" s="0" t="n">
        <v>-12710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2574</v>
      </c>
    </row>
    <row r="3" customFormat="false" ht="15" hidden="false" customHeight="false" outlineLevel="0" collapsed="false">
      <c r="A3" s="0" t="s">
        <v>79</v>
      </c>
      <c r="B3" s="3" t="n">
        <v>403.896</v>
      </c>
    </row>
    <row r="4" customFormat="false" ht="15" hidden="false" customHeight="false" outlineLevel="0" collapsed="false">
      <c r="A4" s="0" t="s">
        <v>80</v>
      </c>
      <c r="B4" s="3" t="n">
        <v>71136</v>
      </c>
    </row>
    <row r="5" customFormat="false" ht="15" hidden="false" customHeight="false" outlineLevel="0" collapsed="false">
      <c r="A5" s="0" t="s">
        <v>81</v>
      </c>
      <c r="B5" s="3" t="n">
        <v>30142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1309281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10</v>
      </c>
      <c r="D13" s="3" t="n">
        <v>0</v>
      </c>
      <c r="E13" s="3" t="n">
        <v>1</v>
      </c>
      <c r="F13" s="3" t="n">
        <v>1.5</v>
      </c>
      <c r="G13" s="3" t="n">
        <v>1.5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12</v>
      </c>
      <c r="D14" s="3" t="n">
        <v>11.2</v>
      </c>
      <c r="E14" s="3" t="n">
        <v>11</v>
      </c>
      <c r="F14" s="3" t="n">
        <v>11.2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4.3</v>
      </c>
      <c r="D17" s="3" t="n">
        <v>4.5</v>
      </c>
      <c r="E17" s="3" t="n">
        <v>4.8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104</v>
      </c>
      <c r="C18" s="3" t="n">
        <v>8.8</v>
      </c>
      <c r="D18" s="3" t="n">
        <v>9</v>
      </c>
      <c r="E18" s="3" t="n">
        <v>8.5</v>
      </c>
      <c r="F18" s="3" t="n">
        <v>7.5</v>
      </c>
      <c r="G18" s="3" t="n">
        <v>6.5</v>
      </c>
      <c r="H18" s="3" t="n">
        <v>6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105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106</v>
      </c>
      <c r="B20" s="3" t="n">
        <v>7.5</v>
      </c>
    </row>
    <row r="21" customFormat="false" ht="15" hidden="false" customHeight="false" outlineLevel="0" collapsed="false">
      <c r="A21" s="0" t="s">
        <v>107</v>
      </c>
      <c r="B21" s="3" t="n">
        <v>0.5</v>
      </c>
    </row>
    <row r="22" customFormat="false" ht="15" hidden="false" customHeight="false" outlineLevel="0" collapsed="false">
      <c r="A22" s="0" t="s">
        <v>108</v>
      </c>
      <c r="B22" s="3" t="n">
        <v>13</v>
      </c>
    </row>
    <row r="23" customFormat="false" ht="15" hidden="false" customHeight="false" outlineLevel="0" collapsed="false">
      <c r="A23" s="0" t="s">
        <v>109</v>
      </c>
      <c r="B23" s="3" t="n">
        <v>-15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12.5</v>
      </c>
      <c r="D27" s="3" t="n">
        <v>4</v>
      </c>
      <c r="E27" s="3" t="n">
        <v>3.5</v>
      </c>
      <c r="F27" s="3" t="n">
        <v>3</v>
      </c>
      <c r="G27" s="3" t="n">
        <v>2.5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100</v>
      </c>
      <c r="C28" s="3" t="n">
        <v>12.5</v>
      </c>
      <c r="D28" s="3" t="n">
        <v>12.7</v>
      </c>
      <c r="E28" s="3" t="n">
        <v>12.9</v>
      </c>
      <c r="F28" s="3" t="n">
        <v>13</v>
      </c>
      <c r="G28" s="3" t="n">
        <v>13</v>
      </c>
      <c r="H28" s="3" t="n">
        <v>13</v>
      </c>
      <c r="I28" s="3" t="n">
        <v>13</v>
      </c>
      <c r="J28" s="3" t="n">
        <v>13</v>
      </c>
      <c r="K28" s="3" t="n">
        <v>13</v>
      </c>
      <c r="L28" s="3" t="n">
        <v>13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4.3</v>
      </c>
      <c r="D31" s="3" t="n">
        <v>4.5</v>
      </c>
      <c r="E31" s="3" t="n">
        <v>4.8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104</v>
      </c>
      <c r="C32" s="3" t="n">
        <v>8.8</v>
      </c>
      <c r="D32" s="3" t="n">
        <v>9</v>
      </c>
      <c r="E32" s="3" t="n">
        <v>8.5</v>
      </c>
      <c r="F32" s="3" t="n">
        <v>7</v>
      </c>
      <c r="G32" s="3" t="n">
        <v>6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105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106</v>
      </c>
      <c r="B34" s="3" t="n">
        <v>7.5</v>
      </c>
    </row>
    <row r="35" customFormat="false" ht="15" hidden="false" customHeight="false" outlineLevel="0" collapsed="false">
      <c r="A35" s="0" t="s">
        <v>107</v>
      </c>
      <c r="B35" s="3" t="n">
        <v>1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-15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13.9</v>
      </c>
      <c r="D41" s="3" t="n">
        <v>6</v>
      </c>
      <c r="E41" s="3" t="n">
        <v>5.5</v>
      </c>
      <c r="F41" s="3" t="n">
        <v>4</v>
      </c>
      <c r="G41" s="3" t="n">
        <v>3.5</v>
      </c>
      <c r="H41" s="3" t="n">
        <v>3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100</v>
      </c>
      <c r="C42" s="3" t="n">
        <v>12.8</v>
      </c>
      <c r="D42" s="3" t="n">
        <v>13.2</v>
      </c>
      <c r="E42" s="3" t="n">
        <v>13.6</v>
      </c>
      <c r="F42" s="3" t="n">
        <v>14</v>
      </c>
      <c r="G42" s="3" t="n">
        <v>14.2</v>
      </c>
      <c r="H42" s="3" t="n">
        <v>14.2</v>
      </c>
      <c r="I42" s="3" t="n">
        <v>14.2</v>
      </c>
      <c r="J42" s="3" t="n">
        <v>14.2</v>
      </c>
      <c r="K42" s="3" t="n">
        <v>14.2</v>
      </c>
      <c r="L42" s="3" t="n">
        <v>14.2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4.3</v>
      </c>
      <c r="D45" s="3" t="n">
        <v>4.5</v>
      </c>
      <c r="E45" s="3" t="n">
        <v>4.8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104</v>
      </c>
      <c r="C46" s="3" t="n">
        <v>8.8</v>
      </c>
      <c r="D46" s="3" t="n">
        <v>9</v>
      </c>
      <c r="E46" s="3" t="n">
        <v>8.5</v>
      </c>
      <c r="F46" s="3" t="n">
        <v>7</v>
      </c>
      <c r="G46" s="3" t="n">
        <v>6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105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106</v>
      </c>
      <c r="B48" s="3" t="n">
        <v>7.5</v>
      </c>
    </row>
    <row r="49" customFormat="false" ht="15" hidden="false" customHeight="false" outlineLevel="0" collapsed="false">
      <c r="A49" s="0" t="s">
        <v>107</v>
      </c>
      <c r="B49" s="3" t="n">
        <v>1.5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-15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10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1309281</v>
      </c>
      <c r="C6" s="0" t="n">
        <f aca="false">B6*(1+C5/100)</f>
        <v>1440209.1</v>
      </c>
      <c r="D6" s="0" t="n">
        <f aca="false">C6*(1+D5/100)</f>
        <v>1440209.1</v>
      </c>
      <c r="E6" s="0" t="n">
        <f aca="false">D6*(1+E5/100)</f>
        <v>1454611.191</v>
      </c>
      <c r="F6" s="0" t="n">
        <f aca="false">E6*(1+F5/100)</f>
        <v>1476430.358865</v>
      </c>
      <c r="G6" s="0" t="n">
        <f aca="false">F6*(1+G5/100)</f>
        <v>1498576.81424798</v>
      </c>
      <c r="H6" s="0" t="n">
        <f aca="false">G6*(1+H5/100)</f>
        <v>1513562.58239045</v>
      </c>
      <c r="I6" s="0" t="n">
        <f aca="false">H6*(1+I5/100)</f>
        <v>1528698.20821436</v>
      </c>
      <c r="J6" s="0" t="n">
        <f aca="false">I6*(1+J5/100)</f>
        <v>1543985.1902965</v>
      </c>
      <c r="K6" s="0" t="n">
        <f aca="false">J6*(1+K5/100)</f>
        <v>1559425.04219947</v>
      </c>
      <c r="L6" s="0" t="n">
        <f aca="false">K6*(1+L5/100)</f>
        <v>1575019.29262146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12</v>
      </c>
      <c r="D7" s="4" t="n">
        <f aca="false">Assumptions!D14</f>
        <v>11.2</v>
      </c>
      <c r="E7" s="4" t="n">
        <f aca="false">Assumptions!E14</f>
        <v>11</v>
      </c>
      <c r="F7" s="4" t="n">
        <f aca="false">Assumptions!F14</f>
        <v>11.2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172825.092</v>
      </c>
      <c r="D8" s="0" t="n">
        <f aca="false">D6*D7/100</f>
        <v>161303.4192</v>
      </c>
      <c r="E8" s="0" t="n">
        <f aca="false">E6*E7/100</f>
        <v>160007.23101</v>
      </c>
      <c r="F8" s="0" t="n">
        <f aca="false">F6*F7/100</f>
        <v>165360.20019288</v>
      </c>
      <c r="G8" s="0" t="n">
        <f aca="false">G6*G7/100</f>
        <v>172336.333638517</v>
      </c>
      <c r="H8" s="0" t="n">
        <f aca="false">H6*H7/100</f>
        <v>174059.696974902</v>
      </c>
      <c r="I8" s="0" t="n">
        <f aca="false">I6*I7/100</f>
        <v>175800.293944651</v>
      </c>
      <c r="J8" s="0" t="n">
        <f aca="false">J6*J7/100</f>
        <v>177558.296884098</v>
      </c>
      <c r="K8" s="0" t="n">
        <f aca="false">K6*K7/100</f>
        <v>179333.879852939</v>
      </c>
      <c r="L8" s="0" t="n">
        <f aca="false">L6*L7/100</f>
        <v>181127.218651468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172825.092</v>
      </c>
      <c r="D11" s="0" t="n">
        <f aca="false">D8+D10+D24</f>
        <v>161303.4192</v>
      </c>
      <c r="E11" s="0" t="n">
        <f aca="false">E8+E10+E24</f>
        <v>160007.23101</v>
      </c>
      <c r="F11" s="0" t="n">
        <f aca="false">F8+F10+F24</f>
        <v>165360.20019288</v>
      </c>
      <c r="G11" s="0" t="n">
        <f aca="false">G8+G10+G24</f>
        <v>172336.333638517</v>
      </c>
      <c r="H11" s="0" t="n">
        <f aca="false">H8+H10+H24</f>
        <v>174059.696974902</v>
      </c>
      <c r="I11" s="0" t="n">
        <f aca="false">I8+I10+I24</f>
        <v>175800.293944651</v>
      </c>
      <c r="J11" s="0" t="n">
        <f aca="false">J8+J10+J24</f>
        <v>177558.296884098</v>
      </c>
      <c r="K11" s="0" t="n">
        <f aca="false">K8+K10+K24</f>
        <v>179333.879852939</v>
      </c>
      <c r="L11" s="0" t="n">
        <f aca="false">L8+L10+L24</f>
        <v>181127.218651468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-61928.9913</v>
      </c>
      <c r="D12" s="4" t="n">
        <f aca="false">-D6*Assumptions!D17/100</f>
        <v>-64809.4095</v>
      </c>
      <c r="E12" s="4" t="n">
        <f aca="false">-E6*Assumptions!E17/100</f>
        <v>-69821.337168</v>
      </c>
      <c r="F12" s="4" t="n">
        <f aca="false">-F6*Assumptions!F17/100</f>
        <v>-73821.51794325</v>
      </c>
      <c r="G12" s="4" t="n">
        <f aca="false">-G6*Assumptions!G17/100</f>
        <v>-74928.8407123987</v>
      </c>
      <c r="H12" s="4" t="n">
        <f aca="false">-H6*Assumptions!H17/100</f>
        <v>-75678.1291195227</v>
      </c>
      <c r="I12" s="4" t="n">
        <f aca="false">-I6*Assumptions!I17/100</f>
        <v>-76434.910410718</v>
      </c>
      <c r="J12" s="4" t="n">
        <f aca="false">-J6*Assumptions!J17/100</f>
        <v>-77199.2595148251</v>
      </c>
      <c r="K12" s="4" t="n">
        <f aca="false">-K6*Assumptions!K17/100</f>
        <v>-77971.2521099734</v>
      </c>
      <c r="L12" s="4" t="n">
        <f aca="false">-L6*Assumptions!L17/100</f>
        <v>-78750.9646310731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110896.1007</v>
      </c>
      <c r="D13" s="0" t="n">
        <f aca="false">D11+D12</f>
        <v>96494.0097</v>
      </c>
      <c r="E13" s="0" t="n">
        <f aca="false">E11+E12</f>
        <v>90185.893842</v>
      </c>
      <c r="F13" s="0" t="n">
        <f aca="false">F11+F12</f>
        <v>91538.68224963</v>
      </c>
      <c r="G13" s="0" t="n">
        <f aca="false">G11+G12</f>
        <v>97407.4929261184</v>
      </c>
      <c r="H13" s="0" t="n">
        <f aca="false">H11+H12</f>
        <v>98381.5678553795</v>
      </c>
      <c r="I13" s="0" t="n">
        <f aca="false">I11+I12</f>
        <v>99365.3835339333</v>
      </c>
      <c r="J13" s="0" t="n">
        <f aca="false">J11+J12</f>
        <v>100359.037369273</v>
      </c>
      <c r="K13" s="0" t="n">
        <f aca="false">K11+K12</f>
        <v>101362.627742965</v>
      </c>
      <c r="L13" s="0" t="n">
        <f aca="false">L11+L12</f>
        <v>102376.254020395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76518.309483</v>
      </c>
      <c r="D15" s="0" t="n">
        <f aca="false">D13-MAX(0,D13)*D14/100</f>
        <v>66580.866693</v>
      </c>
      <c r="E15" s="0" t="n">
        <f aca="false">E13-MAX(0,E13)*E14/100</f>
        <v>62228.26675098</v>
      </c>
      <c r="F15" s="0" t="n">
        <f aca="false">F13-MAX(0,F13)*F14/100</f>
        <v>63161.6907522447</v>
      </c>
      <c r="G15" s="0" t="n">
        <f aca="false">G13-MAX(0,G13)*G14/100</f>
        <v>67211.1701190217</v>
      </c>
      <c r="H15" s="0" t="n">
        <f aca="false">H13-MAX(0,H13)*H14/100</f>
        <v>67883.2818202119</v>
      </c>
      <c r="I15" s="0" t="n">
        <f aca="false">I13-MAX(0,I13)*I14/100</f>
        <v>68562.114638414</v>
      </c>
      <c r="J15" s="0" t="n">
        <f aca="false">J13-MAX(0,J13)*J14/100</f>
        <v>69247.7357847982</v>
      </c>
      <c r="K15" s="0" t="n">
        <f aca="false">K13-MAX(0,K13)*K14/100</f>
        <v>69940.2131426461</v>
      </c>
      <c r="L15" s="0" t="n">
        <f aca="false">L13-MAX(0,L13)*L14/100</f>
        <v>70639.6152740726</v>
      </c>
    </row>
    <row r="16" customFormat="false" ht="15" hidden="false" customHeight="false" outlineLevel="0" collapsed="false">
      <c r="A16" s="0" t="s">
        <v>121</v>
      </c>
      <c r="C16" s="0" t="n">
        <f aca="false">-C12</f>
        <v>61928.9913</v>
      </c>
      <c r="D16" s="0" t="n">
        <f aca="false">-D12</f>
        <v>64809.4095</v>
      </c>
      <c r="E16" s="0" t="n">
        <f aca="false">-E12</f>
        <v>69821.337168</v>
      </c>
      <c r="F16" s="0" t="n">
        <f aca="false">-F12</f>
        <v>73821.51794325</v>
      </c>
      <c r="G16" s="0" t="n">
        <f aca="false">-G12</f>
        <v>74928.8407123987</v>
      </c>
      <c r="H16" s="0" t="n">
        <f aca="false">-H12</f>
        <v>75678.1291195227</v>
      </c>
      <c r="I16" s="0" t="n">
        <f aca="false">-I12</f>
        <v>76434.910410718</v>
      </c>
      <c r="J16" s="0" t="n">
        <f aca="false">-J12</f>
        <v>77199.2595148251</v>
      </c>
      <c r="K16" s="0" t="n">
        <f aca="false">-K12</f>
        <v>77971.2521099734</v>
      </c>
      <c r="L16" s="0" t="n">
        <f aca="false">-L12</f>
        <v>78750.9646310731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-126738.4008</v>
      </c>
      <c r="D17" s="4" t="n">
        <f aca="false">-D6*Assumptions!D18/100</f>
        <v>-129618.819</v>
      </c>
      <c r="E17" s="4" t="n">
        <f aca="false">-E6*Assumptions!E18/100</f>
        <v>-123641.951235</v>
      </c>
      <c r="F17" s="4" t="n">
        <f aca="false">-F6*Assumptions!F18/100</f>
        <v>-110732.276914875</v>
      </c>
      <c r="G17" s="4" t="n">
        <f aca="false">-G6*Assumptions!G18/100</f>
        <v>-97407.4929261184</v>
      </c>
      <c r="H17" s="4" t="n">
        <f aca="false">-H6*Assumptions!H18/100</f>
        <v>-90813.7549434273</v>
      </c>
      <c r="I17" s="4" t="n">
        <f aca="false">-I6*Assumptions!I18/100</f>
        <v>-84078.4014517898</v>
      </c>
      <c r="J17" s="4" t="n">
        <f aca="false">-J6*Assumptions!J18/100</f>
        <v>-84919.1854663077</v>
      </c>
      <c r="K17" s="4" t="n">
        <f aca="false">-K6*Assumptions!K18/100</f>
        <v>-85768.3773209707</v>
      </c>
      <c r="L17" s="4" t="n">
        <f aca="false">-L6*Assumptions!L18/100</f>
        <v>-86626.0610941804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-19639.215</v>
      </c>
      <c r="D18" s="4" t="n">
        <f aca="false">(D6-C6)*Assumptions!$B$23/100</f>
        <v>-0</v>
      </c>
      <c r="E18" s="4" t="n">
        <f aca="false">(E6-D6)*Assumptions!$B$23/100</f>
        <v>-2160.31365</v>
      </c>
      <c r="F18" s="4" t="n">
        <f aca="false">(F6-E6)*Assumptions!$B$23/100</f>
        <v>-3272.87517975</v>
      </c>
      <c r="G18" s="4" t="n">
        <f aca="false">(G6-F6)*Assumptions!$B$23/100</f>
        <v>-3321.96830744622</v>
      </c>
      <c r="H18" s="4" t="n">
        <f aca="false">(H6-G6)*Assumptions!$B$23/100</f>
        <v>-2247.86522137196</v>
      </c>
      <c r="I18" s="4" t="n">
        <f aca="false">(I6-H6)*Assumptions!$B$23/100</f>
        <v>-2270.34387358568</v>
      </c>
      <c r="J18" s="4" t="n">
        <f aca="false">(J6-I6)*Assumptions!$B$23/100</f>
        <v>-2293.04731232155</v>
      </c>
      <c r="K18" s="4" t="n">
        <f aca="false">(K6-J6)*Assumptions!$B$23/100</f>
        <v>-2315.97778544475</v>
      </c>
      <c r="L18" s="4" t="n">
        <f aca="false">(L6-K6)*Assumptions!$B$23/100</f>
        <v>-2339.13756329919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-7930.31501700002</v>
      </c>
      <c r="D19" s="0" t="n">
        <f aca="false">D15+D16+D17+D18</f>
        <v>1771.45719299999</v>
      </c>
      <c r="E19" s="0" t="n">
        <f aca="false">E15+E16+E17+E18</f>
        <v>6247.33903397999</v>
      </c>
      <c r="F19" s="0" t="n">
        <f aca="false">F15+F16+F17+F18</f>
        <v>22978.0566008697</v>
      </c>
      <c r="G19" s="0" t="n">
        <f aca="false">G15+G16+G17+G18</f>
        <v>41410.5495978558</v>
      </c>
      <c r="H19" s="0" t="n">
        <f aca="false">H15+H16+H17+H18</f>
        <v>50499.7907749354</v>
      </c>
      <c r="I19" s="0" t="n">
        <f aca="false">I15+I16+I17+I18</f>
        <v>58648.2797237565</v>
      </c>
      <c r="J19" s="0" t="n">
        <f aca="false">J15+J16+J17+J18</f>
        <v>59234.7625209941</v>
      </c>
      <c r="K19" s="0" t="n">
        <f aca="false">K15+K16+K17+K18</f>
        <v>59827.1101462041</v>
      </c>
      <c r="L19" s="0" t="n">
        <f aca="false">L15+L16+L17+L18</f>
        <v>60425.3812476661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-7377.0372251163</v>
      </c>
      <c r="D21" s="0" t="n">
        <f aca="false">D19*D20</f>
        <v>1532.8996802596</v>
      </c>
      <c r="E21" s="0" t="n">
        <f aca="false">E19*E20</f>
        <v>5028.86158671211</v>
      </c>
      <c r="F21" s="0" t="n">
        <f aca="false">F19*F20</f>
        <v>17205.9809559627</v>
      </c>
      <c r="G21" s="0" t="n">
        <f aca="false">G19*G20</f>
        <v>28844.8757927491</v>
      </c>
      <c r="H21" s="0" t="n">
        <f aca="false">H19*H20</f>
        <v>32721.9211127033</v>
      </c>
      <c r="I21" s="0" t="n">
        <f aca="false">I19*I20</f>
        <v>35350.5380327242</v>
      </c>
      <c r="J21" s="0" t="n">
        <f aca="false">J19*J20</f>
        <v>33213.0636400479</v>
      </c>
      <c r="K21" s="0" t="n">
        <f aca="false">K19*K20</f>
        <v>31204.8318850682</v>
      </c>
      <c r="L21" s="0" t="n">
        <f aca="false">L19*L20</f>
        <v>29318.0280966687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207043.96355778</v>
      </c>
    </row>
    <row r="31" customFormat="false" ht="15" hidden="false" customHeight="false" outlineLevel="0" collapsed="false">
      <c r="A31" s="0" t="s">
        <v>130</v>
      </c>
      <c r="B31" s="0" t="n">
        <f aca="false">L19</f>
        <v>60425.3812476661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867535.830770063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785529.956219659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785529.956219659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381134.365256694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588178.328814473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547184.328814473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1354.76540697227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-0.473673113064385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1354.76540697227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418810.40106141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470.403852877443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12.5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1309281</v>
      </c>
      <c r="C6" s="0" t="n">
        <f aca="false">B6*(1+C5/100)</f>
        <v>1472941.125</v>
      </c>
      <c r="D6" s="0" t="n">
        <f aca="false">C6*(1+D5/100)</f>
        <v>1531858.77</v>
      </c>
      <c r="E6" s="0" t="n">
        <f aca="false">D6*(1+E5/100)</f>
        <v>1585473.82695</v>
      </c>
      <c r="F6" s="0" t="n">
        <f aca="false">E6*(1+F5/100)</f>
        <v>1633038.0417585</v>
      </c>
      <c r="G6" s="0" t="n">
        <f aca="false">F6*(1+G5/100)</f>
        <v>1673863.99280246</v>
      </c>
      <c r="H6" s="0" t="n">
        <f aca="false">G6*(1+H5/100)</f>
        <v>1707341.27265851</v>
      </c>
      <c r="I6" s="0" t="n">
        <f aca="false">H6*(1+I5/100)</f>
        <v>1741488.09811168</v>
      </c>
      <c r="J6" s="0" t="n">
        <f aca="false">I6*(1+J5/100)</f>
        <v>1767610.41958336</v>
      </c>
      <c r="K6" s="0" t="n">
        <f aca="false">J6*(1+K5/100)</f>
        <v>1794124.57587711</v>
      </c>
      <c r="L6" s="0" t="n">
        <f aca="false">K6*(1+L5/100)</f>
        <v>1821036.44451526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12.5</v>
      </c>
      <c r="D7" s="4" t="n">
        <f aca="false">Assumptions!D28</f>
        <v>12.7</v>
      </c>
      <c r="E7" s="4" t="n">
        <f aca="false">Assumptions!E28</f>
        <v>12.9</v>
      </c>
      <c r="F7" s="4" t="n">
        <f aca="false">Assumptions!F28</f>
        <v>13</v>
      </c>
      <c r="G7" s="4" t="n">
        <f aca="false">Assumptions!G28</f>
        <v>13</v>
      </c>
      <c r="H7" s="4" t="n">
        <f aca="false">Assumptions!H28</f>
        <v>13</v>
      </c>
      <c r="I7" s="4" t="n">
        <f aca="false">Assumptions!I28</f>
        <v>13</v>
      </c>
      <c r="J7" s="4" t="n">
        <f aca="false">Assumptions!J28</f>
        <v>13</v>
      </c>
      <c r="K7" s="4" t="n">
        <f aca="false">Assumptions!K28</f>
        <v>13</v>
      </c>
      <c r="L7" s="4" t="n">
        <f aca="false">Assumptions!L28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184117.640625</v>
      </c>
      <c r="D8" s="0" t="n">
        <f aca="false">D6*D7/100</f>
        <v>194546.06379</v>
      </c>
      <c r="E8" s="0" t="n">
        <f aca="false">E6*E7/100</f>
        <v>204526.12367655</v>
      </c>
      <c r="F8" s="0" t="n">
        <f aca="false">F6*F7/100</f>
        <v>212294.945428605</v>
      </c>
      <c r="G8" s="0" t="n">
        <f aca="false">G6*G7/100</f>
        <v>217602.31906432</v>
      </c>
      <c r="H8" s="0" t="n">
        <f aca="false">H6*H7/100</f>
        <v>221954.365445607</v>
      </c>
      <c r="I8" s="0" t="n">
        <f aca="false">I6*I7/100</f>
        <v>226393.452754519</v>
      </c>
      <c r="J8" s="0" t="n">
        <f aca="false">J6*J7/100</f>
        <v>229789.354545836</v>
      </c>
      <c r="K8" s="0" t="n">
        <f aca="false">K6*K7/100</f>
        <v>233236.194864024</v>
      </c>
      <c r="L8" s="0" t="n">
        <f aca="false">L6*L7/100</f>
        <v>236734.737786984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184117.640625</v>
      </c>
      <c r="D11" s="0" t="n">
        <f aca="false">D8+D10+D24</f>
        <v>194546.06379</v>
      </c>
      <c r="E11" s="0" t="n">
        <f aca="false">E8+E10+E24</f>
        <v>204526.12367655</v>
      </c>
      <c r="F11" s="0" t="n">
        <f aca="false">F8+F10+F24</f>
        <v>212294.945428605</v>
      </c>
      <c r="G11" s="0" t="n">
        <f aca="false">G8+G10+G24</f>
        <v>217602.31906432</v>
      </c>
      <c r="H11" s="0" t="n">
        <f aca="false">H8+H10+H24</f>
        <v>221954.365445607</v>
      </c>
      <c r="I11" s="0" t="n">
        <f aca="false">I8+I10+I24</f>
        <v>226393.452754519</v>
      </c>
      <c r="J11" s="0" t="n">
        <f aca="false">J8+J10+J24</f>
        <v>229789.354545836</v>
      </c>
      <c r="K11" s="0" t="n">
        <f aca="false">K8+K10+K24</f>
        <v>233236.194864024</v>
      </c>
      <c r="L11" s="0" t="n">
        <f aca="false">L8+L10+L24</f>
        <v>236734.737786984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-63336.468375</v>
      </c>
      <c r="D12" s="4" t="n">
        <f aca="false">-D6*Assumptions!D31/100</f>
        <v>-68933.64465</v>
      </c>
      <c r="E12" s="4" t="n">
        <f aca="false">-E6*Assumptions!E31/100</f>
        <v>-76102.7436936</v>
      </c>
      <c r="F12" s="4" t="n">
        <f aca="false">-F6*Assumptions!F31/100</f>
        <v>-81651.902087925</v>
      </c>
      <c r="G12" s="4" t="n">
        <f aca="false">-G6*Assumptions!G31/100</f>
        <v>-83693.1996401231</v>
      </c>
      <c r="H12" s="4" t="n">
        <f aca="false">-H6*Assumptions!H31/100</f>
        <v>-85367.0636329256</v>
      </c>
      <c r="I12" s="4" t="n">
        <f aca="false">-I6*Assumptions!I31/100</f>
        <v>-87074.4049055841</v>
      </c>
      <c r="J12" s="4" t="n">
        <f aca="false">-J6*Assumptions!J31/100</f>
        <v>-88380.5209791679</v>
      </c>
      <c r="K12" s="4" t="n">
        <f aca="false">-K6*Assumptions!K31/100</f>
        <v>-89706.2287938554</v>
      </c>
      <c r="L12" s="4" t="n">
        <f aca="false">-L6*Assumptions!L31/100</f>
        <v>-91051.8222257632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120781.17225</v>
      </c>
      <c r="D13" s="0" t="n">
        <f aca="false">D11+D12</f>
        <v>125612.41914</v>
      </c>
      <c r="E13" s="0" t="n">
        <f aca="false">E11+E12</f>
        <v>128423.37998295</v>
      </c>
      <c r="F13" s="0" t="n">
        <f aca="false">F11+F12</f>
        <v>130643.04334068</v>
      </c>
      <c r="G13" s="0" t="n">
        <f aca="false">G11+G12</f>
        <v>133909.119424197</v>
      </c>
      <c r="H13" s="0" t="n">
        <f aca="false">H11+H12</f>
        <v>136587.301812681</v>
      </c>
      <c r="I13" s="0" t="n">
        <f aca="false">I11+I12</f>
        <v>139319.047848935</v>
      </c>
      <c r="J13" s="0" t="n">
        <f aca="false">J11+J12</f>
        <v>141408.833566669</v>
      </c>
      <c r="K13" s="0" t="n">
        <f aca="false">K11+K12</f>
        <v>143529.966070169</v>
      </c>
      <c r="L13" s="0" t="n">
        <f aca="false">L11+L12</f>
        <v>145682.915561221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83339.0088525</v>
      </c>
      <c r="D15" s="0" t="n">
        <f aca="false">D13-MAX(0,D13)*D14/100</f>
        <v>86672.5692066</v>
      </c>
      <c r="E15" s="0" t="n">
        <f aca="false">E13-MAX(0,E13)*E14/100</f>
        <v>88612.1321882355</v>
      </c>
      <c r="F15" s="0" t="n">
        <f aca="false">F13-MAX(0,F13)*F14/100</f>
        <v>90143.6999050692</v>
      </c>
      <c r="G15" s="0" t="n">
        <f aca="false">G13-MAX(0,G13)*G14/100</f>
        <v>92397.2924026959</v>
      </c>
      <c r="H15" s="0" t="n">
        <f aca="false">H13-MAX(0,H13)*H14/100</f>
        <v>94245.2382507498</v>
      </c>
      <c r="I15" s="0" t="n">
        <f aca="false">I13-MAX(0,I13)*I14/100</f>
        <v>96130.1430157648</v>
      </c>
      <c r="J15" s="0" t="n">
        <f aca="false">J13-MAX(0,J13)*J14/100</f>
        <v>97572.0951610013</v>
      </c>
      <c r="K15" s="0" t="n">
        <f aca="false">K13-MAX(0,K13)*K14/100</f>
        <v>99035.6765884163</v>
      </c>
      <c r="L15" s="0" t="n">
        <f aca="false">L13-MAX(0,L13)*L14/100</f>
        <v>100521.211737243</v>
      </c>
    </row>
    <row r="16" customFormat="false" ht="15" hidden="false" customHeight="false" outlineLevel="0" collapsed="false">
      <c r="A16" s="0" t="s">
        <v>121</v>
      </c>
      <c r="C16" s="0" t="n">
        <f aca="false">-C12</f>
        <v>63336.468375</v>
      </c>
      <c r="D16" s="0" t="n">
        <f aca="false">-D12</f>
        <v>68933.64465</v>
      </c>
      <c r="E16" s="0" t="n">
        <f aca="false">-E12</f>
        <v>76102.7436936</v>
      </c>
      <c r="F16" s="0" t="n">
        <f aca="false">-F12</f>
        <v>81651.902087925</v>
      </c>
      <c r="G16" s="0" t="n">
        <f aca="false">-G12</f>
        <v>83693.1996401231</v>
      </c>
      <c r="H16" s="0" t="n">
        <f aca="false">-H12</f>
        <v>85367.0636329256</v>
      </c>
      <c r="I16" s="0" t="n">
        <f aca="false">-I12</f>
        <v>87074.4049055841</v>
      </c>
      <c r="J16" s="0" t="n">
        <f aca="false">-J12</f>
        <v>88380.5209791679</v>
      </c>
      <c r="K16" s="0" t="n">
        <f aca="false">-K12</f>
        <v>89706.2287938554</v>
      </c>
      <c r="L16" s="0" t="n">
        <f aca="false">-L12</f>
        <v>91051.8222257632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-129618.819</v>
      </c>
      <c r="D17" s="4" t="n">
        <f aca="false">-D6*Assumptions!D32/100</f>
        <v>-137867.2893</v>
      </c>
      <c r="E17" s="4" t="n">
        <f aca="false">-E6*Assumptions!E32/100</f>
        <v>-134765.27529075</v>
      </c>
      <c r="F17" s="4" t="n">
        <f aca="false">-F6*Assumptions!F32/100</f>
        <v>-114312.662923095</v>
      </c>
      <c r="G17" s="4" t="n">
        <f aca="false">-G6*Assumptions!G32/100</f>
        <v>-100431.839568148</v>
      </c>
      <c r="H17" s="4" t="n">
        <f aca="false">-H6*Assumptions!H32/100</f>
        <v>-93903.7699962181</v>
      </c>
      <c r="I17" s="4" t="n">
        <f aca="false">-I6*Assumptions!I32/100</f>
        <v>-95781.8453961425</v>
      </c>
      <c r="J17" s="4" t="n">
        <f aca="false">-J6*Assumptions!J32/100</f>
        <v>-97218.5730770846</v>
      </c>
      <c r="K17" s="4" t="n">
        <f aca="false">-K6*Assumptions!K32/100</f>
        <v>-98676.8516732409</v>
      </c>
      <c r="L17" s="4" t="n">
        <f aca="false">-L6*Assumptions!L32/100</f>
        <v>-100157.004448339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-24549.01875</v>
      </c>
      <c r="D18" s="4" t="n">
        <f aca="false">(D6-C6)*Assumptions!$B$37/100</f>
        <v>-8837.64675</v>
      </c>
      <c r="E18" s="4" t="n">
        <f aca="false">(E6-D6)*Assumptions!$B$37/100</f>
        <v>-8042.25854249998</v>
      </c>
      <c r="F18" s="4" t="n">
        <f aca="false">(F6-E6)*Assumptions!$B$37/100</f>
        <v>-7134.63222127502</v>
      </c>
      <c r="G18" s="4" t="n">
        <f aca="false">(G6-F6)*Assumptions!$B$37/100</f>
        <v>-6123.89265659434</v>
      </c>
      <c r="H18" s="4" t="n">
        <f aca="false">(H6-G6)*Assumptions!$B$37/100</f>
        <v>-5021.59197840738</v>
      </c>
      <c r="I18" s="4" t="n">
        <f aca="false">(I6-H6)*Assumptions!$B$37/100</f>
        <v>-5122.02381797555</v>
      </c>
      <c r="J18" s="4" t="n">
        <f aca="false">(J6-I6)*Assumptions!$B$37/100</f>
        <v>-3918.34822075126</v>
      </c>
      <c r="K18" s="4" t="n">
        <f aca="false">(K6-J6)*Assumptions!$B$37/100</f>
        <v>-3977.12344406254</v>
      </c>
      <c r="L18" s="4" t="n">
        <f aca="false">(L6-K6)*Assumptions!$B$37/100</f>
        <v>-4036.78029572347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-7492.3605225</v>
      </c>
      <c r="D19" s="0" t="n">
        <f aca="false">D15+D16+D17+D18</f>
        <v>8901.27780659999</v>
      </c>
      <c r="E19" s="0" t="n">
        <f aca="false">E15+E16+E17+E18</f>
        <v>21907.3420485855</v>
      </c>
      <c r="F19" s="0" t="n">
        <f aca="false">F15+F16+F17+F18</f>
        <v>50348.3068486242</v>
      </c>
      <c r="G19" s="0" t="n">
        <f aca="false">G15+G16+G17+G18</f>
        <v>69534.759818077</v>
      </c>
      <c r="H19" s="0" t="n">
        <f aca="false">H15+H16+H17+H18</f>
        <v>80686.9399090499</v>
      </c>
      <c r="I19" s="0" t="n">
        <f aca="false">I15+I16+I17+I18</f>
        <v>82300.6787072309</v>
      </c>
      <c r="J19" s="0" t="n">
        <f aca="false">J15+J16+J17+J18</f>
        <v>84815.6948423333</v>
      </c>
      <c r="K19" s="0" t="n">
        <f aca="false">K15+K16+K17+K18</f>
        <v>86087.9302649682</v>
      </c>
      <c r="L19" s="0" t="n">
        <f aca="false">L15+L16+L17+L18</f>
        <v>87379.2492189428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-6969.63769534884</v>
      </c>
      <c r="D21" s="0" t="n">
        <f aca="false">D19*D20</f>
        <v>7702.56597650621</v>
      </c>
      <c r="E21" s="0" t="n">
        <f aca="false">E19*E20</f>
        <v>17634.5465318711</v>
      </c>
      <c r="F21" s="0" t="n">
        <f aca="false">F19*F20</f>
        <v>37700.8388415933</v>
      </c>
      <c r="G21" s="0" t="n">
        <f aca="false">G19*G20</f>
        <v>48435.0371996735</v>
      </c>
      <c r="H21" s="0" t="n">
        <f aca="false">H19*H20</f>
        <v>52282.0321037803</v>
      </c>
      <c r="I21" s="0" t="n">
        <f aca="false">I19*I20</f>
        <v>49607.1374380055</v>
      </c>
      <c r="J21" s="0" t="n">
        <f aca="false">J19*J20</f>
        <v>47556.3495249076</v>
      </c>
      <c r="K21" s="0" t="n">
        <f aca="false">K19*K20</f>
        <v>44902.0416444476</v>
      </c>
      <c r="L21" s="0" t="n">
        <f aca="false">L19*L20</f>
        <v>42395.8811805715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341246.792746008</v>
      </c>
    </row>
    <row r="31" customFormat="false" ht="15" hidden="false" customHeight="false" outlineLevel="0" collapsed="false">
      <c r="A31" s="0" t="s">
        <v>130</v>
      </c>
      <c r="B31" s="0" t="n">
        <f aca="false">L19</f>
        <v>87379.2492189428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1357739.10324819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1310688.73828414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1310688.73828414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635938.217708573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977185.010454581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936191.010454581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2317.9011687528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-0.099494495434033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2317.9011687528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630378.86936523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823.042843127235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13.9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1309281</v>
      </c>
      <c r="C6" s="0" t="n">
        <f aca="false">B6*(1+C5/100)</f>
        <v>1491271.059</v>
      </c>
      <c r="D6" s="0" t="n">
        <f aca="false">C6*(1+D5/100)</f>
        <v>1580747.32254</v>
      </c>
      <c r="E6" s="0" t="n">
        <f aca="false">D6*(1+E5/100)</f>
        <v>1667688.4252797</v>
      </c>
      <c r="F6" s="0" t="n">
        <f aca="false">E6*(1+F5/100)</f>
        <v>1734395.96229089</v>
      </c>
      <c r="G6" s="0" t="n">
        <f aca="false">F6*(1+G5/100)</f>
        <v>1795099.82097107</v>
      </c>
      <c r="H6" s="0" t="n">
        <f aca="false">G6*(1+H5/100)</f>
        <v>1848952.8156002</v>
      </c>
      <c r="I6" s="0" t="n">
        <f aca="false">H6*(1+I5/100)</f>
        <v>1895176.63599021</v>
      </c>
      <c r="J6" s="0" t="n">
        <f aca="false">I6*(1+J5/100)</f>
        <v>1933080.16871001</v>
      </c>
      <c r="K6" s="0" t="n">
        <f aca="false">J6*(1+K5/100)</f>
        <v>1971741.77208421</v>
      </c>
      <c r="L6" s="0" t="n">
        <f aca="false">K6*(1+L5/100)</f>
        <v>2011176.6075259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12.8</v>
      </c>
      <c r="D7" s="4" t="n">
        <f aca="false">Assumptions!D42</f>
        <v>13.2</v>
      </c>
      <c r="E7" s="4" t="n">
        <f aca="false">Assumptions!E42</f>
        <v>13.6</v>
      </c>
      <c r="F7" s="4" t="n">
        <f aca="false">Assumptions!F42</f>
        <v>14</v>
      </c>
      <c r="G7" s="4" t="n">
        <f aca="false">Assumptions!G42</f>
        <v>14.2</v>
      </c>
      <c r="H7" s="4" t="n">
        <f aca="false">Assumptions!H42</f>
        <v>14.2</v>
      </c>
      <c r="I7" s="4" t="n">
        <f aca="false">Assumptions!I42</f>
        <v>14.2</v>
      </c>
      <c r="J7" s="4" t="n">
        <f aca="false">Assumptions!J42</f>
        <v>14.2</v>
      </c>
      <c r="K7" s="4" t="n">
        <f aca="false">Assumptions!K42</f>
        <v>14.2</v>
      </c>
      <c r="L7" s="4" t="n">
        <f aca="false">Assumptions!L42</f>
        <v>14.2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190882.695552</v>
      </c>
      <c r="D8" s="0" t="n">
        <f aca="false">D6*D7/100</f>
        <v>208658.64657528</v>
      </c>
      <c r="E8" s="0" t="n">
        <f aca="false">E6*E7/100</f>
        <v>226805.625838039</v>
      </c>
      <c r="F8" s="0" t="n">
        <f aca="false">F6*F7/100</f>
        <v>242815.434720724</v>
      </c>
      <c r="G8" s="0" t="n">
        <f aca="false">G6*G7/100</f>
        <v>254904.174577892</v>
      </c>
      <c r="H8" s="0" t="n">
        <f aca="false">H6*H7/100</f>
        <v>262551.299815229</v>
      </c>
      <c r="I8" s="0" t="n">
        <f aca="false">I6*I7/100</f>
        <v>269115.082310609</v>
      </c>
      <c r="J8" s="0" t="n">
        <f aca="false">J6*J7/100</f>
        <v>274497.383956821</v>
      </c>
      <c r="K8" s="0" t="n">
        <f aca="false">K6*K7/100</f>
        <v>279987.331635958</v>
      </c>
      <c r="L8" s="0" t="n">
        <f aca="false">L6*L7/100</f>
        <v>285587.078268677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190882.695552</v>
      </c>
      <c r="D11" s="0" t="n">
        <f aca="false">D8+D10+D24</f>
        <v>208658.64657528</v>
      </c>
      <c r="E11" s="0" t="n">
        <f aca="false">E8+E10+E24</f>
        <v>226805.625838039</v>
      </c>
      <c r="F11" s="0" t="n">
        <f aca="false">F8+F10+F24</f>
        <v>242815.434720724</v>
      </c>
      <c r="G11" s="0" t="n">
        <f aca="false">G8+G10+G24</f>
        <v>254904.174577892</v>
      </c>
      <c r="H11" s="0" t="n">
        <f aca="false">H8+H10+H24</f>
        <v>262551.299815229</v>
      </c>
      <c r="I11" s="0" t="n">
        <f aca="false">I8+I10+I24</f>
        <v>269115.082310609</v>
      </c>
      <c r="J11" s="0" t="n">
        <f aca="false">J8+J10+J24</f>
        <v>274497.383956821</v>
      </c>
      <c r="K11" s="0" t="n">
        <f aca="false">K8+K10+K24</f>
        <v>279987.331635958</v>
      </c>
      <c r="L11" s="0" t="n">
        <f aca="false">L8+L10+L24</f>
        <v>285587.078268677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-64124.655537</v>
      </c>
      <c r="D12" s="4" t="n">
        <f aca="false">-D6*Assumptions!D45/100</f>
        <v>-71133.6295143</v>
      </c>
      <c r="E12" s="4" t="n">
        <f aca="false">-E6*Assumptions!E45/100</f>
        <v>-80049.0444134256</v>
      </c>
      <c r="F12" s="4" t="n">
        <f aca="false">-F6*Assumptions!F45/100</f>
        <v>-86719.7981145444</v>
      </c>
      <c r="G12" s="4" t="n">
        <f aca="false">-G6*Assumptions!G45/100</f>
        <v>-89754.9910485535</v>
      </c>
      <c r="H12" s="4" t="n">
        <f aca="false">-H6*Assumptions!H45/100</f>
        <v>-92447.6407800101</v>
      </c>
      <c r="I12" s="4" t="n">
        <f aca="false">-I6*Assumptions!I45/100</f>
        <v>-94758.8317995103</v>
      </c>
      <c r="J12" s="4" t="n">
        <f aca="false">-J6*Assumptions!J45/100</f>
        <v>-96654.0084355005</v>
      </c>
      <c r="K12" s="4" t="n">
        <f aca="false">-K6*Assumptions!K45/100</f>
        <v>-98587.0886042105</v>
      </c>
      <c r="L12" s="4" t="n">
        <f aca="false">-L6*Assumptions!L45/100</f>
        <v>-100558.830376295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126758.040015</v>
      </c>
      <c r="D13" s="0" t="n">
        <f aca="false">D11+D12</f>
        <v>137525.01706098</v>
      </c>
      <c r="E13" s="0" t="n">
        <f aca="false">E11+E12</f>
        <v>146756.581424614</v>
      </c>
      <c r="F13" s="0" t="n">
        <f aca="false">F11+F12</f>
        <v>156095.63660618</v>
      </c>
      <c r="G13" s="0" t="n">
        <f aca="false">G11+G12</f>
        <v>165149.183529338</v>
      </c>
      <c r="H13" s="0" t="n">
        <f aca="false">H11+H12</f>
        <v>170103.659035219</v>
      </c>
      <c r="I13" s="0" t="n">
        <f aca="false">I11+I12</f>
        <v>174356.250511099</v>
      </c>
      <c r="J13" s="0" t="n">
        <f aca="false">J11+J12</f>
        <v>177843.375521321</v>
      </c>
      <c r="K13" s="0" t="n">
        <f aca="false">K11+K12</f>
        <v>181400.243031747</v>
      </c>
      <c r="L13" s="0" t="n">
        <f aca="false">L11+L12</f>
        <v>185028.247892382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87463.04761035</v>
      </c>
      <c r="D15" s="0" t="n">
        <f aca="false">D13-MAX(0,D13)*D14/100</f>
        <v>94892.2617720762</v>
      </c>
      <c r="E15" s="0" t="n">
        <f aca="false">E13-MAX(0,E13)*E14/100</f>
        <v>101262.041182983</v>
      </c>
      <c r="F15" s="0" t="n">
        <f aca="false">F13-MAX(0,F13)*F14/100</f>
        <v>107705.989258264</v>
      </c>
      <c r="G15" s="0" t="n">
        <f aca="false">G13-MAX(0,G13)*G14/100</f>
        <v>113952.936635243</v>
      </c>
      <c r="H15" s="0" t="n">
        <f aca="false">H13-MAX(0,H13)*H14/100</f>
        <v>117371.524734301</v>
      </c>
      <c r="I15" s="0" t="n">
        <f aca="false">I13-MAX(0,I13)*I14/100</f>
        <v>120305.812852658</v>
      </c>
      <c r="J15" s="0" t="n">
        <f aca="false">J13-MAX(0,J13)*J14/100</f>
        <v>122711.929109711</v>
      </c>
      <c r="K15" s="0" t="n">
        <f aca="false">K13-MAX(0,K13)*K14/100</f>
        <v>125166.167691906</v>
      </c>
      <c r="L15" s="0" t="n">
        <f aca="false">L13-MAX(0,L13)*L14/100</f>
        <v>127669.491045744</v>
      </c>
    </row>
    <row r="16" customFormat="false" ht="15" hidden="false" customHeight="false" outlineLevel="0" collapsed="false">
      <c r="A16" s="0" t="s">
        <v>121</v>
      </c>
      <c r="C16" s="0" t="n">
        <f aca="false">-C12</f>
        <v>64124.655537</v>
      </c>
      <c r="D16" s="0" t="n">
        <f aca="false">-D12</f>
        <v>71133.6295143</v>
      </c>
      <c r="E16" s="0" t="n">
        <f aca="false">-E12</f>
        <v>80049.0444134256</v>
      </c>
      <c r="F16" s="0" t="n">
        <f aca="false">-F12</f>
        <v>86719.7981145444</v>
      </c>
      <c r="G16" s="0" t="n">
        <f aca="false">-G12</f>
        <v>89754.9910485535</v>
      </c>
      <c r="H16" s="0" t="n">
        <f aca="false">-H12</f>
        <v>92447.6407800101</v>
      </c>
      <c r="I16" s="0" t="n">
        <f aca="false">-I12</f>
        <v>94758.8317995103</v>
      </c>
      <c r="J16" s="0" t="n">
        <f aca="false">-J12</f>
        <v>96654.0084355005</v>
      </c>
      <c r="K16" s="0" t="n">
        <f aca="false">-K12</f>
        <v>98587.0886042105</v>
      </c>
      <c r="L16" s="0" t="n">
        <f aca="false">-L12</f>
        <v>100558.830376295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-131231.853192</v>
      </c>
      <c r="D17" s="4" t="n">
        <f aca="false">-D6*Assumptions!D46/100</f>
        <v>-142267.2590286</v>
      </c>
      <c r="E17" s="4" t="n">
        <f aca="false">-E6*Assumptions!E46/100</f>
        <v>-141753.516148775</v>
      </c>
      <c r="F17" s="4" t="n">
        <f aca="false">-F6*Assumptions!F46/100</f>
        <v>-121407.717360362</v>
      </c>
      <c r="G17" s="4" t="n">
        <f aca="false">-G6*Assumptions!G46/100</f>
        <v>-107705.989258264</v>
      </c>
      <c r="H17" s="4" t="n">
        <f aca="false">-H6*Assumptions!H46/100</f>
        <v>-101692.404858011</v>
      </c>
      <c r="I17" s="4" t="n">
        <f aca="false">-I6*Assumptions!I46/100</f>
        <v>-104234.714979461</v>
      </c>
      <c r="J17" s="4" t="n">
        <f aca="false">-J6*Assumptions!J46/100</f>
        <v>-106319.409279051</v>
      </c>
      <c r="K17" s="4" t="n">
        <f aca="false">-K6*Assumptions!K46/100</f>
        <v>-108445.797464632</v>
      </c>
      <c r="L17" s="4" t="n">
        <f aca="false">-L6*Assumptions!L46/100</f>
        <v>-110614.713413924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-27298.50885</v>
      </c>
      <c r="D18" s="4" t="n">
        <f aca="false">(D6-C6)*Assumptions!$B$51/100</f>
        <v>-13421.439531</v>
      </c>
      <c r="E18" s="4" t="n">
        <f aca="false">(E6-D6)*Assumptions!$B$51/100</f>
        <v>-13041.165410955</v>
      </c>
      <c r="F18" s="4" t="n">
        <f aca="false">(F6-E6)*Assumptions!$B$51/100</f>
        <v>-10006.1305516782</v>
      </c>
      <c r="G18" s="4" t="n">
        <f aca="false">(G6-F6)*Assumptions!$B$51/100</f>
        <v>-9105.57880202715</v>
      </c>
      <c r="H18" s="4" t="n">
        <f aca="false">(H6-G6)*Assumptions!$B$51/100</f>
        <v>-8077.94919436981</v>
      </c>
      <c r="I18" s="4" t="n">
        <f aca="false">(I6-H6)*Assumptions!$B$51/100</f>
        <v>-6933.57305850074</v>
      </c>
      <c r="J18" s="4" t="n">
        <f aca="false">(J6-I6)*Assumptions!$B$51/100</f>
        <v>-5685.52990797063</v>
      </c>
      <c r="K18" s="4" t="n">
        <f aca="false">(K6-J6)*Assumptions!$B$51/100</f>
        <v>-5799.24050613003</v>
      </c>
      <c r="L18" s="4" t="n">
        <f aca="false">(L6-K6)*Assumptions!$B$51/100</f>
        <v>-5915.22531625265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-6942.65889465003</v>
      </c>
      <c r="D19" s="0" t="n">
        <f aca="false">D15+D16+D17+D18</f>
        <v>10337.1927267762</v>
      </c>
      <c r="E19" s="0" t="n">
        <f aca="false">E15+E16+E17+E18</f>
        <v>26516.4040366795</v>
      </c>
      <c r="F19" s="0" t="n">
        <f aca="false">F15+F16+F17+F18</f>
        <v>63011.9394607682</v>
      </c>
      <c r="G19" s="0" t="n">
        <f aca="false">G15+G16+G17+G18</f>
        <v>86896.3596235056</v>
      </c>
      <c r="H19" s="0" t="n">
        <f aca="false">H15+H16+H17+H18</f>
        <v>100048.81146193</v>
      </c>
      <c r="I19" s="0" t="n">
        <f aca="false">I15+I16+I17+I18</f>
        <v>103896.356614207</v>
      </c>
      <c r="J19" s="0" t="n">
        <f aca="false">J15+J16+J17+J18</f>
        <v>107360.998358191</v>
      </c>
      <c r="K19" s="0" t="n">
        <f aca="false">K15+K16+K17+K18</f>
        <v>109508.218325355</v>
      </c>
      <c r="L19" s="0" t="n">
        <f aca="false">L15+L16+L17+L18</f>
        <v>111698.382691862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-6458.28734386049</v>
      </c>
      <c r="D21" s="0" t="n">
        <f aca="false">D19*D20</f>
        <v>8945.10998531198</v>
      </c>
      <c r="E21" s="0" t="n">
        <f aca="false">E19*E20</f>
        <v>21344.6596947123</v>
      </c>
      <c r="F21" s="0" t="n">
        <f aca="false">F19*F20</f>
        <v>47183.3736504601</v>
      </c>
      <c r="G21" s="0" t="n">
        <f aca="false">G19*G20</f>
        <v>60528.4094155529</v>
      </c>
      <c r="H21" s="0" t="n">
        <f aca="false">H19*H20</f>
        <v>64827.7797955131</v>
      </c>
      <c r="I21" s="0" t="n">
        <f aca="false">I19*I20</f>
        <v>62624.0381346472</v>
      </c>
      <c r="J21" s="0" t="n">
        <f aca="false">J19*J20</f>
        <v>60197.5515587806</v>
      </c>
      <c r="K21" s="0" t="n">
        <f aca="false">K19*K20</f>
        <v>57117.6768278662</v>
      </c>
      <c r="L21" s="0" t="n">
        <f aca="false">L19*L20</f>
        <v>54195.3770831847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430505.688802169</v>
      </c>
    </row>
    <row r="31" customFormat="false" ht="15" hidden="false" customHeight="false" outlineLevel="0" collapsed="false">
      <c r="A31" s="0" t="s">
        <v>130</v>
      </c>
      <c r="B31" s="0" t="n">
        <f aca="false">L19</f>
        <v>111698.382691862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1889564.30720399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1675475.74037793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1675475.74037793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812930.65624777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1243436.34504994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1202442.34504994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2977.10882269183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0.156607934223709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2977.10882269183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839806.35875733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1092.32511676838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1354.76540697227</v>
      </c>
      <c r="C4" s="0" t="n">
        <f aca="false">B4/Assumptions!$B$2-1</f>
        <v>-0.473673113064385</v>
      </c>
      <c r="D4" s="4" t="n">
        <f aca="false">Assumptions!$B$24</f>
        <v>0.25</v>
      </c>
      <c r="E4" s="4" t="n">
        <f aca="false">DCF_Bear!$B$43</f>
        <v>1354.76540697227</v>
      </c>
      <c r="F4" s="4" t="n">
        <f aca="false">DCF_Bear!$B$47</f>
        <v>470.403852877443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2317.9011687528</v>
      </c>
      <c r="C5" s="0" t="n">
        <f aca="false">B5/Assumptions!$B$2-1</f>
        <v>-0.099494495434033</v>
      </c>
      <c r="D5" s="4" t="n">
        <f aca="false">Assumptions!$B$38</f>
        <v>0.5</v>
      </c>
      <c r="E5" s="4" t="n">
        <f aca="false">DCF_Base!$B$43</f>
        <v>2317.9011687528</v>
      </c>
      <c r="F5" s="4" t="n">
        <f aca="false">DCF_Base!$B$47</f>
        <v>823.042843127235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2977.10882269183</v>
      </c>
      <c r="C6" s="0" t="n">
        <f aca="false">B6/Assumptions!$B$2-1</f>
        <v>0.156607934223709</v>
      </c>
      <c r="D6" s="4" t="n">
        <f aca="false">Assumptions!$B$52</f>
        <v>0.25</v>
      </c>
      <c r="E6" s="4" t="n">
        <f aca="false">DCF_Bull!$B$43</f>
        <v>2977.10882269183</v>
      </c>
      <c r="F6" s="4" t="n">
        <f aca="false">DCF_Bull!$B$47</f>
        <v>1092.32511676838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2241.91914179243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2241.91914179243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-0.148123476898491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802.203663975074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2317.9011687528</v>
      </c>
      <c r="C15" s="3" t="n">
        <v>7.5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1821.34814690303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1557.77374489678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1348.74994074048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1179.31051139949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823.042843127235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2759.14097509405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2759.14097509405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2759.14097509405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2759.14097509405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2759.14097509405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2527.82908939383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2527.82908939383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2527.82908939383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2527.82908939383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2527.82908939383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2142.95563334859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2250.42217652546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2317.9011687528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2317.9011687528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2317.9011687528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1817.60262846356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1893.93912158027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1980.4538137792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2079.32774772085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2127.16997382164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1563.15381411655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1619.05429883646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1681.53131117048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1751.81795004625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1831.47614077212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2026-10-31T01:45:11Z</dcterms:created>
  <dc:creator>openpyxl</dc:creator>
  <dc:description/>
  <dc:language>en-NZ</dc:language>
  <cp:lastModifiedBy/>
  <dcterms:modified xsi:type="dcterms:W3CDTF">2026-10-31T01:45:11Z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