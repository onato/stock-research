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<sst xmlns="http://schemas.openxmlformats.org/spreadsheetml/2006/main" count="363" uniqueCount="167">
  <si>
    <t xml:space="preserve">Ticker</t>
  </si>
  <si>
    <t xml:space="preserve">CPU.AX</t>
  </si>
  <si>
    <t xml:space="preserve">Company</t>
  </si>
  <si>
    <t xml:space="preserve">Computershare Limited</t>
  </si>
  <si>
    <t xml:space="preserve">Valuation date</t>
  </si>
  <si>
    <t xml:space="preserve">2026-09-22</t>
  </si>
  <si>
    <t xml:space="preserve">Current price</t>
  </si>
  <si>
    <t xml:space="preserve">Price as of</t>
  </si>
  <si>
    <t xml:space="preserve">2026-09-22T06:10:05Z ASX regular close (Yahoo); 52-week range A$26.73-43.79</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</si>
  <si>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</si>
  <si>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</si>
  <si>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</si>
  <si>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</si>
  <si>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</si>
  <si>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</si>
  <si>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</si>
  <si>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AUD</t>
  </si>
  <si>
    <t xml:space="preserve">Units</t>
  </si>
  <si>
    <t xml:space="preserve">millions</t>
  </si>
  <si>
    <t xml:space="preserve">Engine</t>
  </si>
  <si>
    <t xml:space="preserve">dcf_engine v1</t>
  </si>
  <si>
    <t xml:space="preserve">Built at</t>
  </si>
  <si>
    <t xml:space="preserve">2026-09-22T09:33:56Z</t>
  </si>
  <si>
    <t xml:space="preserve">Drivers file</t>
  </si>
  <si>
    <t xml:space="preserve">CPU.AX_Drivers.json</t>
  </si>
  <si>
    <t xml:space="preserve">Convention</t>
  </si>
  <si>
    <t xml:space="preserve">Percents stored as percents; formulas divide by 100. Blue = input, green = link, black = formula.</t>
  </si>
  <si>
    <t xml:space="preserve">Methodology</t>
  </si>
  <si>
    <t xml:space="preserve">summary: Computershare is a high-quality, capital-light fiduciary processor whose fee base is annuity-like, but roughly a quarter of revenue and a larger share of profit is a rate bet the company does not control. The house DCF values the fee business plus margin income at guidance, charges recurring 'management adjustments' as real costs, expenses SBC and lease cost once, discounts USD flows at a USD-built 9.25% WACC, and converts to AUD at a parity-checked rate. The market is paying ~21x unlevered owner FCF, which at this WACC implies either a lower discount rate or perpetual growth above 4%; the gap between the weighted IV and the price is the premium being paid for predictability and the MI-recovery narrative.
key_risks_to_valuation: Rate path: 100bp of unassumed cuts on ~$8bn of unhedged exposed balances is ~-$80m EBITDA (~-2.5pp margin), the bear-case axis; Recurring management adjustments ($130-300m/yr since FY19) are treated as costs here; a reader using Management EBITDA will get a ~15% higher value; Capital-markets cyclicality in event fees, corporate actions and plan transactions - FY26 had non-repeating HK IPO and event-fee tailwinds; Issuer Services margin compression (-300bp FY26) tied to a large client contract may be structural rather than one-off; FX: value is built in USD and converted at AUD/USD 0.7113; a 5% AUD move changes the AUD IV by 5% with no change in the business; Terminal value is ~55% of EV; the exit multiple implied by Gordon at 9.25%/2.5% is ~15x FCF against the ~21x the market pays today</t>
  </si>
  <si>
    <t xml:space="preserve">Data sources</t>
  </si>
  <si>
    <t xml:space="preserve">price: Yahoo Finance CPU.AX regular close 2026-09-22T06:10:05Z (A$41.69); AUDUSD=X 0.7113 2026-09-22T09:28Z; CMSQF US$29.75 2026-09-21 parity check; ^TNX 4.963% 2026-09-21
financials: CPU.AX_Metrics.csv / core_metrics (USD millions, FY2016-FY2026 + H1s), FY2026 Annual Report (CPU.AX_Annual_FY2026.txt) cash flow statement :3139-3178, EPS note :3423, leases note :4622-4624, share-based payments :4993, outlook :909-941
qualitative: CPU.AX_Analysis.json (2026-09-22): business model, margin income mechanics, FY27 guidance items, bull/bear axes</t>
  </si>
  <si>
    <t xml:space="preserve">Scenario narrative: bear</t>
  </si>
  <si>
    <t xml:space="preserve">The rate-cycle axis breaks against the company: no FY27 hikes and ~150bp of cuts across USD/GBP/CAD compress MI by $120-150m, which drops nearly straight to EBIT. A weaker equity/M&amp;A cycle removes event fees and plan-transaction revenue at the same time, and the Issuer Services margin compression seen in FY26 (-300bp) proves structural. Revenue stalls for two years and margins reset to 32.5-33%; the market re-rates the stock to a 15x FCF exit.</t>
  </si>
  <si>
    <t xml:space="preserve">Scenario narrative: base</t>
  </si>
  <si>
    <t xml:space="preserve">Computershare delivers roughly its FY27 guidance: Management EPS ~154c (+6%), MI ~$770m on $32.8bn balances at 2.35%, EBIT ex MI margin ~19%, and thereafter compounds fee revenue at 3-4% with MI growing with balances. Pre-SBC statutory EBITDA margin settles at 37% (Management EBITDA less ~$130m/yr of recurring restructuring/acquisition costs treated as real). Capex normalises to 1.5-1.8% of revenue after the FY27 AI/facilities step-up. No M&amp;A is assumed; the 0.1x-levered balance sheet is optionality, not value.</t>
  </si>
  <si>
    <t xml:space="preserve">Scenario narrative: bull</t>
  </si>
  <si>
    <t xml:space="preserve">MI proves to have bottomed and rates stay elevated: hedged yields lock in 2.5%+ on balances growing to $35bn+, Corporate Trust keeps taking share in structured products, Employee Share Plans compounds at high single digits on rising assets under administration, and disciplined bolt-ons add growth. Margin expands to 38.5% pre-SBC as stranded costs and management-adjustment charges fade. Terminal growth 3%, cap 20x.</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</si>
  <si>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</si>
  <si>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</si>
  <si>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</si>
  <si>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</si>
  <si>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</si>
  <si>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</si>
  <si>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</si>
  <si>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</si>
  <si>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</si>
  <si>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</si>
  <si>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</si>
  <si>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</si>
  <si>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</si>
  <si>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</si>
  <si>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</si>
  <si>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</si>
  <si>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</si>
  <si>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</si>
  <si>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</si>
  <si>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</si>
  <si>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</si>
  <si>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</si>
  <si>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</si>
  <si>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</si>
  <si>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</si>
  <si>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</si>
  <si>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</si>
  <si>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</si>
  <si>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</si>
  <si>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</si>
  <si>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</si>
  <si>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</si>
  <si>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</si>
  <si>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</si>
  <si>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</si>
  <si>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</si>
  <si>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</si>
  <si>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</si>
  <si>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</si>
  <si>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</si>
  <si>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</si>
  <si>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</si>
  <si>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</si>
  <si>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</si>
  <si>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</si>
  <si>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</si>
  <si>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</si>
  <si>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</si>
  <si>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</si>
  <si>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</si>
  <si>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</si>
  <si>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</si>
  <si>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</si>
  <si>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</si>
  <si>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</si>
  <si>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</si>
  <si>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</si>
  <si>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</si>
  <si>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</si>
  <si>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</si>
  <si>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</si>
  <si>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</si>
  <si>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</si>
  <si>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</si>
  <si>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</si>
  <si>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</si>
  <si>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</si>
  <si>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</si>
  <si>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</si>
  <si>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</si>
  <si>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</si>
  <si>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</si>
  <si>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</si>
  <si>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</si>
  <si>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</si>
  <si>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CPU.AX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</si>
  <si>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</si>
  <si>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</si>
  <si>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</si>
  <si>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</si>
  <si>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</si>
  <si>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</si>
  <si>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</si>
  <si>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</si>
  <si>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</si>
  <si>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</si>
  <si>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</si>
  <si>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</si>
  <si>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</si>
  <si>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</si>
  <si>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</si>
  <si>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</si>
  <si>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</si>
  <si>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</si>
  <si>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</si>
  <si>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</si>
  <si>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</si>
  <si>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</si>
  <si>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</si>
  <si>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</si>
  <si>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</si>
  <si>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</si>
  <si>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</si>
  <si>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</si>
  <si>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</si>
  <si>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</si>
  <si>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CPU.AX owner-FCF component DCF: base case (millions, USD)</t>
  </si>
  <si>
    <t xml:space="preserve">CPU.AX owner-FCF component DCF: bull case (millions, USD)</t>
  </si>
  <si>
    <t xml:space="preserve">CPU.AX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</si>
  <si>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</si>
  <si>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</si>
  <si>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</si>
  <si>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</si>
  <si>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</si>
  <si>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</si>
  <si>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</si>
  <si>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</si>
  <si>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</si>
  <si>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</si>
  <si>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</si>
  <si>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</si>
  <si>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</si>
  <si>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</si>
  <si>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</si>
  <si>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9.25%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</si>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</sst>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41.69</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row>
    <row r="2" customFormat="false" ht="15" hidden="false" customHeight="false" outlineLevel="0" collapsed="false">
      <c r="A2" s="0" t="s">
        <v>64</v>
      </c>
      <c r="B2" s="0" t="n">
        <v>1961.125</v>
      </c>
      <c r="F2" s="0" t="n">
        <v>299.489</v>
      </c>
      <c r="G2" s="0" t="n">
        <v>15.2712856141245</v>
      </c>
      <c r="H2" s="0" t="n">
        <v>446.505</v>
      </c>
      <c r="I2" s="0" t="n">
        <v>161.798</v>
      </c>
      <c r="J2" s="0" t="n">
        <v>8.25026451654025</v>
      </c>
      <c r="K2" s="0" t="n">
        <v>0.2855</v>
      </c>
      <c r="L2" s="0" t="n">
        <v>304.647</v>
      </c>
      <c r="M2" s="0" t="n">
        <v>193.165</v>
      </c>
      <c r="N2" s="0" t="n">
        <v>111.482</v>
      </c>
      <c r="O2" s="0" t="n">
        <v>1108.733</v>
      </c>
      <c r="P2" s="0" t="n">
        <v>3977.748</v>
      </c>
      <c r="Q2" s="0" t="n">
        <v>2869.015</v>
      </c>
      <c r="S2" s="0" t="n">
        <v>526.575</v>
      </c>
      <c r="T2" s="0" t="n">
        <v>547259000</v>
      </c>
      <c r="U2" s="0" t="n">
        <v>43.925</v>
      </c>
      <c r="AA2" s="0" t="s">
        <v>18</v>
      </c>
      <c r="AB2" s="0" t="s">
        <v>14</v>
      </c>
    </row>
    <row r="3" customFormat="false" ht="15" hidden="false" customHeight="false" outlineLevel="0" collapsed="false">
      <c r="A3" s="0" t="s">
        <v>65</v>
      </c>
      <c r="B3" s="0" t="n">
        <v>2105.76</v>
      </c>
      <c r="F3" s="0" t="n">
        <v>295.009</v>
      </c>
      <c r="G3" s="0" t="n">
        <v>14.0096212293899</v>
      </c>
      <c r="H3" s="0" t="n">
        <v>414.109</v>
      </c>
      <c r="I3" s="0" t="n">
        <v>271.701</v>
      </c>
      <c r="J3" s="0" t="n">
        <v>12.9027524504217</v>
      </c>
      <c r="K3" s="0" t="n">
        <v>0.5169</v>
      </c>
      <c r="L3" s="0" t="n">
        <v>457.682</v>
      </c>
      <c r="M3" s="0" t="n">
        <v>144.915</v>
      </c>
      <c r="N3" s="0" t="n">
        <v>312.767</v>
      </c>
      <c r="O3" s="0" t="n">
        <v>1237.028</v>
      </c>
      <c r="P3" s="0" t="n">
        <v>3947.03</v>
      </c>
      <c r="Q3" s="0" t="n">
        <v>2710.002</v>
      </c>
      <c r="R3" s="0" t="n">
        <v>172.103</v>
      </c>
      <c r="S3" s="0" t="n">
        <v>489.917</v>
      </c>
      <c r="T3" s="0" t="n">
        <v>546331000</v>
      </c>
      <c r="U3" s="0" t="n">
        <v>44.244</v>
      </c>
      <c r="AA3" s="0" t="s">
        <v>18</v>
      </c>
      <c r="AB3" s="0" t="s">
        <v>14</v>
      </c>
    </row>
    <row r="4" customFormat="false" ht="15" hidden="false" customHeight="false" outlineLevel="0" collapsed="false">
      <c r="A4" s="0" t="s">
        <v>66</v>
      </c>
      <c r="B4" s="0" t="n">
        <v>2289.89</v>
      </c>
      <c r="F4" s="0" t="n">
        <v>452.013</v>
      </c>
      <c r="G4" s="0" t="n">
        <v>19.7395071378975</v>
      </c>
      <c r="H4" s="0" t="n">
        <v>572.463</v>
      </c>
      <c r="I4" s="0" t="n">
        <v>308.329</v>
      </c>
      <c r="J4" s="0" t="n">
        <v>13.4647952521737</v>
      </c>
      <c r="K4" s="0" t="n">
        <v>0.5517</v>
      </c>
      <c r="L4" s="0" t="n">
        <v>514.051</v>
      </c>
      <c r="M4" s="0" t="n">
        <v>160.525</v>
      </c>
      <c r="N4" s="0" t="n">
        <v>353.526</v>
      </c>
      <c r="O4" s="0" t="n">
        <v>1333.397</v>
      </c>
      <c r="P4" s="0" t="n">
        <v>3888.196</v>
      </c>
      <c r="Q4" s="0" t="n">
        <v>2554.799</v>
      </c>
      <c r="R4" s="0" t="n">
        <v>474.141</v>
      </c>
      <c r="S4" s="0" t="n">
        <v>500.888</v>
      </c>
      <c r="T4" s="0" t="n">
        <v>543875000</v>
      </c>
      <c r="U4" s="0" t="n">
        <v>42.221</v>
      </c>
      <c r="AA4" s="0" t="s">
        <v>18</v>
      </c>
      <c r="AB4" s="0" t="s">
        <v>14</v>
      </c>
    </row>
    <row r="5" customFormat="false" ht="15" hidden="false" customHeight="false" outlineLevel="0" collapsed="false">
      <c r="A5" s="0" t="s">
        <v>67</v>
      </c>
      <c r="B5" s="0" t="n">
        <v>2346</v>
      </c>
      <c r="F5" s="0" t="n">
        <v>595.041</v>
      </c>
      <c r="G5" s="0" t="n">
        <v>25.3640664961637</v>
      </c>
      <c r="H5" s="0" t="n">
        <v>735.653</v>
      </c>
      <c r="I5" s="0" t="n">
        <v>418.955</v>
      </c>
      <c r="J5" s="0" t="n">
        <v>17.8582693947144</v>
      </c>
      <c r="K5" s="0" t="n">
        <v>0.7657</v>
      </c>
      <c r="L5" s="0" t="n">
        <v>286.758</v>
      </c>
      <c r="M5" s="0" t="n">
        <v>157.448</v>
      </c>
      <c r="N5" s="0" t="n">
        <v>129.31</v>
      </c>
      <c r="O5" s="0" t="n">
        <v>1574.071</v>
      </c>
      <c r="P5" s="0" t="n">
        <v>4684.955</v>
      </c>
      <c r="Q5" s="0" t="n">
        <v>3110.884</v>
      </c>
      <c r="R5" s="0" t="n">
        <v>2028.574</v>
      </c>
      <c r="S5" s="0" t="n">
        <v>561.346</v>
      </c>
      <c r="T5" s="0" t="n">
        <v>542956000</v>
      </c>
      <c r="U5" s="0" t="n">
        <v>40.047</v>
      </c>
      <c r="AA5" s="0" t="s">
        <v>18</v>
      </c>
      <c r="AB5" s="0" t="s">
        <v>14</v>
      </c>
    </row>
    <row r="6" customFormat="false" ht="15" hidden="false" customHeight="false" outlineLevel="0" collapsed="false">
      <c r="A6" s="0" t="s">
        <v>68</v>
      </c>
      <c r="B6" s="0" t="n">
        <v>2277.28</v>
      </c>
      <c r="F6" s="0" t="n">
        <v>390.688</v>
      </c>
      <c r="G6" s="0" t="n">
        <v>17.155905290522</v>
      </c>
      <c r="H6" s="0" t="n">
        <v>596.856</v>
      </c>
      <c r="I6" s="0" t="n">
        <v>232.731</v>
      </c>
      <c r="J6" s="0" t="n">
        <v>10.2196919131596</v>
      </c>
      <c r="K6" s="0" t="n">
        <v>0.4255</v>
      </c>
      <c r="L6" s="0" t="n">
        <v>608.805</v>
      </c>
      <c r="M6" s="0" t="n">
        <v>211.583</v>
      </c>
      <c r="N6" s="0" t="n">
        <v>397.222</v>
      </c>
      <c r="O6" s="0" t="n">
        <v>1590.319</v>
      </c>
      <c r="P6" s="0" t="n">
        <v>4989.751</v>
      </c>
      <c r="Q6" s="0" t="n">
        <v>3399.432</v>
      </c>
      <c r="R6" s="0" t="n">
        <v>2029.82</v>
      </c>
      <c r="S6" s="0" t="n">
        <v>597.313</v>
      </c>
      <c r="T6" s="0" t="n">
        <v>541421000</v>
      </c>
      <c r="U6" s="0" t="n">
        <v>32.611</v>
      </c>
      <c r="AA6" s="0" t="s">
        <v>18</v>
      </c>
      <c r="AB6" s="0" t="s">
        <v>14</v>
      </c>
    </row>
    <row r="7" customFormat="false" ht="15" hidden="false" customHeight="false" outlineLevel="0" collapsed="false">
      <c r="A7" s="0" t="s">
        <v>69</v>
      </c>
      <c r="B7" s="0" t="n">
        <v>2283.16</v>
      </c>
      <c r="F7" s="0" t="n">
        <v>324.999</v>
      </c>
      <c r="G7" s="0" t="n">
        <v>14.2346134305086</v>
      </c>
      <c r="H7" s="0" t="n">
        <v>564.289</v>
      </c>
      <c r="I7" s="0" t="n">
        <v>189.199</v>
      </c>
      <c r="J7" s="0" t="n">
        <v>8.28671665586293</v>
      </c>
      <c r="K7" s="0" t="n">
        <v>0.3377</v>
      </c>
      <c r="L7" s="0" t="n">
        <v>306.636</v>
      </c>
      <c r="M7" s="0" t="n">
        <v>141.281</v>
      </c>
      <c r="N7" s="0" t="n">
        <v>165.355</v>
      </c>
      <c r="O7" s="0" t="n">
        <v>2279.597</v>
      </c>
      <c r="P7" s="0" t="n">
        <v>5251.885</v>
      </c>
      <c r="Q7" s="0" t="n">
        <v>2972.288</v>
      </c>
      <c r="R7" s="0" t="n">
        <v>1709.986</v>
      </c>
      <c r="S7" s="0" t="n">
        <v>816.81</v>
      </c>
      <c r="T7" s="0" t="n">
        <v>559519000</v>
      </c>
      <c r="U7" s="0" t="n">
        <v>37.105</v>
      </c>
      <c r="AA7" s="0" t="s">
        <v>18</v>
      </c>
      <c r="AB7" s="0" t="s">
        <v>14</v>
      </c>
    </row>
    <row r="8" customFormat="false" ht="15" hidden="false" customHeight="false" outlineLevel="0" collapsed="false">
      <c r="A8" s="0" t="s">
        <v>70</v>
      </c>
      <c r="B8" s="0" t="n">
        <v>2565.05</v>
      </c>
      <c r="F8" s="0" t="n">
        <v>347.87</v>
      </c>
      <c r="G8" s="0" t="n">
        <v>13.5619188709772</v>
      </c>
      <c r="H8" s="0" t="n">
        <v>621.89</v>
      </c>
      <c r="I8" s="0" t="n">
        <v>227.78</v>
      </c>
      <c r="J8" s="0" t="n">
        <v>8.88013878871757</v>
      </c>
      <c r="K8" s="0" t="n">
        <v>0.3771</v>
      </c>
      <c r="L8" s="0" t="n">
        <v>494.535</v>
      </c>
      <c r="M8" s="0" t="n">
        <v>108.473</v>
      </c>
      <c r="N8" s="0" t="n">
        <v>386.062</v>
      </c>
      <c r="O8" s="0" t="n">
        <v>2194.465</v>
      </c>
      <c r="P8" s="0" t="n">
        <v>6093.359</v>
      </c>
      <c r="Q8" s="0" t="n">
        <v>3898.894</v>
      </c>
      <c r="R8" s="0" t="n">
        <v>2402.351</v>
      </c>
      <c r="S8" s="0" t="n">
        <v>1000.82</v>
      </c>
      <c r="T8" s="0" t="n">
        <v>603729000</v>
      </c>
      <c r="U8" s="0" t="n">
        <v>39.523</v>
      </c>
      <c r="AA8" s="0" t="s">
        <v>18</v>
      </c>
      <c r="AB8" s="0" t="s">
        <v>14</v>
      </c>
    </row>
    <row r="9" customFormat="false" ht="15" hidden="false" customHeight="false" outlineLevel="0" collapsed="false">
      <c r="A9" s="0" t="s">
        <v>71</v>
      </c>
      <c r="B9" s="0" t="n">
        <v>3200.84</v>
      </c>
      <c r="F9" s="0" t="n">
        <v>712.396</v>
      </c>
      <c r="G9" s="0" t="n">
        <v>22.2565326601767</v>
      </c>
      <c r="H9" s="0" t="n">
        <v>992.408</v>
      </c>
      <c r="I9" s="0" t="n">
        <v>444.718</v>
      </c>
      <c r="J9" s="0" t="n">
        <v>13.8937903800252</v>
      </c>
      <c r="K9" s="0" t="n">
        <v>0.7367</v>
      </c>
      <c r="L9" s="0" t="n">
        <v>600.998</v>
      </c>
      <c r="M9" s="0" t="n">
        <v>112.599</v>
      </c>
      <c r="N9" s="0" t="n">
        <v>488.399</v>
      </c>
      <c r="O9" s="0" t="n">
        <v>2140.982</v>
      </c>
      <c r="P9" s="0" t="n">
        <v>6146.385</v>
      </c>
      <c r="Q9" s="0" t="n">
        <v>4005.403</v>
      </c>
      <c r="R9" s="0" t="n">
        <v>2357.867</v>
      </c>
      <c r="S9" s="0" t="n">
        <v>1141.695</v>
      </c>
      <c r="T9" s="0" t="n">
        <v>603729000</v>
      </c>
      <c r="U9" s="0" t="n">
        <v>34.9</v>
      </c>
      <c r="AA9" s="0" t="s">
        <v>18</v>
      </c>
      <c r="AB9" s="0" t="s">
        <v>14</v>
      </c>
    </row>
    <row r="10" customFormat="false" ht="15" hidden="false" customHeight="false" outlineLevel="0" collapsed="false">
      <c r="A10" s="0" t="s">
        <v>72</v>
      </c>
      <c r="B10" s="0" t="n">
        <v>2972.811</v>
      </c>
      <c r="F10" s="0" t="n">
        <v>829.104</v>
      </c>
      <c r="G10" s="0" t="n">
        <v>27.8895631104702</v>
      </c>
      <c r="H10" s="0" t="n">
        <v>991.268</v>
      </c>
      <c r="I10" s="0" t="n">
        <v>352.93</v>
      </c>
      <c r="J10" s="0" t="n">
        <v>11.8719286224385</v>
      </c>
      <c r="K10" s="0" t="n">
        <v>0.589</v>
      </c>
      <c r="L10" s="0" t="n">
        <v>728.964</v>
      </c>
      <c r="M10" s="0" t="n">
        <v>118.832</v>
      </c>
      <c r="N10" s="0" t="n">
        <v>610.132</v>
      </c>
      <c r="O10" s="0" t="n">
        <v>1948.603</v>
      </c>
      <c r="P10" s="0" t="n">
        <v>5118.619</v>
      </c>
      <c r="Q10" s="0" t="n">
        <v>3170.016</v>
      </c>
      <c r="R10" s="0" t="n">
        <v>1655.294</v>
      </c>
      <c r="S10" s="0" t="n">
        <v>1193.939</v>
      </c>
      <c r="T10" s="0" t="n">
        <v>598650000</v>
      </c>
      <c r="U10" s="0" t="n">
        <v>36.041</v>
      </c>
      <c r="AA10" s="0" t="s">
        <v>18</v>
      </c>
      <c r="AB10" s="0" t="s">
        <v>14</v>
      </c>
    </row>
    <row r="11" customFormat="false" ht="15" hidden="false" customHeight="false" outlineLevel="0" collapsed="false">
      <c r="A11" s="0" t="s">
        <v>73</v>
      </c>
      <c r="B11" s="0" t="n">
        <v>3114.621</v>
      </c>
      <c r="F11" s="0" t="n">
        <v>906.825</v>
      </c>
      <c r="G11" s="0" t="n">
        <v>29.1150993973264</v>
      </c>
      <c r="H11" s="0" t="n">
        <v>1071.337</v>
      </c>
      <c r="I11" s="0" t="n">
        <v>607.564</v>
      </c>
      <c r="J11" s="0" t="n">
        <v>19.5068356631513</v>
      </c>
      <c r="K11" s="0" t="n">
        <v>1.0345</v>
      </c>
      <c r="L11" s="0" t="n">
        <v>823.653</v>
      </c>
      <c r="M11" s="0" t="n">
        <v>43.576</v>
      </c>
      <c r="N11" s="0" t="n">
        <v>780.077</v>
      </c>
      <c r="O11" s="0" t="n">
        <v>2154.092</v>
      </c>
      <c r="P11" s="0" t="n">
        <v>5335.428</v>
      </c>
      <c r="Q11" s="0" t="n">
        <v>3181.336</v>
      </c>
      <c r="R11" s="0" t="n">
        <v>1783.575</v>
      </c>
      <c r="S11" s="0" t="n">
        <v>1255.669</v>
      </c>
      <c r="T11" s="0" t="n">
        <v>586792000</v>
      </c>
      <c r="U11" s="0" t="n">
        <v>43</v>
      </c>
      <c r="AA11" s="0" t="s">
        <v>18</v>
      </c>
      <c r="AB11" s="0" t="s">
        <v>14</v>
      </c>
    </row>
    <row r="12" customFormat="false" ht="15" hidden="false" customHeight="false" outlineLevel="0" collapsed="false">
      <c r="A12" s="0" t="s">
        <v>74</v>
      </c>
      <c r="B12" s="0" t="n">
        <v>3257.5</v>
      </c>
      <c r="F12" s="0" t="n">
        <v>931</v>
      </c>
      <c r="G12" s="0" t="n">
        <v>28.5801995395242</v>
      </c>
      <c r="H12" s="0" t="n">
        <v>1105.4</v>
      </c>
      <c r="I12" s="0" t="n">
        <v>619.2</v>
      </c>
      <c r="J12" s="0" t="n">
        <v>19.008442056792</v>
      </c>
      <c r="K12" s="0" t="n">
        <v>1.0697</v>
      </c>
      <c r="L12" s="0" t="n">
        <v>836.6</v>
      </c>
      <c r="M12" s="0" t="n">
        <v>35.4</v>
      </c>
      <c r="N12" s="0" t="n">
        <v>801.2</v>
      </c>
      <c r="O12" s="0" t="n">
        <v>2287.4</v>
      </c>
      <c r="P12" s="0" t="n">
        <v>4966.7</v>
      </c>
      <c r="Q12" s="0" t="n">
        <v>2679.3</v>
      </c>
      <c r="R12" s="0" t="n">
        <v>1197.8</v>
      </c>
      <c r="S12" s="0" t="n">
        <v>1053.7</v>
      </c>
      <c r="T12" s="0" t="n">
        <v>578387000</v>
      </c>
      <c r="U12" s="0" t="n">
        <v>49.9</v>
      </c>
      <c r="AA12" s="0" t="s">
        <v>18</v>
      </c>
      <c r="AB12"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75</v>
      </c>
      <c r="B1" s="2" t="s">
        <v>76</v>
      </c>
    </row>
    <row r="2" customFormat="false" ht="15" hidden="false" customHeight="false" outlineLevel="0" collapsed="false">
      <c r="A2" s="0" t="s">
        <v>77</v>
      </c>
      <c r="B2" s="3" t="n">
        <v>41.69</v>
      </c>
    </row>
    <row r="3" customFormat="false" ht="15" hidden="false" customHeight="false" outlineLevel="0" collapsed="false">
      <c r="A3" s="0" t="s">
        <v>78</v>
      </c>
      <c r="B3" s="3" t="n">
        <v>579.7</v>
      </c>
    </row>
    <row r="4" customFormat="false" ht="15" hidden="false" customHeight="false" outlineLevel="0" collapsed="false">
      <c r="A4" s="0" t="s">
        <v>79</v>
      </c>
      <c r="B4" s="3" t="n">
        <v>144.1</v>
      </c>
    </row>
    <row r="5" customFormat="false" ht="15" hidden="false" customHeight="false" outlineLevel="0" collapsed="false">
      <c r="A5" s="0" t="s">
        <v>80</v>
      </c>
      <c r="B5" s="3" t="n">
        <v>-2.6</v>
      </c>
    </row>
    <row r="6" customFormat="false" ht="15" hidden="false" customHeight="false" outlineLevel="0" collapsed="false">
      <c r="A6" s="0" t="s">
        <v>81</v>
      </c>
      <c r="B6" s="3" t="n">
        <v>15</v>
      </c>
    </row>
    <row r="7" customFormat="false" ht="15" hidden="false" customHeight="false" outlineLevel="0" collapsed="false">
      <c r="A7" s="0" t="s">
        <v>82</v>
      </c>
      <c r="B7" s="3" t="n">
        <v>3257.5</v>
      </c>
    </row>
    <row r="8" customFormat="false" ht="15" hidden="false" customHeight="false" outlineLevel="0" collapsed="false">
      <c r="A8" s="0" t="s">
        <v>83</v>
      </c>
      <c r="B8" s="3" t="s">
        <v>74</v>
      </c>
    </row>
    <row r="9" customFormat="false" ht="15" hidden="false" customHeight="false" outlineLevel="0" collapsed="false">
      <c r="A9" s="0" t="s">
        <v>84</v>
      </c>
      <c r="B9" s="3" t="s">
        <v>85</v>
      </c>
    </row>
    <row r="10" customFormat="false" ht="15" hidden="false" customHeight="false" outlineLevel="0" collapsed="false">
      <c r="A10" s="0" t="s">
        <v>86</v>
      </c>
      <c r="B10" s="3" t="n">
        <v>1.4059</v>
      </c>
    </row>
    <row r="12" customFormat="false" ht="15" hidden="false" customHeight="false" outlineLevel="0" collapsed="false">
      <c r="A12" s="2" t="s">
        <v>87</v>
      </c>
      <c r="C12" s="2" t="s">
        <v>88</v>
      </c>
      <c r="D12" s="2" t="s">
        <v>89</v>
      </c>
      <c r="E12" s="2" t="s">
        <v>90</v>
      </c>
      <c r="F12" s="2" t="s">
        <v>91</v>
      </c>
      <c r="G12" s="2" t="s">
        <v>92</v>
      </c>
      <c r="H12" s="2" t="s">
        <v>93</v>
      </c>
      <c r="I12" s="2" t="s">
        <v>94</v>
      </c>
      <c r="J12" s="2" t="s">
        <v>95</v>
      </c>
      <c r="K12" s="2" t="s">
        <v>96</v>
      </c>
      <c r="L12" s="2" t="s">
        <v>97</v>
      </c>
    </row>
    <row r="13" customFormat="false" ht="15" hidden="false" customHeight="false" outlineLevel="0" collapsed="false">
      <c r="A13" s="0" t="s">
        <v>98</v>
      </c>
      <c r="C13" s="3" t="n">
        <v>1</v>
      </c>
      <c r="D13" s="3" t="n">
        <v>0</v>
      </c>
      <c r="E13" s="3" t="n">
        <v>1.5</v>
      </c>
      <c r="F13" s="3" t="n">
        <v>2</v>
      </c>
      <c r="G13" s="3" t="n">
        <v>2</v>
      </c>
      <c r="H13" s="3" t="n">
        <v>2</v>
      </c>
      <c r="I13" s="3" t="n">
        <v>2</v>
      </c>
      <c r="J13" s="3" t="n">
        <v>2</v>
      </c>
      <c r="K13" s="3" t="n">
        <v>2</v>
      </c>
      <c r="L13" s="3" t="n">
        <v>2</v>
      </c>
    </row>
    <row r="14" customFormat="false" ht="15" hidden="false" customHeight="false" outlineLevel="0" collapsed="false">
      <c r="A14" s="0" t="s">
        <v>99</v>
      </c>
      <c r="C14" s="3" t="n">
        <v>35</v>
      </c>
      <c r="D14" s="3" t="n">
        <v>33</v>
      </c>
      <c r="E14" s="3" t="n">
        <v>32.5</v>
      </c>
      <c r="F14" s="3" t="n">
        <v>32.5</v>
      </c>
      <c r="G14" s="3" t="n">
        <v>32.5</v>
      </c>
      <c r="H14" s="3" t="n">
        <v>33</v>
      </c>
      <c r="I14" s="3" t="n">
        <v>33</v>
      </c>
      <c r="J14" s="3" t="n">
        <v>33</v>
      </c>
      <c r="K14" s="3" t="n">
        <v>33</v>
      </c>
      <c r="L14" s="3" t="n">
        <v>33</v>
      </c>
    </row>
    <row r="15" customFormat="false" ht="15" hidden="false" customHeight="false" outlineLevel="0" collapsed="false">
      <c r="A15" s="0" t="s">
        <v>100</v>
      </c>
      <c r="C15" s="3" t="n">
        <v>1.55</v>
      </c>
      <c r="D15" s="3" t="n">
        <v>1.55</v>
      </c>
      <c r="E15" s="3" t="n">
        <v>1.55</v>
      </c>
      <c r="F15" s="3" t="n">
        <v>1.55</v>
      </c>
      <c r="G15" s="3" t="n">
        <v>1.55</v>
      </c>
      <c r="H15" s="3" t="n">
        <v>1.55</v>
      </c>
      <c r="I15" s="3" t="n">
        <v>1.55</v>
      </c>
      <c r="J15" s="3" t="n">
        <v>1.55</v>
      </c>
      <c r="K15" s="3" t="n">
        <v>1.55</v>
      </c>
      <c r="L15" s="3" t="n">
        <v>1.55</v>
      </c>
    </row>
    <row r="16" customFormat="false" ht="15" hidden="false" customHeight="false" outlineLevel="0" collapsed="false">
      <c r="A16" s="0" t="s">
        <v>101</v>
      </c>
      <c r="C16" s="3" t="n">
        <v>1</v>
      </c>
      <c r="D16" s="3" t="n">
        <v>1</v>
      </c>
      <c r="E16" s="3" t="n">
        <v>1</v>
      </c>
      <c r="F16" s="3" t="n">
        <v>1</v>
      </c>
      <c r="G16" s="3" t="n">
        <v>1</v>
      </c>
      <c r="H16" s="3" t="n">
        <v>1</v>
      </c>
      <c r="I16" s="3" t="n">
        <v>1</v>
      </c>
      <c r="J16" s="3" t="n">
        <v>1</v>
      </c>
      <c r="K16" s="3" t="n">
        <v>1</v>
      </c>
      <c r="L16" s="3" t="n">
        <v>1</v>
      </c>
    </row>
    <row r="17" customFormat="false" ht="15" hidden="false" customHeight="false" outlineLevel="0" collapsed="false">
      <c r="A17" s="0" t="s">
        <v>102</v>
      </c>
      <c r="C17" s="3" t="n">
        <v>4.4</v>
      </c>
      <c r="D17" s="3" t="n">
        <v>4.2</v>
      </c>
      <c r="E17" s="3" t="n">
        <v>4</v>
      </c>
      <c r="F17" s="3" t="n">
        <v>3.8</v>
      </c>
      <c r="G17" s="3" t="n">
        <v>3.6</v>
      </c>
      <c r="H17" s="3" t="n">
        <v>3.4</v>
      </c>
      <c r="I17" s="3" t="n">
        <v>3.2</v>
      </c>
      <c r="J17" s="3" t="n">
        <v>3.1</v>
      </c>
      <c r="K17" s="3" t="n">
        <v>3</v>
      </c>
      <c r="L17" s="3" t="n">
        <v>3</v>
      </c>
    </row>
    <row r="18" customFormat="false" ht="15" hidden="false" customHeight="false" outlineLevel="0" collapsed="false">
      <c r="A18" s="0" t="s">
        <v>103</v>
      </c>
      <c r="C18" s="3" t="n">
        <v>1.8</v>
      </c>
      <c r="D18" s="3" t="n">
        <v>1.8</v>
      </c>
      <c r="E18" s="3" t="n">
        <v>1.7</v>
      </c>
      <c r="F18" s="3" t="n">
        <v>1.7</v>
      </c>
      <c r="G18" s="3" t="n">
        <v>1.6</v>
      </c>
      <c r="H18" s="3" t="n">
        <v>1.6</v>
      </c>
      <c r="I18" s="3" t="n">
        <v>1.5</v>
      </c>
      <c r="J18" s="3" t="n">
        <v>1.5</v>
      </c>
      <c r="K18" s="3" t="n">
        <v>1.5</v>
      </c>
      <c r="L18" s="3" t="n">
        <v>1.5</v>
      </c>
    </row>
    <row r="19" customFormat="false" ht="15" hidden="false" customHeight="false" outlineLevel="0" collapsed="false">
      <c r="A19" s="0" t="s">
        <v>104</v>
      </c>
      <c r="C19" s="3" t="n">
        <v>24</v>
      </c>
      <c r="D19" s="3" t="n">
        <v>24.5</v>
      </c>
      <c r="E19" s="3" t="n">
        <v>25</v>
      </c>
      <c r="F19" s="3" t="n">
        <v>25.5</v>
      </c>
      <c r="G19" s="3" t="n">
        <v>26</v>
      </c>
      <c r="H19" s="3" t="n">
        <v>26</v>
      </c>
      <c r="I19" s="3" t="n">
        <v>26</v>
      </c>
      <c r="J19" s="3" t="n">
        <v>26</v>
      </c>
      <c r="K19" s="3" t="n">
        <v>26</v>
      </c>
      <c r="L19" s="3" t="n">
        <v>26</v>
      </c>
    </row>
    <row r="20" customFormat="false" ht="15" hidden="false" customHeight="false" outlineLevel="0" collapsed="false">
      <c r="A20" s="0" t="s">
        <v>105</v>
      </c>
      <c r="B20" s="3" t="n">
        <v>9.25</v>
      </c>
    </row>
    <row r="21" customFormat="false" ht="15" hidden="false" customHeight="false" outlineLevel="0" collapsed="false">
      <c r="A21" s="0" t="s">
        <v>106</v>
      </c>
      <c r="B21" s="3" t="n">
        <v>2</v>
      </c>
    </row>
    <row r="22" customFormat="false" ht="15" hidden="false" customHeight="false" outlineLevel="0" collapsed="false">
      <c r="A22" s="0" t="s">
        <v>107</v>
      </c>
      <c r="B22" s="3" t="n">
        <v>15</v>
      </c>
    </row>
    <row r="23" customFormat="false" ht="15" hidden="false" customHeight="false" outlineLevel="0" collapsed="false">
      <c r="A23" s="0" t="s">
        <v>108</v>
      </c>
      <c r="B23" s="3" t="n">
        <v>0</v>
      </c>
    </row>
    <row r="24" customFormat="false" ht="15" hidden="false" customHeight="false" outlineLevel="0" collapsed="false">
      <c r="A24" s="0" t="s">
        <v>109</v>
      </c>
      <c r="B24" s="3" t="n">
        <v>0.25</v>
      </c>
    </row>
    <row r="26" customFormat="false" ht="15" hidden="false" customHeight="false" outlineLevel="0" collapsed="false">
      <c r="A26" s="2" t="s">
        <v>110</v>
      </c>
      <c r="C26" s="2" t="s">
        <v>88</v>
      </c>
      <c r="D26" s="2" t="s">
        <v>89</v>
      </c>
      <c r="E26" s="2" t="s">
        <v>90</v>
      </c>
      <c r="F26" s="2" t="s">
        <v>91</v>
      </c>
      <c r="G26" s="2" t="s">
        <v>92</v>
      </c>
      <c r="H26" s="2" t="s">
        <v>93</v>
      </c>
      <c r="I26" s="2" t="s">
        <v>94</v>
      </c>
      <c r="J26" s="2" t="s">
        <v>95</v>
      </c>
      <c r="K26" s="2" t="s">
        <v>96</v>
      </c>
      <c r="L26" s="2" t="s">
        <v>97</v>
      </c>
    </row>
    <row r="27" customFormat="false" ht="15" hidden="false" customHeight="false" outlineLevel="0" collapsed="false">
      <c r="A27" s="0" t="s">
        <v>98</v>
      </c>
      <c r="C27" s="3" t="n">
        <v>3.5</v>
      </c>
      <c r="D27" s="3" t="n">
        <v>4.5</v>
      </c>
      <c r="E27" s="3" t="n">
        <v>4</v>
      </c>
      <c r="F27" s="3" t="n">
        <v>4</v>
      </c>
      <c r="G27" s="3" t="n">
        <v>3.5</v>
      </c>
      <c r="H27" s="3" t="n">
        <v>3.5</v>
      </c>
      <c r="I27" s="3" t="n">
        <v>3</v>
      </c>
      <c r="J27" s="3" t="n">
        <v>3</v>
      </c>
      <c r="K27" s="3" t="n">
        <v>2.5</v>
      </c>
      <c r="L27" s="3" t="n">
        <v>2.5</v>
      </c>
    </row>
    <row r="28" customFormat="false" ht="15" hidden="false" customHeight="false" outlineLevel="0" collapsed="false">
      <c r="A28" s="0" t="s">
        <v>99</v>
      </c>
      <c r="C28" s="3" t="n">
        <v>36.5</v>
      </c>
      <c r="D28" s="3" t="n">
        <v>36.8</v>
      </c>
      <c r="E28" s="3" t="n">
        <v>37</v>
      </c>
      <c r="F28" s="3" t="n">
        <v>37</v>
      </c>
      <c r="G28" s="3" t="n">
        <v>37</v>
      </c>
      <c r="H28" s="3" t="n">
        <v>37</v>
      </c>
      <c r="I28" s="3" t="n">
        <v>37</v>
      </c>
      <c r="J28" s="3" t="n">
        <v>37</v>
      </c>
      <c r="K28" s="3" t="n">
        <v>37</v>
      </c>
      <c r="L28" s="3" t="n">
        <v>37</v>
      </c>
    </row>
    <row r="29" customFormat="false" ht="15" hidden="false" customHeight="false" outlineLevel="0" collapsed="false">
      <c r="A29" s="0" t="s">
        <v>100</v>
      </c>
      <c r="C29" s="3" t="n">
        <v>1.55</v>
      </c>
      <c r="D29" s="3" t="n">
        <v>1.55</v>
      </c>
      <c r="E29" s="3" t="n">
        <v>1.55</v>
      </c>
      <c r="F29" s="3" t="n">
        <v>1.55</v>
      </c>
      <c r="G29" s="3" t="n">
        <v>1.55</v>
      </c>
      <c r="H29" s="3" t="n">
        <v>1.55</v>
      </c>
      <c r="I29" s="3" t="n">
        <v>1.55</v>
      </c>
      <c r="J29" s="3" t="n">
        <v>1.55</v>
      </c>
      <c r="K29" s="3" t="n">
        <v>1.55</v>
      </c>
      <c r="L29" s="3" t="n">
        <v>1.55</v>
      </c>
    </row>
    <row r="30" customFormat="false" ht="15" hidden="false" customHeight="false" outlineLevel="0" collapsed="false">
      <c r="A30" s="0" t="s">
        <v>101</v>
      </c>
      <c r="C30" s="3" t="n">
        <v>1</v>
      </c>
      <c r="D30" s="3" t="n">
        <v>1</v>
      </c>
      <c r="E30" s="3" t="n">
        <v>1</v>
      </c>
      <c r="F30" s="3" t="n">
        <v>1</v>
      </c>
      <c r="G30" s="3" t="n">
        <v>1</v>
      </c>
      <c r="H30" s="3" t="n">
        <v>1</v>
      </c>
      <c r="I30" s="3" t="n">
        <v>1</v>
      </c>
      <c r="J30" s="3" t="n">
        <v>1</v>
      </c>
      <c r="K30" s="3" t="n">
        <v>1</v>
      </c>
      <c r="L30" s="3" t="n">
        <v>1</v>
      </c>
    </row>
    <row r="31" customFormat="false" ht="15" hidden="false" customHeight="false" outlineLevel="0" collapsed="false">
      <c r="A31" s="0" t="s">
        <v>102</v>
      </c>
      <c r="C31" s="3" t="n">
        <v>4.4</v>
      </c>
      <c r="D31" s="3" t="n">
        <v>4.2</v>
      </c>
      <c r="E31" s="3" t="n">
        <v>4</v>
      </c>
      <c r="F31" s="3" t="n">
        <v>3.8</v>
      </c>
      <c r="G31" s="3" t="n">
        <v>3.6</v>
      </c>
      <c r="H31" s="3" t="n">
        <v>3.4</v>
      </c>
      <c r="I31" s="3" t="n">
        <v>3.2</v>
      </c>
      <c r="J31" s="3" t="n">
        <v>3.1</v>
      </c>
      <c r="K31" s="3" t="n">
        <v>3</v>
      </c>
      <c r="L31" s="3" t="n">
        <v>3</v>
      </c>
    </row>
    <row r="32" customFormat="false" ht="15" hidden="false" customHeight="false" outlineLevel="0" collapsed="false">
      <c r="A32" s="0" t="s">
        <v>103</v>
      </c>
      <c r="C32" s="3" t="n">
        <v>1.8</v>
      </c>
      <c r="D32" s="3" t="n">
        <v>1.8</v>
      </c>
      <c r="E32" s="3" t="n">
        <v>1.7</v>
      </c>
      <c r="F32" s="3" t="n">
        <v>1.7</v>
      </c>
      <c r="G32" s="3" t="n">
        <v>1.6</v>
      </c>
      <c r="H32" s="3" t="n">
        <v>1.6</v>
      </c>
      <c r="I32" s="3" t="n">
        <v>1.5</v>
      </c>
      <c r="J32" s="3" t="n">
        <v>1.5</v>
      </c>
      <c r="K32" s="3" t="n">
        <v>1.5</v>
      </c>
      <c r="L32" s="3" t="n">
        <v>1.5</v>
      </c>
    </row>
    <row r="33" customFormat="false" ht="15" hidden="false" customHeight="false" outlineLevel="0" collapsed="false">
      <c r="A33" s="0" t="s">
        <v>104</v>
      </c>
      <c r="C33" s="3" t="n">
        <v>24</v>
      </c>
      <c r="D33" s="3" t="n">
        <v>24.5</v>
      </c>
      <c r="E33" s="3" t="n">
        <v>25</v>
      </c>
      <c r="F33" s="3" t="n">
        <v>25.5</v>
      </c>
      <c r="G33" s="3" t="n">
        <v>26</v>
      </c>
      <c r="H33" s="3" t="n">
        <v>26</v>
      </c>
      <c r="I33" s="3" t="n">
        <v>26</v>
      </c>
      <c r="J33" s="3" t="n">
        <v>26</v>
      </c>
      <c r="K33" s="3" t="n">
        <v>26</v>
      </c>
      <c r="L33" s="3" t="n">
        <v>26</v>
      </c>
    </row>
    <row r="34" customFormat="false" ht="15" hidden="false" customHeight="false" outlineLevel="0" collapsed="false">
      <c r="A34" s="0" t="s">
        <v>105</v>
      </c>
      <c r="B34" s="3" t="n">
        <v>9.25</v>
      </c>
    </row>
    <row r="35" customFormat="false" ht="15" hidden="false" customHeight="false" outlineLevel="0" collapsed="false">
      <c r="A35" s="0" t="s">
        <v>106</v>
      </c>
      <c r="B35" s="3" t="n">
        <v>2.5</v>
      </c>
    </row>
    <row r="36" customFormat="false" ht="15" hidden="false" customHeight="false" outlineLevel="0" collapsed="false">
      <c r="A36" s="0" t="s">
        <v>107</v>
      </c>
      <c r="B36" s="3" t="n">
        <v>18</v>
      </c>
    </row>
    <row r="37" customFormat="false" ht="15" hidden="false" customHeight="false" outlineLevel="0" collapsed="false">
      <c r="A37" s="0" t="s">
        <v>108</v>
      </c>
      <c r="B37" s="3" t="n">
        <v>0</v>
      </c>
    </row>
    <row r="38" customFormat="false" ht="15" hidden="false" customHeight="false" outlineLevel="0" collapsed="false">
      <c r="A38" s="0" t="s">
        <v>109</v>
      </c>
      <c r="B38" s="3" t="n">
        <v>0.5</v>
      </c>
    </row>
    <row r="40" customFormat="false" ht="15" hidden="false" customHeight="false" outlineLevel="0" collapsed="false">
      <c r="A40" s="2" t="s">
        <v>111</v>
      </c>
      <c r="C40" s="2" t="s">
        <v>88</v>
      </c>
      <c r="D40" s="2" t="s">
        <v>89</v>
      </c>
      <c r="E40" s="2" t="s">
        <v>90</v>
      </c>
      <c r="F40" s="2" t="s">
        <v>91</v>
      </c>
      <c r="G40" s="2" t="s">
        <v>92</v>
      </c>
      <c r="H40" s="2" t="s">
        <v>93</v>
      </c>
      <c r="I40" s="2" t="s">
        <v>94</v>
      </c>
      <c r="J40" s="2" t="s">
        <v>95</v>
      </c>
      <c r="K40" s="2" t="s">
        <v>96</v>
      </c>
      <c r="L40" s="2" t="s">
        <v>97</v>
      </c>
    </row>
    <row r="41" customFormat="false" ht="15" hidden="false" customHeight="false" outlineLevel="0" collapsed="false">
      <c r="A41" s="0" t="s">
        <v>98</v>
      </c>
      <c r="C41" s="3" t="n">
        <v>4.5</v>
      </c>
      <c r="D41" s="3" t="n">
        <v>6</v>
      </c>
      <c r="E41" s="3" t="n">
        <v>6</v>
      </c>
      <c r="F41" s="3" t="n">
        <v>5.5</v>
      </c>
      <c r="G41" s="3" t="n">
        <v>5</v>
      </c>
      <c r="H41" s="3" t="n">
        <v>4.5</v>
      </c>
      <c r="I41" s="3" t="n">
        <v>4</v>
      </c>
      <c r="J41" s="3" t="n">
        <v>3.5</v>
      </c>
      <c r="K41" s="3" t="n">
        <v>3</v>
      </c>
      <c r="L41" s="3" t="n">
        <v>3</v>
      </c>
    </row>
    <row r="42" customFormat="false" ht="15" hidden="false" customHeight="false" outlineLevel="0" collapsed="false">
      <c r="A42" s="0" t="s">
        <v>99</v>
      </c>
      <c r="C42" s="3" t="n">
        <v>37</v>
      </c>
      <c r="D42" s="3" t="n">
        <v>37.5</v>
      </c>
      <c r="E42" s="3" t="n">
        <v>38</v>
      </c>
      <c r="F42" s="3" t="n">
        <v>38.5</v>
      </c>
      <c r="G42" s="3" t="n">
        <v>38.5</v>
      </c>
      <c r="H42" s="3" t="n">
        <v>38.5</v>
      </c>
      <c r="I42" s="3" t="n">
        <v>38.5</v>
      </c>
      <c r="J42" s="3" t="n">
        <v>38.5</v>
      </c>
      <c r="K42" s="3" t="n">
        <v>38.5</v>
      </c>
      <c r="L42" s="3" t="n">
        <v>38.5</v>
      </c>
    </row>
    <row r="43" customFormat="false" ht="15" hidden="false" customHeight="false" outlineLevel="0" collapsed="false">
      <c r="A43" s="0" t="s">
        <v>100</v>
      </c>
      <c r="C43" s="3" t="n">
        <v>1.55</v>
      </c>
      <c r="D43" s="3" t="n">
        <v>1.55</v>
      </c>
      <c r="E43" s="3" t="n">
        <v>1.55</v>
      </c>
      <c r="F43" s="3" t="n">
        <v>1.55</v>
      </c>
      <c r="G43" s="3" t="n">
        <v>1.55</v>
      </c>
      <c r="H43" s="3" t="n">
        <v>1.55</v>
      </c>
      <c r="I43" s="3" t="n">
        <v>1.55</v>
      </c>
      <c r="J43" s="3" t="n">
        <v>1.55</v>
      </c>
      <c r="K43" s="3" t="n">
        <v>1.55</v>
      </c>
      <c r="L43" s="3" t="n">
        <v>1.55</v>
      </c>
    </row>
    <row r="44" customFormat="false" ht="15" hidden="false" customHeight="false" outlineLevel="0" collapsed="false">
      <c r="A44" s="0" t="s">
        <v>101</v>
      </c>
      <c r="C44" s="3" t="n">
        <v>1</v>
      </c>
      <c r="D44" s="3" t="n">
        <v>1</v>
      </c>
      <c r="E44" s="3" t="n">
        <v>1</v>
      </c>
      <c r="F44" s="3" t="n">
        <v>1</v>
      </c>
      <c r="G44" s="3" t="n">
        <v>1</v>
      </c>
      <c r="H44" s="3" t="n">
        <v>1</v>
      </c>
      <c r="I44" s="3" t="n">
        <v>1</v>
      </c>
      <c r="J44" s="3" t="n">
        <v>1</v>
      </c>
      <c r="K44" s="3" t="n">
        <v>1</v>
      </c>
      <c r="L44" s="3" t="n">
        <v>1</v>
      </c>
    </row>
    <row r="45" customFormat="false" ht="15" hidden="false" customHeight="false" outlineLevel="0" collapsed="false">
      <c r="A45" s="0" t="s">
        <v>102</v>
      </c>
      <c r="C45" s="3" t="n">
        <v>4.4</v>
      </c>
      <c r="D45" s="3" t="n">
        <v>4.2</v>
      </c>
      <c r="E45" s="3" t="n">
        <v>4</v>
      </c>
      <c r="F45" s="3" t="n">
        <v>3.8</v>
      </c>
      <c r="G45" s="3" t="n">
        <v>3.6</v>
      </c>
      <c r="H45" s="3" t="n">
        <v>3.4</v>
      </c>
      <c r="I45" s="3" t="n">
        <v>3.2</v>
      </c>
      <c r="J45" s="3" t="n">
        <v>3.1</v>
      </c>
      <c r="K45" s="3" t="n">
        <v>3</v>
      </c>
      <c r="L45" s="3" t="n">
        <v>3</v>
      </c>
    </row>
    <row r="46" customFormat="false" ht="15" hidden="false" customHeight="false" outlineLevel="0" collapsed="false">
      <c r="A46" s="0" t="s">
        <v>103</v>
      </c>
      <c r="C46" s="3" t="n">
        <v>1.8</v>
      </c>
      <c r="D46" s="3" t="n">
        <v>1.8</v>
      </c>
      <c r="E46" s="3" t="n">
        <v>1.7</v>
      </c>
      <c r="F46" s="3" t="n">
        <v>1.7</v>
      </c>
      <c r="G46" s="3" t="n">
        <v>1.6</v>
      </c>
      <c r="H46" s="3" t="n">
        <v>1.6</v>
      </c>
      <c r="I46" s="3" t="n">
        <v>1.5</v>
      </c>
      <c r="J46" s="3" t="n">
        <v>1.5</v>
      </c>
      <c r="K46" s="3" t="n">
        <v>1.5</v>
      </c>
      <c r="L46" s="3" t="n">
        <v>1.5</v>
      </c>
    </row>
    <row r="47" customFormat="false" ht="15" hidden="false" customHeight="false" outlineLevel="0" collapsed="false">
      <c r="A47" s="0" t="s">
        <v>104</v>
      </c>
      <c r="C47" s="3" t="n">
        <v>24</v>
      </c>
      <c r="D47" s="3" t="n">
        <v>24.5</v>
      </c>
      <c r="E47" s="3" t="n">
        <v>25</v>
      </c>
      <c r="F47" s="3" t="n">
        <v>25.5</v>
      </c>
      <c r="G47" s="3" t="n">
        <v>26</v>
      </c>
      <c r="H47" s="3" t="n">
        <v>26</v>
      </c>
      <c r="I47" s="3" t="n">
        <v>26</v>
      </c>
      <c r="J47" s="3" t="n">
        <v>26</v>
      </c>
      <c r="K47" s="3" t="n">
        <v>26</v>
      </c>
      <c r="L47" s="3" t="n">
        <v>26</v>
      </c>
    </row>
    <row r="48" customFormat="false" ht="15" hidden="false" customHeight="false" outlineLevel="0" collapsed="false">
      <c r="A48" s="0" t="s">
        <v>105</v>
      </c>
      <c r="B48" s="3" t="n">
        <v>9.25</v>
      </c>
    </row>
    <row r="49" customFormat="false" ht="15" hidden="false" customHeight="false" outlineLevel="0" collapsed="false">
      <c r="A49" s="0" t="s">
        <v>106</v>
      </c>
      <c r="B49" s="3" t="n">
        <v>3</v>
      </c>
    </row>
    <row r="50" customFormat="false" ht="15" hidden="false" customHeight="false" outlineLevel="0" collapsed="false">
      <c r="A50" s="0" t="s">
        <v>107</v>
      </c>
      <c r="B50" s="3" t="n">
        <v>20</v>
      </c>
    </row>
    <row r="51" customFormat="false" ht="15" hidden="false" customHeight="false" outlineLevel="0" collapsed="false">
      <c r="A51" s="0" t="s">
        <v>108</v>
      </c>
      <c r="B51" s="3" t="n">
        <v>0</v>
      </c>
    </row>
    <row r="52" customFormat="false" ht="15" hidden="false" customHeight="false" outlineLevel="0" collapsed="false">
      <c r="A52" s="0" t="s">
        <v>109</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112</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Assumptions!C13</f>
        <v>1</v>
      </c>
      <c r="D5" s="4" t="n">
        <f aca="false">Assumptions!D13</f>
        <v>0</v>
      </c>
      <c r="E5" s="4" t="n">
        <f aca="false">Assumptions!E13</f>
        <v>1.5</v>
      </c>
      <c r="F5" s="4" t="n">
        <f aca="false">Assumptions!F13</f>
        <v>2</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3257.5</v>
      </c>
      <c r="C6" s="0" t="n">
        <f aca="false">B6*(1+C5/100)</f>
        <v>3290.075</v>
      </c>
      <c r="D6" s="0" t="n">
        <f aca="false">C6*(1+D5/100)</f>
        <v>3290.075</v>
      </c>
      <c r="E6" s="0" t="n">
        <f aca="false">D6*(1+E5/100)</f>
        <v>3339.426125</v>
      </c>
      <c r="F6" s="0" t="n">
        <f aca="false">E6*(1+F5/100)</f>
        <v>3406.2146475</v>
      </c>
      <c r="G6" s="0" t="n">
        <f aca="false">F6*(1+G5/100)</f>
        <v>3474.33894045</v>
      </c>
      <c r="H6" s="0" t="n">
        <f aca="false">G6*(1+H5/100)</f>
        <v>3543.825719259</v>
      </c>
      <c r="I6" s="0" t="n">
        <f aca="false">H6*(1+I5/100)</f>
        <v>3614.70223364418</v>
      </c>
      <c r="J6" s="0" t="n">
        <f aca="false">I6*(1+J5/100)</f>
        <v>3686.99627831706</v>
      </c>
      <c r="K6" s="0" t="n">
        <f aca="false">J6*(1+K5/100)</f>
        <v>3760.7362038834</v>
      </c>
      <c r="L6" s="0" t="n">
        <f aca="false">K6*(1+L5/100)</f>
        <v>3835.95092796107</v>
      </c>
    </row>
    <row r="7" customFormat="false" ht="15" hidden="false" customHeight="false" outlineLevel="0" collapsed="false">
      <c r="A7" s="0" t="s">
        <v>99</v>
      </c>
      <c r="C7" s="4" t="n">
        <f aca="false">Assumptions!C14</f>
        <v>35</v>
      </c>
      <c r="D7" s="4" t="n">
        <f aca="false">Assumptions!D14</f>
        <v>33</v>
      </c>
      <c r="E7" s="4" t="n">
        <f aca="false">Assumptions!E14</f>
        <v>32.5</v>
      </c>
      <c r="F7" s="4" t="n">
        <f aca="false">Assumptions!F14</f>
        <v>32.5</v>
      </c>
      <c r="G7" s="4" t="n">
        <f aca="false">Assumptions!G14</f>
        <v>32.5</v>
      </c>
      <c r="H7" s="4" t="n">
        <f aca="false">Assumptions!H14</f>
        <v>33</v>
      </c>
      <c r="I7" s="4" t="n">
        <f aca="false">Assumptions!I14</f>
        <v>33</v>
      </c>
      <c r="J7" s="4" t="n">
        <f aca="false">Assumptions!J14</f>
        <v>33</v>
      </c>
      <c r="K7" s="4" t="n">
        <f aca="false">Assumptions!K14</f>
        <v>33</v>
      </c>
      <c r="L7" s="4" t="n">
        <f aca="false">Assumptions!L14</f>
        <v>33</v>
      </c>
    </row>
    <row r="8" customFormat="false" ht="15" hidden="false" customHeight="false" outlineLevel="0" collapsed="false">
      <c r="A8" s="0" t="s">
        <v>44</v>
      </c>
      <c r="C8" s="0" t="n">
        <f aca="false">C6*C7/100</f>
        <v>1151.52625</v>
      </c>
      <c r="D8" s="0" t="n">
        <f aca="false">D6*D7/100</f>
        <v>1085.72475</v>
      </c>
      <c r="E8" s="0" t="n">
        <f aca="false">E6*E7/100</f>
        <v>1085.313490625</v>
      </c>
      <c r="F8" s="0" t="n">
        <f aca="false">F6*F7/100</f>
        <v>1107.0197604375</v>
      </c>
      <c r="G8" s="0" t="n">
        <f aca="false">G6*G7/100</f>
        <v>1129.16015564625</v>
      </c>
      <c r="H8" s="0" t="n">
        <f aca="false">H6*H7/100</f>
        <v>1169.46248735547</v>
      </c>
      <c r="I8" s="0" t="n">
        <f aca="false">I6*I7/100</f>
        <v>1192.85173710258</v>
      </c>
      <c r="J8" s="0" t="n">
        <f aca="false">J6*J7/100</f>
        <v>1216.70877184463</v>
      </c>
      <c r="K8" s="0" t="n">
        <f aca="false">K6*K7/100</f>
        <v>1241.04294728152</v>
      </c>
      <c r="L8" s="0" t="n">
        <f aca="false">L6*L7/100</f>
        <v>1265.86380622715</v>
      </c>
    </row>
    <row r="9" customFormat="false" ht="15" hidden="false" customHeight="false" outlineLevel="0" collapsed="false">
      <c r="A9" s="0" t="s">
        <v>100</v>
      </c>
      <c r="C9" s="4" t="n">
        <f aca="false">Assumptions!C15</f>
        <v>1.55</v>
      </c>
      <c r="D9" s="4" t="n">
        <f aca="false">Assumptions!D15</f>
        <v>1.55</v>
      </c>
      <c r="E9" s="4" t="n">
        <f aca="false">Assumptions!E15</f>
        <v>1.55</v>
      </c>
      <c r="F9" s="4" t="n">
        <f aca="false">Assumptions!F15</f>
        <v>1.55</v>
      </c>
      <c r="G9" s="4" t="n">
        <f aca="false">Assumptions!G15</f>
        <v>1.55</v>
      </c>
      <c r="H9" s="4" t="n">
        <f aca="false">Assumptions!H15</f>
        <v>1.55</v>
      </c>
      <c r="I9" s="4" t="n">
        <f aca="false">Assumptions!I15</f>
        <v>1.55</v>
      </c>
      <c r="J9" s="4" t="n">
        <f aca="false">Assumptions!J15</f>
        <v>1.55</v>
      </c>
      <c r="K9" s="4" t="n">
        <f aca="false">Assumptions!K15</f>
        <v>1.55</v>
      </c>
      <c r="L9" s="4" t="n">
        <f aca="false">Assumptions!L15</f>
        <v>1.55</v>
      </c>
    </row>
    <row r="10" customFormat="false" ht="15" hidden="false" customHeight="false" outlineLevel="0" collapsed="false">
      <c r="A10" s="0" t="s">
        <v>115</v>
      </c>
      <c r="C10" s="0" t="n">
        <f aca="false">-C6*C9/100</f>
        <v>-50.9961625</v>
      </c>
      <c r="D10" s="0" t="n">
        <f aca="false">-D6*D9/100</f>
        <v>-50.9961625</v>
      </c>
      <c r="E10" s="0" t="n">
        <f aca="false">-E6*E9/100</f>
        <v>-51.7611049375</v>
      </c>
      <c r="F10" s="0" t="n">
        <f aca="false">-F6*F9/100</f>
        <v>-52.79632703625</v>
      </c>
      <c r="G10" s="0" t="n">
        <f aca="false">-G6*G9/100</f>
        <v>-53.852253576975</v>
      </c>
      <c r="H10" s="0" t="n">
        <f aca="false">-H6*H9/100</f>
        <v>-54.9292986485145</v>
      </c>
      <c r="I10" s="0" t="n">
        <f aca="false">-I6*I9/100</f>
        <v>-56.0278846214848</v>
      </c>
      <c r="J10" s="0" t="n">
        <f aca="false">-J6*J9/100</f>
        <v>-57.1484423139145</v>
      </c>
      <c r="K10" s="0" t="n">
        <f aca="false">-K6*K9/100</f>
        <v>-58.2914111601928</v>
      </c>
      <c r="L10" s="0" t="n">
        <f aca="false">-L6*L9/100</f>
        <v>-59.4572393833966</v>
      </c>
    </row>
    <row r="11" customFormat="false" ht="15" hidden="false" customHeight="false" outlineLevel="0" collapsed="false">
      <c r="A11" s="0" t="s">
        <v>116</v>
      </c>
      <c r="C11" s="0" t="n">
        <f aca="false">C8+C10+C24</f>
        <v>1067.6293375</v>
      </c>
      <c r="D11" s="0" t="n">
        <f aca="false">D8+D10+D24</f>
        <v>1001.8278375</v>
      </c>
      <c r="E11" s="0" t="n">
        <f aca="false">E8+E10+E24</f>
        <v>1000.1581244375</v>
      </c>
      <c r="F11" s="0" t="n">
        <f aca="false">F8+F10+F24</f>
        <v>1020.16128692625</v>
      </c>
      <c r="G11" s="0" t="n">
        <f aca="false">G8+G10+G24</f>
        <v>1040.56451266477</v>
      </c>
      <c r="H11" s="0" t="n">
        <f aca="false">H8+H10+H24</f>
        <v>1079.09493151437</v>
      </c>
      <c r="I11" s="0" t="n">
        <f aca="false">I8+I10+I24</f>
        <v>1100.67683014465</v>
      </c>
      <c r="J11" s="0" t="n">
        <f aca="false">J8+J10+J24</f>
        <v>1122.69036674755</v>
      </c>
      <c r="K11" s="0" t="n">
        <f aca="false">K8+K10+K24</f>
        <v>1145.1441740825</v>
      </c>
      <c r="L11" s="0" t="n">
        <f aca="false">L8+L10+L24</f>
        <v>1168.04705756415</v>
      </c>
    </row>
    <row r="12" customFormat="false" ht="15" hidden="false" customHeight="false" outlineLevel="0" collapsed="false">
      <c r="A12" s="0" t="s">
        <v>117</v>
      </c>
      <c r="C12" s="4" t="n">
        <f aca="false">-C6*Assumptions!C17/100</f>
        <v>-144.7633</v>
      </c>
      <c r="D12" s="4" t="n">
        <f aca="false">-D6*Assumptions!D17/100</f>
        <v>-138.18315</v>
      </c>
      <c r="E12" s="4" t="n">
        <f aca="false">-E6*Assumptions!E17/100</f>
        <v>-133.577045</v>
      </c>
      <c r="F12" s="4" t="n">
        <f aca="false">-F6*Assumptions!F17/100</f>
        <v>-129.436156605</v>
      </c>
      <c r="G12" s="4" t="n">
        <f aca="false">-G6*Assumptions!G17/100</f>
        <v>-125.0762018562</v>
      </c>
      <c r="H12" s="4" t="n">
        <f aca="false">-H6*Assumptions!H17/100</f>
        <v>-120.490074454806</v>
      </c>
      <c r="I12" s="4" t="n">
        <f aca="false">-I6*Assumptions!I17/100</f>
        <v>-115.670471476614</v>
      </c>
      <c r="J12" s="4" t="n">
        <f aca="false">-J6*Assumptions!J17/100</f>
        <v>-114.296884627829</v>
      </c>
      <c r="K12" s="4" t="n">
        <f aca="false">-K6*Assumptions!K17/100</f>
        <v>-112.822086116502</v>
      </c>
      <c r="L12" s="4" t="n">
        <f aca="false">-L6*Assumptions!L17/100</f>
        <v>-115.078527838832</v>
      </c>
    </row>
    <row r="13" customFormat="false" ht="15" hidden="false" customHeight="false" outlineLevel="0" collapsed="false">
      <c r="A13" s="0" t="s">
        <v>118</v>
      </c>
      <c r="C13" s="0" t="n">
        <f aca="false">C11+C12</f>
        <v>922.8660375</v>
      </c>
      <c r="D13" s="0" t="n">
        <f aca="false">D11+D12</f>
        <v>863.6446875</v>
      </c>
      <c r="E13" s="0" t="n">
        <f aca="false">E11+E12</f>
        <v>866.5810794375</v>
      </c>
      <c r="F13" s="0" t="n">
        <f aca="false">F11+F12</f>
        <v>890.72513032125</v>
      </c>
      <c r="G13" s="0" t="n">
        <f aca="false">G11+G12</f>
        <v>915.488310808575</v>
      </c>
      <c r="H13" s="0" t="n">
        <f aca="false">H11+H12</f>
        <v>958.604857059559</v>
      </c>
      <c r="I13" s="0" t="n">
        <f aca="false">I11+I12</f>
        <v>985.006358668039</v>
      </c>
      <c r="J13" s="0" t="n">
        <f aca="false">J11+J12</f>
        <v>1008.39348211972</v>
      </c>
      <c r="K13" s="0" t="n">
        <f aca="false">K11+K12</f>
        <v>1032.32208796599</v>
      </c>
      <c r="L13" s="0" t="n">
        <f aca="false">L11+L12</f>
        <v>1052.96852972531</v>
      </c>
    </row>
    <row r="14" customFormat="false" ht="15" hidden="false" customHeight="false" outlineLevel="0" collapsed="false">
      <c r="A14" s="0" t="s">
        <v>104</v>
      </c>
      <c r="C14" s="4" t="n">
        <f aca="false">Assumptions!C19</f>
        <v>24</v>
      </c>
      <c r="D14" s="4" t="n">
        <f aca="false">Assumptions!D19</f>
        <v>24.5</v>
      </c>
      <c r="E14" s="4" t="n">
        <f aca="false">Assumptions!E19</f>
        <v>25</v>
      </c>
      <c r="F14" s="4" t="n">
        <f aca="false">Assumptions!F19</f>
        <v>25.5</v>
      </c>
      <c r="G14" s="4" t="n">
        <f aca="false">Assumptions!G19</f>
        <v>26</v>
      </c>
      <c r="H14" s="4" t="n">
        <f aca="false">Assumptions!H19</f>
        <v>26</v>
      </c>
      <c r="I14" s="4" t="n">
        <f aca="false">Assumptions!I19</f>
        <v>26</v>
      </c>
      <c r="J14" s="4" t="n">
        <f aca="false">Assumptions!J19</f>
        <v>26</v>
      </c>
      <c r="K14" s="4" t="n">
        <f aca="false">Assumptions!K19</f>
        <v>26</v>
      </c>
      <c r="L14" s="4" t="n">
        <f aca="false">Assumptions!L19</f>
        <v>26</v>
      </c>
    </row>
    <row r="15" customFormat="false" ht="15" hidden="false" customHeight="false" outlineLevel="0" collapsed="false">
      <c r="A15" s="0" t="s">
        <v>119</v>
      </c>
      <c r="C15" s="0" t="n">
        <f aca="false">C13-MAX(0,C13)*C14/100</f>
        <v>701.3781885</v>
      </c>
      <c r="D15" s="0" t="n">
        <f aca="false">D13-MAX(0,D13)*D14/100</f>
        <v>652.0517390625</v>
      </c>
      <c r="E15" s="0" t="n">
        <f aca="false">E13-MAX(0,E13)*E14/100</f>
        <v>649.935809578125</v>
      </c>
      <c r="F15" s="0" t="n">
        <f aca="false">F13-MAX(0,F13)*F14/100</f>
        <v>663.590222089331</v>
      </c>
      <c r="G15" s="0" t="n">
        <f aca="false">G13-MAX(0,G13)*G14/100</f>
        <v>677.461349998345</v>
      </c>
      <c r="H15" s="0" t="n">
        <f aca="false">H13-MAX(0,H13)*H14/100</f>
        <v>709.367594224074</v>
      </c>
      <c r="I15" s="0" t="n">
        <f aca="false">I13-MAX(0,I13)*I14/100</f>
        <v>728.904705414349</v>
      </c>
      <c r="J15" s="0" t="n">
        <f aca="false">J13-MAX(0,J13)*J14/100</f>
        <v>746.21117676859</v>
      </c>
      <c r="K15" s="0" t="n">
        <f aca="false">K13-MAX(0,K13)*K14/100</f>
        <v>763.918345094836</v>
      </c>
      <c r="L15" s="0" t="n">
        <f aca="false">L13-MAX(0,L13)*L14/100</f>
        <v>779.196711996733</v>
      </c>
    </row>
    <row r="16" customFormat="false" ht="15" hidden="false" customHeight="false" outlineLevel="0" collapsed="false">
      <c r="A16" s="0" t="s">
        <v>120</v>
      </c>
      <c r="C16" s="0" t="n">
        <f aca="false">-C12</f>
        <v>144.7633</v>
      </c>
      <c r="D16" s="0" t="n">
        <f aca="false">-D12</f>
        <v>138.18315</v>
      </c>
      <c r="E16" s="0" t="n">
        <f aca="false">-E12</f>
        <v>133.577045</v>
      </c>
      <c r="F16" s="0" t="n">
        <f aca="false">-F12</f>
        <v>129.436156605</v>
      </c>
      <c r="G16" s="0" t="n">
        <f aca="false">-G12</f>
        <v>125.0762018562</v>
      </c>
      <c r="H16" s="0" t="n">
        <f aca="false">-H12</f>
        <v>120.490074454806</v>
      </c>
      <c r="I16" s="0" t="n">
        <f aca="false">-I12</f>
        <v>115.670471476614</v>
      </c>
      <c r="J16" s="0" t="n">
        <f aca="false">-J12</f>
        <v>114.296884627829</v>
      </c>
      <c r="K16" s="0" t="n">
        <f aca="false">-K12</f>
        <v>112.822086116502</v>
      </c>
      <c r="L16" s="0" t="n">
        <f aca="false">-L12</f>
        <v>115.078527838832</v>
      </c>
    </row>
    <row r="17" customFormat="false" ht="15" hidden="false" customHeight="false" outlineLevel="0" collapsed="false">
      <c r="A17" s="0" t="s">
        <v>121</v>
      </c>
      <c r="C17" s="4" t="n">
        <f aca="false">-C6*Assumptions!C18/100</f>
        <v>-59.22135</v>
      </c>
      <c r="D17" s="4" t="n">
        <f aca="false">-D6*Assumptions!D18/100</f>
        <v>-59.22135</v>
      </c>
      <c r="E17" s="4" t="n">
        <f aca="false">-E6*Assumptions!E18/100</f>
        <v>-56.770244125</v>
      </c>
      <c r="F17" s="4" t="n">
        <f aca="false">-F6*Assumptions!F18/100</f>
        <v>-57.9056490075</v>
      </c>
      <c r="G17" s="4" t="n">
        <f aca="false">-G6*Assumptions!G18/100</f>
        <v>-55.5894230472</v>
      </c>
      <c r="H17" s="4" t="n">
        <f aca="false">-H6*Assumptions!H18/100</f>
        <v>-56.701211508144</v>
      </c>
      <c r="I17" s="4" t="n">
        <f aca="false">-I6*Assumptions!I18/100</f>
        <v>-54.2205335046627</v>
      </c>
      <c r="J17" s="4" t="n">
        <f aca="false">-J6*Assumptions!J18/100</f>
        <v>-55.3049441747559</v>
      </c>
      <c r="K17" s="4" t="n">
        <f aca="false">-K6*Assumptions!K18/100</f>
        <v>-56.4110430582511</v>
      </c>
      <c r="L17" s="4" t="n">
        <f aca="false">-L6*Assumptions!L18/100</f>
        <v>-57.5392639194161</v>
      </c>
    </row>
    <row r="18" customFormat="false" ht="15" hidden="false" customHeight="false" outlineLevel="0" collapsed="false">
      <c r="A18" s="0" t="s">
        <v>122</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123</v>
      </c>
      <c r="C19" s="0" t="n">
        <f aca="false">C15+C16+C17+C18</f>
        <v>786.9201385</v>
      </c>
      <c r="D19" s="0" t="n">
        <f aca="false">D15+D16+D17+D18</f>
        <v>731.0135390625</v>
      </c>
      <c r="E19" s="0" t="n">
        <f aca="false">E15+E16+E17+E18</f>
        <v>726.742610453125</v>
      </c>
      <c r="F19" s="0" t="n">
        <f aca="false">F15+F16+F17+F18</f>
        <v>735.120729686831</v>
      </c>
      <c r="G19" s="0" t="n">
        <f aca="false">G15+G16+G17+G18</f>
        <v>746.948128807345</v>
      </c>
      <c r="H19" s="0" t="n">
        <f aca="false">H15+H16+H17+H18</f>
        <v>773.156457170736</v>
      </c>
      <c r="I19" s="0" t="n">
        <f aca="false">I15+I16+I17+I18</f>
        <v>790.3546433863</v>
      </c>
      <c r="J19" s="0" t="n">
        <f aca="false">J15+J16+J17+J18</f>
        <v>805.203117221663</v>
      </c>
      <c r="K19" s="0" t="n">
        <f aca="false">K15+K16+K17+K18</f>
        <v>820.329388153087</v>
      </c>
      <c r="L19" s="0" t="n">
        <f aca="false">L15+L16+L17+L18</f>
        <v>836.735975916149</v>
      </c>
    </row>
    <row r="20" customFormat="false" ht="15" hidden="false" customHeight="false" outlineLevel="0" collapsed="false">
      <c r="A20" s="0" t="s">
        <v>124</v>
      </c>
      <c r="C20" s="0" t="n">
        <f aca="false">1/(1+$B$27/100)^C4</f>
        <v>0.91533180778032</v>
      </c>
      <c r="D20" s="0" t="n">
        <f aca="false">1/(1+$B$27/100)^D4</f>
        <v>0.837832318334389</v>
      </c>
      <c r="E20" s="0" t="n">
        <f aca="false">1/(1+$B$27/100)^E4</f>
        <v>0.766894570557793</v>
      </c>
      <c r="F20" s="0" t="n">
        <f aca="false">1/(1+$B$27/100)^F4</f>
        <v>0.701962993645578</v>
      </c>
      <c r="G20" s="0" t="n">
        <f aca="false">1/(1+$B$27/100)^G4</f>
        <v>0.642529055968492</v>
      </c>
      <c r="H20" s="0" t="n">
        <f aca="false">1/(1+$B$27/100)^H4</f>
        <v>0.588127282351022</v>
      </c>
      <c r="I20" s="0" t="n">
        <f aca="false">1/(1+$B$27/100)^I4</f>
        <v>0.538331608559288</v>
      </c>
      <c r="J20" s="0" t="n">
        <f aca="false">1/(1+$B$27/100)^J4</f>
        <v>0.492752044447861</v>
      </c>
      <c r="K20" s="0" t="n">
        <f aca="false">1/(1+$B$27/100)^K4</f>
        <v>0.451031619631909</v>
      </c>
      <c r="L20" s="0" t="n">
        <f aca="false">1/(1+$B$27/100)^L4</f>
        <v>0.412843587763762</v>
      </c>
    </row>
    <row r="21" customFormat="false" ht="15" hidden="false" customHeight="false" outlineLevel="0" collapsed="false">
      <c r="A21" s="0" t="s">
        <v>125</v>
      </c>
      <c r="C21" s="0" t="n">
        <f aca="false">C19*C20</f>
        <v>720.293032951945</v>
      </c>
      <c r="D21" s="0" t="n">
        <f aca="false">D19*D20</f>
        <v>612.466768166561</v>
      </c>
      <c r="E21" s="0" t="n">
        <f aca="false">E19*E20</f>
        <v>557.334962149499</v>
      </c>
      <c r="F21" s="0" t="n">
        <f aca="false">F19*F20</f>
        <v>516.027548101889</v>
      </c>
      <c r="G21" s="0" t="n">
        <f aca="false">G19*G20</f>
        <v>479.935876060015</v>
      </c>
      <c r="H21" s="0" t="n">
        <f aca="false">H19*H20</f>
        <v>454.71440598797</v>
      </c>
      <c r="I21" s="0" t="n">
        <f aca="false">I19*I20</f>
        <v>425.472886506449</v>
      </c>
      <c r="J21" s="0" t="n">
        <f aca="false">J19*J20</f>
        <v>396.765482206765</v>
      </c>
      <c r="K21" s="0" t="n">
        <f aca="false">K19*K20</f>
        <v>369.99449257034</v>
      </c>
      <c r="L21" s="0" t="n">
        <f aca="false">L19*L20</f>
        <v>345.441082308235</v>
      </c>
    </row>
    <row r="23" customFormat="false" ht="15" hidden="false" customHeight="false" outlineLevel="0" collapsed="false">
      <c r="A23" s="0" t="s">
        <v>101</v>
      </c>
      <c r="C23" s="4" t="n">
        <f aca="false">Assumptions!C16</f>
        <v>1</v>
      </c>
      <c r="D23" s="4" t="n">
        <f aca="false">Assumptions!D16</f>
        <v>1</v>
      </c>
      <c r="E23" s="4" t="n">
        <f aca="false">Assumptions!E16</f>
        <v>1</v>
      </c>
      <c r="F23" s="4" t="n">
        <f aca="false">Assumptions!F16</f>
        <v>1</v>
      </c>
      <c r="G23" s="4" t="n">
        <f aca="false">Assumptions!G16</f>
        <v>1</v>
      </c>
      <c r="H23" s="4" t="n">
        <f aca="false">Assumptions!H16</f>
        <v>1</v>
      </c>
      <c r="I23" s="4" t="n">
        <f aca="false">Assumptions!I16</f>
        <v>1</v>
      </c>
      <c r="J23" s="4" t="n">
        <f aca="false">Assumptions!J16</f>
        <v>1</v>
      </c>
      <c r="K23" s="4" t="n">
        <f aca="false">Assumptions!K16</f>
        <v>1</v>
      </c>
      <c r="L23" s="4" t="n">
        <f aca="false">Assumptions!L16</f>
        <v>1</v>
      </c>
    </row>
    <row r="24" customFormat="false" ht="15" hidden="false" customHeight="false" outlineLevel="0" collapsed="false">
      <c r="A24" s="0" t="s">
        <v>126</v>
      </c>
      <c r="C24" s="0" t="n">
        <f aca="false">-C6*C23/100</f>
        <v>-32.90075</v>
      </c>
      <c r="D24" s="0" t="n">
        <f aca="false">-D6*D23/100</f>
        <v>-32.90075</v>
      </c>
      <c r="E24" s="0" t="n">
        <f aca="false">-E6*E23/100</f>
        <v>-33.39426125</v>
      </c>
      <c r="F24" s="0" t="n">
        <f aca="false">-F6*F23/100</f>
        <v>-34.062146475</v>
      </c>
      <c r="G24" s="0" t="n">
        <f aca="false">-G6*G23/100</f>
        <v>-34.7433894045</v>
      </c>
      <c r="H24" s="0" t="n">
        <f aca="false">-H6*H23/100</f>
        <v>-35.43825719259</v>
      </c>
      <c r="I24" s="0" t="n">
        <f aca="false">-I6*I23/100</f>
        <v>-36.1470223364418</v>
      </c>
      <c r="J24" s="0" t="n">
        <f aca="false">-J6*J23/100</f>
        <v>-36.8699627831706</v>
      </c>
      <c r="K24" s="0" t="n">
        <f aca="false">-K6*K23/100</f>
        <v>-37.6073620388341</v>
      </c>
      <c r="L24" s="0" t="n">
        <f aca="false">-L6*L23/100</f>
        <v>-38.3595092796107</v>
      </c>
    </row>
    <row r="26" customFormat="false" ht="15" hidden="false" customHeight="false" outlineLevel="0" collapsed="false">
      <c r="A26" s="2" t="s">
        <v>127</v>
      </c>
    </row>
    <row r="27" customFormat="false" ht="15" hidden="false" customHeight="false" outlineLevel="0" collapsed="false">
      <c r="A27" s="0" t="s">
        <v>105</v>
      </c>
      <c r="B27" s="4" t="n">
        <f aca="false">Assumptions!$B$20</f>
        <v>9.25</v>
      </c>
    </row>
    <row r="28" customFormat="false" ht="15" hidden="false" customHeight="false" outlineLevel="0" collapsed="false">
      <c r="A28" s="0" t="s">
        <v>106</v>
      </c>
      <c r="B28" s="4" t="n">
        <f aca="false">Assumptions!$B$21</f>
        <v>2</v>
      </c>
    </row>
    <row r="29" customFormat="false" ht="15" hidden="false" customHeight="false" outlineLevel="0" collapsed="false">
      <c r="A29" s="0" t="s">
        <v>107</v>
      </c>
      <c r="B29" s="4" t="n">
        <f aca="false">Assumptions!$B$22</f>
        <v>15</v>
      </c>
    </row>
    <row r="30" customFormat="false" ht="15" hidden="false" customHeight="false" outlineLevel="0" collapsed="false">
      <c r="A30" s="0" t="s">
        <v>128</v>
      </c>
      <c r="B30" s="0" t="n">
        <f aca="false">SUM(C21:L21)</f>
        <v>4878.44653700967</v>
      </c>
    </row>
    <row r="31" customFormat="false" ht="15" hidden="false" customHeight="false" outlineLevel="0" collapsed="false">
      <c r="A31" s="0" t="s">
        <v>129</v>
      </c>
      <c r="B31" s="0" t="n">
        <f aca="false">L19</f>
        <v>836.735975916149</v>
      </c>
    </row>
    <row r="32" customFormat="false" ht="15" hidden="false" customHeight="false" outlineLevel="0" collapsed="false">
      <c r="A32" s="0" t="s">
        <v>130</v>
      </c>
      <c r="B32" s="0" t="n">
        <f aca="false">IF(B27&gt;B28,B31*(1+B28/100)/((B27-B28)/100),B31*B29)</f>
        <v>11772.0095921996</v>
      </c>
    </row>
    <row r="33" customFormat="false" ht="15" hidden="false" customHeight="false" outlineLevel="0" collapsed="false">
      <c r="A33" s="0" t="s">
        <v>131</v>
      </c>
      <c r="B33" s="0" t="n">
        <f aca="false">B31*B29</f>
        <v>12551.0396387422</v>
      </c>
    </row>
    <row r="34" customFormat="false" ht="15" hidden="false" customHeight="false" outlineLevel="0" collapsed="false">
      <c r="A34" s="0" t="s">
        <v>132</v>
      </c>
      <c r="B34" s="0" t="n">
        <f aca="false">MAX(0,MIN(B32,B33))</f>
        <v>11772.0095921996</v>
      </c>
    </row>
    <row r="35" customFormat="false" ht="15" hidden="false" customHeight="false" outlineLevel="0" collapsed="false">
      <c r="A35" s="0" t="s">
        <v>133</v>
      </c>
      <c r="B35" s="0" t="n">
        <f aca="false">B34/(1+B27/100)^L4</f>
        <v>4859.9986752331</v>
      </c>
    </row>
    <row r="36" customFormat="false" ht="15" hidden="false" customHeight="false" outlineLevel="0" collapsed="false">
      <c r="A36" s="0" t="s">
        <v>134</v>
      </c>
      <c r="B36" s="0" t="n">
        <f aca="false">B30+B35</f>
        <v>9738.44521224277</v>
      </c>
    </row>
    <row r="37" customFormat="false" ht="15" hidden="false" customHeight="false" outlineLevel="0" collapsed="false">
      <c r="A37" s="0" t="s">
        <v>135</v>
      </c>
      <c r="B37" s="0" t="n">
        <f aca="false">B36+Assumptions!$B$5-Assumptions!$B$4</f>
        <v>9591.74521224277</v>
      </c>
    </row>
    <row r="38" customFormat="false" ht="15" hidden="false" customHeight="false" outlineLevel="0" collapsed="false">
      <c r="A38" s="0" t="s">
        <v>136</v>
      </c>
      <c r="B38" s="0" t="n">
        <f aca="false">B37/Assumptions!$B$3*Assumptions!$B$10</f>
        <v>23.2620917610697</v>
      </c>
    </row>
    <row r="39" customFormat="false" ht="15" hidden="false" customHeight="false" outlineLevel="0" collapsed="false">
      <c r="A39" s="0" t="s">
        <v>137</v>
      </c>
      <c r="B39" s="4" t="n">
        <f aca="false">B38/Assumptions!$B$2-1</f>
        <v>-0.442022265265778</v>
      </c>
    </row>
    <row r="41" customFormat="false" ht="15" hidden="false" customHeight="false" outlineLevel="0" collapsed="false">
      <c r="A41" s="0" t="s">
        <v>138</v>
      </c>
      <c r="B41" s="0" t="n">
        <f aca="false">SUMPRODUCT(-C10:L10/(1+$B$27/100)^C4:L4)</f>
        <v>342.227480226634</v>
      </c>
    </row>
    <row r="42" customFormat="false" ht="15" hidden="false" customHeight="false" outlineLevel="0" collapsed="false">
      <c r="A42" s="0" t="s">
        <v>139</v>
      </c>
      <c r="B42" s="0" t="n">
        <f aca="false">IF(B27&gt;B28,-L10*(1+B28/100)/((B27-B28)/100),-L10*20)/(1+B27/100)^L4</f>
        <v>345.344425187334</v>
      </c>
    </row>
    <row r="43" customFormat="false" ht="15" hidden="false" customHeight="false" outlineLevel="0" collapsed="false">
      <c r="A43" s="0" t="s">
        <v>140</v>
      </c>
      <c r="B43" s="0" t="n">
        <f aca="false">(B37+B41+B42)/Assumptions!$B$3*Assumptions!$B$10</f>
        <v>24.929604857191</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6565.15919564978</v>
      </c>
    </row>
    <row r="47" customFormat="false" ht="15" hidden="false" customHeight="false" outlineLevel="0" collapsed="false">
      <c r="A47" s="0" t="s">
        <v>142</v>
      </c>
      <c r="B47" s="0" t="n">
        <f aca="false">(SUMPRODUCT(C19:L19/(1+B45/100)^C4:L4)+B46/(1+B45/100)^L4+Assumptions!$B$5-Assumptions!$B$4)/Assumptions!$B$3*Assumptions!$B$10</f>
        <v>12.8955600930176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Assumptions!C27</f>
        <v>3.5</v>
      </c>
      <c r="D5" s="4" t="n">
        <f aca="false">Assumptions!D27</f>
        <v>4.5</v>
      </c>
      <c r="E5" s="4" t="n">
        <f aca="false">Assumptions!E27</f>
        <v>4</v>
      </c>
      <c r="F5" s="4" t="n">
        <f aca="false">Assumptions!F27</f>
        <v>4</v>
      </c>
      <c r="G5" s="4" t="n">
        <f aca="false">Assumptions!G27</f>
        <v>3.5</v>
      </c>
      <c r="H5" s="4" t="n">
        <f aca="false">Assumptions!H27</f>
        <v>3.5</v>
      </c>
      <c r="I5" s="4" t="n">
        <f aca="false">Assumptions!I27</f>
        <v>3</v>
      </c>
      <c r="J5" s="4" t="n">
        <f aca="false">Assumptions!J27</f>
        <v>3</v>
      </c>
      <c r="K5" s="4" t="n">
        <f aca="false">Assumptions!K27</f>
        <v>2.5</v>
      </c>
      <c r="L5" s="4" t="n">
        <f aca="false">Assumptions!L27</f>
        <v>2.5</v>
      </c>
    </row>
    <row r="6" customFormat="false" ht="15" hidden="false" customHeight="false" outlineLevel="0" collapsed="false">
      <c r="A6" s="0" t="s">
        <v>38</v>
      </c>
      <c r="B6" s="3" t="n">
        <v>3257.5</v>
      </c>
      <c r="C6" s="0" t="n">
        <f aca="false">B6*(1+C5/100)</f>
        <v>3371.5125</v>
      </c>
      <c r="D6" s="0" t="n">
        <f aca="false">C6*(1+D5/100)</f>
        <v>3523.2305625</v>
      </c>
      <c r="E6" s="0" t="n">
        <f aca="false">D6*(1+E5/100)</f>
        <v>3664.159785</v>
      </c>
      <c r="F6" s="0" t="n">
        <f aca="false">E6*(1+F5/100)</f>
        <v>3810.7261764</v>
      </c>
      <c r="G6" s="0" t="n">
        <f aca="false">F6*(1+G5/100)</f>
        <v>3944.101592574</v>
      </c>
      <c r="H6" s="0" t="n">
        <f aca="false">G6*(1+H5/100)</f>
        <v>4082.14514831409</v>
      </c>
      <c r="I6" s="0" t="n">
        <f aca="false">H6*(1+I5/100)</f>
        <v>4204.60950276351</v>
      </c>
      <c r="J6" s="0" t="n">
        <f aca="false">I6*(1+J5/100)</f>
        <v>4330.74778784642</v>
      </c>
      <c r="K6" s="0" t="n">
        <f aca="false">J6*(1+K5/100)</f>
        <v>4439.01648254258</v>
      </c>
      <c r="L6" s="0" t="n">
        <f aca="false">K6*(1+L5/100)</f>
        <v>4549.99189460614</v>
      </c>
    </row>
    <row r="7" customFormat="false" ht="15" hidden="false" customHeight="false" outlineLevel="0" collapsed="false">
      <c r="A7" s="0" t="s">
        <v>99</v>
      </c>
      <c r="C7" s="4" t="n">
        <f aca="false">Assumptions!C28</f>
        <v>36.5</v>
      </c>
      <c r="D7" s="4" t="n">
        <f aca="false">Assumptions!D28</f>
        <v>36.8</v>
      </c>
      <c r="E7" s="4" t="n">
        <f aca="false">Assumptions!E28</f>
        <v>37</v>
      </c>
      <c r="F7" s="4" t="n">
        <f aca="false">Assumptions!F28</f>
        <v>37</v>
      </c>
      <c r="G7" s="4" t="n">
        <f aca="false">Assumptions!G28</f>
        <v>37</v>
      </c>
      <c r="H7" s="4" t="n">
        <f aca="false">Assumptions!H28</f>
        <v>37</v>
      </c>
      <c r="I7" s="4" t="n">
        <f aca="false">Assumptions!I28</f>
        <v>37</v>
      </c>
      <c r="J7" s="4" t="n">
        <f aca="false">Assumptions!J28</f>
        <v>37</v>
      </c>
      <c r="K7" s="4" t="n">
        <f aca="false">Assumptions!K28</f>
        <v>37</v>
      </c>
      <c r="L7" s="4" t="n">
        <f aca="false">Assumptions!L28</f>
        <v>37</v>
      </c>
    </row>
    <row r="8" customFormat="false" ht="15" hidden="false" customHeight="false" outlineLevel="0" collapsed="false">
      <c r="A8" s="0" t="s">
        <v>44</v>
      </c>
      <c r="C8" s="0" t="n">
        <f aca="false">C6*C7/100</f>
        <v>1230.6020625</v>
      </c>
      <c r="D8" s="0" t="n">
        <f aca="false">D6*D7/100</f>
        <v>1296.548847</v>
      </c>
      <c r="E8" s="0" t="n">
        <f aca="false">E6*E7/100</f>
        <v>1355.73912045</v>
      </c>
      <c r="F8" s="0" t="n">
        <f aca="false">F6*F7/100</f>
        <v>1409.968685268</v>
      </c>
      <c r="G8" s="0" t="n">
        <f aca="false">G6*G7/100</f>
        <v>1459.31758925238</v>
      </c>
      <c r="H8" s="0" t="n">
        <f aca="false">H6*H7/100</f>
        <v>1510.39370487621</v>
      </c>
      <c r="I8" s="0" t="n">
        <f aca="false">I6*I7/100</f>
        <v>1555.7055160225</v>
      </c>
      <c r="J8" s="0" t="n">
        <f aca="false">J6*J7/100</f>
        <v>1602.37668150317</v>
      </c>
      <c r="K8" s="0" t="n">
        <f aca="false">K6*K7/100</f>
        <v>1642.43609854075</v>
      </c>
      <c r="L8" s="0" t="n">
        <f aca="false">L6*L7/100</f>
        <v>1683.49700100427</v>
      </c>
    </row>
    <row r="9" customFormat="false" ht="15" hidden="false" customHeight="false" outlineLevel="0" collapsed="false">
      <c r="A9" s="0" t="s">
        <v>100</v>
      </c>
      <c r="C9" s="4" t="n">
        <f aca="false">Assumptions!C29</f>
        <v>1.55</v>
      </c>
      <c r="D9" s="4" t="n">
        <f aca="false">Assumptions!D29</f>
        <v>1.55</v>
      </c>
      <c r="E9" s="4" t="n">
        <f aca="false">Assumptions!E29</f>
        <v>1.55</v>
      </c>
      <c r="F9" s="4" t="n">
        <f aca="false">Assumptions!F29</f>
        <v>1.55</v>
      </c>
      <c r="G9" s="4" t="n">
        <f aca="false">Assumptions!G29</f>
        <v>1.55</v>
      </c>
      <c r="H9" s="4" t="n">
        <f aca="false">Assumptions!H29</f>
        <v>1.55</v>
      </c>
      <c r="I9" s="4" t="n">
        <f aca="false">Assumptions!I29</f>
        <v>1.55</v>
      </c>
      <c r="J9" s="4" t="n">
        <f aca="false">Assumptions!J29</f>
        <v>1.55</v>
      </c>
      <c r="K9" s="4" t="n">
        <f aca="false">Assumptions!K29</f>
        <v>1.55</v>
      </c>
      <c r="L9" s="4" t="n">
        <f aca="false">Assumptions!L29</f>
        <v>1.55</v>
      </c>
    </row>
    <row r="10" customFormat="false" ht="15" hidden="false" customHeight="false" outlineLevel="0" collapsed="false">
      <c r="A10" s="0" t="s">
        <v>115</v>
      </c>
      <c r="C10" s="0" t="n">
        <f aca="false">-C6*C9/100</f>
        <v>-52.25844375</v>
      </c>
      <c r="D10" s="0" t="n">
        <f aca="false">-D6*D9/100</f>
        <v>-54.61007371875</v>
      </c>
      <c r="E10" s="0" t="n">
        <f aca="false">-E6*E9/100</f>
        <v>-56.7944766675</v>
      </c>
      <c r="F10" s="0" t="n">
        <f aca="false">-F6*F9/100</f>
        <v>-59.0662557342</v>
      </c>
      <c r="G10" s="0" t="n">
        <f aca="false">-G6*G9/100</f>
        <v>-61.133574684897</v>
      </c>
      <c r="H10" s="0" t="n">
        <f aca="false">-H6*H9/100</f>
        <v>-63.2732497988684</v>
      </c>
      <c r="I10" s="0" t="n">
        <f aca="false">-I6*I9/100</f>
        <v>-65.1714472928344</v>
      </c>
      <c r="J10" s="0" t="n">
        <f aca="false">-J6*J9/100</f>
        <v>-67.1265907116195</v>
      </c>
      <c r="K10" s="0" t="n">
        <f aca="false">-K6*K9/100</f>
        <v>-68.80475547941</v>
      </c>
      <c r="L10" s="0" t="n">
        <f aca="false">-L6*L9/100</f>
        <v>-70.5248743663952</v>
      </c>
    </row>
    <row r="11" customFormat="false" ht="15" hidden="false" customHeight="false" outlineLevel="0" collapsed="false">
      <c r="A11" s="0" t="s">
        <v>116</v>
      </c>
      <c r="C11" s="0" t="n">
        <f aca="false">C8+C10+C24</f>
        <v>1144.62849375</v>
      </c>
      <c r="D11" s="0" t="n">
        <f aca="false">D8+D10+D24</f>
        <v>1206.70646765625</v>
      </c>
      <c r="E11" s="0" t="n">
        <f aca="false">E8+E10+E24</f>
        <v>1262.3030459325</v>
      </c>
      <c r="F11" s="0" t="n">
        <f aca="false">F8+F10+F24</f>
        <v>1312.7951677698</v>
      </c>
      <c r="G11" s="0" t="n">
        <f aca="false">G8+G10+G24</f>
        <v>1358.74299864174</v>
      </c>
      <c r="H11" s="0" t="n">
        <f aca="false">H8+H10+H24</f>
        <v>1406.2990035942</v>
      </c>
      <c r="I11" s="0" t="n">
        <f aca="false">I8+I10+I24</f>
        <v>1448.48797370203</v>
      </c>
      <c r="J11" s="0" t="n">
        <f aca="false">J8+J10+J24</f>
        <v>1491.94261291309</v>
      </c>
      <c r="K11" s="0" t="n">
        <f aca="false">K8+K10+K24</f>
        <v>1529.24117823592</v>
      </c>
      <c r="L11" s="0" t="n">
        <f aca="false">L8+L10+L24</f>
        <v>1567.47220769182</v>
      </c>
    </row>
    <row r="12" customFormat="false" ht="15" hidden="false" customHeight="false" outlineLevel="0" collapsed="false">
      <c r="A12" s="0" t="s">
        <v>117</v>
      </c>
      <c r="C12" s="4" t="n">
        <f aca="false">-C6*Assumptions!C31/100</f>
        <v>-148.34655</v>
      </c>
      <c r="D12" s="4" t="n">
        <f aca="false">-D6*Assumptions!D31/100</f>
        <v>-147.975683625</v>
      </c>
      <c r="E12" s="4" t="n">
        <f aca="false">-E6*Assumptions!E31/100</f>
        <v>-146.5663914</v>
      </c>
      <c r="F12" s="4" t="n">
        <f aca="false">-F6*Assumptions!F31/100</f>
        <v>-144.8075947032</v>
      </c>
      <c r="G12" s="4" t="n">
        <f aca="false">-G6*Assumptions!G31/100</f>
        <v>-141.987657332664</v>
      </c>
      <c r="H12" s="4" t="n">
        <f aca="false">-H6*Assumptions!H31/100</f>
        <v>-138.792935042679</v>
      </c>
      <c r="I12" s="4" t="n">
        <f aca="false">-I6*Assumptions!I31/100</f>
        <v>-134.547504088432</v>
      </c>
      <c r="J12" s="4" t="n">
        <f aca="false">-J6*Assumptions!J31/100</f>
        <v>-134.253181423239</v>
      </c>
      <c r="K12" s="4" t="n">
        <f aca="false">-K6*Assumptions!K31/100</f>
        <v>-133.170494476277</v>
      </c>
      <c r="L12" s="4" t="n">
        <f aca="false">-L6*Assumptions!L31/100</f>
        <v>-136.499756838184</v>
      </c>
    </row>
    <row r="13" customFormat="false" ht="15" hidden="false" customHeight="false" outlineLevel="0" collapsed="false">
      <c r="A13" s="0" t="s">
        <v>118</v>
      </c>
      <c r="C13" s="0" t="n">
        <f aca="false">C11+C12</f>
        <v>996.28194375</v>
      </c>
      <c r="D13" s="0" t="n">
        <f aca="false">D11+D12</f>
        <v>1058.73078403125</v>
      </c>
      <c r="E13" s="0" t="n">
        <f aca="false">E11+E12</f>
        <v>1115.7366545325</v>
      </c>
      <c r="F13" s="0" t="n">
        <f aca="false">F11+F12</f>
        <v>1167.9875730666</v>
      </c>
      <c r="G13" s="0" t="n">
        <f aca="false">G11+G12</f>
        <v>1216.75534130908</v>
      </c>
      <c r="H13" s="0" t="n">
        <f aca="false">H11+H12</f>
        <v>1267.50606855152</v>
      </c>
      <c r="I13" s="0" t="n">
        <f aca="false">I11+I12</f>
        <v>1313.9404696136</v>
      </c>
      <c r="J13" s="0" t="n">
        <f aca="false">J11+J12</f>
        <v>1357.68943148985</v>
      </c>
      <c r="K13" s="0" t="n">
        <f aca="false">K11+K12</f>
        <v>1396.07068375964</v>
      </c>
      <c r="L13" s="0" t="n">
        <f aca="false">L11+L12</f>
        <v>1430.97245085363</v>
      </c>
    </row>
    <row r="14" customFormat="false" ht="15" hidden="false" customHeight="false" outlineLevel="0" collapsed="false">
      <c r="A14" s="0" t="s">
        <v>104</v>
      </c>
      <c r="C14" s="4" t="n">
        <f aca="false">Assumptions!C33</f>
        <v>24</v>
      </c>
      <c r="D14" s="4" t="n">
        <f aca="false">Assumptions!D33</f>
        <v>24.5</v>
      </c>
      <c r="E14" s="4" t="n">
        <f aca="false">Assumptions!E33</f>
        <v>25</v>
      </c>
      <c r="F14" s="4" t="n">
        <f aca="false">Assumptions!F33</f>
        <v>25.5</v>
      </c>
      <c r="G14" s="4" t="n">
        <f aca="false">Assumptions!G33</f>
        <v>26</v>
      </c>
      <c r="H14" s="4" t="n">
        <f aca="false">Assumptions!H33</f>
        <v>26</v>
      </c>
      <c r="I14" s="4" t="n">
        <f aca="false">Assumptions!I33</f>
        <v>26</v>
      </c>
      <c r="J14" s="4" t="n">
        <f aca="false">Assumptions!J33</f>
        <v>26</v>
      </c>
      <c r="K14" s="4" t="n">
        <f aca="false">Assumptions!K33</f>
        <v>26</v>
      </c>
      <c r="L14" s="4" t="n">
        <f aca="false">Assumptions!L33</f>
        <v>26</v>
      </c>
    </row>
    <row r="15" customFormat="false" ht="15" hidden="false" customHeight="false" outlineLevel="0" collapsed="false">
      <c r="A15" s="0" t="s">
        <v>119</v>
      </c>
      <c r="C15" s="0" t="n">
        <f aca="false">C13-MAX(0,C13)*C14/100</f>
        <v>757.17427725</v>
      </c>
      <c r="D15" s="0" t="n">
        <f aca="false">D13-MAX(0,D13)*D14/100</f>
        <v>799.341741943593</v>
      </c>
      <c r="E15" s="0" t="n">
        <f aca="false">E13-MAX(0,E13)*E14/100</f>
        <v>836.802490899375</v>
      </c>
      <c r="F15" s="0" t="n">
        <f aca="false">F13-MAX(0,F13)*F14/100</f>
        <v>870.150741934617</v>
      </c>
      <c r="G15" s="0" t="n">
        <f aca="false">G13-MAX(0,G13)*G14/100</f>
        <v>900.398952568718</v>
      </c>
      <c r="H15" s="0" t="n">
        <f aca="false">H13-MAX(0,H13)*H14/100</f>
        <v>937.954490728128</v>
      </c>
      <c r="I15" s="0" t="n">
        <f aca="false">I13-MAX(0,I13)*I14/100</f>
        <v>972.315947514062</v>
      </c>
      <c r="J15" s="0" t="n">
        <f aca="false">J13-MAX(0,J13)*J14/100</f>
        <v>1004.69017930249</v>
      </c>
      <c r="K15" s="0" t="n">
        <f aca="false">K13-MAX(0,K13)*K14/100</f>
        <v>1033.09230598213</v>
      </c>
      <c r="L15" s="0" t="n">
        <f aca="false">L13-MAX(0,L13)*L14/100</f>
        <v>1058.91961363169</v>
      </c>
    </row>
    <row r="16" customFormat="false" ht="15" hidden="false" customHeight="false" outlineLevel="0" collapsed="false">
      <c r="A16" s="0" t="s">
        <v>120</v>
      </c>
      <c r="C16" s="0" t="n">
        <f aca="false">-C12</f>
        <v>148.34655</v>
      </c>
      <c r="D16" s="0" t="n">
        <f aca="false">-D12</f>
        <v>147.975683625</v>
      </c>
      <c r="E16" s="0" t="n">
        <f aca="false">-E12</f>
        <v>146.5663914</v>
      </c>
      <c r="F16" s="0" t="n">
        <f aca="false">-F12</f>
        <v>144.8075947032</v>
      </c>
      <c r="G16" s="0" t="n">
        <f aca="false">-G12</f>
        <v>141.987657332664</v>
      </c>
      <c r="H16" s="0" t="n">
        <f aca="false">-H12</f>
        <v>138.792935042679</v>
      </c>
      <c r="I16" s="0" t="n">
        <f aca="false">-I12</f>
        <v>134.547504088432</v>
      </c>
      <c r="J16" s="0" t="n">
        <f aca="false">-J12</f>
        <v>134.253181423239</v>
      </c>
      <c r="K16" s="0" t="n">
        <f aca="false">-K12</f>
        <v>133.170494476277</v>
      </c>
      <c r="L16" s="0" t="n">
        <f aca="false">-L12</f>
        <v>136.499756838184</v>
      </c>
    </row>
    <row r="17" customFormat="false" ht="15" hidden="false" customHeight="false" outlineLevel="0" collapsed="false">
      <c r="A17" s="0" t="s">
        <v>121</v>
      </c>
      <c r="C17" s="4" t="n">
        <f aca="false">-C6*Assumptions!C32/100</f>
        <v>-60.687225</v>
      </c>
      <c r="D17" s="4" t="n">
        <f aca="false">-D6*Assumptions!D32/100</f>
        <v>-63.418150125</v>
      </c>
      <c r="E17" s="4" t="n">
        <f aca="false">-E6*Assumptions!E32/100</f>
        <v>-62.290716345</v>
      </c>
      <c r="F17" s="4" t="n">
        <f aca="false">-F6*Assumptions!F32/100</f>
        <v>-64.7823449988</v>
      </c>
      <c r="G17" s="4" t="n">
        <f aca="false">-G6*Assumptions!G32/100</f>
        <v>-63.105625481184</v>
      </c>
      <c r="H17" s="4" t="n">
        <f aca="false">-H6*Assumptions!H32/100</f>
        <v>-65.3143223730254</v>
      </c>
      <c r="I17" s="4" t="n">
        <f aca="false">-I6*Assumptions!I32/100</f>
        <v>-63.0691425414527</v>
      </c>
      <c r="J17" s="4" t="n">
        <f aca="false">-J6*Assumptions!J32/100</f>
        <v>-64.9612168176963</v>
      </c>
      <c r="K17" s="4" t="n">
        <f aca="false">-K6*Assumptions!K32/100</f>
        <v>-66.5852472381387</v>
      </c>
      <c r="L17" s="4" t="n">
        <f aca="false">-L6*Assumptions!L32/100</f>
        <v>-68.2498784190921</v>
      </c>
    </row>
    <row r="18" customFormat="false" ht="15" hidden="false" customHeight="false" outlineLevel="0" collapsed="false">
      <c r="A18" s="0" t="s">
        <v>122</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123</v>
      </c>
      <c r="C19" s="0" t="n">
        <f aca="false">C15+C16+C17+C18</f>
        <v>844.83360225</v>
      </c>
      <c r="D19" s="0" t="n">
        <f aca="false">D15+D16+D17+D18</f>
        <v>883.899275443593</v>
      </c>
      <c r="E19" s="0" t="n">
        <f aca="false">E15+E16+E17+E18</f>
        <v>921.078165954375</v>
      </c>
      <c r="F19" s="0" t="n">
        <f aca="false">F15+F16+F17+F18</f>
        <v>950.175991639017</v>
      </c>
      <c r="G19" s="0" t="n">
        <f aca="false">G15+G16+G17+G18</f>
        <v>979.280984420198</v>
      </c>
      <c r="H19" s="0" t="n">
        <f aca="false">H15+H16+H17+H18</f>
        <v>1011.43310339778</v>
      </c>
      <c r="I19" s="0" t="n">
        <f aca="false">I15+I16+I17+I18</f>
        <v>1043.79430906104</v>
      </c>
      <c r="J19" s="0" t="n">
        <f aca="false">J15+J16+J17+J18</f>
        <v>1073.98214390803</v>
      </c>
      <c r="K19" s="0" t="n">
        <f aca="false">K15+K16+K17+K18</f>
        <v>1099.67755322027</v>
      </c>
      <c r="L19" s="0" t="n">
        <f aca="false">L15+L16+L17+L18</f>
        <v>1127.16949205078</v>
      </c>
    </row>
    <row r="20" customFormat="false" ht="15" hidden="false" customHeight="false" outlineLevel="0" collapsed="false">
      <c r="A20" s="0" t="s">
        <v>124</v>
      </c>
      <c r="C20" s="0" t="n">
        <f aca="false">1/(1+$B$27/100)^C4</f>
        <v>0.91533180778032</v>
      </c>
      <c r="D20" s="0" t="n">
        <f aca="false">1/(1+$B$27/100)^D4</f>
        <v>0.837832318334389</v>
      </c>
      <c r="E20" s="0" t="n">
        <f aca="false">1/(1+$B$27/100)^E4</f>
        <v>0.766894570557793</v>
      </c>
      <c r="F20" s="0" t="n">
        <f aca="false">1/(1+$B$27/100)^F4</f>
        <v>0.701962993645578</v>
      </c>
      <c r="G20" s="0" t="n">
        <f aca="false">1/(1+$B$27/100)^G4</f>
        <v>0.642529055968492</v>
      </c>
      <c r="H20" s="0" t="n">
        <f aca="false">1/(1+$B$27/100)^H4</f>
        <v>0.588127282351022</v>
      </c>
      <c r="I20" s="0" t="n">
        <f aca="false">1/(1+$B$27/100)^I4</f>
        <v>0.538331608559288</v>
      </c>
      <c r="J20" s="0" t="n">
        <f aca="false">1/(1+$B$27/100)^J4</f>
        <v>0.492752044447861</v>
      </c>
      <c r="K20" s="0" t="n">
        <f aca="false">1/(1+$B$27/100)^K4</f>
        <v>0.451031619631909</v>
      </c>
      <c r="L20" s="0" t="n">
        <f aca="false">1/(1+$B$27/100)^L4</f>
        <v>0.412843587763762</v>
      </c>
    </row>
    <row r="21" customFormat="false" ht="15" hidden="false" customHeight="false" outlineLevel="0" collapsed="false">
      <c r="A21" s="0" t="s">
        <v>125</v>
      </c>
      <c r="C21" s="0" t="n">
        <f aca="false">C19*C20</f>
        <v>773.303068421053</v>
      </c>
      <c r="D21" s="0" t="n">
        <f aca="false">D19*D20</f>
        <v>740.559379118993</v>
      </c>
      <c r="E21" s="0" t="n">
        <f aca="false">E19*E20</f>
        <v>706.36984452974</v>
      </c>
      <c r="F21" s="0" t="n">
        <f aca="false">F19*F20</f>
        <v>666.988383581079</v>
      </c>
      <c r="G21" s="0" t="n">
        <f aca="false">G19*G20</f>
        <v>629.216486447406</v>
      </c>
      <c r="H21" s="0" t="n">
        <f aca="false">H19*H20</f>
        <v>594.851402381198</v>
      </c>
      <c r="I21" s="0" t="n">
        <f aca="false">I19*I20</f>
        <v>561.907469401861</v>
      </c>
      <c r="J21" s="0" t="n">
        <f aca="false">J19*J20</f>
        <v>529.20689711118</v>
      </c>
      <c r="K21" s="0" t="n">
        <f aca="false">K19*K20</f>
        <v>495.989347901795</v>
      </c>
      <c r="L21" s="0" t="n">
        <f aca="false">L19*L20</f>
        <v>465.344697116101</v>
      </c>
    </row>
    <row r="23" customFormat="false" ht="15" hidden="false" customHeight="false" outlineLevel="0" collapsed="false">
      <c r="A23" s="0" t="s">
        <v>101</v>
      </c>
      <c r="C23" s="4" t="n">
        <f aca="false">Assumptions!C30</f>
        <v>1</v>
      </c>
      <c r="D23" s="4" t="n">
        <f aca="false">Assumptions!D30</f>
        <v>1</v>
      </c>
      <c r="E23" s="4" t="n">
        <f aca="false">Assumptions!E30</f>
        <v>1</v>
      </c>
      <c r="F23" s="4" t="n">
        <f aca="false">Assumptions!F30</f>
        <v>1</v>
      </c>
      <c r="G23" s="4" t="n">
        <f aca="false">Assumptions!G30</f>
        <v>1</v>
      </c>
      <c r="H23" s="4" t="n">
        <f aca="false">Assumptions!H30</f>
        <v>1</v>
      </c>
      <c r="I23" s="4" t="n">
        <f aca="false">Assumptions!I30</f>
        <v>1</v>
      </c>
      <c r="J23" s="4" t="n">
        <f aca="false">Assumptions!J30</f>
        <v>1</v>
      </c>
      <c r="K23" s="4" t="n">
        <f aca="false">Assumptions!K30</f>
        <v>1</v>
      </c>
      <c r="L23" s="4" t="n">
        <f aca="false">Assumptions!L30</f>
        <v>1</v>
      </c>
    </row>
    <row r="24" customFormat="false" ht="15" hidden="false" customHeight="false" outlineLevel="0" collapsed="false">
      <c r="A24" s="0" t="s">
        <v>126</v>
      </c>
      <c r="C24" s="0" t="n">
        <f aca="false">-C6*C23/100</f>
        <v>-33.715125</v>
      </c>
      <c r="D24" s="0" t="n">
        <f aca="false">-D6*D23/100</f>
        <v>-35.232305625</v>
      </c>
      <c r="E24" s="0" t="n">
        <f aca="false">-E6*E23/100</f>
        <v>-36.64159785</v>
      </c>
      <c r="F24" s="0" t="n">
        <f aca="false">-F6*F23/100</f>
        <v>-38.107261764</v>
      </c>
      <c r="G24" s="0" t="n">
        <f aca="false">-G6*G23/100</f>
        <v>-39.44101592574</v>
      </c>
      <c r="H24" s="0" t="n">
        <f aca="false">-H6*H23/100</f>
        <v>-40.8214514831409</v>
      </c>
      <c r="I24" s="0" t="n">
        <f aca="false">-I6*I23/100</f>
        <v>-42.0460950276351</v>
      </c>
      <c r="J24" s="0" t="n">
        <f aca="false">-J6*J23/100</f>
        <v>-43.3074778784642</v>
      </c>
      <c r="K24" s="0" t="n">
        <f aca="false">-K6*K23/100</f>
        <v>-44.3901648254258</v>
      </c>
      <c r="L24" s="0" t="n">
        <f aca="false">-L6*L23/100</f>
        <v>-45.4999189460614</v>
      </c>
    </row>
    <row r="26" customFormat="false" ht="15" hidden="false" customHeight="false" outlineLevel="0" collapsed="false">
      <c r="A26" s="2" t="s">
        <v>127</v>
      </c>
    </row>
    <row r="27" customFormat="false" ht="15" hidden="false" customHeight="false" outlineLevel="0" collapsed="false">
      <c r="A27" s="0" t="s">
        <v>105</v>
      </c>
      <c r="B27" s="4" t="n">
        <f aca="false">Assumptions!$B$34</f>
        <v>9.25</v>
      </c>
    </row>
    <row r="28" customFormat="false" ht="15" hidden="false" customHeight="false" outlineLevel="0" collapsed="false">
      <c r="A28" s="0" t="s">
        <v>106</v>
      </c>
      <c r="B28" s="4" t="n">
        <f aca="false">Assumptions!$B$35</f>
        <v>2.5</v>
      </c>
    </row>
    <row r="29" customFormat="false" ht="15" hidden="false" customHeight="false" outlineLevel="0" collapsed="false">
      <c r="A29" s="0" t="s">
        <v>107</v>
      </c>
      <c r="B29" s="4" t="n">
        <f aca="false">Assumptions!$B$36</f>
        <v>18</v>
      </c>
    </row>
    <row r="30" customFormat="false" ht="15" hidden="false" customHeight="false" outlineLevel="0" collapsed="false">
      <c r="A30" s="0" t="s">
        <v>128</v>
      </c>
      <c r="B30" s="0" t="n">
        <f aca="false">SUM(C21:L21)</f>
        <v>6163.73697601041</v>
      </c>
    </row>
    <row r="31" customFormat="false" ht="15" hidden="false" customHeight="false" outlineLevel="0" collapsed="false">
      <c r="A31" s="0" t="s">
        <v>129</v>
      </c>
      <c r="B31" s="0" t="n">
        <f aca="false">L19</f>
        <v>1127.16949205078</v>
      </c>
    </row>
    <row r="32" customFormat="false" ht="15" hidden="false" customHeight="false" outlineLevel="0" collapsed="false">
      <c r="A32" s="0" t="s">
        <v>130</v>
      </c>
      <c r="B32" s="0" t="n">
        <f aca="false">IF(B27&gt;B28,B31*(1+B28/100)/((B27-B28)/100),B31*B29)</f>
        <v>17116.2774718822</v>
      </c>
    </row>
    <row r="33" customFormat="false" ht="15" hidden="false" customHeight="false" outlineLevel="0" collapsed="false">
      <c r="A33" s="0" t="s">
        <v>131</v>
      </c>
      <c r="B33" s="0" t="n">
        <f aca="false">B31*B29</f>
        <v>20289.050856914</v>
      </c>
    </row>
    <row r="34" customFormat="false" ht="15" hidden="false" customHeight="false" outlineLevel="0" collapsed="false">
      <c r="A34" s="0" t="s">
        <v>132</v>
      </c>
      <c r="B34" s="0" t="n">
        <f aca="false">MAX(0,MIN(B32,B33))</f>
        <v>17116.2774718822</v>
      </c>
    </row>
    <row r="35" customFormat="false" ht="15" hidden="false" customHeight="false" outlineLevel="0" collapsed="false">
      <c r="A35" s="0" t="s">
        <v>133</v>
      </c>
      <c r="B35" s="0" t="n">
        <f aca="false">B34/(1+B27/100)^L4</f>
        <v>7066.3454006519</v>
      </c>
    </row>
    <row r="36" customFormat="false" ht="15" hidden="false" customHeight="false" outlineLevel="0" collapsed="false">
      <c r="A36" s="0" t="s">
        <v>134</v>
      </c>
      <c r="B36" s="0" t="n">
        <f aca="false">B30+B35</f>
        <v>13230.0823766623</v>
      </c>
    </row>
    <row r="37" customFormat="false" ht="15" hidden="false" customHeight="false" outlineLevel="0" collapsed="false">
      <c r="A37" s="0" t="s">
        <v>135</v>
      </c>
      <c r="B37" s="0" t="n">
        <f aca="false">B36+Assumptions!$B$5-Assumptions!$B$4</f>
        <v>13083.3823766623</v>
      </c>
    </row>
    <row r="38" customFormat="false" ht="15" hidden="false" customHeight="false" outlineLevel="0" collapsed="false">
      <c r="A38" s="0" t="s">
        <v>136</v>
      </c>
      <c r="B38" s="0" t="n">
        <f aca="false">B37/Assumptions!$B$3*Assumptions!$B$10</f>
        <v>31.7300798401751</v>
      </c>
    </row>
    <row r="39" customFormat="false" ht="15" hidden="false" customHeight="false" outlineLevel="0" collapsed="false">
      <c r="A39" s="0" t="s">
        <v>137</v>
      </c>
      <c r="B39" s="4" t="n">
        <f aca="false">B38/Assumptions!$B$2-1</f>
        <v>-0.238904297429236</v>
      </c>
    </row>
    <row r="41" customFormat="false" ht="15" hidden="false" customHeight="false" outlineLevel="0" collapsed="false">
      <c r="A41" s="0" t="s">
        <v>138</v>
      </c>
      <c r="B41" s="0" t="n">
        <f aca="false">SUMPRODUCT(-C10:L10/(1+$B$27/100)^C4:L4)</f>
        <v>383.40790175577</v>
      </c>
    </row>
    <row r="42" customFormat="false" ht="15" hidden="false" customHeight="false" outlineLevel="0" collapsed="false">
      <c r="A42" s="0" t="s">
        <v>139</v>
      </c>
      <c r="B42" s="0" t="n">
        <f aca="false">IF(B27&gt;B28,-L10*(1+B28/100)/((B27-B28)/100),-L10*20)/(1+B27/100)^L4</f>
        <v>442.127936503873</v>
      </c>
    </row>
    <row r="43" customFormat="false" ht="15" hidden="false" customHeight="false" outlineLevel="0" collapsed="false">
      <c r="A43" s="0" t="s">
        <v>140</v>
      </c>
      <c r="B43" s="0" t="n">
        <f aca="false">(B37+B41+B42)/Assumptions!$B$3*Assumptions!$B$10</f>
        <v>33.7321858174207</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9242.78983481639</v>
      </c>
    </row>
    <row r="47" customFormat="false" ht="15" hidden="false" customHeight="false" outlineLevel="0" collapsed="false">
      <c r="A47" s="0" t="s">
        <v>142</v>
      </c>
      <c r="B47" s="0" t="n">
        <f aca="false">(SUMPRODUCT(C19:L19/(1+B45/100)^C4:L4)+B46/(1+B45/100)^L4+Assumptions!$B$5-Assumptions!$B$4)/Assumptions!$B$3*Assumptions!$B$10</f>
        <v>16.8521474520625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Assumptions!C41</f>
        <v>4.5</v>
      </c>
      <c r="D5" s="4" t="n">
        <f aca="false">Assumptions!D41</f>
        <v>6</v>
      </c>
      <c r="E5" s="4" t="n">
        <f aca="false">Assumptions!E41</f>
        <v>6</v>
      </c>
      <c r="F5" s="4" t="n">
        <f aca="false">Assumptions!F41</f>
        <v>5.5</v>
      </c>
      <c r="G5" s="4" t="n">
        <f aca="false">Assumptions!G41</f>
        <v>5</v>
      </c>
      <c r="H5" s="4" t="n">
        <f aca="false">Assumptions!H41</f>
        <v>4.5</v>
      </c>
      <c r="I5" s="4" t="n">
        <f aca="false">Assumptions!I41</f>
        <v>4</v>
      </c>
      <c r="J5" s="4" t="n">
        <f aca="false">Assumptions!J41</f>
        <v>3.5</v>
      </c>
      <c r="K5" s="4" t="n">
        <f aca="false">Assumptions!K41</f>
        <v>3</v>
      </c>
      <c r="L5" s="4" t="n">
        <f aca="false">Assumptions!L41</f>
        <v>3</v>
      </c>
    </row>
    <row r="6" customFormat="false" ht="15" hidden="false" customHeight="false" outlineLevel="0" collapsed="false">
      <c r="A6" s="0" t="s">
        <v>38</v>
      </c>
      <c r="B6" s="3" t="n">
        <v>3257.5</v>
      </c>
      <c r="C6" s="0" t="n">
        <f aca="false">B6*(1+C5/100)</f>
        <v>3404.0875</v>
      </c>
      <c r="D6" s="0" t="n">
        <f aca="false">C6*(1+D5/100)</f>
        <v>3608.33275</v>
      </c>
      <c r="E6" s="0" t="n">
        <f aca="false">D6*(1+E5/100)</f>
        <v>3824.832715</v>
      </c>
      <c r="F6" s="0" t="n">
        <f aca="false">E6*(1+F5/100)</f>
        <v>4035.198514325</v>
      </c>
      <c r="G6" s="0" t="n">
        <f aca="false">F6*(1+G5/100)</f>
        <v>4236.95844004125</v>
      </c>
      <c r="H6" s="0" t="n">
        <f aca="false">G6*(1+H5/100)</f>
        <v>4427.62156984311</v>
      </c>
      <c r="I6" s="0" t="n">
        <f aca="false">H6*(1+I5/100)</f>
        <v>4604.72643263683</v>
      </c>
      <c r="J6" s="0" t="n">
        <f aca="false">I6*(1+J5/100)</f>
        <v>4765.89185777912</v>
      </c>
      <c r="K6" s="0" t="n">
        <f aca="false">J6*(1+K5/100)</f>
        <v>4908.86861351249</v>
      </c>
      <c r="L6" s="0" t="n">
        <f aca="false">K6*(1+L5/100)</f>
        <v>5056.13467191787</v>
      </c>
    </row>
    <row r="7" customFormat="false" ht="15" hidden="false" customHeight="false" outlineLevel="0" collapsed="false">
      <c r="A7" s="0" t="s">
        <v>99</v>
      </c>
      <c r="C7" s="4" t="n">
        <f aca="false">Assumptions!C42</f>
        <v>37</v>
      </c>
      <c r="D7" s="4" t="n">
        <f aca="false">Assumptions!D42</f>
        <v>37.5</v>
      </c>
      <c r="E7" s="4" t="n">
        <f aca="false">Assumptions!E42</f>
        <v>38</v>
      </c>
      <c r="F7" s="4" t="n">
        <f aca="false">Assumptions!F42</f>
        <v>38.5</v>
      </c>
      <c r="G7" s="4" t="n">
        <f aca="false">Assumptions!G42</f>
        <v>38.5</v>
      </c>
      <c r="H7" s="4" t="n">
        <f aca="false">Assumptions!H42</f>
        <v>38.5</v>
      </c>
      <c r="I7" s="4" t="n">
        <f aca="false">Assumptions!I42</f>
        <v>38.5</v>
      </c>
      <c r="J7" s="4" t="n">
        <f aca="false">Assumptions!J42</f>
        <v>38.5</v>
      </c>
      <c r="K7" s="4" t="n">
        <f aca="false">Assumptions!K42</f>
        <v>38.5</v>
      </c>
      <c r="L7" s="4" t="n">
        <f aca="false">Assumptions!L42</f>
        <v>38.5</v>
      </c>
    </row>
    <row r="8" customFormat="false" ht="15" hidden="false" customHeight="false" outlineLevel="0" collapsed="false">
      <c r="A8" s="0" t="s">
        <v>44</v>
      </c>
      <c r="C8" s="0" t="n">
        <f aca="false">C6*C7/100</f>
        <v>1259.512375</v>
      </c>
      <c r="D8" s="0" t="n">
        <f aca="false">D6*D7/100</f>
        <v>1353.12478125</v>
      </c>
      <c r="E8" s="0" t="n">
        <f aca="false">E6*E7/100</f>
        <v>1453.4364317</v>
      </c>
      <c r="F8" s="0" t="n">
        <f aca="false">F6*F7/100</f>
        <v>1553.55142801512</v>
      </c>
      <c r="G8" s="0" t="n">
        <f aca="false">G6*G7/100</f>
        <v>1631.22899941588</v>
      </c>
      <c r="H8" s="0" t="n">
        <f aca="false">H6*H7/100</f>
        <v>1704.6343043896</v>
      </c>
      <c r="I8" s="0" t="n">
        <f aca="false">I6*I7/100</f>
        <v>1772.81967656518</v>
      </c>
      <c r="J8" s="0" t="n">
        <f aca="false">J6*J7/100</f>
        <v>1834.86836524496</v>
      </c>
      <c r="K8" s="0" t="n">
        <f aca="false">K6*K7/100</f>
        <v>1889.91441620231</v>
      </c>
      <c r="L8" s="0" t="n">
        <f aca="false">L6*L7/100</f>
        <v>1946.61184868838</v>
      </c>
    </row>
    <row r="9" customFormat="false" ht="15" hidden="false" customHeight="false" outlineLevel="0" collapsed="false">
      <c r="A9" s="0" t="s">
        <v>100</v>
      </c>
      <c r="C9" s="4" t="n">
        <f aca="false">Assumptions!C43</f>
        <v>1.55</v>
      </c>
      <c r="D9" s="4" t="n">
        <f aca="false">Assumptions!D43</f>
        <v>1.55</v>
      </c>
      <c r="E9" s="4" t="n">
        <f aca="false">Assumptions!E43</f>
        <v>1.55</v>
      </c>
      <c r="F9" s="4" t="n">
        <f aca="false">Assumptions!F43</f>
        <v>1.55</v>
      </c>
      <c r="G9" s="4" t="n">
        <f aca="false">Assumptions!G43</f>
        <v>1.55</v>
      </c>
      <c r="H9" s="4" t="n">
        <f aca="false">Assumptions!H43</f>
        <v>1.55</v>
      </c>
      <c r="I9" s="4" t="n">
        <f aca="false">Assumptions!I43</f>
        <v>1.55</v>
      </c>
      <c r="J9" s="4" t="n">
        <f aca="false">Assumptions!J43</f>
        <v>1.55</v>
      </c>
      <c r="K9" s="4" t="n">
        <f aca="false">Assumptions!K43</f>
        <v>1.55</v>
      </c>
      <c r="L9" s="4" t="n">
        <f aca="false">Assumptions!L43</f>
        <v>1.55</v>
      </c>
    </row>
    <row r="10" customFormat="false" ht="15" hidden="false" customHeight="false" outlineLevel="0" collapsed="false">
      <c r="A10" s="0" t="s">
        <v>115</v>
      </c>
      <c r="C10" s="0" t="n">
        <f aca="false">-C6*C9/100</f>
        <v>-52.76335625</v>
      </c>
      <c r="D10" s="0" t="n">
        <f aca="false">-D6*D9/100</f>
        <v>-55.929157625</v>
      </c>
      <c r="E10" s="0" t="n">
        <f aca="false">-E6*E9/100</f>
        <v>-59.2849070825</v>
      </c>
      <c r="F10" s="0" t="n">
        <f aca="false">-F6*F9/100</f>
        <v>-62.5455769720375</v>
      </c>
      <c r="G10" s="0" t="n">
        <f aca="false">-G6*G9/100</f>
        <v>-65.6728558206394</v>
      </c>
      <c r="H10" s="0" t="n">
        <f aca="false">-H6*H9/100</f>
        <v>-68.6281343325681</v>
      </c>
      <c r="I10" s="0" t="n">
        <f aca="false">-I6*I9/100</f>
        <v>-71.3732597058709</v>
      </c>
      <c r="J10" s="0" t="n">
        <f aca="false">-J6*J9/100</f>
        <v>-73.8713237955763</v>
      </c>
      <c r="K10" s="0" t="n">
        <f aca="false">-K6*K9/100</f>
        <v>-76.0874635094436</v>
      </c>
      <c r="L10" s="0" t="n">
        <f aca="false">-L6*L9/100</f>
        <v>-78.3700874147269</v>
      </c>
    </row>
    <row r="11" customFormat="false" ht="15" hidden="false" customHeight="false" outlineLevel="0" collapsed="false">
      <c r="A11" s="0" t="s">
        <v>116</v>
      </c>
      <c r="C11" s="0" t="n">
        <f aca="false">C8+C10+C24</f>
        <v>1172.70814375</v>
      </c>
      <c r="D11" s="0" t="n">
        <f aca="false">D8+D10+D24</f>
        <v>1261.112296125</v>
      </c>
      <c r="E11" s="0" t="n">
        <f aca="false">E8+E10+E24</f>
        <v>1355.9031974675</v>
      </c>
      <c r="F11" s="0" t="n">
        <f aca="false">F8+F10+F24</f>
        <v>1450.65386589984</v>
      </c>
      <c r="G11" s="0" t="n">
        <f aca="false">G8+G10+G24</f>
        <v>1523.18655919483</v>
      </c>
      <c r="H11" s="0" t="n">
        <f aca="false">H8+H10+H24</f>
        <v>1591.7299543586</v>
      </c>
      <c r="I11" s="0" t="n">
        <f aca="false">I8+I10+I24</f>
        <v>1655.39915253294</v>
      </c>
      <c r="J11" s="0" t="n">
        <f aca="false">J8+J10+J24</f>
        <v>1713.33812287159</v>
      </c>
      <c r="K11" s="0" t="n">
        <f aca="false">K8+K10+K24</f>
        <v>1764.73826655774</v>
      </c>
      <c r="L11" s="0" t="n">
        <f aca="false">L8+L10+L24</f>
        <v>1817.68041455447</v>
      </c>
    </row>
    <row r="12" customFormat="false" ht="15" hidden="false" customHeight="false" outlineLevel="0" collapsed="false">
      <c r="A12" s="0" t="s">
        <v>117</v>
      </c>
      <c r="C12" s="4" t="n">
        <f aca="false">-C6*Assumptions!C45/100</f>
        <v>-149.77985</v>
      </c>
      <c r="D12" s="4" t="n">
        <f aca="false">-D6*Assumptions!D45/100</f>
        <v>-151.5499755</v>
      </c>
      <c r="E12" s="4" t="n">
        <f aca="false">-E6*Assumptions!E45/100</f>
        <v>-152.9933086</v>
      </c>
      <c r="F12" s="4" t="n">
        <f aca="false">-F6*Assumptions!F45/100</f>
        <v>-153.33754354435</v>
      </c>
      <c r="G12" s="4" t="n">
        <f aca="false">-G6*Assumptions!G45/100</f>
        <v>-152.530503841485</v>
      </c>
      <c r="H12" s="4" t="n">
        <f aca="false">-H6*Assumptions!H45/100</f>
        <v>-150.539133374666</v>
      </c>
      <c r="I12" s="4" t="n">
        <f aca="false">-I6*Assumptions!I45/100</f>
        <v>-147.351245844379</v>
      </c>
      <c r="J12" s="4" t="n">
        <f aca="false">-J6*Assumptions!J45/100</f>
        <v>-147.742647591153</v>
      </c>
      <c r="K12" s="4" t="n">
        <f aca="false">-K6*Assumptions!K45/100</f>
        <v>-147.266058405375</v>
      </c>
      <c r="L12" s="4" t="n">
        <f aca="false">-L6*Assumptions!L45/100</f>
        <v>-151.684040157536</v>
      </c>
    </row>
    <row r="13" customFormat="false" ht="15" hidden="false" customHeight="false" outlineLevel="0" collapsed="false">
      <c r="A13" s="0" t="s">
        <v>118</v>
      </c>
      <c r="C13" s="0" t="n">
        <f aca="false">C11+C12</f>
        <v>1022.92829375</v>
      </c>
      <c r="D13" s="0" t="n">
        <f aca="false">D11+D12</f>
        <v>1109.562320625</v>
      </c>
      <c r="E13" s="0" t="n">
        <f aca="false">E11+E12</f>
        <v>1202.9098888675</v>
      </c>
      <c r="F13" s="0" t="n">
        <f aca="false">F11+F12</f>
        <v>1297.31632235549</v>
      </c>
      <c r="G13" s="0" t="n">
        <f aca="false">G11+G12</f>
        <v>1370.65605535334</v>
      </c>
      <c r="H13" s="0" t="n">
        <f aca="false">H11+H12</f>
        <v>1441.19082098393</v>
      </c>
      <c r="I13" s="0" t="n">
        <f aca="false">I11+I12</f>
        <v>1508.04790668856</v>
      </c>
      <c r="J13" s="0" t="n">
        <f aca="false">J11+J12</f>
        <v>1565.59547528044</v>
      </c>
      <c r="K13" s="0" t="n">
        <f aca="false">K11+K12</f>
        <v>1617.47220815237</v>
      </c>
      <c r="L13" s="0" t="n">
        <f aca="false">L11+L12</f>
        <v>1665.99637439694</v>
      </c>
    </row>
    <row r="14" customFormat="false" ht="15" hidden="false" customHeight="false" outlineLevel="0" collapsed="false">
      <c r="A14" s="0" t="s">
        <v>104</v>
      </c>
      <c r="C14" s="4" t="n">
        <f aca="false">Assumptions!C47</f>
        <v>24</v>
      </c>
      <c r="D14" s="4" t="n">
        <f aca="false">Assumptions!D47</f>
        <v>24.5</v>
      </c>
      <c r="E14" s="4" t="n">
        <f aca="false">Assumptions!E47</f>
        <v>25</v>
      </c>
      <c r="F14" s="4" t="n">
        <f aca="false">Assumptions!F47</f>
        <v>25.5</v>
      </c>
      <c r="G14" s="4" t="n">
        <f aca="false">Assumptions!G47</f>
        <v>26</v>
      </c>
      <c r="H14" s="4" t="n">
        <f aca="false">Assumptions!H47</f>
        <v>26</v>
      </c>
      <c r="I14" s="4" t="n">
        <f aca="false">Assumptions!I47</f>
        <v>26</v>
      </c>
      <c r="J14" s="4" t="n">
        <f aca="false">Assumptions!J47</f>
        <v>26</v>
      </c>
      <c r="K14" s="4" t="n">
        <f aca="false">Assumptions!K47</f>
        <v>26</v>
      </c>
      <c r="L14" s="4" t="n">
        <f aca="false">Assumptions!L47</f>
        <v>26</v>
      </c>
    </row>
    <row r="15" customFormat="false" ht="15" hidden="false" customHeight="false" outlineLevel="0" collapsed="false">
      <c r="A15" s="0" t="s">
        <v>119</v>
      </c>
      <c r="C15" s="0" t="n">
        <f aca="false">C13-MAX(0,C13)*C14/100</f>
        <v>777.42550325</v>
      </c>
      <c r="D15" s="0" t="n">
        <f aca="false">D13-MAX(0,D13)*D14/100</f>
        <v>837.719552071875</v>
      </c>
      <c r="E15" s="0" t="n">
        <f aca="false">E13-MAX(0,E13)*E14/100</f>
        <v>902.182416650625</v>
      </c>
      <c r="F15" s="0" t="n">
        <f aca="false">F13-MAX(0,F13)*F14/100</f>
        <v>966.500660154838</v>
      </c>
      <c r="G15" s="0" t="n">
        <f aca="false">G13-MAX(0,G13)*G14/100</f>
        <v>1014.28548096147</v>
      </c>
      <c r="H15" s="0" t="n">
        <f aca="false">H13-MAX(0,H13)*H14/100</f>
        <v>1066.48120752811</v>
      </c>
      <c r="I15" s="0" t="n">
        <f aca="false">I13-MAX(0,I13)*I14/100</f>
        <v>1115.95545094954</v>
      </c>
      <c r="J15" s="0" t="n">
        <f aca="false">J13-MAX(0,J13)*J14/100</f>
        <v>1158.54065170753</v>
      </c>
      <c r="K15" s="0" t="n">
        <f aca="false">K13-MAX(0,K13)*K14/100</f>
        <v>1196.92943403275</v>
      </c>
      <c r="L15" s="0" t="n">
        <f aca="false">L13-MAX(0,L13)*L14/100</f>
        <v>1232.83731705373</v>
      </c>
    </row>
    <row r="16" customFormat="false" ht="15" hidden="false" customHeight="false" outlineLevel="0" collapsed="false">
      <c r="A16" s="0" t="s">
        <v>120</v>
      </c>
      <c r="C16" s="0" t="n">
        <f aca="false">-C12</f>
        <v>149.77985</v>
      </c>
      <c r="D16" s="0" t="n">
        <f aca="false">-D12</f>
        <v>151.5499755</v>
      </c>
      <c r="E16" s="0" t="n">
        <f aca="false">-E12</f>
        <v>152.9933086</v>
      </c>
      <c r="F16" s="0" t="n">
        <f aca="false">-F12</f>
        <v>153.33754354435</v>
      </c>
      <c r="G16" s="0" t="n">
        <f aca="false">-G12</f>
        <v>152.530503841485</v>
      </c>
      <c r="H16" s="0" t="n">
        <f aca="false">-H12</f>
        <v>150.539133374666</v>
      </c>
      <c r="I16" s="0" t="n">
        <f aca="false">-I12</f>
        <v>147.351245844379</v>
      </c>
      <c r="J16" s="0" t="n">
        <f aca="false">-J12</f>
        <v>147.742647591153</v>
      </c>
      <c r="K16" s="0" t="n">
        <f aca="false">-K12</f>
        <v>147.266058405375</v>
      </c>
      <c r="L16" s="0" t="n">
        <f aca="false">-L12</f>
        <v>151.684040157536</v>
      </c>
    </row>
    <row r="17" customFormat="false" ht="15" hidden="false" customHeight="false" outlineLevel="0" collapsed="false">
      <c r="A17" s="0" t="s">
        <v>121</v>
      </c>
      <c r="C17" s="4" t="n">
        <f aca="false">-C6*Assumptions!C46/100</f>
        <v>-61.273575</v>
      </c>
      <c r="D17" s="4" t="n">
        <f aca="false">-D6*Assumptions!D46/100</f>
        <v>-64.9499895</v>
      </c>
      <c r="E17" s="4" t="n">
        <f aca="false">-E6*Assumptions!E46/100</f>
        <v>-65.022156155</v>
      </c>
      <c r="F17" s="4" t="n">
        <f aca="false">-F6*Assumptions!F46/100</f>
        <v>-68.598374743525</v>
      </c>
      <c r="G17" s="4" t="n">
        <f aca="false">-G6*Assumptions!G46/100</f>
        <v>-67.79133504066</v>
      </c>
      <c r="H17" s="4" t="n">
        <f aca="false">-H6*Assumptions!H46/100</f>
        <v>-70.8419451174897</v>
      </c>
      <c r="I17" s="4" t="n">
        <f aca="false">-I6*Assumptions!I46/100</f>
        <v>-69.0708964895524</v>
      </c>
      <c r="J17" s="4" t="n">
        <f aca="false">-J6*Assumptions!J46/100</f>
        <v>-71.4883778666868</v>
      </c>
      <c r="K17" s="4" t="n">
        <f aca="false">-K6*Assumptions!K46/100</f>
        <v>-73.6330292026874</v>
      </c>
      <c r="L17" s="4" t="n">
        <f aca="false">-L6*Assumptions!L46/100</f>
        <v>-75.842020078768</v>
      </c>
    </row>
    <row r="18" customFormat="false" ht="15" hidden="false" customHeight="false" outlineLevel="0" collapsed="false">
      <c r="A18" s="0" t="s">
        <v>122</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123</v>
      </c>
      <c r="C19" s="0" t="n">
        <f aca="false">C15+C16+C17+C18</f>
        <v>865.93177825</v>
      </c>
      <c r="D19" s="0" t="n">
        <f aca="false">D15+D16+D17+D18</f>
        <v>924.319538071875</v>
      </c>
      <c r="E19" s="0" t="n">
        <f aca="false">E15+E16+E17+E18</f>
        <v>990.153569095625</v>
      </c>
      <c r="F19" s="0" t="n">
        <f aca="false">F15+F16+F17+F18</f>
        <v>1051.23982895566</v>
      </c>
      <c r="G19" s="0" t="n">
        <f aca="false">G15+G16+G17+G18</f>
        <v>1099.0246497623</v>
      </c>
      <c r="H19" s="0" t="n">
        <f aca="false">H15+H16+H17+H18</f>
        <v>1146.17839578528</v>
      </c>
      <c r="I19" s="0" t="n">
        <f aca="false">I15+I16+I17+I18</f>
        <v>1194.23580030436</v>
      </c>
      <c r="J19" s="0" t="n">
        <f aca="false">J15+J16+J17+J18</f>
        <v>1234.79492143199</v>
      </c>
      <c r="K19" s="0" t="n">
        <f aca="false">K15+K16+K17+K18</f>
        <v>1270.56246323544</v>
      </c>
      <c r="L19" s="0" t="n">
        <f aca="false">L15+L16+L17+L18</f>
        <v>1308.6793371325</v>
      </c>
    </row>
    <row r="20" customFormat="false" ht="15" hidden="false" customHeight="false" outlineLevel="0" collapsed="false">
      <c r="A20" s="0" t="s">
        <v>124</v>
      </c>
      <c r="C20" s="0" t="n">
        <f aca="false">1/(1+$B$27/100)^C4</f>
        <v>0.91533180778032</v>
      </c>
      <c r="D20" s="0" t="n">
        <f aca="false">1/(1+$B$27/100)^D4</f>
        <v>0.837832318334389</v>
      </c>
      <c r="E20" s="0" t="n">
        <f aca="false">1/(1+$B$27/100)^E4</f>
        <v>0.766894570557793</v>
      </c>
      <c r="F20" s="0" t="n">
        <f aca="false">1/(1+$B$27/100)^F4</f>
        <v>0.701962993645578</v>
      </c>
      <c r="G20" s="0" t="n">
        <f aca="false">1/(1+$B$27/100)^G4</f>
        <v>0.642529055968492</v>
      </c>
      <c r="H20" s="0" t="n">
        <f aca="false">1/(1+$B$27/100)^H4</f>
        <v>0.588127282351022</v>
      </c>
      <c r="I20" s="0" t="n">
        <f aca="false">1/(1+$B$27/100)^I4</f>
        <v>0.538331608559288</v>
      </c>
      <c r="J20" s="0" t="n">
        <f aca="false">1/(1+$B$27/100)^J4</f>
        <v>0.492752044447861</v>
      </c>
      <c r="K20" s="0" t="n">
        <f aca="false">1/(1+$B$27/100)^K4</f>
        <v>0.451031619631909</v>
      </c>
      <c r="L20" s="0" t="n">
        <f aca="false">1/(1+$B$27/100)^L4</f>
        <v>0.412843587763762</v>
      </c>
    </row>
    <row r="21" customFormat="false" ht="15" hidden="false" customHeight="false" outlineLevel="0" collapsed="false">
      <c r="A21" s="0" t="s">
        <v>125</v>
      </c>
      <c r="C21" s="0" t="n">
        <f aca="false">C19*C20</f>
        <v>792.6149</v>
      </c>
      <c r="D21" s="0" t="n">
        <f aca="false">D19*D20</f>
        <v>774.424781464531</v>
      </c>
      <c r="E21" s="0" t="n">
        <f aca="false">E19*E20</f>
        <v>759.343396157856</v>
      </c>
      <c r="F21" s="0" t="n">
        <f aca="false">F19*F20</f>
        <v>737.931457373182</v>
      </c>
      <c r="G21" s="0" t="n">
        <f aca="false">G19*G20</f>
        <v>706.155270697873</v>
      </c>
      <c r="H21" s="0" t="n">
        <f aca="false">H19*H20</f>
        <v>674.098785002654</v>
      </c>
      <c r="I21" s="0" t="n">
        <f aca="false">I19*I20</f>
        <v>642.894879376936</v>
      </c>
      <c r="J21" s="0" t="n">
        <f aca="false">J19*J20</f>
        <v>608.44772200945</v>
      </c>
      <c r="K21" s="0" t="n">
        <f aca="false">K19*K20</f>
        <v>573.063845636588</v>
      </c>
      <c r="L21" s="0" t="n">
        <f aca="false">L19*L20</f>
        <v>540.279872774083</v>
      </c>
    </row>
    <row r="23" customFormat="false" ht="15" hidden="false" customHeight="false" outlineLevel="0" collapsed="false">
      <c r="A23" s="0" t="s">
        <v>101</v>
      </c>
      <c r="C23" s="4" t="n">
        <f aca="false">Assumptions!C44</f>
        <v>1</v>
      </c>
      <c r="D23" s="4" t="n">
        <f aca="false">Assumptions!D44</f>
        <v>1</v>
      </c>
      <c r="E23" s="4" t="n">
        <f aca="false">Assumptions!E44</f>
        <v>1</v>
      </c>
      <c r="F23" s="4" t="n">
        <f aca="false">Assumptions!F44</f>
        <v>1</v>
      </c>
      <c r="G23" s="4" t="n">
        <f aca="false">Assumptions!G44</f>
        <v>1</v>
      </c>
      <c r="H23" s="4" t="n">
        <f aca="false">Assumptions!H44</f>
        <v>1</v>
      </c>
      <c r="I23" s="4" t="n">
        <f aca="false">Assumptions!I44</f>
        <v>1</v>
      </c>
      <c r="J23" s="4" t="n">
        <f aca="false">Assumptions!J44</f>
        <v>1</v>
      </c>
      <c r="K23" s="4" t="n">
        <f aca="false">Assumptions!K44</f>
        <v>1</v>
      </c>
      <c r="L23" s="4" t="n">
        <f aca="false">Assumptions!L44</f>
        <v>1</v>
      </c>
    </row>
    <row r="24" customFormat="false" ht="15" hidden="false" customHeight="false" outlineLevel="0" collapsed="false">
      <c r="A24" s="0" t="s">
        <v>126</v>
      </c>
      <c r="C24" s="0" t="n">
        <f aca="false">-C6*C23/100</f>
        <v>-34.040875</v>
      </c>
      <c r="D24" s="0" t="n">
        <f aca="false">-D6*D23/100</f>
        <v>-36.0833275</v>
      </c>
      <c r="E24" s="0" t="n">
        <f aca="false">-E6*E23/100</f>
        <v>-38.24832715</v>
      </c>
      <c r="F24" s="0" t="n">
        <f aca="false">-F6*F23/100</f>
        <v>-40.35198514325</v>
      </c>
      <c r="G24" s="0" t="n">
        <f aca="false">-G6*G23/100</f>
        <v>-42.3695844004125</v>
      </c>
      <c r="H24" s="0" t="n">
        <f aca="false">-H6*H23/100</f>
        <v>-44.2762156984311</v>
      </c>
      <c r="I24" s="0" t="n">
        <f aca="false">-I6*I23/100</f>
        <v>-46.0472643263683</v>
      </c>
      <c r="J24" s="0" t="n">
        <f aca="false">-J6*J23/100</f>
        <v>-47.6589185777912</v>
      </c>
      <c r="K24" s="0" t="n">
        <f aca="false">-K6*K23/100</f>
        <v>-49.0886861351249</v>
      </c>
      <c r="L24" s="0" t="n">
        <f aca="false">-L6*L23/100</f>
        <v>-50.5613467191787</v>
      </c>
    </row>
    <row r="26" customFormat="false" ht="15" hidden="false" customHeight="false" outlineLevel="0" collapsed="false">
      <c r="A26" s="2" t="s">
        <v>127</v>
      </c>
    </row>
    <row r="27" customFormat="false" ht="15" hidden="false" customHeight="false" outlineLevel="0" collapsed="false">
      <c r="A27" s="0" t="s">
        <v>105</v>
      </c>
      <c r="B27" s="4" t="n">
        <f aca="false">Assumptions!$B$48</f>
        <v>9.25</v>
      </c>
    </row>
    <row r="28" customFormat="false" ht="15" hidden="false" customHeight="false" outlineLevel="0" collapsed="false">
      <c r="A28" s="0" t="s">
        <v>106</v>
      </c>
      <c r="B28" s="4" t="n">
        <f aca="false">Assumptions!$B$49</f>
        <v>3</v>
      </c>
    </row>
    <row r="29" customFormat="false" ht="15" hidden="false" customHeight="false" outlineLevel="0" collapsed="false">
      <c r="A29" s="0" t="s">
        <v>107</v>
      </c>
      <c r="B29" s="4" t="n">
        <f aca="false">Assumptions!$B$50</f>
        <v>20</v>
      </c>
    </row>
    <row r="30" customFormat="false" ht="15" hidden="false" customHeight="false" outlineLevel="0" collapsed="false">
      <c r="A30" s="0" t="s">
        <v>128</v>
      </c>
      <c r="B30" s="0" t="n">
        <f aca="false">SUM(C21:L21)</f>
        <v>6809.25491049315</v>
      </c>
    </row>
    <row r="31" customFormat="false" ht="15" hidden="false" customHeight="false" outlineLevel="0" collapsed="false">
      <c r="A31" s="0" t="s">
        <v>129</v>
      </c>
      <c r="B31" s="0" t="n">
        <f aca="false">L19</f>
        <v>1308.6793371325</v>
      </c>
    </row>
    <row r="32" customFormat="false" ht="15" hidden="false" customHeight="false" outlineLevel="0" collapsed="false">
      <c r="A32" s="0" t="s">
        <v>130</v>
      </c>
      <c r="B32" s="0" t="n">
        <f aca="false">IF(B27&gt;B28,B31*(1+B28/100)/((B27-B28)/100),B31*B29)</f>
        <v>21567.0354759436</v>
      </c>
    </row>
    <row r="33" customFormat="false" ht="15" hidden="false" customHeight="false" outlineLevel="0" collapsed="false">
      <c r="A33" s="0" t="s">
        <v>131</v>
      </c>
      <c r="B33" s="0" t="n">
        <f aca="false">B31*B29</f>
        <v>26173.58674265</v>
      </c>
    </row>
    <row r="34" customFormat="false" ht="15" hidden="false" customHeight="false" outlineLevel="0" collapsed="false">
      <c r="A34" s="0" t="s">
        <v>132</v>
      </c>
      <c r="B34" s="0" t="n">
        <f aca="false">MAX(0,MIN(B32,B33))</f>
        <v>21567.0354759436</v>
      </c>
    </row>
    <row r="35" customFormat="false" ht="15" hidden="false" customHeight="false" outlineLevel="0" collapsed="false">
      <c r="A35" s="0" t="s">
        <v>133</v>
      </c>
      <c r="B35" s="0" t="n">
        <f aca="false">B34/(1+B27/100)^L4</f>
        <v>8903.81230331689</v>
      </c>
    </row>
    <row r="36" customFormat="false" ht="15" hidden="false" customHeight="false" outlineLevel="0" collapsed="false">
      <c r="A36" s="0" t="s">
        <v>134</v>
      </c>
      <c r="B36" s="0" t="n">
        <f aca="false">B30+B35</f>
        <v>15713.06721381</v>
      </c>
    </row>
    <row r="37" customFormat="false" ht="15" hidden="false" customHeight="false" outlineLevel="0" collapsed="false">
      <c r="A37" s="0" t="s">
        <v>135</v>
      </c>
      <c r="B37" s="0" t="n">
        <f aca="false">B36+Assumptions!$B$5-Assumptions!$B$4</f>
        <v>15566.36721381</v>
      </c>
    </row>
    <row r="38" customFormat="false" ht="15" hidden="false" customHeight="false" outlineLevel="0" collapsed="false">
      <c r="A38" s="0" t="s">
        <v>136</v>
      </c>
      <c r="B38" s="0" t="n">
        <f aca="false">B37/Assumptions!$B$3*Assumptions!$B$10</f>
        <v>37.751864181293</v>
      </c>
    </row>
    <row r="39" customFormat="false" ht="15" hidden="false" customHeight="false" outlineLevel="0" collapsed="false">
      <c r="A39" s="0" t="s">
        <v>137</v>
      </c>
      <c r="B39" s="4" t="n">
        <f aca="false">B38/Assumptions!$B$2-1</f>
        <v>-0.0944623607269615</v>
      </c>
    </row>
    <row r="41" customFormat="false" ht="15" hidden="false" customHeight="false" outlineLevel="0" collapsed="false">
      <c r="A41" s="0" t="s">
        <v>138</v>
      </c>
      <c r="B41" s="0" t="n">
        <f aca="false">SUMPRODUCT(-C10:L10/(1+$B$27/100)^C4:L4)</f>
        <v>408.579151549436</v>
      </c>
    </row>
    <row r="42" customFormat="false" ht="15" hidden="false" customHeight="false" outlineLevel="0" collapsed="false">
      <c r="A42" s="0" t="s">
        <v>139</v>
      </c>
      <c r="B42" s="0" t="n">
        <f aca="false">IF(B27&gt;B28,-L10*(1+B28/100)/((B27-B28)/100),-L10*20)/(1+B27/100)^L4</f>
        <v>533.203611256082</v>
      </c>
    </row>
    <row r="43" customFormat="false" ht="15" hidden="false" customHeight="false" outlineLevel="0" collapsed="false">
      <c r="A43" s="0" t="s">
        <v>140</v>
      </c>
      <c r="B43" s="0" t="n">
        <f aca="false">(B37+B41+B42)/Assumptions!$B$3*Assumptions!$B$10</f>
        <v>40.0358945180676</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11232.830977054</v>
      </c>
    </row>
    <row r="47" customFormat="false" ht="15" hidden="false" customHeight="false" outlineLevel="0" collapsed="false">
      <c r="A47" s="0" t="s">
        <v>142</v>
      </c>
      <c r="B47" s="0" t="n">
        <f aca="false">(SUMPRODUCT(C19:L19/(1+B45/100)^C4:L4)+B46/(1+B45/100)^L4+Assumptions!$B$5-Assumptions!$B$4)/Assumptions!$B$3*Assumptions!$B$10</f>
        <v>19.1909720247399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145</v>
      </c>
    </row>
    <row r="3" customFormat="false" ht="15" hidden="false" customHeight="false" outlineLevel="0" collapsed="false">
      <c r="A3" s="2" t="s">
        <v>146</v>
      </c>
      <c r="B3" s="2" t="s">
        <v>147</v>
      </c>
      <c r="C3" s="2" t="s">
        <v>137</v>
      </c>
      <c r="D3" s="2" t="s">
        <v>148</v>
      </c>
      <c r="E3" s="2" t="s">
        <v>140</v>
      </c>
      <c r="F3" s="2" t="s">
        <v>149</v>
      </c>
    </row>
    <row r="4" customFormat="false" ht="15" hidden="false" customHeight="false" outlineLevel="0" collapsed="false">
      <c r="A4" s="0" t="s">
        <v>150</v>
      </c>
      <c r="B4" s="4" t="n">
        <f aca="false">DCF_Bear!$B$38</f>
        <v>23.2620917610697</v>
      </c>
      <c r="C4" s="0" t="n">
        <f aca="false">B4/Assumptions!$B$2-1</f>
        <v>-0.442022265265778</v>
      </c>
      <c r="D4" s="4" t="n">
        <f aca="false">Assumptions!$B$24</f>
        <v>0.25</v>
      </c>
      <c r="E4" s="4" t="n">
        <f aca="false">DCF_Bear!$B$43</f>
        <v>24.929604857191</v>
      </c>
      <c r="F4" s="4" t="n">
        <f aca="false">DCF_Bear!$B$47</f>
        <v>12.8955600930176</v>
      </c>
    </row>
    <row r="5" customFormat="false" ht="15" hidden="false" customHeight="false" outlineLevel="0" collapsed="false">
      <c r="A5" s="0" t="s">
        <v>151</v>
      </c>
      <c r="B5" s="4" t="n">
        <f aca="false">DCF_Base!$B$38</f>
        <v>31.7300798401751</v>
      </c>
      <c r="C5" s="0" t="n">
        <f aca="false">B5/Assumptions!$B$2-1</f>
        <v>-0.238904297429236</v>
      </c>
      <c r="D5" s="4" t="n">
        <f aca="false">Assumptions!$B$38</f>
        <v>0.5</v>
      </c>
      <c r="E5" s="4" t="n">
        <f aca="false">DCF_Base!$B$43</f>
        <v>33.7321858174207</v>
      </c>
      <c r="F5" s="4" t="n">
        <f aca="false">DCF_Base!$B$47</f>
        <v>16.8521474520625</v>
      </c>
    </row>
    <row r="6" customFormat="false" ht="15" hidden="false" customHeight="false" outlineLevel="0" collapsed="false">
      <c r="A6" s="0" t="s">
        <v>152</v>
      </c>
      <c r="B6" s="4" t="n">
        <f aca="false">DCF_Bull!$B$38</f>
        <v>37.751864181293</v>
      </c>
      <c r="C6" s="0" t="n">
        <f aca="false">B6/Assumptions!$B$2-1</f>
        <v>-0.0944623607269615</v>
      </c>
      <c r="D6" s="4" t="n">
        <f aca="false">Assumptions!$B$52</f>
        <v>0.25</v>
      </c>
      <c r="E6" s="4" t="n">
        <f aca="false">DCF_Bull!$B$43</f>
        <v>40.0358945180676</v>
      </c>
      <c r="F6" s="4" t="n">
        <f aca="false">DCF_Bull!$B$47</f>
        <v>19.1909720247399</v>
      </c>
    </row>
    <row r="8" customFormat="false" ht="15" hidden="false" customHeight="false" outlineLevel="0" collapsed="false">
      <c r="A8" s="0" t="s">
        <v>153</v>
      </c>
      <c r="B8" s="0" t="n">
        <f aca="false">SUMPRODUCT(B4:B6,D4:D6)</f>
        <v>31.1185289056782</v>
      </c>
    </row>
    <row r="9" customFormat="false" ht="15" hidden="false" customHeight="false" outlineLevel="0" collapsed="false">
      <c r="A9" s="0" t="s">
        <v>154</v>
      </c>
      <c r="B9" s="0" t="n">
        <f aca="false">SUMPRODUCT(E4:E6,D4:D6)</f>
        <v>33.107467752525</v>
      </c>
    </row>
    <row r="10" customFormat="false" ht="15" hidden="false" customHeight="false" outlineLevel="0" collapsed="false">
      <c r="A10" s="0" t="s">
        <v>155</v>
      </c>
      <c r="B10" s="0" t="n">
        <f aca="false">1-Assumptions!$B$2/B8</f>
        <v>-0.339716286922316</v>
      </c>
    </row>
    <row r="11" customFormat="false" ht="15" hidden="false" customHeight="false" outlineLevel="0" collapsed="false">
      <c r="A11" s="0" t="s">
        <v>156</v>
      </c>
      <c r="B11" s="0" t="n">
        <f aca="false">IF(ABS(B9-B8)&gt;0.01*ABS(B8),(Assumptions!$B$2-B8)/(B9-B8)*100,"n/a")</f>
        <v>531.513128776267</v>
      </c>
    </row>
    <row r="12" customFormat="false" ht="15" hidden="false" customHeight="false" outlineLevel="0" collapsed="false">
      <c r="A12" s="0" t="s">
        <v>157</v>
      </c>
      <c r="B12" s="0" t="n">
        <f aca="false">SUMPRODUCT(F4:F6,D4:D6)</f>
        <v>16.4477067554706</v>
      </c>
    </row>
    <row r="14" customFormat="false" ht="15" hidden="false" customHeight="false" outlineLevel="0" collapsed="false">
      <c r="A14" s="2" t="s">
        <v>158</v>
      </c>
      <c r="C14" s="0" t="s">
        <v>159</v>
      </c>
    </row>
    <row r="15" customFormat="false" ht="15" hidden="false" customHeight="false" outlineLevel="0" collapsed="false">
      <c r="A15" s="0" t="s">
        <v>160</v>
      </c>
      <c r="B15" s="0" t="n">
        <f aca="false">(SUMPRODUCT(DCF_Base!$C$19:$L$19/(1+$C$15/100)^DCF_Base!$C$4:$L$4)+MAX(0,MIN(IF($C$15&gt;DCF_Base!$B$28,DCF_Base!$L$19*(1+DCF_Base!$B$28/100)/(($C$15-DCF_Base!$B$28)/100),DCF_Base!$L$19*DCF_Base!$B$29),DCF_Base!$L$19*DCF_Base!$B$29))/(1+$C$15/100)^DCF_Base!$L$4+Assumptions!$B$5-Assumptions!$B$4)/Assumptions!$B$3*Assumptions!$B$10</f>
        <v>32.9754139904073</v>
      </c>
      <c r="C15" s="3" t="n">
        <v>9</v>
      </c>
    </row>
    <row r="16" customFormat="false" ht="15" hidden="false" customHeight="false" outlineLevel="0" collapsed="false">
      <c r="A16" s="0" t="s">
        <v>161</v>
      </c>
      <c r="B16" s="0" t="n">
        <f aca="false">(SUMPRODUCT(DCF_Base!$C$19:$L$19/(1+$C$16/100)^DCF_Base!$C$4:$L$4)+MAX(0,MIN(IF($C$16&gt;DCF_Base!$B$28,DCF_Base!$L$19*(1+DCF_Base!$B$28/100)/(($C$16-DCF_Base!$B$28)/100),DCF_Base!$L$19*DCF_Base!$B$29),DCF_Base!$L$19*DCF_Base!$B$29))/(1+$C$16/100)^DCF_Base!$L$4+Assumptions!$B$5-Assumptions!$B$4)/Assumptions!$B$3*Assumptions!$B$10</f>
        <v>31.7300798401751</v>
      </c>
      <c r="C16" s="3" t="n">
        <v>9.25</v>
      </c>
    </row>
    <row r="17" customFormat="false" ht="15" hidden="false" customHeight="false" outlineLevel="0" collapsed="false">
      <c r="A17" s="0" t="s">
        <v>162</v>
      </c>
      <c r="B17" s="0" t="n">
        <f aca="false">(SUMPRODUCT(DCF_Base!$C$19:$L$19/(1+$C$17/100)^DCF_Base!$C$4:$L$4)+MAX(0,MIN(IF($C$17&gt;DCF_Base!$B$28,DCF_Base!$L$19*(1+DCF_Base!$B$28/100)/(($C$17-DCF_Base!$B$28)/100),DCF_Base!$L$19*DCF_Base!$B$29),DCF_Base!$L$19*DCF_Base!$B$29))/(1+$C$17/100)^DCF_Base!$L$4+Assumptions!$B$5-Assumptions!$B$4)/Assumptions!$B$3*Assumptions!$B$10</f>
        <v>28.4928595481674</v>
      </c>
      <c r="C17" s="3" t="n">
        <v>10</v>
      </c>
    </row>
    <row r="18" customFormat="false" ht="15" hidden="false" customHeight="false" outlineLevel="0" collapsed="false">
      <c r="A18" s="0" t="s">
        <v>163</v>
      </c>
      <c r="B18" s="0" t="n">
        <f aca="false">(SUMPRODUCT(DCF_Base!$C$19:$L$19/(1+$C$18/100)^DCF_Base!$C$4:$L$4)+MAX(0,MIN(IF($C$18&gt;DCF_Base!$B$28,DCF_Base!$L$19*(1+DCF_Base!$B$28/100)/(($C$18-DCF_Base!$B$28)/100),DCF_Base!$L$19*DCF_Base!$B$29),DCF_Base!$L$19*DCF_Base!$B$29))/(1+$C$18/100)^DCF_Base!$L$4+Assumptions!$B$5-Assumptions!$B$4)/Assumptions!$B$3*Assumptions!$B$10</f>
        <v>25.0664974022493</v>
      </c>
      <c r="C18" s="3" t="n">
        <v>11</v>
      </c>
    </row>
    <row r="19" customFormat="false" ht="15" hidden="false" customHeight="false" outlineLevel="0" collapsed="false">
      <c r="A19" s="0" t="s">
        <v>164</v>
      </c>
      <c r="B19" s="0" t="n">
        <f aca="false">(SUMPRODUCT(DCF_Base!$C$19:$L$19/(1+$C$19/100)^DCF_Base!$C$4:$L$4)+MAX(0,MIN(IF($C$19&gt;DCF_Base!$B$28,DCF_Base!$L$19*(1+DCF_Base!$B$28/100)/(($C$19-DCF_Base!$B$28)/100),DCF_Base!$L$19*DCF_Base!$B$29),DCF_Base!$L$19*DCF_Base!$B$29))/(1+$C$19/100)^DCF_Base!$L$4+Assumptions!$B$5-Assumptions!$B$4)/Assumptions!$B$3*Assumptions!$B$10</f>
        <v>22.3627168388558</v>
      </c>
      <c r="C19" s="3" t="n">
        <v>12</v>
      </c>
    </row>
    <row r="20" customFormat="false" ht="15" hidden="false" customHeight="false" outlineLevel="0" collapsed="false">
      <c r="A20" s="0" t="s">
        <v>165</v>
      </c>
      <c r="B20" s="0" t="n">
        <f aca="false">(SUMPRODUCT(DCF_Base!$C$19:$L$19/(1+$C$20/100)^DCF_Base!$C$4:$L$4)+MAX(0,MIN(IF($C$20&gt;DCF_Base!$B$28,DCF_Base!$L$19*(1+DCF_Base!$B$28/100)/(($C$20-DCF_Base!$B$28)/100),DCF_Base!$L$19*DCF_Base!$B$29),DCF_Base!$L$19*DCF_Base!$B$29))/(1+$C$20/100)^DCF_Base!$L$4+Assumptions!$B$5-Assumptions!$B$4)/Assumptions!$B$3*Assumptions!$B$10</f>
        <v>16.8521474520625</v>
      </c>
      <c r="C20" s="3" t="n">
        <v>15</v>
      </c>
    </row>
    <row r="22" customFormat="false" ht="15" hidden="false" customHeight="false" outlineLevel="0" collapsed="false">
      <c r="A22" s="2" t="s">
        <v>166</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7.25</v>
      </c>
      <c r="B24" s="0" t="n">
        <f aca="false">(SUMPRODUCT(DCF_Base!$C$19:$L$19/(1+$A$24/100)^DCF_Base!$C$4:$L$4)+MAX(0,MIN(IF($A$24&gt;$B$23,DCF_Base!$L$19*(1+$B$23/100)/(($A$24-$B$23)/100),DCF_Base!$L$19*DCF_Base!$B$29),DCF_Base!$L$19*DCF_Base!$B$29))/(1+$A$24/100)^DCF_Base!$L$4+Assumptions!$B$5-Assumptions!$B$4)/Assumptions!$B$3*Assumptions!$B$10</f>
        <v>40.0373329962456</v>
      </c>
      <c r="C24" s="0" t="n">
        <f aca="false">(SUMPRODUCT(DCF_Base!$C$19:$L$19/(1+$A$24/100)^DCF_Base!$C$4:$L$4)+MAX(0,MIN(IF($A$24&gt;$C$23,DCF_Base!$L$19*(1+$C$23/100)/(($A$24-$C$23)/100),DCF_Base!$L$19*DCF_Base!$B$29),DCF_Base!$L$19*DCF_Base!$B$29))/(1+$A$24/100)^DCF_Base!$L$4+Assumptions!$B$5-Assumptions!$B$4)/Assumptions!$B$3*Assumptions!$B$10</f>
        <v>40.5095368190071</v>
      </c>
      <c r="D24" s="0" t="n">
        <f aca="false">(SUMPRODUCT(DCF_Base!$C$19:$L$19/(1+$A$24/100)^DCF_Base!$C$4:$L$4)+MAX(0,MIN(IF($A$24&gt;$D$23,DCF_Base!$L$19*(1+$D$23/100)/(($A$24-$D$23)/100),DCF_Base!$L$19*DCF_Base!$B$29),DCF_Base!$L$19*DCF_Base!$B$29))/(1+$A$24/100)^DCF_Base!$L$4+Assumptions!$B$5-Assumptions!$B$4)/Assumptions!$B$3*Assumptions!$B$10</f>
        <v>40.5095368190071</v>
      </c>
      <c r="E24" s="0" t="n">
        <f aca="false">(SUMPRODUCT(DCF_Base!$C$19:$L$19/(1+$A$24/100)^DCF_Base!$C$4:$L$4)+MAX(0,MIN(IF($A$24&gt;$E$23,DCF_Base!$L$19*(1+$E$23/100)/(($A$24-$E$23)/100),DCF_Base!$L$19*DCF_Base!$B$29),DCF_Base!$L$19*DCF_Base!$B$29))/(1+$A$24/100)^DCF_Base!$L$4+Assumptions!$B$5-Assumptions!$B$4)/Assumptions!$B$3*Assumptions!$B$10</f>
        <v>40.5095368190071</v>
      </c>
      <c r="F24" s="0" t="n">
        <f aca="false">(SUMPRODUCT(DCF_Base!$C$19:$L$19/(1+$A$24/100)^DCF_Base!$C$4:$L$4)+MAX(0,MIN(IF($A$24&gt;$F$23,DCF_Base!$L$19*(1+$F$23/100)/(($A$24-$F$23)/100),DCF_Base!$L$19*DCF_Base!$B$29),DCF_Base!$L$19*DCF_Base!$B$29))/(1+$A$24/100)^DCF_Base!$L$4+Assumptions!$B$5-Assumptions!$B$4)/Assumptions!$B$3*Assumptions!$B$10</f>
        <v>40.5095368190071</v>
      </c>
    </row>
    <row r="25" customFormat="false" ht="15" hidden="false" customHeight="false" outlineLevel="0" collapsed="false">
      <c r="A25" s="3" t="n">
        <v>8.25</v>
      </c>
      <c r="B25" s="0" t="n">
        <f aca="false">(SUMPRODUCT(DCF_Base!$C$19:$L$19/(1+$A$25/100)^DCF_Base!$C$4:$L$4)+MAX(0,MIN(IF($A$25&gt;$B$23,DCF_Base!$L$19*(1+$B$23/100)/(($A$25-$B$23)/100),DCF_Base!$L$19*DCF_Base!$B$29),DCF_Base!$L$19*DCF_Base!$B$29))/(1+$A$25/100)^DCF_Base!$L$4+Assumptions!$B$5-Assumptions!$B$4)/Assumptions!$B$3*Assumptions!$B$10</f>
        <v>33.9112497841331</v>
      </c>
      <c r="C25" s="0" t="n">
        <f aca="false">(SUMPRODUCT(DCF_Base!$C$19:$L$19/(1+$A$25/100)^DCF_Base!$C$4:$L$4)+MAX(0,MIN(IF($A$25&gt;$C$23,DCF_Base!$L$19*(1+$C$23/100)/(($A$25-$C$23)/100),DCF_Base!$L$19*DCF_Base!$B$29),DCF_Base!$L$19*DCF_Base!$B$29))/(1+$A$25/100)^DCF_Base!$L$4+Assumptions!$B$5-Assumptions!$B$4)/Assumptions!$B$3*Assumptions!$B$10</f>
        <v>35.4986097580244</v>
      </c>
      <c r="D25" s="0" t="n">
        <f aca="false">(SUMPRODUCT(DCF_Base!$C$19:$L$19/(1+$A$25/100)^DCF_Base!$C$4:$L$4)+MAX(0,MIN(IF($A$25&gt;$D$23,DCF_Base!$L$19*(1+$D$23/100)/(($A$25-$D$23)/100),DCF_Base!$L$19*DCF_Base!$B$29),DCF_Base!$L$19*DCF_Base!$B$29))/(1+$A$25/100)^DCF_Base!$L$4+Assumptions!$B$5-Assumptions!$B$4)/Assumptions!$B$3*Assumptions!$B$10</f>
        <v>37.3620323360707</v>
      </c>
      <c r="E25" s="0" t="n">
        <f aca="false">(SUMPRODUCT(DCF_Base!$C$19:$L$19/(1+$A$25/100)^DCF_Base!$C$4:$L$4)+MAX(0,MIN(IF($A$25&gt;$E$23,DCF_Base!$L$19*(1+$E$23/100)/(($A$25-$E$23)/100),DCF_Base!$L$19*DCF_Base!$B$29),DCF_Base!$L$19*DCF_Base!$B$29))/(1+$A$25/100)^DCF_Base!$L$4+Assumptions!$B$5-Assumptions!$B$4)/Assumptions!$B$3*Assumptions!$B$10</f>
        <v>37.5772081533971</v>
      </c>
      <c r="F25" s="0" t="n">
        <f aca="false">(SUMPRODUCT(DCF_Base!$C$19:$L$19/(1+$A$25/100)^DCF_Base!$C$4:$L$4)+MAX(0,MIN(IF($A$25&gt;$F$23,DCF_Base!$L$19*(1+$F$23/100)/(($A$25-$F$23)/100),DCF_Base!$L$19*DCF_Base!$B$29),DCF_Base!$L$19*DCF_Base!$B$29))/(1+$A$25/100)^DCF_Base!$L$4+Assumptions!$B$5-Assumptions!$B$4)/Assumptions!$B$3*Assumptions!$B$10</f>
        <v>37.5772081533971</v>
      </c>
    </row>
    <row r="26" customFormat="false" ht="15" hidden="false" customHeight="false" outlineLevel="0" collapsed="false">
      <c r="A26" s="3" t="n">
        <v>9.25</v>
      </c>
      <c r="B26" s="0" t="n">
        <f aca="false">(SUMPRODUCT(DCF_Base!$C$19:$L$19/(1+$A$26/100)^DCF_Base!$C$4:$L$4)+MAX(0,MIN(IF($A$26&gt;$B$23,DCF_Base!$L$19*(1+$B$23/100)/(($A$26-$B$23)/100),DCF_Base!$L$19*DCF_Base!$B$29),DCF_Base!$L$19*DCF_Base!$B$29))/(1+$A$26/100)^DCF_Base!$L$4+Assumptions!$B$5-Assumptions!$B$4)/Assumptions!$B$3*Assumptions!$B$10</f>
        <v>29.3731759669922</v>
      </c>
      <c r="C26" s="0" t="n">
        <f aca="false">(SUMPRODUCT(DCF_Base!$C$19:$L$19/(1+$A$26/100)^DCF_Base!$C$4:$L$4)+MAX(0,MIN(IF($A$26&gt;$C$23,DCF_Base!$L$19*(1+$C$23/100)/(($A$26-$C$23)/100),DCF_Base!$L$19*DCF_Base!$B$29),DCF_Base!$L$19*DCF_Base!$B$29))/(1+$A$26/100)^DCF_Base!$L$4+Assumptions!$B$5-Assumptions!$B$4)/Assumptions!$B$3*Assumptions!$B$10</f>
        <v>30.4703553562326</v>
      </c>
      <c r="D26" s="0" t="n">
        <f aca="false">(SUMPRODUCT(DCF_Base!$C$19:$L$19/(1+$A$26/100)^DCF_Base!$C$4:$L$4)+MAX(0,MIN(IF($A$26&gt;$D$23,DCF_Base!$L$19*(1+$D$23/100)/(($A$26-$D$23)/100),DCF_Base!$L$19*DCF_Base!$B$29),DCF_Base!$L$19*DCF_Base!$B$29))/(1+$A$26/100)^DCF_Base!$L$4+Assumptions!$B$5-Assumptions!$B$4)/Assumptions!$B$3*Assumptions!$B$10</f>
        <v>31.7300798401751</v>
      </c>
      <c r="E26" s="0" t="n">
        <f aca="false">(SUMPRODUCT(DCF_Base!$C$19:$L$19/(1+$A$26/100)^DCF_Base!$C$4:$L$4)+MAX(0,MIN(IF($A$26&gt;$E$23,DCF_Base!$L$19*(1+$E$23/100)/(($A$26-$E$23)/100),DCF_Base!$L$19*DCF_Base!$B$29),DCF_Base!$L$19*DCF_Base!$B$29))/(1+$A$26/100)^DCF_Base!$L$4+Assumptions!$B$5-Assumptions!$B$4)/Assumptions!$B$3*Assumptions!$B$10</f>
        <v>33.1913602415485</v>
      </c>
      <c r="F26" s="0" t="n">
        <f aca="false">(SUMPRODUCT(DCF_Base!$C$19:$L$19/(1+$A$26/100)^DCF_Base!$C$4:$L$4)+MAX(0,MIN(IF($A$26&gt;$F$23,DCF_Base!$L$19*(1+$F$23/100)/(($A$26-$F$23)/100),DCF_Base!$L$19*DCF_Base!$B$29),DCF_Base!$L$19*DCF_Base!$B$29))/(1+$A$26/100)^DCF_Base!$L$4+Assumptions!$B$5-Assumptions!$B$4)/Assumptions!$B$3*Assumptions!$B$10</f>
        <v>34.9067763648999</v>
      </c>
    </row>
    <row r="27" customFormat="false" ht="15" hidden="false" customHeight="false" outlineLevel="0" collapsed="false">
      <c r="A27" s="3" t="n">
        <v>10.25</v>
      </c>
      <c r="B27" s="0" t="n">
        <f aca="false">(SUMPRODUCT(DCF_Base!$C$19:$L$19/(1+$A$27/100)^DCF_Base!$C$4:$L$4)+MAX(0,MIN(IF($A$27&gt;$B$23,DCF_Base!$L$19*(1+$B$23/100)/(($A$27-$B$23)/100),DCF_Base!$L$19*DCF_Base!$B$29),DCF_Base!$L$19*DCF_Base!$B$29))/(1+$A$27/100)^DCF_Base!$L$4+Assumptions!$B$5-Assumptions!$B$4)/Assumptions!$B$3*Assumptions!$B$10</f>
        <v>25.8781929823568</v>
      </c>
      <c r="C27" s="0" t="n">
        <f aca="false">(SUMPRODUCT(DCF_Base!$C$19:$L$19/(1+$A$27/100)^DCF_Base!$C$4:$L$4)+MAX(0,MIN(IF($A$27&gt;$C$23,DCF_Base!$L$19*(1+$C$23/100)/(($A$27-$C$23)/100),DCF_Base!$L$19*DCF_Base!$B$29),DCF_Base!$L$19*DCF_Base!$B$29))/(1+$A$27/100)^DCF_Base!$L$4+Assumptions!$B$5-Assumptions!$B$4)/Assumptions!$B$3*Assumptions!$B$10</f>
        <v>26.6649506346602</v>
      </c>
      <c r="D27" s="0" t="n">
        <f aca="false">(SUMPRODUCT(DCF_Base!$C$19:$L$19/(1+$A$27/100)^DCF_Base!$C$4:$L$4)+MAX(0,MIN(IF($A$27&gt;$D$23,DCF_Base!$L$19*(1+$D$23/100)/(($A$27-$D$23)/100),DCF_Base!$L$19*DCF_Base!$B$29),DCF_Base!$L$19*DCF_Base!$B$29))/(1+$A$27/100)^DCF_Base!$L$4+Assumptions!$B$5-Assumptions!$B$4)/Assumptions!$B$3*Assumptions!$B$10</f>
        <v>27.5532254033898</v>
      </c>
      <c r="E27" s="0" t="n">
        <f aca="false">(SUMPRODUCT(DCF_Base!$C$19:$L$19/(1+$A$27/100)^DCF_Base!$C$4:$L$4)+MAX(0,MIN(IF($A$27&gt;$E$23,DCF_Base!$L$19*(1+$E$23/100)/(($A$27-$E$23)/100),DCF_Base!$L$19*DCF_Base!$B$29),DCF_Base!$L$19*DCF_Base!$B$29))/(1+$A$27/100)^DCF_Base!$L$4+Assumptions!$B$5-Assumptions!$B$4)/Assumptions!$B$3*Assumptions!$B$10</f>
        <v>28.5640208298752</v>
      </c>
      <c r="F27" s="0" t="n">
        <f aca="false">(SUMPRODUCT(DCF_Base!$C$19:$L$19/(1+$A$27/100)^DCF_Base!$C$4:$L$4)+MAX(0,MIN(IF($A$27&gt;$F$23,DCF_Base!$L$19*(1+$F$23/100)/(($A$27-$F$23)/100),DCF_Base!$L$19*DCF_Base!$B$29),DCF_Base!$L$19*DCF_Base!$B$29))/(1+$A$27/100)^DCF_Base!$L$4+Assumptions!$B$5-Assumptions!$B$4)/Assumptions!$B$3*Assumptions!$B$10</f>
        <v>29.724563726951</v>
      </c>
    </row>
    <row r="28" customFormat="false" ht="15" hidden="false" customHeight="false" outlineLevel="0" collapsed="false">
      <c r="A28" s="3" t="n">
        <v>11.25</v>
      </c>
      <c r="B28" s="0" t="n">
        <f aca="false">(SUMPRODUCT(DCF_Base!$C$19:$L$19/(1+$A$28/100)^DCF_Base!$C$4:$L$4)+MAX(0,MIN(IF($A$28&gt;$B$23,DCF_Base!$L$19*(1+$B$23/100)/(($A$28-$B$23)/100),DCF_Base!$L$19*DCF_Base!$B$29),DCF_Base!$L$19*DCF_Base!$B$29))/(1+$A$28/100)^DCF_Base!$L$4+Assumptions!$B$5-Assumptions!$B$4)/Assumptions!$B$3*Assumptions!$B$10</f>
        <v>23.1049737895743</v>
      </c>
      <c r="C28" s="0" t="n">
        <f aca="false">(SUMPRODUCT(DCF_Base!$C$19:$L$19/(1+$A$28/100)^DCF_Base!$C$4:$L$4)+MAX(0,MIN(IF($A$28&gt;$C$23,DCF_Base!$L$19*(1+$C$23/100)/(($A$28-$C$23)/100),DCF_Base!$L$19*DCF_Base!$B$29),DCF_Base!$L$19*DCF_Base!$B$29))/(1+$A$28/100)^DCF_Base!$L$4+Assumptions!$B$5-Assumptions!$B$4)/Assumptions!$B$3*Assumptions!$B$10</f>
        <v>23.6855561480141</v>
      </c>
      <c r="D28" s="0" t="n">
        <f aca="false">(SUMPRODUCT(DCF_Base!$C$19:$L$19/(1+$A$28/100)^DCF_Base!$C$4:$L$4)+MAX(0,MIN(IF($A$28&gt;$D$23,DCF_Base!$L$19*(1+$D$23/100)/(($A$28-$D$23)/100),DCF_Base!$L$19*DCF_Base!$B$29),DCF_Base!$L$19*DCF_Base!$B$29))/(1+$A$28/100)^DCF_Base!$L$4+Assumptions!$B$5-Assumptions!$B$4)/Assumptions!$B$3*Assumptions!$B$10</f>
        <v>24.3324907759899</v>
      </c>
      <c r="E28" s="0" t="n">
        <f aca="false">(SUMPRODUCT(DCF_Base!$C$19:$L$19/(1+$A$28/100)^DCF_Base!$C$4:$L$4)+MAX(0,MIN(IF($A$28&gt;$E$23,DCF_Base!$L$19*(1+$E$23/100)/(($A$28-$E$23)/100),DCF_Base!$L$19*DCF_Base!$B$29),DCF_Base!$L$19*DCF_Base!$B$29))/(1+$A$28/100)^DCF_Base!$L$4+Assumptions!$B$5-Assumptions!$B$4)/Assumptions!$B$3*Assumptions!$B$10</f>
        <v>25.0578417225082</v>
      </c>
      <c r="F28" s="0" t="n">
        <f aca="false">(SUMPRODUCT(DCF_Base!$C$19:$L$19/(1+$A$28/100)^DCF_Base!$C$4:$L$4)+MAX(0,MIN(IF($A$28&gt;$F$23,DCF_Base!$L$19*(1+$F$23/100)/(($A$28-$F$23)/100),DCF_Base!$L$19*DCF_Base!$B$29),DCF_Base!$L$19*DCF_Base!$B$29))/(1+$A$28/100)^DCF_Base!$L$4+Assumptions!$B$5-Assumptions!$B$4)/Assumptions!$B$3*Assumptions!$B$10</f>
        <v>25.876786339545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2026-09-22T09:33:56Z</dcterms:created>
  <dc:creator>openpyxl</dc:creator>
  <dc:description/>
  <dc:language>en-NZ</dc:language>
  <cp:lastModifiedBy/>
  <dcterms:modified xsi:type="dcterms:W3CDTF">2026-09-22T09:33:56Z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