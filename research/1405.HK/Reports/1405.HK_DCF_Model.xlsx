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<sst xmlns="http://schemas.openxmlformats.org/spreadsheetml/2006/main" count="344" uniqueCount="162">
  <si>
    <t xml:space="preserve">Ticker</t>
  </si>
  <si>
    <t xml:space="preserve">1405.HK</t>
  </si>
  <si>
    <t xml:space="preserve">Company</t>
  </si>
  <si>
    <t xml:space="preserve">DPC Dash Ltd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</si>
  <si>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</si>
  <si>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</si>
  <si>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</si>
  <si>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</si>
  <si>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 (Friday)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</si>
  <si>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</si>
  <si>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</si>
  <si>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</si>
  <si>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</si>
  <si>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</si>
  <si>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</si>
  <si>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</si>
  <si>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</si>
  <si>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</si>
  <si>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</si>
  <si>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</si>
  <si>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</si>
  <si>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</si>
  <si>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2026-10-16T11:49:35Z</t>
  </si>
  <si>
    <t xml:space="preserve">Drivers file</t>
  </si>
  <si>
    <t xml:space="preserve">1405.HK_Drivers.json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</si>
  <si>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</si>
  <si>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</si>
  <si>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</si>
  <si>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business as a stream of owner cash flow after the full lease cost and SBC, in CNY at a CNY cost of equity, with net cash added once and interest income removed from the flows. Because the current owner FCF is negative by design (growth capex), the valuation is a judgment about the mature margin of a ~3,000-store Domino's China network and the probability that the delivery-platform shift permanently caps it; the scenario weights, not the discount rate, carry that risk.
key_risks_to_valuation: Terminal lease-adjusted EBITDA margin: each 1pp on the terminal margin moves base value by roughly 15-20% because owner FCF margin is only ~5%; Duration of the platform subsidy war and permanence of third-party-channel ATP dilution; New-city unit economics (cash payback) deteriorating as the rollout moves down the city tiers; Cash tax rate failing to normalise from ~50% toward 28% if new-entity losses persist; Master franchise agreement terms/renewal with Domino's Pizza Inc. (single-brand dependency); CNY/HKD translation: per-share values are converted at a dated rate that price-only refreshes do not update</t>
  </si>
  <si>
    <t xml:space="preserve">Data sources</t>
  </si>
  <si>
    <t xml:space="preserve">price: Yahoo Finance chart API at inputs.price_as_of; 52-week range HKD 27.84-92.00
fx: Yahoo Finance CNYHKD=X, USDCNY=X, USDHKD=X, HKDCNY=X on 2026-10-16
financials: research/1405.HK/Reports/1405.HK_Metrics.csv (core_metrics, CNY millions) FY2022-FY2025 and H1 FY2023-H1 FY2026; lease principal/interest, interest income, SBC, D&amp;A ex-ROU and cash taxes from the FY2025 annual report cash flow statement (lines 4386-4408) and MD&amp;A; H1 2026 interim for the 30 Jun 2026 balance sheet, share count (note 12) and lease liabilities
qualitative: research/1405.HK/Reports/1405.HK_Analysis.json (2026-10-17); FY2026 guidance of ~350 net new stores and the 3,000-store medium-term target from the FY2025 annual and H1 2026 interim reports</t>
  </si>
  <si>
    <t xml:space="preserve">Scenario narrative: bear</t>
  </si>
  <si>
    <t xml:space="preserve">Platform disintermediation is structural: the platforms own the customer, ATP stays down, and the franchisee's thin store-level margin absorbs rider-cost and commission inflation. Lower-tier-city unit economics deteriorate, management throttles openings, operating leverage stalls at ~10% lease-adjusted EBITDA, and cash tax stays punitive because loss-making new entities cannot be grouped with profitable ones. The single-franchisor dependency means there is no portfolio pivot available.</t>
  </si>
  <si>
    <t xml:space="preserve">Scenario narrative: base</t>
  </si>
  <si>
    <t xml:space="preserve">The two axes are (1) how long the JD/Meituan/Ele.me delivery subsidy war keeps average transaction price down 9-10% and store-level margin at 12.5% (H1 2026, from 14.5% in FY2024), and (2) whether the ~350-stores-a-year rollout into non-Tier-1 cities keeps earning 12-15 month cash paybacks as SSSG in new cities runs -9% to -13% off record opening weeks. Base assumes the subsidy intensity fades over 2026-27 but platform intermediation is permanent, so margin recovery is slow (lease-adjusted EBITDA 9.7% -&gt; 13.0% over eight years) while the rollout hits the 3,000-store target on schedule. All value is terminal: owner FCF is negative in FY2026 and only turns meaningfully positive from FY2029 as capex intensity falls.</t>
  </si>
  <si>
    <t xml:space="preserve">Scenario narrative: bull</t>
  </si>
  <si>
    <t xml:space="preserve">Subsidies normalise, DPC's own-channel/loyalty base (41.9m members) claws back order share, ATP recovers and SSSG turns positive; new-city cohorts mature into the margin profile Tier-1 cities already show; openings stay at 350-400 a year and the network heads toward the 5,000 long-term ambition. Mature lease-adjusted EBITDA ~15%, in the range of Domino's Pizza Enterprises' better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</si>
  <si>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</si>
  <si>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</si>
  <si>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</si>
  <si>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</si>
  <si>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</si>
  <si>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</si>
  <si>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</si>
  <si>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</si>
  <si>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</si>
  <si>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</si>
  <si>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</si>
  <si>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</si>
  <si>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</si>
  <si>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</si>
  <si>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</si>
  <si>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</si>
  <si>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</si>
  <si>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</si>
  <si>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</si>
  <si>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</si>
  <si>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</si>
  <si>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</si>
  <si>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</si>
  <si>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</si>
  <si>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</si>
  <si>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</si>
  <si>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</si>
  <si>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</si>
  <si>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AdjustedNetProfit</t>
  </si>
  <si>
    <t xml:space="preserve">LeasePrincipalRepaid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</si>
  <si>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</si>
  <si>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</si>
  <si>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</si>
  <si>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</si>
  <si>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</si>
  <si>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</si>
  <si>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</si>
  <si>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</si>
  <si>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</si>
  <si>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</si>
  <si>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</si>
  <si>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</si>
  <si>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</si>
  <si>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</si>
  <si>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</si>
  <si>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</si>
  <si>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</si>
  <si>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</si>
  <si>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</si>
  <si>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</si>
  <si>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</si>
  <si>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</si>
  <si>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</si>
  <si>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</si>
  <si>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</si>
  <si>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</si>
  <si>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</si>
  <si>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</si>
  <si>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</si>
  <si>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</si>
  <si>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</si>
  <si>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</si>
  <si>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</si>
  <si>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</si>
  <si>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</si>
  <si>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</si>
  <si>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</si>
  <si>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</si>
  <si>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</si>
  <si>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</si>
  <si>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</si>
  <si>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1405.HK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</si>
  <si>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</si>
  <si>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</si>
  <si>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</si>
  <si>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</si>
  <si>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</si>
  <si>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</si>
  <si>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</si>
  <si>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</si>
  <si>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</si>
  <si>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</si>
  <si>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</si>
  <si>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</si>
  <si>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</si>
  <si>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</si>
  <si>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</si>
  <si>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</si>
  <si>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</si>
  <si>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</si>
  <si>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</si>
  <si>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</si>
  <si>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</si>
  <si>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</si>
  <si>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</si>
  <si>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</si>
  <si>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</si>
  <si>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</si>
  <si>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</si>
  <si>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</si>
  <si>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</si>
  <si>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</si>
  <si>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1405.HK owner-FCF component DCF: base case (millions, CNY)</t>
  </si>
  <si>
    <t xml:space="preserve">1405.HK owner-FCF component DCF: bull case (millions, CNY)</t>
  </si>
  <si>
    <t xml:space="preserve">1405.HK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</si>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</sst>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31.84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2020.789</v>
      </c>
      <c r="F2" s="0" t="n">
        <v>-122.562</v>
      </c>
      <c r="G2" s="0" t="n">
        <v>-6.1</v>
      </c>
      <c r="H2" s="0" t="n">
        <v>236.239</v>
      </c>
      <c r="I2" s="0" t="n">
        <v>-222.632</v>
      </c>
      <c r="J2" s="0" t="n">
        <v>-11</v>
      </c>
      <c r="K2" s="0" t="n">
        <v>-2.34</v>
      </c>
      <c r="L2" s="0" t="n">
        <v>298.213</v>
      </c>
      <c r="M2" s="0" t="n">
        <v>210.6</v>
      </c>
      <c r="N2" s="0" t="n">
        <v>87.613</v>
      </c>
      <c r="O2" s="0" t="n">
        <v>753.125</v>
      </c>
      <c r="P2" s="0" t="n">
        <v>3269.609</v>
      </c>
      <c r="Q2" s="0" t="n">
        <v>2516.484</v>
      </c>
      <c r="R2" s="0" t="n">
        <v>200</v>
      </c>
      <c r="S2" s="0" t="n">
        <v>544.461</v>
      </c>
      <c r="T2" s="0" t="n">
        <v>95.233</v>
      </c>
      <c r="U2" s="0" t="n">
        <v>39.706</v>
      </c>
      <c r="AA2" s="0" t="s">
        <v>18</v>
      </c>
      <c r="AB2" s="0" t="s">
        <v>14</v>
      </c>
      <c r="AC2" s="0" t="n">
        <v>138.618</v>
      </c>
      <c r="AD2" s="0" t="n">
        <v>-113.818</v>
      </c>
      <c r="AE2" s="0" t="n">
        <v>167.566</v>
      </c>
    </row>
    <row r="3" customFormat="false" ht="15" hidden="false" customHeight="false" outlineLevel="0" collapsed="false">
      <c r="A3" s="0" t="s">
        <v>68</v>
      </c>
      <c r="B3" s="0" t="n">
        <v>3050.715</v>
      </c>
      <c r="F3" s="0" t="n">
        <v>56.92</v>
      </c>
      <c r="G3" s="0" t="n">
        <v>1.9</v>
      </c>
      <c r="H3" s="0" t="n">
        <v>504.096</v>
      </c>
      <c r="I3" s="0" t="n">
        <v>-26.603</v>
      </c>
      <c r="J3" s="0" t="n">
        <v>-0.9</v>
      </c>
      <c r="K3" s="0" t="n">
        <v>-0.22</v>
      </c>
      <c r="L3" s="0" t="n">
        <v>536.086</v>
      </c>
      <c r="M3" s="0" t="n">
        <v>316.203</v>
      </c>
      <c r="N3" s="0" t="n">
        <v>219.883</v>
      </c>
      <c r="O3" s="0" t="n">
        <v>2099.131</v>
      </c>
      <c r="P3" s="0" t="n">
        <v>4145.755</v>
      </c>
      <c r="Q3" s="0" t="n">
        <v>2046.624</v>
      </c>
      <c r="R3" s="0" t="n">
        <v>200</v>
      </c>
      <c r="S3" s="0" t="n">
        <v>1019.243</v>
      </c>
      <c r="T3" s="0" t="n">
        <v>121.669</v>
      </c>
      <c r="U3" s="0" t="n">
        <v>93.232</v>
      </c>
      <c r="AA3" s="0" t="s">
        <v>18</v>
      </c>
      <c r="AB3" s="0" t="s">
        <v>14</v>
      </c>
      <c r="AC3" s="0" t="n">
        <v>301.736</v>
      </c>
      <c r="AD3" s="0" t="n">
        <v>8.778</v>
      </c>
      <c r="AE3" s="0" t="n">
        <v>218.129</v>
      </c>
    </row>
    <row r="4" customFormat="false" ht="15" hidden="false" customHeight="false" outlineLevel="0" collapsed="false">
      <c r="A4" s="0" t="s">
        <v>69</v>
      </c>
      <c r="B4" s="0" t="n">
        <v>4314.093</v>
      </c>
      <c r="F4" s="0" t="n">
        <v>157.58</v>
      </c>
      <c r="G4" s="0" t="n">
        <v>3.7</v>
      </c>
      <c r="H4" s="0" t="n">
        <v>727.466</v>
      </c>
      <c r="I4" s="0" t="n">
        <v>55.195</v>
      </c>
      <c r="J4" s="0" t="n">
        <v>1.3</v>
      </c>
      <c r="K4" s="0" t="n">
        <v>0.42</v>
      </c>
      <c r="L4" s="0" t="n">
        <v>818.421</v>
      </c>
      <c r="M4" s="0" t="n">
        <v>416.245</v>
      </c>
      <c r="N4" s="0" t="n">
        <v>402.176</v>
      </c>
      <c r="O4" s="0" t="n">
        <v>2243.232</v>
      </c>
      <c r="P4" s="0" t="n">
        <v>4876.126</v>
      </c>
      <c r="Q4" s="0" t="n">
        <v>2632.894</v>
      </c>
      <c r="R4" s="0" t="n">
        <v>200</v>
      </c>
      <c r="S4" s="0" t="n">
        <v>1069.302</v>
      </c>
      <c r="T4" s="0" t="n">
        <v>131.982</v>
      </c>
      <c r="U4" s="0" t="n">
        <v>75.965</v>
      </c>
      <c r="AA4" s="0" t="s">
        <v>18</v>
      </c>
      <c r="AB4" s="0" t="s">
        <v>14</v>
      </c>
      <c r="AC4" s="0" t="n">
        <v>495.158</v>
      </c>
      <c r="AD4" s="0" t="n">
        <v>131.16</v>
      </c>
      <c r="AE4" s="0" t="n">
        <v>285.213</v>
      </c>
    </row>
    <row r="5" customFormat="false" ht="15" hidden="false" customHeight="false" outlineLevel="0" collapsed="false">
      <c r="A5" s="0" t="s">
        <v>70</v>
      </c>
      <c r="B5" s="0" t="n">
        <v>5382.047</v>
      </c>
      <c r="F5" s="0" t="n">
        <v>267.922</v>
      </c>
      <c r="G5" s="0" t="n">
        <v>5</v>
      </c>
      <c r="H5" s="0" t="n">
        <v>983.479</v>
      </c>
      <c r="I5" s="0" t="n">
        <v>141.932</v>
      </c>
      <c r="J5" s="0" t="n">
        <v>2.6</v>
      </c>
      <c r="K5" s="0" t="n">
        <v>1.05</v>
      </c>
      <c r="L5" s="0" t="n">
        <v>892.899</v>
      </c>
      <c r="M5" s="0" t="n">
        <v>506.028</v>
      </c>
      <c r="N5" s="0" t="n">
        <v>386.871</v>
      </c>
      <c r="O5" s="0" t="n">
        <v>2436.402</v>
      </c>
      <c r="P5" s="0" t="n">
        <v>5646.591</v>
      </c>
      <c r="Q5" s="0" t="n">
        <v>3210.189</v>
      </c>
      <c r="R5" s="0" t="n">
        <v>199.8</v>
      </c>
      <c r="S5" s="0" t="n">
        <v>1001.511</v>
      </c>
      <c r="T5" s="0" t="n">
        <v>134.92</v>
      </c>
      <c r="U5" s="0" t="n">
        <v>45.968</v>
      </c>
      <c r="AA5" s="0" t="s">
        <v>18</v>
      </c>
      <c r="AB5" s="0" t="s">
        <v>14</v>
      </c>
      <c r="AC5" s="0" t="n">
        <v>634.608</v>
      </c>
      <c r="AD5" s="0" t="n">
        <v>187.9</v>
      </c>
      <c r="AE5" s="0" t="n">
        <v>370.212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31.84</v>
      </c>
    </row>
    <row r="3" customFormat="false" ht="15" hidden="false" customHeight="false" outlineLevel="0" collapsed="false">
      <c r="A3" s="0" t="s">
        <v>74</v>
      </c>
      <c r="B3" s="3" t="n">
        <v>132.5</v>
      </c>
    </row>
    <row r="4" customFormat="false" ht="15" hidden="false" customHeight="false" outlineLevel="0" collapsed="false">
      <c r="A4" s="0" t="s">
        <v>75</v>
      </c>
      <c r="B4" s="3" t="n">
        <v>-735.1</v>
      </c>
    </row>
    <row r="5" customFormat="false" ht="15" hidden="false" customHeight="false" outlineLevel="0" collapsed="false">
      <c r="A5" s="0" t="s">
        <v>76</v>
      </c>
      <c r="B5" s="3" t="n">
        <v>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5382.047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1.1727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16</v>
      </c>
      <c r="D13" s="3" t="n">
        <v>12</v>
      </c>
      <c r="E13" s="3" t="n">
        <v>9</v>
      </c>
      <c r="F13" s="3" t="n">
        <v>7</v>
      </c>
      <c r="G13" s="3" t="n">
        <v>5</v>
      </c>
      <c r="H13" s="3" t="n">
        <v>4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95</v>
      </c>
      <c r="C14" s="3" t="n">
        <v>17.8</v>
      </c>
      <c r="D14" s="3" t="n">
        <v>17.5</v>
      </c>
      <c r="E14" s="3" t="n">
        <v>17.6</v>
      </c>
      <c r="F14" s="3" t="n">
        <v>17.8</v>
      </c>
      <c r="G14" s="3" t="n">
        <v>18</v>
      </c>
      <c r="H14" s="3" t="n">
        <v>18.2</v>
      </c>
      <c r="I14" s="3" t="n">
        <v>18.4</v>
      </c>
      <c r="J14" s="3" t="n">
        <v>18.5</v>
      </c>
      <c r="K14" s="3" t="n">
        <v>18.5</v>
      </c>
      <c r="L14" s="3" t="n">
        <v>18.5</v>
      </c>
    </row>
    <row r="15" customFormat="false" ht="15" hidden="false" customHeight="false" outlineLevel="0" collapsed="false">
      <c r="A15" s="0" t="s">
        <v>96</v>
      </c>
      <c r="C15" s="3" t="n">
        <v>0.7</v>
      </c>
      <c r="D15" s="3" t="n">
        <v>0.65</v>
      </c>
      <c r="E15" s="3" t="n">
        <v>0.6</v>
      </c>
      <c r="F15" s="3" t="n">
        <v>0.6</v>
      </c>
      <c r="G15" s="3" t="n">
        <v>0.55</v>
      </c>
      <c r="H15" s="3" t="n">
        <v>0.55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97</v>
      </c>
      <c r="C16" s="3" t="n">
        <v>8.7</v>
      </c>
      <c r="D16" s="3" t="n">
        <v>8.8</v>
      </c>
      <c r="E16" s="3" t="n">
        <v>8.8</v>
      </c>
      <c r="F16" s="3" t="n">
        <v>8.7</v>
      </c>
      <c r="G16" s="3" t="n">
        <v>8.6</v>
      </c>
      <c r="H16" s="3" t="n">
        <v>8.6</v>
      </c>
      <c r="I16" s="3" t="n">
        <v>8.5</v>
      </c>
      <c r="J16" s="3" t="n">
        <v>8.5</v>
      </c>
      <c r="K16" s="3" t="n">
        <v>8.5</v>
      </c>
      <c r="L16" s="3" t="n">
        <v>8.5</v>
      </c>
    </row>
    <row r="17" customFormat="false" ht="15" hidden="false" customHeight="false" outlineLevel="0" collapsed="false">
      <c r="A17" s="0" t="s">
        <v>98</v>
      </c>
      <c r="C17" s="3" t="n">
        <v>6</v>
      </c>
      <c r="D17" s="3" t="n">
        <v>6</v>
      </c>
      <c r="E17" s="3" t="n">
        <v>5.9</v>
      </c>
      <c r="F17" s="3" t="n">
        <v>5.8</v>
      </c>
      <c r="G17" s="3" t="n">
        <v>5.7</v>
      </c>
      <c r="H17" s="3" t="n">
        <v>5.6</v>
      </c>
      <c r="I17" s="3" t="n">
        <v>5.5</v>
      </c>
      <c r="J17" s="3" t="n">
        <v>5.4</v>
      </c>
      <c r="K17" s="3" t="n">
        <v>5.3</v>
      </c>
      <c r="L17" s="3" t="n">
        <v>5.2</v>
      </c>
    </row>
    <row r="18" customFormat="false" ht="15" hidden="false" customHeight="false" outlineLevel="0" collapsed="false">
      <c r="A18" s="0" t="s">
        <v>99</v>
      </c>
      <c r="C18" s="3" t="n">
        <v>8.8</v>
      </c>
      <c r="D18" s="3" t="n">
        <v>8</v>
      </c>
      <c r="E18" s="3" t="n">
        <v>7.2</v>
      </c>
      <c r="F18" s="3" t="n">
        <v>6.5</v>
      </c>
      <c r="G18" s="3" t="n">
        <v>6</v>
      </c>
      <c r="H18" s="3" t="n">
        <v>5.8</v>
      </c>
      <c r="I18" s="3" t="n">
        <v>5.6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100</v>
      </c>
      <c r="C19" s="3" t="n">
        <v>55</v>
      </c>
      <c r="D19" s="3" t="n">
        <v>50</v>
      </c>
      <c r="E19" s="3" t="n">
        <v>45</v>
      </c>
      <c r="F19" s="3" t="n">
        <v>40</v>
      </c>
      <c r="G19" s="3" t="n">
        <v>36</v>
      </c>
      <c r="H19" s="3" t="n">
        <v>33</v>
      </c>
      <c r="I19" s="3" t="n">
        <v>31</v>
      </c>
      <c r="J19" s="3" t="n">
        <v>30</v>
      </c>
      <c r="K19" s="3" t="n">
        <v>29</v>
      </c>
      <c r="L19" s="3" t="n">
        <v>28</v>
      </c>
    </row>
    <row r="20" customFormat="false" ht="15" hidden="false" customHeight="false" outlineLevel="0" collapsed="false">
      <c r="A20" s="0" t="s">
        <v>101</v>
      </c>
      <c r="B20" s="3" t="n">
        <v>10</v>
      </c>
    </row>
    <row r="21" customFormat="false" ht="15" hidden="false" customHeight="false" outlineLevel="0" collapsed="false">
      <c r="A21" s="0" t="s">
        <v>102</v>
      </c>
      <c r="B21" s="3" t="n">
        <v>2.5</v>
      </c>
    </row>
    <row r="22" customFormat="false" ht="15" hidden="false" customHeight="false" outlineLevel="0" collapsed="false">
      <c r="A22" s="0" t="s">
        <v>103</v>
      </c>
      <c r="B22" s="3" t="n">
        <v>12</v>
      </c>
    </row>
    <row r="23" customFormat="false" ht="15" hidden="false" customHeight="false" outlineLevel="0" collapsed="false">
      <c r="A23" s="0" t="s">
        <v>104</v>
      </c>
      <c r="B23" s="3" t="n">
        <v>2</v>
      </c>
    </row>
    <row r="24" customFormat="false" ht="15" hidden="false" customHeight="false" outlineLevel="0" collapsed="false">
      <c r="A24" s="0" t="s">
        <v>105</v>
      </c>
      <c r="B24" s="3" t="n">
        <v>0.3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19</v>
      </c>
      <c r="D27" s="3" t="n">
        <v>17</v>
      </c>
      <c r="E27" s="3" t="n">
        <v>14</v>
      </c>
      <c r="F27" s="3" t="n">
        <v>12</v>
      </c>
      <c r="G27" s="3" t="n">
        <v>10</v>
      </c>
      <c r="H27" s="3" t="n">
        <v>8</v>
      </c>
      <c r="I27" s="3" t="n">
        <v>6</v>
      </c>
      <c r="J27" s="3" t="n">
        <v>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95</v>
      </c>
      <c r="C28" s="3" t="n">
        <v>18.3</v>
      </c>
      <c r="D28" s="3" t="n">
        <v>18.6</v>
      </c>
      <c r="E28" s="3" t="n">
        <v>19</v>
      </c>
      <c r="F28" s="3" t="n">
        <v>19.4</v>
      </c>
      <c r="G28" s="3" t="n">
        <v>19.8</v>
      </c>
      <c r="H28" s="3" t="n">
        <v>20.2</v>
      </c>
      <c r="I28" s="3" t="n">
        <v>20.5</v>
      </c>
      <c r="J28" s="3" t="n">
        <v>20.8</v>
      </c>
      <c r="K28" s="3" t="n">
        <v>21</v>
      </c>
      <c r="L28" s="3" t="n">
        <v>21</v>
      </c>
    </row>
    <row r="29" customFormat="false" ht="15" hidden="false" customHeight="false" outlineLevel="0" collapsed="false">
      <c r="A29" s="0" t="s">
        <v>96</v>
      </c>
      <c r="C29" s="3" t="n">
        <v>0.7</v>
      </c>
      <c r="D29" s="3" t="n">
        <v>0.65</v>
      </c>
      <c r="E29" s="3" t="n">
        <v>0.6</v>
      </c>
      <c r="F29" s="3" t="n">
        <v>0.6</v>
      </c>
      <c r="G29" s="3" t="n">
        <v>0.55</v>
      </c>
      <c r="H29" s="3" t="n">
        <v>0.55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97</v>
      </c>
      <c r="C30" s="3" t="n">
        <v>8.6</v>
      </c>
      <c r="D30" s="3" t="n">
        <v>8.5</v>
      </c>
      <c r="E30" s="3" t="n">
        <v>8.4</v>
      </c>
      <c r="F30" s="3" t="n">
        <v>8.3</v>
      </c>
      <c r="G30" s="3" t="n">
        <v>8.2</v>
      </c>
      <c r="H30" s="3" t="n">
        <v>8.1</v>
      </c>
      <c r="I30" s="3" t="n">
        <v>8</v>
      </c>
      <c r="J30" s="3" t="n">
        <v>8</v>
      </c>
      <c r="K30" s="3" t="n">
        <v>8</v>
      </c>
      <c r="L30" s="3" t="n">
        <v>8</v>
      </c>
    </row>
    <row r="31" customFormat="false" ht="15" hidden="false" customHeight="false" outlineLevel="0" collapsed="false">
      <c r="A31" s="0" t="s">
        <v>98</v>
      </c>
      <c r="C31" s="3" t="n">
        <v>6</v>
      </c>
      <c r="D31" s="3" t="n">
        <v>6</v>
      </c>
      <c r="E31" s="3" t="n">
        <v>5.9</v>
      </c>
      <c r="F31" s="3" t="n">
        <v>5.8</v>
      </c>
      <c r="G31" s="3" t="n">
        <v>5.7</v>
      </c>
      <c r="H31" s="3" t="n">
        <v>5.6</v>
      </c>
      <c r="I31" s="3" t="n">
        <v>5.5</v>
      </c>
      <c r="J31" s="3" t="n">
        <v>5.4</v>
      </c>
      <c r="K31" s="3" t="n">
        <v>5.3</v>
      </c>
      <c r="L31" s="3" t="n">
        <v>5.2</v>
      </c>
    </row>
    <row r="32" customFormat="false" ht="15" hidden="false" customHeight="false" outlineLevel="0" collapsed="false">
      <c r="A32" s="0" t="s">
        <v>99</v>
      </c>
      <c r="C32" s="3" t="n">
        <v>9</v>
      </c>
      <c r="D32" s="3" t="n">
        <v>8.5</v>
      </c>
      <c r="E32" s="3" t="n">
        <v>7.9</v>
      </c>
      <c r="F32" s="3" t="n">
        <v>7.3</v>
      </c>
      <c r="G32" s="3" t="n">
        <v>6.8</v>
      </c>
      <c r="H32" s="3" t="n">
        <v>6.4</v>
      </c>
      <c r="I32" s="3" t="n">
        <v>6</v>
      </c>
      <c r="J32" s="3" t="n">
        <v>5.8</v>
      </c>
      <c r="K32" s="3" t="n">
        <v>5.6</v>
      </c>
      <c r="L32" s="3" t="n">
        <v>5.5</v>
      </c>
    </row>
    <row r="33" customFormat="false" ht="15" hidden="false" customHeight="false" outlineLevel="0" collapsed="false">
      <c r="A33" s="0" t="s">
        <v>100</v>
      </c>
      <c r="C33" s="3" t="n">
        <v>50</v>
      </c>
      <c r="D33" s="3" t="n">
        <v>45</v>
      </c>
      <c r="E33" s="3" t="n">
        <v>40</v>
      </c>
      <c r="F33" s="3" t="n">
        <v>36</v>
      </c>
      <c r="G33" s="3" t="n">
        <v>33</v>
      </c>
      <c r="H33" s="3" t="n">
        <v>31</v>
      </c>
      <c r="I33" s="3" t="n">
        <v>29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101</v>
      </c>
      <c r="B34" s="3" t="n">
        <v>10</v>
      </c>
    </row>
    <row r="35" customFormat="false" ht="15" hidden="false" customHeight="false" outlineLevel="0" collapsed="false">
      <c r="A35" s="0" t="s">
        <v>102</v>
      </c>
      <c r="B35" s="3" t="n">
        <v>3</v>
      </c>
    </row>
    <row r="36" customFormat="false" ht="15" hidden="false" customHeight="false" outlineLevel="0" collapsed="false">
      <c r="A36" s="0" t="s">
        <v>103</v>
      </c>
      <c r="B36" s="3" t="n">
        <v>15</v>
      </c>
    </row>
    <row r="37" customFormat="false" ht="15" hidden="false" customHeight="false" outlineLevel="0" collapsed="false">
      <c r="A37" s="0" t="s">
        <v>104</v>
      </c>
      <c r="B37" s="3" t="n">
        <v>3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21</v>
      </c>
      <c r="D41" s="3" t="n">
        <v>20</v>
      </c>
      <c r="E41" s="3" t="n">
        <v>17</v>
      </c>
      <c r="F41" s="3" t="n">
        <v>14</v>
      </c>
      <c r="G41" s="3" t="n">
        <v>12</v>
      </c>
      <c r="H41" s="3" t="n">
        <v>10</v>
      </c>
      <c r="I41" s="3" t="n">
        <v>8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95</v>
      </c>
      <c r="C42" s="3" t="n">
        <v>18.5</v>
      </c>
      <c r="D42" s="3" t="n">
        <v>19.2</v>
      </c>
      <c r="E42" s="3" t="n">
        <v>19.9</v>
      </c>
      <c r="F42" s="3" t="n">
        <v>20.5</v>
      </c>
      <c r="G42" s="3" t="n">
        <v>21</v>
      </c>
      <c r="H42" s="3" t="n">
        <v>21.5</v>
      </c>
      <c r="I42" s="3" t="n">
        <v>21.9</v>
      </c>
      <c r="J42" s="3" t="n">
        <v>22.2</v>
      </c>
      <c r="K42" s="3" t="n">
        <v>22.4</v>
      </c>
      <c r="L42" s="3" t="n">
        <v>22.5</v>
      </c>
    </row>
    <row r="43" customFormat="false" ht="15" hidden="false" customHeight="false" outlineLevel="0" collapsed="false">
      <c r="A43" s="0" t="s">
        <v>96</v>
      </c>
      <c r="C43" s="3" t="n">
        <v>0.7</v>
      </c>
      <c r="D43" s="3" t="n">
        <v>0.65</v>
      </c>
      <c r="E43" s="3" t="n">
        <v>0.6</v>
      </c>
      <c r="F43" s="3" t="n">
        <v>0.6</v>
      </c>
      <c r="G43" s="3" t="n">
        <v>0.55</v>
      </c>
      <c r="H43" s="3" t="n">
        <v>0.55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97</v>
      </c>
      <c r="C44" s="3" t="n">
        <v>8.5</v>
      </c>
      <c r="D44" s="3" t="n">
        <v>8.3</v>
      </c>
      <c r="E44" s="3" t="n">
        <v>8.1</v>
      </c>
      <c r="F44" s="3" t="n">
        <v>7.9</v>
      </c>
      <c r="G44" s="3" t="n">
        <v>7.8</v>
      </c>
      <c r="H44" s="3" t="n">
        <v>7.7</v>
      </c>
      <c r="I44" s="3" t="n">
        <v>7.6</v>
      </c>
      <c r="J44" s="3" t="n">
        <v>7.6</v>
      </c>
      <c r="K44" s="3" t="n">
        <v>7.6</v>
      </c>
      <c r="L44" s="3" t="n">
        <v>7.6</v>
      </c>
    </row>
    <row r="45" customFormat="false" ht="15" hidden="false" customHeight="false" outlineLevel="0" collapsed="false">
      <c r="A45" s="0" t="s">
        <v>98</v>
      </c>
      <c r="C45" s="3" t="n">
        <v>6</v>
      </c>
      <c r="D45" s="3" t="n">
        <v>6</v>
      </c>
      <c r="E45" s="3" t="n">
        <v>5.9</v>
      </c>
      <c r="F45" s="3" t="n">
        <v>5.8</v>
      </c>
      <c r="G45" s="3" t="n">
        <v>5.7</v>
      </c>
      <c r="H45" s="3" t="n">
        <v>5.6</v>
      </c>
      <c r="I45" s="3" t="n">
        <v>5.5</v>
      </c>
      <c r="J45" s="3" t="n">
        <v>5.4</v>
      </c>
      <c r="K45" s="3" t="n">
        <v>5.3</v>
      </c>
      <c r="L45" s="3" t="n">
        <v>5.2</v>
      </c>
    </row>
    <row r="46" customFormat="false" ht="15" hidden="false" customHeight="false" outlineLevel="0" collapsed="false">
      <c r="A46" s="0" t="s">
        <v>99</v>
      </c>
      <c r="C46" s="3" t="n">
        <v>9.2</v>
      </c>
      <c r="D46" s="3" t="n">
        <v>8.8</v>
      </c>
      <c r="E46" s="3" t="n">
        <v>8.2</v>
      </c>
      <c r="F46" s="3" t="n">
        <v>7.6</v>
      </c>
      <c r="G46" s="3" t="n">
        <v>7</v>
      </c>
      <c r="H46" s="3" t="n">
        <v>6.5</v>
      </c>
      <c r="I46" s="3" t="n">
        <v>6</v>
      </c>
      <c r="J46" s="3" t="n">
        <v>5.8</v>
      </c>
      <c r="K46" s="3" t="n">
        <v>5.6</v>
      </c>
      <c r="L46" s="3" t="n">
        <v>5.5</v>
      </c>
    </row>
    <row r="47" customFormat="false" ht="15" hidden="false" customHeight="false" outlineLevel="0" collapsed="false">
      <c r="A47" s="0" t="s">
        <v>100</v>
      </c>
      <c r="C47" s="3" t="n">
        <v>48</v>
      </c>
      <c r="D47" s="3" t="n">
        <v>42</v>
      </c>
      <c r="E47" s="3" t="n">
        <v>37</v>
      </c>
      <c r="F47" s="3" t="n">
        <v>33</v>
      </c>
      <c r="G47" s="3" t="n">
        <v>30</v>
      </c>
      <c r="H47" s="3" t="n">
        <v>28</v>
      </c>
      <c r="I47" s="3" t="n">
        <v>27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101</v>
      </c>
      <c r="B48" s="3" t="n">
        <v>10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18</v>
      </c>
    </row>
    <row r="51" customFormat="false" ht="15" hidden="false" customHeight="false" outlineLevel="0" collapsed="false">
      <c r="A51" s="0" t="s">
        <v>104</v>
      </c>
      <c r="B51" s="3" t="n">
        <v>4</v>
      </c>
    </row>
    <row r="52" customFormat="false" ht="15" hidden="false" customHeight="false" outlineLevel="0" collapsed="false">
      <c r="A52" s="0" t="s">
        <v>105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16</v>
      </c>
      <c r="D5" s="4" t="n">
        <f aca="false">Assumptions!D13</f>
        <v>12</v>
      </c>
      <c r="E5" s="4" t="n">
        <f aca="false">Assumptions!E13</f>
        <v>9</v>
      </c>
      <c r="F5" s="4" t="n">
        <f aca="false">Assumptions!F13</f>
        <v>7</v>
      </c>
      <c r="G5" s="4" t="n">
        <f aca="false">Assumptions!G13</f>
        <v>5</v>
      </c>
      <c r="H5" s="4" t="n">
        <f aca="false">Assumptions!H13</f>
        <v>4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5382.047</v>
      </c>
      <c r="C6" s="0" t="n">
        <f aca="false">B6*(1+C5/100)</f>
        <v>6243.17452</v>
      </c>
      <c r="D6" s="0" t="n">
        <f aca="false">C6*(1+D5/100)</f>
        <v>6992.3554624</v>
      </c>
      <c r="E6" s="0" t="n">
        <f aca="false">D6*(1+E5/100)</f>
        <v>7621.667454016</v>
      </c>
      <c r="F6" s="0" t="n">
        <f aca="false">E6*(1+F5/100)</f>
        <v>8155.18417579712</v>
      </c>
      <c r="G6" s="0" t="n">
        <f aca="false">F6*(1+G5/100)</f>
        <v>8562.94338458698</v>
      </c>
      <c r="H6" s="0" t="n">
        <f aca="false">G6*(1+H5/100)</f>
        <v>8905.46111997045</v>
      </c>
      <c r="I6" s="0" t="n">
        <f aca="false">H6*(1+I5/100)</f>
        <v>9172.62495356957</v>
      </c>
      <c r="J6" s="0" t="n">
        <f aca="false">I6*(1+J5/100)</f>
        <v>9447.80370217666</v>
      </c>
      <c r="K6" s="0" t="n">
        <f aca="false">J6*(1+K5/100)</f>
        <v>9683.99879473107</v>
      </c>
      <c r="L6" s="0" t="n">
        <f aca="false">K6*(1+L5/100)</f>
        <v>9926.09876459935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17.8</v>
      </c>
      <c r="D7" s="4" t="n">
        <f aca="false">Assumptions!D14</f>
        <v>17.5</v>
      </c>
      <c r="E7" s="4" t="n">
        <f aca="false">Assumptions!E14</f>
        <v>17.6</v>
      </c>
      <c r="F7" s="4" t="n">
        <f aca="false">Assumptions!F14</f>
        <v>17.8</v>
      </c>
      <c r="G7" s="4" t="n">
        <f aca="false">Assumptions!G14</f>
        <v>18</v>
      </c>
      <c r="H7" s="4" t="n">
        <f aca="false">Assumptions!H14</f>
        <v>18.2</v>
      </c>
      <c r="I7" s="4" t="n">
        <f aca="false">Assumptions!I14</f>
        <v>18.4</v>
      </c>
      <c r="J7" s="4" t="n">
        <f aca="false">Assumptions!J14</f>
        <v>18.5</v>
      </c>
      <c r="K7" s="4" t="n">
        <f aca="false">Assumptions!K14</f>
        <v>18.5</v>
      </c>
      <c r="L7" s="4" t="n">
        <f aca="false">Assumptions!L14</f>
        <v>18.5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1111.28506456</v>
      </c>
      <c r="D8" s="0" t="n">
        <f aca="false">D6*D7/100</f>
        <v>1223.66220592</v>
      </c>
      <c r="E8" s="0" t="n">
        <f aca="false">E6*E7/100</f>
        <v>1341.41347190682</v>
      </c>
      <c r="F8" s="0" t="n">
        <f aca="false">F6*F7/100</f>
        <v>1451.62278329189</v>
      </c>
      <c r="G8" s="0" t="n">
        <f aca="false">G6*G7/100</f>
        <v>1541.32980922566</v>
      </c>
      <c r="H8" s="0" t="n">
        <f aca="false">H6*H7/100</f>
        <v>1620.79392383462</v>
      </c>
      <c r="I8" s="0" t="n">
        <f aca="false">I6*I7/100</f>
        <v>1687.7629914568</v>
      </c>
      <c r="J8" s="0" t="n">
        <f aca="false">J6*J7/100</f>
        <v>1747.84368490268</v>
      </c>
      <c r="K8" s="0" t="n">
        <f aca="false">K6*K7/100</f>
        <v>1791.53977702525</v>
      </c>
      <c r="L8" s="0" t="n">
        <f aca="false">L6*L7/100</f>
        <v>1836.32827145088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0.7</v>
      </c>
      <c r="D9" s="4" t="n">
        <f aca="false">Assumptions!D15</f>
        <v>0.65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0.55</v>
      </c>
      <c r="H9" s="4" t="n">
        <f aca="false">Assumptions!H15</f>
        <v>0.55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-43.70222164</v>
      </c>
      <c r="D10" s="0" t="n">
        <f aca="false">-D6*D9/100</f>
        <v>-45.4503105056</v>
      </c>
      <c r="E10" s="0" t="n">
        <f aca="false">-E6*E9/100</f>
        <v>-45.730004724096</v>
      </c>
      <c r="F10" s="0" t="n">
        <f aca="false">-F6*F9/100</f>
        <v>-48.9311050547827</v>
      </c>
      <c r="G10" s="0" t="n">
        <f aca="false">-G6*G9/100</f>
        <v>-47.0961886152284</v>
      </c>
      <c r="H10" s="0" t="n">
        <f aca="false">-H6*H9/100</f>
        <v>-48.9800361598375</v>
      </c>
      <c r="I10" s="0" t="n">
        <f aca="false">-I6*I9/100</f>
        <v>-45.8631247678478</v>
      </c>
      <c r="J10" s="0" t="n">
        <f aca="false">-J6*J9/100</f>
        <v>-47.2390185108833</v>
      </c>
      <c r="K10" s="0" t="n">
        <f aca="false">-K6*K9/100</f>
        <v>-48.4199939736554</v>
      </c>
      <c r="L10" s="0" t="n">
        <f aca="false">-L6*L9/100</f>
        <v>-49.6304938229967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524.42665968</v>
      </c>
      <c r="D11" s="0" t="n">
        <f aca="false">D8+D10+D24</f>
        <v>562.8846147232</v>
      </c>
      <c r="E11" s="0" t="n">
        <f aca="false">E8+E10+E24</f>
        <v>624.976731229312</v>
      </c>
      <c r="F11" s="0" t="n">
        <f aca="false">F8+F10+F24</f>
        <v>693.190654942756</v>
      </c>
      <c r="G11" s="0" t="n">
        <f aca="false">G8+G10+G24</f>
        <v>757.820489535947</v>
      </c>
      <c r="H11" s="0" t="n">
        <f aca="false">H8+H10+H24</f>
        <v>805.944231357326</v>
      </c>
      <c r="I11" s="0" t="n">
        <f aca="false">I8+I10+I24</f>
        <v>862.226745635539</v>
      </c>
      <c r="J11" s="0" t="n">
        <f aca="false">J8+J10+J24</f>
        <v>897.541351706782</v>
      </c>
      <c r="K11" s="0" t="n">
        <f aca="false">K8+K10+K24</f>
        <v>919.979885499452</v>
      </c>
      <c r="L11" s="0" t="n">
        <f aca="false">L8+L10+L24</f>
        <v>942.979382636938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-374.5904712</v>
      </c>
      <c r="D12" s="4" t="n">
        <f aca="false">-D6*Assumptions!D17/100</f>
        <v>-419.541327744</v>
      </c>
      <c r="E12" s="4" t="n">
        <f aca="false">-E6*Assumptions!E17/100</f>
        <v>-449.678379786944</v>
      </c>
      <c r="F12" s="4" t="n">
        <f aca="false">-F6*Assumptions!F17/100</f>
        <v>-473.000682196233</v>
      </c>
      <c r="G12" s="4" t="n">
        <f aca="false">-G6*Assumptions!G17/100</f>
        <v>-488.087772921458</v>
      </c>
      <c r="H12" s="4" t="n">
        <f aca="false">-H6*Assumptions!H17/100</f>
        <v>-498.705822718345</v>
      </c>
      <c r="I12" s="4" t="n">
        <f aca="false">-I6*Assumptions!I17/100</f>
        <v>-504.494372446326</v>
      </c>
      <c r="J12" s="4" t="n">
        <f aca="false">-J6*Assumptions!J17/100</f>
        <v>-510.181399917539</v>
      </c>
      <c r="K12" s="4" t="n">
        <f aca="false">-K6*Assumptions!K17/100</f>
        <v>-513.251936120747</v>
      </c>
      <c r="L12" s="4" t="n">
        <f aca="false">-L6*Assumptions!L17/100</f>
        <v>-516.157135759166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149.83618848</v>
      </c>
      <c r="D13" s="0" t="n">
        <f aca="false">D11+D12</f>
        <v>143.3432869792</v>
      </c>
      <c r="E13" s="0" t="n">
        <f aca="false">E11+E12</f>
        <v>175.298351442368</v>
      </c>
      <c r="F13" s="0" t="n">
        <f aca="false">F11+F12</f>
        <v>220.189972746523</v>
      </c>
      <c r="G13" s="0" t="n">
        <f aca="false">G11+G12</f>
        <v>269.73271661449</v>
      </c>
      <c r="H13" s="0" t="n">
        <f aca="false">H11+H12</f>
        <v>307.238408638981</v>
      </c>
      <c r="I13" s="0" t="n">
        <f aca="false">I11+I12</f>
        <v>357.732373189213</v>
      </c>
      <c r="J13" s="0" t="n">
        <f aca="false">J11+J12</f>
        <v>387.359951789243</v>
      </c>
      <c r="K13" s="0" t="n">
        <f aca="false">K11+K12</f>
        <v>406.727949378705</v>
      </c>
      <c r="L13" s="0" t="n">
        <f aca="false">L11+L12</f>
        <v>426.822246877772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55</v>
      </c>
      <c r="D14" s="4" t="n">
        <f aca="false">Assumptions!D19</f>
        <v>50</v>
      </c>
      <c r="E14" s="4" t="n">
        <f aca="false">Assumptions!E19</f>
        <v>45</v>
      </c>
      <c r="F14" s="4" t="n">
        <f aca="false">Assumptions!F19</f>
        <v>40</v>
      </c>
      <c r="G14" s="4" t="n">
        <f aca="false">Assumptions!G19</f>
        <v>36</v>
      </c>
      <c r="H14" s="4" t="n">
        <f aca="false">Assumptions!H19</f>
        <v>33</v>
      </c>
      <c r="I14" s="4" t="n">
        <f aca="false">Assumptions!I19</f>
        <v>31</v>
      </c>
      <c r="J14" s="4" t="n">
        <f aca="false">Assumptions!J19</f>
        <v>30</v>
      </c>
      <c r="K14" s="4" t="n">
        <f aca="false">Assumptions!K19</f>
        <v>29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67.426284816</v>
      </c>
      <c r="D15" s="0" t="n">
        <f aca="false">D13-MAX(0,D13)*D14/100</f>
        <v>71.6716434896</v>
      </c>
      <c r="E15" s="0" t="n">
        <f aca="false">E13-MAX(0,E13)*E14/100</f>
        <v>96.4140932933024</v>
      </c>
      <c r="F15" s="0" t="n">
        <f aca="false">F13-MAX(0,F13)*F14/100</f>
        <v>132.113983647914</v>
      </c>
      <c r="G15" s="0" t="n">
        <f aca="false">G13-MAX(0,G13)*G14/100</f>
        <v>172.628938633274</v>
      </c>
      <c r="H15" s="0" t="n">
        <f aca="false">H13-MAX(0,H13)*H14/100</f>
        <v>205.849733788117</v>
      </c>
      <c r="I15" s="0" t="n">
        <f aca="false">I13-MAX(0,I13)*I14/100</f>
        <v>246.835337500557</v>
      </c>
      <c r="J15" s="0" t="n">
        <f aca="false">J13-MAX(0,J13)*J14/100</f>
        <v>271.15196625247</v>
      </c>
      <c r="K15" s="0" t="n">
        <f aca="false">K13-MAX(0,K13)*K14/100</f>
        <v>288.77684405888</v>
      </c>
      <c r="L15" s="0" t="n">
        <f aca="false">L13-MAX(0,L13)*L14/100</f>
        <v>307.312017751996</v>
      </c>
    </row>
    <row r="16" customFormat="false" ht="15" hidden="false" customHeight="false" outlineLevel="0" collapsed="false">
      <c r="A16" s="0" t="s">
        <v>116</v>
      </c>
      <c r="C16" s="0" t="n">
        <f aca="false">-C12</f>
        <v>374.5904712</v>
      </c>
      <c r="D16" s="0" t="n">
        <f aca="false">-D12</f>
        <v>419.541327744</v>
      </c>
      <c r="E16" s="0" t="n">
        <f aca="false">-E12</f>
        <v>449.678379786944</v>
      </c>
      <c r="F16" s="0" t="n">
        <f aca="false">-F12</f>
        <v>473.000682196233</v>
      </c>
      <c r="G16" s="0" t="n">
        <f aca="false">-G12</f>
        <v>488.087772921458</v>
      </c>
      <c r="H16" s="0" t="n">
        <f aca="false">-H12</f>
        <v>498.705822718345</v>
      </c>
      <c r="I16" s="0" t="n">
        <f aca="false">-I12</f>
        <v>504.494372446326</v>
      </c>
      <c r="J16" s="0" t="n">
        <f aca="false">-J12</f>
        <v>510.181399917539</v>
      </c>
      <c r="K16" s="0" t="n">
        <f aca="false">-K12</f>
        <v>513.251936120747</v>
      </c>
      <c r="L16" s="0" t="n">
        <f aca="false">-L12</f>
        <v>516.157135759166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-549.39935776</v>
      </c>
      <c r="D17" s="4" t="n">
        <f aca="false">-D6*Assumptions!D18/100</f>
        <v>-559.388436992</v>
      </c>
      <c r="E17" s="4" t="n">
        <f aca="false">-E6*Assumptions!E18/100</f>
        <v>-548.760056689152</v>
      </c>
      <c r="F17" s="4" t="n">
        <f aca="false">-F6*Assumptions!F18/100</f>
        <v>-530.086971426813</v>
      </c>
      <c r="G17" s="4" t="n">
        <f aca="false">-G6*Assumptions!G18/100</f>
        <v>-513.776603075219</v>
      </c>
      <c r="H17" s="4" t="n">
        <f aca="false">-H6*Assumptions!H18/100</f>
        <v>-516.516744958286</v>
      </c>
      <c r="I17" s="4" t="n">
        <f aca="false">-I6*Assumptions!I18/100</f>
        <v>-513.666997399896</v>
      </c>
      <c r="J17" s="4" t="n">
        <f aca="false">-J6*Assumptions!J18/100</f>
        <v>-519.629203619716</v>
      </c>
      <c r="K17" s="4" t="n">
        <f aca="false">-K6*Assumptions!K18/100</f>
        <v>-532.619933710209</v>
      </c>
      <c r="L17" s="4" t="n">
        <f aca="false">-L6*Assumptions!L18/100</f>
        <v>-545.935432052964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17.2225504</v>
      </c>
      <c r="D18" s="4" t="n">
        <f aca="false">(D6-C6)*Assumptions!$B$23/100</f>
        <v>14.983618848</v>
      </c>
      <c r="E18" s="4" t="n">
        <f aca="false">(E6-D6)*Assumptions!$B$23/100</f>
        <v>12.58623983232</v>
      </c>
      <c r="F18" s="4" t="n">
        <f aca="false">(F6-E6)*Assumptions!$B$23/100</f>
        <v>10.6703344356224</v>
      </c>
      <c r="G18" s="4" t="n">
        <f aca="false">(G6-F6)*Assumptions!$B$23/100</f>
        <v>8.15518417579711</v>
      </c>
      <c r="H18" s="4" t="n">
        <f aca="false">(H6-G6)*Assumptions!$B$23/100</f>
        <v>6.85035470766958</v>
      </c>
      <c r="I18" s="4" t="n">
        <f aca="false">(I6-H6)*Assumptions!$B$23/100</f>
        <v>5.34327667198228</v>
      </c>
      <c r="J18" s="4" t="n">
        <f aca="false">(J6-I6)*Assumptions!$B$23/100</f>
        <v>5.50357497214176</v>
      </c>
      <c r="K18" s="4" t="n">
        <f aca="false">(K6-J6)*Assumptions!$B$23/100</f>
        <v>4.7239018510883</v>
      </c>
      <c r="L18" s="4" t="n">
        <f aca="false">(L6-K6)*Assumptions!$B$23/100</f>
        <v>4.84199939736551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-90.1600513440001</v>
      </c>
      <c r="D19" s="0" t="n">
        <f aca="false">D15+D16+D17+D18</f>
        <v>-53.1918469104</v>
      </c>
      <c r="E19" s="0" t="n">
        <f aca="false">E15+E16+E17+E18</f>
        <v>9.91865622341452</v>
      </c>
      <c r="F19" s="0" t="n">
        <f aca="false">F15+F16+F17+F18</f>
        <v>85.698028852956</v>
      </c>
      <c r="G19" s="0" t="n">
        <f aca="false">G15+G16+G17+G18</f>
        <v>155.09529265531</v>
      </c>
      <c r="H19" s="0" t="n">
        <f aca="false">H15+H16+H17+H18</f>
        <v>194.889166255846</v>
      </c>
      <c r="I19" s="0" t="n">
        <f aca="false">I15+I16+I17+I18</f>
        <v>243.00598921897</v>
      </c>
      <c r="J19" s="0" t="n">
        <f aca="false">J15+J16+J17+J18</f>
        <v>267.207737522435</v>
      </c>
      <c r="K19" s="0" t="n">
        <f aca="false">K15+K16+K17+K18</f>
        <v>274.132748320507</v>
      </c>
      <c r="L19" s="0" t="n">
        <f aca="false">L15+L16+L17+L18</f>
        <v>282.375720855563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-81.9636830400001</v>
      </c>
      <c r="D21" s="0" t="n">
        <f aca="false">D19*D20</f>
        <v>-43.9602040581818</v>
      </c>
      <c r="E21" s="0" t="n">
        <f aca="false">E19*E20</f>
        <v>7.45203322570587</v>
      </c>
      <c r="F21" s="0" t="n">
        <f aca="false">F19*F20</f>
        <v>58.532906804833</v>
      </c>
      <c r="G21" s="0" t="n">
        <f aca="false">G19*G20</f>
        <v>96.3019743157817</v>
      </c>
      <c r="H21" s="0" t="n">
        <f aca="false">H19*H20</f>
        <v>110.009853601341</v>
      </c>
      <c r="I21" s="0" t="n">
        <f aca="false">I19*I20</f>
        <v>124.700496146398</v>
      </c>
      <c r="J21" s="0" t="n">
        <f aca="false">J19*J20</f>
        <v>124.654381603361</v>
      </c>
      <c r="K21" s="0" t="n">
        <f aca="false">K19*K20</f>
        <v>116.259045680631</v>
      </c>
      <c r="L21" s="0" t="n">
        <f aca="false">L19*L20</f>
        <v>108.868064273689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8.7</v>
      </c>
      <c r="D23" s="4" t="n">
        <f aca="false">Assumptions!D16</f>
        <v>8.8</v>
      </c>
      <c r="E23" s="4" t="n">
        <f aca="false">Assumptions!E16</f>
        <v>8.8</v>
      </c>
      <c r="F23" s="4" t="n">
        <f aca="false">Assumptions!F16</f>
        <v>8.7</v>
      </c>
      <c r="G23" s="4" t="n">
        <f aca="false">Assumptions!G16</f>
        <v>8.6</v>
      </c>
      <c r="H23" s="4" t="n">
        <f aca="false">Assumptions!H16</f>
        <v>8.6</v>
      </c>
      <c r="I23" s="4" t="n">
        <f aca="false">Assumptions!I16</f>
        <v>8.5</v>
      </c>
      <c r="J23" s="4" t="n">
        <f aca="false">Assumptions!J16</f>
        <v>8.5</v>
      </c>
      <c r="K23" s="4" t="n">
        <f aca="false">Assumptions!K16</f>
        <v>8.5</v>
      </c>
      <c r="L23" s="4" t="n">
        <f aca="false">Assumptions!L16</f>
        <v>8.5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-543.15618324</v>
      </c>
      <c r="D24" s="0" t="n">
        <f aca="false">-D6*D23/100</f>
        <v>-615.3272806912</v>
      </c>
      <c r="E24" s="0" t="n">
        <f aca="false">-E6*E23/100</f>
        <v>-670.706735953408</v>
      </c>
      <c r="F24" s="0" t="n">
        <f aca="false">-F6*F23/100</f>
        <v>-709.501023294349</v>
      </c>
      <c r="G24" s="0" t="n">
        <f aca="false">-G6*G23/100</f>
        <v>-736.41313107448</v>
      </c>
      <c r="H24" s="0" t="n">
        <f aca="false">-H6*H23/100</f>
        <v>-765.869656317459</v>
      </c>
      <c r="I24" s="0" t="n">
        <f aca="false">-I6*I23/100</f>
        <v>-779.673121053413</v>
      </c>
      <c r="J24" s="0" t="n">
        <f aca="false">-J6*J23/100</f>
        <v>-803.063314685016</v>
      </c>
      <c r="K24" s="0" t="n">
        <f aca="false">-K6*K23/100</f>
        <v>-823.139897552141</v>
      </c>
      <c r="L24" s="0" t="n">
        <f aca="false">-L6*L23/100</f>
        <v>-843.718394990945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620.854868553559</v>
      </c>
    </row>
    <row r="31" customFormat="false" ht="15" hidden="false" customHeight="false" outlineLevel="0" collapsed="false">
      <c r="A31" s="0" t="s">
        <v>125</v>
      </c>
      <c r="B31" s="0" t="n">
        <f aca="false">L19</f>
        <v>282.375720855563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3859.1348516927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3388.50865026676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3388.50865026676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1306.41677128427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1927.27163983783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2662.37163983783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23.5634960153798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-0.259940451778274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287.202639813022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261.507619208579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28.4198923984336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2315.48091101562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15.3304771335486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19</v>
      </c>
      <c r="D5" s="4" t="n">
        <f aca="false">Assumptions!D27</f>
        <v>17</v>
      </c>
      <c r="E5" s="4" t="n">
        <f aca="false">Assumptions!E27</f>
        <v>14</v>
      </c>
      <c r="F5" s="4" t="n">
        <f aca="false">Assumptions!F27</f>
        <v>12</v>
      </c>
      <c r="G5" s="4" t="n">
        <f aca="false">Assumptions!G27</f>
        <v>10</v>
      </c>
      <c r="H5" s="4" t="n">
        <f aca="false">Assumptions!H27</f>
        <v>8</v>
      </c>
      <c r="I5" s="4" t="n">
        <f aca="false">Assumptions!I27</f>
        <v>6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5382.047</v>
      </c>
      <c r="C6" s="0" t="n">
        <f aca="false">B6*(1+C5/100)</f>
        <v>6404.63593</v>
      </c>
      <c r="D6" s="0" t="n">
        <f aca="false">C6*(1+D5/100)</f>
        <v>7493.4240381</v>
      </c>
      <c r="E6" s="0" t="n">
        <f aca="false">D6*(1+E5/100)</f>
        <v>8542.503403434</v>
      </c>
      <c r="F6" s="0" t="n">
        <f aca="false">E6*(1+F5/100)</f>
        <v>9567.60381184608</v>
      </c>
      <c r="G6" s="0" t="n">
        <f aca="false">F6*(1+G5/100)</f>
        <v>10524.3641930307</v>
      </c>
      <c r="H6" s="0" t="n">
        <f aca="false">G6*(1+H5/100)</f>
        <v>11366.3133284731</v>
      </c>
      <c r="I6" s="0" t="n">
        <f aca="false">H6*(1+I5/100)</f>
        <v>12048.2921281815</v>
      </c>
      <c r="J6" s="0" t="n">
        <f aca="false">I6*(1+J5/100)</f>
        <v>12650.7067345906</v>
      </c>
      <c r="K6" s="0" t="n">
        <f aca="false">J6*(1+K5/100)</f>
        <v>13156.7350039742</v>
      </c>
      <c r="L6" s="0" t="n">
        <f aca="false">K6*(1+L5/100)</f>
        <v>13617.2207291133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18.3</v>
      </c>
      <c r="D7" s="4" t="n">
        <f aca="false">Assumptions!D28</f>
        <v>18.6</v>
      </c>
      <c r="E7" s="4" t="n">
        <f aca="false">Assumptions!E28</f>
        <v>19</v>
      </c>
      <c r="F7" s="4" t="n">
        <f aca="false">Assumptions!F28</f>
        <v>19.4</v>
      </c>
      <c r="G7" s="4" t="n">
        <f aca="false">Assumptions!G28</f>
        <v>19.8</v>
      </c>
      <c r="H7" s="4" t="n">
        <f aca="false">Assumptions!H28</f>
        <v>20.2</v>
      </c>
      <c r="I7" s="4" t="n">
        <f aca="false">Assumptions!I28</f>
        <v>20.5</v>
      </c>
      <c r="J7" s="4" t="n">
        <f aca="false">Assumptions!J28</f>
        <v>20.8</v>
      </c>
      <c r="K7" s="4" t="n">
        <f aca="false">Assumptions!K28</f>
        <v>21</v>
      </c>
      <c r="L7" s="4" t="n">
        <f aca="false">Assumptions!L28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1172.04837519</v>
      </c>
      <c r="D8" s="0" t="n">
        <f aca="false">D6*D7/100</f>
        <v>1393.7768710866</v>
      </c>
      <c r="E8" s="0" t="n">
        <f aca="false">E6*E7/100</f>
        <v>1623.07564665246</v>
      </c>
      <c r="F8" s="0" t="n">
        <f aca="false">F6*F7/100</f>
        <v>1856.11513949814</v>
      </c>
      <c r="G8" s="0" t="n">
        <f aca="false">G6*G7/100</f>
        <v>2083.82411022008</v>
      </c>
      <c r="H8" s="0" t="n">
        <f aca="false">H6*H7/100</f>
        <v>2295.99529235158</v>
      </c>
      <c r="I8" s="0" t="n">
        <f aca="false">I6*I7/100</f>
        <v>2469.89988627722</v>
      </c>
      <c r="J8" s="0" t="n">
        <f aca="false">J6*J7/100</f>
        <v>2631.34700079485</v>
      </c>
      <c r="K8" s="0" t="n">
        <f aca="false">K6*K7/100</f>
        <v>2762.91435083459</v>
      </c>
      <c r="L8" s="0" t="n">
        <f aca="false">L6*L7/100</f>
        <v>2859.6163531138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0.7</v>
      </c>
      <c r="D9" s="4" t="n">
        <f aca="false">Assumptions!D29</f>
        <v>0.65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0.55</v>
      </c>
      <c r="H9" s="4" t="n">
        <f aca="false">Assumptions!H29</f>
        <v>0.55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-44.83245151</v>
      </c>
      <c r="D10" s="0" t="n">
        <f aca="false">-D6*D9/100</f>
        <v>-48.70725624765</v>
      </c>
      <c r="E10" s="0" t="n">
        <f aca="false">-E6*E9/100</f>
        <v>-51.255020420604</v>
      </c>
      <c r="F10" s="0" t="n">
        <f aca="false">-F6*F9/100</f>
        <v>-57.4056228710765</v>
      </c>
      <c r="G10" s="0" t="n">
        <f aca="false">-G6*G9/100</f>
        <v>-57.8840030616688</v>
      </c>
      <c r="H10" s="0" t="n">
        <f aca="false">-H6*H9/100</f>
        <v>-62.5147233066023</v>
      </c>
      <c r="I10" s="0" t="n">
        <f aca="false">-I6*I9/100</f>
        <v>-60.2414606409077</v>
      </c>
      <c r="J10" s="0" t="n">
        <f aca="false">-J6*J9/100</f>
        <v>-63.2535336729531</v>
      </c>
      <c r="K10" s="0" t="n">
        <f aca="false">-K6*K9/100</f>
        <v>-65.7836750198712</v>
      </c>
      <c r="L10" s="0" t="n">
        <f aca="false">-L6*L9/100</f>
        <v>-68.0861036455667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576.4172337</v>
      </c>
      <c r="D11" s="0" t="n">
        <f aca="false">D8+D10+D24</f>
        <v>708.12857160045</v>
      </c>
      <c r="E11" s="0" t="n">
        <f aca="false">E8+E10+E24</f>
        <v>854.2503403434</v>
      </c>
      <c r="F11" s="0" t="n">
        <f aca="false">F8+F10+F24</f>
        <v>1004.59840024384</v>
      </c>
      <c r="G11" s="0" t="n">
        <f aca="false">G8+G10+G24</f>
        <v>1162.94224332989</v>
      </c>
      <c r="H11" s="0" t="n">
        <f aca="false">H8+H10+H24</f>
        <v>1312.80918943865</v>
      </c>
      <c r="I11" s="0" t="n">
        <f aca="false">I8+I10+I24</f>
        <v>1445.79505538178</v>
      </c>
      <c r="J11" s="0" t="n">
        <f aca="false">J8+J10+J24</f>
        <v>1556.03692835465</v>
      </c>
      <c r="K11" s="0" t="n">
        <f aca="false">K8+K10+K24</f>
        <v>1644.59187549678</v>
      </c>
      <c r="L11" s="0" t="n">
        <f aca="false">L8+L10+L24</f>
        <v>1702.15259113917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-384.2781558</v>
      </c>
      <c r="D12" s="4" t="n">
        <f aca="false">-D6*Assumptions!D31/100</f>
        <v>-449.605442286</v>
      </c>
      <c r="E12" s="4" t="n">
        <f aca="false">-E6*Assumptions!E31/100</f>
        <v>-504.007700802606</v>
      </c>
      <c r="F12" s="4" t="n">
        <f aca="false">-F6*Assumptions!F31/100</f>
        <v>-554.921021087073</v>
      </c>
      <c r="G12" s="4" t="n">
        <f aca="false">-G6*Assumptions!G31/100</f>
        <v>-599.88875900275</v>
      </c>
      <c r="H12" s="4" t="n">
        <f aca="false">-H6*Assumptions!H31/100</f>
        <v>-636.513546394496</v>
      </c>
      <c r="I12" s="4" t="n">
        <f aca="false">-I6*Assumptions!I31/100</f>
        <v>-662.656067049984</v>
      </c>
      <c r="J12" s="4" t="n">
        <f aca="false">-J6*Assumptions!J31/100</f>
        <v>-683.138163667893</v>
      </c>
      <c r="K12" s="4" t="n">
        <f aca="false">-K6*Assumptions!K31/100</f>
        <v>-697.306955210635</v>
      </c>
      <c r="L12" s="4" t="n">
        <f aca="false">-L6*Assumptions!L31/100</f>
        <v>-708.095477913893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192.1390779</v>
      </c>
      <c r="D13" s="0" t="n">
        <f aca="false">D11+D12</f>
        <v>258.52312931445</v>
      </c>
      <c r="E13" s="0" t="n">
        <f aca="false">E11+E12</f>
        <v>350.242639540794</v>
      </c>
      <c r="F13" s="0" t="n">
        <f aca="false">F11+F12</f>
        <v>449.677379156766</v>
      </c>
      <c r="G13" s="0" t="n">
        <f aca="false">G11+G12</f>
        <v>563.053484327142</v>
      </c>
      <c r="H13" s="0" t="n">
        <f aca="false">H11+H12</f>
        <v>676.295643044153</v>
      </c>
      <c r="I13" s="0" t="n">
        <f aca="false">I11+I12</f>
        <v>783.1389883318</v>
      </c>
      <c r="J13" s="0" t="n">
        <f aca="false">J11+J12</f>
        <v>872.898764686752</v>
      </c>
      <c r="K13" s="0" t="n">
        <f aca="false">K11+K12</f>
        <v>947.284920286145</v>
      </c>
      <c r="L13" s="0" t="n">
        <f aca="false">L11+L12</f>
        <v>994.057113225274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50</v>
      </c>
      <c r="D14" s="4" t="n">
        <f aca="false">Assumptions!D33</f>
        <v>45</v>
      </c>
      <c r="E14" s="4" t="n">
        <f aca="false">Assumptions!E33</f>
        <v>40</v>
      </c>
      <c r="F14" s="4" t="n">
        <f aca="false">Assumptions!F33</f>
        <v>36</v>
      </c>
      <c r="G14" s="4" t="n">
        <f aca="false">Assumptions!G33</f>
        <v>33</v>
      </c>
      <c r="H14" s="4" t="n">
        <f aca="false">Assumptions!H33</f>
        <v>31</v>
      </c>
      <c r="I14" s="4" t="n">
        <f aca="false">Assumptions!I33</f>
        <v>29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96.06953895</v>
      </c>
      <c r="D15" s="0" t="n">
        <f aca="false">D13-MAX(0,D13)*D14/100</f>
        <v>142.187721122948</v>
      </c>
      <c r="E15" s="0" t="n">
        <f aca="false">E13-MAX(0,E13)*E14/100</f>
        <v>210.145583724476</v>
      </c>
      <c r="F15" s="0" t="n">
        <f aca="false">F13-MAX(0,F13)*F14/100</f>
        <v>287.79352266033</v>
      </c>
      <c r="G15" s="0" t="n">
        <f aca="false">G13-MAX(0,G13)*G14/100</f>
        <v>377.245834499185</v>
      </c>
      <c r="H15" s="0" t="n">
        <f aca="false">H13-MAX(0,H13)*H14/100</f>
        <v>466.643993700465</v>
      </c>
      <c r="I15" s="0" t="n">
        <f aca="false">I13-MAX(0,I13)*I14/100</f>
        <v>556.028681715578</v>
      </c>
      <c r="J15" s="0" t="n">
        <f aca="false">J13-MAX(0,J13)*J14/100</f>
        <v>628.487110574461</v>
      </c>
      <c r="K15" s="0" t="n">
        <f aca="false">K13-MAX(0,K13)*K14/100</f>
        <v>682.045142606025</v>
      </c>
      <c r="L15" s="0" t="n">
        <f aca="false">L13-MAX(0,L13)*L14/100</f>
        <v>715.721121522197</v>
      </c>
    </row>
    <row r="16" customFormat="false" ht="15" hidden="false" customHeight="false" outlineLevel="0" collapsed="false">
      <c r="A16" s="0" t="s">
        <v>116</v>
      </c>
      <c r="C16" s="0" t="n">
        <f aca="false">-C12</f>
        <v>384.2781558</v>
      </c>
      <c r="D16" s="0" t="n">
        <f aca="false">-D12</f>
        <v>449.605442286</v>
      </c>
      <c r="E16" s="0" t="n">
        <f aca="false">-E12</f>
        <v>504.007700802606</v>
      </c>
      <c r="F16" s="0" t="n">
        <f aca="false">-F12</f>
        <v>554.921021087073</v>
      </c>
      <c r="G16" s="0" t="n">
        <f aca="false">-G12</f>
        <v>599.88875900275</v>
      </c>
      <c r="H16" s="0" t="n">
        <f aca="false">-H12</f>
        <v>636.513546394496</v>
      </c>
      <c r="I16" s="0" t="n">
        <f aca="false">-I12</f>
        <v>662.656067049984</v>
      </c>
      <c r="J16" s="0" t="n">
        <f aca="false">-J12</f>
        <v>683.138163667893</v>
      </c>
      <c r="K16" s="0" t="n">
        <f aca="false">-K12</f>
        <v>697.306955210635</v>
      </c>
      <c r="L16" s="0" t="n">
        <f aca="false">-L12</f>
        <v>708.095477913893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-576.4172337</v>
      </c>
      <c r="D17" s="4" t="n">
        <f aca="false">-D6*Assumptions!D32/100</f>
        <v>-636.9410432385</v>
      </c>
      <c r="E17" s="4" t="n">
        <f aca="false">-E6*Assumptions!E32/100</f>
        <v>-674.857768871286</v>
      </c>
      <c r="F17" s="4" t="n">
        <f aca="false">-F6*Assumptions!F32/100</f>
        <v>-698.435078264764</v>
      </c>
      <c r="G17" s="4" t="n">
        <f aca="false">-G6*Assumptions!G32/100</f>
        <v>-715.656765126087</v>
      </c>
      <c r="H17" s="4" t="n">
        <f aca="false">-H6*Assumptions!H32/100</f>
        <v>-727.444053022281</v>
      </c>
      <c r="I17" s="4" t="n">
        <f aca="false">-I6*Assumptions!I32/100</f>
        <v>-722.897527690892</v>
      </c>
      <c r="J17" s="4" t="n">
        <f aca="false">-J6*Assumptions!J32/100</f>
        <v>-733.740990606256</v>
      </c>
      <c r="K17" s="4" t="n">
        <f aca="false">-K6*Assumptions!K32/100</f>
        <v>-736.777160222557</v>
      </c>
      <c r="L17" s="4" t="n">
        <f aca="false">-L6*Assumptions!L32/100</f>
        <v>-748.947140101233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30.6776679</v>
      </c>
      <c r="D18" s="4" t="n">
        <f aca="false">(D6-C6)*Assumptions!$B$37/100</f>
        <v>32.663643243</v>
      </c>
      <c r="E18" s="4" t="n">
        <f aca="false">(E6-D6)*Assumptions!$B$37/100</f>
        <v>31.47238096002</v>
      </c>
      <c r="F18" s="4" t="n">
        <f aca="false">(F6-E6)*Assumptions!$B$37/100</f>
        <v>30.7530122523624</v>
      </c>
      <c r="G18" s="4" t="n">
        <f aca="false">(G6-F6)*Assumptions!$B$37/100</f>
        <v>28.7028114355383</v>
      </c>
      <c r="H18" s="4" t="n">
        <f aca="false">(H6-G6)*Assumptions!$B$37/100</f>
        <v>25.2584740632737</v>
      </c>
      <c r="I18" s="4" t="n">
        <f aca="false">(I6-H6)*Assumptions!$B$37/100</f>
        <v>20.4593639912517</v>
      </c>
      <c r="J18" s="4" t="n">
        <f aca="false">(J6-I6)*Assumptions!$B$37/100</f>
        <v>18.0724381922723</v>
      </c>
      <c r="K18" s="4" t="n">
        <f aca="false">(K6-J6)*Assumptions!$B$37/100</f>
        <v>15.1808480815088</v>
      </c>
      <c r="L18" s="4" t="n">
        <f aca="false">(L6-K6)*Assumptions!$B$37/100</f>
        <v>13.8145717541729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-65.39187105</v>
      </c>
      <c r="D19" s="0" t="n">
        <f aca="false">D15+D16+D17+D18</f>
        <v>-12.4842365865524</v>
      </c>
      <c r="E19" s="0" t="n">
        <f aca="false">E15+E16+E17+E18</f>
        <v>70.7678966158161</v>
      </c>
      <c r="F19" s="0" t="n">
        <f aca="false">F15+F16+F17+F18</f>
        <v>175.032477735001</v>
      </c>
      <c r="G19" s="0" t="n">
        <f aca="false">G15+G16+G17+G18</f>
        <v>290.180639811386</v>
      </c>
      <c r="H19" s="0" t="n">
        <f aca="false">H15+H16+H17+H18</f>
        <v>400.971961135954</v>
      </c>
      <c r="I19" s="0" t="n">
        <f aca="false">I15+I16+I17+I18</f>
        <v>516.246585065922</v>
      </c>
      <c r="J19" s="0" t="n">
        <f aca="false">J15+J16+J17+J18</f>
        <v>595.956721828371</v>
      </c>
      <c r="K19" s="0" t="n">
        <f aca="false">K15+K16+K17+K18</f>
        <v>657.755785675611</v>
      </c>
      <c r="L19" s="0" t="n">
        <f aca="false">L15+L16+L17+L18</f>
        <v>688.68403108903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-59.4471555</v>
      </c>
      <c r="D21" s="0" t="n">
        <f aca="false">D19*D20</f>
        <v>-10.3175508979772</v>
      </c>
      <c r="E21" s="0" t="n">
        <f aca="false">E19*E20</f>
        <v>53.1689681561353</v>
      </c>
      <c r="F21" s="0" t="n">
        <f aca="false">F19*F20</f>
        <v>119.549537418893</v>
      </c>
      <c r="G21" s="0" t="n">
        <f aca="false">G19*G20</f>
        <v>180.179346797838</v>
      </c>
      <c r="H21" s="0" t="n">
        <f aca="false">H19*H20</f>
        <v>226.338218743782</v>
      </c>
      <c r="I21" s="0" t="n">
        <f aca="false">I19*I20</f>
        <v>264.916126135457</v>
      </c>
      <c r="J21" s="0" t="n">
        <f aca="false">J19*J20</f>
        <v>278.018209018534</v>
      </c>
      <c r="K21" s="0" t="n">
        <f aca="false">K19*K20</f>
        <v>278.952662175749</v>
      </c>
      <c r="L21" s="0" t="n">
        <f aca="false">L19*L20</f>
        <v>265.517506723654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8.6</v>
      </c>
      <c r="D23" s="4" t="n">
        <f aca="false">Assumptions!D30</f>
        <v>8.5</v>
      </c>
      <c r="E23" s="4" t="n">
        <f aca="false">Assumptions!E30</f>
        <v>8.4</v>
      </c>
      <c r="F23" s="4" t="n">
        <f aca="false">Assumptions!F30</f>
        <v>8.3</v>
      </c>
      <c r="G23" s="4" t="n">
        <f aca="false">Assumptions!G30</f>
        <v>8.2</v>
      </c>
      <c r="H23" s="4" t="n">
        <f aca="false">Assumptions!H30</f>
        <v>8.1</v>
      </c>
      <c r="I23" s="4" t="n">
        <f aca="false">Assumptions!I30</f>
        <v>8</v>
      </c>
      <c r="J23" s="4" t="n">
        <f aca="false">Assumptions!J30</f>
        <v>8</v>
      </c>
      <c r="K23" s="4" t="n">
        <f aca="false">Assumptions!K30</f>
        <v>8</v>
      </c>
      <c r="L23" s="4" t="n">
        <f aca="false">Assumptions!L30</f>
        <v>8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-550.79868998</v>
      </c>
      <c r="D24" s="0" t="n">
        <f aca="false">-D6*D23/100</f>
        <v>-636.9410432385</v>
      </c>
      <c r="E24" s="0" t="n">
        <f aca="false">-E6*E23/100</f>
        <v>-717.570285888456</v>
      </c>
      <c r="F24" s="0" t="n">
        <f aca="false">-F6*F23/100</f>
        <v>-794.111116383225</v>
      </c>
      <c r="G24" s="0" t="n">
        <f aca="false">-G6*G23/100</f>
        <v>-862.997863828517</v>
      </c>
      <c r="H24" s="0" t="n">
        <f aca="false">-H6*H23/100</f>
        <v>-920.671379606325</v>
      </c>
      <c r="I24" s="0" t="n">
        <f aca="false">-I6*I23/100</f>
        <v>-963.863370254523</v>
      </c>
      <c r="J24" s="0" t="n">
        <f aca="false">-J6*J23/100</f>
        <v>-1012.05653876725</v>
      </c>
      <c r="K24" s="0" t="n">
        <f aca="false">-K6*K23/100</f>
        <v>-1052.53880031794</v>
      </c>
      <c r="L24" s="0" t="n">
        <f aca="false">-L6*L23/100</f>
        <v>-1089.37765832907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1596.87586877207</v>
      </c>
    </row>
    <row r="31" customFormat="false" ht="15" hidden="false" customHeight="false" outlineLevel="0" collapsed="false">
      <c r="A31" s="0" t="s">
        <v>125</v>
      </c>
      <c r="B31" s="0" t="n">
        <f aca="false">L19</f>
        <v>688.68403108903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10133.49360031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10330.2604663355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10133.49360031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3906.90045607663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5503.77632484869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6238.87632484869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55.2175869143401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0.734220694545857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344.52799162877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386.252065355291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61.6854040677379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5911.20460018084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29.5634453935332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21</v>
      </c>
      <c r="D5" s="4" t="n">
        <f aca="false">Assumptions!D41</f>
        <v>20</v>
      </c>
      <c r="E5" s="4" t="n">
        <f aca="false">Assumptions!E41</f>
        <v>17</v>
      </c>
      <c r="F5" s="4" t="n">
        <f aca="false">Assumptions!F41</f>
        <v>14</v>
      </c>
      <c r="G5" s="4" t="n">
        <f aca="false">Assumptions!G41</f>
        <v>12</v>
      </c>
      <c r="H5" s="4" t="n">
        <f aca="false">Assumptions!H41</f>
        <v>10</v>
      </c>
      <c r="I5" s="4" t="n">
        <f aca="false">Assumptions!I41</f>
        <v>8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5382.047</v>
      </c>
      <c r="C6" s="0" t="n">
        <f aca="false">B6*(1+C5/100)</f>
        <v>6512.27687</v>
      </c>
      <c r="D6" s="0" t="n">
        <f aca="false">C6*(1+D5/100)</f>
        <v>7814.732244</v>
      </c>
      <c r="E6" s="0" t="n">
        <f aca="false">D6*(1+E5/100)</f>
        <v>9143.23672548</v>
      </c>
      <c r="F6" s="0" t="n">
        <f aca="false">E6*(1+F5/100)</f>
        <v>10423.2898670472</v>
      </c>
      <c r="G6" s="0" t="n">
        <f aca="false">F6*(1+G5/100)</f>
        <v>11674.0846510929</v>
      </c>
      <c r="H6" s="0" t="n">
        <f aca="false">G6*(1+H5/100)</f>
        <v>12841.4931162022</v>
      </c>
      <c r="I6" s="0" t="n">
        <f aca="false">H6*(1+I5/100)</f>
        <v>13868.8125654983</v>
      </c>
      <c r="J6" s="0" t="n">
        <f aca="false">I6*(1+J5/100)</f>
        <v>14700.9413194282</v>
      </c>
      <c r="K6" s="0" t="n">
        <f aca="false">J6*(1+K5/100)</f>
        <v>15435.9883853996</v>
      </c>
      <c r="L6" s="0" t="n">
        <f aca="false">K6*(1+L5/100)</f>
        <v>16053.4279208156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18.5</v>
      </c>
      <c r="D7" s="4" t="n">
        <f aca="false">Assumptions!D42</f>
        <v>19.2</v>
      </c>
      <c r="E7" s="4" t="n">
        <f aca="false">Assumptions!E42</f>
        <v>19.9</v>
      </c>
      <c r="F7" s="4" t="n">
        <f aca="false">Assumptions!F42</f>
        <v>20.5</v>
      </c>
      <c r="G7" s="4" t="n">
        <f aca="false">Assumptions!G42</f>
        <v>21</v>
      </c>
      <c r="H7" s="4" t="n">
        <f aca="false">Assumptions!H42</f>
        <v>21.5</v>
      </c>
      <c r="I7" s="4" t="n">
        <f aca="false">Assumptions!I42</f>
        <v>21.9</v>
      </c>
      <c r="J7" s="4" t="n">
        <f aca="false">Assumptions!J42</f>
        <v>22.2</v>
      </c>
      <c r="K7" s="4" t="n">
        <f aca="false">Assumptions!K42</f>
        <v>22.4</v>
      </c>
      <c r="L7" s="4" t="n">
        <f aca="false">Assumptions!L42</f>
        <v>22.5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1204.77122095</v>
      </c>
      <c r="D8" s="0" t="n">
        <f aca="false">D6*D7/100</f>
        <v>1500.428590848</v>
      </c>
      <c r="E8" s="0" t="n">
        <f aca="false">E6*E7/100</f>
        <v>1819.50410837052</v>
      </c>
      <c r="F8" s="0" t="n">
        <f aca="false">F6*F7/100</f>
        <v>2136.77442274468</v>
      </c>
      <c r="G8" s="0" t="n">
        <f aca="false">G6*G7/100</f>
        <v>2451.5577767295</v>
      </c>
      <c r="H8" s="0" t="n">
        <f aca="false">H6*H7/100</f>
        <v>2760.92101998346</v>
      </c>
      <c r="I8" s="0" t="n">
        <f aca="false">I6*I7/100</f>
        <v>3037.26995184413</v>
      </c>
      <c r="J8" s="0" t="n">
        <f aca="false">J6*J7/100</f>
        <v>3263.60897291307</v>
      </c>
      <c r="K8" s="0" t="n">
        <f aca="false">K6*K7/100</f>
        <v>3457.66139832952</v>
      </c>
      <c r="L8" s="0" t="n">
        <f aca="false">L6*L7/100</f>
        <v>3612.02128218352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0.7</v>
      </c>
      <c r="D9" s="4" t="n">
        <f aca="false">Assumptions!D43</f>
        <v>0.65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0.55</v>
      </c>
      <c r="H9" s="4" t="n">
        <f aca="false">Assumptions!H43</f>
        <v>0.55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-45.58593809</v>
      </c>
      <c r="D10" s="0" t="n">
        <f aca="false">-D6*D9/100</f>
        <v>-50.795759586</v>
      </c>
      <c r="E10" s="0" t="n">
        <f aca="false">-E6*E9/100</f>
        <v>-54.85942035288</v>
      </c>
      <c r="F10" s="0" t="n">
        <f aca="false">-F6*F9/100</f>
        <v>-62.5397392022832</v>
      </c>
      <c r="G10" s="0" t="n">
        <f aca="false">-G6*G9/100</f>
        <v>-64.2074655810108</v>
      </c>
      <c r="H10" s="0" t="n">
        <f aca="false">-H6*H9/100</f>
        <v>-70.6282121391118</v>
      </c>
      <c r="I10" s="0" t="n">
        <f aca="false">-I6*I9/100</f>
        <v>-69.3440628274916</v>
      </c>
      <c r="J10" s="0" t="n">
        <f aca="false">-J6*J9/100</f>
        <v>-73.5047065971411</v>
      </c>
      <c r="K10" s="0" t="n">
        <f aca="false">-K6*K9/100</f>
        <v>-77.1799419269982</v>
      </c>
      <c r="L10" s="0" t="n">
        <f aca="false">-L6*L9/100</f>
        <v>-80.2671396040781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605.64174891</v>
      </c>
      <c r="D11" s="0" t="n">
        <f aca="false">D8+D10+D24</f>
        <v>801.01005501</v>
      </c>
      <c r="E11" s="0" t="n">
        <f aca="false">E8+E10+E24</f>
        <v>1024.04251325376</v>
      </c>
      <c r="F11" s="0" t="n">
        <f aca="false">F8+F10+F24</f>
        <v>1250.79478404566</v>
      </c>
      <c r="G11" s="0" t="n">
        <f aca="false">G8+G10+G24</f>
        <v>1476.77170836325</v>
      </c>
      <c r="H11" s="0" t="n">
        <f aca="false">H8+H10+H24</f>
        <v>1701.49783789679</v>
      </c>
      <c r="I11" s="0" t="n">
        <f aca="false">I8+I10+I24</f>
        <v>1913.89613403877</v>
      </c>
      <c r="J11" s="0" t="n">
        <f aca="false">J8+J10+J24</f>
        <v>2072.83272603938</v>
      </c>
      <c r="K11" s="0" t="n">
        <f aca="false">K8+K10+K24</f>
        <v>2207.34633911215</v>
      </c>
      <c r="L11" s="0" t="n">
        <f aca="false">L8+L10+L24</f>
        <v>2311.69362059745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-390.7366122</v>
      </c>
      <c r="D12" s="4" t="n">
        <f aca="false">-D6*Assumptions!D45/100</f>
        <v>-468.88393464</v>
      </c>
      <c r="E12" s="4" t="n">
        <f aca="false">-E6*Assumptions!E45/100</f>
        <v>-539.45096680332</v>
      </c>
      <c r="F12" s="4" t="n">
        <f aca="false">-F6*Assumptions!F45/100</f>
        <v>-604.550812288738</v>
      </c>
      <c r="G12" s="4" t="n">
        <f aca="false">-G6*Assumptions!G45/100</f>
        <v>-665.422825112293</v>
      </c>
      <c r="H12" s="4" t="n">
        <f aca="false">-H6*Assumptions!H45/100</f>
        <v>-719.12361450732</v>
      </c>
      <c r="I12" s="4" t="n">
        <f aca="false">-I6*Assumptions!I45/100</f>
        <v>-762.784691102408</v>
      </c>
      <c r="J12" s="4" t="n">
        <f aca="false">-J6*Assumptions!J45/100</f>
        <v>-793.850831249124</v>
      </c>
      <c r="K12" s="4" t="n">
        <f aca="false">-K6*Assumptions!K45/100</f>
        <v>-818.107384426181</v>
      </c>
      <c r="L12" s="4" t="n">
        <f aca="false">-L6*Assumptions!L45/100</f>
        <v>-834.778251882412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214.90513671</v>
      </c>
      <c r="D13" s="0" t="n">
        <f aca="false">D11+D12</f>
        <v>332.12612037</v>
      </c>
      <c r="E13" s="0" t="n">
        <f aca="false">E11+E12</f>
        <v>484.591546450439</v>
      </c>
      <c r="F13" s="0" t="n">
        <f aca="false">F11+F12</f>
        <v>646.243971756927</v>
      </c>
      <c r="G13" s="0" t="n">
        <f aca="false">G11+G12</f>
        <v>811.348883250954</v>
      </c>
      <c r="H13" s="0" t="n">
        <f aca="false">H11+H12</f>
        <v>982.374223389465</v>
      </c>
      <c r="I13" s="0" t="n">
        <f aca="false">I11+I12</f>
        <v>1151.11144293636</v>
      </c>
      <c r="J13" s="0" t="n">
        <f aca="false">J11+J12</f>
        <v>1278.98189479026</v>
      </c>
      <c r="K13" s="0" t="n">
        <f aca="false">K11+K12</f>
        <v>1389.23895468597</v>
      </c>
      <c r="L13" s="0" t="n">
        <f aca="false">L11+L12</f>
        <v>1476.91536871504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48</v>
      </c>
      <c r="D14" s="4" t="n">
        <f aca="false">Assumptions!D47</f>
        <v>42</v>
      </c>
      <c r="E14" s="4" t="n">
        <f aca="false">Assumptions!E47</f>
        <v>37</v>
      </c>
      <c r="F14" s="4" t="n">
        <f aca="false">Assumptions!F47</f>
        <v>33</v>
      </c>
      <c r="G14" s="4" t="n">
        <f aca="false">Assumptions!G47</f>
        <v>30</v>
      </c>
      <c r="H14" s="4" t="n">
        <f aca="false">Assumptions!H47</f>
        <v>28</v>
      </c>
      <c r="I14" s="4" t="n">
        <f aca="false">Assumptions!I47</f>
        <v>27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111.7506710892</v>
      </c>
      <c r="D15" s="0" t="n">
        <f aca="false">D13-MAX(0,D13)*D14/100</f>
        <v>192.6331498146</v>
      </c>
      <c r="E15" s="0" t="n">
        <f aca="false">E13-MAX(0,E13)*E14/100</f>
        <v>305.292674263777</v>
      </c>
      <c r="F15" s="0" t="n">
        <f aca="false">F13-MAX(0,F13)*F14/100</f>
        <v>432.983461077141</v>
      </c>
      <c r="G15" s="0" t="n">
        <f aca="false">G13-MAX(0,G13)*G14/100</f>
        <v>567.944218275668</v>
      </c>
      <c r="H15" s="0" t="n">
        <f aca="false">H13-MAX(0,H13)*H14/100</f>
        <v>707.309440840415</v>
      </c>
      <c r="I15" s="0" t="n">
        <f aca="false">I13-MAX(0,I13)*I14/100</f>
        <v>840.311353343543</v>
      </c>
      <c r="J15" s="0" t="n">
        <f aca="false">J13-MAX(0,J13)*J14/100</f>
        <v>946.446602144789</v>
      </c>
      <c r="K15" s="0" t="n">
        <f aca="false">K13-MAX(0,K13)*K14/100</f>
        <v>1028.03682646762</v>
      </c>
      <c r="L15" s="0" t="n">
        <f aca="false">L13-MAX(0,L13)*L14/100</f>
        <v>1092.91737284913</v>
      </c>
    </row>
    <row r="16" customFormat="false" ht="15" hidden="false" customHeight="false" outlineLevel="0" collapsed="false">
      <c r="A16" s="0" t="s">
        <v>116</v>
      </c>
      <c r="C16" s="0" t="n">
        <f aca="false">-C12</f>
        <v>390.7366122</v>
      </c>
      <c r="D16" s="0" t="n">
        <f aca="false">-D12</f>
        <v>468.88393464</v>
      </c>
      <c r="E16" s="0" t="n">
        <f aca="false">-E12</f>
        <v>539.45096680332</v>
      </c>
      <c r="F16" s="0" t="n">
        <f aca="false">-F12</f>
        <v>604.550812288738</v>
      </c>
      <c r="G16" s="0" t="n">
        <f aca="false">-G12</f>
        <v>665.422825112293</v>
      </c>
      <c r="H16" s="0" t="n">
        <f aca="false">-H12</f>
        <v>719.12361450732</v>
      </c>
      <c r="I16" s="0" t="n">
        <f aca="false">-I12</f>
        <v>762.784691102408</v>
      </c>
      <c r="J16" s="0" t="n">
        <f aca="false">-J12</f>
        <v>793.850831249124</v>
      </c>
      <c r="K16" s="0" t="n">
        <f aca="false">-K12</f>
        <v>818.107384426181</v>
      </c>
      <c r="L16" s="0" t="n">
        <f aca="false">-L12</f>
        <v>834.778251882412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-599.12947204</v>
      </c>
      <c r="D17" s="4" t="n">
        <f aca="false">-D6*Assumptions!D46/100</f>
        <v>-687.696437472</v>
      </c>
      <c r="E17" s="4" t="n">
        <f aca="false">-E6*Assumptions!E46/100</f>
        <v>-749.74541148936</v>
      </c>
      <c r="F17" s="4" t="n">
        <f aca="false">-F6*Assumptions!F46/100</f>
        <v>-792.170029895587</v>
      </c>
      <c r="G17" s="4" t="n">
        <f aca="false">-G6*Assumptions!G46/100</f>
        <v>-817.185925576501</v>
      </c>
      <c r="H17" s="4" t="n">
        <f aca="false">-H6*Assumptions!H46/100</f>
        <v>-834.69705255314</v>
      </c>
      <c r="I17" s="4" t="n">
        <f aca="false">-I6*Assumptions!I46/100</f>
        <v>-832.1287539299</v>
      </c>
      <c r="J17" s="4" t="n">
        <f aca="false">-J6*Assumptions!J46/100</f>
        <v>-852.654596526837</v>
      </c>
      <c r="K17" s="4" t="n">
        <f aca="false">-K6*Assumptions!K46/100</f>
        <v>-864.41534958238</v>
      </c>
      <c r="L17" s="4" t="n">
        <f aca="false">-L6*Assumptions!L46/100</f>
        <v>-882.938535644859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45.2091948</v>
      </c>
      <c r="D18" s="4" t="n">
        <f aca="false">(D6-C6)*Assumptions!$B$51/100</f>
        <v>52.09821496</v>
      </c>
      <c r="E18" s="4" t="n">
        <f aca="false">(E6-D6)*Assumptions!$B$51/100</f>
        <v>53.1401792591999</v>
      </c>
      <c r="F18" s="4" t="n">
        <f aca="false">(F6-E6)*Assumptions!$B$51/100</f>
        <v>51.2021256626881</v>
      </c>
      <c r="G18" s="4" t="n">
        <f aca="false">(G6-F6)*Assumptions!$B$51/100</f>
        <v>50.0317913618266</v>
      </c>
      <c r="H18" s="4" t="n">
        <f aca="false">(H6-G6)*Assumptions!$B$51/100</f>
        <v>46.6963386043715</v>
      </c>
      <c r="I18" s="4" t="n">
        <f aca="false">(I6-H6)*Assumptions!$B$51/100</f>
        <v>41.092777971847</v>
      </c>
      <c r="J18" s="4" t="n">
        <f aca="false">(J6-I6)*Assumptions!$B$51/100</f>
        <v>33.285150157196</v>
      </c>
      <c r="K18" s="4" t="n">
        <f aca="false">(K6-J6)*Assumptions!$B$51/100</f>
        <v>29.4018826388565</v>
      </c>
      <c r="L18" s="4" t="n">
        <f aca="false">(L6-K6)*Assumptions!$B$51/100</f>
        <v>24.6975814166394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-51.4329939507998</v>
      </c>
      <c r="D19" s="0" t="n">
        <f aca="false">D15+D16+D17+D18</f>
        <v>25.9188619425998</v>
      </c>
      <c r="E19" s="0" t="n">
        <f aca="false">E15+E16+E17+E18</f>
        <v>148.138408836937</v>
      </c>
      <c r="F19" s="0" t="n">
        <f aca="false">F15+F16+F17+F18</f>
        <v>296.566369132979</v>
      </c>
      <c r="G19" s="0" t="n">
        <f aca="false">G15+G16+G17+G18</f>
        <v>466.212909173287</v>
      </c>
      <c r="H19" s="0" t="n">
        <f aca="false">H15+H16+H17+H18</f>
        <v>638.432341398967</v>
      </c>
      <c r="I19" s="0" t="n">
        <f aca="false">I15+I16+I17+I18</f>
        <v>812.060068487899</v>
      </c>
      <c r="J19" s="0" t="n">
        <f aca="false">J15+J16+J17+J18</f>
        <v>920.927987024272</v>
      </c>
      <c r="K19" s="0" t="n">
        <f aca="false">K15+K16+K17+K18</f>
        <v>1011.13074395027</v>
      </c>
      <c r="L19" s="0" t="n">
        <f aca="false">L15+L16+L17+L18</f>
        <v>1069.45467050332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-46.7572672279999</v>
      </c>
      <c r="D21" s="0" t="n">
        <f aca="false">D19*D20</f>
        <v>21.4205470599998</v>
      </c>
      <c r="E21" s="0" t="n">
        <f aca="false">E19*E20</f>
        <v>111.2985791412</v>
      </c>
      <c r="F21" s="0" t="n">
        <f aca="false">F19*F20</f>
        <v>202.558820526589</v>
      </c>
      <c r="G21" s="0" t="n">
        <f aca="false">G19*G20</f>
        <v>289.481536391135</v>
      </c>
      <c r="H21" s="0" t="n">
        <f aca="false">H19*H20</f>
        <v>360.37841282291</v>
      </c>
      <c r="I21" s="0" t="n">
        <f aca="false">I19*I20</f>
        <v>416.715216635549</v>
      </c>
      <c r="J21" s="0" t="n">
        <f aca="false">J19*J20</f>
        <v>429.619702588516</v>
      </c>
      <c r="K21" s="0" t="n">
        <f aca="false">K19*K20</f>
        <v>428.81814037251</v>
      </c>
      <c r="L21" s="0" t="n">
        <f aca="false">L19*L20</f>
        <v>412.321071561626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8.5</v>
      </c>
      <c r="D23" s="4" t="n">
        <f aca="false">Assumptions!D44</f>
        <v>8.3</v>
      </c>
      <c r="E23" s="4" t="n">
        <f aca="false">Assumptions!E44</f>
        <v>8.1</v>
      </c>
      <c r="F23" s="4" t="n">
        <f aca="false">Assumptions!F44</f>
        <v>7.9</v>
      </c>
      <c r="G23" s="4" t="n">
        <f aca="false">Assumptions!G44</f>
        <v>7.8</v>
      </c>
      <c r="H23" s="4" t="n">
        <f aca="false">Assumptions!H44</f>
        <v>7.7</v>
      </c>
      <c r="I23" s="4" t="n">
        <f aca="false">Assumptions!I44</f>
        <v>7.6</v>
      </c>
      <c r="J23" s="4" t="n">
        <f aca="false">Assumptions!J44</f>
        <v>7.6</v>
      </c>
      <c r="K23" s="4" t="n">
        <f aca="false">Assumptions!K44</f>
        <v>7.6</v>
      </c>
      <c r="L23" s="4" t="n">
        <f aca="false">Assumptions!L44</f>
        <v>7.6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-553.54353395</v>
      </c>
      <c r="D24" s="0" t="n">
        <f aca="false">-D6*D23/100</f>
        <v>-648.622776252</v>
      </c>
      <c r="E24" s="0" t="n">
        <f aca="false">-E6*E23/100</f>
        <v>-740.60217476388</v>
      </c>
      <c r="F24" s="0" t="n">
        <f aca="false">-F6*F23/100</f>
        <v>-823.439899496729</v>
      </c>
      <c r="G24" s="0" t="n">
        <f aca="false">-G6*G23/100</f>
        <v>-910.578602785243</v>
      </c>
      <c r="H24" s="0" t="n">
        <f aca="false">-H6*H23/100</f>
        <v>-988.794969947566</v>
      </c>
      <c r="I24" s="0" t="n">
        <f aca="false">-I6*I23/100</f>
        <v>-1054.02975497787</v>
      </c>
      <c r="J24" s="0" t="n">
        <f aca="false">-J6*J23/100</f>
        <v>-1117.27154027655</v>
      </c>
      <c r="K24" s="0" t="n">
        <f aca="false">-K6*K23/100</f>
        <v>-1173.13511729037</v>
      </c>
      <c r="L24" s="0" t="n">
        <f aca="false">-L6*L23/100</f>
        <v>-1220.06052198199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2625.85475987203</v>
      </c>
    </row>
    <row r="31" customFormat="false" ht="15" hidden="false" customHeight="false" outlineLevel="0" collapsed="false">
      <c r="A31" s="0" t="s">
        <v>125</v>
      </c>
      <c r="B31" s="0" t="n">
        <f aca="false">L19</f>
        <v>1069.45467050332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15736.2615802631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19250.1840690598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15736.2615802631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6067.01005297821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8692.86481285024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9427.96481285024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83.442825177581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1.62069174552704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380.642718800022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455.355010673391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90.8418782896826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9179.48592182016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43.4729771498642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23.5634960153798</v>
      </c>
      <c r="C4" s="0" t="n">
        <f aca="false">B4/Assumptions!$B$2-1</f>
        <v>-0.259940451778274</v>
      </c>
      <c r="D4" s="4" t="n">
        <f aca="false">Assumptions!$B$24</f>
        <v>0.3</v>
      </c>
      <c r="E4" s="4" t="n">
        <f aca="false">DCF_Bear!$B$43</f>
        <v>28.4198923984336</v>
      </c>
      <c r="F4" s="4" t="n">
        <f aca="false">DCF_Bear!$B$47</f>
        <v>15.3304771335486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55.2175869143401</v>
      </c>
      <c r="C5" s="0" t="n">
        <f aca="false">B5/Assumptions!$B$2-1</f>
        <v>0.734220694545857</v>
      </c>
      <c r="D5" s="4" t="n">
        <f aca="false">Assumptions!$B$38</f>
        <v>0.5</v>
      </c>
      <c r="E5" s="4" t="n">
        <f aca="false">DCF_Base!$B$43</f>
        <v>61.6854040677379</v>
      </c>
      <c r="F5" s="4" t="n">
        <f aca="false">DCF_Base!$B$47</f>
        <v>29.5634453935332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83.442825177581</v>
      </c>
      <c r="C6" s="0" t="n">
        <f aca="false">B6/Assumptions!$B$2-1</f>
        <v>1.62069174552704</v>
      </c>
      <c r="D6" s="4" t="n">
        <f aca="false">Assumptions!$B$52</f>
        <v>0.2</v>
      </c>
      <c r="E6" s="4" t="n">
        <f aca="false">DCF_Bull!$B$43</f>
        <v>90.8418782896826</v>
      </c>
      <c r="F6" s="4" t="n">
        <f aca="false">DCF_Bull!$B$47</f>
        <v>43.4729771498642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51.3664072973002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57.5370454113356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0.380139634533609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-316.440649029256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28.075461266804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60.2705168702753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55.2175869143401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47.3449411569429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41.3054921859725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29.5634453935332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65.095912234501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65.095912234501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65.095912234501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65.095912234501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65.095912234501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59.1670754173499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60.2705168702753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60.2705168702753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60.2705168702753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60.2705168702753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50.6015543247402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52.7557028665535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55.2175869143401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55.8890098364637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55.8890098364637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44.0355221699216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45.5928958108728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47.3449411569429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49.3305925491556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51.5999084259702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38.8632633976779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40.0201086131859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41.3054921859725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42.7420973555575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44.3582781713406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2026-10-16T11:49:35Z</dcterms:created>
  <dc:creator>openpyxl</dc:creator>
  <dc:description/>
  <dc:language>en-NZ</dc:language>
  <cp:lastModifiedBy/>
  <dcterms:modified xsi:type="dcterms:W3CDTF">2026-10-16T11:49:35Z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