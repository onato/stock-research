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CF Model" sheetId="1" r:id="rId1"/>
    <sheet name="Sensitivity" sheetId="2" r:id="rId2"/>
    <sheet name="FCF Quality" sheetId="3" r:id="rId3"/>
    <sheet name="Historical" sheetId="4" r:id="rId4"/>
    <sheet name="Model_Info" sheetId="5" r:id="rId5"/>
  </sheets>
  <calcPr calcId="124519" fullCalcOnLoad="1"/>
</workbook>
</file>

<file path=xl/sharedStrings.xml><?xml version="1.0" encoding="utf-8"?>
<sst xmlns="http://schemas.openxmlformats.org/spreadsheetml/2006/main" count="145" uniqueCount="137">
  <si>
    <t>BFG.NZ (Burger Fuel Group) DCF Valuation Model</t>
  </si>
  <si>
    <t>Gray cells are INPUTS - adjust to see valuation change. NZD millions unless noted.</t>
  </si>
  <si>
    <t>KEY INPUTS</t>
  </si>
  <si>
    <t>Current Stock Price (NZD)</t>
  </si>
  <si>
    <t>Shares Outstanding (M)</t>
  </si>
  <si>
    <t>Cash &amp; Equivalents (M)</t>
  </si>
  <si>
    <t>Total Debt (M)</t>
  </si>
  <si>
    <t>Net Debt (M) [negative = net cash]</t>
  </si>
  <si>
    <t>Reported FCF, FY2026 (M)</t>
  </si>
  <si>
    <t>Less: Bank Interest Income (M)</t>
  </si>
  <si>
    <t>Less: IFRS16 Lease Principal Repayment (M)</t>
  </si>
  <si>
    <t>Owner FCF, Base Year (M)</t>
  </si>
  <si>
    <t>Stock-Based Compensation</t>
  </si>
  <si>
    <t>Confirmed ZERO - no SBC scheme exists (full-text verified)</t>
  </si>
  <si>
    <t>Annual Share Growth (dilution)</t>
  </si>
  <si>
    <t>No SBC, no buybacks planned - share count held flat</t>
  </si>
  <si>
    <t>WACC (Base)</t>
  </si>
  <si>
    <t>Terminal Growth Rate</t>
  </si>
  <si>
    <t>Terminal Cap Multiple (x owner FCF)</t>
  </si>
  <si>
    <t>WACC BUILD (documented stack)</t>
  </si>
  <si>
    <t>NZ small-cap base</t>
  </si>
  <si>
    <t>Nano-cap illiquidity premium</t>
  </si>
  <si>
    <t>Register concentration premium</t>
  </si>
  <si>
    <t>Single-market cyclicality premium</t>
  </si>
  <si>
    <t>Total WACC (sum, matches B17)</t>
  </si>
  <si>
    <t>GROWTH ASSUMPTIONS (Base Case - Revenue growth)</t>
  </si>
  <si>
    <t>FY27</t>
  </si>
  <si>
    <t>FY28</t>
  </si>
  <si>
    <t>FY29</t>
  </si>
  <si>
    <t>FY30</t>
  </si>
  <si>
    <t>FY31</t>
  </si>
  <si>
    <t>EBITDA Margin</t>
  </si>
  <si>
    <t>D&amp;A % of Revenue</t>
  </si>
  <si>
    <t>Capex % of Revenue</t>
  </si>
  <si>
    <t>Lease Principal % of Revenue</t>
  </si>
  <si>
    <t>Franchisee Lending % of Revenue</t>
  </si>
  <si>
    <t>Cash Tax Rate</t>
  </si>
  <si>
    <t>PROJECTIONS (component build)</t>
  </si>
  <si>
    <t>Revenue</t>
  </si>
  <si>
    <t>Revenue FY2026 (actual, helper)</t>
  </si>
  <si>
    <t>Adj. EBITDA</t>
  </si>
  <si>
    <t>D&amp;A</t>
  </si>
  <si>
    <t>EBIT</t>
  </si>
  <si>
    <t>NOPAT</t>
  </si>
  <si>
    <t>Capex</t>
  </si>
  <si>
    <t>Lease Principal Repayment</t>
  </si>
  <si>
    <t>Franchisee Lending</t>
  </si>
  <si>
    <t>Owner FCF</t>
  </si>
  <si>
    <t>Owner FCF Margin</t>
  </si>
  <si>
    <t>Discount Factor</t>
  </si>
  <si>
    <t>PV of Owner FCF</t>
  </si>
  <si>
    <t>VALUATION</t>
  </si>
  <si>
    <t>Sum of PV of FCF (Yrs 1-5)</t>
  </si>
  <si>
    <t>Terminal FCF (Year 5 * (1+g))</t>
  </si>
  <si>
    <t>Gordon Terminal Value</t>
  </si>
  <si>
    <t>Cap Terminal Value (multiple x Yr5 FCF)</t>
  </si>
  <si>
    <t>Terminal Value (lower of Gordon/Cap)</t>
  </si>
  <si>
    <t>PV of Terminal Value</t>
  </si>
  <si>
    <t>Enterprise Value</t>
  </si>
  <si>
    <t>Less: Net Debt (negative = net cash added)</t>
  </si>
  <si>
    <t>Equity Value</t>
  </si>
  <si>
    <t>INTRINSIC VALUE/SHARE</t>
  </si>
  <si>
    <t>ENTRY PRICE (15% IRR Target, capped at IV)</t>
  </si>
  <si>
    <t>PV of Yrs 1-5 FCF @15%</t>
  </si>
  <si>
    <t>PV of Terminal Value @15%</t>
  </si>
  <si>
    <t>Less: Net Debt</t>
  </si>
  <si>
    <t>Entry Price (uncapped, @15% hurdle)</t>
  </si>
  <si>
    <t>Entry Price (capped at Intrinsic Value)</t>
  </si>
  <si>
    <t>Capped because WACC (17%) &gt; 15% hurdle here - paying full IV already clears the hurdle</t>
  </si>
  <si>
    <t>Upside to Intrinsic Value</t>
  </si>
  <si>
    <t>Upside to Entry Price</t>
  </si>
  <si>
    <t>Sensitivity Analysis</t>
  </si>
  <si>
    <t>Intrinsic Value by WACC &amp; Terminal Growth (Base Case)</t>
  </si>
  <si>
    <t>WACC \ Term G</t>
  </si>
  <si>
    <t>FCF Quality - Reported to Owner FCF Reconciliation</t>
  </si>
  <si>
    <t>NZD millions</t>
  </si>
  <si>
    <t>FY2024</t>
  </si>
  <si>
    <t>FY2025</t>
  </si>
  <si>
    <t>FY2026</t>
  </si>
  <si>
    <t>Reported Free Cash Flow (company def.)</t>
  </si>
  <si>
    <t>Less: Bank Interest Income</t>
  </si>
  <si>
    <t>Less: IFRS16 Lease Principal Repayment</t>
  </si>
  <si>
    <t>Reported FCF Margin</t>
  </si>
  <si>
    <t>Memo: SBC</t>
  </si>
  <si>
    <t>Stock-based compensation - CONFIRMED ZERO (no scheme exists, full-text verified across all FY2018-FY2026 filings)</t>
  </si>
  <si>
    <t>Memo: Cash Tax Rate</t>
  </si>
  <si>
    <t>FY2026 effective tax rate: 25.9% | FY2025: 33.1% - both near/above the 28% NZ statutory rate, no valuation-allowance benefit to ramp down</t>
  </si>
  <si>
    <t>Memo: One-offs normalized out (earnings, not cash flow)</t>
  </si>
  <si>
    <t>FY2026: $288K Ponsonby store sale gain (non-cash, direct-method CF statement unaffected)</t>
  </si>
  <si>
    <t>FY2024: ~$205.5K contested capital-return legal costs (real cash cost, already in reported FCF)</t>
  </si>
  <si>
    <t>FY2025: ~$221.7K contested capital-return legal costs (real cash cost, already in reported FCF)</t>
  </si>
  <si>
    <t>Memo: Franchisee lending (investing activity, recurring drag)</t>
  </si>
  <si>
    <t>FY2024 net -$1.8K | FY2025 net -$71.4K | FY2026 net -$289.9K - modelled forward as ~1.0-1.5% of revenue</t>
  </si>
  <si>
    <t>Historical Growth Rates</t>
  </si>
  <si>
    <t>Metric</t>
  </si>
  <si>
    <t>3-Year CAGR</t>
  </si>
  <si>
    <t>5-8 Year CAGR</t>
  </si>
  <si>
    <t>Revenue (8yr)</t>
  </si>
  <si>
    <t>EPS (distorted - see note)</t>
  </si>
  <si>
    <t>Equity (distorted - see note)</t>
  </si>
  <si>
    <t>Owner FCF (2yr, noisy small base)</t>
  </si>
  <si>
    <t>Selected Growth Rate (DCF driver):</t>
  </si>
  <si>
    <t>Source:</t>
  </si>
  <si>
    <t>revenue_and_system_sales_trend - NOT equity/EPS/FCF CAGR</t>
  </si>
  <si>
    <t>Growth divergence warning:</t>
  </si>
  <si>
    <t>SEVERE: Revenue is essentially flat over 8 years (FY2018 $24.774m to FY2026 $24.845m, 0.04% CAGR). EPS and FCF CAGRs shown above (31-46% and 11-30%) are statistical artifacts of a depressed FY2023/24 or FY2024/25 base recovering to a normalized FY2026, combined with the 30% share-count reduction from the June-2024 capital return (50.337m to 35.236m shares) - they are NOT indicative of a growth trajectory and must not be used as the DCF driver. Equity CAGR is similarly distorted by the same capital return (a $4.33m cash outflow that mechanically shrinks book value independent of trading performance). Per management's own FY2027 guidance ('roughly flat' system sales, 'far more challenging operating environment'), the DCF growth driver used is revenue/system-sales trend of approximately 0-2% per year, not any of the CAGRs above.</t>
  </si>
  <si>
    <t>Model Provenance &amp; Notes</t>
  </si>
  <si>
    <t>Built by</t>
  </si>
  <si>
    <t>Claude agent (DCF valuation skill), Anthropic</t>
  </si>
  <si>
    <t>Data vintage - price</t>
  </si>
  <si>
    <t>NZ$0.32, Yahoo Finance NZSE, quoted 2026-08-09</t>
  </si>
  <si>
    <t>Data vintage - financials</t>
  </si>
  <si>
    <t>FY2026 preliminary results (year ended 31 March 2026), released 29 May 2026; FY2018-FY2026 annual reports and H1-2018 through H1-2025 half-year reports in research/BFG.NZ/Extracted/</t>
  </si>
  <si>
    <t>Methodology</t>
  </si>
  <si>
    <t>Component owner-FCF build (EBITDA -&gt; D&amp;A -&gt; tax -&gt; capex -&gt; lease principal -&gt; franchisee lending), 5-year explicit horizon (margins already near mature/steady-state, no ramp needed), Gordon growth terminal value capped at 15x Yr5 owner FCF, 3-scenario (bull/base/bear) probability-weighted (25/50/25)</t>
  </si>
  <si>
    <t>SBC treatment</t>
  </si>
  <si>
    <t>Confirmed genuinely ZERO via full-text search of every FY2018-FY2026 filing - no share-based payment scheme exists. This is NOT an "unavailable" case; it is a verified true zero.</t>
  </si>
  <si>
    <t>Interest income treatment</t>
  </si>
  <si>
    <t>Bank interest income ($160,916 FY2026) stripped from FCF because net cash ($6.13m) exceeds 1x the FCF base. The separate IFRS16 sublease "Interest Income - non-occupied leases" ($785,502) is NOT stripped because it is exactly offset by an equal IFRS16 sublease interest EXPENSE - net zero real cash effect, confirmed by direct comparison of both P&amp;L lines.</t>
  </si>
  <si>
    <t>Lease principal treatment</t>
  </si>
  <si>
    <t>IFRS16 lease liability principal repayments ($861,726 FY2026) are a real cash cost sitting in financing activities that reported OCF/FCF excludes; deducted from reported FCF to reach owner FCF, consistent with treatment of 2CC.NZ and TAH.NZ elsewhere in this repo.</t>
  </si>
  <si>
    <t>Ponsonby $288K gain treatment</t>
  </si>
  <si>
    <t>NOT deducted from FCF - BFG uses the DIRECT method cash flow statement (Receipts from customers, not a Net-Profit reconciliation), so this non-cash P&amp;L gain never inflated reported OCF/FCF in the first place. Only normalized out of NetIncome/EPS commentary.</t>
  </si>
  <si>
    <t>FY2024/25 legal costs</t>
  </si>
  <si>
    <t>Real cash SG&amp;A costs (~$205.5K FY24, ~$221.7K FY25) already inside those years reported FCF - explains why FY2026 profit growth (+91.8%) partly reflects the absence of a one-off drag rather than organic acceleration. NOT extrapolated forward.</t>
  </si>
  <si>
    <t>Growth driver</t>
  </si>
  <si>
    <t>Revenue / Total System Sales trend (~0-2%/yr), NOT equity/EPS/FCF CAGR - all three are distorted by the June-2024 30% share cancellation capital return and/or the FY24-25 legal cost swing. Revenue is essentially flat over 8 years (0.04% CAGR).</t>
  </si>
  <si>
    <t>WACC</t>
  </si>
  <si>
    <t>17.0% base case - documented 4-layer stack: NZ small-cap base (11.5%) + nano-cap illiquidity (2.5%) + register concentration (1.75%) + single-market cyclicality (1.25%). See Wacc build in DCF Model sheet rows 21-26.</t>
  </si>
  <si>
    <t>Entry price</t>
  </si>
  <si>
    <t>Capped at intrinsic value because WACC (17%) exceeds the 15% IRR hurdle rate here - an edge case not seen in most tickers in this repo (which typically have WACC below 15%). Paying full intrinsic value already delivers an expected return equal to WACC, so no rational investor should pay MORE than IV chasing a return target below the required return.</t>
  </si>
  <si>
    <t>What to refresh after next earnings</t>
  </si>
  <si>
    <t>FY2027 half-year (H1-2026 results, expected ~Nov/Dec 2026): update revenue/EBITDA/lease-principal actuals, re-check whether FY2027 system sales tracked management flat guidance, re-check for any new legal/governance costs, re-check the Middle East wind-down trajectory (Jubail closed May 2026), confirm share count unchanged.</t>
  </si>
  <si>
    <t>Colour conventions</t>
  </si>
  <si>
    <t>Gray-filled cells (DCF Model sheet, rows 5-19, 22-25, 29-35) are INPUTS - edit these to run scenarios. All other cells are formulas and will recalculate automatically. Green cells are headline outputs (Intrinsic Value, Entry Price).</t>
  </si>
  <si>
    <t>Staleness warning</t>
  </si>
  <si>
    <t>All figures are current as of the FY2026 preliminary result (29 May 2026) and the 8 Aug 2026 share price. This is a nano-cap with thin trading and event risk (new store openings, Middle East developments, any renewed shareholder disputes) - re-verify before relying on this model more than one reporting period out.</t>
  </si>
</sst>
</file>

<file path=xl/styles.xml><?xml version="1.0" encoding="utf-8"?>
<styleSheet xmlns="http://schemas.openxmlformats.org/spreadsheetml/2006/main">
  <numFmts count="4">
    <numFmt numFmtId="164" formatCode="#,##0.000"/>
    <numFmt numFmtId="165" formatCode="0.00%"/>
    <numFmt numFmtId="166" formatCode="&quot;$&quot;#,##0.0000"/>
    <numFmt numFmtId="167" formatCode="0.0%"/>
  </numFmts>
  <fonts count="7">
    <font>
      <sz val="11"/>
      <color theme="1"/>
      <name val="Calibri"/>
      <family val="2"/>
      <scheme val="minor"/>
    </font>
    <font>
      <b/>
      <sz val="16"/>
      <color theme="1"/>
      <name val="Calibri"/>
      <family val="2"/>
      <scheme val="minor"/>
    </font>
    <font>
      <i/>
      <sz val="11"/>
      <color rgb="FF808080"/>
      <name val="Calibri"/>
      <family val="2"/>
      <scheme val="minor"/>
    </font>
    <font>
      <b/>
      <sz val="12"/>
      <color theme="1"/>
      <name val="Calibri"/>
      <family val="2"/>
      <scheme val="minor"/>
    </font>
    <font>
      <b/>
      <sz val="11"/>
      <color theme="1"/>
      <name val="Calibri"/>
      <family val="2"/>
      <scheme val="minor"/>
    </font>
    <font>
      <b/>
      <sz val="11"/>
      <color rgb="FFFFFFFF"/>
      <name val="Calibri"/>
      <family val="2"/>
      <scheme val="minor"/>
    </font>
    <font>
      <i/>
      <sz val="11"/>
      <color rgb="FFD63031"/>
      <name val="Calibri"/>
      <family val="2"/>
      <scheme val="minor"/>
    </font>
  </fonts>
  <fills count="5">
    <fill>
      <patternFill patternType="none"/>
    </fill>
    <fill>
      <patternFill patternType="gray125"/>
    </fill>
    <fill>
      <patternFill patternType="solid">
        <fgColor rgb="FFDFE6E9"/>
        <bgColor indexed="64"/>
      </patternFill>
    </fill>
    <fill>
      <patternFill patternType="solid">
        <fgColor rgb="FF2D3436"/>
        <bgColor indexed="64"/>
      </patternFill>
    </fill>
    <fill>
      <patternFill patternType="solid">
        <fgColor rgb="FF00B894"/>
        <bgColor indexed="64"/>
      </patternFill>
    </fill>
  </fills>
  <borders count="3">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0" xfId="0" applyFont="1"/>
    <xf numFmtId="0" fontId="2" fillId="0" borderId="0" xfId="0" applyFont="1" applyAlignment="1">
      <alignment wrapText="1"/>
    </xf>
    <xf numFmtId="0" fontId="3" fillId="0" borderId="1" xfId="0" applyFont="1" applyBorder="1"/>
    <xf numFmtId="164" fontId="0" fillId="2" borderId="2" xfId="0" applyNumberFormat="1" applyFill="1" applyBorder="1"/>
    <xf numFmtId="164" fontId="0" fillId="0" borderId="2" xfId="0" applyNumberFormat="1" applyBorder="1"/>
    <xf numFmtId="165" fontId="0" fillId="2" borderId="2" xfId="0" applyNumberFormat="1" applyFill="1" applyBorder="1"/>
    <xf numFmtId="165" fontId="0" fillId="0" borderId="2" xfId="0" applyNumberFormat="1" applyBorder="1"/>
    <xf numFmtId="0" fontId="4" fillId="0" borderId="0" xfId="0" applyFont="1"/>
    <xf numFmtId="0" fontId="5" fillId="3" borderId="2" xfId="0" applyFont="1" applyFill="1" applyBorder="1"/>
    <xf numFmtId="166" fontId="5" fillId="4" borderId="2" xfId="0" applyNumberFormat="1" applyFont="1" applyFill="1" applyBorder="1"/>
    <xf numFmtId="167" fontId="5" fillId="3" borderId="0" xfId="0" applyNumberFormat="1" applyFont="1" applyFill="1"/>
    <xf numFmtId="166" fontId="0" fillId="0" borderId="2" xfId="0" applyNumberFormat="1" applyBorder="1"/>
    <xf numFmtId="0" fontId="6"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width="32.7109375" customWidth="1"/>
    <col min="2" max="8" width="13.7109375" customWidth="1"/>
  </cols>
  <sheetData>
    <row r="1" spans="1:3">
      <c r="A1" s="1" t="s">
        <v>0</v>
      </c>
    </row>
    <row r="2" spans="1:3">
      <c r="A2" s="2" t="s">
        <v>1</v>
      </c>
    </row>
    <row r="4" spans="1:3">
      <c r="A4" s="3" t="s">
        <v>2</v>
      </c>
    </row>
    <row r="5" spans="1:3">
      <c r="A5" t="s">
        <v>3</v>
      </c>
      <c r="B5" s="4">
        <v>0.32</v>
      </c>
    </row>
    <row r="6" spans="1:3">
      <c r="A6" t="s">
        <v>4</v>
      </c>
      <c r="B6" s="4">
        <v>35.235787</v>
      </c>
    </row>
    <row r="7" spans="1:3">
      <c r="A7" t="s">
        <v>5</v>
      </c>
      <c r="B7" s="4">
        <v>6.131307</v>
      </c>
    </row>
    <row r="8" spans="1:3">
      <c r="A8" t="s">
        <v>6</v>
      </c>
      <c r="B8" s="4">
        <v>0</v>
      </c>
    </row>
    <row r="9" spans="1:3">
      <c r="A9" t="s">
        <v>7</v>
      </c>
      <c r="B9" s="5">
        <f>B8-B7</f>
        <v>0</v>
      </c>
    </row>
    <row r="10" spans="1:3">
      <c r="A10" t="s">
        <v>8</v>
      </c>
      <c r="B10" s="4">
        <v>2.938</v>
      </c>
    </row>
    <row r="11" spans="1:3">
      <c r="A11" t="s">
        <v>9</v>
      </c>
      <c r="B11" s="4">
        <v>0.160916</v>
      </c>
    </row>
    <row r="12" spans="1:3">
      <c r="A12" t="s">
        <v>10</v>
      </c>
      <c r="B12" s="4">
        <v>0.861726</v>
      </c>
    </row>
    <row r="13" spans="1:3">
      <c r="A13" t="s">
        <v>11</v>
      </c>
      <c r="B13" s="5">
        <f>B10-B11-B12</f>
        <v>0</v>
      </c>
    </row>
    <row r="14" spans="1:3">
      <c r="A14" t="s">
        <v>12</v>
      </c>
      <c r="B14" s="4">
        <v>0</v>
      </c>
      <c r="C14" s="2" t="s">
        <v>13</v>
      </c>
    </row>
    <row r="15" spans="1:3">
      <c r="A15" t="s">
        <v>14</v>
      </c>
      <c r="B15" s="6">
        <v>0</v>
      </c>
      <c r="C15" s="2" t="s">
        <v>15</v>
      </c>
    </row>
    <row r="17" spans="1:6">
      <c r="A17" t="s">
        <v>16</v>
      </c>
      <c r="B17" s="6">
        <v>0.17</v>
      </c>
    </row>
    <row r="18" spans="1:6">
      <c r="A18" t="s">
        <v>17</v>
      </c>
      <c r="B18" s="6">
        <v>0.02</v>
      </c>
    </row>
    <row r="19" spans="1:6">
      <c r="A19" t="s">
        <v>18</v>
      </c>
      <c r="B19" s="4">
        <v>15</v>
      </c>
    </row>
    <row r="21" spans="1:6">
      <c r="A21" s="3" t="s">
        <v>19</v>
      </c>
    </row>
    <row r="22" spans="1:6">
      <c r="A22" t="s">
        <v>20</v>
      </c>
      <c r="B22" s="7">
        <v>0.115</v>
      </c>
    </row>
    <row r="23" spans="1:6">
      <c r="A23" t="s">
        <v>21</v>
      </c>
      <c r="B23" s="7">
        <v>0.025</v>
      </c>
    </row>
    <row r="24" spans="1:6">
      <c r="A24" t="s">
        <v>22</v>
      </c>
      <c r="B24" s="7">
        <v>0.0175</v>
      </c>
    </row>
    <row r="25" spans="1:6">
      <c r="A25" t="s">
        <v>23</v>
      </c>
      <c r="B25" s="7">
        <v>0.0125</v>
      </c>
    </row>
    <row r="26" spans="1:6">
      <c r="A26" s="8" t="s">
        <v>24</v>
      </c>
      <c r="B26" s="7">
        <f>SUM(B22:B25)</f>
        <v>0</v>
      </c>
    </row>
    <row r="28" spans="1:6">
      <c r="A28" s="3" t="s">
        <v>25</v>
      </c>
      <c r="B28" s="9" t="s">
        <v>26</v>
      </c>
      <c r="C28" s="9" t="s">
        <v>27</v>
      </c>
      <c r="D28" s="9" t="s">
        <v>28</v>
      </c>
      <c r="E28" s="9" t="s">
        <v>29</v>
      </c>
      <c r="F28" s="9" t="s">
        <v>30</v>
      </c>
    </row>
    <row r="29" spans="1:6">
      <c r="B29" s="6">
        <v>0.015</v>
      </c>
      <c r="C29" s="6">
        <v>0.015</v>
      </c>
      <c r="D29" s="6">
        <v>0.015</v>
      </c>
      <c r="E29" s="6">
        <v>0.01</v>
      </c>
      <c r="F29" s="6">
        <v>0.01</v>
      </c>
    </row>
    <row r="30" spans="1:6">
      <c r="A30" t="s">
        <v>31</v>
      </c>
      <c r="B30" s="6">
        <v>0.187</v>
      </c>
      <c r="C30" s="6">
        <v>0.188</v>
      </c>
      <c r="D30" s="6">
        <v>0.189</v>
      </c>
      <c r="E30" s="6">
        <v>0.189</v>
      </c>
      <c r="F30" s="6">
        <v>0.19</v>
      </c>
    </row>
    <row r="31" spans="1:6">
      <c r="A31" t="s">
        <v>32</v>
      </c>
      <c r="B31" s="6">
        <v>0.07200000000000001</v>
      </c>
      <c r="C31" s="6">
        <v>0.07200000000000001</v>
      </c>
      <c r="D31" s="6">
        <v>0.07200000000000001</v>
      </c>
      <c r="E31" s="6">
        <v>0.07200000000000001</v>
      </c>
      <c r="F31" s="6">
        <v>0.07200000000000001</v>
      </c>
    </row>
    <row r="32" spans="1:6">
      <c r="A32" t="s">
        <v>33</v>
      </c>
      <c r="B32" s="6">
        <v>0.023</v>
      </c>
      <c r="C32" s="6">
        <v>0.023</v>
      </c>
      <c r="D32" s="6">
        <v>0.023</v>
      </c>
      <c r="E32" s="6">
        <v>0.023</v>
      </c>
      <c r="F32" s="6">
        <v>0.023</v>
      </c>
    </row>
    <row r="33" spans="1:6">
      <c r="A33" t="s">
        <v>34</v>
      </c>
      <c r="B33" s="6">
        <v>0.034</v>
      </c>
      <c r="C33" s="6">
        <v>0.034</v>
      </c>
      <c r="D33" s="6">
        <v>0.034</v>
      </c>
      <c r="E33" s="6">
        <v>0.034</v>
      </c>
      <c r="F33" s="6">
        <v>0.034</v>
      </c>
    </row>
    <row r="34" spans="1:6">
      <c r="A34" t="s">
        <v>35</v>
      </c>
      <c r="B34" s="6">
        <v>0.0117</v>
      </c>
      <c r="C34" s="6">
        <v>0.0117</v>
      </c>
      <c r="D34" s="6">
        <v>0.0117</v>
      </c>
      <c r="E34" s="6">
        <v>0.0117</v>
      </c>
      <c r="F34" s="6">
        <v>0.0117</v>
      </c>
    </row>
    <row r="35" spans="1:6">
      <c r="A35" t="s">
        <v>36</v>
      </c>
      <c r="B35" s="6">
        <v>0.27</v>
      </c>
      <c r="C35" s="6">
        <v>0.28</v>
      </c>
      <c r="D35" s="6">
        <v>0.28</v>
      </c>
      <c r="E35" s="6">
        <v>0.28</v>
      </c>
      <c r="F35" s="6">
        <v>0.28</v>
      </c>
    </row>
    <row r="37" spans="1:6">
      <c r="A37" s="3" t="s">
        <v>37</v>
      </c>
    </row>
    <row r="38" spans="1:6">
      <c r="A38" s="9"/>
      <c r="B38" s="9" t="s">
        <v>26</v>
      </c>
      <c r="C38" s="9" t="s">
        <v>27</v>
      </c>
      <c r="D38" s="9" t="s">
        <v>28</v>
      </c>
      <c r="E38" s="9" t="s">
        <v>29</v>
      </c>
      <c r="F38" s="9" t="s">
        <v>30</v>
      </c>
    </row>
    <row r="39" spans="1:6">
      <c r="A39" t="s">
        <v>38</v>
      </c>
      <c r="B39" s="5">
        <f>B40*(1+B29)</f>
        <v>0</v>
      </c>
      <c r="C39" s="5">
        <f>B39*(1+C29)</f>
        <v>0</v>
      </c>
      <c r="D39" s="5">
        <f>C39*(1+D29)</f>
        <v>0</v>
      </c>
      <c r="E39" s="5">
        <f>D39*(1+E29)</f>
        <v>0</v>
      </c>
      <c r="F39" s="5">
        <f>E39*(1+F29)</f>
        <v>0</v>
      </c>
    </row>
    <row r="40" spans="1:6">
      <c r="A40" t="s">
        <v>39</v>
      </c>
      <c r="B40" s="4">
        <v>24.845</v>
      </c>
    </row>
    <row r="41" spans="1:6">
      <c r="A41" t="s">
        <v>40</v>
      </c>
      <c r="B41" s="5">
        <f>B39*B30</f>
        <v>0</v>
      </c>
      <c r="C41" s="5">
        <f>C39*C30</f>
        <v>0</v>
      </c>
      <c r="D41" s="5">
        <f>D39*D30</f>
        <v>0</v>
      </c>
      <c r="E41" s="5">
        <f>E39*E30</f>
        <v>0</v>
      </c>
      <c r="F41" s="5">
        <f>F39*F30</f>
        <v>0</v>
      </c>
    </row>
    <row r="42" spans="1:6">
      <c r="A42" t="s">
        <v>41</v>
      </c>
      <c r="B42" s="5">
        <f>B39*$B$31</f>
        <v>0</v>
      </c>
      <c r="C42" s="5">
        <f>C39*$B$31</f>
        <v>0</v>
      </c>
      <c r="D42" s="5">
        <f>D39*$B$31</f>
        <v>0</v>
      </c>
      <c r="E42" s="5">
        <f>E39*$B$31</f>
        <v>0</v>
      </c>
      <c r="F42" s="5">
        <f>F39*$B$31</f>
        <v>0</v>
      </c>
    </row>
    <row r="43" spans="1:6">
      <c r="A43" t="s">
        <v>42</v>
      </c>
      <c r="B43" s="5">
        <f>B41-B42</f>
        <v>0</v>
      </c>
      <c r="C43" s="5">
        <f>C41-C42</f>
        <v>0</v>
      </c>
      <c r="D43" s="5">
        <f>D41-D42</f>
        <v>0</v>
      </c>
      <c r="E43" s="5">
        <f>E41-E42</f>
        <v>0</v>
      </c>
      <c r="F43" s="5">
        <f>F41-F42</f>
        <v>0</v>
      </c>
    </row>
    <row r="44" spans="1:6">
      <c r="A44" t="s">
        <v>43</v>
      </c>
      <c r="B44" s="5">
        <f>B43*(1-B35)</f>
        <v>0</v>
      </c>
      <c r="C44" s="5">
        <f>C43*(1-C35)</f>
        <v>0</v>
      </c>
      <c r="D44" s="5">
        <f>D43*(1-D35)</f>
        <v>0</v>
      </c>
      <c r="E44" s="5">
        <f>E43*(1-E35)</f>
        <v>0</v>
      </c>
      <c r="F44" s="5">
        <f>F43*(1-F35)</f>
        <v>0</v>
      </c>
    </row>
    <row r="45" spans="1:6">
      <c r="A45" t="s">
        <v>44</v>
      </c>
      <c r="B45" s="5">
        <f>B39*$B$32</f>
        <v>0</v>
      </c>
      <c r="C45" s="5">
        <f>C39*$B$32</f>
        <v>0</v>
      </c>
      <c r="D45" s="5">
        <f>D39*$B$32</f>
        <v>0</v>
      </c>
      <c r="E45" s="5">
        <f>E39*$B$32</f>
        <v>0</v>
      </c>
      <c r="F45" s="5">
        <f>F39*$B$32</f>
        <v>0</v>
      </c>
    </row>
    <row r="46" spans="1:6">
      <c r="A46" t="s">
        <v>45</v>
      </c>
      <c r="B46" s="5">
        <f>B39*$B$33</f>
        <v>0</v>
      </c>
      <c r="C46" s="5">
        <f>C39*$B$33</f>
        <v>0</v>
      </c>
      <c r="D46" s="5">
        <f>D39*$B$33</f>
        <v>0</v>
      </c>
      <c r="E46" s="5">
        <f>E39*$B$33</f>
        <v>0</v>
      </c>
      <c r="F46" s="5">
        <f>F39*$B$33</f>
        <v>0</v>
      </c>
    </row>
    <row r="47" spans="1:6">
      <c r="A47" t="s">
        <v>46</v>
      </c>
      <c r="B47" s="5">
        <f>B39*$B$34</f>
        <v>0</v>
      </c>
      <c r="C47" s="5">
        <f>C39*$B$34</f>
        <v>0</v>
      </c>
      <c r="D47" s="5">
        <f>D39*$B$34</f>
        <v>0</v>
      </c>
      <c r="E47" s="5">
        <f>E39*$B$34</f>
        <v>0</v>
      </c>
      <c r="F47" s="5">
        <f>F39*$B$34</f>
        <v>0</v>
      </c>
    </row>
    <row r="48" spans="1:6">
      <c r="A48" t="s">
        <v>47</v>
      </c>
      <c r="B48" s="5">
        <f>B44+B42-B45-B46-B47</f>
        <v>0</v>
      </c>
      <c r="C48" s="5">
        <f>C44+C42-C45-C46-C47</f>
        <v>0</v>
      </c>
      <c r="D48" s="5">
        <f>D44+D42-D45-D46-D47</f>
        <v>0</v>
      </c>
      <c r="E48" s="5">
        <f>E44+E42-E45-E46-E47</f>
        <v>0</v>
      </c>
      <c r="F48" s="5">
        <f>F44+F42-F45-F46-F47</f>
        <v>0</v>
      </c>
    </row>
    <row r="49" spans="1:6">
      <c r="A49" t="s">
        <v>48</v>
      </c>
      <c r="B49" s="7">
        <f>B48/B39</f>
        <v>0</v>
      </c>
      <c r="C49" s="7">
        <f>C48/C39</f>
        <v>0</v>
      </c>
      <c r="D49" s="7">
        <f>D48/D39</f>
        <v>0</v>
      </c>
      <c r="E49" s="7">
        <f>E48/E39</f>
        <v>0</v>
      </c>
      <c r="F49" s="7">
        <f>F48/F39</f>
        <v>0</v>
      </c>
    </row>
    <row r="50" spans="1:6">
      <c r="A50" t="s">
        <v>49</v>
      </c>
      <c r="B50" s="5">
        <f>1/(1+$B$17)^1</f>
        <v>0</v>
      </c>
      <c r="C50" s="5">
        <f>1/(1+$B$17)^2</f>
        <v>0</v>
      </c>
      <c r="D50" s="5">
        <f>1/(1+$B$17)^3</f>
        <v>0</v>
      </c>
      <c r="E50" s="5">
        <f>1/(1+$B$17)^4</f>
        <v>0</v>
      </c>
      <c r="F50" s="5">
        <f>1/(1+$B$17)^5</f>
        <v>0</v>
      </c>
    </row>
    <row r="51" spans="1:6">
      <c r="A51" t="s">
        <v>50</v>
      </c>
      <c r="B51" s="5">
        <f>B48*B50</f>
        <v>0</v>
      </c>
      <c r="C51" s="5">
        <f>C48*C50</f>
        <v>0</v>
      </c>
      <c r="D51" s="5">
        <f>D48*D50</f>
        <v>0</v>
      </c>
      <c r="E51" s="5">
        <f>E48*E50</f>
        <v>0</v>
      </c>
      <c r="F51" s="5">
        <f>F48*F50</f>
        <v>0</v>
      </c>
    </row>
    <row r="53" spans="1:6">
      <c r="A53" s="3" t="s">
        <v>51</v>
      </c>
    </row>
    <row r="54" spans="1:6">
      <c r="A54" t="s">
        <v>52</v>
      </c>
      <c r="B54" s="5">
        <f>SUM(B51:F51)</f>
        <v>0</v>
      </c>
    </row>
    <row r="55" spans="1:6">
      <c r="A55" t="s">
        <v>53</v>
      </c>
      <c r="B55" s="5">
        <f>F48*(1+B18)</f>
        <v>0</v>
      </c>
    </row>
    <row r="56" spans="1:6">
      <c r="A56" t="s">
        <v>54</v>
      </c>
      <c r="B56" s="5">
        <f>B55/(B17-B18)</f>
        <v>0</v>
      </c>
    </row>
    <row r="57" spans="1:6">
      <c r="A57" t="s">
        <v>55</v>
      </c>
      <c r="B57" s="5">
        <f>B19*F48</f>
        <v>0</v>
      </c>
    </row>
    <row r="58" spans="1:6">
      <c r="A58" t="s">
        <v>56</v>
      </c>
      <c r="B58" s="5">
        <f>MIN(B56,B57)</f>
        <v>0</v>
      </c>
    </row>
    <row r="59" spans="1:6">
      <c r="A59" t="s">
        <v>57</v>
      </c>
      <c r="B59" s="5">
        <f>B58*F50</f>
        <v>0</v>
      </c>
    </row>
    <row r="60" spans="1:6">
      <c r="A60" t="s">
        <v>58</v>
      </c>
      <c r="B60" s="5">
        <f>B54+B59</f>
        <v>0</v>
      </c>
    </row>
    <row r="61" spans="1:6">
      <c r="A61" t="s">
        <v>59</v>
      </c>
      <c r="B61" s="5">
        <f>B9</f>
        <v>0</v>
      </c>
    </row>
    <row r="62" spans="1:6">
      <c r="A62" t="s">
        <v>60</v>
      </c>
      <c r="B62" s="5">
        <f>B60-B61</f>
        <v>0</v>
      </c>
    </row>
    <row r="63" spans="1:6">
      <c r="A63" s="8" t="s">
        <v>61</v>
      </c>
      <c r="B63" s="10">
        <f>B62/B6</f>
        <v>0</v>
      </c>
    </row>
    <row r="65" spans="1:3">
      <c r="A65" s="3" t="s">
        <v>62</v>
      </c>
    </row>
    <row r="66" spans="1:3">
      <c r="A66" t="s">
        <v>63</v>
      </c>
      <c r="B66" s="5">
        <f>NPV(0.15,B48:F48)</f>
        <v>0</v>
      </c>
    </row>
    <row r="67" spans="1:3">
      <c r="A67" t="s">
        <v>64</v>
      </c>
      <c r="B67" s="5">
        <f>B58/(1.15^5)</f>
        <v>0</v>
      </c>
    </row>
    <row r="68" spans="1:3">
      <c r="A68" t="s">
        <v>65</v>
      </c>
      <c r="B68" s="5">
        <f>B9</f>
        <v>0</v>
      </c>
    </row>
    <row r="69" spans="1:3">
      <c r="A69" t="s">
        <v>66</v>
      </c>
      <c r="B69" s="5">
        <f>(B66+B67-B68)/B6</f>
        <v>0</v>
      </c>
    </row>
    <row r="70" spans="1:3">
      <c r="A70" t="s">
        <v>67</v>
      </c>
      <c r="B70" s="10">
        <f>MIN(B69,B63)</f>
        <v>0</v>
      </c>
      <c r="C70" s="2" t="s">
        <v>68</v>
      </c>
    </row>
    <row r="72" spans="1:3">
      <c r="A72" t="s">
        <v>69</v>
      </c>
      <c r="B72" s="7">
        <f>(B63-B5)/B5</f>
        <v>0</v>
      </c>
    </row>
    <row r="73" spans="1:3">
      <c r="A73" t="s">
        <v>70</v>
      </c>
      <c r="B73" s="7">
        <f>(B5-B70)/B5</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9"/>
  <sheetViews>
    <sheetView workbookViewId="0"/>
  </sheetViews>
  <sheetFormatPr defaultRowHeight="15"/>
  <cols>
    <col min="1" max="1" width="18.7109375" customWidth="1"/>
    <col min="2" max="7" width="12.7109375" customWidth="1"/>
  </cols>
  <sheetData>
    <row r="1" spans="1:6">
      <c r="A1" s="1" t="s">
        <v>71</v>
      </c>
    </row>
    <row r="2" spans="1:6">
      <c r="A2" t="s">
        <v>72</v>
      </c>
    </row>
    <row r="4" spans="1:6">
      <c r="A4" s="9" t="s">
        <v>73</v>
      </c>
      <c r="B4" s="11">
        <v>0.01</v>
      </c>
      <c r="C4" s="11">
        <v>0.015</v>
      </c>
      <c r="D4" s="11">
        <v>0.02</v>
      </c>
      <c r="E4" s="11">
        <v>0.025</v>
      </c>
      <c r="F4" s="11">
        <v>0.03</v>
      </c>
    </row>
    <row r="5" spans="1:6">
      <c r="A5" s="11">
        <v>0.13</v>
      </c>
      <c r="B5" s="12">
        <f>(SUMPRODUCT('DCF Model'!$B$48:$F$48,1/(1+0.13)^{1,2,3,4,5})+MIN('DCF Model'!$F$48*(1+0.01)/(0.13-0.01),'DCF Model'!$B$19*'DCF Model'!$F$48)/(1+0.13)^5-'DCF Model'!$B$9)/'DCF Model'!$B$6</f>
        <v>0</v>
      </c>
      <c r="C5" s="12">
        <f>(SUMPRODUCT('DCF Model'!$B$48:$F$48,1/(1+0.13)^{1,2,3,4,5})+MIN('DCF Model'!$F$48*(1+0.015)/(0.13-0.015),'DCF Model'!$B$19*'DCF Model'!$F$48)/(1+0.13)^5-'DCF Model'!$B$9)/'DCF Model'!$B$6</f>
        <v>0</v>
      </c>
      <c r="D5" s="12">
        <f>(SUMPRODUCT('DCF Model'!$B$48:$F$48,1/(1+0.13)^{1,2,3,4,5})+MIN('DCF Model'!$F$48*(1+0.02)/(0.13-0.02),'DCF Model'!$B$19*'DCF Model'!$F$48)/(1+0.13)^5-'DCF Model'!$B$9)/'DCF Model'!$B$6</f>
        <v>0</v>
      </c>
      <c r="E5" s="12">
        <f>(SUMPRODUCT('DCF Model'!$B$48:$F$48,1/(1+0.13)^{1,2,3,4,5})+MIN('DCF Model'!$F$48*(1+0.025)/(0.13-0.025),'DCF Model'!$B$19*'DCF Model'!$F$48)/(1+0.13)^5-'DCF Model'!$B$9)/'DCF Model'!$B$6</f>
        <v>0</v>
      </c>
      <c r="F5" s="12">
        <f>(SUMPRODUCT('DCF Model'!$B$48:$F$48,1/(1+0.13)^{1,2,3,4,5})+MIN('DCF Model'!$F$48*(1+0.03)/(0.13-0.03),'DCF Model'!$B$19*'DCF Model'!$F$48)/(1+0.13)^5-'DCF Model'!$B$9)/'DCF Model'!$B$6</f>
        <v>0</v>
      </c>
    </row>
    <row r="6" spans="1:6">
      <c r="A6" s="11">
        <v>0.15</v>
      </c>
      <c r="B6" s="12">
        <f>(SUMPRODUCT('DCF Model'!$B$48:$F$48,1/(1+0.15)^{1,2,3,4,5})+MIN('DCF Model'!$F$48*(1+0.01)/(0.15-0.01),'DCF Model'!$B$19*'DCF Model'!$F$48)/(1+0.15)^5-'DCF Model'!$B$9)/'DCF Model'!$B$6</f>
        <v>0</v>
      </c>
      <c r="C6" s="12">
        <f>(SUMPRODUCT('DCF Model'!$B$48:$F$48,1/(1+0.15)^{1,2,3,4,5})+MIN('DCF Model'!$F$48*(1+0.015)/(0.15-0.015),'DCF Model'!$B$19*'DCF Model'!$F$48)/(1+0.15)^5-'DCF Model'!$B$9)/'DCF Model'!$B$6</f>
        <v>0</v>
      </c>
      <c r="D6" s="12">
        <f>(SUMPRODUCT('DCF Model'!$B$48:$F$48,1/(1+0.15)^{1,2,3,4,5})+MIN('DCF Model'!$F$48*(1+0.02)/(0.15-0.02),'DCF Model'!$B$19*'DCF Model'!$F$48)/(1+0.15)^5-'DCF Model'!$B$9)/'DCF Model'!$B$6</f>
        <v>0</v>
      </c>
      <c r="E6" s="12">
        <f>(SUMPRODUCT('DCF Model'!$B$48:$F$48,1/(1+0.15)^{1,2,3,4,5})+MIN('DCF Model'!$F$48*(1+0.025)/(0.15-0.025),'DCF Model'!$B$19*'DCF Model'!$F$48)/(1+0.15)^5-'DCF Model'!$B$9)/'DCF Model'!$B$6</f>
        <v>0</v>
      </c>
      <c r="F6" s="12">
        <f>(SUMPRODUCT('DCF Model'!$B$48:$F$48,1/(1+0.15)^{1,2,3,4,5})+MIN('DCF Model'!$F$48*(1+0.03)/(0.15-0.03),'DCF Model'!$B$19*'DCF Model'!$F$48)/(1+0.15)^5-'DCF Model'!$B$9)/'DCF Model'!$B$6</f>
        <v>0</v>
      </c>
    </row>
    <row r="7" spans="1:6">
      <c r="A7" s="11">
        <v>0.17</v>
      </c>
      <c r="B7" s="12">
        <f>(SUMPRODUCT('DCF Model'!$B$48:$F$48,1/(1+0.17)^{1,2,3,4,5})+MIN('DCF Model'!$F$48*(1+0.01)/(0.17-0.01),'DCF Model'!$B$19*'DCF Model'!$F$48)/(1+0.17)^5-'DCF Model'!$B$9)/'DCF Model'!$B$6</f>
        <v>0</v>
      </c>
      <c r="C7" s="12">
        <f>(SUMPRODUCT('DCF Model'!$B$48:$F$48,1/(1+0.17)^{1,2,3,4,5})+MIN('DCF Model'!$F$48*(1+0.015)/(0.17-0.015),'DCF Model'!$B$19*'DCF Model'!$F$48)/(1+0.17)^5-'DCF Model'!$B$9)/'DCF Model'!$B$6</f>
        <v>0</v>
      </c>
      <c r="D7" s="12">
        <f>(SUMPRODUCT('DCF Model'!$B$48:$F$48,1/(1+0.17)^{1,2,3,4,5})+MIN('DCF Model'!$F$48*(1+0.02)/(0.17-0.02),'DCF Model'!$B$19*'DCF Model'!$F$48)/(1+0.17)^5-'DCF Model'!$B$9)/'DCF Model'!$B$6</f>
        <v>0</v>
      </c>
      <c r="E7" s="12">
        <f>(SUMPRODUCT('DCF Model'!$B$48:$F$48,1/(1+0.17)^{1,2,3,4,5})+MIN('DCF Model'!$F$48*(1+0.025)/(0.17-0.025),'DCF Model'!$B$19*'DCF Model'!$F$48)/(1+0.17)^5-'DCF Model'!$B$9)/'DCF Model'!$B$6</f>
        <v>0</v>
      </c>
      <c r="F7" s="12">
        <f>(SUMPRODUCT('DCF Model'!$B$48:$F$48,1/(1+0.17)^{1,2,3,4,5})+MIN('DCF Model'!$F$48*(1+0.03)/(0.17-0.03),'DCF Model'!$B$19*'DCF Model'!$F$48)/(1+0.17)^5-'DCF Model'!$B$9)/'DCF Model'!$B$6</f>
        <v>0</v>
      </c>
    </row>
    <row r="8" spans="1:6">
      <c r="A8" s="11">
        <v>0.19</v>
      </c>
      <c r="B8" s="12">
        <f>(SUMPRODUCT('DCF Model'!$B$48:$F$48,1/(1+0.19)^{1,2,3,4,5})+MIN('DCF Model'!$F$48*(1+0.01)/(0.19-0.01),'DCF Model'!$B$19*'DCF Model'!$F$48)/(1+0.19)^5-'DCF Model'!$B$9)/'DCF Model'!$B$6</f>
        <v>0</v>
      </c>
      <c r="C8" s="12">
        <f>(SUMPRODUCT('DCF Model'!$B$48:$F$48,1/(1+0.19)^{1,2,3,4,5})+MIN('DCF Model'!$F$48*(1+0.015)/(0.19-0.015),'DCF Model'!$B$19*'DCF Model'!$F$48)/(1+0.19)^5-'DCF Model'!$B$9)/'DCF Model'!$B$6</f>
        <v>0</v>
      </c>
      <c r="D8" s="12">
        <f>(SUMPRODUCT('DCF Model'!$B$48:$F$48,1/(1+0.19)^{1,2,3,4,5})+MIN('DCF Model'!$F$48*(1+0.02)/(0.19-0.02),'DCF Model'!$B$19*'DCF Model'!$F$48)/(1+0.19)^5-'DCF Model'!$B$9)/'DCF Model'!$B$6</f>
        <v>0</v>
      </c>
      <c r="E8" s="12">
        <f>(SUMPRODUCT('DCF Model'!$B$48:$F$48,1/(1+0.19)^{1,2,3,4,5})+MIN('DCF Model'!$F$48*(1+0.025)/(0.19-0.025),'DCF Model'!$B$19*'DCF Model'!$F$48)/(1+0.19)^5-'DCF Model'!$B$9)/'DCF Model'!$B$6</f>
        <v>0</v>
      </c>
      <c r="F8" s="12">
        <f>(SUMPRODUCT('DCF Model'!$B$48:$F$48,1/(1+0.19)^{1,2,3,4,5})+MIN('DCF Model'!$F$48*(1+0.03)/(0.19-0.03),'DCF Model'!$B$19*'DCF Model'!$F$48)/(1+0.19)^5-'DCF Model'!$B$9)/'DCF Model'!$B$6</f>
        <v>0</v>
      </c>
    </row>
    <row r="9" spans="1:6">
      <c r="A9" s="11">
        <v>0.21</v>
      </c>
      <c r="B9" s="12">
        <f>(SUMPRODUCT('DCF Model'!$B$48:$F$48,1/(1+0.21)^{1,2,3,4,5})+MIN('DCF Model'!$F$48*(1+0.01)/(0.21-0.01),'DCF Model'!$B$19*'DCF Model'!$F$48)/(1+0.21)^5-'DCF Model'!$B$9)/'DCF Model'!$B$6</f>
        <v>0</v>
      </c>
      <c r="C9" s="12">
        <f>(SUMPRODUCT('DCF Model'!$B$48:$F$48,1/(1+0.21)^{1,2,3,4,5})+MIN('DCF Model'!$F$48*(1+0.015)/(0.21-0.015),'DCF Model'!$B$19*'DCF Model'!$F$48)/(1+0.21)^5-'DCF Model'!$B$9)/'DCF Model'!$B$6</f>
        <v>0</v>
      </c>
      <c r="D9" s="12">
        <f>(SUMPRODUCT('DCF Model'!$B$48:$F$48,1/(1+0.21)^{1,2,3,4,5})+MIN('DCF Model'!$F$48*(1+0.02)/(0.21-0.02),'DCF Model'!$B$19*'DCF Model'!$F$48)/(1+0.21)^5-'DCF Model'!$B$9)/'DCF Model'!$B$6</f>
        <v>0</v>
      </c>
      <c r="E9" s="12">
        <f>(SUMPRODUCT('DCF Model'!$B$48:$F$48,1/(1+0.21)^{1,2,3,4,5})+MIN('DCF Model'!$F$48*(1+0.025)/(0.21-0.025),'DCF Model'!$B$19*'DCF Model'!$F$48)/(1+0.21)^5-'DCF Model'!$B$9)/'DCF Model'!$B$6</f>
        <v>0</v>
      </c>
      <c r="F9" s="12">
        <f>(SUMPRODUCT('DCF Model'!$B$48:$F$48,1/(1+0.21)^{1,2,3,4,5})+MIN('DCF Model'!$F$48*(1+0.03)/(0.21-0.03),'DCF Model'!$B$19*'DCF Model'!$F$48)/(1+0.21)^5-'DCF Model'!$B$9)/'DCF Model'!$B$6</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8"/>
  <sheetViews>
    <sheetView workbookViewId="0"/>
  </sheetViews>
  <sheetFormatPr defaultRowHeight="15"/>
  <cols>
    <col min="1" max="1" width="42.7109375" customWidth="1"/>
    <col min="2" max="4" width="14.7109375" customWidth="1"/>
  </cols>
  <sheetData>
    <row r="1" spans="1:4">
      <c r="A1" s="1" t="s">
        <v>74</v>
      </c>
    </row>
    <row r="3" spans="1:4">
      <c r="A3" s="2" t="s">
        <v>75</v>
      </c>
    </row>
    <row r="5" spans="1:4">
      <c r="A5" s="9"/>
      <c r="B5" s="9" t="s">
        <v>76</v>
      </c>
      <c r="C5" s="9" t="s">
        <v>77</v>
      </c>
      <c r="D5" s="9" t="s">
        <v>78</v>
      </c>
    </row>
    <row r="7" spans="1:4">
      <c r="A7" t="s">
        <v>79</v>
      </c>
      <c r="B7" s="5">
        <v>2.386</v>
      </c>
      <c r="C7" s="5">
        <v>1.374</v>
      </c>
      <c r="D7" s="5">
        <v>2.938</v>
      </c>
    </row>
    <row r="8" spans="1:4">
      <c r="A8" t="s">
        <v>80</v>
      </c>
      <c r="B8" s="5">
        <v>-0.297754</v>
      </c>
      <c r="C8" s="5">
        <v>-0.195118</v>
      </c>
      <c r="D8" s="5">
        <v>-0.160916</v>
      </c>
    </row>
    <row r="9" spans="1:4">
      <c r="A9" t="s">
        <v>81</v>
      </c>
      <c r="B9" s="5">
        <v>-0.955937</v>
      </c>
      <c r="C9" s="5">
        <v>-0.739683</v>
      </c>
      <c r="D9" s="5">
        <v>-0.861726</v>
      </c>
    </row>
    <row r="10" spans="1:4">
      <c r="A10" s="8" t="inlineStr">
        <is>
          <t>= Owner FCF</t>
        </is>
      </c>
      <c r="B10" s="5">
        <f>SUM(B6:B8)</f>
        <v>0</v>
      </c>
      <c r="C10" s="5">
        <f>SUM(C6:C8)</f>
        <v>0</v>
      </c>
      <c r="D10" s="5">
        <f>SUM(D6:D8)</f>
        <v>0</v>
      </c>
    </row>
    <row r="12" spans="1:4">
      <c r="A12" t="s">
        <v>38</v>
      </c>
      <c r="B12" s="5">
        <v>26.247734</v>
      </c>
      <c r="C12" s="5">
        <v>24.055874</v>
      </c>
      <c r="D12" s="5">
        <v>24.844844</v>
      </c>
    </row>
    <row r="13" spans="1:4">
      <c r="A13" t="s">
        <v>82</v>
      </c>
      <c r="B13" s="7">
        <f>B6/B12</f>
        <v>0</v>
      </c>
      <c r="C13" s="7">
        <f>C6/C12</f>
        <v>0</v>
      </c>
      <c r="D13" s="7">
        <f>D6/D12</f>
        <v>0</v>
      </c>
    </row>
    <row r="14" spans="1:4">
      <c r="A14" t="s">
        <v>48</v>
      </c>
      <c r="B14" s="7">
        <f>B10/B12</f>
        <v>0</v>
      </c>
      <c r="C14" s="7">
        <f>C10/C12</f>
        <v>0</v>
      </c>
      <c r="D14" s="7">
        <f>D10/D12</f>
        <v>0</v>
      </c>
    </row>
    <row r="16" spans="1:4">
      <c r="A16" s="8" t="s">
        <v>83</v>
      </c>
    </row>
    <row r="17" spans="1:1">
      <c r="A17" t="s">
        <v>84</v>
      </c>
    </row>
    <row r="19" spans="1:1">
      <c r="A19" s="8" t="s">
        <v>85</v>
      </c>
    </row>
    <row r="20" spans="1:1">
      <c r="A20" t="s">
        <v>86</v>
      </c>
    </row>
    <row r="22" spans="1:1">
      <c r="A22" s="8" t="s">
        <v>87</v>
      </c>
    </row>
    <row r="23" spans="1:1">
      <c r="A23" t="s">
        <v>88</v>
      </c>
    </row>
    <row r="24" spans="1:1">
      <c r="A24" t="s">
        <v>89</v>
      </c>
    </row>
    <row r="25" spans="1:1">
      <c r="A25" t="s">
        <v>90</v>
      </c>
    </row>
    <row r="27" spans="1:1">
      <c r="A27" s="8" t="s">
        <v>91</v>
      </c>
    </row>
    <row r="28" spans="1:1">
      <c r="A28" t="s">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5"/>
  <sheetViews>
    <sheetView workbookViewId="0"/>
  </sheetViews>
  <sheetFormatPr defaultRowHeight="15"/>
  <cols>
    <col min="1" max="1" width="24.7109375" customWidth="1"/>
    <col min="2" max="3" width="15.7109375" customWidth="1"/>
  </cols>
  <sheetData>
    <row r="1" spans="1:4">
      <c r="A1" s="1" t="s">
        <v>93</v>
      </c>
    </row>
    <row r="3" spans="1:4">
      <c r="A3" s="9" t="s">
        <v>94</v>
      </c>
      <c r="B3" s="9" t="s">
        <v>95</v>
      </c>
      <c r="C3" s="9" t="s">
        <v>96</v>
      </c>
    </row>
    <row r="5" spans="1:4">
      <c r="A5" t="s">
        <v>38</v>
      </c>
      <c r="B5" s="7">
        <v>0.0277</v>
      </c>
      <c r="C5" s="7">
        <v>0.059</v>
      </c>
    </row>
    <row r="6" spans="1:4">
      <c r="A6" t="s">
        <v>97</v>
      </c>
      <c r="C6" s="7">
        <v>0.0004</v>
      </c>
    </row>
    <row r="7" spans="1:4">
      <c r="A7" t="s">
        <v>98</v>
      </c>
      <c r="B7" s="7">
        <v>0.4618</v>
      </c>
      <c r="C7" s="7">
        <v>0.3159</v>
      </c>
    </row>
    <row r="8" spans="1:4">
      <c r="A8" t="s">
        <v>99</v>
      </c>
      <c r="C8" s="7">
        <v>0.0274</v>
      </c>
    </row>
    <row r="9" spans="1:4">
      <c r="A9" t="s">
        <v>100</v>
      </c>
      <c r="B9" s="7">
        <v>0.3007</v>
      </c>
    </row>
    <row r="11" spans="1:4">
      <c r="A11" s="8" t="s">
        <v>101</v>
      </c>
      <c r="B11" s="7">
        <v>0.012</v>
      </c>
    </row>
    <row r="12" spans="1:4">
      <c r="A12" t="s">
        <v>102</v>
      </c>
      <c r="B12" t="s">
        <v>103</v>
      </c>
    </row>
    <row r="14" spans="1:4">
      <c r="A14" s="8" t="s">
        <v>104</v>
      </c>
    </row>
    <row r="15" spans="1:4" ht="90" customHeight="1">
      <c r="A15" s="13" t="s">
        <v>105</v>
      </c>
      <c r="B15" s="13"/>
      <c r="C15" s="13"/>
      <c r="D15" s="13"/>
    </row>
  </sheetData>
  <mergeCells count="1">
    <mergeCell ref="A15:D1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7"/>
  <sheetViews>
    <sheetView workbookViewId="0"/>
  </sheetViews>
  <sheetFormatPr defaultRowHeight="15"/>
  <cols>
    <col min="1" max="1" width="28.7109375" customWidth="1"/>
    <col min="2" max="2" width="90.7109375" customWidth="1"/>
  </cols>
  <sheetData>
    <row r="1" spans="1:2">
      <c r="A1" s="1" t="s">
        <v>106</v>
      </c>
    </row>
    <row r="3" spans="1:2" ht="30" customHeight="1">
      <c r="A3" s="8" t="s">
        <v>107</v>
      </c>
      <c r="B3" s="14" t="s">
        <v>108</v>
      </c>
    </row>
    <row r="4" spans="1:2" ht="30" customHeight="1">
      <c r="A4" s="8" t="s">
        <v>109</v>
      </c>
      <c r="B4" s="14" t="s">
        <v>110</v>
      </c>
    </row>
    <row r="5" spans="1:2" ht="30" customHeight="1">
      <c r="A5" s="8" t="s">
        <v>111</v>
      </c>
      <c r="B5" s="14" t="s">
        <v>112</v>
      </c>
    </row>
    <row r="6" spans="1:2" ht="30" customHeight="1">
      <c r="A6" s="8" t="s">
        <v>113</v>
      </c>
      <c r="B6" s="14" t="s">
        <v>114</v>
      </c>
    </row>
    <row r="7" spans="1:2" ht="30" customHeight="1">
      <c r="A7" s="8" t="s">
        <v>115</v>
      </c>
      <c r="B7" s="14" t="s">
        <v>116</v>
      </c>
    </row>
    <row r="8" spans="1:2" ht="30" customHeight="1">
      <c r="A8" s="8" t="s">
        <v>117</v>
      </c>
      <c r="B8" s="14" t="s">
        <v>118</v>
      </c>
    </row>
    <row r="9" spans="1:2" ht="30" customHeight="1">
      <c r="A9" s="8" t="s">
        <v>119</v>
      </c>
      <c r="B9" s="14" t="s">
        <v>120</v>
      </c>
    </row>
    <row r="10" spans="1:2" ht="30" customHeight="1">
      <c r="A10" s="8" t="s">
        <v>121</v>
      </c>
      <c r="B10" s="14" t="s">
        <v>122</v>
      </c>
    </row>
    <row r="11" spans="1:2" ht="30" customHeight="1">
      <c r="A11" s="8" t="s">
        <v>123</v>
      </c>
      <c r="B11" s="14" t="s">
        <v>124</v>
      </c>
    </row>
    <row r="12" spans="1:2" ht="30" customHeight="1">
      <c r="A12" s="8" t="s">
        <v>125</v>
      </c>
      <c r="B12" s="14" t="s">
        <v>126</v>
      </c>
    </row>
    <row r="13" spans="1:2" ht="30" customHeight="1">
      <c r="A13" s="8" t="s">
        <v>127</v>
      </c>
      <c r="B13" s="14" t="s">
        <v>128</v>
      </c>
    </row>
    <row r="14" spans="1:2" ht="30" customHeight="1">
      <c r="A14" s="8" t="s">
        <v>129</v>
      </c>
      <c r="B14" s="14" t="s">
        <v>130</v>
      </c>
    </row>
    <row r="15" spans="1:2" ht="30" customHeight="1">
      <c r="A15" s="8" t="s">
        <v>131</v>
      </c>
      <c r="B15" s="14" t="s">
        <v>132</v>
      </c>
    </row>
    <row r="16" spans="1:2" ht="30" customHeight="1">
      <c r="A16" s="8" t="s">
        <v>133</v>
      </c>
      <c r="B16" s="14" t="s">
        <v>134</v>
      </c>
    </row>
    <row r="17" spans="1:2" ht="30" customHeight="1">
      <c r="A17" s="8" t="s">
        <v>135</v>
      </c>
      <c r="B17" s="14"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DCF Model</vt:lpstr>
      <vt:lpstr>Sensitivity</vt:lpstr>
      <vt:lpstr>FCF Quality</vt:lpstr>
      <vt:lpstr>Historical</vt:lpstr>
      <vt:lpstr>Model_Info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2026-08-09T05:37:34Z</dcterms:created>
  <dcterms:modified xsi:type="dcterms:W3CDTF">2026-08-09T05:37:34Z</dcterms:modified>
</cp:coreProperties>
</file>