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<sst xmlns="http://schemas.openxmlformats.org/spreadsheetml/2006/main" count="359" uniqueCount="169">
  <si>
    <t xml:space="preserve">Ticker</t>
  </si>
  <si>
    <t xml:space="preserve">6060.HK</t>
  </si>
  <si>
    <t xml:space="preserve">Company</t>
  </si>
  <si>
    <t xml:space="preserve">ZhongAn Online P &amp; C Insurance Co., Ltd.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</si>
  <si>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</si>
  <si>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</si>
  <si>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</si>
  <si>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</si>
  <si>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regular HKEX close (Yahoo chart API); 52-week range 8.775-18.0</t>
  </si>
  <si>
    <t xml:space="preserve">Balance sheet date</t>
  </si>
  <si>
    <t xml:space="preserve">2026-06-30</t>
  </si>
  <si>
    <t xml:space="preserve">Model</t>
  </si>
  <si>
    <t xml:space="preserve">P&amp;C insurer FCFE at cost of equity, net debt held at zero (engine route)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</si>
  <si>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</si>
  <si>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</si>
  <si>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</si>
  <si>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</si>
  <si>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</si>
  <si>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</si>
  <si>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</si>
  <si>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</si>
  <si>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</si>
  <si>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2026-10-23T11:07:14Z</t>
  </si>
  <si>
    <t xml:space="preserve">Drivers file</t>
  </si>
  <si>
    <t xml:space="preserve">6060.HK_Drivers.json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</si>
  <si>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</si>
  <si>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</si>
  <si>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</si>
  <si>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ZhongAn is valued on the equity cash it can distribute, discounted at an 11% CNY cost of equity, not on a book-value compounding model (its ROE of 3-6% is below the cost of equity, so book does not compound) and not on owner FCF (which for an insurer is premium float). The flows carry the online P&amp;C business only; the ZA Bank/Peak3 JV and the associates are added once in the equity bridge at conservative marks and their equity-accounted results are excluded from the margin. The single most important assumption is the payout path: the company has surplus solvency (288%) and has never paid a dividend, and the scenarios differ mainly on whether and how fast that changes. At the current price the stock trades at ~0.49x 30 June 2026 book (RMB16.0/share = HKD18.8) and ~5-6x FY2026E earnings; the market is giving no credit for the surplus capital or the JV.
key_risks_to_valuation: Payout: if the Board never distributes, FCFE is zero and value accrues only through retained earnings compounding at a sub-CoE ROE -- the bear scenario's 20-35% payout is the floor assumed, not zero; Investment income: ~45-55% of normalised pre-tax profit is investment return on ~42bn of float; a 1pp change in total investment yield is ~0.4bn of PBT (~1.2pp of margin), and FY2022 shows the downside can be a net loss; Combined ratio: digital lifestyle (46.8% of GWP) runs at 99.2% and NEV auto mix is raising the loss ratio; every 1pp on the combined ratio is ~0.35bn of underwriting profit; JV mark: the ZhongAn International carrying value (4,037m, 3.5bn of goodwill) was impaired by 698m in FY2025; the bridge uses 1,785m, and a further impairment would hit reported (not adjusted) profit and sentiment; Dilution: the 2025 placing added 14.6% to the share count at HK$18.25; another raise to fund fintech/ZA Bank at today's price would be far more dilutive; FX: value is built in CNY and quoted in HKD at 1.1748; a 5% CNY move is ~5% on the HKD IV</t>
  </si>
  <si>
    <t xml:space="preserve">Data sources</t>
  </si>
  <si>
    <t xml:space="preserve">price: Yahoo Finance chart API at inputs.price_as_of (regular HKEX close); 52-week range 8.775-18.0; CNYHKD=X 1.1748 same date
financials: research/6060.HK/Reports/6060.HK_Metrics.csv (core_metrics, CNY millions) and kpis table; 6060.HK_Annual_FY2025.txt (income statement line 4096-4127, balance sheet 4196, note 25 lines 8140-8262, dividend policy 2315, placing 3569-3640, five-year summary 40-57, key ratios 1176-1199); 6060.HK_HalfYear_H1-2026.txt (segment table 106-146, ecosystem table 199-226, key ratios 709-735, income statement 1406-1436, balance sheet 1497-1542, bonds note 2781-2797)
qualitative: research/6060.HK/Reports/6060.HK_Analysis.json (2026-10-24)</t>
  </si>
  <si>
    <t xml:space="preserve">Scenario narrative: bear</t>
  </si>
  <si>
    <t xml:space="preserve">Fair-value gains reverse, combined ratio back to 97%, 3.5% investment yield, technology losses return: margin 5-5.5%; growth 2-4%; Board retains 65-80% of earnings indefinitely; CoE 12.5%, terminal 2% capped at 10x FCFE.</t>
  </si>
  <si>
    <t xml:space="preserve">Scenario narrative: base</t>
  </si>
  <si>
    <t xml:space="preserve">Insurance revenue +9% in FY2026 fading to 3.5% by FY2035; pre-tax margin (ex-JV) 8.7% in FY2026 normalising to 8.0% and rebuilding to 8.5%; 23% tax; payout 40% rising to 60% as the 288% solvency ratio drifts toward 200%; CoE 11%, terminal 3% capped at 12x FCFE. ZhongAn International JV carried at 1.5x share of net assets and associates at book in the equity bridge.</t>
  </si>
  <si>
    <t xml:space="preserve">Scenario narrative: bull</t>
  </si>
  <si>
    <t xml:space="preserve">Double-digit growth for four more years on health/pet/NEV, combined ratio to 94%, technology segment profitable, 5% investment yield: margin 9.5-11%; distributions start in FY2027 and reach 70% of earnings; CoE 10%, terminal 3.5% capped at 14x FCFE.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</si>
  <si>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</si>
  <si>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</si>
  <si>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</si>
  <si>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</si>
  <si>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</si>
  <si>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</si>
  <si>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</si>
  <si>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</si>
  <si>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</si>
  <si>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</si>
  <si>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</si>
  <si>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</si>
  <si>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</si>
  <si>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</si>
  <si>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</si>
  <si>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</si>
  <si>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</si>
  <si>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</si>
  <si>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</si>
  <si>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</si>
  <si>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</si>
  <si>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</si>
  <si>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</si>
  <si>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</si>
  <si>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</si>
  <si>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</si>
  <si>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</si>
  <si>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AdjustedNetIncomeAttributable</t>
  </si>
  <si>
    <t xml:space="preserve">CombinedOperatingRatio</t>
  </si>
  <si>
    <t xml:space="preserve">GrossWrittenPremiums</t>
  </si>
  <si>
    <t xml:space="preserve">NetEarnedPremium</t>
  </si>
  <si>
    <t xml:space="preserve">NetInvestmentIncome</t>
  </si>
  <si>
    <t xml:space="preserve">SolvencyRatio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</si>
  <si>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</si>
  <si>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</si>
  <si>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</si>
  <si>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</si>
  <si>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</si>
  <si>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</si>
  <si>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</si>
  <si>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</si>
  <si>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</si>
  <si>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</si>
  <si>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</si>
  <si>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</si>
  <si>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</si>
  <si>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</si>
  <si>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</si>
  <si>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</si>
  <si>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</si>
  <si>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</si>
  <si>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</si>
  <si>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</si>
  <si>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</si>
  <si>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</si>
  <si>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</si>
  <si>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</si>
  <si>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</si>
  <si>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</si>
  <si>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</si>
  <si>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</si>
  <si>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</si>
  <si>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</si>
  <si>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</si>
  <si>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</si>
  <si>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</si>
  <si>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</si>
  <si>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</si>
  <si>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</si>
  <si>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</si>
  <si>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</si>
  <si>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</si>
  <si>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</si>
  <si>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</si>
  <si>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</si>
  <si>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</si>
  <si>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</si>
  <si>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</si>
  <si>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6060.HK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</si>
  <si>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</si>
  <si>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</si>
  <si>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</si>
  <si>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</si>
  <si>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</si>
  <si>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</si>
  <si>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</si>
  <si>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</si>
  <si>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</si>
  <si>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</si>
  <si>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</si>
  <si>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</si>
  <si>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</si>
  <si>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</si>
  <si>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</si>
  <si>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</si>
  <si>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</si>
  <si>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</si>
  <si>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</si>
  <si>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</si>
  <si>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</si>
  <si>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</si>
  <si>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</si>
  <si>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</si>
  <si>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</si>
  <si>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</si>
  <si>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</si>
  <si>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</si>
  <si>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</si>
  <si>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</si>
  <si>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6060.HK owner-FCF component DCF: base case (millions, CNY)</t>
  </si>
  <si>
    <t xml:space="preserve">6060.HK owner-FCF component DCF: bull case (millions, CNY)</t>
  </si>
  <si>
    <t xml:space="preserve">6060.HK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</si>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</sst>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9.2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</row>
    <row r="2" customFormat="false" ht="15" hidden="false" customHeight="false" outlineLevel="0" collapsed="false">
      <c r="A2" s="0" t="s">
        <v>70</v>
      </c>
      <c r="B2" s="0" t="n">
        <v>9610.314</v>
      </c>
      <c r="I2" s="0" t="n">
        <v>-1743.895</v>
      </c>
      <c r="J2" s="0" t="n">
        <v>-18.1</v>
      </c>
      <c r="K2" s="0" t="n">
        <v>-1.19</v>
      </c>
      <c r="L2" s="0" t="n">
        <v>-1279.097</v>
      </c>
      <c r="M2" s="0" t="n">
        <v>328.202</v>
      </c>
      <c r="N2" s="0" t="n">
        <v>-1607.299</v>
      </c>
      <c r="O2" s="0" t="n">
        <v>15432.039</v>
      </c>
      <c r="P2" s="0" t="n">
        <v>26341.096</v>
      </c>
      <c r="Q2" s="0" t="n">
        <v>9866.423</v>
      </c>
      <c r="R2" s="0" t="n">
        <v>59.716</v>
      </c>
      <c r="S2" s="0" t="n">
        <v>2426.829</v>
      </c>
      <c r="T2" s="0" t="n">
        <v>1469.813</v>
      </c>
      <c r="AA2" s="0" t="s">
        <v>18</v>
      </c>
      <c r="AB2" s="0" t="s">
        <v>14</v>
      </c>
      <c r="AE2" s="0" t="n">
        <v>11255.718</v>
      </c>
      <c r="AF2" s="0" t="n">
        <v>8800.303</v>
      </c>
      <c r="AG2" s="0" t="n">
        <v>774.485</v>
      </c>
    </row>
    <row r="3" customFormat="false" ht="15" hidden="false" customHeight="false" outlineLevel="0" collapsed="false">
      <c r="A3" s="0" t="s">
        <v>71</v>
      </c>
      <c r="B3" s="0" t="n">
        <v>15123.964</v>
      </c>
      <c r="I3" s="0" t="n">
        <v>-454.101</v>
      </c>
      <c r="J3" s="0" t="n">
        <v>-3</v>
      </c>
      <c r="K3" s="0" t="n">
        <v>-0.31</v>
      </c>
      <c r="L3" s="0" t="n">
        <v>-1214.823</v>
      </c>
      <c r="M3" s="0" t="n">
        <v>286.031</v>
      </c>
      <c r="N3" s="0" t="n">
        <v>-1500.854</v>
      </c>
      <c r="O3" s="0" t="n">
        <v>14911.655</v>
      </c>
      <c r="P3" s="0" t="n">
        <v>30907.575</v>
      </c>
      <c r="Q3" s="0" t="n">
        <v>14402.044</v>
      </c>
      <c r="R3" s="0" t="n">
        <v>0</v>
      </c>
      <c r="S3" s="0" t="n">
        <v>2914.82</v>
      </c>
      <c r="T3" s="0" t="n">
        <v>1469.813</v>
      </c>
      <c r="AA3" s="0" t="s">
        <v>18</v>
      </c>
      <c r="AB3" s="0" t="s">
        <v>14</v>
      </c>
      <c r="AE3" s="0" t="n">
        <v>14629.589</v>
      </c>
      <c r="AF3" s="0" t="n">
        <v>12801.451</v>
      </c>
      <c r="AG3" s="0" t="n">
        <v>1775.786</v>
      </c>
    </row>
    <row r="4" customFormat="false" ht="15" hidden="false" customHeight="false" outlineLevel="0" collapsed="false">
      <c r="A4" s="0" t="s">
        <v>72</v>
      </c>
      <c r="B4" s="0" t="n">
        <v>18493.163</v>
      </c>
      <c r="I4" s="0" t="n">
        <v>553.786</v>
      </c>
      <c r="J4" s="0" t="n">
        <v>3</v>
      </c>
      <c r="K4" s="0" t="n">
        <v>0.38</v>
      </c>
      <c r="L4" s="0" t="n">
        <v>4858.856</v>
      </c>
      <c r="M4" s="0" t="n">
        <v>247.722</v>
      </c>
      <c r="N4" s="0" t="n">
        <v>4611.134</v>
      </c>
      <c r="O4" s="0" t="n">
        <v>15705.35</v>
      </c>
      <c r="P4" s="0" t="n">
        <v>45673.436</v>
      </c>
      <c r="Q4" s="0" t="n">
        <v>28280.101</v>
      </c>
      <c r="R4" s="0" t="n">
        <v>6467.591</v>
      </c>
      <c r="S4" s="0" t="n">
        <v>8218.037</v>
      </c>
      <c r="T4" s="0" t="n">
        <v>1469.813</v>
      </c>
      <c r="AA4" s="0" t="s">
        <v>18</v>
      </c>
      <c r="AB4" s="0" t="s">
        <v>14</v>
      </c>
      <c r="AE4" s="0" t="n">
        <v>16708.504</v>
      </c>
      <c r="AF4" s="0" t="n">
        <v>16215.204</v>
      </c>
      <c r="AG4" s="0" t="n">
        <v>1527.498</v>
      </c>
    </row>
    <row r="5" customFormat="false" ht="15" hidden="false" customHeight="false" outlineLevel="0" collapsed="false">
      <c r="A5" s="0" t="s">
        <v>73</v>
      </c>
      <c r="B5" s="0" t="n">
        <v>21940.36</v>
      </c>
      <c r="I5" s="0" t="n">
        <v>1164.59</v>
      </c>
      <c r="J5" s="0" t="n">
        <v>5.3</v>
      </c>
      <c r="K5" s="0" t="n">
        <v>0.79</v>
      </c>
      <c r="L5" s="0" t="n">
        <v>-602.953</v>
      </c>
      <c r="M5" s="0" t="n">
        <v>260.757</v>
      </c>
      <c r="N5" s="0" t="n">
        <v>-863.71</v>
      </c>
      <c r="O5" s="0" t="n">
        <v>16748.402</v>
      </c>
      <c r="P5" s="0" t="n">
        <v>51772.329</v>
      </c>
      <c r="Q5" s="0" t="n">
        <v>32642.132</v>
      </c>
      <c r="R5" s="0" t="n">
        <v>6442.253</v>
      </c>
      <c r="S5" s="0" t="n">
        <v>3765.029</v>
      </c>
      <c r="T5" s="0" t="n">
        <v>1469.813</v>
      </c>
      <c r="U5" s="0" t="n">
        <v>7.512</v>
      </c>
      <c r="AA5" s="0" t="s">
        <v>18</v>
      </c>
      <c r="AB5" s="0" t="s">
        <v>14</v>
      </c>
      <c r="AD5" s="0" t="n">
        <v>99.6</v>
      </c>
      <c r="AE5" s="0" t="n">
        <v>20480.119</v>
      </c>
      <c r="AF5" s="0" t="n">
        <v>18885.094</v>
      </c>
      <c r="AG5" s="0" t="n">
        <v>2067.92</v>
      </c>
      <c r="AH5" s="0" t="n">
        <v>472</v>
      </c>
    </row>
    <row r="6" customFormat="false" ht="15" hidden="false" customHeight="false" outlineLevel="0" collapsed="false">
      <c r="A6" s="0" t="s">
        <v>74</v>
      </c>
      <c r="B6" s="0" t="n">
        <v>22189.381</v>
      </c>
      <c r="I6" s="0" t="n">
        <v>-1112.414</v>
      </c>
      <c r="J6" s="0" t="n">
        <v>-5</v>
      </c>
      <c r="K6" s="0" t="n">
        <v>-0.76</v>
      </c>
      <c r="L6" s="0" t="n">
        <v>-701.908</v>
      </c>
      <c r="M6" s="0" t="n">
        <v>410.791</v>
      </c>
      <c r="N6" s="0" t="n">
        <v>-1112.699</v>
      </c>
      <c r="O6" s="0" t="n">
        <v>15766.09</v>
      </c>
      <c r="P6" s="0" t="n">
        <v>47648.878</v>
      </c>
      <c r="Q6" s="0" t="n">
        <v>30033.758</v>
      </c>
      <c r="R6" s="0" t="n">
        <v>6805.45</v>
      </c>
      <c r="S6" s="0" t="n">
        <v>3617.664</v>
      </c>
      <c r="T6" s="0" t="n">
        <v>1469.813</v>
      </c>
      <c r="U6" s="0" t="n">
        <v>53.799</v>
      </c>
      <c r="AA6" s="0" t="s">
        <v>18</v>
      </c>
      <c r="AB6" s="0" t="s">
        <v>14</v>
      </c>
      <c r="AD6" s="0" t="n">
        <v>94.2</v>
      </c>
      <c r="AG6" s="0" t="n">
        <v>1760.361</v>
      </c>
      <c r="AH6" s="0" t="n">
        <v>299</v>
      </c>
    </row>
    <row r="7" customFormat="false" ht="15" hidden="false" customHeight="false" outlineLevel="0" collapsed="false">
      <c r="A7" s="0" t="s">
        <v>75</v>
      </c>
      <c r="B7" s="0" t="n">
        <v>27535.275</v>
      </c>
      <c r="I7" s="0" t="n">
        <v>4077.855</v>
      </c>
      <c r="J7" s="0" t="n">
        <v>14.8</v>
      </c>
      <c r="K7" s="0" t="n">
        <v>2.77</v>
      </c>
      <c r="L7" s="0" t="n">
        <v>2208.218</v>
      </c>
      <c r="M7" s="0" t="n">
        <v>290.98</v>
      </c>
      <c r="N7" s="0" t="n">
        <v>1917.238</v>
      </c>
      <c r="O7" s="0" t="n">
        <v>20073.423</v>
      </c>
      <c r="P7" s="0" t="n">
        <v>42863.606</v>
      </c>
      <c r="Q7" s="0" t="n">
        <v>22790.183</v>
      </c>
      <c r="R7" s="0" t="n">
        <v>6900.149</v>
      </c>
      <c r="S7" s="0" t="n">
        <v>1676.33</v>
      </c>
      <c r="T7" s="0" t="n">
        <v>1469.813</v>
      </c>
      <c r="U7" s="0" t="n">
        <v>69.672</v>
      </c>
      <c r="AA7" s="0" t="s">
        <v>18</v>
      </c>
      <c r="AB7" s="0" t="s">
        <v>14</v>
      </c>
      <c r="AC7" s="0" t="n">
        <v>293.644</v>
      </c>
      <c r="AD7" s="0" t="n">
        <v>95.2</v>
      </c>
      <c r="AG7" s="0" t="n">
        <v>408.709</v>
      </c>
      <c r="AH7" s="0" t="n">
        <v>240</v>
      </c>
    </row>
    <row r="8" customFormat="false" ht="15" hidden="false" customHeight="false" outlineLevel="0" collapsed="false">
      <c r="A8" s="0" t="s">
        <v>76</v>
      </c>
      <c r="B8" s="0" t="n">
        <v>31744.343</v>
      </c>
      <c r="I8" s="0" t="n">
        <v>603.456</v>
      </c>
      <c r="J8" s="0" t="n">
        <v>1.9</v>
      </c>
      <c r="K8" s="0" t="n">
        <v>0.41</v>
      </c>
      <c r="L8" s="0" t="n">
        <v>1979.432</v>
      </c>
      <c r="M8" s="0" t="n">
        <v>896.189</v>
      </c>
      <c r="N8" s="0" t="n">
        <v>1083.243</v>
      </c>
      <c r="O8" s="0" t="n">
        <v>20926.401</v>
      </c>
      <c r="P8" s="0" t="n">
        <v>45284.579</v>
      </c>
      <c r="Q8" s="0" t="n">
        <v>24358.178</v>
      </c>
      <c r="R8" s="0" t="n">
        <v>6992.694</v>
      </c>
      <c r="S8" s="0" t="n">
        <v>2007.534</v>
      </c>
      <c r="T8" s="0" t="n">
        <v>1469.813</v>
      </c>
      <c r="U8" s="0" t="n">
        <v>0</v>
      </c>
      <c r="AA8" s="0" t="s">
        <v>18</v>
      </c>
      <c r="AB8" s="0" t="s">
        <v>14</v>
      </c>
      <c r="AC8" s="0" t="n">
        <v>603.456</v>
      </c>
      <c r="AD8" s="0" t="n">
        <v>96.9</v>
      </c>
      <c r="AE8" s="0" t="n">
        <v>33417</v>
      </c>
      <c r="AG8" s="0" t="n">
        <v>461.488</v>
      </c>
      <c r="AH8" s="0" t="n">
        <v>227</v>
      </c>
    </row>
    <row r="9" customFormat="false" ht="15" hidden="false" customHeight="false" outlineLevel="0" collapsed="false">
      <c r="A9" s="0" t="s">
        <v>77</v>
      </c>
      <c r="B9" s="0" t="n">
        <v>33484.568</v>
      </c>
      <c r="I9" s="0" t="n">
        <v>1101.605</v>
      </c>
      <c r="J9" s="0" t="n">
        <v>3.3</v>
      </c>
      <c r="K9" s="0" t="n">
        <v>0.7</v>
      </c>
      <c r="L9" s="0" t="n">
        <v>3535.832</v>
      </c>
      <c r="M9" s="0" t="n">
        <v>1046.12</v>
      </c>
      <c r="N9" s="0" t="n">
        <v>2489.712</v>
      </c>
      <c r="O9" s="0" t="n">
        <v>25449.264</v>
      </c>
      <c r="P9" s="0" t="n">
        <v>46709.636</v>
      </c>
      <c r="Q9" s="0" t="n">
        <v>21260.372</v>
      </c>
      <c r="R9" s="0" t="n">
        <v>2631.036</v>
      </c>
      <c r="S9" s="0" t="n">
        <v>3468.158</v>
      </c>
      <c r="T9" s="0" t="n">
        <v>1576.43</v>
      </c>
      <c r="U9" s="0" t="n">
        <v>0</v>
      </c>
      <c r="AA9" s="0" t="s">
        <v>18</v>
      </c>
      <c r="AB9" s="0" t="s">
        <v>14</v>
      </c>
      <c r="AC9" s="0" t="n">
        <v>1800.06</v>
      </c>
      <c r="AD9" s="0" t="n">
        <v>95.8</v>
      </c>
      <c r="AE9" s="0" t="n">
        <v>35735</v>
      </c>
      <c r="AG9" s="0" t="n">
        <v>1851.607</v>
      </c>
      <c r="AH9" s="0" t="n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9.2</v>
      </c>
    </row>
    <row r="3" customFormat="false" ht="15" hidden="false" customHeight="false" outlineLevel="0" collapsed="false">
      <c r="A3" s="0" t="s">
        <v>81</v>
      </c>
      <c r="B3" s="3" t="n">
        <v>1684.813</v>
      </c>
    </row>
    <row r="4" customFormat="false" ht="15" hidden="false" customHeight="false" outlineLevel="0" collapsed="false">
      <c r="A4" s="0" t="s">
        <v>82</v>
      </c>
      <c r="B4" s="3" t="n">
        <v>0</v>
      </c>
    </row>
    <row r="5" customFormat="false" ht="15" hidden="false" customHeight="false" outlineLevel="0" collapsed="false">
      <c r="A5" s="0" t="s">
        <v>83</v>
      </c>
      <c r="B5" s="3" t="n">
        <v>2623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33484.568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1.1748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4</v>
      </c>
      <c r="D13" s="3" t="n">
        <v>2</v>
      </c>
      <c r="E13" s="3" t="n">
        <v>3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102</v>
      </c>
      <c r="C14" s="3" t="n">
        <v>7.5</v>
      </c>
      <c r="D14" s="3" t="n">
        <v>5.5</v>
      </c>
      <c r="E14" s="3" t="n">
        <v>5</v>
      </c>
      <c r="F14" s="3" t="n">
        <v>5</v>
      </c>
      <c r="G14" s="3" t="n">
        <v>5</v>
      </c>
      <c r="H14" s="3" t="n">
        <v>5</v>
      </c>
      <c r="I14" s="3" t="n">
        <v>5</v>
      </c>
      <c r="J14" s="3" t="n">
        <v>5</v>
      </c>
      <c r="K14" s="3" t="n">
        <v>5</v>
      </c>
      <c r="L14" s="3" t="n">
        <v>5</v>
      </c>
    </row>
    <row r="15" customFormat="false" ht="15" hidden="false" customHeight="false" outlineLevel="0" collapsed="false">
      <c r="A15" s="0" t="s">
        <v>103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105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106</v>
      </c>
      <c r="C18" s="3" t="n">
        <v>4.62</v>
      </c>
      <c r="D18" s="3" t="n">
        <v>3.303</v>
      </c>
      <c r="E18" s="3" t="n">
        <v>2.888</v>
      </c>
      <c r="F18" s="3" t="n">
        <v>2.811</v>
      </c>
      <c r="G18" s="3" t="n">
        <v>2.695</v>
      </c>
      <c r="H18" s="3" t="n">
        <v>2.618</v>
      </c>
      <c r="I18" s="3" t="n">
        <v>2.503</v>
      </c>
      <c r="J18" s="3" t="n">
        <v>2.503</v>
      </c>
      <c r="K18" s="3" t="n">
        <v>2.503</v>
      </c>
      <c r="L18" s="3" t="n">
        <v>2.503</v>
      </c>
    </row>
    <row r="19" customFormat="false" ht="15" hidden="false" customHeight="false" outlineLevel="0" collapsed="false">
      <c r="A19" s="0" t="s">
        <v>107</v>
      </c>
      <c r="C19" s="3" t="n">
        <v>23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108</v>
      </c>
      <c r="B20" s="3" t="n">
        <v>12.5</v>
      </c>
    </row>
    <row r="21" customFormat="false" ht="15" hidden="false" customHeight="false" outlineLevel="0" collapsed="false">
      <c r="A21" s="0" t="s">
        <v>109</v>
      </c>
      <c r="B21" s="3" t="n">
        <v>2</v>
      </c>
    </row>
    <row r="22" customFormat="false" ht="15" hidden="false" customHeight="false" outlineLevel="0" collapsed="false">
      <c r="A22" s="0" t="s">
        <v>110</v>
      </c>
      <c r="B22" s="3" t="n">
        <v>10</v>
      </c>
    </row>
    <row r="23" customFormat="false" ht="15" hidden="false" customHeight="false" outlineLevel="0" collapsed="false">
      <c r="A23" s="0" t="s">
        <v>111</v>
      </c>
      <c r="B23" s="3" t="n">
        <v>0</v>
      </c>
    </row>
    <row r="24" customFormat="false" ht="15" hidden="false" customHeight="false" outlineLevel="0" collapsed="false">
      <c r="A24" s="0" t="s">
        <v>112</v>
      </c>
      <c r="B24" s="3" t="n">
        <v>0.3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9</v>
      </c>
      <c r="D27" s="3" t="n">
        <v>6</v>
      </c>
      <c r="E27" s="3" t="n">
        <v>7</v>
      </c>
      <c r="F27" s="3" t="n">
        <v>6.5</v>
      </c>
      <c r="G27" s="3" t="n">
        <v>6</v>
      </c>
      <c r="H27" s="3" t="n">
        <v>5.5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102</v>
      </c>
      <c r="C28" s="3" t="n">
        <v>8.7</v>
      </c>
      <c r="D28" s="3" t="n">
        <v>8</v>
      </c>
      <c r="E28" s="3" t="n">
        <v>8</v>
      </c>
      <c r="F28" s="3" t="n">
        <v>8.2</v>
      </c>
      <c r="G28" s="3" t="n">
        <v>8.4</v>
      </c>
      <c r="H28" s="3" t="n">
        <v>8.5</v>
      </c>
      <c r="I28" s="3" t="n">
        <v>8.5</v>
      </c>
      <c r="J28" s="3" t="n">
        <v>8.5</v>
      </c>
      <c r="K28" s="3" t="n">
        <v>8.5</v>
      </c>
      <c r="L28" s="3" t="n">
        <v>8.5</v>
      </c>
    </row>
    <row r="29" customFormat="false" ht="15" hidden="false" customHeight="false" outlineLevel="0" collapsed="false">
      <c r="A29" s="0" t="s">
        <v>103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105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106</v>
      </c>
      <c r="C32" s="3" t="n">
        <v>4.019</v>
      </c>
      <c r="D32" s="3" t="n">
        <v>3.573</v>
      </c>
      <c r="E32" s="3" t="n">
        <v>3.388</v>
      </c>
      <c r="F32" s="3" t="n">
        <v>3.283</v>
      </c>
      <c r="G32" s="3" t="n">
        <v>3.234</v>
      </c>
      <c r="H32" s="3" t="n">
        <v>3.142</v>
      </c>
      <c r="I32" s="3" t="n">
        <v>2.945</v>
      </c>
      <c r="J32" s="3" t="n">
        <v>2.814</v>
      </c>
      <c r="K32" s="3" t="n">
        <v>2.618</v>
      </c>
      <c r="L32" s="3" t="n">
        <v>2.618</v>
      </c>
    </row>
    <row r="33" customFormat="false" ht="15" hidden="false" customHeight="false" outlineLevel="0" collapsed="false">
      <c r="A33" s="0" t="s">
        <v>107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108</v>
      </c>
      <c r="B34" s="3" t="n">
        <v>11</v>
      </c>
    </row>
    <row r="35" customFormat="false" ht="15" hidden="false" customHeight="false" outlineLevel="0" collapsed="false">
      <c r="A35" s="0" t="s">
        <v>109</v>
      </c>
      <c r="B35" s="3" t="n">
        <v>3</v>
      </c>
    </row>
    <row r="36" customFormat="false" ht="15" hidden="false" customHeight="false" outlineLevel="0" collapsed="false">
      <c r="A36" s="0" t="s">
        <v>110</v>
      </c>
      <c r="B36" s="3" t="n">
        <v>12</v>
      </c>
    </row>
    <row r="37" customFormat="false" ht="15" hidden="false" customHeight="false" outlineLevel="0" collapsed="false">
      <c r="A37" s="0" t="s">
        <v>111</v>
      </c>
      <c r="B37" s="3" t="n">
        <v>0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12</v>
      </c>
      <c r="D41" s="3" t="n">
        <v>10</v>
      </c>
      <c r="E41" s="3" t="n">
        <v>9</v>
      </c>
      <c r="F41" s="3" t="n">
        <v>8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102</v>
      </c>
      <c r="C42" s="3" t="n">
        <v>9.5</v>
      </c>
      <c r="D42" s="3" t="n">
        <v>9</v>
      </c>
      <c r="E42" s="3" t="n">
        <v>9.5</v>
      </c>
      <c r="F42" s="3" t="n">
        <v>10</v>
      </c>
      <c r="G42" s="3" t="n">
        <v>10.5</v>
      </c>
      <c r="H42" s="3" t="n">
        <v>11</v>
      </c>
      <c r="I42" s="3" t="n">
        <v>11</v>
      </c>
      <c r="J42" s="3" t="n">
        <v>11</v>
      </c>
      <c r="K42" s="3" t="n">
        <v>11</v>
      </c>
      <c r="L42" s="3" t="n">
        <v>11</v>
      </c>
    </row>
    <row r="43" customFormat="false" ht="15" hidden="false" customHeight="false" outlineLevel="0" collapsed="false">
      <c r="A43" s="0" t="s">
        <v>103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105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106</v>
      </c>
      <c r="C46" s="3" t="n">
        <v>3.658</v>
      </c>
      <c r="D46" s="3" t="n">
        <v>3.326</v>
      </c>
      <c r="E46" s="3" t="n">
        <v>3.292</v>
      </c>
      <c r="F46" s="3" t="n">
        <v>3.234</v>
      </c>
      <c r="G46" s="3" t="n">
        <v>3.234</v>
      </c>
      <c r="H46" s="3" t="n">
        <v>3.134</v>
      </c>
      <c r="I46" s="3" t="n">
        <v>2.965</v>
      </c>
      <c r="J46" s="3" t="n">
        <v>2.71</v>
      </c>
      <c r="K46" s="3" t="n">
        <v>2.541</v>
      </c>
      <c r="L46" s="3" t="n">
        <v>2.541</v>
      </c>
    </row>
    <row r="47" customFormat="false" ht="15" hidden="false" customHeight="false" outlineLevel="0" collapsed="false">
      <c r="A47" s="0" t="s">
        <v>107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108</v>
      </c>
      <c r="B48" s="3" t="n">
        <v>10</v>
      </c>
    </row>
    <row r="49" customFormat="false" ht="15" hidden="false" customHeight="false" outlineLevel="0" collapsed="false">
      <c r="A49" s="0" t="s">
        <v>109</v>
      </c>
      <c r="B49" s="3" t="n">
        <v>3.5</v>
      </c>
    </row>
    <row r="50" customFormat="false" ht="15" hidden="false" customHeight="false" outlineLevel="0" collapsed="false">
      <c r="A50" s="0" t="s">
        <v>110</v>
      </c>
      <c r="B50" s="3" t="n">
        <v>14</v>
      </c>
    </row>
    <row r="51" customFormat="false" ht="15" hidden="false" customHeight="false" outlineLevel="0" collapsed="false">
      <c r="A51" s="0" t="s">
        <v>111</v>
      </c>
      <c r="B51" s="3" t="n">
        <v>0</v>
      </c>
    </row>
    <row r="52" customFormat="false" ht="15" hidden="false" customHeight="false" outlineLevel="0" collapsed="false">
      <c r="A52" s="0" t="s">
        <v>112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4</v>
      </c>
      <c r="D5" s="4" t="n">
        <f aca="false">Assumptions!D13</f>
        <v>2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38</v>
      </c>
      <c r="B6" s="3" t="n">
        <v>33484.568</v>
      </c>
      <c r="C6" s="0" t="n">
        <f aca="false">B6*(1+C5/100)</f>
        <v>34823.95072</v>
      </c>
      <c r="D6" s="0" t="n">
        <f aca="false">C6*(1+D5/100)</f>
        <v>35520.4297344</v>
      </c>
      <c r="E6" s="0" t="n">
        <f aca="false">D6*(1+E5/100)</f>
        <v>36586.042626432</v>
      </c>
      <c r="F6" s="0" t="n">
        <f aca="false">E6*(1+F5/100)</f>
        <v>37683.623905225</v>
      </c>
      <c r="G6" s="0" t="n">
        <f aca="false">F6*(1+G5/100)</f>
        <v>38814.1326223817</v>
      </c>
      <c r="H6" s="0" t="n">
        <f aca="false">G6*(1+H5/100)</f>
        <v>39978.5566010532</v>
      </c>
      <c r="I6" s="0" t="n">
        <f aca="false">H6*(1+I5/100)</f>
        <v>41177.9132990848</v>
      </c>
      <c r="J6" s="0" t="n">
        <f aca="false">I6*(1+J5/100)</f>
        <v>42413.2506980573</v>
      </c>
      <c r="K6" s="0" t="n">
        <f aca="false">J6*(1+K5/100)</f>
        <v>43685.648218999</v>
      </c>
      <c r="L6" s="0" t="n">
        <f aca="false">K6*(1+L5/100)</f>
        <v>44996.217665569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7.5</v>
      </c>
      <c r="D7" s="4" t="n">
        <f aca="false">Assumptions!D14</f>
        <v>5.5</v>
      </c>
      <c r="E7" s="4" t="n">
        <f aca="false">Assumptions!E14</f>
        <v>5</v>
      </c>
      <c r="F7" s="4" t="n">
        <f aca="false">Assumptions!F14</f>
        <v>5</v>
      </c>
      <c r="G7" s="4" t="n">
        <f aca="false">Assumptions!G14</f>
        <v>5</v>
      </c>
      <c r="H7" s="4" t="n">
        <f aca="false">Assumptions!H14</f>
        <v>5</v>
      </c>
      <c r="I7" s="4" t="n">
        <f aca="false">Assumptions!I14</f>
        <v>5</v>
      </c>
      <c r="J7" s="4" t="n">
        <f aca="false">Assumptions!J14</f>
        <v>5</v>
      </c>
      <c r="K7" s="4" t="n">
        <f aca="false">Assumptions!K14</f>
        <v>5</v>
      </c>
      <c r="L7" s="4" t="n">
        <f aca="false">Assumptions!L14</f>
        <v>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2611.796304</v>
      </c>
      <c r="D8" s="0" t="n">
        <f aca="false">D6*D7/100</f>
        <v>1953.623635392</v>
      </c>
      <c r="E8" s="0" t="n">
        <f aca="false">E6*E7/100</f>
        <v>1829.3021313216</v>
      </c>
      <c r="F8" s="0" t="n">
        <f aca="false">F6*F7/100</f>
        <v>1884.18119526125</v>
      </c>
      <c r="G8" s="0" t="n">
        <f aca="false">G6*G7/100</f>
        <v>1940.70663111909</v>
      </c>
      <c r="H8" s="0" t="n">
        <f aca="false">H6*H7/100</f>
        <v>1998.92783005266</v>
      </c>
      <c r="I8" s="0" t="n">
        <f aca="false">I6*I7/100</f>
        <v>2058.89566495424</v>
      </c>
      <c r="J8" s="0" t="n">
        <f aca="false">J6*J7/100</f>
        <v>2120.66253490287</v>
      </c>
      <c r="K8" s="0" t="n">
        <f aca="false">K6*K7/100</f>
        <v>2184.28241094995</v>
      </c>
      <c r="L8" s="0" t="n">
        <f aca="false">L6*L7/100</f>
        <v>2249.81088327845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2611.796304</v>
      </c>
      <c r="D11" s="0" t="n">
        <f aca="false">D8+D10+D24</f>
        <v>1953.623635392</v>
      </c>
      <c r="E11" s="0" t="n">
        <f aca="false">E8+E10+E24</f>
        <v>1829.3021313216</v>
      </c>
      <c r="F11" s="0" t="n">
        <f aca="false">F8+F10+F24</f>
        <v>1884.18119526125</v>
      </c>
      <c r="G11" s="0" t="n">
        <f aca="false">G8+G10+G24</f>
        <v>1940.70663111909</v>
      </c>
      <c r="H11" s="0" t="n">
        <f aca="false">H8+H10+H24</f>
        <v>1998.92783005266</v>
      </c>
      <c r="I11" s="0" t="n">
        <f aca="false">I8+I10+I24</f>
        <v>2058.89566495424</v>
      </c>
      <c r="J11" s="0" t="n">
        <f aca="false">J8+J10+J24</f>
        <v>2120.66253490287</v>
      </c>
      <c r="K11" s="0" t="n">
        <f aca="false">K8+K10+K24</f>
        <v>2184.28241094995</v>
      </c>
      <c r="L11" s="0" t="n">
        <f aca="false">L8+L10+L24</f>
        <v>2249.81088327845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2611.796304</v>
      </c>
      <c r="D13" s="0" t="n">
        <f aca="false">D11+D12</f>
        <v>1953.623635392</v>
      </c>
      <c r="E13" s="0" t="n">
        <f aca="false">E11+E12</f>
        <v>1829.3021313216</v>
      </c>
      <c r="F13" s="0" t="n">
        <f aca="false">F11+F12</f>
        <v>1884.18119526125</v>
      </c>
      <c r="G13" s="0" t="n">
        <f aca="false">G11+G12</f>
        <v>1940.70663111909</v>
      </c>
      <c r="H13" s="0" t="n">
        <f aca="false">H11+H12</f>
        <v>1998.92783005266</v>
      </c>
      <c r="I13" s="0" t="n">
        <f aca="false">I11+I12</f>
        <v>2058.89566495424</v>
      </c>
      <c r="J13" s="0" t="n">
        <f aca="false">J11+J12</f>
        <v>2120.66253490287</v>
      </c>
      <c r="K13" s="0" t="n">
        <f aca="false">K11+K12</f>
        <v>2184.28241094995</v>
      </c>
      <c r="L13" s="0" t="n">
        <f aca="false">L11+L12</f>
        <v>2249.81088327845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2011.08315408</v>
      </c>
      <c r="D15" s="0" t="n">
        <f aca="false">D13-MAX(0,D13)*D14/100</f>
        <v>1504.29019925184</v>
      </c>
      <c r="E15" s="0" t="n">
        <f aca="false">E13-MAX(0,E13)*E14/100</f>
        <v>1408.56264111763</v>
      </c>
      <c r="F15" s="0" t="n">
        <f aca="false">F13-MAX(0,F13)*F14/100</f>
        <v>1450.81952035116</v>
      </c>
      <c r="G15" s="0" t="n">
        <f aca="false">G13-MAX(0,G13)*G14/100</f>
        <v>1494.3441059617</v>
      </c>
      <c r="H15" s="0" t="n">
        <f aca="false">H13-MAX(0,H13)*H14/100</f>
        <v>1539.17442914055</v>
      </c>
      <c r="I15" s="0" t="n">
        <f aca="false">I13-MAX(0,I13)*I14/100</f>
        <v>1585.34966201476</v>
      </c>
      <c r="J15" s="0" t="n">
        <f aca="false">J13-MAX(0,J13)*J14/100</f>
        <v>1632.91015187521</v>
      </c>
      <c r="K15" s="0" t="n">
        <f aca="false">K13-MAX(0,K13)*K14/100</f>
        <v>1681.89745643146</v>
      </c>
      <c r="L15" s="0" t="n">
        <f aca="false">L13-MAX(0,L13)*L14/100</f>
        <v>1732.35438012441</v>
      </c>
    </row>
    <row r="16" customFormat="false" ht="15" hidden="false" customHeight="false" outlineLevel="0" collapsed="false">
      <c r="A16" s="0" t="s">
        <v>123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-1608.866523264</v>
      </c>
      <c r="D17" s="4" t="n">
        <f aca="false">-D6*Assumptions!D18/100</f>
        <v>-1173.23979412723</v>
      </c>
      <c r="E17" s="4" t="n">
        <f aca="false">-E6*Assumptions!E18/100</f>
        <v>-1056.60491105136</v>
      </c>
      <c r="F17" s="4" t="n">
        <f aca="false">-F6*Assumptions!F18/100</f>
        <v>-1059.28666797587</v>
      </c>
      <c r="G17" s="4" t="n">
        <f aca="false">-G6*Assumptions!G18/100</f>
        <v>-1046.04087417319</v>
      </c>
      <c r="H17" s="4" t="n">
        <f aca="false">-H6*Assumptions!H18/100</f>
        <v>-1046.63861181557</v>
      </c>
      <c r="I17" s="4" t="n">
        <f aca="false">-I6*Assumptions!I18/100</f>
        <v>-1030.68316987609</v>
      </c>
      <c r="J17" s="4" t="n">
        <f aca="false">-J6*Assumptions!J18/100</f>
        <v>-1061.60366497237</v>
      </c>
      <c r="K17" s="4" t="n">
        <f aca="false">-K6*Assumptions!K18/100</f>
        <v>-1093.45177492155</v>
      </c>
      <c r="L17" s="4" t="n">
        <f aca="false">-L6*Assumptions!L18/100</f>
        <v>-1126.25532816919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402.216630816</v>
      </c>
      <c r="D19" s="0" t="n">
        <f aca="false">D15+D16+D17+D18</f>
        <v>331.050405124608</v>
      </c>
      <c r="E19" s="0" t="n">
        <f aca="false">E15+E16+E17+E18</f>
        <v>351.957730066276</v>
      </c>
      <c r="F19" s="0" t="n">
        <f aca="false">F15+F16+F17+F18</f>
        <v>391.532852375287</v>
      </c>
      <c r="G19" s="0" t="n">
        <f aca="false">G15+G16+G17+G18</f>
        <v>448.303231788509</v>
      </c>
      <c r="H19" s="0" t="n">
        <f aca="false">H15+H16+H17+H18</f>
        <v>492.535817324975</v>
      </c>
      <c r="I19" s="0" t="n">
        <f aca="false">I15+I16+I17+I18</f>
        <v>554.666492138672</v>
      </c>
      <c r="J19" s="0" t="n">
        <f aca="false">J15+J16+J17+J18</f>
        <v>571.306486902832</v>
      </c>
      <c r="K19" s="0" t="n">
        <f aca="false">K15+K16+K17+K18</f>
        <v>588.445681509917</v>
      </c>
      <c r="L19" s="0" t="n">
        <f aca="false">L15+L16+L17+L18</f>
        <v>606.099051955214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0.888888888888889</v>
      </c>
      <c r="D20" s="0" t="n">
        <f aca="false">1/(1+$B$27/100)^D4</f>
        <v>0.790123456790123</v>
      </c>
      <c r="E20" s="0" t="n">
        <f aca="false">1/(1+$B$27/100)^E4</f>
        <v>0.702331961591221</v>
      </c>
      <c r="F20" s="0" t="n">
        <f aca="false">1/(1+$B$27/100)^F4</f>
        <v>0.624295076969974</v>
      </c>
      <c r="G20" s="0" t="n">
        <f aca="false">1/(1+$B$27/100)^G4</f>
        <v>0.554928957306644</v>
      </c>
      <c r="H20" s="0" t="n">
        <f aca="false">1/(1+$B$27/100)^H4</f>
        <v>0.493270184272572</v>
      </c>
      <c r="I20" s="0" t="n">
        <f aca="false">1/(1+$B$27/100)^I4</f>
        <v>0.438462386020064</v>
      </c>
      <c r="J20" s="0" t="n">
        <f aca="false">1/(1+$B$27/100)^J4</f>
        <v>0.389744343128946</v>
      </c>
      <c r="K20" s="0" t="n">
        <f aca="false">1/(1+$B$27/100)^K4</f>
        <v>0.346439416114619</v>
      </c>
      <c r="L20" s="0" t="n">
        <f aca="false">1/(1+$B$27/100)^L4</f>
        <v>0.307946147657439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357.525894058667</v>
      </c>
      <c r="D21" s="0" t="n">
        <f aca="false">D19*D20</f>
        <v>261.570690468826</v>
      </c>
      <c r="E21" s="0" t="n">
        <f aca="false">E19*E20</f>
        <v>247.191162954641</v>
      </c>
      <c r="F21" s="0" t="n">
        <f aca="false">F19*F20</f>
        <v>244.432032209903</v>
      </c>
      <c r="G21" s="0" t="n">
        <f aca="false">G19*G20</f>
        <v>248.776444973596</v>
      </c>
      <c r="H21" s="0" t="n">
        <f aca="false">H19*H20</f>
        <v>242.953233372732</v>
      </c>
      <c r="I21" s="0" t="n">
        <f aca="false">I19*I20</f>
        <v>243.200393588501</v>
      </c>
      <c r="J21" s="0" t="n">
        <f aca="false">J19*J20</f>
        <v>222.66347146325</v>
      </c>
      <c r="K21" s="0" t="n">
        <f aca="false">K19*K20</f>
        <v>203.860778317464</v>
      </c>
      <c r="L21" s="0" t="n">
        <f aca="false">L19*L20</f>
        <v>186.645868148434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12.5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2458.81996955601</v>
      </c>
    </row>
    <row r="31" customFormat="false" ht="15" hidden="false" customHeight="false" outlineLevel="0" collapsed="false">
      <c r="A31" s="0" t="s">
        <v>132</v>
      </c>
      <c r="B31" s="0" t="n">
        <f aca="false">L19</f>
        <v>606.099051955214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5887.81936185065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6060.99051955214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5887.81936185065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1813.13129058479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4271.9512601408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6894.9512601408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4.80776723613446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-0.477416604767993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4.80776723613446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4755.5464076486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4.18515550749302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9</v>
      </c>
      <c r="D5" s="4" t="n">
        <f aca="false">Assumptions!D27</f>
        <v>6</v>
      </c>
      <c r="E5" s="4" t="n">
        <f aca="false">Assumptions!E27</f>
        <v>7</v>
      </c>
      <c r="F5" s="4" t="n">
        <f aca="false">Assumptions!F27</f>
        <v>6.5</v>
      </c>
      <c r="G5" s="4" t="n">
        <f aca="false">Assumptions!G27</f>
        <v>6</v>
      </c>
      <c r="H5" s="4" t="n">
        <f aca="false">Assumptions!H27</f>
        <v>5.5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38</v>
      </c>
      <c r="B6" s="3" t="n">
        <v>33484.568</v>
      </c>
      <c r="C6" s="0" t="n">
        <f aca="false">B6*(1+C5/100)</f>
        <v>36498.17912</v>
      </c>
      <c r="D6" s="0" t="n">
        <f aca="false">C6*(1+D5/100)</f>
        <v>38688.0698672</v>
      </c>
      <c r="E6" s="0" t="n">
        <f aca="false">D6*(1+E5/100)</f>
        <v>41396.234757904</v>
      </c>
      <c r="F6" s="0" t="n">
        <f aca="false">E6*(1+F5/100)</f>
        <v>44086.9900171678</v>
      </c>
      <c r="G6" s="0" t="n">
        <f aca="false">F6*(1+G5/100)</f>
        <v>46732.2094181978</v>
      </c>
      <c r="H6" s="0" t="n">
        <f aca="false">G6*(1+H5/100)</f>
        <v>49302.4809361987</v>
      </c>
      <c r="I6" s="0" t="n">
        <f aca="false">H6*(1+I5/100)</f>
        <v>51767.6049830086</v>
      </c>
      <c r="J6" s="0" t="n">
        <f aca="false">I6*(1+J5/100)</f>
        <v>54097.147207244</v>
      </c>
      <c r="K6" s="0" t="n">
        <f aca="false">J6*(1+K5/100)</f>
        <v>56261.0330955338</v>
      </c>
      <c r="L6" s="0" t="n">
        <f aca="false">K6*(1+L5/100)</f>
        <v>58230.1692538775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8.7</v>
      </c>
      <c r="D7" s="4" t="n">
        <f aca="false">Assumptions!D28</f>
        <v>8</v>
      </c>
      <c r="E7" s="4" t="n">
        <f aca="false">Assumptions!E28</f>
        <v>8</v>
      </c>
      <c r="F7" s="4" t="n">
        <f aca="false">Assumptions!F28</f>
        <v>8.2</v>
      </c>
      <c r="G7" s="4" t="n">
        <f aca="false">Assumptions!G28</f>
        <v>8.4</v>
      </c>
      <c r="H7" s="4" t="n">
        <f aca="false">Assumptions!H28</f>
        <v>8.5</v>
      </c>
      <c r="I7" s="4" t="n">
        <f aca="false">Assumptions!I28</f>
        <v>8.5</v>
      </c>
      <c r="J7" s="4" t="n">
        <f aca="false">Assumptions!J28</f>
        <v>8.5</v>
      </c>
      <c r="K7" s="4" t="n">
        <f aca="false">Assumptions!K28</f>
        <v>8.5</v>
      </c>
      <c r="L7" s="4" t="n">
        <f aca="false">Assumptions!L28</f>
        <v>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3175.34158344</v>
      </c>
      <c r="D8" s="0" t="n">
        <f aca="false">D6*D7/100</f>
        <v>3095.045589376</v>
      </c>
      <c r="E8" s="0" t="n">
        <f aca="false">E6*E7/100</f>
        <v>3311.69878063232</v>
      </c>
      <c r="F8" s="0" t="n">
        <f aca="false">F6*F7/100</f>
        <v>3615.13318140776</v>
      </c>
      <c r="G8" s="0" t="n">
        <f aca="false">G6*G7/100</f>
        <v>3925.50559112862</v>
      </c>
      <c r="H8" s="0" t="n">
        <f aca="false">H6*H7/100</f>
        <v>4190.71087957689</v>
      </c>
      <c r="I8" s="0" t="n">
        <f aca="false">I6*I7/100</f>
        <v>4400.24642355573</v>
      </c>
      <c r="J8" s="0" t="n">
        <f aca="false">J6*J7/100</f>
        <v>4598.25751261574</v>
      </c>
      <c r="K8" s="0" t="n">
        <f aca="false">K6*K7/100</f>
        <v>4782.18781312037</v>
      </c>
      <c r="L8" s="0" t="n">
        <f aca="false">L6*L7/100</f>
        <v>4949.56438657958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3175.34158344</v>
      </c>
      <c r="D11" s="0" t="n">
        <f aca="false">D8+D10+D24</f>
        <v>3095.045589376</v>
      </c>
      <c r="E11" s="0" t="n">
        <f aca="false">E8+E10+E24</f>
        <v>3311.69878063232</v>
      </c>
      <c r="F11" s="0" t="n">
        <f aca="false">F8+F10+F24</f>
        <v>3615.13318140776</v>
      </c>
      <c r="G11" s="0" t="n">
        <f aca="false">G8+G10+G24</f>
        <v>3925.50559112862</v>
      </c>
      <c r="H11" s="0" t="n">
        <f aca="false">H8+H10+H24</f>
        <v>4190.71087957689</v>
      </c>
      <c r="I11" s="0" t="n">
        <f aca="false">I8+I10+I24</f>
        <v>4400.24642355573</v>
      </c>
      <c r="J11" s="0" t="n">
        <f aca="false">J8+J10+J24</f>
        <v>4598.25751261574</v>
      </c>
      <c r="K11" s="0" t="n">
        <f aca="false">K8+K10+K24</f>
        <v>4782.18781312037</v>
      </c>
      <c r="L11" s="0" t="n">
        <f aca="false">L8+L10+L24</f>
        <v>4949.56438657958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3175.34158344</v>
      </c>
      <c r="D13" s="0" t="n">
        <f aca="false">D11+D12</f>
        <v>3095.045589376</v>
      </c>
      <c r="E13" s="0" t="n">
        <f aca="false">E11+E12</f>
        <v>3311.69878063232</v>
      </c>
      <c r="F13" s="0" t="n">
        <f aca="false">F11+F12</f>
        <v>3615.13318140776</v>
      </c>
      <c r="G13" s="0" t="n">
        <f aca="false">G11+G12</f>
        <v>3925.50559112862</v>
      </c>
      <c r="H13" s="0" t="n">
        <f aca="false">H11+H12</f>
        <v>4190.71087957689</v>
      </c>
      <c r="I13" s="0" t="n">
        <f aca="false">I11+I12</f>
        <v>4400.24642355573</v>
      </c>
      <c r="J13" s="0" t="n">
        <f aca="false">J11+J12</f>
        <v>4598.25751261574</v>
      </c>
      <c r="K13" s="0" t="n">
        <f aca="false">K11+K12</f>
        <v>4782.18781312037</v>
      </c>
      <c r="L13" s="0" t="n">
        <f aca="false">L11+L12</f>
        <v>4949.56438657958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2445.0130192488</v>
      </c>
      <c r="D15" s="0" t="n">
        <f aca="false">D13-MAX(0,D13)*D14/100</f>
        <v>2383.18510381952</v>
      </c>
      <c r="E15" s="0" t="n">
        <f aca="false">E13-MAX(0,E13)*E14/100</f>
        <v>2550.00806108689</v>
      </c>
      <c r="F15" s="0" t="n">
        <f aca="false">F13-MAX(0,F13)*F14/100</f>
        <v>2783.65254968397</v>
      </c>
      <c r="G15" s="0" t="n">
        <f aca="false">G13-MAX(0,G13)*G14/100</f>
        <v>3022.63930516904</v>
      </c>
      <c r="H15" s="0" t="n">
        <f aca="false">H13-MAX(0,H13)*H14/100</f>
        <v>3226.84737727421</v>
      </c>
      <c r="I15" s="0" t="n">
        <f aca="false">I13-MAX(0,I13)*I14/100</f>
        <v>3388.18974613792</v>
      </c>
      <c r="J15" s="0" t="n">
        <f aca="false">J13-MAX(0,J13)*J14/100</f>
        <v>3540.65828471412</v>
      </c>
      <c r="K15" s="0" t="n">
        <f aca="false">K13-MAX(0,K13)*K14/100</f>
        <v>3682.28461610269</v>
      </c>
      <c r="L15" s="0" t="n">
        <f aca="false">L13-MAX(0,L13)*L14/100</f>
        <v>3811.16457766628</v>
      </c>
    </row>
    <row r="16" customFormat="false" ht="15" hidden="false" customHeight="false" outlineLevel="0" collapsed="false">
      <c r="A16" s="0" t="s">
        <v>123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-1466.8618188328</v>
      </c>
      <c r="D17" s="4" t="n">
        <f aca="false">-D6*Assumptions!D32/100</f>
        <v>-1382.32473635506</v>
      </c>
      <c r="E17" s="4" t="n">
        <f aca="false">-E6*Assumptions!E32/100</f>
        <v>-1402.50443359779</v>
      </c>
      <c r="F17" s="4" t="n">
        <f aca="false">-F6*Assumptions!F32/100</f>
        <v>-1447.37588226362</v>
      </c>
      <c r="G17" s="4" t="n">
        <f aca="false">-G6*Assumptions!G32/100</f>
        <v>-1511.31965258452</v>
      </c>
      <c r="H17" s="4" t="n">
        <f aca="false">-H6*Assumptions!H32/100</f>
        <v>-1549.08395101536</v>
      </c>
      <c r="I17" s="4" t="n">
        <f aca="false">-I6*Assumptions!I32/100</f>
        <v>-1524.5559667496</v>
      </c>
      <c r="J17" s="4" t="n">
        <f aca="false">-J6*Assumptions!J32/100</f>
        <v>-1522.29372241185</v>
      </c>
      <c r="K17" s="4" t="n">
        <f aca="false">-K6*Assumptions!K32/100</f>
        <v>-1472.91384644107</v>
      </c>
      <c r="L17" s="4" t="n">
        <f aca="false">-L6*Assumptions!L32/100</f>
        <v>-1524.46583106651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978.151200415999</v>
      </c>
      <c r="D19" s="0" t="n">
        <f aca="false">D15+D16+D17+D18</f>
        <v>1000.86036746446</v>
      </c>
      <c r="E19" s="0" t="n">
        <f aca="false">E15+E16+E17+E18</f>
        <v>1147.5036274891</v>
      </c>
      <c r="F19" s="0" t="n">
        <f aca="false">F15+F16+F17+F18</f>
        <v>1336.27666742035</v>
      </c>
      <c r="G19" s="0" t="n">
        <f aca="false">G15+G16+G17+G18</f>
        <v>1511.31965258452</v>
      </c>
      <c r="H19" s="0" t="n">
        <f aca="false">H15+H16+H17+H18</f>
        <v>1677.76342625884</v>
      </c>
      <c r="I19" s="0" t="n">
        <f aca="false">I15+I16+I17+I18</f>
        <v>1863.63377938831</v>
      </c>
      <c r="J19" s="0" t="n">
        <f aca="false">J15+J16+J17+J18</f>
        <v>2018.36456230227</v>
      </c>
      <c r="K19" s="0" t="n">
        <f aca="false">K15+K16+K17+K18</f>
        <v>2209.37076966161</v>
      </c>
      <c r="L19" s="0" t="n">
        <f aca="false">L15+L16+L17+L18</f>
        <v>2286.69874659977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881.217297672071</v>
      </c>
      <c r="D21" s="0" t="n">
        <f aca="false">D19*D20</f>
        <v>812.320726779047</v>
      </c>
      <c r="E21" s="0" t="n">
        <f aca="false">E19*E20</f>
        <v>839.044762431605</v>
      </c>
      <c r="F21" s="0" t="n">
        <f aca="false">F19*F20</f>
        <v>880.246830857045</v>
      </c>
      <c r="G21" s="0" t="n">
        <f aca="false">G19*G20</f>
        <v>896.894654947282</v>
      </c>
      <c r="H21" s="0" t="n">
        <f aca="false">H19*H20</f>
        <v>897.000840974223</v>
      </c>
      <c r="I21" s="0" t="n">
        <f aca="false">I19*I20</f>
        <v>897.634884662595</v>
      </c>
      <c r="J21" s="0" t="n">
        <f aca="false">J19*J20</f>
        <v>875.821862771914</v>
      </c>
      <c r="K21" s="0" t="n">
        <f aca="false">K19*K20</f>
        <v>863.697763155427</v>
      </c>
      <c r="L21" s="0" t="n">
        <f aca="false">L19*L20</f>
        <v>805.339806185466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8649.21943043668</v>
      </c>
    </row>
    <row r="31" customFormat="false" ht="15" hidden="false" customHeight="false" outlineLevel="0" collapsed="false">
      <c r="A31" s="0" t="s">
        <v>132</v>
      </c>
      <c r="B31" s="0" t="n">
        <f aca="false">L19</f>
        <v>2286.69874659977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29441.246362472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27440.3849591972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27440.3849591972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9664.07767422559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18313.2971046623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20936.2971046623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14.5986301379187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0.586807623686816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14.5986301379187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19627.4975749813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10.2019734813536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12</v>
      </c>
      <c r="D5" s="4" t="n">
        <f aca="false">Assumptions!D41</f>
        <v>10</v>
      </c>
      <c r="E5" s="4" t="n">
        <f aca="false">Assumptions!E41</f>
        <v>9</v>
      </c>
      <c r="F5" s="4" t="n">
        <f aca="false">Assumptions!F41</f>
        <v>8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33484.568</v>
      </c>
      <c r="C6" s="0" t="n">
        <f aca="false">B6*(1+C5/100)</f>
        <v>37502.71616</v>
      </c>
      <c r="D6" s="0" t="n">
        <f aca="false">C6*(1+D5/100)</f>
        <v>41252.987776</v>
      </c>
      <c r="E6" s="0" t="n">
        <f aca="false">D6*(1+E5/100)</f>
        <v>44965.75667584</v>
      </c>
      <c r="F6" s="0" t="n">
        <f aca="false">E6*(1+F5/100)</f>
        <v>48563.0172099072</v>
      </c>
      <c r="G6" s="0" t="n">
        <f aca="false">F6*(1+G5/100)</f>
        <v>52448.0585866998</v>
      </c>
      <c r="H6" s="0" t="n">
        <f aca="false">G6*(1+H5/100)</f>
        <v>56119.4226877688</v>
      </c>
      <c r="I6" s="0" t="n">
        <f aca="false">H6*(1+I5/100)</f>
        <v>59486.5880490349</v>
      </c>
      <c r="J6" s="0" t="n">
        <f aca="false">I6*(1+J5/100)</f>
        <v>62460.9174514867</v>
      </c>
      <c r="K6" s="0" t="n">
        <f aca="false">J6*(1+K5/100)</f>
        <v>65271.6587368036</v>
      </c>
      <c r="L6" s="0" t="n">
        <f aca="false">K6*(1+L5/100)</f>
        <v>67882.5250862757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9.5</v>
      </c>
      <c r="D7" s="4" t="n">
        <f aca="false">Assumptions!D42</f>
        <v>9</v>
      </c>
      <c r="E7" s="4" t="n">
        <f aca="false">Assumptions!E42</f>
        <v>9.5</v>
      </c>
      <c r="F7" s="4" t="n">
        <f aca="false">Assumptions!F42</f>
        <v>10</v>
      </c>
      <c r="G7" s="4" t="n">
        <f aca="false">Assumptions!G42</f>
        <v>10.5</v>
      </c>
      <c r="H7" s="4" t="n">
        <f aca="false">Assumptions!H42</f>
        <v>11</v>
      </c>
      <c r="I7" s="4" t="n">
        <f aca="false">Assumptions!I42</f>
        <v>11</v>
      </c>
      <c r="J7" s="4" t="n">
        <f aca="false">Assumptions!J42</f>
        <v>11</v>
      </c>
      <c r="K7" s="4" t="n">
        <f aca="false">Assumptions!K42</f>
        <v>11</v>
      </c>
      <c r="L7" s="4" t="n">
        <f aca="false">Assumptions!L42</f>
        <v>11</v>
      </c>
    </row>
    <row r="8" customFormat="false" ht="15" hidden="false" customHeight="false" outlineLevel="0" collapsed="false">
      <c r="A8" s="0" t="s">
        <v>44</v>
      </c>
      <c r="C8" s="0" t="n">
        <f aca="false">C6*C7/100</f>
        <v>3562.7580352</v>
      </c>
      <c r="D8" s="0" t="n">
        <f aca="false">D6*D7/100</f>
        <v>3712.76889984</v>
      </c>
      <c r="E8" s="0" t="n">
        <f aca="false">E6*E7/100</f>
        <v>4271.7468842048</v>
      </c>
      <c r="F8" s="0" t="n">
        <f aca="false">F6*F7/100</f>
        <v>4856.30172099072</v>
      </c>
      <c r="G8" s="0" t="n">
        <f aca="false">G6*G7/100</f>
        <v>5507.04615160348</v>
      </c>
      <c r="H8" s="0" t="n">
        <f aca="false">H6*H7/100</f>
        <v>6173.13649565457</v>
      </c>
      <c r="I8" s="0" t="n">
        <f aca="false">I6*I7/100</f>
        <v>6543.52468539384</v>
      </c>
      <c r="J8" s="0" t="n">
        <f aca="false">J6*J7/100</f>
        <v>6870.70091966353</v>
      </c>
      <c r="K8" s="0" t="n">
        <f aca="false">K6*K7/100</f>
        <v>7179.88246104839</v>
      </c>
      <c r="L8" s="0" t="n">
        <f aca="false">L6*L7/100</f>
        <v>7467.07775949033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3562.7580352</v>
      </c>
      <c r="D11" s="0" t="n">
        <f aca="false">D8+D10+D24</f>
        <v>3712.76889984</v>
      </c>
      <c r="E11" s="0" t="n">
        <f aca="false">E8+E10+E24</f>
        <v>4271.7468842048</v>
      </c>
      <c r="F11" s="0" t="n">
        <f aca="false">F8+F10+F24</f>
        <v>4856.30172099072</v>
      </c>
      <c r="G11" s="0" t="n">
        <f aca="false">G8+G10+G24</f>
        <v>5507.04615160348</v>
      </c>
      <c r="H11" s="0" t="n">
        <f aca="false">H8+H10+H24</f>
        <v>6173.13649565457</v>
      </c>
      <c r="I11" s="0" t="n">
        <f aca="false">I8+I10+I24</f>
        <v>6543.52468539384</v>
      </c>
      <c r="J11" s="0" t="n">
        <f aca="false">J8+J10+J24</f>
        <v>6870.70091966353</v>
      </c>
      <c r="K11" s="0" t="n">
        <f aca="false">K8+K10+K24</f>
        <v>7179.88246104839</v>
      </c>
      <c r="L11" s="0" t="n">
        <f aca="false">L8+L10+L24</f>
        <v>7467.07775949033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3562.7580352</v>
      </c>
      <c r="D13" s="0" t="n">
        <f aca="false">D11+D12</f>
        <v>3712.76889984</v>
      </c>
      <c r="E13" s="0" t="n">
        <f aca="false">E11+E12</f>
        <v>4271.7468842048</v>
      </c>
      <c r="F13" s="0" t="n">
        <f aca="false">F11+F12</f>
        <v>4856.30172099072</v>
      </c>
      <c r="G13" s="0" t="n">
        <f aca="false">G11+G12</f>
        <v>5507.04615160348</v>
      </c>
      <c r="H13" s="0" t="n">
        <f aca="false">H11+H12</f>
        <v>6173.13649565457</v>
      </c>
      <c r="I13" s="0" t="n">
        <f aca="false">I11+I12</f>
        <v>6543.52468539384</v>
      </c>
      <c r="J13" s="0" t="n">
        <f aca="false">J11+J12</f>
        <v>6870.70091966353</v>
      </c>
      <c r="K13" s="0" t="n">
        <f aca="false">K11+K12</f>
        <v>7179.88246104839</v>
      </c>
      <c r="L13" s="0" t="n">
        <f aca="false">L11+L12</f>
        <v>7467.07775949033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2743.323687104</v>
      </c>
      <c r="D15" s="0" t="n">
        <f aca="false">D13-MAX(0,D13)*D14/100</f>
        <v>2858.8320528768</v>
      </c>
      <c r="E15" s="0" t="n">
        <f aca="false">E13-MAX(0,E13)*E14/100</f>
        <v>3289.2451008377</v>
      </c>
      <c r="F15" s="0" t="n">
        <f aca="false">F13-MAX(0,F13)*F14/100</f>
        <v>3739.35232516286</v>
      </c>
      <c r="G15" s="0" t="n">
        <f aca="false">G13-MAX(0,G13)*G14/100</f>
        <v>4240.42553673468</v>
      </c>
      <c r="H15" s="0" t="n">
        <f aca="false">H13-MAX(0,H13)*H14/100</f>
        <v>4753.31510165402</v>
      </c>
      <c r="I15" s="0" t="n">
        <f aca="false">I13-MAX(0,I13)*I14/100</f>
        <v>5038.51400775326</v>
      </c>
      <c r="J15" s="0" t="n">
        <f aca="false">J13-MAX(0,J13)*J14/100</f>
        <v>5290.43970814092</v>
      </c>
      <c r="K15" s="0" t="n">
        <f aca="false">K13-MAX(0,K13)*K14/100</f>
        <v>5528.50949500726</v>
      </c>
      <c r="L15" s="0" t="n">
        <f aca="false">L13-MAX(0,L13)*L14/100</f>
        <v>5749.64987480755</v>
      </c>
    </row>
    <row r="16" customFormat="false" ht="15" hidden="false" customHeight="false" outlineLevel="0" collapsed="false">
      <c r="A16" s="0" t="s">
        <v>123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-1371.8493571328</v>
      </c>
      <c r="D17" s="4" t="n">
        <f aca="false">-D6*Assumptions!D46/100</f>
        <v>-1372.07437342976</v>
      </c>
      <c r="E17" s="4" t="n">
        <f aca="false">-E6*Assumptions!E46/100</f>
        <v>-1480.27270976865</v>
      </c>
      <c r="F17" s="4" t="n">
        <f aca="false">-F6*Assumptions!F46/100</f>
        <v>-1570.5279765684</v>
      </c>
      <c r="G17" s="4" t="n">
        <f aca="false">-G6*Assumptions!G46/100</f>
        <v>-1696.17021469387</v>
      </c>
      <c r="H17" s="4" t="n">
        <f aca="false">-H6*Assumptions!H46/100</f>
        <v>-1758.78270703467</v>
      </c>
      <c r="I17" s="4" t="n">
        <f aca="false">-I6*Assumptions!I46/100</f>
        <v>-1763.77733565389</v>
      </c>
      <c r="J17" s="4" t="n">
        <f aca="false">-J6*Assumptions!J46/100</f>
        <v>-1692.69086293529</v>
      </c>
      <c r="K17" s="4" t="n">
        <f aca="false">-K6*Assumptions!K46/100</f>
        <v>-1658.55284850218</v>
      </c>
      <c r="L17" s="4" t="n">
        <f aca="false">-L6*Assumptions!L46/100</f>
        <v>-1724.89496244227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1371.4743299712</v>
      </c>
      <c r="D19" s="0" t="n">
        <f aca="false">D15+D16+D17+D18</f>
        <v>1486.75767944704</v>
      </c>
      <c r="E19" s="0" t="n">
        <f aca="false">E15+E16+E17+E18</f>
        <v>1808.97239106904</v>
      </c>
      <c r="F19" s="0" t="n">
        <f aca="false">F15+F16+F17+F18</f>
        <v>2168.82434859446</v>
      </c>
      <c r="G19" s="0" t="n">
        <f aca="false">G15+G16+G17+G18</f>
        <v>2544.25532204081</v>
      </c>
      <c r="H19" s="0" t="n">
        <f aca="false">H15+H16+H17+H18</f>
        <v>2994.53239461934</v>
      </c>
      <c r="I19" s="0" t="n">
        <f aca="false">I15+I16+I17+I18</f>
        <v>3274.73667209937</v>
      </c>
      <c r="J19" s="0" t="n">
        <f aca="false">J15+J16+J17+J18</f>
        <v>3597.74884520563</v>
      </c>
      <c r="K19" s="0" t="n">
        <f aca="false">K15+K16+K17+K18</f>
        <v>3869.95664650508</v>
      </c>
      <c r="L19" s="0" t="n">
        <f aca="false">L15+L16+L17+L18</f>
        <v>4024.75491236529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1246.79484542836</v>
      </c>
      <c r="D21" s="0" t="n">
        <f aca="false">D19*D20</f>
        <v>1228.72535491491</v>
      </c>
      <c r="E21" s="0" t="n">
        <f aca="false">E19*E20</f>
        <v>1359.10773183249</v>
      </c>
      <c r="F21" s="0" t="n">
        <f aca="false">F19*F20</f>
        <v>1481.3362124134</v>
      </c>
      <c r="G21" s="0" t="n">
        <f aca="false">G19*G20</f>
        <v>1579.78238076187</v>
      </c>
      <c r="H21" s="0" t="n">
        <f aca="false">H19*H20</f>
        <v>1690.33546946413</v>
      </c>
      <c r="I21" s="0" t="n">
        <f aca="false">I19*I20</f>
        <v>1680.4577083556</v>
      </c>
      <c r="J21" s="0" t="n">
        <f aca="false">J19*J20</f>
        <v>1678.37638842947</v>
      </c>
      <c r="K21" s="0" t="n">
        <f aca="false">K19*K20</f>
        <v>1641.23939698757</v>
      </c>
      <c r="L21" s="0" t="n">
        <f aca="false">L19*L20</f>
        <v>1551.71724806098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15137.8727366488</v>
      </c>
    </row>
    <row r="31" customFormat="false" ht="15" hidden="false" customHeight="false" outlineLevel="0" collapsed="false">
      <c r="A31" s="0" t="s">
        <v>132</v>
      </c>
      <c r="B31" s="0" t="n">
        <f aca="false">L19</f>
        <v>4024.75491236529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64086.4820661242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56346.568773114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56346.568773114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21724.0414728537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36861.9142095025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39484.9142095025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27.5323595041845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1.99264777219396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27.5323595041845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36222.7942112876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16.3058586621077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4.80776723613446</v>
      </c>
      <c r="C4" s="0" t="n">
        <f aca="false">B4/Assumptions!$B$2-1</f>
        <v>-0.477416604767993</v>
      </c>
      <c r="D4" s="4" t="n">
        <f aca="false">Assumptions!$B$24</f>
        <v>0.3</v>
      </c>
      <c r="E4" s="4" t="n">
        <f aca="false">DCF_Bear!$B$43</f>
        <v>4.80776723613446</v>
      </c>
      <c r="F4" s="4" t="n">
        <f aca="false">DCF_Bear!$B$47</f>
        <v>4.18515550749302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14.5986301379187</v>
      </c>
      <c r="C5" s="0" t="n">
        <f aca="false">B5/Assumptions!$B$2-1</f>
        <v>0.586807623686816</v>
      </c>
      <c r="D5" s="4" t="n">
        <f aca="false">Assumptions!$B$38</f>
        <v>0.5</v>
      </c>
      <c r="E5" s="4" t="n">
        <f aca="false">DCF_Base!$B$43</f>
        <v>14.5986301379187</v>
      </c>
      <c r="F5" s="4" t="n">
        <f aca="false">DCF_Base!$B$47</f>
        <v>10.2019734813536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27.5323595041845</v>
      </c>
      <c r="C6" s="0" t="n">
        <f aca="false">B6/Assumptions!$B$2-1</f>
        <v>1.99264777219396</v>
      </c>
      <c r="D6" s="4" t="n">
        <f aca="false">Assumptions!$B$52</f>
        <v>0.2</v>
      </c>
      <c r="E6" s="4" t="n">
        <f aca="false">DCF_Bull!$B$43</f>
        <v>27.5323595041845</v>
      </c>
      <c r="F6" s="4" t="n">
        <f aca="false">DCF_Bull!$B$47</f>
        <v>16.3058586621077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14.2481171406366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14.2481171406366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0.35430064834595</v>
      </c>
    </row>
    <row r="11" customFormat="false" ht="15" hidden="false" customHeight="false" outlineLevel="0" collapsed="false">
      <c r="A11" s="0" t="s">
        <v>159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9.61770512534623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16.5849222643026</v>
      </c>
      <c r="C15" s="3" t="n">
        <v>9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15.5465037265918</v>
      </c>
      <c r="C16" s="3" t="n">
        <v>10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14.5986301379187</v>
      </c>
      <c r="C17" s="3" t="n">
        <v>11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13.4472076526478</v>
      </c>
      <c r="C18" s="3" t="n">
        <v>12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10.2019734813536</v>
      </c>
      <c r="C19" s="3" t="n">
        <v>15</v>
      </c>
    </row>
    <row r="21" customFormat="false" ht="15" hidden="false" customHeight="false" outlineLevel="0" collapsed="false">
      <c r="A21" s="2" t="s">
        <v>168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16.5849222643026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16.5849222643026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16.5849222643026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16.5849222643026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16.5849222643026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15.5465037265918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15.5465037265918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15.5465037265918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15.5465037265918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15.5465037265918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14.2242609134383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14.5986301379187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14.5986301379187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14.5986301379187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14.5986301379187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12.8083318005093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13.1109572041538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13.4472076526478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13.7324200866382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13.7324200866382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11.6588966835438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11.8886719166984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12.1414246731684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12.4207829829511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12.7311811049318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2026-10-23T11:07:14Z</dcterms:created>
  <dc:creator>openpyxl</dc:creator>
  <dc:description/>
  <dc:language>en-NZ</dc:language>
  <cp:lastModifiedBy/>
  <dcterms:modified xsi:type="dcterms:W3CDTF">2026-10-23T11:07:14Z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