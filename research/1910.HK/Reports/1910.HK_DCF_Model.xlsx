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<sst xmlns="http://schemas.openxmlformats.org/spreadsheetml/2006/main" count="360" uniqueCount="171">
  <si>
    <t xml:space="preserve">Ticker</t>
  </si>
  <si>
    <t xml:space="preserve">1910.HK</t>
  </si>
  <si>
    <t xml:space="preserve">Company</t>
  </si>
  <si>
    <t xml:space="preserve">Samsonite Group S.A.</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</si>
  <si>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</si>
  <si>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</si>
  <si>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</si>
  <si>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</si>
  <si>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</si>
  <si>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</si>
  <si>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</si>
  <si>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</si>
  <si>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</si>
  <si>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</si>
  <si>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</si>
  <si>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</si>
  <si>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</si>
  <si>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</si>
  <si>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</si>
  <si>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</si>
  <si>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</si>
  <si>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</si>
  <si>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2026-10-16T22:53:27Z</t>
  </si>
  <si>
    <t xml:space="preserve">Drivers file</t>
  </si>
  <si>
    <t xml:space="preserve">1910.HK_Drivers.json</t>
  </si>
  <si>
    <t xml:space="preserve">Convention</t>
  </si>
  <si>
    <t xml:space="preserve">Percents stored as percents; formulas divide by 100. Blue = input, green = link, black = formula.</t>
  </si>
  <si>
    <t xml:space="preserve">Methodology</t>
  </si>
  <si>
    <t xml:space="preserve">summary: Samsonite is an asset-light brand owner whose value is a stream of lease-adjusted free cash flow; the market is pricing it at roughly 10% levered owner-FCF yield and ~6x post-lease adjusted EBITDA, i.e. as if the FY2025-26 margin decline persists. The DCF values flows on the company's own post-lease adjusted EBITDA (IFRS 16 rent kept as an operating cost, lease debt excluded), with NCI charged as leakage and SBC expensed. The terminal value is capped at 14x unlevered owner FCF (~7.5x terminal adjusted EBITDA) because this is a cyclical, not a compounder.
key_risks_to_valuation: Margin path: each 1pp of terminal adjusted EBITDA margin is worth roughly HK$1.4-1.5/share; the base assumes recovery to FY2025's 17.3%, not FY2023-24's 19%.; Leverage amplifies equity value swings: pro forma net debt ~US$1.39bn is ~60% of market cap.; Travel/geopolitical shock (Middle East conflict already hit H1 FY2026) and US tariff policy reversals.; BEIS carried at cost - integration failure would make that a write-down; success is upside not in the numbers.; Terminal value is cap-bound (14x); the Gordon value at 8.5%/2.5% would be ~17x.</t>
  </si>
  <si>
    <t xml:space="preserve">Data sources</t>
  </si>
  <si>
    <t xml:space="preserve">price: Yahoo Finance chart API (1910.HK) at inputs.price_as_of; 52-week range HK$11.88-21.98. USD/HKD from Yahoo HKD=X.
financials: 1910.HK_Metrics.csv (FY2018-FY2025, H1 FY2023-H1 FY2026) and kpis (AdjustedEBITDA, AdjustedFreeCashFlow, LeasePrincipalPaid, DandA, CashTaxesPaid, ProfitAfterTaxTotal); FY2025 Annual Report adjusted EBITDA reconciliation; H1 FY2026 interim report (net debt, diluted share count, subsequent events: July dividend, BEIS).
qualitative: 1910.HK_Analysis.json (2026-10-17): guidance from the H1 FY2026 interim report and CEO statement.</t>
  </si>
  <si>
    <t xml:space="preserve">Scenario narrative: bear</t>
  </si>
  <si>
    <t xml:space="preserve">The 2025-26 margin slide is structural, not cyclical: value-tier share loss to regional discounters (VIP, Safari) spreads, wholesale partners keep destocking, tariffs and freight re-inflate, and the step-up in marketing fails to buy growth. Sales slip in FY2027 and grow only ~2% after; adjusted EBITDA margin settles at 14.5-15%. With ~US$1.4bn net debt against ~US$500-530m adjusted EBITDA, leverage stays ~2.7x - inside the 4.5x covenant, so this is a value case, not a solvency case.</t>
  </si>
  <si>
    <t xml:space="preserve">Scenario narrative: base</t>
  </si>
  <si>
    <t xml:space="preserve">Travel demand normalises after the Middle East conflict shock and North American consumer softness of 2026: organic sales grow 3-4% (in line with IATA/UN Tourism traffic growth of 3-5%), lifestyle bags and DTC e-commerce keep gaining share, and American Tourister stabilises against VIP/Safari at the value end. Adjusted EBITDA margin rebuilds from ~15.4% (FY2026E ex refund) to 17.5% - the FY2025 level, not the 19% FY2023-24 peak - as marketing is held at ~6.5% of sales and tariffs remain a managed cost. Gross margin near 59-60% holds on scale sourcing. Net debt falls slowly while dividends and opportunistic buybacks continue.</t>
  </si>
  <si>
    <t xml:space="preserve">Scenario narrative: bull</t>
  </si>
  <si>
    <t xml:space="preserve">Lifestyle bags (now 37% of sales), TUMI's expansion beyond North America, DTC/e-commerce mix and BEIS's younger, female, digital-first franchise re-accelerate organic growth to 5-6%; operating leverage on the higher marketing base and DTC mix lift adjusted EBITDA margin back to the 19% achieved in FY2023-24. A completed US dual listing broadens the shareholder base (not modelled as value, but it is the catalyst for the market to price it).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</si>
  <si>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</si>
  <si>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</si>
  <si>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</si>
  <si>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</si>
  <si>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</si>
  <si>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</si>
  <si>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</si>
  <si>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</si>
  <si>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</si>
  <si>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</si>
  <si>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</si>
  <si>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</si>
  <si>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</si>
  <si>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</si>
  <si>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</si>
  <si>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</si>
  <si>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</si>
  <si>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</si>
  <si>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</si>
  <si>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</si>
  <si>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</si>
  <si>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</si>
  <si>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</si>
  <si>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</si>
  <si>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</si>
  <si>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</si>
  <si>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</si>
  <si>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</si>
  <si>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AdjustedFreeCashFlow</t>
  </si>
  <si>
    <t xml:space="preserve">DividendsPaidToNCI</t>
  </si>
  <si>
    <t xml:space="preserve">InterestPaid</t>
  </si>
  <si>
    <t xml:space="preserve">LeasePrincipalPaid</t>
  </si>
  <si>
    <t xml:space="preserve">ProfitAfterTaxTotal</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</si>
  <si>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</si>
  <si>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</si>
  <si>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</si>
  <si>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</si>
  <si>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</si>
  <si>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</si>
  <si>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</si>
  <si>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</si>
  <si>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</si>
  <si>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</si>
  <si>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</si>
  <si>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</si>
  <si>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</si>
  <si>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</si>
  <si>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</si>
  <si>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</si>
  <si>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</si>
  <si>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</si>
  <si>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</si>
  <si>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</si>
  <si>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</si>
  <si>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</si>
  <si>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</si>
  <si>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</si>
  <si>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</si>
  <si>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</si>
  <si>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</si>
  <si>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</si>
  <si>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</si>
  <si>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</si>
  <si>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</si>
  <si>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</si>
  <si>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</si>
  <si>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</si>
  <si>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</si>
  <si>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</si>
  <si>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</si>
  <si>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</si>
  <si>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</si>
  <si>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</si>
  <si>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</si>
  <si>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</si>
  <si>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</si>
  <si>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</si>
  <si>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</si>
  <si>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</si>
  <si>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1910.HK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</si>
  <si>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</si>
  <si>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</si>
  <si>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</si>
  <si>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</si>
  <si>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</si>
  <si>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</si>
  <si>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</si>
  <si>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</si>
  <si>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</si>
  <si>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</si>
  <si>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</si>
  <si>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</si>
  <si>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</si>
  <si>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</si>
  <si>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</si>
  <si>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</si>
  <si>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</si>
  <si>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</si>
  <si>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</si>
  <si>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</si>
  <si>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</si>
  <si>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</si>
  <si>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</si>
  <si>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</si>
  <si>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</si>
  <si>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</si>
  <si>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</si>
  <si>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</si>
  <si>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</si>
  <si>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</si>
  <si>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1910.HK owner-FCF component DCF: base case (millions, USD)</t>
  </si>
  <si>
    <t xml:space="preserve">1910.HK owner-FCF component DCF: bull case (millions, USD)</t>
  </si>
  <si>
    <t xml:space="preserve">1910.HK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</si>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</sst>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13.14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3797</v>
      </c>
      <c r="C2" s="0" t="n">
        <v>1652.4</v>
      </c>
      <c r="D2" s="0" t="n">
        <v>2144.6</v>
      </c>
      <c r="E2" s="0" t="n">
        <v>56.5</v>
      </c>
      <c r="F2" s="0" t="n">
        <v>467.4</v>
      </c>
      <c r="G2" s="0" t="n">
        <v>12.3</v>
      </c>
      <c r="H2" s="0" t="n">
        <v>588.7</v>
      </c>
      <c r="I2" s="0" t="n">
        <v>236.7</v>
      </c>
      <c r="J2" s="0" t="n">
        <v>6.2</v>
      </c>
      <c r="K2" s="0" t="n">
        <v>0.165</v>
      </c>
      <c r="L2" s="0" t="n">
        <v>307.4</v>
      </c>
      <c r="M2" s="0" t="n">
        <v>118.2</v>
      </c>
      <c r="N2" s="0" t="n">
        <v>189.2</v>
      </c>
      <c r="O2" s="0" t="n">
        <v>1947.8</v>
      </c>
      <c r="P2" s="0" t="n">
        <v>5141.6</v>
      </c>
      <c r="Q2" s="0" t="n">
        <v>3150.5</v>
      </c>
      <c r="R2" s="0" t="n">
        <v>1919.5</v>
      </c>
      <c r="S2" s="0" t="n">
        <v>427.7</v>
      </c>
      <c r="T2" s="0" t="n">
        <v>1437.7</v>
      </c>
      <c r="U2" s="0" t="n">
        <v>13.8</v>
      </c>
      <c r="AA2" s="0" t="s">
        <v>18</v>
      </c>
      <c r="AB2" s="0" t="s">
        <v>14</v>
      </c>
      <c r="AE2" s="0" t="n">
        <v>14.7</v>
      </c>
      <c r="AF2" s="0" t="n">
        <v>63.3</v>
      </c>
      <c r="AH2" s="0" t="n">
        <v>257.2</v>
      </c>
    </row>
    <row r="3" customFormat="false" ht="15" hidden="false" customHeight="false" outlineLevel="0" collapsed="false">
      <c r="A3" s="0" t="s">
        <v>71</v>
      </c>
      <c r="B3" s="0" t="n">
        <v>3638.8</v>
      </c>
      <c r="C3" s="0" t="n">
        <v>1622</v>
      </c>
      <c r="D3" s="0" t="n">
        <v>2016.8</v>
      </c>
      <c r="E3" s="0" t="n">
        <v>55.4</v>
      </c>
      <c r="F3" s="0" t="n">
        <v>283</v>
      </c>
      <c r="G3" s="0" t="n">
        <v>7.8</v>
      </c>
      <c r="H3" s="0" t="n">
        <v>592.7</v>
      </c>
      <c r="I3" s="0" t="n">
        <v>132.5</v>
      </c>
      <c r="J3" s="0" t="n">
        <v>3.6</v>
      </c>
      <c r="K3" s="0" t="n">
        <v>0.093</v>
      </c>
      <c r="L3" s="0" t="n">
        <v>576.2</v>
      </c>
      <c r="M3" s="0" t="n">
        <v>74.5</v>
      </c>
      <c r="N3" s="0" t="n">
        <v>501.7</v>
      </c>
      <c r="O3" s="0" t="n">
        <v>1951</v>
      </c>
      <c r="P3" s="0" t="n">
        <v>5541.3</v>
      </c>
      <c r="Q3" s="0" t="n">
        <v>3539.8</v>
      </c>
      <c r="R3" s="0" t="n">
        <v>1755.2</v>
      </c>
      <c r="S3" s="0" t="n">
        <v>462.6</v>
      </c>
      <c r="T3" s="0" t="n">
        <v>1433</v>
      </c>
      <c r="U3" s="0" t="n">
        <v>15.8</v>
      </c>
      <c r="AA3" s="0" t="s">
        <v>18</v>
      </c>
      <c r="AB3" s="0" t="s">
        <v>14</v>
      </c>
      <c r="AE3" s="0" t="n">
        <v>13</v>
      </c>
      <c r="AF3" s="0" t="n">
        <v>91.1</v>
      </c>
      <c r="AG3" s="0" t="n">
        <v>170.2</v>
      </c>
      <c r="AH3" s="0" t="n">
        <v>153.4</v>
      </c>
    </row>
    <row r="4" customFormat="false" ht="15" hidden="false" customHeight="false" outlineLevel="0" collapsed="false">
      <c r="A4" s="0" t="s">
        <v>72</v>
      </c>
      <c r="B4" s="0" t="n">
        <v>1536.7</v>
      </c>
      <c r="C4" s="0" t="n">
        <v>830.4</v>
      </c>
      <c r="D4" s="0" t="n">
        <v>706.3</v>
      </c>
      <c r="E4" s="0" t="n">
        <v>46</v>
      </c>
      <c r="F4" s="0" t="n">
        <v>-1266.2</v>
      </c>
      <c r="G4" s="0" t="n">
        <v>-82.4</v>
      </c>
      <c r="H4" s="0" t="n">
        <v>-1011</v>
      </c>
      <c r="I4" s="0" t="n">
        <v>-1277.7</v>
      </c>
      <c r="J4" s="0" t="n">
        <v>-83.1</v>
      </c>
      <c r="K4" s="0" t="n">
        <v>-0.891</v>
      </c>
      <c r="L4" s="0" t="n">
        <v>-114.2</v>
      </c>
      <c r="M4" s="0" t="n">
        <v>26.1</v>
      </c>
      <c r="N4" s="0" t="n">
        <v>-140.3</v>
      </c>
      <c r="O4" s="0" t="n">
        <v>634.1</v>
      </c>
      <c r="P4" s="0" t="n">
        <v>5162.2</v>
      </c>
      <c r="Q4" s="0" t="n">
        <v>4493.2</v>
      </c>
      <c r="R4" s="0" t="n">
        <v>3190.7</v>
      </c>
      <c r="S4" s="0" t="n">
        <v>1495</v>
      </c>
      <c r="T4" s="0" t="n">
        <v>1433.4</v>
      </c>
      <c r="U4" s="0" t="n">
        <v>6.6</v>
      </c>
      <c r="AA4" s="0" t="s">
        <v>18</v>
      </c>
      <c r="AB4" s="0" t="s">
        <v>14</v>
      </c>
      <c r="AE4" s="0" t="n">
        <v>4.1</v>
      </c>
      <c r="AF4" s="0" t="n">
        <v>117.9</v>
      </c>
      <c r="AG4" s="0" t="n">
        <v>215.7</v>
      </c>
      <c r="AH4" s="0" t="n">
        <v>-1288</v>
      </c>
    </row>
    <row r="5" customFormat="false" ht="15" hidden="false" customHeight="false" outlineLevel="0" collapsed="false">
      <c r="A5" s="0" t="s">
        <v>73</v>
      </c>
      <c r="B5" s="0" t="n">
        <v>2020.8</v>
      </c>
      <c r="C5" s="0" t="n">
        <v>919.3</v>
      </c>
      <c r="D5" s="0" t="n">
        <v>1101.5</v>
      </c>
      <c r="E5" s="0" t="n">
        <v>54.5</v>
      </c>
      <c r="F5" s="0" t="n">
        <v>132.7</v>
      </c>
      <c r="G5" s="0" t="n">
        <v>6.6</v>
      </c>
      <c r="H5" s="0" t="n">
        <v>330.4</v>
      </c>
      <c r="I5" s="0" t="n">
        <v>14.3</v>
      </c>
      <c r="J5" s="0" t="n">
        <v>0.7</v>
      </c>
      <c r="K5" s="0" t="n">
        <v>0.01</v>
      </c>
      <c r="L5" s="0" t="n">
        <v>387.1</v>
      </c>
      <c r="M5" s="0" t="n">
        <v>25.9</v>
      </c>
      <c r="N5" s="0" t="n">
        <v>361.2</v>
      </c>
      <c r="O5" s="0" t="n">
        <v>689.7</v>
      </c>
      <c r="P5" s="0" t="n">
        <v>4854.3</v>
      </c>
      <c r="Q5" s="0" t="n">
        <v>4127.7</v>
      </c>
      <c r="R5" s="0" t="n">
        <v>2789.3</v>
      </c>
      <c r="S5" s="0" t="n">
        <v>1324.8</v>
      </c>
      <c r="T5" s="0" t="n">
        <v>1437.7</v>
      </c>
      <c r="U5" s="0" t="n">
        <v>11.9</v>
      </c>
      <c r="AA5" s="0" t="s">
        <v>18</v>
      </c>
      <c r="AB5" s="0" t="s">
        <v>14</v>
      </c>
      <c r="AE5" s="0" t="n">
        <v>4.8</v>
      </c>
      <c r="AF5" s="0" t="n">
        <v>118.9</v>
      </c>
      <c r="AG5" s="0" t="n">
        <v>156.5</v>
      </c>
      <c r="AH5" s="0" t="n">
        <v>23.5</v>
      </c>
    </row>
    <row r="6" customFormat="false" ht="15" hidden="false" customHeight="false" outlineLevel="0" collapsed="false">
      <c r="A6" s="0" t="s">
        <v>74</v>
      </c>
      <c r="B6" s="0" t="n">
        <v>2879.6</v>
      </c>
      <c r="C6" s="0" t="n">
        <v>1274.2</v>
      </c>
      <c r="D6" s="0" t="n">
        <v>1605.4</v>
      </c>
      <c r="E6" s="0" t="n">
        <v>55.8</v>
      </c>
      <c r="F6" s="0" t="n">
        <v>492.1</v>
      </c>
      <c r="G6" s="0" t="n">
        <v>17.1</v>
      </c>
      <c r="H6" s="0" t="n">
        <v>667.5</v>
      </c>
      <c r="I6" s="0" t="n">
        <v>312.7</v>
      </c>
      <c r="J6" s="0" t="n">
        <v>10.9</v>
      </c>
      <c r="K6" s="0" t="n">
        <v>0.217</v>
      </c>
      <c r="L6" s="0" t="n">
        <v>277.7</v>
      </c>
      <c r="M6" s="0" t="n">
        <v>62.8</v>
      </c>
      <c r="N6" s="0" t="n">
        <v>214.9</v>
      </c>
      <c r="O6" s="0" t="n">
        <v>1031.8</v>
      </c>
      <c r="P6" s="0" t="n">
        <v>4721.1</v>
      </c>
      <c r="Q6" s="0" t="n">
        <v>3641.5</v>
      </c>
      <c r="R6" s="0" t="n">
        <v>2011.9</v>
      </c>
      <c r="S6" s="0" t="n">
        <v>635.9</v>
      </c>
      <c r="T6" s="0" t="n">
        <v>1439.7</v>
      </c>
      <c r="U6" s="0" t="n">
        <v>13.8</v>
      </c>
      <c r="AA6" s="0" t="s">
        <v>18</v>
      </c>
      <c r="AB6" s="0" t="s">
        <v>14</v>
      </c>
      <c r="AC6" s="0" t="n">
        <v>472.3</v>
      </c>
      <c r="AE6" s="0" t="n">
        <v>11</v>
      </c>
      <c r="AF6" s="0" t="n">
        <v>108.3</v>
      </c>
      <c r="AG6" s="0" t="n">
        <v>131.3</v>
      </c>
      <c r="AH6" s="0" t="n">
        <v>338.3</v>
      </c>
    </row>
    <row r="7" customFormat="false" ht="15" hidden="false" customHeight="false" outlineLevel="0" collapsed="false">
      <c r="A7" s="0" t="s">
        <v>75</v>
      </c>
      <c r="B7" s="0" t="n">
        <v>3682.4</v>
      </c>
      <c r="C7" s="0" t="n">
        <v>1499.6</v>
      </c>
      <c r="D7" s="0" t="n">
        <v>2182.8</v>
      </c>
      <c r="E7" s="0" t="n">
        <v>59.3</v>
      </c>
      <c r="F7" s="0" t="n">
        <v>743.7</v>
      </c>
      <c r="G7" s="0" t="n">
        <v>20.2</v>
      </c>
      <c r="H7" s="0" t="n">
        <v>935.9</v>
      </c>
      <c r="I7" s="0" t="n">
        <v>417</v>
      </c>
      <c r="J7" s="0" t="n">
        <v>11.3</v>
      </c>
      <c r="K7" s="0" t="n">
        <v>0.287</v>
      </c>
      <c r="L7" s="0" t="n">
        <v>534.2</v>
      </c>
      <c r="M7" s="0" t="n">
        <v>110.1</v>
      </c>
      <c r="N7" s="0" t="n">
        <v>424.1</v>
      </c>
      <c r="O7" s="0" t="n">
        <v>1451</v>
      </c>
      <c r="P7" s="0" t="n">
        <v>5111.8</v>
      </c>
      <c r="Q7" s="0" t="n">
        <v>3594.1</v>
      </c>
      <c r="R7" s="0" t="n">
        <v>1807</v>
      </c>
      <c r="S7" s="0" t="n">
        <v>716.6</v>
      </c>
      <c r="T7" s="0" t="n">
        <v>1453.3</v>
      </c>
      <c r="U7" s="0" t="n">
        <v>14.8</v>
      </c>
      <c r="AA7" s="0" t="s">
        <v>18</v>
      </c>
      <c r="AB7" s="0" t="s">
        <v>14</v>
      </c>
      <c r="AC7" s="0" t="n">
        <v>709.3</v>
      </c>
      <c r="AE7" s="0" t="n">
        <v>12.6</v>
      </c>
      <c r="AF7" s="0" t="n">
        <v>128.5</v>
      </c>
      <c r="AG7" s="0" t="n">
        <v>139.6</v>
      </c>
      <c r="AH7" s="0" t="n">
        <v>450.3</v>
      </c>
    </row>
    <row r="8" customFormat="false" ht="15" hidden="false" customHeight="false" outlineLevel="0" collapsed="false">
      <c r="A8" s="0" t="s">
        <v>76</v>
      </c>
      <c r="B8" s="0" t="n">
        <v>3588.6</v>
      </c>
      <c r="C8" s="0" t="n">
        <v>1436.4</v>
      </c>
      <c r="D8" s="0" t="n">
        <v>2152.2</v>
      </c>
      <c r="E8" s="0" t="n">
        <v>60</v>
      </c>
      <c r="F8" s="0" t="n">
        <v>629.3</v>
      </c>
      <c r="G8" s="0" t="n">
        <v>17.5</v>
      </c>
      <c r="H8" s="0" t="n">
        <v>851.3</v>
      </c>
      <c r="I8" s="0" t="n">
        <v>345.6</v>
      </c>
      <c r="J8" s="0" t="n">
        <v>9.6</v>
      </c>
      <c r="K8" s="0" t="n">
        <v>0.237</v>
      </c>
      <c r="L8" s="0" t="n">
        <v>564.8</v>
      </c>
      <c r="M8" s="0" t="n">
        <v>111.5</v>
      </c>
      <c r="N8" s="0" t="n">
        <v>453.3</v>
      </c>
      <c r="O8" s="0" t="n">
        <v>1476.2</v>
      </c>
      <c r="P8" s="0" t="n">
        <v>5079.2</v>
      </c>
      <c r="Q8" s="0" t="n">
        <v>3534.2</v>
      </c>
      <c r="R8" s="0" t="n">
        <v>1771</v>
      </c>
      <c r="S8" s="0" t="n">
        <v>676.3</v>
      </c>
      <c r="T8" s="0" t="n">
        <v>1458.2</v>
      </c>
      <c r="U8" s="0" t="n">
        <v>13.5</v>
      </c>
      <c r="AA8" s="0" t="s">
        <v>18</v>
      </c>
      <c r="AB8" s="0" t="s">
        <v>14</v>
      </c>
      <c r="AC8" s="0" t="n">
        <v>683</v>
      </c>
      <c r="AD8" s="0" t="n">
        <v>311</v>
      </c>
      <c r="AE8" s="0" t="n">
        <v>19.7</v>
      </c>
      <c r="AF8" s="0" t="n">
        <v>131</v>
      </c>
      <c r="AG8" s="0" t="n">
        <v>142.3</v>
      </c>
      <c r="AH8" s="0" t="n">
        <v>372.6</v>
      </c>
    </row>
    <row r="9" customFormat="false" ht="15" hidden="false" customHeight="false" outlineLevel="0" collapsed="false">
      <c r="A9" s="0" t="s">
        <v>77</v>
      </c>
      <c r="B9" s="0" t="n">
        <v>3497.6</v>
      </c>
      <c r="C9" s="0" t="n">
        <v>1412.9</v>
      </c>
      <c r="D9" s="0" t="n">
        <v>2084.7</v>
      </c>
      <c r="E9" s="0" t="n">
        <v>59.6</v>
      </c>
      <c r="F9" s="0" t="n">
        <v>527.7</v>
      </c>
      <c r="G9" s="0" t="n">
        <v>15.1</v>
      </c>
      <c r="H9" s="0" t="n">
        <v>784.2</v>
      </c>
      <c r="I9" s="0" t="n">
        <v>289</v>
      </c>
      <c r="J9" s="0" t="n">
        <v>8.3</v>
      </c>
      <c r="K9" s="0" t="n">
        <v>0.207</v>
      </c>
      <c r="L9" s="0" t="n">
        <v>506.3</v>
      </c>
      <c r="M9" s="0" t="n">
        <v>93.8</v>
      </c>
      <c r="N9" s="0" t="n">
        <v>412.5</v>
      </c>
      <c r="O9" s="0" t="n">
        <v>1600.6</v>
      </c>
      <c r="P9" s="0" t="n">
        <v>5158.9</v>
      </c>
      <c r="Q9" s="0" t="n">
        <v>3489.2</v>
      </c>
      <c r="R9" s="0" t="n">
        <v>1729.1</v>
      </c>
      <c r="S9" s="0" t="n">
        <v>649.3</v>
      </c>
      <c r="T9" s="0" t="n">
        <v>1396.1</v>
      </c>
      <c r="U9" s="0" t="n">
        <v>9.2</v>
      </c>
      <c r="AA9" s="0" t="s">
        <v>18</v>
      </c>
      <c r="AB9" s="0" t="s">
        <v>14</v>
      </c>
      <c r="AC9" s="0" t="n">
        <v>606.8</v>
      </c>
      <c r="AD9" s="0" t="n">
        <v>246.3</v>
      </c>
      <c r="AE9" s="0" t="n">
        <v>21.7</v>
      </c>
      <c r="AF9" s="0" t="n">
        <v>133.3</v>
      </c>
      <c r="AG9" s="0" t="n">
        <v>166.2</v>
      </c>
      <c r="AH9" s="0" t="n">
        <v>312.5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13.14</v>
      </c>
    </row>
    <row r="3" customFormat="false" ht="15" hidden="false" customHeight="false" outlineLevel="0" collapsed="false">
      <c r="A3" s="0" t="s">
        <v>81</v>
      </c>
      <c r="B3" s="3" t="n">
        <v>1374.7</v>
      </c>
    </row>
    <row r="4" customFormat="false" ht="15" hidden="false" customHeight="false" outlineLevel="0" collapsed="false">
      <c r="A4" s="0" t="s">
        <v>82</v>
      </c>
      <c r="B4" s="3" t="n">
        <v>1387.5</v>
      </c>
    </row>
    <row r="5" customFormat="false" ht="15" hidden="false" customHeight="false" outlineLevel="0" collapsed="false">
      <c r="A5" s="0" t="s">
        <v>83</v>
      </c>
      <c r="B5" s="3" t="n">
        <v>358.5</v>
      </c>
    </row>
    <row r="6" customFormat="false" ht="15" hidden="false" customHeight="false" outlineLevel="0" collapsed="false">
      <c r="A6" s="0" t="s">
        <v>84</v>
      </c>
      <c r="B6" s="3" t="n">
        <v>15</v>
      </c>
    </row>
    <row r="7" customFormat="false" ht="15" hidden="false" customHeight="false" outlineLevel="0" collapsed="false">
      <c r="A7" s="0" t="s">
        <v>85</v>
      </c>
      <c r="B7" s="3" t="n">
        <v>3535</v>
      </c>
    </row>
    <row r="8" customFormat="false" ht="15" hidden="false" customHeight="false" outlineLevel="0" collapsed="false">
      <c r="A8" s="0" t="s">
        <v>86</v>
      </c>
      <c r="B8" s="3" t="s">
        <v>87</v>
      </c>
    </row>
    <row r="9" customFormat="false" ht="15" hidden="false" customHeight="false" outlineLevel="0" collapsed="false">
      <c r="A9" s="0" t="s">
        <v>88</v>
      </c>
      <c r="B9" s="3" t="s">
        <v>89</v>
      </c>
    </row>
    <row r="10" customFormat="false" ht="15" hidden="false" customHeight="false" outlineLevel="0" collapsed="false">
      <c r="A10" s="0" t="s">
        <v>90</v>
      </c>
      <c r="B10" s="3" t="n">
        <v>7.8479</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-1</v>
      </c>
      <c r="D13" s="3" t="n">
        <v>1</v>
      </c>
      <c r="E13" s="3" t="n">
        <v>2</v>
      </c>
      <c r="F13" s="3" t="n">
        <v>2</v>
      </c>
      <c r="G13" s="3" t="n">
        <v>2</v>
      </c>
      <c r="H13" s="3" t="n">
        <v>2</v>
      </c>
      <c r="I13" s="3" t="n">
        <v>2</v>
      </c>
      <c r="J13" s="3" t="n">
        <v>2</v>
      </c>
      <c r="K13" s="3" t="n">
        <v>2</v>
      </c>
      <c r="L13" s="3" t="n">
        <v>2</v>
      </c>
    </row>
    <row r="14" customFormat="false" ht="15" hidden="false" customHeight="false" outlineLevel="0" collapsed="false">
      <c r="A14" s="0" t="s">
        <v>103</v>
      </c>
      <c r="C14" s="3" t="n">
        <v>14.5</v>
      </c>
      <c r="D14" s="3" t="n">
        <v>14.5</v>
      </c>
      <c r="E14" s="3" t="n">
        <v>15</v>
      </c>
      <c r="F14" s="3" t="n">
        <v>15</v>
      </c>
      <c r="G14" s="3" t="n">
        <v>15</v>
      </c>
      <c r="H14" s="3" t="n">
        <v>15</v>
      </c>
      <c r="I14" s="3" t="n">
        <v>15</v>
      </c>
      <c r="J14" s="3" t="n">
        <v>15</v>
      </c>
      <c r="K14" s="3" t="n">
        <v>15</v>
      </c>
      <c r="L14" s="3" t="n">
        <v>15</v>
      </c>
    </row>
    <row r="15" customFormat="false" ht="15" hidden="false" customHeight="false" outlineLevel="0" collapsed="false">
      <c r="A15" s="0" t="s">
        <v>104</v>
      </c>
      <c r="C15" s="3" t="n">
        <v>0.3</v>
      </c>
      <c r="D15" s="3" t="n">
        <v>0.3</v>
      </c>
      <c r="E15" s="3" t="n">
        <v>0.3</v>
      </c>
      <c r="F15" s="3" t="n">
        <v>0.3</v>
      </c>
      <c r="G15" s="3" t="n">
        <v>0.3</v>
      </c>
      <c r="H15" s="3" t="n">
        <v>0.3</v>
      </c>
      <c r="I15" s="3" t="n">
        <v>0.3</v>
      </c>
      <c r="J15" s="3" t="n">
        <v>0.3</v>
      </c>
      <c r="K15" s="3" t="n">
        <v>0.3</v>
      </c>
      <c r="L15" s="3" t="n">
        <v>0.3</v>
      </c>
    </row>
    <row r="16" customFormat="false" ht="15" hidden="false" customHeight="false" outlineLevel="0" collapsed="false">
      <c r="A16" s="0" t="s">
        <v>105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106</v>
      </c>
      <c r="C17" s="3" t="n">
        <v>2.6</v>
      </c>
      <c r="D17" s="3" t="n">
        <v>2.6</v>
      </c>
      <c r="E17" s="3" t="n">
        <v>2.6</v>
      </c>
      <c r="F17" s="3" t="n">
        <v>2.6</v>
      </c>
      <c r="G17" s="3" t="n">
        <v>2.6</v>
      </c>
      <c r="H17" s="3" t="n">
        <v>2.6</v>
      </c>
      <c r="I17" s="3" t="n">
        <v>2.6</v>
      </c>
      <c r="J17" s="3" t="n">
        <v>2.6</v>
      </c>
      <c r="K17" s="3" t="n">
        <v>2.6</v>
      </c>
      <c r="L17" s="3" t="n">
        <v>2.6</v>
      </c>
    </row>
    <row r="18" customFormat="false" ht="15" hidden="false" customHeight="false" outlineLevel="0" collapsed="false">
      <c r="A18" s="0" t="s">
        <v>107</v>
      </c>
      <c r="C18" s="3" t="n">
        <v>3</v>
      </c>
      <c r="D18" s="3" t="n">
        <v>3</v>
      </c>
      <c r="E18" s="3" t="n">
        <v>3</v>
      </c>
      <c r="F18" s="3" t="n">
        <v>3</v>
      </c>
      <c r="G18" s="3" t="n">
        <v>3</v>
      </c>
      <c r="H18" s="3" t="n">
        <v>3</v>
      </c>
      <c r="I18" s="3" t="n">
        <v>3</v>
      </c>
      <c r="J18" s="3" t="n">
        <v>3</v>
      </c>
      <c r="K18" s="3" t="n">
        <v>3</v>
      </c>
      <c r="L18" s="3" t="n">
        <v>3</v>
      </c>
    </row>
    <row r="19" customFormat="false" ht="15" hidden="false" customHeight="false" outlineLevel="0" collapsed="false">
      <c r="A19" s="0" t="s">
        <v>108</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109</v>
      </c>
      <c r="B20" s="3" t="n">
        <v>8.5</v>
      </c>
    </row>
    <row r="21" customFormat="false" ht="15" hidden="false" customHeight="false" outlineLevel="0" collapsed="false">
      <c r="A21" s="0" t="s">
        <v>110</v>
      </c>
      <c r="B21" s="3" t="n">
        <v>2</v>
      </c>
    </row>
    <row r="22" customFormat="false" ht="15" hidden="false" customHeight="false" outlineLevel="0" collapsed="false">
      <c r="A22" s="0" t="s">
        <v>111</v>
      </c>
      <c r="B22" s="3" t="n">
        <v>12</v>
      </c>
    </row>
    <row r="23" customFormat="false" ht="15" hidden="false" customHeight="false" outlineLevel="0" collapsed="false">
      <c r="A23" s="0" t="s">
        <v>112</v>
      </c>
      <c r="B23" s="3" t="n">
        <v>-15</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3</v>
      </c>
      <c r="D27" s="3" t="n">
        <v>4</v>
      </c>
      <c r="E27" s="3" t="n">
        <v>4</v>
      </c>
      <c r="F27" s="3" t="n">
        <v>4</v>
      </c>
      <c r="G27" s="3" t="n">
        <v>3.5</v>
      </c>
      <c r="H27" s="3" t="n">
        <v>3.5</v>
      </c>
      <c r="I27" s="3" t="n">
        <v>3</v>
      </c>
      <c r="J27" s="3" t="n">
        <v>3</v>
      </c>
      <c r="K27" s="3" t="n">
        <v>2.5</v>
      </c>
      <c r="L27" s="3" t="n">
        <v>2.5</v>
      </c>
    </row>
    <row r="28" customFormat="false" ht="15" hidden="false" customHeight="false" outlineLevel="0" collapsed="false">
      <c r="A28" s="0" t="s">
        <v>103</v>
      </c>
      <c r="C28" s="3" t="n">
        <v>16.5</v>
      </c>
      <c r="D28" s="3" t="n">
        <v>17</v>
      </c>
      <c r="E28" s="3" t="n">
        <v>17.3</v>
      </c>
      <c r="F28" s="3" t="n">
        <v>17.5</v>
      </c>
      <c r="G28" s="3" t="n">
        <v>17.5</v>
      </c>
      <c r="H28" s="3" t="n">
        <v>17.5</v>
      </c>
      <c r="I28" s="3" t="n">
        <v>17.5</v>
      </c>
      <c r="J28" s="3" t="n">
        <v>17.5</v>
      </c>
      <c r="K28" s="3" t="n">
        <v>17.5</v>
      </c>
      <c r="L28" s="3" t="n">
        <v>17.5</v>
      </c>
    </row>
    <row r="29" customFormat="false" ht="15" hidden="false" customHeight="false" outlineLevel="0" collapsed="false">
      <c r="A29" s="0" t="s">
        <v>104</v>
      </c>
      <c r="C29" s="3" t="n">
        <v>0.3</v>
      </c>
      <c r="D29" s="3" t="n">
        <v>0.3</v>
      </c>
      <c r="E29" s="3" t="n">
        <v>0.3</v>
      </c>
      <c r="F29" s="3" t="n">
        <v>0.3</v>
      </c>
      <c r="G29" s="3" t="n">
        <v>0.3</v>
      </c>
      <c r="H29" s="3" t="n">
        <v>0.3</v>
      </c>
      <c r="I29" s="3" t="n">
        <v>0.3</v>
      </c>
      <c r="J29" s="3" t="n">
        <v>0.3</v>
      </c>
      <c r="K29" s="3" t="n">
        <v>0.3</v>
      </c>
      <c r="L29" s="3" t="n">
        <v>0.3</v>
      </c>
    </row>
    <row r="30" customFormat="false" ht="15" hidden="false" customHeight="false" outlineLevel="0" collapsed="false">
      <c r="A30" s="0" t="s">
        <v>105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106</v>
      </c>
      <c r="C31" s="3" t="n">
        <v>2.6</v>
      </c>
      <c r="D31" s="3" t="n">
        <v>2.6</v>
      </c>
      <c r="E31" s="3" t="n">
        <v>2.6</v>
      </c>
      <c r="F31" s="3" t="n">
        <v>2.6</v>
      </c>
      <c r="G31" s="3" t="n">
        <v>2.6</v>
      </c>
      <c r="H31" s="3" t="n">
        <v>2.6</v>
      </c>
      <c r="I31" s="3" t="n">
        <v>2.6</v>
      </c>
      <c r="J31" s="3" t="n">
        <v>2.6</v>
      </c>
      <c r="K31" s="3" t="n">
        <v>2.6</v>
      </c>
      <c r="L31" s="3" t="n">
        <v>2.6</v>
      </c>
    </row>
    <row r="32" customFormat="false" ht="15" hidden="false" customHeight="false" outlineLevel="0" collapsed="false">
      <c r="A32" s="0" t="s">
        <v>107</v>
      </c>
      <c r="C32" s="3" t="n">
        <v>3</v>
      </c>
      <c r="D32" s="3" t="n">
        <v>3</v>
      </c>
      <c r="E32" s="3" t="n">
        <v>3</v>
      </c>
      <c r="F32" s="3" t="n">
        <v>3</v>
      </c>
      <c r="G32" s="3" t="n">
        <v>3</v>
      </c>
      <c r="H32" s="3" t="n">
        <v>3</v>
      </c>
      <c r="I32" s="3" t="n">
        <v>3</v>
      </c>
      <c r="J32" s="3" t="n">
        <v>3</v>
      </c>
      <c r="K32" s="3" t="n">
        <v>3</v>
      </c>
      <c r="L32" s="3" t="n">
        <v>3</v>
      </c>
    </row>
    <row r="33" customFormat="false" ht="15" hidden="false" customHeight="false" outlineLevel="0" collapsed="false">
      <c r="A33" s="0" t="s">
        <v>108</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109</v>
      </c>
      <c r="B34" s="3" t="n">
        <v>8.5</v>
      </c>
    </row>
    <row r="35" customFormat="false" ht="15" hidden="false" customHeight="false" outlineLevel="0" collapsed="false">
      <c r="A35" s="0" t="s">
        <v>110</v>
      </c>
      <c r="B35" s="3" t="n">
        <v>2.5</v>
      </c>
    </row>
    <row r="36" customFormat="false" ht="15" hidden="false" customHeight="false" outlineLevel="0" collapsed="false">
      <c r="A36" s="0" t="s">
        <v>111</v>
      </c>
      <c r="B36" s="3" t="n">
        <v>14</v>
      </c>
    </row>
    <row r="37" customFormat="false" ht="15" hidden="false" customHeight="false" outlineLevel="0" collapsed="false">
      <c r="A37" s="0" t="s">
        <v>112</v>
      </c>
      <c r="B37" s="3" t="n">
        <v>-15</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5</v>
      </c>
      <c r="D41" s="3" t="n">
        <v>6</v>
      </c>
      <c r="E41" s="3" t="n">
        <v>6</v>
      </c>
      <c r="F41" s="3" t="n">
        <v>5.5</v>
      </c>
      <c r="G41" s="3" t="n">
        <v>5</v>
      </c>
      <c r="H41" s="3" t="n">
        <v>4.5</v>
      </c>
      <c r="I41" s="3" t="n">
        <v>4</v>
      </c>
      <c r="J41" s="3" t="n">
        <v>3.5</v>
      </c>
      <c r="K41" s="3" t="n">
        <v>3</v>
      </c>
      <c r="L41" s="3" t="n">
        <v>3</v>
      </c>
    </row>
    <row r="42" customFormat="false" ht="15" hidden="false" customHeight="false" outlineLevel="0" collapsed="false">
      <c r="A42" s="0" t="s">
        <v>103</v>
      </c>
      <c r="C42" s="3" t="n">
        <v>17</v>
      </c>
      <c r="D42" s="3" t="n">
        <v>17.8</v>
      </c>
      <c r="E42" s="3" t="n">
        <v>18.5</v>
      </c>
      <c r="F42" s="3" t="n">
        <v>19</v>
      </c>
      <c r="G42" s="3" t="n">
        <v>19</v>
      </c>
      <c r="H42" s="3" t="n">
        <v>19</v>
      </c>
      <c r="I42" s="3" t="n">
        <v>19</v>
      </c>
      <c r="J42" s="3" t="n">
        <v>19</v>
      </c>
      <c r="K42" s="3" t="n">
        <v>19</v>
      </c>
      <c r="L42" s="3" t="n">
        <v>19</v>
      </c>
    </row>
    <row r="43" customFormat="false" ht="15" hidden="false" customHeight="false" outlineLevel="0" collapsed="false">
      <c r="A43" s="0" t="s">
        <v>104</v>
      </c>
      <c r="C43" s="3" t="n">
        <v>0.3</v>
      </c>
      <c r="D43" s="3" t="n">
        <v>0.3</v>
      </c>
      <c r="E43" s="3" t="n">
        <v>0.3</v>
      </c>
      <c r="F43" s="3" t="n">
        <v>0.3</v>
      </c>
      <c r="G43" s="3" t="n">
        <v>0.3</v>
      </c>
      <c r="H43" s="3" t="n">
        <v>0.3</v>
      </c>
      <c r="I43" s="3" t="n">
        <v>0.3</v>
      </c>
      <c r="J43" s="3" t="n">
        <v>0.3</v>
      </c>
      <c r="K43" s="3" t="n">
        <v>0.3</v>
      </c>
      <c r="L43" s="3" t="n">
        <v>0.3</v>
      </c>
    </row>
    <row r="44" customFormat="false" ht="15" hidden="false" customHeight="false" outlineLevel="0" collapsed="false">
      <c r="A44" s="0" t="s">
        <v>105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106</v>
      </c>
      <c r="C45" s="3" t="n">
        <v>2.6</v>
      </c>
      <c r="D45" s="3" t="n">
        <v>2.6</v>
      </c>
      <c r="E45" s="3" t="n">
        <v>2.6</v>
      </c>
      <c r="F45" s="3" t="n">
        <v>2.6</v>
      </c>
      <c r="G45" s="3" t="n">
        <v>2.6</v>
      </c>
      <c r="H45" s="3" t="n">
        <v>2.6</v>
      </c>
      <c r="I45" s="3" t="n">
        <v>2.6</v>
      </c>
      <c r="J45" s="3" t="n">
        <v>2.6</v>
      </c>
      <c r="K45" s="3" t="n">
        <v>2.6</v>
      </c>
      <c r="L45" s="3" t="n">
        <v>2.6</v>
      </c>
    </row>
    <row r="46" customFormat="false" ht="15" hidden="false" customHeight="false" outlineLevel="0" collapsed="false">
      <c r="A46" s="0" t="s">
        <v>107</v>
      </c>
      <c r="C46" s="3" t="n">
        <v>3</v>
      </c>
      <c r="D46" s="3" t="n">
        <v>3</v>
      </c>
      <c r="E46" s="3" t="n">
        <v>3</v>
      </c>
      <c r="F46" s="3" t="n">
        <v>3</v>
      </c>
      <c r="G46" s="3" t="n">
        <v>3</v>
      </c>
      <c r="H46" s="3" t="n">
        <v>3</v>
      </c>
      <c r="I46" s="3" t="n">
        <v>3</v>
      </c>
      <c r="J46" s="3" t="n">
        <v>3</v>
      </c>
      <c r="K46" s="3" t="n">
        <v>3</v>
      </c>
      <c r="L46" s="3" t="n">
        <v>3</v>
      </c>
    </row>
    <row r="47" customFormat="false" ht="15" hidden="false" customHeight="false" outlineLevel="0" collapsed="false">
      <c r="A47" s="0" t="s">
        <v>108</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109</v>
      </c>
      <c r="B48" s="3" t="n">
        <v>8.5</v>
      </c>
    </row>
    <row r="49" customFormat="false" ht="15" hidden="false" customHeight="false" outlineLevel="0" collapsed="false">
      <c r="A49" s="0" t="s">
        <v>110</v>
      </c>
      <c r="B49" s="3" t="n">
        <v>2.5</v>
      </c>
    </row>
    <row r="50" customFormat="false" ht="15" hidden="false" customHeight="false" outlineLevel="0" collapsed="false">
      <c r="A50" s="0" t="s">
        <v>111</v>
      </c>
      <c r="B50" s="3" t="n">
        <v>15</v>
      </c>
    </row>
    <row r="51" customFormat="false" ht="15" hidden="false" customHeight="false" outlineLevel="0" collapsed="false">
      <c r="A51" s="0" t="s">
        <v>112</v>
      </c>
      <c r="B51" s="3" t="n">
        <v>-15</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-1</v>
      </c>
      <c r="D5" s="4" t="n">
        <f aca="false">Assumptions!D13</f>
        <v>1</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3535</v>
      </c>
      <c r="C6" s="0" t="n">
        <f aca="false">B6*(1+C5/100)</f>
        <v>3499.65</v>
      </c>
      <c r="D6" s="0" t="n">
        <f aca="false">C6*(1+D5/100)</f>
        <v>3534.6465</v>
      </c>
      <c r="E6" s="0" t="n">
        <f aca="false">D6*(1+E5/100)</f>
        <v>3605.33943</v>
      </c>
      <c r="F6" s="0" t="n">
        <f aca="false">E6*(1+F5/100)</f>
        <v>3677.4462186</v>
      </c>
      <c r="G6" s="0" t="n">
        <f aca="false">F6*(1+G5/100)</f>
        <v>3750.995142972</v>
      </c>
      <c r="H6" s="0" t="n">
        <f aca="false">G6*(1+H5/100)</f>
        <v>3826.01504583144</v>
      </c>
      <c r="I6" s="0" t="n">
        <f aca="false">H6*(1+I5/100)</f>
        <v>3902.53534674807</v>
      </c>
      <c r="J6" s="0" t="n">
        <f aca="false">I6*(1+J5/100)</f>
        <v>3980.58605368303</v>
      </c>
      <c r="K6" s="0" t="n">
        <f aca="false">J6*(1+K5/100)</f>
        <v>4060.19777475669</v>
      </c>
      <c r="L6" s="0" t="n">
        <f aca="false">K6*(1+L5/100)</f>
        <v>4141.40173025183</v>
      </c>
    </row>
    <row r="7" customFormat="false" ht="15" hidden="false" customHeight="false" outlineLevel="0" collapsed="false">
      <c r="A7" s="0" t="s">
        <v>103</v>
      </c>
      <c r="C7" s="4" t="n">
        <f aca="false">Assumptions!C14</f>
        <v>14.5</v>
      </c>
      <c r="D7" s="4" t="n">
        <f aca="false">Assumptions!D14</f>
        <v>14.5</v>
      </c>
      <c r="E7" s="4" t="n">
        <f aca="false">Assumptions!E14</f>
        <v>15</v>
      </c>
      <c r="F7" s="4" t="n">
        <f aca="false">Assumptions!F14</f>
        <v>15</v>
      </c>
      <c r="G7" s="4" t="n">
        <f aca="false">Assumptions!G14</f>
        <v>15</v>
      </c>
      <c r="H7" s="4" t="n">
        <f aca="false">Assumptions!H14</f>
        <v>15</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44</v>
      </c>
      <c r="C8" s="0" t="n">
        <f aca="false">C6*C7/100</f>
        <v>507.44925</v>
      </c>
      <c r="D8" s="0" t="n">
        <f aca="false">D6*D7/100</f>
        <v>512.5237425</v>
      </c>
      <c r="E8" s="0" t="n">
        <f aca="false">E6*E7/100</f>
        <v>540.8009145</v>
      </c>
      <c r="F8" s="0" t="n">
        <f aca="false">F6*F7/100</f>
        <v>551.61693279</v>
      </c>
      <c r="G8" s="0" t="n">
        <f aca="false">G6*G7/100</f>
        <v>562.6492714458</v>
      </c>
      <c r="H8" s="0" t="n">
        <f aca="false">H6*H7/100</f>
        <v>573.902256874716</v>
      </c>
      <c r="I8" s="0" t="n">
        <f aca="false">I6*I7/100</f>
        <v>585.38030201221</v>
      </c>
      <c r="J8" s="0" t="n">
        <f aca="false">J6*J7/100</f>
        <v>597.087908052455</v>
      </c>
      <c r="K8" s="0" t="n">
        <f aca="false">K6*K7/100</f>
        <v>609.029666213504</v>
      </c>
      <c r="L8" s="0" t="n">
        <f aca="false">L6*L7/100</f>
        <v>621.210259537774</v>
      </c>
    </row>
    <row r="9" customFormat="false" ht="15" hidden="false" customHeight="false" outlineLevel="0" collapsed="false">
      <c r="A9" s="0" t="s">
        <v>104</v>
      </c>
      <c r="C9" s="4" t="n">
        <f aca="false">Assumptions!C15</f>
        <v>0.3</v>
      </c>
      <c r="D9" s="4" t="n">
        <f aca="false">Assumptions!D15</f>
        <v>0.3</v>
      </c>
      <c r="E9" s="4" t="n">
        <f aca="false">Assumptions!E15</f>
        <v>0.3</v>
      </c>
      <c r="F9" s="4" t="n">
        <f aca="false">Assumptions!F15</f>
        <v>0.3</v>
      </c>
      <c r="G9" s="4" t="n">
        <f aca="false">Assumptions!G15</f>
        <v>0.3</v>
      </c>
      <c r="H9" s="4" t="n">
        <f aca="false">Assumptions!H15</f>
        <v>0.3</v>
      </c>
      <c r="I9" s="4" t="n">
        <f aca="false">Assumptions!I15</f>
        <v>0.3</v>
      </c>
      <c r="J9" s="4" t="n">
        <f aca="false">Assumptions!J15</f>
        <v>0.3</v>
      </c>
      <c r="K9" s="4" t="n">
        <f aca="false">Assumptions!K15</f>
        <v>0.3</v>
      </c>
      <c r="L9" s="4" t="n">
        <f aca="false">Assumptions!L15</f>
        <v>0.3</v>
      </c>
    </row>
    <row r="10" customFormat="false" ht="15" hidden="false" customHeight="false" outlineLevel="0" collapsed="false">
      <c r="A10" s="0" t="s">
        <v>119</v>
      </c>
      <c r="C10" s="0" t="n">
        <f aca="false">-C6*C9/100</f>
        <v>-10.49895</v>
      </c>
      <c r="D10" s="0" t="n">
        <f aca="false">-D6*D9/100</f>
        <v>-10.6039395</v>
      </c>
      <c r="E10" s="0" t="n">
        <f aca="false">-E6*E9/100</f>
        <v>-10.81601829</v>
      </c>
      <c r="F10" s="0" t="n">
        <f aca="false">-F6*F9/100</f>
        <v>-11.0323386558</v>
      </c>
      <c r="G10" s="0" t="n">
        <f aca="false">-G6*G9/100</f>
        <v>-11.252985428916</v>
      </c>
      <c r="H10" s="0" t="n">
        <f aca="false">-H6*H9/100</f>
        <v>-11.4780451374943</v>
      </c>
      <c r="I10" s="0" t="n">
        <f aca="false">-I6*I9/100</f>
        <v>-11.7076060402442</v>
      </c>
      <c r="J10" s="0" t="n">
        <f aca="false">-J6*J9/100</f>
        <v>-11.9417581610491</v>
      </c>
      <c r="K10" s="0" t="n">
        <f aca="false">-K6*K9/100</f>
        <v>-12.1805933242701</v>
      </c>
      <c r="L10" s="0" t="n">
        <f aca="false">-L6*L9/100</f>
        <v>-12.4242051907555</v>
      </c>
    </row>
    <row r="11" customFormat="false" ht="15" hidden="false" customHeight="false" outlineLevel="0" collapsed="false">
      <c r="A11" s="0" t="s">
        <v>120</v>
      </c>
      <c r="C11" s="0" t="n">
        <f aca="false">C8+C10+C24</f>
        <v>496.9503</v>
      </c>
      <c r="D11" s="0" t="n">
        <f aca="false">D8+D10+D24</f>
        <v>501.919803</v>
      </c>
      <c r="E11" s="0" t="n">
        <f aca="false">E8+E10+E24</f>
        <v>529.98489621</v>
      </c>
      <c r="F11" s="0" t="n">
        <f aca="false">F8+F10+F24</f>
        <v>540.5845941342</v>
      </c>
      <c r="G11" s="0" t="n">
        <f aca="false">G8+G10+G24</f>
        <v>551.396286016884</v>
      </c>
      <c r="H11" s="0" t="n">
        <f aca="false">H8+H10+H24</f>
        <v>562.424211737222</v>
      </c>
      <c r="I11" s="0" t="n">
        <f aca="false">I8+I10+I24</f>
        <v>573.672695971966</v>
      </c>
      <c r="J11" s="0" t="n">
        <f aca="false">J8+J10+J24</f>
        <v>585.146149891406</v>
      </c>
      <c r="K11" s="0" t="n">
        <f aca="false">K8+K10+K24</f>
        <v>596.849072889234</v>
      </c>
      <c r="L11" s="0" t="n">
        <f aca="false">L8+L10+L24</f>
        <v>608.786054347018</v>
      </c>
    </row>
    <row r="12" customFormat="false" ht="15" hidden="false" customHeight="false" outlineLevel="0" collapsed="false">
      <c r="A12" s="0" t="s">
        <v>121</v>
      </c>
      <c r="C12" s="4" t="n">
        <f aca="false">-C6*Assumptions!C17/100</f>
        <v>-90.9909</v>
      </c>
      <c r="D12" s="4" t="n">
        <f aca="false">-D6*Assumptions!D17/100</f>
        <v>-91.900809</v>
      </c>
      <c r="E12" s="4" t="n">
        <f aca="false">-E6*Assumptions!E17/100</f>
        <v>-93.73882518</v>
      </c>
      <c r="F12" s="4" t="n">
        <f aca="false">-F6*Assumptions!F17/100</f>
        <v>-95.6136016836</v>
      </c>
      <c r="G12" s="4" t="n">
        <f aca="false">-G6*Assumptions!G17/100</f>
        <v>-97.525873717272</v>
      </c>
      <c r="H12" s="4" t="n">
        <f aca="false">-H6*Assumptions!H17/100</f>
        <v>-99.4763911916175</v>
      </c>
      <c r="I12" s="4" t="n">
        <f aca="false">-I6*Assumptions!I17/100</f>
        <v>-101.46591901545</v>
      </c>
      <c r="J12" s="4" t="n">
        <f aca="false">-J6*Assumptions!J17/100</f>
        <v>-103.495237395759</v>
      </c>
      <c r="K12" s="4" t="n">
        <f aca="false">-K6*Assumptions!K17/100</f>
        <v>-105.565142143674</v>
      </c>
      <c r="L12" s="4" t="n">
        <f aca="false">-L6*Assumptions!L17/100</f>
        <v>-107.676444986547</v>
      </c>
    </row>
    <row r="13" customFormat="false" ht="15" hidden="false" customHeight="false" outlineLevel="0" collapsed="false">
      <c r="A13" s="0" t="s">
        <v>122</v>
      </c>
      <c r="C13" s="0" t="n">
        <f aca="false">C11+C12</f>
        <v>405.9594</v>
      </c>
      <c r="D13" s="0" t="n">
        <f aca="false">D11+D12</f>
        <v>410.018994</v>
      </c>
      <c r="E13" s="0" t="n">
        <f aca="false">E11+E12</f>
        <v>436.24607103</v>
      </c>
      <c r="F13" s="0" t="n">
        <f aca="false">F11+F12</f>
        <v>444.9709924506</v>
      </c>
      <c r="G13" s="0" t="n">
        <f aca="false">G11+G12</f>
        <v>453.870412299612</v>
      </c>
      <c r="H13" s="0" t="n">
        <f aca="false">H11+H12</f>
        <v>462.947820545604</v>
      </c>
      <c r="I13" s="0" t="n">
        <f aca="false">I11+I12</f>
        <v>472.206776956517</v>
      </c>
      <c r="J13" s="0" t="n">
        <f aca="false">J11+J12</f>
        <v>481.650912495647</v>
      </c>
      <c r="K13" s="0" t="n">
        <f aca="false">K11+K12</f>
        <v>491.28393074556</v>
      </c>
      <c r="L13" s="0" t="n">
        <f aca="false">L11+L12</f>
        <v>501.109609360471</v>
      </c>
    </row>
    <row r="14" customFormat="false" ht="15" hidden="false" customHeight="false" outlineLevel="0" collapsed="false">
      <c r="A14" s="0" t="s">
        <v>108</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123</v>
      </c>
      <c r="C15" s="0" t="n">
        <f aca="false">C13-MAX(0,C13)*C14/100</f>
        <v>284.17158</v>
      </c>
      <c r="D15" s="0" t="n">
        <f aca="false">D13-MAX(0,D13)*D14/100</f>
        <v>287.0132958</v>
      </c>
      <c r="E15" s="0" t="n">
        <f aca="false">E13-MAX(0,E13)*E14/100</f>
        <v>305.372249721</v>
      </c>
      <c r="F15" s="0" t="n">
        <f aca="false">F13-MAX(0,F13)*F14/100</f>
        <v>311.47969471542</v>
      </c>
      <c r="G15" s="0" t="n">
        <f aca="false">G13-MAX(0,G13)*G14/100</f>
        <v>317.709288609728</v>
      </c>
      <c r="H15" s="0" t="n">
        <f aca="false">H13-MAX(0,H13)*H14/100</f>
        <v>324.063474381923</v>
      </c>
      <c r="I15" s="0" t="n">
        <f aca="false">I13-MAX(0,I13)*I14/100</f>
        <v>330.544743869562</v>
      </c>
      <c r="J15" s="0" t="n">
        <f aca="false">J13-MAX(0,J13)*J14/100</f>
        <v>337.155638746953</v>
      </c>
      <c r="K15" s="0" t="n">
        <f aca="false">K13-MAX(0,K13)*K14/100</f>
        <v>343.898751521892</v>
      </c>
      <c r="L15" s="0" t="n">
        <f aca="false">L13-MAX(0,L13)*L14/100</f>
        <v>350.77672655233</v>
      </c>
    </row>
    <row r="16" customFormat="false" ht="15" hidden="false" customHeight="false" outlineLevel="0" collapsed="false">
      <c r="A16" s="0" t="s">
        <v>124</v>
      </c>
      <c r="C16" s="0" t="n">
        <f aca="false">-C12</f>
        <v>90.9909</v>
      </c>
      <c r="D16" s="0" t="n">
        <f aca="false">-D12</f>
        <v>91.900809</v>
      </c>
      <c r="E16" s="0" t="n">
        <f aca="false">-E12</f>
        <v>93.73882518</v>
      </c>
      <c r="F16" s="0" t="n">
        <f aca="false">-F12</f>
        <v>95.6136016836</v>
      </c>
      <c r="G16" s="0" t="n">
        <f aca="false">-G12</f>
        <v>97.525873717272</v>
      </c>
      <c r="H16" s="0" t="n">
        <f aca="false">-H12</f>
        <v>99.4763911916175</v>
      </c>
      <c r="I16" s="0" t="n">
        <f aca="false">-I12</f>
        <v>101.46591901545</v>
      </c>
      <c r="J16" s="0" t="n">
        <f aca="false">-J12</f>
        <v>103.495237395759</v>
      </c>
      <c r="K16" s="0" t="n">
        <f aca="false">-K12</f>
        <v>105.565142143674</v>
      </c>
      <c r="L16" s="0" t="n">
        <f aca="false">-L12</f>
        <v>107.676444986547</v>
      </c>
    </row>
    <row r="17" customFormat="false" ht="15" hidden="false" customHeight="false" outlineLevel="0" collapsed="false">
      <c r="A17" s="0" t="s">
        <v>125</v>
      </c>
      <c r="C17" s="4" t="n">
        <f aca="false">-C6*Assumptions!C18/100</f>
        <v>-104.9895</v>
      </c>
      <c r="D17" s="4" t="n">
        <f aca="false">-D6*Assumptions!D18/100</f>
        <v>-106.039395</v>
      </c>
      <c r="E17" s="4" t="n">
        <f aca="false">-E6*Assumptions!E18/100</f>
        <v>-108.1601829</v>
      </c>
      <c r="F17" s="4" t="n">
        <f aca="false">-F6*Assumptions!F18/100</f>
        <v>-110.323386558</v>
      </c>
      <c r="G17" s="4" t="n">
        <f aca="false">-G6*Assumptions!G18/100</f>
        <v>-112.52985428916</v>
      </c>
      <c r="H17" s="4" t="n">
        <f aca="false">-H6*Assumptions!H18/100</f>
        <v>-114.780451374943</v>
      </c>
      <c r="I17" s="4" t="n">
        <f aca="false">-I6*Assumptions!I18/100</f>
        <v>-117.076060402442</v>
      </c>
      <c r="J17" s="4" t="n">
        <f aca="false">-J6*Assumptions!J18/100</f>
        <v>-119.417581610491</v>
      </c>
      <c r="K17" s="4" t="n">
        <f aca="false">-K6*Assumptions!K18/100</f>
        <v>-121.805933242701</v>
      </c>
      <c r="L17" s="4" t="n">
        <f aca="false">-L6*Assumptions!L18/100</f>
        <v>-124.242051907555</v>
      </c>
    </row>
    <row r="18" customFormat="false" ht="15" hidden="false" customHeight="false" outlineLevel="0" collapsed="false">
      <c r="A18" s="0" t="s">
        <v>126</v>
      </c>
      <c r="C18" s="4" t="n">
        <f aca="false">(C6-B6)*Assumptions!$B$23/100</f>
        <v>5.30249999999999</v>
      </c>
      <c r="D18" s="4" t="n">
        <f aca="false">(D6-C6)*Assumptions!$B$23/100</f>
        <v>-5.24947500000003</v>
      </c>
      <c r="E18" s="4" t="n">
        <f aca="false">(E6-D6)*Assumptions!$B$23/100</f>
        <v>-10.6039395</v>
      </c>
      <c r="F18" s="4" t="n">
        <f aca="false">(F6-E6)*Assumptions!$B$23/100</f>
        <v>-10.81601829</v>
      </c>
      <c r="G18" s="4" t="n">
        <f aca="false">(G6-F6)*Assumptions!$B$23/100</f>
        <v>-11.0323386558</v>
      </c>
      <c r="H18" s="4" t="n">
        <f aca="false">(H6-G6)*Assumptions!$B$23/100</f>
        <v>-11.252985428916</v>
      </c>
      <c r="I18" s="4" t="n">
        <f aca="false">(I6-H6)*Assumptions!$B$23/100</f>
        <v>-11.4780451374943</v>
      </c>
      <c r="J18" s="4" t="n">
        <f aca="false">(J6-I6)*Assumptions!$B$23/100</f>
        <v>-11.7076060402442</v>
      </c>
      <c r="K18" s="4" t="n">
        <f aca="false">(K6-J6)*Assumptions!$B$23/100</f>
        <v>-11.9417581610491</v>
      </c>
      <c r="L18" s="4" t="n">
        <f aca="false">(L6-K6)*Assumptions!$B$23/100</f>
        <v>-12.1805933242701</v>
      </c>
    </row>
    <row r="19" customFormat="false" ht="15" hidden="false" customHeight="false" outlineLevel="0" collapsed="false">
      <c r="A19" s="0" t="s">
        <v>127</v>
      </c>
      <c r="C19" s="0" t="n">
        <f aca="false">C15+C16+C17+C18</f>
        <v>275.47548</v>
      </c>
      <c r="D19" s="0" t="n">
        <f aca="false">D15+D16+D17+D18</f>
        <v>267.6252348</v>
      </c>
      <c r="E19" s="0" t="n">
        <f aca="false">E15+E16+E17+E18</f>
        <v>280.346952501</v>
      </c>
      <c r="F19" s="0" t="n">
        <f aca="false">F15+F16+F17+F18</f>
        <v>285.95389155102</v>
      </c>
      <c r="G19" s="0" t="n">
        <f aca="false">G15+G16+G17+G18</f>
        <v>291.67296938204</v>
      </c>
      <c r="H19" s="0" t="n">
        <f aca="false">H15+H16+H17+H18</f>
        <v>297.506428769681</v>
      </c>
      <c r="I19" s="0" t="n">
        <f aca="false">I15+I16+I17+I18</f>
        <v>303.456557345075</v>
      </c>
      <c r="J19" s="0" t="n">
        <f aca="false">J15+J16+J17+J18</f>
        <v>309.525688491976</v>
      </c>
      <c r="K19" s="0" t="n">
        <f aca="false">K15+K16+K17+K18</f>
        <v>315.716202261816</v>
      </c>
      <c r="L19" s="0" t="n">
        <f aca="false">L15+L16+L17+L18</f>
        <v>322.030526307052</v>
      </c>
    </row>
    <row r="20" customFormat="false" ht="15" hidden="false" customHeight="false" outlineLevel="0" collapsed="false">
      <c r="A20" s="0" t="s">
        <v>128</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129</v>
      </c>
      <c r="C21" s="0" t="n">
        <f aca="false">C19*C20</f>
        <v>253.894451612903</v>
      </c>
      <c r="D21" s="0" t="n">
        <f aca="false">D19*D20</f>
        <v>227.33567058124</v>
      </c>
      <c r="E21" s="0" t="n">
        <f aca="false">E19*E20</f>
        <v>219.485899483408</v>
      </c>
      <c r="F21" s="0" t="n">
        <f aca="false">F19*F20</f>
        <v>206.336974629563</v>
      </c>
      <c r="G21" s="0" t="n">
        <f aca="false">G19*G20</f>
        <v>193.975773384474</v>
      </c>
      <c r="H21" s="0" t="n">
        <f aca="false">H19*H20</f>
        <v>182.35510493287</v>
      </c>
      <c r="I21" s="0" t="n">
        <f aca="false">I19*I20</f>
        <v>171.430605559011</v>
      </c>
      <c r="J21" s="0" t="n">
        <f aca="false">J19*J20</f>
        <v>161.160569281282</v>
      </c>
      <c r="K21" s="0" t="n">
        <f aca="false">K19*K20</f>
        <v>151.505788633095</v>
      </c>
      <c r="L21" s="0" t="n">
        <f aca="false">L19*L20</f>
        <v>142.429404982264</v>
      </c>
    </row>
    <row r="23" customFormat="false" ht="15" hidden="false" customHeight="false" outlineLevel="0" collapsed="false">
      <c r="A23" s="0" t="s">
        <v>105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Assumptions!$B$20</f>
        <v>8.5</v>
      </c>
    </row>
    <row r="28" customFormat="false" ht="15" hidden="false" customHeight="false" outlineLevel="0" collapsed="false">
      <c r="A28" s="0" t="s">
        <v>110</v>
      </c>
      <c r="B28" s="4" t="n">
        <f aca="false">Assumptions!$B$21</f>
        <v>2</v>
      </c>
    </row>
    <row r="29" customFormat="false" ht="15" hidden="false" customHeight="false" outlineLevel="0" collapsed="false">
      <c r="A29" s="0" t="s">
        <v>111</v>
      </c>
      <c r="B29" s="4" t="n">
        <f aca="false">Assumptions!$B$22</f>
        <v>12</v>
      </c>
    </row>
    <row r="30" customFormat="false" ht="15" hidden="false" customHeight="false" outlineLevel="0" collapsed="false">
      <c r="A30" s="0" t="s">
        <v>132</v>
      </c>
      <c r="B30" s="0" t="n">
        <f aca="false">SUM(C21:L21)</f>
        <v>1909.91024308011</v>
      </c>
    </row>
    <row r="31" customFormat="false" ht="15" hidden="false" customHeight="false" outlineLevel="0" collapsed="false">
      <c r="A31" s="0" t="s">
        <v>133</v>
      </c>
      <c r="B31" s="0" t="n">
        <f aca="false">L19</f>
        <v>322.030526307052</v>
      </c>
    </row>
    <row r="32" customFormat="false" ht="15" hidden="false" customHeight="false" outlineLevel="0" collapsed="false">
      <c r="A32" s="0" t="s">
        <v>134</v>
      </c>
      <c r="B32" s="0" t="n">
        <f aca="false">IF(B27&gt;B28,B31*(1+B28/100)/((B27-B28)/100),B31*B29)</f>
        <v>5053.40210512605</v>
      </c>
    </row>
    <row r="33" customFormat="false" ht="15" hidden="false" customHeight="false" outlineLevel="0" collapsed="false">
      <c r="A33" s="0" t="s">
        <v>135</v>
      </c>
      <c r="B33" s="0" t="n">
        <f aca="false">B31*B29</f>
        <v>3864.36631568463</v>
      </c>
    </row>
    <row r="34" customFormat="false" ht="15" hidden="false" customHeight="false" outlineLevel="0" collapsed="false">
      <c r="A34" s="0" t="s">
        <v>136</v>
      </c>
      <c r="B34" s="0" t="n">
        <f aca="false">MAX(0,MIN(B32,B33))</f>
        <v>3864.36631568463</v>
      </c>
    </row>
    <row r="35" customFormat="false" ht="15" hidden="false" customHeight="false" outlineLevel="0" collapsed="false">
      <c r="A35" s="0" t="s">
        <v>137</v>
      </c>
      <c r="B35" s="0" t="n">
        <f aca="false">B34/(1+B27/100)^L4</f>
        <v>1709.15285978717</v>
      </c>
    </row>
    <row r="36" customFormat="false" ht="15" hidden="false" customHeight="false" outlineLevel="0" collapsed="false">
      <c r="A36" s="0" t="s">
        <v>138</v>
      </c>
      <c r="B36" s="0" t="n">
        <f aca="false">B30+B35</f>
        <v>3619.06310286728</v>
      </c>
    </row>
    <row r="37" customFormat="false" ht="15" hidden="false" customHeight="false" outlineLevel="0" collapsed="false">
      <c r="A37" s="0" t="s">
        <v>139</v>
      </c>
      <c r="B37" s="0" t="n">
        <f aca="false">B36+Assumptions!$B$5-Assumptions!$B$4</f>
        <v>2590.06310286728</v>
      </c>
    </row>
    <row r="38" customFormat="false" ht="15" hidden="false" customHeight="false" outlineLevel="0" collapsed="false">
      <c r="A38" s="0" t="s">
        <v>140</v>
      </c>
      <c r="B38" s="0" t="n">
        <f aca="false">B37/Assumptions!$B$3*Assumptions!$B$10</f>
        <v>14.7861760565885</v>
      </c>
    </row>
    <row r="39" customFormat="false" ht="15" hidden="false" customHeight="false" outlineLevel="0" collapsed="false">
      <c r="A39" s="0" t="s">
        <v>141</v>
      </c>
      <c r="B39" s="4" t="n">
        <f aca="false">B38/Assumptions!$B$2-1</f>
        <v>0.125279760775378</v>
      </c>
    </row>
    <row r="41" customFormat="false" ht="15" hidden="false" customHeight="false" outlineLevel="0" collapsed="false">
      <c r="A41" s="0" t="s">
        <v>142</v>
      </c>
      <c r="B41" s="0" t="n">
        <f aca="false">SUMPRODUCT(-C10:L10/(1+$B$27/100)^C4:L4)</f>
        <v>73.8036898398185</v>
      </c>
    </row>
    <row r="42" customFormat="false" ht="15" hidden="false" customHeight="false" outlineLevel="0" collapsed="false">
      <c r="A42" s="0" t="s">
        <v>143</v>
      </c>
      <c r="B42" s="0" t="n">
        <f aca="false">IF(B27&gt;B28,-L10*(1+B28/100)/((B27-B28)/100),-L10*20)/(1+B27/100)^L4</f>
        <v>86.2299329889657</v>
      </c>
    </row>
    <row r="43" customFormat="false" ht="15" hidden="false" customHeight="false" outlineLevel="0" collapsed="false">
      <c r="A43" s="0" t="s">
        <v>144</v>
      </c>
      <c r="B43" s="0" t="n">
        <f aca="false">(B37+B41+B42)/Assumptions!$B$3*Assumptions!$B$10</f>
        <v>15.6997774740599</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2526.70105256303</v>
      </c>
    </row>
    <row r="47" customFormat="false" ht="15" hidden="false" customHeight="false" outlineLevel="0" collapsed="false">
      <c r="A47" s="0" t="s">
        <v>146</v>
      </c>
      <c r="B47" s="0" t="n">
        <f aca="false">(SUMPRODUCT(C19:L19/(1+B45/100)^C4:L4)+B46/(1+B45/100)^L4+Assumptions!$B$5-Assumptions!$B$4)/Assumptions!$B$3*Assumptions!$B$10</f>
        <v>5.95738329150997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3</v>
      </c>
      <c r="D5" s="4" t="n">
        <f aca="false">Assumptions!D27</f>
        <v>4</v>
      </c>
      <c r="E5" s="4" t="n">
        <f aca="false">Assumptions!E27</f>
        <v>4</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3535</v>
      </c>
      <c r="C6" s="0" t="n">
        <f aca="false">B6*(1+C5/100)</f>
        <v>3641.05</v>
      </c>
      <c r="D6" s="0" t="n">
        <f aca="false">C6*(1+D5/100)</f>
        <v>3786.692</v>
      </c>
      <c r="E6" s="0" t="n">
        <f aca="false">D6*(1+E5/100)</f>
        <v>3938.15968</v>
      </c>
      <c r="F6" s="0" t="n">
        <f aca="false">E6*(1+F5/100)</f>
        <v>4095.6860672</v>
      </c>
      <c r="G6" s="0" t="n">
        <f aca="false">F6*(1+G5/100)</f>
        <v>4239.035079552</v>
      </c>
      <c r="H6" s="0" t="n">
        <f aca="false">G6*(1+H5/100)</f>
        <v>4387.40130733632</v>
      </c>
      <c r="I6" s="0" t="n">
        <f aca="false">H6*(1+I5/100)</f>
        <v>4519.02334655641</v>
      </c>
      <c r="J6" s="0" t="n">
        <f aca="false">I6*(1+J5/100)</f>
        <v>4654.5940469531</v>
      </c>
      <c r="K6" s="0" t="n">
        <f aca="false">J6*(1+K5/100)</f>
        <v>4770.95889812693</v>
      </c>
      <c r="L6" s="0" t="n">
        <f aca="false">K6*(1+L5/100)</f>
        <v>4890.2328705801</v>
      </c>
    </row>
    <row r="7" customFormat="false" ht="15" hidden="false" customHeight="false" outlineLevel="0" collapsed="false">
      <c r="A7" s="0" t="s">
        <v>103</v>
      </c>
      <c r="C7" s="4" t="n">
        <f aca="false">Assumptions!C28</f>
        <v>16.5</v>
      </c>
      <c r="D7" s="4" t="n">
        <f aca="false">Assumptions!D28</f>
        <v>17</v>
      </c>
      <c r="E7" s="4" t="n">
        <f aca="false">Assumptions!E28</f>
        <v>17.3</v>
      </c>
      <c r="F7" s="4" t="n">
        <f aca="false">Assumptions!F28</f>
        <v>17.5</v>
      </c>
      <c r="G7" s="4" t="n">
        <f aca="false">Assumptions!G28</f>
        <v>17.5</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44</v>
      </c>
      <c r="C8" s="0" t="n">
        <f aca="false">C6*C7/100</f>
        <v>600.77325</v>
      </c>
      <c r="D8" s="0" t="n">
        <f aca="false">D6*D7/100</f>
        <v>643.73764</v>
      </c>
      <c r="E8" s="0" t="n">
        <f aca="false">E6*E7/100</f>
        <v>681.30162464</v>
      </c>
      <c r="F8" s="0" t="n">
        <f aca="false">F6*F7/100</f>
        <v>716.74506176</v>
      </c>
      <c r="G8" s="0" t="n">
        <f aca="false">G6*G7/100</f>
        <v>741.8311389216</v>
      </c>
      <c r="H8" s="0" t="n">
        <f aca="false">H6*H7/100</f>
        <v>767.795228783856</v>
      </c>
      <c r="I8" s="0" t="n">
        <f aca="false">I6*I7/100</f>
        <v>790.829085647372</v>
      </c>
      <c r="J8" s="0" t="n">
        <f aca="false">J6*J7/100</f>
        <v>814.553958216793</v>
      </c>
      <c r="K8" s="0" t="n">
        <f aca="false">K6*K7/100</f>
        <v>834.917807172213</v>
      </c>
      <c r="L8" s="0" t="n">
        <f aca="false">L6*L7/100</f>
        <v>855.790752351518</v>
      </c>
    </row>
    <row r="9" customFormat="false" ht="15" hidden="false" customHeight="false" outlineLevel="0" collapsed="false">
      <c r="A9" s="0" t="s">
        <v>104</v>
      </c>
      <c r="C9" s="4" t="n">
        <f aca="false">Assumptions!C29</f>
        <v>0.3</v>
      </c>
      <c r="D9" s="4" t="n">
        <f aca="false">Assumptions!D29</f>
        <v>0.3</v>
      </c>
      <c r="E9" s="4" t="n">
        <f aca="false">Assumptions!E29</f>
        <v>0.3</v>
      </c>
      <c r="F9" s="4" t="n">
        <f aca="false">Assumptions!F29</f>
        <v>0.3</v>
      </c>
      <c r="G9" s="4" t="n">
        <f aca="false">Assumptions!G29</f>
        <v>0.3</v>
      </c>
      <c r="H9" s="4" t="n">
        <f aca="false">Assumptions!H29</f>
        <v>0.3</v>
      </c>
      <c r="I9" s="4" t="n">
        <f aca="false">Assumptions!I29</f>
        <v>0.3</v>
      </c>
      <c r="J9" s="4" t="n">
        <f aca="false">Assumptions!J29</f>
        <v>0.3</v>
      </c>
      <c r="K9" s="4" t="n">
        <f aca="false">Assumptions!K29</f>
        <v>0.3</v>
      </c>
      <c r="L9" s="4" t="n">
        <f aca="false">Assumptions!L29</f>
        <v>0.3</v>
      </c>
    </row>
    <row r="10" customFormat="false" ht="15" hidden="false" customHeight="false" outlineLevel="0" collapsed="false">
      <c r="A10" s="0" t="s">
        <v>119</v>
      </c>
      <c r="C10" s="0" t="n">
        <f aca="false">-C6*C9/100</f>
        <v>-10.92315</v>
      </c>
      <c r="D10" s="0" t="n">
        <f aca="false">-D6*D9/100</f>
        <v>-11.360076</v>
      </c>
      <c r="E10" s="0" t="n">
        <f aca="false">-E6*E9/100</f>
        <v>-11.81447904</v>
      </c>
      <c r="F10" s="0" t="n">
        <f aca="false">-F6*F9/100</f>
        <v>-12.2870582016</v>
      </c>
      <c r="G10" s="0" t="n">
        <f aca="false">-G6*G9/100</f>
        <v>-12.717105238656</v>
      </c>
      <c r="H10" s="0" t="n">
        <f aca="false">-H6*H9/100</f>
        <v>-13.162203922009</v>
      </c>
      <c r="I10" s="0" t="n">
        <f aca="false">-I6*I9/100</f>
        <v>-13.5570700396692</v>
      </c>
      <c r="J10" s="0" t="n">
        <f aca="false">-J6*J9/100</f>
        <v>-13.9637821408593</v>
      </c>
      <c r="K10" s="0" t="n">
        <f aca="false">-K6*K9/100</f>
        <v>-14.3128766943808</v>
      </c>
      <c r="L10" s="0" t="n">
        <f aca="false">-L6*L9/100</f>
        <v>-14.6706986117403</v>
      </c>
    </row>
    <row r="11" customFormat="false" ht="15" hidden="false" customHeight="false" outlineLevel="0" collapsed="false">
      <c r="A11" s="0" t="s">
        <v>120</v>
      </c>
      <c r="C11" s="0" t="n">
        <f aca="false">C8+C10+C24</f>
        <v>589.8501</v>
      </c>
      <c r="D11" s="0" t="n">
        <f aca="false">D8+D10+D24</f>
        <v>632.377564</v>
      </c>
      <c r="E11" s="0" t="n">
        <f aca="false">E8+E10+E24</f>
        <v>669.4871456</v>
      </c>
      <c r="F11" s="0" t="n">
        <f aca="false">F8+F10+F24</f>
        <v>704.4580035584</v>
      </c>
      <c r="G11" s="0" t="n">
        <f aca="false">G8+G10+G24</f>
        <v>729.114033682944</v>
      </c>
      <c r="H11" s="0" t="n">
        <f aca="false">H8+H10+H24</f>
        <v>754.633024861847</v>
      </c>
      <c r="I11" s="0" t="n">
        <f aca="false">I8+I10+I24</f>
        <v>777.272015607702</v>
      </c>
      <c r="J11" s="0" t="n">
        <f aca="false">J8+J10+J24</f>
        <v>800.590176075934</v>
      </c>
      <c r="K11" s="0" t="n">
        <f aca="false">K8+K10+K24</f>
        <v>820.604930477832</v>
      </c>
      <c r="L11" s="0" t="n">
        <f aca="false">L8+L10+L24</f>
        <v>841.120053739778</v>
      </c>
    </row>
    <row r="12" customFormat="false" ht="15" hidden="false" customHeight="false" outlineLevel="0" collapsed="false">
      <c r="A12" s="0" t="s">
        <v>121</v>
      </c>
      <c r="C12" s="4" t="n">
        <f aca="false">-C6*Assumptions!C31/100</f>
        <v>-94.6673</v>
      </c>
      <c r="D12" s="4" t="n">
        <f aca="false">-D6*Assumptions!D31/100</f>
        <v>-98.453992</v>
      </c>
      <c r="E12" s="4" t="n">
        <f aca="false">-E6*Assumptions!E31/100</f>
        <v>-102.39215168</v>
      </c>
      <c r="F12" s="4" t="n">
        <f aca="false">-F6*Assumptions!F31/100</f>
        <v>-106.4878377472</v>
      </c>
      <c r="G12" s="4" t="n">
        <f aca="false">-G6*Assumptions!G31/100</f>
        <v>-110.214912068352</v>
      </c>
      <c r="H12" s="4" t="n">
        <f aca="false">-H6*Assumptions!H31/100</f>
        <v>-114.072433990744</v>
      </c>
      <c r="I12" s="4" t="n">
        <f aca="false">-I6*Assumptions!I31/100</f>
        <v>-117.494607010467</v>
      </c>
      <c r="J12" s="4" t="n">
        <f aca="false">-J6*Assumptions!J31/100</f>
        <v>-121.019445220781</v>
      </c>
      <c r="K12" s="4" t="n">
        <f aca="false">-K6*Assumptions!K31/100</f>
        <v>-124.0449313513</v>
      </c>
      <c r="L12" s="4" t="n">
        <f aca="false">-L6*Assumptions!L31/100</f>
        <v>-127.146054635083</v>
      </c>
    </row>
    <row r="13" customFormat="false" ht="15" hidden="false" customHeight="false" outlineLevel="0" collapsed="false">
      <c r="A13" s="0" t="s">
        <v>122</v>
      </c>
      <c r="C13" s="0" t="n">
        <f aca="false">C11+C12</f>
        <v>495.1828</v>
      </c>
      <c r="D13" s="0" t="n">
        <f aca="false">D11+D12</f>
        <v>533.923572</v>
      </c>
      <c r="E13" s="0" t="n">
        <f aca="false">E11+E12</f>
        <v>567.09499392</v>
      </c>
      <c r="F13" s="0" t="n">
        <f aca="false">F11+F12</f>
        <v>597.9701658112</v>
      </c>
      <c r="G13" s="0" t="n">
        <f aca="false">G11+G12</f>
        <v>618.899121614592</v>
      </c>
      <c r="H13" s="0" t="n">
        <f aca="false">H11+H12</f>
        <v>640.560590871103</v>
      </c>
      <c r="I13" s="0" t="n">
        <f aca="false">I11+I12</f>
        <v>659.777408597236</v>
      </c>
      <c r="J13" s="0" t="n">
        <f aca="false">J11+J12</f>
        <v>679.570730855153</v>
      </c>
      <c r="K13" s="0" t="n">
        <f aca="false">K11+K12</f>
        <v>696.559999126532</v>
      </c>
      <c r="L13" s="0" t="n">
        <f aca="false">L11+L12</f>
        <v>713.973999104695</v>
      </c>
    </row>
    <row r="14" customFormat="false" ht="15" hidden="false" customHeight="false" outlineLevel="0" collapsed="false">
      <c r="A14" s="0" t="s">
        <v>108</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123</v>
      </c>
      <c r="C15" s="0" t="n">
        <f aca="false">C13-MAX(0,C13)*C14/100</f>
        <v>346.62796</v>
      </c>
      <c r="D15" s="0" t="n">
        <f aca="false">D13-MAX(0,D13)*D14/100</f>
        <v>373.7465004</v>
      </c>
      <c r="E15" s="0" t="n">
        <f aca="false">E13-MAX(0,E13)*E14/100</f>
        <v>396.966495744</v>
      </c>
      <c r="F15" s="0" t="n">
        <f aca="false">F13-MAX(0,F13)*F14/100</f>
        <v>418.57911606784</v>
      </c>
      <c r="G15" s="0" t="n">
        <f aca="false">G13-MAX(0,G13)*G14/100</f>
        <v>433.229385130215</v>
      </c>
      <c r="H15" s="0" t="n">
        <f aca="false">H13-MAX(0,H13)*H14/100</f>
        <v>448.392413609772</v>
      </c>
      <c r="I15" s="0" t="n">
        <f aca="false">I13-MAX(0,I13)*I14/100</f>
        <v>461.844186018065</v>
      </c>
      <c r="J15" s="0" t="n">
        <f aca="false">J13-MAX(0,J13)*J14/100</f>
        <v>475.699511598607</v>
      </c>
      <c r="K15" s="0" t="n">
        <f aca="false">K13-MAX(0,K13)*K14/100</f>
        <v>487.591999388572</v>
      </c>
      <c r="L15" s="0" t="n">
        <f aca="false">L13-MAX(0,L13)*L14/100</f>
        <v>499.781799373287</v>
      </c>
    </row>
    <row r="16" customFormat="false" ht="15" hidden="false" customHeight="false" outlineLevel="0" collapsed="false">
      <c r="A16" s="0" t="s">
        <v>124</v>
      </c>
      <c r="C16" s="0" t="n">
        <f aca="false">-C12</f>
        <v>94.6673</v>
      </c>
      <c r="D16" s="0" t="n">
        <f aca="false">-D12</f>
        <v>98.453992</v>
      </c>
      <c r="E16" s="0" t="n">
        <f aca="false">-E12</f>
        <v>102.39215168</v>
      </c>
      <c r="F16" s="0" t="n">
        <f aca="false">-F12</f>
        <v>106.4878377472</v>
      </c>
      <c r="G16" s="0" t="n">
        <f aca="false">-G12</f>
        <v>110.214912068352</v>
      </c>
      <c r="H16" s="0" t="n">
        <f aca="false">-H12</f>
        <v>114.072433990744</v>
      </c>
      <c r="I16" s="0" t="n">
        <f aca="false">-I12</f>
        <v>117.494607010467</v>
      </c>
      <c r="J16" s="0" t="n">
        <f aca="false">-J12</f>
        <v>121.019445220781</v>
      </c>
      <c r="K16" s="0" t="n">
        <f aca="false">-K12</f>
        <v>124.0449313513</v>
      </c>
      <c r="L16" s="0" t="n">
        <f aca="false">-L12</f>
        <v>127.146054635083</v>
      </c>
    </row>
    <row r="17" customFormat="false" ht="15" hidden="false" customHeight="false" outlineLevel="0" collapsed="false">
      <c r="A17" s="0" t="s">
        <v>125</v>
      </c>
      <c r="C17" s="4" t="n">
        <f aca="false">-C6*Assumptions!C32/100</f>
        <v>-109.2315</v>
      </c>
      <c r="D17" s="4" t="n">
        <f aca="false">-D6*Assumptions!D32/100</f>
        <v>-113.60076</v>
      </c>
      <c r="E17" s="4" t="n">
        <f aca="false">-E6*Assumptions!E32/100</f>
        <v>-118.1447904</v>
      </c>
      <c r="F17" s="4" t="n">
        <f aca="false">-F6*Assumptions!F32/100</f>
        <v>-122.870582016</v>
      </c>
      <c r="G17" s="4" t="n">
        <f aca="false">-G6*Assumptions!G32/100</f>
        <v>-127.17105238656</v>
      </c>
      <c r="H17" s="4" t="n">
        <f aca="false">-H6*Assumptions!H32/100</f>
        <v>-131.62203922009</v>
      </c>
      <c r="I17" s="4" t="n">
        <f aca="false">-I6*Assumptions!I32/100</f>
        <v>-135.570700396692</v>
      </c>
      <c r="J17" s="4" t="n">
        <f aca="false">-J6*Assumptions!J32/100</f>
        <v>-139.637821408593</v>
      </c>
      <c r="K17" s="4" t="n">
        <f aca="false">-K6*Assumptions!K32/100</f>
        <v>-143.128766943808</v>
      </c>
      <c r="L17" s="4" t="n">
        <f aca="false">-L6*Assumptions!L32/100</f>
        <v>-146.706986117403</v>
      </c>
    </row>
    <row r="18" customFormat="false" ht="15" hidden="false" customHeight="false" outlineLevel="0" collapsed="false">
      <c r="A18" s="0" t="s">
        <v>126</v>
      </c>
      <c r="C18" s="4" t="n">
        <f aca="false">(C6-B6)*Assumptions!$B$37/100</f>
        <v>-15.9075</v>
      </c>
      <c r="D18" s="4" t="n">
        <f aca="false">(D6-C6)*Assumptions!$B$37/100</f>
        <v>-21.8463</v>
      </c>
      <c r="E18" s="4" t="n">
        <f aca="false">(E6-D6)*Assumptions!$B$37/100</f>
        <v>-22.720152</v>
      </c>
      <c r="F18" s="4" t="n">
        <f aca="false">(F6-E6)*Assumptions!$B$37/100</f>
        <v>-23.62895808</v>
      </c>
      <c r="G18" s="4" t="n">
        <f aca="false">(G6-F6)*Assumptions!$B$37/100</f>
        <v>-21.5023518528</v>
      </c>
      <c r="H18" s="4" t="n">
        <f aca="false">(H6-G6)*Assumptions!$B$37/100</f>
        <v>-22.2549341676479</v>
      </c>
      <c r="I18" s="4" t="n">
        <f aca="false">(I6-H6)*Assumptions!$B$37/100</f>
        <v>-19.7433058830134</v>
      </c>
      <c r="J18" s="4" t="n">
        <f aca="false">(J6-I6)*Assumptions!$B$37/100</f>
        <v>-20.3356050595039</v>
      </c>
      <c r="K18" s="4" t="n">
        <f aca="false">(K6-J6)*Assumptions!$B$37/100</f>
        <v>-17.4547276760741</v>
      </c>
      <c r="L18" s="4" t="n">
        <f aca="false">(L6-K6)*Assumptions!$B$37/100</f>
        <v>-17.8910958679759</v>
      </c>
    </row>
    <row r="19" customFormat="false" ht="15" hidden="false" customHeight="false" outlineLevel="0" collapsed="false">
      <c r="A19" s="0" t="s">
        <v>127</v>
      </c>
      <c r="C19" s="0" t="n">
        <f aca="false">C15+C16+C17+C18</f>
        <v>316.15626</v>
      </c>
      <c r="D19" s="0" t="n">
        <f aca="false">D15+D16+D17+D18</f>
        <v>336.7534324</v>
      </c>
      <c r="E19" s="0" t="n">
        <f aca="false">E15+E16+E17+E18</f>
        <v>358.493705024</v>
      </c>
      <c r="F19" s="0" t="n">
        <f aca="false">F15+F16+F17+F18</f>
        <v>378.56741371904</v>
      </c>
      <c r="G19" s="0" t="n">
        <f aca="false">G15+G16+G17+G18</f>
        <v>394.770892959207</v>
      </c>
      <c r="H19" s="0" t="n">
        <f aca="false">H15+H16+H17+H18</f>
        <v>408.587874212779</v>
      </c>
      <c r="I19" s="0" t="n">
        <f aca="false">I15+I16+I17+I18</f>
        <v>424.024786748826</v>
      </c>
      <c r="J19" s="0" t="n">
        <f aca="false">J15+J16+J17+J18</f>
        <v>436.745530351291</v>
      </c>
      <c r="K19" s="0" t="n">
        <f aca="false">K15+K16+K17+K18</f>
        <v>451.05343611999</v>
      </c>
      <c r="L19" s="0" t="n">
        <f aca="false">L15+L16+L17+L18</f>
        <v>462.32977202299</v>
      </c>
    </row>
    <row r="20" customFormat="false" ht="15" hidden="false" customHeight="false" outlineLevel="0" collapsed="false">
      <c r="A20" s="0" t="s">
        <v>128</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129</v>
      </c>
      <c r="C21" s="0" t="n">
        <f aca="false">C19*C20</f>
        <v>291.388258064516</v>
      </c>
      <c r="D21" s="0" t="n">
        <f aca="false">D19*D20</f>
        <v>286.056983499331</v>
      </c>
      <c r="E21" s="0" t="n">
        <f aca="false">E19*E20</f>
        <v>280.667624899727</v>
      </c>
      <c r="F21" s="0" t="n">
        <f aca="false">F19*F20</f>
        <v>273.164510601487</v>
      </c>
      <c r="G21" s="0" t="n">
        <f aca="false">G19*G20</f>
        <v>262.540575610009</v>
      </c>
      <c r="H21" s="0" t="n">
        <f aca="false">H19*H20</f>
        <v>250.441931572682</v>
      </c>
      <c r="I21" s="0" t="n">
        <f aca="false">I19*I20</f>
        <v>239.542775415203</v>
      </c>
      <c r="J21" s="0" t="n">
        <f aca="false">J19*J20</f>
        <v>227.400054080791</v>
      </c>
      <c r="K21" s="0" t="n">
        <f aca="false">K19*K20</f>
        <v>216.45137647499</v>
      </c>
      <c r="L21" s="0" t="n">
        <f aca="false">L19*L20</f>
        <v>204.481715103101</v>
      </c>
    </row>
    <row r="23" customFormat="false" ht="15" hidden="false" customHeight="false" outlineLevel="0" collapsed="false">
      <c r="A23" s="0" t="s">
        <v>105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Assumptions!$B$34</f>
        <v>8.5</v>
      </c>
    </row>
    <row r="28" customFormat="false" ht="15" hidden="false" customHeight="false" outlineLevel="0" collapsed="false">
      <c r="A28" s="0" t="s">
        <v>110</v>
      </c>
      <c r="B28" s="4" t="n">
        <f aca="false">Assumptions!$B$35</f>
        <v>2.5</v>
      </c>
    </row>
    <row r="29" customFormat="false" ht="15" hidden="false" customHeight="false" outlineLevel="0" collapsed="false">
      <c r="A29" s="0" t="s">
        <v>111</v>
      </c>
      <c r="B29" s="4" t="n">
        <f aca="false">Assumptions!$B$36</f>
        <v>14</v>
      </c>
    </row>
    <row r="30" customFormat="false" ht="15" hidden="false" customHeight="false" outlineLevel="0" collapsed="false">
      <c r="A30" s="0" t="s">
        <v>132</v>
      </c>
      <c r="B30" s="0" t="n">
        <f aca="false">SUM(C21:L21)</f>
        <v>2532.13580532184</v>
      </c>
    </row>
    <row r="31" customFormat="false" ht="15" hidden="false" customHeight="false" outlineLevel="0" collapsed="false">
      <c r="A31" s="0" t="s">
        <v>133</v>
      </c>
      <c r="B31" s="0" t="n">
        <f aca="false">L19</f>
        <v>462.32977202299</v>
      </c>
    </row>
    <row r="32" customFormat="false" ht="15" hidden="false" customHeight="false" outlineLevel="0" collapsed="false">
      <c r="A32" s="0" t="s">
        <v>134</v>
      </c>
      <c r="B32" s="0" t="n">
        <f aca="false">IF(B27&gt;B28,B31*(1+B28/100)/((B27-B28)/100),B31*B29)</f>
        <v>7898.13360539275</v>
      </c>
    </row>
    <row r="33" customFormat="false" ht="15" hidden="false" customHeight="false" outlineLevel="0" collapsed="false">
      <c r="A33" s="0" t="s">
        <v>135</v>
      </c>
      <c r="B33" s="0" t="n">
        <f aca="false">B31*B29</f>
        <v>6472.61680832186</v>
      </c>
    </row>
    <row r="34" customFormat="false" ht="15" hidden="false" customHeight="false" outlineLevel="0" collapsed="false">
      <c r="A34" s="0" t="s">
        <v>136</v>
      </c>
      <c r="B34" s="0" t="n">
        <f aca="false">MAX(0,MIN(B32,B33))</f>
        <v>6472.61680832186</v>
      </c>
    </row>
    <row r="35" customFormat="false" ht="15" hidden="false" customHeight="false" outlineLevel="0" collapsed="false">
      <c r="A35" s="0" t="s">
        <v>137</v>
      </c>
      <c r="B35" s="0" t="n">
        <f aca="false">B34/(1+B27/100)^L4</f>
        <v>2862.74401144342</v>
      </c>
    </row>
    <row r="36" customFormat="false" ht="15" hidden="false" customHeight="false" outlineLevel="0" collapsed="false">
      <c r="A36" s="0" t="s">
        <v>138</v>
      </c>
      <c r="B36" s="0" t="n">
        <f aca="false">B30+B35</f>
        <v>5394.87981676526</v>
      </c>
    </row>
    <row r="37" customFormat="false" ht="15" hidden="false" customHeight="false" outlineLevel="0" collapsed="false">
      <c r="A37" s="0" t="s">
        <v>139</v>
      </c>
      <c r="B37" s="0" t="n">
        <f aca="false">B36+Assumptions!$B$5-Assumptions!$B$4</f>
        <v>4365.87981676526</v>
      </c>
    </row>
    <row r="38" customFormat="false" ht="15" hidden="false" customHeight="false" outlineLevel="0" collapsed="false">
      <c r="A38" s="0" t="s">
        <v>140</v>
      </c>
      <c r="B38" s="0" t="n">
        <f aca="false">B37/Assumptions!$B$3*Assumptions!$B$10</f>
        <v>24.9239748410505</v>
      </c>
    </row>
    <row r="39" customFormat="false" ht="15" hidden="false" customHeight="false" outlineLevel="0" collapsed="false">
      <c r="A39" s="0" t="s">
        <v>141</v>
      </c>
      <c r="B39" s="4" t="n">
        <f aca="false">B38/Assumptions!$B$2-1</f>
        <v>0.896801738283901</v>
      </c>
    </row>
    <row r="41" customFormat="false" ht="15" hidden="false" customHeight="false" outlineLevel="0" collapsed="false">
      <c r="A41" s="0" t="s">
        <v>142</v>
      </c>
      <c r="B41" s="0" t="n">
        <f aca="false">SUMPRODUCT(-C10:L10/(1+$B$27/100)^C4:L4)</f>
        <v>82.6444889152554</v>
      </c>
    </row>
    <row r="42" customFormat="false" ht="15" hidden="false" customHeight="false" outlineLevel="0" collapsed="false">
      <c r="A42" s="0" t="s">
        <v>143</v>
      </c>
      <c r="B42" s="0" t="n">
        <f aca="false">IF(B27&gt;B28,-L10*(1+B28/100)/((B27-B28)/100),-L10*20)/(1+B27/100)^L4</f>
        <v>110.847532083069</v>
      </c>
    </row>
    <row r="43" customFormat="false" ht="15" hidden="false" customHeight="false" outlineLevel="0" collapsed="false">
      <c r="A43" s="0" t="s">
        <v>144</v>
      </c>
      <c r="B43" s="0" t="n">
        <f aca="false">(B37+B41+B42)/Assumptions!$B$3*Assumptions!$B$10</f>
        <v>26.0285838696332</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3791.10413058852</v>
      </c>
    </row>
    <row r="47" customFormat="false" ht="15" hidden="false" customHeight="false" outlineLevel="0" collapsed="false">
      <c r="A47" s="0" t="s">
        <v>146</v>
      </c>
      <c r="B47" s="0" t="n">
        <f aca="false">(SUMPRODUCT(C19:L19/(1+B45/100)^C4:L4)+B46/(1+B45/100)^L4+Assumptions!$B$5-Assumptions!$B$4)/Assumptions!$B$3*Assumptions!$B$10</f>
        <v>10.3181623426799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5</v>
      </c>
      <c r="D5" s="4" t="n">
        <f aca="false">Assumptions!D41</f>
        <v>6</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3535</v>
      </c>
      <c r="C6" s="0" t="n">
        <f aca="false">B6*(1+C5/100)</f>
        <v>3711.75</v>
      </c>
      <c r="D6" s="0" t="n">
        <f aca="false">C6*(1+D5/100)</f>
        <v>3934.455</v>
      </c>
      <c r="E6" s="0" t="n">
        <f aca="false">D6*(1+E5/100)</f>
        <v>4170.5223</v>
      </c>
      <c r="F6" s="0" t="n">
        <f aca="false">E6*(1+F5/100)</f>
        <v>4399.9010265</v>
      </c>
      <c r="G6" s="0" t="n">
        <f aca="false">F6*(1+G5/100)</f>
        <v>4619.896077825</v>
      </c>
      <c r="H6" s="0" t="n">
        <f aca="false">G6*(1+H5/100)</f>
        <v>4827.79140132713</v>
      </c>
      <c r="I6" s="0" t="n">
        <f aca="false">H6*(1+I5/100)</f>
        <v>5020.90305738021</v>
      </c>
      <c r="J6" s="0" t="n">
        <f aca="false">I6*(1+J5/100)</f>
        <v>5196.63466438852</v>
      </c>
      <c r="K6" s="0" t="n">
        <f aca="false">J6*(1+K5/100)</f>
        <v>5352.53370432017</v>
      </c>
      <c r="L6" s="0" t="n">
        <f aca="false">K6*(1+L5/100)</f>
        <v>5513.10971544978</v>
      </c>
    </row>
    <row r="7" customFormat="false" ht="15" hidden="false" customHeight="false" outlineLevel="0" collapsed="false">
      <c r="A7" s="0" t="s">
        <v>103</v>
      </c>
      <c r="C7" s="4" t="n">
        <f aca="false">Assumptions!C42</f>
        <v>17</v>
      </c>
      <c r="D7" s="4" t="n">
        <f aca="false">Assumptions!D42</f>
        <v>17.8</v>
      </c>
      <c r="E7" s="4" t="n">
        <f aca="false">Assumptions!E42</f>
        <v>18.5</v>
      </c>
      <c r="F7" s="4" t="n">
        <f aca="false">Assumptions!F42</f>
        <v>19</v>
      </c>
      <c r="G7" s="4" t="n">
        <f aca="false">Assumptions!G42</f>
        <v>19</v>
      </c>
      <c r="H7" s="4" t="n">
        <f aca="false">Assumptions!H42</f>
        <v>19</v>
      </c>
      <c r="I7" s="4" t="n">
        <f aca="false">Assumptions!I42</f>
        <v>19</v>
      </c>
      <c r="J7" s="4" t="n">
        <f aca="false">Assumptions!J42</f>
        <v>19</v>
      </c>
      <c r="K7" s="4" t="n">
        <f aca="false">Assumptions!K42</f>
        <v>19</v>
      </c>
      <c r="L7" s="4" t="n">
        <f aca="false">Assumptions!L42</f>
        <v>19</v>
      </c>
    </row>
    <row r="8" customFormat="false" ht="15" hidden="false" customHeight="false" outlineLevel="0" collapsed="false">
      <c r="A8" s="0" t="s">
        <v>44</v>
      </c>
      <c r="C8" s="0" t="n">
        <f aca="false">C6*C7/100</f>
        <v>630.9975</v>
      </c>
      <c r="D8" s="0" t="n">
        <f aca="false">D6*D7/100</f>
        <v>700.33299</v>
      </c>
      <c r="E8" s="0" t="n">
        <f aca="false">E6*E7/100</f>
        <v>771.5466255</v>
      </c>
      <c r="F8" s="0" t="n">
        <f aca="false">F6*F7/100</f>
        <v>835.981195035</v>
      </c>
      <c r="G8" s="0" t="n">
        <f aca="false">G6*G7/100</f>
        <v>877.78025478675</v>
      </c>
      <c r="H8" s="0" t="n">
        <f aca="false">H6*H7/100</f>
        <v>917.280366252154</v>
      </c>
      <c r="I8" s="0" t="n">
        <f aca="false">I6*I7/100</f>
        <v>953.97158090224</v>
      </c>
      <c r="J8" s="0" t="n">
        <f aca="false">J6*J7/100</f>
        <v>987.360586233819</v>
      </c>
      <c r="K8" s="0" t="n">
        <f aca="false">K6*K7/100</f>
        <v>1016.98140382083</v>
      </c>
      <c r="L8" s="0" t="n">
        <f aca="false">L6*L7/100</f>
        <v>1047.49084593546</v>
      </c>
    </row>
    <row r="9" customFormat="false" ht="15" hidden="false" customHeight="false" outlineLevel="0" collapsed="false">
      <c r="A9" s="0" t="s">
        <v>104</v>
      </c>
      <c r="C9" s="4" t="n">
        <f aca="false">Assumptions!C43</f>
        <v>0.3</v>
      </c>
      <c r="D9" s="4" t="n">
        <f aca="false">Assumptions!D43</f>
        <v>0.3</v>
      </c>
      <c r="E9" s="4" t="n">
        <f aca="false">Assumptions!E43</f>
        <v>0.3</v>
      </c>
      <c r="F9" s="4" t="n">
        <f aca="false">Assumptions!F43</f>
        <v>0.3</v>
      </c>
      <c r="G9" s="4" t="n">
        <f aca="false">Assumptions!G43</f>
        <v>0.3</v>
      </c>
      <c r="H9" s="4" t="n">
        <f aca="false">Assumptions!H43</f>
        <v>0.3</v>
      </c>
      <c r="I9" s="4" t="n">
        <f aca="false">Assumptions!I43</f>
        <v>0.3</v>
      </c>
      <c r="J9" s="4" t="n">
        <f aca="false">Assumptions!J43</f>
        <v>0.3</v>
      </c>
      <c r="K9" s="4" t="n">
        <f aca="false">Assumptions!K43</f>
        <v>0.3</v>
      </c>
      <c r="L9" s="4" t="n">
        <f aca="false">Assumptions!L43</f>
        <v>0.3</v>
      </c>
    </row>
    <row r="10" customFormat="false" ht="15" hidden="false" customHeight="false" outlineLevel="0" collapsed="false">
      <c r="A10" s="0" t="s">
        <v>119</v>
      </c>
      <c r="C10" s="0" t="n">
        <f aca="false">-C6*C9/100</f>
        <v>-11.13525</v>
      </c>
      <c r="D10" s="0" t="n">
        <f aca="false">-D6*D9/100</f>
        <v>-11.803365</v>
      </c>
      <c r="E10" s="0" t="n">
        <f aca="false">-E6*E9/100</f>
        <v>-12.5115669</v>
      </c>
      <c r="F10" s="0" t="n">
        <f aca="false">-F6*F9/100</f>
        <v>-13.1997030795</v>
      </c>
      <c r="G10" s="0" t="n">
        <f aca="false">-G6*G9/100</f>
        <v>-13.859688233475</v>
      </c>
      <c r="H10" s="0" t="n">
        <f aca="false">-H6*H9/100</f>
        <v>-14.4833742039814</v>
      </c>
      <c r="I10" s="0" t="n">
        <f aca="false">-I6*I9/100</f>
        <v>-15.0627091721406</v>
      </c>
      <c r="J10" s="0" t="n">
        <f aca="false">-J6*J9/100</f>
        <v>-15.5899039931656</v>
      </c>
      <c r="K10" s="0" t="n">
        <f aca="false">-K6*K9/100</f>
        <v>-16.0576011129605</v>
      </c>
      <c r="L10" s="0" t="n">
        <f aca="false">-L6*L9/100</f>
        <v>-16.5393291463493</v>
      </c>
    </row>
    <row r="11" customFormat="false" ht="15" hidden="false" customHeight="false" outlineLevel="0" collapsed="false">
      <c r="A11" s="0" t="s">
        <v>120</v>
      </c>
      <c r="C11" s="0" t="n">
        <f aca="false">C8+C10+C24</f>
        <v>619.86225</v>
      </c>
      <c r="D11" s="0" t="n">
        <f aca="false">D8+D10+D24</f>
        <v>688.529625</v>
      </c>
      <c r="E11" s="0" t="n">
        <f aca="false">E8+E10+E24</f>
        <v>759.0350586</v>
      </c>
      <c r="F11" s="0" t="n">
        <f aca="false">F8+F10+F24</f>
        <v>822.7814919555</v>
      </c>
      <c r="G11" s="0" t="n">
        <f aca="false">G8+G10+G24</f>
        <v>863.920566553275</v>
      </c>
      <c r="H11" s="0" t="n">
        <f aca="false">H8+H10+H24</f>
        <v>902.796992048173</v>
      </c>
      <c r="I11" s="0" t="n">
        <f aca="false">I8+I10+I24</f>
        <v>938.9088717301</v>
      </c>
      <c r="J11" s="0" t="n">
        <f aca="false">J8+J10+J24</f>
        <v>971.770682240653</v>
      </c>
      <c r="K11" s="0" t="n">
        <f aca="false">K8+K10+K24</f>
        <v>1000.92380270787</v>
      </c>
      <c r="L11" s="0" t="n">
        <f aca="false">L8+L10+L24</f>
        <v>1030.95151678911</v>
      </c>
    </row>
    <row r="12" customFormat="false" ht="15" hidden="false" customHeight="false" outlineLevel="0" collapsed="false">
      <c r="A12" s="0" t="s">
        <v>121</v>
      </c>
      <c r="C12" s="4" t="n">
        <f aca="false">-C6*Assumptions!C45/100</f>
        <v>-96.5055</v>
      </c>
      <c r="D12" s="4" t="n">
        <f aca="false">-D6*Assumptions!D45/100</f>
        <v>-102.29583</v>
      </c>
      <c r="E12" s="4" t="n">
        <f aca="false">-E6*Assumptions!E45/100</f>
        <v>-108.4335798</v>
      </c>
      <c r="F12" s="4" t="n">
        <f aca="false">-F6*Assumptions!F45/100</f>
        <v>-114.397426689</v>
      </c>
      <c r="G12" s="4" t="n">
        <f aca="false">-G6*Assumptions!G45/100</f>
        <v>-120.11729802345</v>
      </c>
      <c r="H12" s="4" t="n">
        <f aca="false">-H6*Assumptions!H45/100</f>
        <v>-125.522576434505</v>
      </c>
      <c r="I12" s="4" t="n">
        <f aca="false">-I6*Assumptions!I45/100</f>
        <v>-130.543479491886</v>
      </c>
      <c r="J12" s="4" t="n">
        <f aca="false">-J6*Assumptions!J45/100</f>
        <v>-135.112501274101</v>
      </c>
      <c r="K12" s="4" t="n">
        <f aca="false">-K6*Assumptions!K45/100</f>
        <v>-139.165876312325</v>
      </c>
      <c r="L12" s="4" t="n">
        <f aca="false">-L6*Assumptions!L45/100</f>
        <v>-143.340852601694</v>
      </c>
    </row>
    <row r="13" customFormat="false" ht="15" hidden="false" customHeight="false" outlineLevel="0" collapsed="false">
      <c r="A13" s="0" t="s">
        <v>122</v>
      </c>
      <c r="C13" s="0" t="n">
        <f aca="false">C11+C12</f>
        <v>523.35675</v>
      </c>
      <c r="D13" s="0" t="n">
        <f aca="false">D11+D12</f>
        <v>586.233795</v>
      </c>
      <c r="E13" s="0" t="n">
        <f aca="false">E11+E12</f>
        <v>650.6014788</v>
      </c>
      <c r="F13" s="0" t="n">
        <f aca="false">F11+F12</f>
        <v>708.3840652665</v>
      </c>
      <c r="G13" s="0" t="n">
        <f aca="false">G11+G12</f>
        <v>743.803268529825</v>
      </c>
      <c r="H13" s="0" t="n">
        <f aca="false">H11+H12</f>
        <v>777.274415613667</v>
      </c>
      <c r="I13" s="0" t="n">
        <f aca="false">I11+I12</f>
        <v>808.365392238214</v>
      </c>
      <c r="J13" s="0" t="n">
        <f aca="false">J11+J12</f>
        <v>836.658180966552</v>
      </c>
      <c r="K13" s="0" t="n">
        <f aca="false">K11+K12</f>
        <v>861.757926395548</v>
      </c>
      <c r="L13" s="0" t="n">
        <f aca="false">L11+L12</f>
        <v>887.610664187414</v>
      </c>
    </row>
    <row r="14" customFormat="false" ht="15" hidden="false" customHeight="false" outlineLevel="0" collapsed="false">
      <c r="A14" s="0" t="s">
        <v>108</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123</v>
      </c>
      <c r="C15" s="0" t="n">
        <f aca="false">C13-MAX(0,C13)*C14/100</f>
        <v>366.349725</v>
      </c>
      <c r="D15" s="0" t="n">
        <f aca="false">D13-MAX(0,D13)*D14/100</f>
        <v>410.3636565</v>
      </c>
      <c r="E15" s="0" t="n">
        <f aca="false">E13-MAX(0,E13)*E14/100</f>
        <v>455.42103516</v>
      </c>
      <c r="F15" s="0" t="n">
        <f aca="false">F13-MAX(0,F13)*F14/100</f>
        <v>495.86884568655</v>
      </c>
      <c r="G15" s="0" t="n">
        <f aca="false">G13-MAX(0,G13)*G14/100</f>
        <v>520.662287970878</v>
      </c>
      <c r="H15" s="0" t="n">
        <f aca="false">H13-MAX(0,H13)*H14/100</f>
        <v>544.092090929567</v>
      </c>
      <c r="I15" s="0" t="n">
        <f aca="false">I13-MAX(0,I13)*I14/100</f>
        <v>565.85577456675</v>
      </c>
      <c r="J15" s="0" t="n">
        <f aca="false">J13-MAX(0,J13)*J14/100</f>
        <v>585.660726676586</v>
      </c>
      <c r="K15" s="0" t="n">
        <f aca="false">K13-MAX(0,K13)*K14/100</f>
        <v>603.230548476884</v>
      </c>
      <c r="L15" s="0" t="n">
        <f aca="false">L13-MAX(0,L13)*L14/100</f>
        <v>621.32746493119</v>
      </c>
    </row>
    <row r="16" customFormat="false" ht="15" hidden="false" customHeight="false" outlineLevel="0" collapsed="false">
      <c r="A16" s="0" t="s">
        <v>124</v>
      </c>
      <c r="C16" s="0" t="n">
        <f aca="false">-C12</f>
        <v>96.5055</v>
      </c>
      <c r="D16" s="0" t="n">
        <f aca="false">-D12</f>
        <v>102.29583</v>
      </c>
      <c r="E16" s="0" t="n">
        <f aca="false">-E12</f>
        <v>108.4335798</v>
      </c>
      <c r="F16" s="0" t="n">
        <f aca="false">-F12</f>
        <v>114.397426689</v>
      </c>
      <c r="G16" s="0" t="n">
        <f aca="false">-G12</f>
        <v>120.11729802345</v>
      </c>
      <c r="H16" s="0" t="n">
        <f aca="false">-H12</f>
        <v>125.522576434505</v>
      </c>
      <c r="I16" s="0" t="n">
        <f aca="false">-I12</f>
        <v>130.543479491886</v>
      </c>
      <c r="J16" s="0" t="n">
        <f aca="false">-J12</f>
        <v>135.112501274101</v>
      </c>
      <c r="K16" s="0" t="n">
        <f aca="false">-K12</f>
        <v>139.165876312325</v>
      </c>
      <c r="L16" s="0" t="n">
        <f aca="false">-L12</f>
        <v>143.340852601694</v>
      </c>
    </row>
    <row r="17" customFormat="false" ht="15" hidden="false" customHeight="false" outlineLevel="0" collapsed="false">
      <c r="A17" s="0" t="s">
        <v>125</v>
      </c>
      <c r="C17" s="4" t="n">
        <f aca="false">-C6*Assumptions!C46/100</f>
        <v>-111.3525</v>
      </c>
      <c r="D17" s="4" t="n">
        <f aca="false">-D6*Assumptions!D46/100</f>
        <v>-118.03365</v>
      </c>
      <c r="E17" s="4" t="n">
        <f aca="false">-E6*Assumptions!E46/100</f>
        <v>-125.115669</v>
      </c>
      <c r="F17" s="4" t="n">
        <f aca="false">-F6*Assumptions!F46/100</f>
        <v>-131.997030795</v>
      </c>
      <c r="G17" s="4" t="n">
        <f aca="false">-G6*Assumptions!G46/100</f>
        <v>-138.59688233475</v>
      </c>
      <c r="H17" s="4" t="n">
        <f aca="false">-H6*Assumptions!H46/100</f>
        <v>-144.833742039814</v>
      </c>
      <c r="I17" s="4" t="n">
        <f aca="false">-I6*Assumptions!I46/100</f>
        <v>-150.627091721406</v>
      </c>
      <c r="J17" s="4" t="n">
        <f aca="false">-J6*Assumptions!J46/100</f>
        <v>-155.899039931656</v>
      </c>
      <c r="K17" s="4" t="n">
        <f aca="false">-K6*Assumptions!K46/100</f>
        <v>-160.576011129605</v>
      </c>
      <c r="L17" s="4" t="n">
        <f aca="false">-L6*Assumptions!L46/100</f>
        <v>-165.393291463493</v>
      </c>
    </row>
    <row r="18" customFormat="false" ht="15" hidden="false" customHeight="false" outlineLevel="0" collapsed="false">
      <c r="A18" s="0" t="s">
        <v>126</v>
      </c>
      <c r="C18" s="4" t="n">
        <f aca="false">(C6-B6)*Assumptions!$B$51/100</f>
        <v>-26.5125</v>
      </c>
      <c r="D18" s="4" t="n">
        <f aca="false">(D6-C6)*Assumptions!$B$51/100</f>
        <v>-33.4057500000001</v>
      </c>
      <c r="E18" s="4" t="n">
        <f aca="false">(E6-D6)*Assumptions!$B$51/100</f>
        <v>-35.410095</v>
      </c>
      <c r="F18" s="4" t="n">
        <f aca="false">(F6-E6)*Assumptions!$B$51/100</f>
        <v>-34.406808975</v>
      </c>
      <c r="G18" s="4" t="n">
        <f aca="false">(G6-F6)*Assumptions!$B$51/100</f>
        <v>-32.9992576987501</v>
      </c>
      <c r="H18" s="4" t="n">
        <f aca="false">(H6-G6)*Assumptions!$B$51/100</f>
        <v>-31.1842985253187</v>
      </c>
      <c r="I18" s="4" t="n">
        <f aca="false">(I6-H6)*Assumptions!$B$51/100</f>
        <v>-28.9667484079628</v>
      </c>
      <c r="J18" s="4" t="n">
        <f aca="false">(J6-I6)*Assumptions!$B$51/100</f>
        <v>-26.3597410512461</v>
      </c>
      <c r="K18" s="4" t="n">
        <f aca="false">(K6-J6)*Assumptions!$B$51/100</f>
        <v>-23.3848559897483</v>
      </c>
      <c r="L18" s="4" t="n">
        <f aca="false">(L6-K6)*Assumptions!$B$51/100</f>
        <v>-24.0864016694407</v>
      </c>
    </row>
    <row r="19" customFormat="false" ht="15" hidden="false" customHeight="false" outlineLevel="0" collapsed="false">
      <c r="A19" s="0" t="s">
        <v>127</v>
      </c>
      <c r="C19" s="0" t="n">
        <f aca="false">C15+C16+C17+C18</f>
        <v>324.990225</v>
      </c>
      <c r="D19" s="0" t="n">
        <f aca="false">D15+D16+D17+D18</f>
        <v>361.2200865</v>
      </c>
      <c r="E19" s="0" t="n">
        <f aca="false">E15+E16+E17+E18</f>
        <v>403.32885096</v>
      </c>
      <c r="F19" s="0" t="n">
        <f aca="false">F15+F16+F17+F18</f>
        <v>443.86243260555</v>
      </c>
      <c r="G19" s="0" t="n">
        <f aca="false">G15+G16+G17+G18</f>
        <v>469.183445960828</v>
      </c>
      <c r="H19" s="0" t="n">
        <f aca="false">H15+H16+H17+H18</f>
        <v>493.59662679894</v>
      </c>
      <c r="I19" s="0" t="n">
        <f aca="false">I15+I16+I17+I18</f>
        <v>516.805413929266</v>
      </c>
      <c r="J19" s="0" t="n">
        <f aca="false">J15+J16+J17+J18</f>
        <v>538.514446967786</v>
      </c>
      <c r="K19" s="0" t="n">
        <f aca="false">K15+K16+K17+K18</f>
        <v>558.435557669855</v>
      </c>
      <c r="L19" s="0" t="n">
        <f aca="false">L15+L16+L17+L18</f>
        <v>575.18862439995</v>
      </c>
    </row>
    <row r="20" customFormat="false" ht="15" hidden="false" customHeight="false" outlineLevel="0" collapsed="false">
      <c r="A20" s="0" t="s">
        <v>128</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129</v>
      </c>
      <c r="C21" s="0" t="n">
        <f aca="false">C19*C20</f>
        <v>299.530161290323</v>
      </c>
      <c r="D21" s="0" t="n">
        <f aca="false">D19*D20</f>
        <v>306.840312174818</v>
      </c>
      <c r="E21" s="0" t="n">
        <f aca="false">E19*E20</f>
        <v>315.769423747345</v>
      </c>
      <c r="F21" s="0" t="n">
        <f aca="false">F19*F20</f>
        <v>320.279717120783</v>
      </c>
      <c r="G21" s="0" t="n">
        <f aca="false">G19*G20</f>
        <v>312.028303418946</v>
      </c>
      <c r="H21" s="0" t="n">
        <f aca="false">H19*H20</f>
        <v>302.547629127415</v>
      </c>
      <c r="I21" s="0" t="n">
        <f aca="false">I19*I20</f>
        <v>291.956996550655</v>
      </c>
      <c r="J21" s="0" t="n">
        <f aca="false">J19*J20</f>
        <v>280.38801969024</v>
      </c>
      <c r="K21" s="0" t="n">
        <f aca="false">K19*K20</f>
        <v>267.981874098978</v>
      </c>
      <c r="L21" s="0" t="n">
        <f aca="false">L19*L20</f>
        <v>254.397539467233</v>
      </c>
    </row>
    <row r="23" customFormat="false" ht="15" hidden="false" customHeight="false" outlineLevel="0" collapsed="false">
      <c r="A23" s="0" t="s">
        <v>105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Assumptions!$B$48</f>
        <v>8.5</v>
      </c>
    </row>
    <row r="28" customFormat="false" ht="15" hidden="false" customHeight="false" outlineLevel="0" collapsed="false">
      <c r="A28" s="0" t="s">
        <v>110</v>
      </c>
      <c r="B28" s="4" t="n">
        <f aca="false">Assumptions!$B$49</f>
        <v>2.5</v>
      </c>
    </row>
    <row r="29" customFormat="false" ht="15" hidden="false" customHeight="false" outlineLevel="0" collapsed="false">
      <c r="A29" s="0" t="s">
        <v>111</v>
      </c>
      <c r="B29" s="4" t="n">
        <f aca="false">Assumptions!$B$50</f>
        <v>15</v>
      </c>
    </row>
    <row r="30" customFormat="false" ht="15" hidden="false" customHeight="false" outlineLevel="0" collapsed="false">
      <c r="A30" s="0" t="s">
        <v>132</v>
      </c>
      <c r="B30" s="0" t="n">
        <f aca="false">SUM(C21:L21)</f>
        <v>2951.71997668673</v>
      </c>
    </row>
    <row r="31" customFormat="false" ht="15" hidden="false" customHeight="false" outlineLevel="0" collapsed="false">
      <c r="A31" s="0" t="s">
        <v>133</v>
      </c>
      <c r="B31" s="0" t="n">
        <f aca="false">L19</f>
        <v>575.18862439995</v>
      </c>
    </row>
    <row r="32" customFormat="false" ht="15" hidden="false" customHeight="false" outlineLevel="0" collapsed="false">
      <c r="A32" s="0" t="s">
        <v>134</v>
      </c>
      <c r="B32" s="0" t="n">
        <f aca="false">IF(B27&gt;B28,B31*(1+B28/100)/((B27-B28)/100),B31*B29)</f>
        <v>9826.13900016581</v>
      </c>
    </row>
    <row r="33" customFormat="false" ht="15" hidden="false" customHeight="false" outlineLevel="0" collapsed="false">
      <c r="A33" s="0" t="s">
        <v>135</v>
      </c>
      <c r="B33" s="0" t="n">
        <f aca="false">B31*B29</f>
        <v>8627.82936599925</v>
      </c>
    </row>
    <row r="34" customFormat="false" ht="15" hidden="false" customHeight="false" outlineLevel="0" collapsed="false">
      <c r="A34" s="0" t="s">
        <v>136</v>
      </c>
      <c r="B34" s="0" t="n">
        <f aca="false">MAX(0,MIN(B32,B33))</f>
        <v>8627.82936599925</v>
      </c>
    </row>
    <row r="35" customFormat="false" ht="15" hidden="false" customHeight="false" outlineLevel="0" collapsed="false">
      <c r="A35" s="0" t="s">
        <v>137</v>
      </c>
      <c r="B35" s="0" t="n">
        <f aca="false">B34/(1+B27/100)^L4</f>
        <v>3815.96309200849</v>
      </c>
    </row>
    <row r="36" customFormat="false" ht="15" hidden="false" customHeight="false" outlineLevel="0" collapsed="false">
      <c r="A36" s="0" t="s">
        <v>138</v>
      </c>
      <c r="B36" s="0" t="n">
        <f aca="false">B30+B35</f>
        <v>6767.68306869523</v>
      </c>
    </row>
    <row r="37" customFormat="false" ht="15" hidden="false" customHeight="false" outlineLevel="0" collapsed="false">
      <c r="A37" s="0" t="s">
        <v>139</v>
      </c>
      <c r="B37" s="0" t="n">
        <f aca="false">B36+Assumptions!$B$5-Assumptions!$B$4</f>
        <v>5738.68306869523</v>
      </c>
    </row>
    <row r="38" customFormat="false" ht="15" hidden="false" customHeight="false" outlineLevel="0" collapsed="false">
      <c r="A38" s="0" t="s">
        <v>140</v>
      </c>
      <c r="B38" s="0" t="n">
        <f aca="false">B37/Assumptions!$B$3*Assumptions!$B$10</f>
        <v>32.7610466682282</v>
      </c>
    </row>
    <row r="39" customFormat="false" ht="15" hidden="false" customHeight="false" outlineLevel="0" collapsed="false">
      <c r="A39" s="0" t="s">
        <v>141</v>
      </c>
      <c r="B39" s="4" t="n">
        <f aca="false">B38/Assumptions!$B$2-1</f>
        <v>1.49323034004781</v>
      </c>
    </row>
    <row r="41" customFormat="false" ht="15" hidden="false" customHeight="false" outlineLevel="0" collapsed="false">
      <c r="A41" s="0" t="s">
        <v>142</v>
      </c>
      <c r="B41" s="0" t="n">
        <f aca="false">SUMPRODUCT(-C10:L10/(1+$B$27/100)^C4:L4)</f>
        <v>89.351471212424</v>
      </c>
    </row>
    <row r="42" customFormat="false" ht="15" hidden="false" customHeight="false" outlineLevel="0" collapsed="false">
      <c r="A42" s="0" t="s">
        <v>143</v>
      </c>
      <c r="B42" s="0" t="n">
        <f aca="false">IF(B27&gt;B28,-L10*(1+B28/100)/((B27-B28)/100),-L10*20)/(1+B27/100)^L4</f>
        <v>124.966360955384</v>
      </c>
    </row>
    <row r="43" customFormat="false" ht="15" hidden="false" customHeight="false" outlineLevel="0" collapsed="false">
      <c r="A43" s="0" t="s">
        <v>144</v>
      </c>
      <c r="B43" s="0" t="n">
        <f aca="false">(B37+B41+B42)/Assumptions!$B$3*Assumptions!$B$10</f>
        <v>33.9845462791031</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4716.54672007959</v>
      </c>
    </row>
    <row r="47" customFormat="false" ht="15" hidden="false" customHeight="false" outlineLevel="0" collapsed="false">
      <c r="A47" s="0" t="s">
        <v>146</v>
      </c>
      <c r="B47" s="0" t="n">
        <f aca="false">(SUMPRODUCT(C19:L19/(1+B45/100)^C4:L4)+B46/(1+B45/100)^L4+Assumptions!$B$5-Assumptions!$B$4)/Assumptions!$B$3*Assumptions!$B$10</f>
        <v>13.298545291299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14.7861760565885</v>
      </c>
      <c r="C4" s="0" t="n">
        <f aca="false">B4/Assumptions!$B$2-1</f>
        <v>0.125279760775378</v>
      </c>
      <c r="D4" s="4" t="n">
        <f aca="false">Assumptions!$B$24</f>
        <v>0.25</v>
      </c>
      <c r="E4" s="4" t="n">
        <f aca="false">DCF_Bear!$B$43</f>
        <v>15.6997774740599</v>
      </c>
      <c r="F4" s="4" t="n">
        <f aca="false">DCF_Bear!$B$47</f>
        <v>5.95738329150997</v>
      </c>
    </row>
    <row r="5" customFormat="false" ht="15" hidden="false" customHeight="false" outlineLevel="0" collapsed="false">
      <c r="A5" s="0" t="s">
        <v>155</v>
      </c>
      <c r="B5" s="4" t="n">
        <f aca="false">DCF_Base!$B$38</f>
        <v>24.9239748410505</v>
      </c>
      <c r="C5" s="0" t="n">
        <f aca="false">B5/Assumptions!$B$2-1</f>
        <v>0.896801738283901</v>
      </c>
      <c r="D5" s="4" t="n">
        <f aca="false">Assumptions!$B$38</f>
        <v>0.5</v>
      </c>
      <c r="E5" s="4" t="n">
        <f aca="false">DCF_Base!$B$43</f>
        <v>26.0285838696332</v>
      </c>
      <c r="F5" s="4" t="n">
        <f aca="false">DCF_Base!$B$47</f>
        <v>10.3181623426799</v>
      </c>
    </row>
    <row r="6" customFormat="false" ht="15" hidden="false" customHeight="false" outlineLevel="0" collapsed="false">
      <c r="A6" s="0" t="s">
        <v>156</v>
      </c>
      <c r="B6" s="4" t="n">
        <f aca="false">DCF_Bull!$B$38</f>
        <v>32.7610466682282</v>
      </c>
      <c r="C6" s="0" t="n">
        <f aca="false">B6/Assumptions!$B$2-1</f>
        <v>1.49323034004781</v>
      </c>
      <c r="D6" s="4" t="n">
        <f aca="false">Assumptions!$B$52</f>
        <v>0.25</v>
      </c>
      <c r="E6" s="4" t="n">
        <f aca="false">DCF_Bull!$B$43</f>
        <v>33.9845462791031</v>
      </c>
      <c r="F6" s="4" t="n">
        <f aca="false">DCF_Bull!$B$47</f>
        <v>13.298545291299</v>
      </c>
    </row>
    <row r="8" customFormat="false" ht="15" hidden="false" customHeight="false" outlineLevel="0" collapsed="false">
      <c r="A8" s="0" t="s">
        <v>157</v>
      </c>
      <c r="B8" s="0" t="n">
        <f aca="false">SUMPRODUCT(B4:B6,D4:D6)</f>
        <v>24.3487931017294</v>
      </c>
    </row>
    <row r="9" customFormat="false" ht="15" hidden="false" customHeight="false" outlineLevel="0" collapsed="false">
      <c r="A9" s="0" t="s">
        <v>158</v>
      </c>
      <c r="B9" s="0" t="n">
        <f aca="false">SUMPRODUCT(E4:E6,D4:D6)</f>
        <v>25.4353728731074</v>
      </c>
    </row>
    <row r="10" customFormat="false" ht="15" hidden="false" customHeight="false" outlineLevel="0" collapsed="false">
      <c r="A10" s="0" t="s">
        <v>159</v>
      </c>
      <c r="B10" s="0" t="n">
        <f aca="false">1-Assumptions!$B$2/B8</f>
        <v>0.460342861960303</v>
      </c>
    </row>
    <row r="11" customFormat="false" ht="15" hidden="false" customHeight="false" outlineLevel="0" collapsed="false">
      <c r="A11" s="0" t="s">
        <v>160</v>
      </c>
      <c r="B11" s="0" t="n">
        <f aca="false">IF(ABS(B9-B8)&gt;0.01*ABS(B8),(Assumptions!$B$2-B8)/(B9-B8)*100,"n/a")</f>
        <v>-1031.56651697229</v>
      </c>
    </row>
    <row r="12" customFormat="false" ht="15" hidden="false" customHeight="false" outlineLevel="0" collapsed="false">
      <c r="A12" s="0" t="s">
        <v>161</v>
      </c>
      <c r="B12" s="0" t="n">
        <f aca="false">SUMPRODUCT(F4:F6,D4:D6)</f>
        <v>9.9730633170422</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24.9239748410505</v>
      </c>
      <c r="C15" s="3" t="n">
        <v>8.5</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23.8509441014604</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21.5069342806171</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18.209702991943</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15.6096734639336</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10.3181623426799</v>
      </c>
      <c r="C20" s="3" t="n">
        <v>15</v>
      </c>
    </row>
    <row r="22" customFormat="false" ht="15" hidden="false" customHeight="false" outlineLevel="0" collapsed="false">
      <c r="A22" s="2" t="s">
        <v>170</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29.748924438487</v>
      </c>
      <c r="C24" s="0" t="n">
        <f aca="false">(SUMPRODUCT(DCF_Base!$C$19:$L$19/(1+$A$24/100)^DCF_Base!$C$4:$L$4)+MAX(0,MIN(IF($A$24&gt;$C$23,DCF_Base!$L$19*(1+$C$23/100)/(($A$24-$C$23)/100),DCF_Base!$L$19*DCF_Base!$B$29),DCF_Base!$L$19*DCF_Base!$B$29))/(1+$A$24/100)^DCF_Base!$L$4+Assumptions!$B$5-Assumptions!$B$4)/Assumptions!$B$3*Assumptions!$B$10</f>
        <v>29.748924438487</v>
      </c>
      <c r="D24" s="0" t="n">
        <f aca="false">(SUMPRODUCT(DCF_Base!$C$19:$L$19/(1+$A$24/100)^DCF_Base!$C$4:$L$4)+MAX(0,MIN(IF($A$24&gt;$D$23,DCF_Base!$L$19*(1+$D$23/100)/(($A$24-$D$23)/100),DCF_Base!$L$19*DCF_Base!$B$29),DCF_Base!$L$19*DCF_Base!$B$29))/(1+$A$24/100)^DCF_Base!$L$4+Assumptions!$B$5-Assumptions!$B$4)/Assumptions!$B$3*Assumptions!$B$10</f>
        <v>29.748924438487</v>
      </c>
      <c r="E24" s="0" t="n">
        <f aca="false">(SUMPRODUCT(DCF_Base!$C$19:$L$19/(1+$A$24/100)^DCF_Base!$C$4:$L$4)+MAX(0,MIN(IF($A$24&gt;$E$23,DCF_Base!$L$19*(1+$E$23/100)/(($A$24-$E$23)/100),DCF_Base!$L$19*DCF_Base!$B$29),DCF_Base!$L$19*DCF_Base!$B$29))/(1+$A$24/100)^DCF_Base!$L$4+Assumptions!$B$5-Assumptions!$B$4)/Assumptions!$B$3*Assumptions!$B$10</f>
        <v>29.748924438487</v>
      </c>
      <c r="F24" s="0" t="n">
        <f aca="false">(SUMPRODUCT(DCF_Base!$C$19:$L$19/(1+$A$24/100)^DCF_Base!$C$4:$L$4)+MAX(0,MIN(IF($A$24&gt;$F$23,DCF_Base!$L$19*(1+$F$23/100)/(($A$24-$F$23)/100),DCF_Base!$L$19*DCF_Base!$B$29),DCF_Base!$L$19*DCF_Base!$B$29))/(1+$A$24/100)^DCF_Base!$L$4+Assumptions!$B$5-Assumptions!$B$4)/Assumptions!$B$3*Assumptions!$B$10</f>
        <v>29.748924438487</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27.2241741267474</v>
      </c>
      <c r="C25" s="0" t="n">
        <f aca="false">(SUMPRODUCT(DCF_Base!$C$19:$L$19/(1+$A$25/100)^DCF_Base!$C$4:$L$4)+MAX(0,MIN(IF($A$25&gt;$C$23,DCF_Base!$L$19*(1+$C$23/100)/(($A$25-$C$23)/100),DCF_Base!$L$19*DCF_Base!$B$29),DCF_Base!$L$19*DCF_Base!$B$29))/(1+$A$25/100)^DCF_Base!$L$4+Assumptions!$B$5-Assumptions!$B$4)/Assumptions!$B$3*Assumptions!$B$10</f>
        <v>27.2241741267474</v>
      </c>
      <c r="D25" s="0" t="n">
        <f aca="false">(SUMPRODUCT(DCF_Base!$C$19:$L$19/(1+$A$25/100)^DCF_Base!$C$4:$L$4)+MAX(0,MIN(IF($A$25&gt;$D$23,DCF_Base!$L$19*(1+$D$23/100)/(($A$25-$D$23)/100),DCF_Base!$L$19*DCF_Base!$B$29),DCF_Base!$L$19*DCF_Base!$B$29))/(1+$A$25/100)^DCF_Base!$L$4+Assumptions!$B$5-Assumptions!$B$4)/Assumptions!$B$3*Assumptions!$B$10</f>
        <v>27.2241741267474</v>
      </c>
      <c r="E25" s="0" t="n">
        <f aca="false">(SUMPRODUCT(DCF_Base!$C$19:$L$19/(1+$A$25/100)^DCF_Base!$C$4:$L$4)+MAX(0,MIN(IF($A$25&gt;$E$23,DCF_Base!$L$19*(1+$E$23/100)/(($A$25-$E$23)/100),DCF_Base!$L$19*DCF_Base!$B$29),DCF_Base!$L$19*DCF_Base!$B$29))/(1+$A$25/100)^DCF_Base!$L$4+Assumptions!$B$5-Assumptions!$B$4)/Assumptions!$B$3*Assumptions!$B$10</f>
        <v>27.2241741267474</v>
      </c>
      <c r="F25" s="0" t="n">
        <f aca="false">(SUMPRODUCT(DCF_Base!$C$19:$L$19/(1+$A$25/100)^DCF_Base!$C$4:$L$4)+MAX(0,MIN(IF($A$25&gt;$F$23,DCF_Base!$L$19*(1+$F$23/100)/(($A$25-$F$23)/100),DCF_Base!$L$19*DCF_Base!$B$29),DCF_Base!$L$19*DCF_Base!$B$29))/(1+$A$25/100)^DCF_Base!$L$4+Assumptions!$B$5-Assumptions!$B$4)/Assumptions!$B$3*Assumptions!$B$10</f>
        <v>27.2241741267474</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24.9239748410505</v>
      </c>
      <c r="C26" s="0" t="n">
        <f aca="false">(SUMPRODUCT(DCF_Base!$C$19:$L$19/(1+$A$26/100)^DCF_Base!$C$4:$L$4)+MAX(0,MIN(IF($A$26&gt;$C$23,DCF_Base!$L$19*(1+$C$23/100)/(($A$26-$C$23)/100),DCF_Base!$L$19*DCF_Base!$B$29),DCF_Base!$L$19*DCF_Base!$B$29))/(1+$A$26/100)^DCF_Base!$L$4+Assumptions!$B$5-Assumptions!$B$4)/Assumptions!$B$3*Assumptions!$B$10</f>
        <v>24.9239748410505</v>
      </c>
      <c r="D26" s="0" t="n">
        <f aca="false">(SUMPRODUCT(DCF_Base!$C$19:$L$19/(1+$A$26/100)^DCF_Base!$C$4:$L$4)+MAX(0,MIN(IF($A$26&gt;$D$23,DCF_Base!$L$19*(1+$D$23/100)/(($A$26-$D$23)/100),DCF_Base!$L$19*DCF_Base!$B$29),DCF_Base!$L$19*DCF_Base!$B$29))/(1+$A$26/100)^DCF_Base!$L$4+Assumptions!$B$5-Assumptions!$B$4)/Assumptions!$B$3*Assumptions!$B$10</f>
        <v>24.9239748410505</v>
      </c>
      <c r="E26" s="0" t="n">
        <f aca="false">(SUMPRODUCT(DCF_Base!$C$19:$L$19/(1+$A$26/100)^DCF_Base!$C$4:$L$4)+MAX(0,MIN(IF($A$26&gt;$E$23,DCF_Base!$L$19*(1+$E$23/100)/(($A$26-$E$23)/100),DCF_Base!$L$19*DCF_Base!$B$29),DCF_Base!$L$19*DCF_Base!$B$29))/(1+$A$26/100)^DCF_Base!$L$4+Assumptions!$B$5-Assumptions!$B$4)/Assumptions!$B$3*Assumptions!$B$10</f>
        <v>24.9239748410505</v>
      </c>
      <c r="F26" s="0" t="n">
        <f aca="false">(SUMPRODUCT(DCF_Base!$C$19:$L$19/(1+$A$26/100)^DCF_Base!$C$4:$L$4)+MAX(0,MIN(IF($A$26&gt;$F$23,DCF_Base!$L$19*(1+$F$23/100)/(($A$26-$F$23)/100),DCF_Base!$L$19*DCF_Base!$B$29),DCF_Base!$L$19*DCF_Base!$B$29))/(1+$A$26/100)^DCF_Base!$L$4+Assumptions!$B$5-Assumptions!$B$4)/Assumptions!$B$3*Assumptions!$B$10</f>
        <v>24.9239748410505</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21.4279724156597</v>
      </c>
      <c r="C27" s="0" t="n">
        <f aca="false">(SUMPRODUCT(DCF_Base!$C$19:$L$19/(1+$A$27/100)^DCF_Base!$C$4:$L$4)+MAX(0,MIN(IF($A$27&gt;$C$23,DCF_Base!$L$19*(1+$C$23/100)/(($A$27-$C$23)/100),DCF_Base!$L$19*DCF_Base!$B$29),DCF_Base!$L$19*DCF_Base!$B$29))/(1+$A$27/100)^DCF_Base!$L$4+Assumptions!$B$5-Assumptions!$B$4)/Assumptions!$B$3*Assumptions!$B$10</f>
        <v>22.3997996605669</v>
      </c>
      <c r="D27" s="0" t="n">
        <f aca="false">(SUMPRODUCT(DCF_Base!$C$19:$L$19/(1+$A$27/100)^DCF_Base!$C$4:$L$4)+MAX(0,MIN(IF($A$27&gt;$D$23,DCF_Base!$L$19*(1+$D$23/100)/(($A$27-$D$23)/100),DCF_Base!$L$19*DCF_Base!$B$29),DCF_Base!$L$19*DCF_Base!$B$29))/(1+$A$27/100)^DCF_Base!$L$4+Assumptions!$B$5-Assumptions!$B$4)/Assumptions!$B$3*Assumptions!$B$10</f>
        <v>22.8258061240879</v>
      </c>
      <c r="E27" s="0" t="n">
        <f aca="false">(SUMPRODUCT(DCF_Base!$C$19:$L$19/(1+$A$27/100)^DCF_Base!$C$4:$L$4)+MAX(0,MIN(IF($A$27&gt;$E$23,DCF_Base!$L$19*(1+$E$23/100)/(($A$27-$E$23)/100),DCF_Base!$L$19*DCF_Base!$B$29),DCF_Base!$L$19*DCF_Base!$B$29))/(1+$A$27/100)^DCF_Base!$L$4+Assumptions!$B$5-Assumptions!$B$4)/Assumptions!$B$3*Assumptions!$B$10</f>
        <v>22.8258061240879</v>
      </c>
      <c r="F27" s="0" t="n">
        <f aca="false">(SUMPRODUCT(DCF_Base!$C$19:$L$19/(1+$A$27/100)^DCF_Base!$C$4:$L$4)+MAX(0,MIN(IF($A$27&gt;$F$23,DCF_Base!$L$19*(1+$F$23/100)/(($A$27-$F$23)/100),DCF_Base!$L$19*DCF_Base!$B$29),DCF_Base!$L$19*DCF_Base!$B$29))/(1+$A$27/100)^DCF_Base!$L$4+Assumptions!$B$5-Assumptions!$B$4)/Assumptions!$B$3*Assumptions!$B$10</f>
        <v>22.8258061240879</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18.2623476064071</v>
      </c>
      <c r="C28" s="0" t="n">
        <f aca="false">(SUMPRODUCT(DCF_Base!$C$19:$L$19/(1+$A$28/100)^DCF_Base!$C$4:$L$4)+MAX(0,MIN(IF($A$28&gt;$C$23,DCF_Base!$L$19*(1+$C$23/100)/(($A$28-$C$23)/100),DCF_Base!$L$19*DCF_Base!$B$29),DCF_Base!$L$19*DCF_Base!$B$29))/(1+$A$28/100)^DCF_Base!$L$4+Assumptions!$B$5-Assumptions!$B$4)/Assumptions!$B$3*Assumptions!$B$10</f>
        <v>18.9646844570554</v>
      </c>
      <c r="D28" s="0" t="n">
        <f aca="false">(SUMPRODUCT(DCF_Base!$C$19:$L$19/(1+$A$28/100)^DCF_Base!$C$4:$L$4)+MAX(0,MIN(IF($A$28&gt;$D$23,DCF_Base!$L$19*(1+$D$23/100)/(($A$28-$D$23)/100),DCF_Base!$L$19*DCF_Base!$B$29),DCF_Base!$L$19*DCF_Base!$B$29))/(1+$A$28/100)^DCF_Base!$L$4+Assumptions!$B$5-Assumptions!$B$4)/Assumptions!$B$3*Assumptions!$B$10</f>
        <v>19.7548134140347</v>
      </c>
      <c r="E28" s="0" t="n">
        <f aca="false">(SUMPRODUCT(DCF_Base!$C$19:$L$19/(1+$A$28/100)^DCF_Base!$C$4:$L$4)+MAX(0,MIN(IF($A$28&gt;$E$23,DCF_Base!$L$19*(1+$E$23/100)/(($A$28-$E$23)/100),DCF_Base!$L$19*DCF_Base!$B$29),DCF_Base!$L$19*DCF_Base!$B$29))/(1+$A$28/100)^DCF_Base!$L$4+Assumptions!$B$5-Assumptions!$B$4)/Assumptions!$B$3*Assumptions!$B$10</f>
        <v>20.6502928986113</v>
      </c>
      <c r="F28" s="0" t="n">
        <f aca="false">(SUMPRODUCT(DCF_Base!$C$19:$L$19/(1+$A$28/100)^DCF_Base!$C$4:$L$4)+MAX(0,MIN(IF($A$28&gt;$F$23,DCF_Base!$L$19*(1+$F$23/100)/(($A$28-$F$23)/100),DCF_Base!$L$19*DCF_Base!$B$29),DCF_Base!$L$19*DCF_Base!$B$29))/(1+$A$28/100)^DCF_Base!$L$4+Assumptions!$B$5-Assumptions!$B$4)/Assumptions!$B$3*Assumptions!$B$10</f>
        <v>20.9096172742352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2026-10-16T22:53:27Z</dcterms:created>
  <dc:creator>openpyxl</dc:creator>
  <dc:description/>
  <dc:language>en-NZ</dc:language>
  <cp:lastModifiedBy/>
  <dcterms:modified xsi:type="dcterms:W3CDTF">2026-10-16T22:53:27Z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