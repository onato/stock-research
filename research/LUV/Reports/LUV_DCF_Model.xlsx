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<sst xmlns="http://schemas.openxmlformats.org/spreadsheetml/2006/main" count="390" uniqueCount="175">
  <si>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</si>
  <si>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LUV</t>
  </si>
  <si>
    <t xml:space="preserve">Company</t>
  </si>
  <si>
    <t xml:space="preserve">Southwest Airlines Co.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</si>
  <si>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</si>
  <si>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</si>
  <si>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</si>
  <si>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</si>
  <si>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</si>
  <si>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</si>
  <si>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</si>
  <si>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</si>
  <si>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</si>
  <si>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</si>
  <si>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</si>
  <si>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</si>
  <si>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</si>
  <si>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</si>
  <si>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</si>
  <si>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</si>
  <si>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</si>
  <si>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2026-10-02T00:37:05Z</t>
  </si>
  <si>
    <t xml:space="preserve">Drivers file</t>
  </si>
  <si>
    <t xml:space="preserve">LUV_Drivers.json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</si>
  <si>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</si>
  <si>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</si>
  <si>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</si>
  <si>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Southwest is valued as a cyclical operating company on a normalized owner-FCF basis: the trailing FCF is negative and meaningless, management's 2027 targets are an ambition, and the base case sits deliberately between them at a 15.5% mid-cycle EBITDA margin reached in FY2030. The owner-FCF margin that results (4-5% of revenue) is thin because an airline must reinvest 2-4% of revenue above D&amp;A to keep its fleet, which is why the equity is worth roughly 11-12x normalized owner FCF and ~4-5x EBITDA at the terminal, not a compounder multiple. Risk is charged once, in the flows and the 25/50/25 weights, at a single 9.5% USD WACC. The house and street bases nearly coincide because SBC is 0.35% of revenue; the valuation does not depend on SBC treatment.
key_risks_to_valuation: FY2026 EBITDA margin: GAAP H1 run-rate ~9% vs ~13% implied by adjusted guidance; the base uses 12.5%. Each 1pp of year-1 margin is ~$320M of EBITDA.; Mature margin level: 15.5% base vs 12% bear vs 18% bull is the dominant driver of the per-share spread; the FY2015-FY2019 18.6-25.9% range is not used as a reference because it rested on sub-$2 fuel and pre-2024 labor rates.; Capex intensity: fleet renewal when Boeing recovers could run above 9.5% of revenue for longer; every 1pp of capex-to-revenue in perpetuity is roughly $5/share.; Terminal cap at 12x owner FCF (~4x EBITDA) is conservative against today's ~5.5x EV/EBITDA; a reader who believes the market pays 6x EBITDA for a transformed Southwest should read the Gordon value in the sensitivity grid.; Cash tax ramp: bonus depreciation on a delivery catch-up could keep cash taxes below the 23% assumed from year 5, which would add value; a faster unwind would subtract it.; Fuel and macro: a leisure-skewed airline with large unhedged fuel exposure; a recession in the 10-year window is likely and is represented by the 25% bear weight rather than by a cyclical dip in the base path.</t>
  </si>
  <si>
    <t xml:space="preserve">Data sources</t>
  </si>
  <si>
    <t xml:space="preserve">price: Yahoo Finance chart API at inputs.price_as_of (regular-session close); 52-week range 29.26-55.11.
financials: SEC XBRL companyfacts CIK 0000092380: 10-K FY2025 (revenue, D&amp;A, SBC, interest income, cash taxes, leases, buybacks) and 10-Q Q2 2026 (debt split, cash, diluted shares, cover-page share count at 2026-07-22); research/LUV/Reports/LUV_Metrics.csv for the FY2007-H1 2026 history.
qualitative: research/LUV/Reports/LUV_Analysis.json (2026-10-02): Q2 2026 results and guidance cut, assigned-seating rollout, Boeing delivery shortfall, cost program, Elliott stake reduction, route cuts.</t>
  </si>
  <si>
    <t xml:space="preserve">Scenario narrative: bear</t>
  </si>
  <si>
    <t xml:space="preserve">Bear: cost savings land but revenue gains are competed away and brand goodwill erodes; route exits cede share; fuel stays high; FY2026 closes at the low end of the cut guidance. EBITDA margin stuck at 11.5-12%, revenue growth 1.5-2%, terminal growth 2%. The balance sheet survives (net debt ~0.5x EBITDA, $3.8B cash, $2.15B 2027 maturities refinanceable) so this is a value-destruction case, not a solvency case.</t>
  </si>
  <si>
    <t xml:space="preserve">Scenario narrative: base</t>
  </si>
  <si>
    <t xml:space="preserve">Base: partial transformation success. FY2026 revenue +14% (H1 +14.7% actual, Q3 RASM guide +17.5-19.5%) at a 12.5% EBITDA margin that splits the difference between the GAAP run-rate and the adjusted-guidance midpoint; margin ramps 1pp a year to a 15.5% mid-cycle level by FY2030 as the &gt;$1B cost program and premium/loyalty mix land against higher labor and a normalizing fuel bill. Growth decelerates 5% -&gt; 2.5% because Boeing constrains capacity. Capex 9-9.5% of revenue through FY2028 then 8%; cash tax ramps 10% -&gt; 23%. Terminal value capped at 12x owner FCF (~4x EBITDA), so no re-rating is assumed.</t>
  </si>
  <si>
    <t xml:space="preserve">Scenario narrative: bull</t>
  </si>
  <si>
    <t xml:space="preserve">Bull: the plan delivers. Unit revenue reaches legacy-peer parity through assigned/extra-legroom seating, premium card and lounges and managed-business share; cost takeout sticks; Boeing recovers so capacity grows 4-6% on more efficient MAX 7/8s. EBITDA margin 18% by FY2030 (management's 2027 EBIT ambition, two to three years late), still below the 2015-2017 peak. Same WACC and same 12x cap: the upside is in the flows, not in a cheaper discount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</si>
  <si>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</si>
  <si>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</si>
  <si>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</si>
  <si>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</si>
  <si>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</si>
  <si>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</si>
  <si>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</si>
  <si>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</si>
  <si>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</si>
  <si>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</si>
  <si>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</si>
  <si>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</si>
  <si>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</si>
  <si>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</si>
  <si>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</si>
  <si>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</si>
  <si>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</si>
  <si>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</si>
  <si>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</si>
  <si>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</si>
  <si>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</si>
  <si>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</si>
  <si>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</si>
  <si>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</si>
  <si>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</si>
  <si>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</si>
  <si>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</si>
  <si>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</si>
  <si>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</si>
  <si>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</si>
  <si>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</si>
  <si>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</si>
  <si>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</si>
  <si>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</si>
  <si>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</si>
  <si>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</si>
  <si>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</si>
  <si>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</si>
  <si>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</si>
  <si>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</si>
  <si>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</si>
  <si>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</si>
  <si>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</si>
  <si>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</si>
  <si>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</si>
  <si>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</si>
  <si>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</si>
  <si>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</si>
  <si>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</si>
  <si>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</si>
  <si>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</si>
  <si>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</si>
  <si>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</si>
  <si>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</si>
  <si>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</si>
  <si>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</si>
  <si>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</si>
  <si>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</si>
  <si>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</si>
  <si>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</si>
  <si>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</si>
  <si>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</si>
  <si>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</si>
  <si>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</si>
  <si>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</si>
  <si>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</si>
  <si>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</si>
  <si>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</si>
  <si>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</si>
  <si>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</si>
  <si>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</si>
  <si>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</si>
  <si>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</si>
  <si>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</si>
  <si>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</si>
  <si>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</si>
  <si>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</si>
  <si>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</si>
  <si>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</si>
  <si>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</si>
  <si>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</si>
  <si>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</si>
  <si>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</si>
  <si>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</si>
  <si>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LUV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</si>
  <si>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</si>
  <si>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</si>
  <si>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</si>
  <si>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</si>
  <si>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</si>
  <si>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</si>
  <si>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</si>
  <si>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</si>
  <si>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</si>
  <si>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</si>
  <si>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</si>
  <si>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</si>
  <si>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</si>
  <si>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</si>
  <si>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</si>
  <si>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</si>
  <si>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</si>
  <si>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</si>
  <si>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</si>
  <si>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</si>
  <si>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</si>
  <si>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</si>
  <si>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</si>
  <si>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</si>
  <si>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</si>
  <si>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</si>
  <si>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</si>
  <si>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</si>
  <si>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</si>
  <si>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</si>
  <si>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LUV owner-FCF component DCF: base case (millions, USD)</t>
  </si>
  <si>
    <t xml:space="preserve">LUV owner-FCF component DCF: bull case (millions, USD)</t>
  </si>
  <si>
    <t xml:space="preserve">LUV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</si>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</sst>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6449</v>
      </c>
      <c r="S2" s="0" t="n">
        <v>1390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9861</v>
      </c>
      <c r="F3" s="0" t="n">
        <v>791</v>
      </c>
      <c r="G3" s="0" t="n">
        <v>8.02149883378968</v>
      </c>
      <c r="H3" s="0" t="n">
        <v>236</v>
      </c>
      <c r="I3" s="0" t="n">
        <v>645</v>
      </c>
      <c r="J3" s="0" t="n">
        <v>6.54091877091573</v>
      </c>
      <c r="K3" s="0" t="n">
        <v>0.85</v>
      </c>
      <c r="L3" s="0" t="n">
        <v>2845</v>
      </c>
      <c r="M3" s="0" t="n">
        <v>1331</v>
      </c>
      <c r="N3" s="0" t="n">
        <v>1514</v>
      </c>
      <c r="O3" s="0" t="n">
        <v>6929</v>
      </c>
      <c r="S3" s="0" t="n">
        <v>2213</v>
      </c>
      <c r="U3" s="0" t="n">
        <v>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11023</v>
      </c>
      <c r="F4" s="0" t="n">
        <v>449</v>
      </c>
      <c r="G4" s="0" t="n">
        <v>4.07330127914361</v>
      </c>
      <c r="H4" s="0" t="n">
        <v>1048</v>
      </c>
      <c r="I4" s="0" t="n">
        <v>178</v>
      </c>
      <c r="J4" s="0" t="n">
        <v>1.61480540687653</v>
      </c>
      <c r="K4" s="0" t="n">
        <v>0.24</v>
      </c>
      <c r="L4" s="0" t="n">
        <v>-1521</v>
      </c>
      <c r="M4" s="0" t="n">
        <v>-923</v>
      </c>
      <c r="N4" s="0" t="n">
        <v>-2444</v>
      </c>
      <c r="O4" s="0" t="n">
        <v>4941</v>
      </c>
      <c r="P4" s="0" t="n">
        <v>14068</v>
      </c>
      <c r="R4" s="0" t="n">
        <v>3661</v>
      </c>
      <c r="S4" s="0" t="n">
        <v>1368</v>
      </c>
      <c r="U4" s="0" t="n">
        <v>18</v>
      </c>
      <c r="V4" s="0" t="n">
        <v>0.018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10350</v>
      </c>
      <c r="F5" s="0" t="n">
        <v>262</v>
      </c>
      <c r="G5" s="0" t="n">
        <v>2.53140096618358</v>
      </c>
      <c r="H5" s="0" t="n">
        <v>878</v>
      </c>
      <c r="I5" s="0" t="n">
        <v>99</v>
      </c>
      <c r="J5" s="0" t="n">
        <v>0.956521739130435</v>
      </c>
      <c r="K5" s="0" t="n">
        <v>0.13</v>
      </c>
      <c r="L5" s="0" t="n">
        <v>985</v>
      </c>
      <c r="M5" s="0" t="n">
        <v>585</v>
      </c>
      <c r="N5" s="0" t="n">
        <v>400</v>
      </c>
      <c r="O5" s="0" t="n">
        <v>5454</v>
      </c>
      <c r="P5" s="0" t="n">
        <v>14269</v>
      </c>
      <c r="R5" s="0" t="n">
        <v>3515</v>
      </c>
      <c r="S5" s="0" t="n">
        <v>1114</v>
      </c>
      <c r="T5" s="0" t="n">
        <v>741</v>
      </c>
      <c r="U5" s="0" t="n">
        <v>13</v>
      </c>
      <c r="V5" s="0" t="n">
        <v>0.018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12104</v>
      </c>
      <c r="F6" s="0" t="n">
        <v>988</v>
      </c>
      <c r="G6" s="0" t="n">
        <v>8.16259087904825</v>
      </c>
      <c r="H6" s="0" t="n">
        <v>1616</v>
      </c>
      <c r="I6" s="0" t="n">
        <v>459</v>
      </c>
      <c r="J6" s="0" t="n">
        <v>3.79213483146067</v>
      </c>
      <c r="K6" s="0" t="n">
        <v>0.62</v>
      </c>
      <c r="L6" s="0" t="n">
        <v>1561</v>
      </c>
      <c r="M6" s="0" t="n">
        <v>493</v>
      </c>
      <c r="N6" s="0" t="n">
        <v>1068</v>
      </c>
      <c r="O6" s="0" t="n">
        <v>6237</v>
      </c>
      <c r="P6" s="0" t="n">
        <v>15463</v>
      </c>
      <c r="R6" s="0" t="n">
        <v>3380</v>
      </c>
      <c r="S6" s="0" t="n">
        <v>1261</v>
      </c>
      <c r="T6" s="0" t="n">
        <v>747</v>
      </c>
      <c r="U6" s="0" t="n">
        <v>12</v>
      </c>
      <c r="V6" s="0" t="n">
        <v>0.018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15658</v>
      </c>
      <c r="F7" s="0" t="n">
        <v>693</v>
      </c>
      <c r="G7" s="0" t="n">
        <v>4.42585259931026</v>
      </c>
      <c r="H7" s="0" t="n">
        <v>1408</v>
      </c>
      <c r="I7" s="0" t="n">
        <v>178</v>
      </c>
      <c r="J7" s="0" t="n">
        <v>1.13679908034232</v>
      </c>
      <c r="K7" s="0" t="n">
        <v>0.23</v>
      </c>
      <c r="L7" s="0" t="n">
        <v>1356</v>
      </c>
      <c r="M7" s="0" t="n">
        <v>968</v>
      </c>
      <c r="N7" s="0" t="n">
        <v>388</v>
      </c>
      <c r="O7" s="0" t="n">
        <v>6877</v>
      </c>
      <c r="P7" s="0" t="n">
        <v>18068</v>
      </c>
      <c r="R7" s="0" t="n">
        <v>3751</v>
      </c>
      <c r="S7" s="0" t="n">
        <v>829</v>
      </c>
      <c r="T7" s="0" t="n">
        <v>775</v>
      </c>
      <c r="U7" s="0" t="n">
        <v>13</v>
      </c>
      <c r="V7" s="0" t="n">
        <v>0.018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17088</v>
      </c>
      <c r="F8" s="0" t="n">
        <v>623</v>
      </c>
      <c r="G8" s="0" t="n">
        <v>3.64583333333333</v>
      </c>
      <c r="H8" s="0" t="n">
        <v>1467</v>
      </c>
      <c r="I8" s="0" t="n">
        <v>421</v>
      </c>
      <c r="J8" s="0" t="n">
        <v>2.46371722846442</v>
      </c>
      <c r="K8" s="0" t="n">
        <v>0.56</v>
      </c>
      <c r="L8" s="0" t="n">
        <v>2064</v>
      </c>
      <c r="M8" s="0" t="n">
        <v>1348</v>
      </c>
      <c r="N8" s="0" t="n">
        <v>716</v>
      </c>
      <c r="O8" s="0" t="n">
        <v>6992</v>
      </c>
      <c r="P8" s="0" t="n">
        <v>18596</v>
      </c>
      <c r="R8" s="0" t="n">
        <v>3154</v>
      </c>
      <c r="S8" s="0" t="n">
        <v>1113</v>
      </c>
      <c r="T8" s="0" t="n">
        <v>757</v>
      </c>
      <c r="U8" s="0" t="n">
        <v>16</v>
      </c>
      <c r="V8" s="0" t="n">
        <v>0.0345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17699</v>
      </c>
      <c r="F9" s="0" t="n">
        <v>1278</v>
      </c>
      <c r="G9" s="0" t="n">
        <v>7.22074693485508</v>
      </c>
      <c r="H9" s="0" t="n">
        <v>2145</v>
      </c>
      <c r="I9" s="0" t="n">
        <v>754</v>
      </c>
      <c r="J9" s="0" t="n">
        <v>4.26012769082999</v>
      </c>
      <c r="K9" s="0" t="n">
        <v>1.06</v>
      </c>
      <c r="L9" s="0" t="n">
        <v>2477</v>
      </c>
      <c r="M9" s="0" t="n">
        <v>1433</v>
      </c>
      <c r="N9" s="0" t="n">
        <v>1044</v>
      </c>
      <c r="O9" s="0" t="n">
        <v>7336</v>
      </c>
      <c r="P9" s="0" t="n">
        <v>19345</v>
      </c>
      <c r="R9" s="0" t="n">
        <v>2820</v>
      </c>
      <c r="S9" s="0" t="n">
        <v>1355</v>
      </c>
      <c r="T9" s="0" t="n">
        <v>718</v>
      </c>
      <c r="U9" s="0" t="n">
        <v>18</v>
      </c>
      <c r="V9" s="0" t="n">
        <v>0.13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18605</v>
      </c>
      <c r="F10" s="0" t="n">
        <v>2225</v>
      </c>
      <c r="G10" s="0" t="n">
        <v>11.9591507659231</v>
      </c>
      <c r="H10" s="0" t="n">
        <v>3163</v>
      </c>
      <c r="I10" s="0" t="n">
        <v>1136</v>
      </c>
      <c r="J10" s="0" t="n">
        <v>6.1058855146466</v>
      </c>
      <c r="K10" s="0" t="n">
        <v>1.65</v>
      </c>
      <c r="L10" s="0" t="n">
        <v>2902</v>
      </c>
      <c r="M10" s="0" t="n">
        <v>1748</v>
      </c>
      <c r="N10" s="0" t="n">
        <v>1154</v>
      </c>
      <c r="O10" s="0" t="n">
        <v>6775</v>
      </c>
      <c r="P10" s="0" t="n">
        <v>19723</v>
      </c>
      <c r="R10" s="0" t="n">
        <v>2692</v>
      </c>
      <c r="S10" s="0" t="n">
        <v>1282</v>
      </c>
      <c r="T10" s="0" t="n">
        <v>696</v>
      </c>
      <c r="U10" s="0" t="n">
        <v>21</v>
      </c>
      <c r="V10" s="0" t="n">
        <v>0.22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19820</v>
      </c>
      <c r="F11" s="0" t="n">
        <v>4116</v>
      </c>
      <c r="G11" s="0" t="n">
        <v>20.7669021190716</v>
      </c>
      <c r="H11" s="0" t="n">
        <v>5131</v>
      </c>
      <c r="I11" s="0" t="n">
        <v>2181</v>
      </c>
      <c r="J11" s="0" t="n">
        <v>11.0040363269425</v>
      </c>
      <c r="K11" s="0" t="n">
        <v>3.3</v>
      </c>
      <c r="L11" s="0" t="n">
        <v>3238</v>
      </c>
      <c r="M11" s="0" t="n">
        <v>2041</v>
      </c>
      <c r="N11" s="0" t="n">
        <v>1197</v>
      </c>
      <c r="O11" s="0" t="n">
        <v>6762</v>
      </c>
      <c r="P11" s="0" t="n">
        <v>21312</v>
      </c>
      <c r="R11" s="0" t="n">
        <v>3178</v>
      </c>
      <c r="S11" s="0" t="n">
        <v>1583</v>
      </c>
      <c r="T11" s="0" t="n">
        <v>669</v>
      </c>
      <c r="U11" s="0" t="n">
        <v>29</v>
      </c>
      <c r="V11" s="0" t="n">
        <v>0.285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20289</v>
      </c>
      <c r="F12" s="0" t="n">
        <v>3522</v>
      </c>
      <c r="G12" s="0" t="n">
        <v>17.3591601360343</v>
      </c>
      <c r="H12" s="0" t="n">
        <v>4743</v>
      </c>
      <c r="I12" s="0" t="n">
        <v>2183</v>
      </c>
      <c r="J12" s="0" t="n">
        <v>10.7595248656908</v>
      </c>
      <c r="K12" s="0" t="n">
        <v>3.48</v>
      </c>
      <c r="L12" s="0" t="n">
        <v>4293</v>
      </c>
      <c r="M12" s="0" t="n">
        <v>2038</v>
      </c>
      <c r="N12" s="0" t="n">
        <v>2255</v>
      </c>
      <c r="O12" s="0" t="n">
        <v>7784</v>
      </c>
      <c r="P12" s="0" t="n">
        <v>23286</v>
      </c>
      <c r="R12" s="0" t="n">
        <v>3387</v>
      </c>
      <c r="S12" s="0" t="n">
        <v>1680</v>
      </c>
      <c r="T12" s="0" t="n">
        <v>633</v>
      </c>
      <c r="U12" s="0" t="n">
        <v>33</v>
      </c>
      <c r="V12" s="0" t="n">
        <v>0.375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21146</v>
      </c>
      <c r="F13" s="0" t="n">
        <v>3407</v>
      </c>
      <c r="G13" s="0" t="n">
        <v>16.1117941927551</v>
      </c>
      <c r="H13" s="0" t="n">
        <v>4625</v>
      </c>
      <c r="I13" s="0" t="n">
        <v>3357</v>
      </c>
      <c r="J13" s="0" t="n">
        <v>15.8753428544406</v>
      </c>
      <c r="K13" s="0" t="n">
        <v>5.58</v>
      </c>
      <c r="L13" s="0" t="n">
        <v>3929</v>
      </c>
      <c r="M13" s="0" t="n">
        <v>2123</v>
      </c>
      <c r="N13" s="0" t="n">
        <v>1806</v>
      </c>
      <c r="O13" s="0" t="n">
        <v>9641</v>
      </c>
      <c r="P13" s="0" t="n">
        <v>25110</v>
      </c>
      <c r="R13" s="0" t="n">
        <v>3668</v>
      </c>
      <c r="S13" s="0" t="n">
        <v>1495</v>
      </c>
      <c r="T13" s="0" t="n">
        <v>603</v>
      </c>
      <c r="U13" s="0" t="n">
        <v>37</v>
      </c>
      <c r="V13" s="0" t="n">
        <v>0.475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21965</v>
      </c>
      <c r="F14" s="0" t="n">
        <v>3206</v>
      </c>
      <c r="G14" s="0" t="n">
        <v>14.5959480992488</v>
      </c>
      <c r="H14" s="0" t="n">
        <v>4407</v>
      </c>
      <c r="I14" s="0" t="n">
        <v>2465</v>
      </c>
      <c r="J14" s="0" t="n">
        <v>11.2223992715684</v>
      </c>
      <c r="K14" s="0" t="n">
        <v>4.3</v>
      </c>
      <c r="L14" s="0" t="n">
        <v>4893</v>
      </c>
      <c r="M14" s="0" t="n">
        <v>1922</v>
      </c>
      <c r="N14" s="0" t="n">
        <v>2971</v>
      </c>
      <c r="O14" s="0" t="n">
        <v>9853</v>
      </c>
      <c r="P14" s="0" t="n">
        <v>26243</v>
      </c>
      <c r="R14" s="0" t="n">
        <v>3377</v>
      </c>
      <c r="S14" s="0" t="n">
        <v>1854</v>
      </c>
      <c r="T14" s="0" t="n">
        <v>574</v>
      </c>
      <c r="U14" s="0" t="n">
        <v>46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22428</v>
      </c>
      <c r="F15" s="0" t="n">
        <v>2957</v>
      </c>
      <c r="G15" s="0" t="n">
        <v>13.1844123417157</v>
      </c>
      <c r="H15" s="0" t="n">
        <v>4176</v>
      </c>
      <c r="I15" s="0" t="n">
        <v>2300</v>
      </c>
      <c r="J15" s="0" t="n">
        <v>10.255038344926</v>
      </c>
      <c r="K15" s="0" t="n">
        <v>4.28</v>
      </c>
      <c r="L15" s="0" t="n">
        <v>3987</v>
      </c>
      <c r="M15" s="0" t="n">
        <v>1027</v>
      </c>
      <c r="N15" s="0" t="n">
        <v>2960</v>
      </c>
      <c r="O15" s="0" t="n">
        <v>9832</v>
      </c>
      <c r="P15" s="0" t="n">
        <v>25895</v>
      </c>
      <c r="R15" s="0" t="n">
        <v>2665</v>
      </c>
      <c r="S15" s="0" t="n">
        <v>2548</v>
      </c>
      <c r="T15" s="0" t="n">
        <v>539</v>
      </c>
      <c r="U15" s="0" t="n">
        <v>55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9048</v>
      </c>
      <c r="F16" s="0" t="n">
        <v>-3816</v>
      </c>
      <c r="G16" s="0" t="n">
        <v>-42.1750663129974</v>
      </c>
      <c r="H16" s="0" t="n">
        <v>-2561</v>
      </c>
      <c r="I16" s="0" t="n">
        <v>-3074</v>
      </c>
      <c r="J16" s="0" t="n">
        <v>-33.974358974359</v>
      </c>
      <c r="K16" s="0" t="n">
        <v>-5.44</v>
      </c>
      <c r="L16" s="0" t="n">
        <v>-1127</v>
      </c>
      <c r="M16" s="0" t="n">
        <v>515</v>
      </c>
      <c r="N16" s="0" t="n">
        <v>-1642</v>
      </c>
      <c r="O16" s="0" t="n">
        <v>8876</v>
      </c>
      <c r="P16" s="0" t="n">
        <v>34588</v>
      </c>
      <c r="R16" s="0" t="n">
        <v>10331</v>
      </c>
      <c r="S16" s="0" t="n">
        <v>11063</v>
      </c>
      <c r="T16" s="0" t="n">
        <v>565</v>
      </c>
      <c r="U16" s="0" t="n">
        <v>17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15790</v>
      </c>
      <c r="F17" s="0" t="n">
        <v>1721</v>
      </c>
      <c r="G17" s="0" t="n">
        <v>10.8993033565548</v>
      </c>
      <c r="H17" s="0" t="n">
        <v>2993</v>
      </c>
      <c r="I17" s="0" t="n">
        <v>977</v>
      </c>
      <c r="J17" s="0" t="n">
        <v>6.18746041798607</v>
      </c>
      <c r="K17" s="0" t="n">
        <v>1.65</v>
      </c>
      <c r="L17" s="0" t="n">
        <v>2322</v>
      </c>
      <c r="M17" s="0" t="n">
        <v>505</v>
      </c>
      <c r="N17" s="0" t="n">
        <v>1817</v>
      </c>
      <c r="O17" s="0" t="n">
        <v>10414</v>
      </c>
      <c r="P17" s="0" t="n">
        <v>36320</v>
      </c>
      <c r="R17" s="0" t="n">
        <v>10727</v>
      </c>
      <c r="S17" s="0" t="n">
        <v>12480</v>
      </c>
      <c r="T17" s="0" t="n">
        <v>609</v>
      </c>
      <c r="U17" s="0" t="n">
        <v>58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23814</v>
      </c>
      <c r="F18" s="0" t="n">
        <v>1017</v>
      </c>
      <c r="G18" s="0" t="n">
        <v>4.27059712773999</v>
      </c>
      <c r="H18" s="0" t="n">
        <v>2368</v>
      </c>
      <c r="I18" s="0" t="n">
        <v>539</v>
      </c>
      <c r="J18" s="0" t="n">
        <v>2.26337448559671</v>
      </c>
      <c r="K18" s="0" t="n">
        <v>0.91</v>
      </c>
      <c r="L18" s="0" t="n">
        <v>3790</v>
      </c>
      <c r="M18" s="0" t="n">
        <v>3924</v>
      </c>
      <c r="N18" s="0" t="n">
        <v>-134</v>
      </c>
      <c r="O18" s="0" t="n">
        <v>10687</v>
      </c>
      <c r="P18" s="0" t="n">
        <v>35369</v>
      </c>
      <c r="R18" s="0" t="n">
        <v>8088</v>
      </c>
      <c r="S18" s="0" t="n">
        <v>9492</v>
      </c>
      <c r="T18" s="0" t="n">
        <v>642</v>
      </c>
      <c r="U18" s="0" t="n">
        <v>84</v>
      </c>
      <c r="V18" s="0" t="n">
        <v>0.18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26091</v>
      </c>
      <c r="F19" s="0" t="n">
        <v>224</v>
      </c>
      <c r="G19" s="0" t="n">
        <v>0.858533593959603</v>
      </c>
      <c r="H19" s="0" t="n">
        <v>1746</v>
      </c>
      <c r="I19" s="0" t="n">
        <v>465</v>
      </c>
      <c r="J19" s="0" t="n">
        <v>1.78222375531793</v>
      </c>
      <c r="K19" s="0" t="n">
        <v>0.78</v>
      </c>
      <c r="L19" s="0" t="n">
        <v>3164</v>
      </c>
      <c r="M19" s="0" t="n">
        <v>3520</v>
      </c>
      <c r="N19" s="0" t="n">
        <v>-356</v>
      </c>
      <c r="O19" s="0" t="n">
        <v>10515</v>
      </c>
      <c r="P19" s="0" t="n">
        <v>36487</v>
      </c>
      <c r="R19" s="0" t="n">
        <v>8007</v>
      </c>
      <c r="S19" s="0" t="n">
        <v>9288</v>
      </c>
      <c r="T19" s="0" t="n">
        <v>640</v>
      </c>
      <c r="U19" s="0" t="n">
        <v>86</v>
      </c>
      <c r="V19" s="0" t="n">
        <v>0.72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27483</v>
      </c>
      <c r="F20" s="0" t="n">
        <v>321</v>
      </c>
      <c r="G20" s="0" t="n">
        <v>1.16799476039734</v>
      </c>
      <c r="H20" s="0" t="n">
        <v>1978</v>
      </c>
      <c r="I20" s="0" t="n">
        <v>465</v>
      </c>
      <c r="J20" s="0" t="n">
        <v>1.69195502674381</v>
      </c>
      <c r="K20" s="0" t="n">
        <v>0.78</v>
      </c>
      <c r="L20" s="0" t="n">
        <v>462</v>
      </c>
      <c r="M20" s="0" t="n">
        <v>2054</v>
      </c>
      <c r="N20" s="0" t="n">
        <v>-1592</v>
      </c>
      <c r="O20" s="0" t="n">
        <v>10350</v>
      </c>
      <c r="P20" s="0" t="n">
        <v>33750</v>
      </c>
      <c r="R20" s="0" t="n">
        <v>6699</v>
      </c>
      <c r="S20" s="0" t="n">
        <v>7509</v>
      </c>
      <c r="T20" s="0" t="n">
        <v>643</v>
      </c>
      <c r="U20" s="0" t="n">
        <v>45</v>
      </c>
      <c r="V20" s="0" t="n">
        <v>0.72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28063</v>
      </c>
      <c r="F21" s="0" t="n">
        <v>428</v>
      </c>
      <c r="G21" s="0" t="n">
        <v>1.5251398638777</v>
      </c>
      <c r="H21" s="0" t="n">
        <v>1988</v>
      </c>
      <c r="I21" s="0" t="n">
        <v>441</v>
      </c>
      <c r="J21" s="0" t="n">
        <v>1.57146420553754</v>
      </c>
      <c r="K21" s="0" t="n">
        <v>0.82</v>
      </c>
      <c r="L21" s="0" t="n">
        <v>1842</v>
      </c>
      <c r="M21" s="0" t="n">
        <v>2673</v>
      </c>
      <c r="N21" s="0" t="n">
        <v>-831</v>
      </c>
      <c r="O21" s="0" t="n">
        <v>7981</v>
      </c>
      <c r="P21" s="0" t="n">
        <v>29061</v>
      </c>
      <c r="R21" s="0" t="n">
        <v>5253</v>
      </c>
      <c r="S21" s="0" t="n">
        <v>3231</v>
      </c>
      <c r="T21" s="0" t="n">
        <v>558</v>
      </c>
      <c r="U21" s="0" t="n">
        <v>99</v>
      </c>
      <c r="V21" s="0" t="n">
        <v>0.72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41.84</v>
      </c>
    </row>
    <row r="3" customFormat="false" ht="15" hidden="false" customHeight="false" outlineLevel="0" collapsed="false">
      <c r="A3" s="0" t="s">
        <v>86</v>
      </c>
      <c r="B3" s="3" t="n">
        <v>493</v>
      </c>
    </row>
    <row r="4" customFormat="false" ht="15" hidden="false" customHeight="false" outlineLevel="0" collapsed="false">
      <c r="A4" s="0" t="s">
        <v>87</v>
      </c>
      <c r="B4" s="3" t="n">
        <v>2155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28063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12.5</v>
      </c>
      <c r="D13" s="3" t="n">
        <v>2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11.5</v>
      </c>
      <c r="D14" s="3" t="n">
        <v>11.5</v>
      </c>
      <c r="E14" s="3" t="n">
        <v>12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108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5.2</v>
      </c>
      <c r="D17" s="3" t="n">
        <v>5.3</v>
      </c>
      <c r="E17" s="3" t="n">
        <v>5.4</v>
      </c>
      <c r="F17" s="3" t="n">
        <v>5.5</v>
      </c>
      <c r="G17" s="3" t="n">
        <v>5.6</v>
      </c>
      <c r="H17" s="3" t="n">
        <v>5.7</v>
      </c>
      <c r="I17" s="3" t="n">
        <v>5.8</v>
      </c>
      <c r="J17" s="3" t="n">
        <v>5.8</v>
      </c>
      <c r="K17" s="3" t="n">
        <v>5.8</v>
      </c>
      <c r="L17" s="3" t="n">
        <v>5.8</v>
      </c>
    </row>
    <row r="18" customFormat="false" ht="15" hidden="false" customHeight="false" outlineLevel="0" collapsed="false">
      <c r="A18" s="0" t="s">
        <v>111</v>
      </c>
      <c r="C18" s="3" t="n">
        <v>9</v>
      </c>
      <c r="D18" s="3" t="n">
        <v>9</v>
      </c>
      <c r="E18" s="3" t="n">
        <v>8.5</v>
      </c>
      <c r="F18" s="3" t="n">
        <v>8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112</v>
      </c>
      <c r="C19" s="3" t="n">
        <v>10</v>
      </c>
      <c r="D19" s="3" t="n">
        <v>14</v>
      </c>
      <c r="E19" s="3" t="n">
        <v>18</v>
      </c>
      <c r="F19" s="3" t="n">
        <v>21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14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12.5</v>
      </c>
      <c r="D28" s="3" t="n">
        <v>13.5</v>
      </c>
      <c r="E28" s="3" t="n">
        <v>14.5</v>
      </c>
      <c r="F28" s="3" t="n">
        <v>15</v>
      </c>
      <c r="G28" s="3" t="n">
        <v>15.5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108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5.2</v>
      </c>
      <c r="D31" s="3" t="n">
        <v>5.3</v>
      </c>
      <c r="E31" s="3" t="n">
        <v>5.4</v>
      </c>
      <c r="F31" s="3" t="n">
        <v>5.5</v>
      </c>
      <c r="G31" s="3" t="n">
        <v>5.6</v>
      </c>
      <c r="H31" s="3" t="n">
        <v>5.7</v>
      </c>
      <c r="I31" s="3" t="n">
        <v>5.8</v>
      </c>
      <c r="J31" s="3" t="n">
        <v>5.8</v>
      </c>
      <c r="K31" s="3" t="n">
        <v>5.8</v>
      </c>
      <c r="L31" s="3" t="n">
        <v>5.8</v>
      </c>
    </row>
    <row r="32" customFormat="false" ht="15" hidden="false" customHeight="false" outlineLevel="0" collapsed="false">
      <c r="A32" s="0" t="s">
        <v>111</v>
      </c>
      <c r="C32" s="3" t="n">
        <v>9</v>
      </c>
      <c r="D32" s="3" t="n">
        <v>9.5</v>
      </c>
      <c r="E32" s="3" t="n">
        <v>9.5</v>
      </c>
      <c r="F32" s="3" t="n">
        <v>9</v>
      </c>
      <c r="G32" s="3" t="n">
        <v>8.5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112</v>
      </c>
      <c r="C33" s="3" t="n">
        <v>10</v>
      </c>
      <c r="D33" s="3" t="n">
        <v>14</v>
      </c>
      <c r="E33" s="3" t="n">
        <v>18</v>
      </c>
      <c r="F33" s="3" t="n">
        <v>21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15</v>
      </c>
      <c r="D41" s="3" t="n">
        <v>7</v>
      </c>
      <c r="E41" s="3" t="n">
        <v>6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13</v>
      </c>
      <c r="D42" s="3" t="n">
        <v>15</v>
      </c>
      <c r="E42" s="3" t="n">
        <v>16.5</v>
      </c>
      <c r="F42" s="3" t="n">
        <v>17.5</v>
      </c>
      <c r="G42" s="3" t="n">
        <v>18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108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5.2</v>
      </c>
      <c r="D45" s="3" t="n">
        <v>5.3</v>
      </c>
      <c r="E45" s="3" t="n">
        <v>5.4</v>
      </c>
      <c r="F45" s="3" t="n">
        <v>5.5</v>
      </c>
      <c r="G45" s="3" t="n">
        <v>5.6</v>
      </c>
      <c r="H45" s="3" t="n">
        <v>5.7</v>
      </c>
      <c r="I45" s="3" t="n">
        <v>5.8</v>
      </c>
      <c r="J45" s="3" t="n">
        <v>5.8</v>
      </c>
      <c r="K45" s="3" t="n">
        <v>5.8</v>
      </c>
      <c r="L45" s="3" t="n">
        <v>5.8</v>
      </c>
    </row>
    <row r="46" customFormat="false" ht="15" hidden="false" customHeight="false" outlineLevel="0" collapsed="false">
      <c r="A46" s="0" t="s">
        <v>111</v>
      </c>
      <c r="C46" s="3" t="n">
        <v>9</v>
      </c>
      <c r="D46" s="3" t="n">
        <v>9.5</v>
      </c>
      <c r="E46" s="3" t="n">
        <v>9.5</v>
      </c>
      <c r="F46" s="3" t="n">
        <v>9</v>
      </c>
      <c r="G46" s="3" t="n">
        <v>8.5</v>
      </c>
      <c r="H46" s="3" t="n">
        <v>8.5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112</v>
      </c>
      <c r="C47" s="3" t="n">
        <v>10</v>
      </c>
      <c r="D47" s="3" t="n">
        <v>14</v>
      </c>
      <c r="E47" s="3" t="n">
        <v>18</v>
      </c>
      <c r="F47" s="3" t="n">
        <v>21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12</v>
      </c>
    </row>
    <row r="51" customFormat="false" ht="15" hidden="false" customHeight="false" outlineLevel="0" collapsed="false">
      <c r="A51" s="0" t="s">
        <v>116</v>
      </c>
      <c r="B51" s="3" t="n">
        <v>10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12.5</v>
      </c>
      <c r="D5" s="4" t="n">
        <f aca="false">Assumptions!D13</f>
        <v>2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28063</v>
      </c>
      <c r="C6" s="0" t="n">
        <f aca="false">B6*(1+C5/100)</f>
        <v>31570.875</v>
      </c>
      <c r="D6" s="0" t="n">
        <f aca="false">C6*(1+D5/100)</f>
        <v>32202.2925</v>
      </c>
      <c r="E6" s="0" t="n">
        <f aca="false">D6*(1+E5/100)</f>
        <v>32685.3268875</v>
      </c>
      <c r="F6" s="0" t="n">
        <f aca="false">E6*(1+F5/100)</f>
        <v>33175.6067908125</v>
      </c>
      <c r="G6" s="0" t="n">
        <f aca="false">F6*(1+G5/100)</f>
        <v>33673.2408926747</v>
      </c>
      <c r="H6" s="0" t="n">
        <f aca="false">G6*(1+H5/100)</f>
        <v>34178.3395060648</v>
      </c>
      <c r="I6" s="0" t="n">
        <f aca="false">H6*(1+I5/100)</f>
        <v>34691.0145986558</v>
      </c>
      <c r="J6" s="0" t="n">
        <f aca="false">I6*(1+J5/100)</f>
        <v>35211.3798176356</v>
      </c>
      <c r="K6" s="0" t="n">
        <f aca="false">J6*(1+K5/100)</f>
        <v>35739.5505149001</v>
      </c>
      <c r="L6" s="0" t="n">
        <f aca="false">K6*(1+L5/100)</f>
        <v>36275.6437726236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11.5</v>
      </c>
      <c r="D7" s="4" t="n">
        <f aca="false">Assumptions!D14</f>
        <v>11.5</v>
      </c>
      <c r="E7" s="4" t="n">
        <f aca="false">Assumptions!E14</f>
        <v>12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3630.650625</v>
      </c>
      <c r="D8" s="0" t="n">
        <f aca="false">D6*D7/100</f>
        <v>3703.2636375</v>
      </c>
      <c r="E8" s="0" t="n">
        <f aca="false">E6*E7/100</f>
        <v>3922.2392265</v>
      </c>
      <c r="F8" s="0" t="n">
        <f aca="false">F6*F7/100</f>
        <v>3981.0728148975</v>
      </c>
      <c r="G8" s="0" t="n">
        <f aca="false">G6*G7/100</f>
        <v>4040.78890712096</v>
      </c>
      <c r="H8" s="0" t="n">
        <f aca="false">H6*H7/100</f>
        <v>4101.40074072778</v>
      </c>
      <c r="I8" s="0" t="n">
        <f aca="false">I6*I7/100</f>
        <v>4162.92175183869</v>
      </c>
      <c r="J8" s="0" t="n">
        <f aca="false">J6*J7/100</f>
        <v>4225.36557811627</v>
      </c>
      <c r="K8" s="0" t="n">
        <f aca="false">K6*K7/100</f>
        <v>4288.74606178801</v>
      </c>
      <c r="L8" s="0" t="n">
        <f aca="false">L6*L7/100</f>
        <v>4353.07725271483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-110.4980625</v>
      </c>
      <c r="D10" s="0" t="n">
        <f aca="false">-D6*D9/100</f>
        <v>-112.70802375</v>
      </c>
      <c r="E10" s="0" t="n">
        <f aca="false">-E6*E9/100</f>
        <v>-114.39864410625</v>
      </c>
      <c r="F10" s="0" t="n">
        <f aca="false">-F6*F9/100</f>
        <v>-116.114623767844</v>
      </c>
      <c r="G10" s="0" t="n">
        <f aca="false">-G6*G9/100</f>
        <v>-117.856343124361</v>
      </c>
      <c r="H10" s="0" t="n">
        <f aca="false">-H6*H9/100</f>
        <v>-119.624188271227</v>
      </c>
      <c r="I10" s="0" t="n">
        <f aca="false">-I6*I9/100</f>
        <v>-121.418551095295</v>
      </c>
      <c r="J10" s="0" t="n">
        <f aca="false">-J6*J9/100</f>
        <v>-123.239829361725</v>
      </c>
      <c r="K10" s="0" t="n">
        <f aca="false">-K6*K9/100</f>
        <v>-125.08842680215</v>
      </c>
      <c r="L10" s="0" t="n">
        <f aca="false">-L6*L9/100</f>
        <v>-126.964753204183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3520.1525625</v>
      </c>
      <c r="D11" s="0" t="n">
        <f aca="false">D8+D10+D24</f>
        <v>3590.55561375</v>
      </c>
      <c r="E11" s="0" t="n">
        <f aca="false">E8+E10+E24</f>
        <v>3807.84058239375</v>
      </c>
      <c r="F11" s="0" t="n">
        <f aca="false">F8+F10+F24</f>
        <v>3864.95819112966</v>
      </c>
      <c r="G11" s="0" t="n">
        <f aca="false">G8+G10+G24</f>
        <v>3922.9325639966</v>
      </c>
      <c r="H11" s="0" t="n">
        <f aca="false">H8+H10+H24</f>
        <v>3981.77655245655</v>
      </c>
      <c r="I11" s="0" t="n">
        <f aca="false">I8+I10+I24</f>
        <v>4041.5032007434</v>
      </c>
      <c r="J11" s="0" t="n">
        <f aca="false">J8+J10+J24</f>
        <v>4102.12574875455</v>
      </c>
      <c r="K11" s="0" t="n">
        <f aca="false">K8+K10+K24</f>
        <v>4163.65763498586</v>
      </c>
      <c r="L11" s="0" t="n">
        <f aca="false">L8+L10+L24</f>
        <v>4226.11249951065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-1641.6855</v>
      </c>
      <c r="D12" s="4" t="n">
        <f aca="false">-D6*Assumptions!D17/100</f>
        <v>-1706.7215025</v>
      </c>
      <c r="E12" s="4" t="n">
        <f aca="false">-E6*Assumptions!E17/100</f>
        <v>-1765.007651925</v>
      </c>
      <c r="F12" s="4" t="n">
        <f aca="false">-F6*Assumptions!F17/100</f>
        <v>-1824.65837349469</v>
      </c>
      <c r="G12" s="4" t="n">
        <f aca="false">-G6*Assumptions!G17/100</f>
        <v>-1885.70148998978</v>
      </c>
      <c r="H12" s="4" t="n">
        <f aca="false">-H6*Assumptions!H17/100</f>
        <v>-1948.16535184569</v>
      </c>
      <c r="I12" s="4" t="n">
        <f aca="false">-I6*Assumptions!I17/100</f>
        <v>-2012.07884672203</v>
      </c>
      <c r="J12" s="4" t="n">
        <f aca="false">-J6*Assumptions!J17/100</f>
        <v>-2042.26002942286</v>
      </c>
      <c r="K12" s="4" t="n">
        <f aca="false">-K6*Assumptions!K17/100</f>
        <v>-2072.89392986421</v>
      </c>
      <c r="L12" s="4" t="n">
        <f aca="false">-L6*Assumptions!L17/100</f>
        <v>-2103.98733881217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1878.4670625</v>
      </c>
      <c r="D13" s="0" t="n">
        <f aca="false">D11+D12</f>
        <v>1883.83411125</v>
      </c>
      <c r="E13" s="0" t="n">
        <f aca="false">E11+E12</f>
        <v>2042.83293046875</v>
      </c>
      <c r="F13" s="0" t="n">
        <f aca="false">F11+F12</f>
        <v>2040.29981763497</v>
      </c>
      <c r="G13" s="0" t="n">
        <f aca="false">G11+G12</f>
        <v>2037.23107400682</v>
      </c>
      <c r="H13" s="0" t="n">
        <f aca="false">H11+H12</f>
        <v>2033.61120061086</v>
      </c>
      <c r="I13" s="0" t="n">
        <f aca="false">I11+I12</f>
        <v>2029.42435402136</v>
      </c>
      <c r="J13" s="0" t="n">
        <f aca="false">J11+J12</f>
        <v>2059.86571933168</v>
      </c>
      <c r="K13" s="0" t="n">
        <f aca="false">K11+K12</f>
        <v>2090.76370512166</v>
      </c>
      <c r="L13" s="0" t="n">
        <f aca="false">L11+L12</f>
        <v>2122.12516069848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10</v>
      </c>
      <c r="D14" s="4" t="n">
        <f aca="false">Assumptions!D19</f>
        <v>14</v>
      </c>
      <c r="E14" s="4" t="n">
        <f aca="false">Assumptions!E19</f>
        <v>18</v>
      </c>
      <c r="F14" s="4" t="n">
        <f aca="false">Assumptions!F19</f>
        <v>21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1690.62035625</v>
      </c>
      <c r="D15" s="0" t="n">
        <f aca="false">D13-MAX(0,D13)*D14/100</f>
        <v>1620.097335675</v>
      </c>
      <c r="E15" s="0" t="n">
        <f aca="false">E13-MAX(0,E13)*E14/100</f>
        <v>1675.12300298438</v>
      </c>
      <c r="F15" s="0" t="n">
        <f aca="false">F13-MAX(0,F13)*F14/100</f>
        <v>1611.83685593163</v>
      </c>
      <c r="G15" s="0" t="n">
        <f aca="false">G13-MAX(0,G13)*G14/100</f>
        <v>1568.66792698525</v>
      </c>
      <c r="H15" s="0" t="n">
        <f aca="false">H13-MAX(0,H13)*H14/100</f>
        <v>1565.88062447036</v>
      </c>
      <c r="I15" s="0" t="n">
        <f aca="false">I13-MAX(0,I13)*I14/100</f>
        <v>1562.65675259645</v>
      </c>
      <c r="J15" s="0" t="n">
        <f aca="false">J13-MAX(0,J13)*J14/100</f>
        <v>1586.0966038854</v>
      </c>
      <c r="K15" s="0" t="n">
        <f aca="false">K13-MAX(0,K13)*K14/100</f>
        <v>1609.88805294368</v>
      </c>
      <c r="L15" s="0" t="n">
        <f aca="false">L13-MAX(0,L13)*L14/100</f>
        <v>1634.03637373783</v>
      </c>
    </row>
    <row r="16" customFormat="false" ht="15" hidden="false" customHeight="false" outlineLevel="0" collapsed="false">
      <c r="A16" s="0" t="s">
        <v>128</v>
      </c>
      <c r="C16" s="0" t="n">
        <f aca="false">-C12</f>
        <v>1641.6855</v>
      </c>
      <c r="D16" s="0" t="n">
        <f aca="false">-D12</f>
        <v>1706.7215025</v>
      </c>
      <c r="E16" s="0" t="n">
        <f aca="false">-E12</f>
        <v>1765.007651925</v>
      </c>
      <c r="F16" s="0" t="n">
        <f aca="false">-F12</f>
        <v>1824.65837349469</v>
      </c>
      <c r="G16" s="0" t="n">
        <f aca="false">-G12</f>
        <v>1885.70148998978</v>
      </c>
      <c r="H16" s="0" t="n">
        <f aca="false">-H12</f>
        <v>1948.16535184569</v>
      </c>
      <c r="I16" s="0" t="n">
        <f aca="false">-I12</f>
        <v>2012.07884672203</v>
      </c>
      <c r="J16" s="0" t="n">
        <f aca="false">-J12</f>
        <v>2042.26002942286</v>
      </c>
      <c r="K16" s="0" t="n">
        <f aca="false">-K12</f>
        <v>2072.89392986421</v>
      </c>
      <c r="L16" s="0" t="n">
        <f aca="false">-L12</f>
        <v>2103.98733881217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-2841.37875</v>
      </c>
      <c r="D17" s="4" t="n">
        <f aca="false">-D6*Assumptions!D18/100</f>
        <v>-2898.206325</v>
      </c>
      <c r="E17" s="4" t="n">
        <f aca="false">-E6*Assumptions!E18/100</f>
        <v>-2778.2527854375</v>
      </c>
      <c r="F17" s="4" t="n">
        <f aca="false">-F6*Assumptions!F18/100</f>
        <v>-2654.048543265</v>
      </c>
      <c r="G17" s="4" t="n">
        <f aca="false">-G6*Assumptions!G18/100</f>
        <v>-2525.4930669506</v>
      </c>
      <c r="H17" s="4" t="n">
        <f aca="false">-H6*Assumptions!H18/100</f>
        <v>-2563.37546295486</v>
      </c>
      <c r="I17" s="4" t="n">
        <f aca="false">-I6*Assumptions!I18/100</f>
        <v>-2601.82609489918</v>
      </c>
      <c r="J17" s="4" t="n">
        <f aca="false">-J6*Assumptions!J18/100</f>
        <v>-2640.85348632267</v>
      </c>
      <c r="K17" s="4" t="n">
        <f aca="false">-K6*Assumptions!K18/100</f>
        <v>-2680.46628861751</v>
      </c>
      <c r="L17" s="4" t="n">
        <f aca="false">-L6*Assumptions!L18/100</f>
        <v>-2720.67328294677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350.7875</v>
      </c>
      <c r="D18" s="4" t="n">
        <f aca="false">(D6-C6)*Assumptions!$B$23/100</f>
        <v>63.14175</v>
      </c>
      <c r="E18" s="4" t="n">
        <f aca="false">(E6-D6)*Assumptions!$B$23/100</f>
        <v>48.3034387499996</v>
      </c>
      <c r="F18" s="4" t="n">
        <f aca="false">(F6-E6)*Assumptions!$B$23/100</f>
        <v>49.0279903312494</v>
      </c>
      <c r="G18" s="4" t="n">
        <f aca="false">(G6-F6)*Assumptions!$B$23/100</f>
        <v>49.7634101862182</v>
      </c>
      <c r="H18" s="4" t="n">
        <f aca="false">(H6-G6)*Assumptions!$B$23/100</f>
        <v>50.5098613390117</v>
      </c>
      <c r="I18" s="4" t="n">
        <f aca="false">(I6-H6)*Assumptions!$B$23/100</f>
        <v>51.2675092590966</v>
      </c>
      <c r="J18" s="4" t="n">
        <f aca="false">(J6-I6)*Assumptions!$B$23/100</f>
        <v>52.036521897983</v>
      </c>
      <c r="K18" s="4" t="n">
        <f aca="false">(K6-J6)*Assumptions!$B$23/100</f>
        <v>52.8170697264533</v>
      </c>
      <c r="L18" s="4" t="n">
        <f aca="false">(L6-K6)*Assumptions!$B$23/100</f>
        <v>53.60932577235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841.71460625</v>
      </c>
      <c r="D19" s="0" t="n">
        <f aca="false">D15+D16+D17+D18</f>
        <v>491.754263175</v>
      </c>
      <c r="E19" s="0" t="n">
        <f aca="false">E15+E16+E17+E18</f>
        <v>710.181308221875</v>
      </c>
      <c r="F19" s="0" t="n">
        <f aca="false">F15+F16+F17+F18</f>
        <v>831.474676492562</v>
      </c>
      <c r="G19" s="0" t="n">
        <f aca="false">G15+G16+G17+G18</f>
        <v>978.639760210649</v>
      </c>
      <c r="H19" s="0" t="n">
        <f aca="false">H15+H16+H17+H18</f>
        <v>1001.1803747002</v>
      </c>
      <c r="I19" s="0" t="n">
        <f aca="false">I15+I16+I17+I18</f>
        <v>1024.1770136784</v>
      </c>
      <c r="J19" s="0" t="n">
        <f aca="false">J15+J16+J17+J18</f>
        <v>1039.53966888357</v>
      </c>
      <c r="K19" s="0" t="n">
        <f aca="false">K15+K16+K17+K18</f>
        <v>1055.13276391683</v>
      </c>
      <c r="L19" s="0" t="n">
        <f aca="false">L15+L16+L17+L18</f>
        <v>1070.95975537558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768.689138127854</v>
      </c>
      <c r="D21" s="0" t="n">
        <f aca="false">D19*D20</f>
        <v>410.12844867705</v>
      </c>
      <c r="E21" s="0" t="n">
        <f aca="false">E19*E20</f>
        <v>540.91232857433</v>
      </c>
      <c r="F21" s="0" t="n">
        <f aca="false">F19*F20</f>
        <v>578.352410650851</v>
      </c>
      <c r="G21" s="0" t="n">
        <f aca="false">G19*G20</f>
        <v>621.659050030611</v>
      </c>
      <c r="H21" s="0" t="n">
        <f aca="false">H19*H20</f>
        <v>580.80134424368</v>
      </c>
      <c r="I21" s="0" t="n">
        <f aca="false">I19*I20</f>
        <v>542.595503208254</v>
      </c>
      <c r="J21" s="0" t="n">
        <f aca="false">J19*J20</f>
        <v>502.953822608565</v>
      </c>
      <c r="K21" s="0" t="n">
        <f aca="false">K19*K20</f>
        <v>466.208337851775</v>
      </c>
      <c r="L21" s="0" t="n">
        <f aca="false">L19*L20</f>
        <v>432.147454721051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5444.44783869402</v>
      </c>
    </row>
    <row r="31" customFormat="false" ht="15" hidden="false" customHeight="false" outlineLevel="0" collapsed="false">
      <c r="A31" s="0" t="s">
        <v>137</v>
      </c>
      <c r="B31" s="0" t="n">
        <f aca="false">L19</f>
        <v>1070.95975537558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14565.0526731079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12851.517064507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12851.517064507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5185.76945665262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10630.2172953466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8475.21729534664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17.191110132549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-0.589122606774643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737.52574427809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696.756276219137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20.1004042917725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8402.91500371608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8.47281236172119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14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28063</v>
      </c>
      <c r="C6" s="0" t="n">
        <f aca="false">B6*(1+C5/100)</f>
        <v>31991.82</v>
      </c>
      <c r="D6" s="0" t="n">
        <f aca="false">C6*(1+D5/100)</f>
        <v>33591.411</v>
      </c>
      <c r="E6" s="0" t="n">
        <f aca="false">D6*(1+E5/100)</f>
        <v>35103.024495</v>
      </c>
      <c r="F6" s="0" t="n">
        <f aca="false">E6*(1+F5/100)</f>
        <v>36507.1454748</v>
      </c>
      <c r="G6" s="0" t="n">
        <f aca="false">F6*(1+G5/100)</f>
        <v>37784.895566418</v>
      </c>
      <c r="H6" s="0" t="n">
        <f aca="false">G6*(1+H5/100)</f>
        <v>38918.4424334105</v>
      </c>
      <c r="I6" s="0" t="n">
        <f aca="false">H6*(1+I5/100)</f>
        <v>40085.9957064129</v>
      </c>
      <c r="J6" s="0" t="n">
        <f aca="false">I6*(1+J5/100)</f>
        <v>41088.1455990732</v>
      </c>
      <c r="K6" s="0" t="n">
        <f aca="false">J6*(1+K5/100)</f>
        <v>42115.34923905</v>
      </c>
      <c r="L6" s="0" t="n">
        <f aca="false">K6*(1+L5/100)</f>
        <v>43168.2329700263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12.5</v>
      </c>
      <c r="D7" s="4" t="n">
        <f aca="false">Assumptions!D28</f>
        <v>13.5</v>
      </c>
      <c r="E7" s="4" t="n">
        <f aca="false">Assumptions!E28</f>
        <v>14.5</v>
      </c>
      <c r="F7" s="4" t="n">
        <f aca="false">Assumptions!F28</f>
        <v>15</v>
      </c>
      <c r="G7" s="4" t="n">
        <f aca="false">Assumptions!G28</f>
        <v>15.5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3998.9775</v>
      </c>
      <c r="D8" s="0" t="n">
        <f aca="false">D6*D7/100</f>
        <v>4534.840485</v>
      </c>
      <c r="E8" s="0" t="n">
        <f aca="false">E6*E7/100</f>
        <v>5089.938551775</v>
      </c>
      <c r="F8" s="0" t="n">
        <f aca="false">F6*F7/100</f>
        <v>5476.07182122</v>
      </c>
      <c r="G8" s="0" t="n">
        <f aca="false">G6*G7/100</f>
        <v>5856.65881279479</v>
      </c>
      <c r="H8" s="0" t="n">
        <f aca="false">H6*H7/100</f>
        <v>6032.35857717863</v>
      </c>
      <c r="I8" s="0" t="n">
        <f aca="false">I6*I7/100</f>
        <v>6213.32933449399</v>
      </c>
      <c r="J8" s="0" t="n">
        <f aca="false">J6*J7/100</f>
        <v>6368.66256785634</v>
      </c>
      <c r="K8" s="0" t="n">
        <f aca="false">K6*K7/100</f>
        <v>6527.87913205275</v>
      </c>
      <c r="L8" s="0" t="n">
        <f aca="false">L6*L7/100</f>
        <v>6691.07611035407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-111.97137</v>
      </c>
      <c r="D10" s="0" t="n">
        <f aca="false">-D6*D9/100</f>
        <v>-117.5699385</v>
      </c>
      <c r="E10" s="0" t="n">
        <f aca="false">-E6*E9/100</f>
        <v>-122.8605857325</v>
      </c>
      <c r="F10" s="0" t="n">
        <f aca="false">-F6*F9/100</f>
        <v>-127.7750091618</v>
      </c>
      <c r="G10" s="0" t="n">
        <f aca="false">-G6*G9/100</f>
        <v>-132.247134482463</v>
      </c>
      <c r="H10" s="0" t="n">
        <f aca="false">-H6*H9/100</f>
        <v>-136.214548516937</v>
      </c>
      <c r="I10" s="0" t="n">
        <f aca="false">-I6*I9/100</f>
        <v>-140.300984972445</v>
      </c>
      <c r="J10" s="0" t="n">
        <f aca="false">-J6*J9/100</f>
        <v>-143.808509596756</v>
      </c>
      <c r="K10" s="0" t="n">
        <f aca="false">-K6*K9/100</f>
        <v>-147.403722336675</v>
      </c>
      <c r="L10" s="0" t="n">
        <f aca="false">-L6*L9/100</f>
        <v>-151.088815395092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3887.00613</v>
      </c>
      <c r="D11" s="0" t="n">
        <f aca="false">D8+D10+D24</f>
        <v>4417.2705465</v>
      </c>
      <c r="E11" s="0" t="n">
        <f aca="false">E8+E10+E24</f>
        <v>4967.0779660425</v>
      </c>
      <c r="F11" s="0" t="n">
        <f aca="false">F8+F10+F24</f>
        <v>5348.2968120582</v>
      </c>
      <c r="G11" s="0" t="n">
        <f aca="false">G8+G10+G24</f>
        <v>5724.41167831233</v>
      </c>
      <c r="H11" s="0" t="n">
        <f aca="false">H8+H10+H24</f>
        <v>5896.1440286617</v>
      </c>
      <c r="I11" s="0" t="n">
        <f aca="false">I8+I10+I24</f>
        <v>6073.02834952155</v>
      </c>
      <c r="J11" s="0" t="n">
        <f aca="false">J8+J10+J24</f>
        <v>6224.85405825959</v>
      </c>
      <c r="K11" s="0" t="n">
        <f aca="false">K8+K10+K24</f>
        <v>6380.47540971608</v>
      </c>
      <c r="L11" s="0" t="n">
        <f aca="false">L8+L10+L24</f>
        <v>6539.98729495898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-1663.57464</v>
      </c>
      <c r="D12" s="4" t="n">
        <f aca="false">-D6*Assumptions!D31/100</f>
        <v>-1780.344783</v>
      </c>
      <c r="E12" s="4" t="n">
        <f aca="false">-E6*Assumptions!E31/100</f>
        <v>-1895.56332273</v>
      </c>
      <c r="F12" s="4" t="n">
        <f aca="false">-F6*Assumptions!F31/100</f>
        <v>-2007.893001114</v>
      </c>
      <c r="G12" s="4" t="n">
        <f aca="false">-G6*Assumptions!G31/100</f>
        <v>-2115.95415171941</v>
      </c>
      <c r="H12" s="4" t="n">
        <f aca="false">-H6*Assumptions!H31/100</f>
        <v>-2218.3512187044</v>
      </c>
      <c r="I12" s="4" t="n">
        <f aca="false">-I6*Assumptions!I31/100</f>
        <v>-2324.98775097195</v>
      </c>
      <c r="J12" s="4" t="n">
        <f aca="false">-J6*Assumptions!J31/100</f>
        <v>-2383.11244474624</v>
      </c>
      <c r="K12" s="4" t="n">
        <f aca="false">-K6*Assumptions!K31/100</f>
        <v>-2442.6902558649</v>
      </c>
      <c r="L12" s="4" t="n">
        <f aca="false">-L6*Assumptions!L31/100</f>
        <v>-2503.75751226152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2223.43149</v>
      </c>
      <c r="D13" s="0" t="n">
        <f aca="false">D11+D12</f>
        <v>2636.9257635</v>
      </c>
      <c r="E13" s="0" t="n">
        <f aca="false">E11+E12</f>
        <v>3071.5146433125</v>
      </c>
      <c r="F13" s="0" t="n">
        <f aca="false">F11+F12</f>
        <v>3340.4038109442</v>
      </c>
      <c r="G13" s="0" t="n">
        <f aca="false">G11+G12</f>
        <v>3608.45752659292</v>
      </c>
      <c r="H13" s="0" t="n">
        <f aca="false">H11+H12</f>
        <v>3677.7928099573</v>
      </c>
      <c r="I13" s="0" t="n">
        <f aca="false">I11+I12</f>
        <v>3748.0405985496</v>
      </c>
      <c r="J13" s="0" t="n">
        <f aca="false">J11+J12</f>
        <v>3841.74161351334</v>
      </c>
      <c r="K13" s="0" t="n">
        <f aca="false">K11+K12</f>
        <v>3937.78515385118</v>
      </c>
      <c r="L13" s="0" t="n">
        <f aca="false">L11+L12</f>
        <v>4036.22978269745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10</v>
      </c>
      <c r="D14" s="4" t="n">
        <f aca="false">Assumptions!D33</f>
        <v>14</v>
      </c>
      <c r="E14" s="4" t="n">
        <f aca="false">Assumptions!E33</f>
        <v>18</v>
      </c>
      <c r="F14" s="4" t="n">
        <f aca="false">Assumptions!F33</f>
        <v>21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2001.088341</v>
      </c>
      <c r="D15" s="0" t="n">
        <f aca="false">D13-MAX(0,D13)*D14/100</f>
        <v>2267.75615661</v>
      </c>
      <c r="E15" s="0" t="n">
        <f aca="false">E13-MAX(0,E13)*E14/100</f>
        <v>2518.64200751625</v>
      </c>
      <c r="F15" s="0" t="n">
        <f aca="false">F13-MAX(0,F13)*F14/100</f>
        <v>2638.91901064592</v>
      </c>
      <c r="G15" s="0" t="n">
        <f aca="false">G13-MAX(0,G13)*G14/100</f>
        <v>2778.51229547655</v>
      </c>
      <c r="H15" s="0" t="n">
        <f aca="false">H13-MAX(0,H13)*H14/100</f>
        <v>2831.90046366712</v>
      </c>
      <c r="I15" s="0" t="n">
        <f aca="false">I13-MAX(0,I13)*I14/100</f>
        <v>2885.99126088319</v>
      </c>
      <c r="J15" s="0" t="n">
        <f aca="false">J13-MAX(0,J13)*J14/100</f>
        <v>2958.14104240527</v>
      </c>
      <c r="K15" s="0" t="n">
        <f aca="false">K13-MAX(0,K13)*K14/100</f>
        <v>3032.09456846541</v>
      </c>
      <c r="L15" s="0" t="n">
        <f aca="false">L13-MAX(0,L13)*L14/100</f>
        <v>3107.89693267704</v>
      </c>
    </row>
    <row r="16" customFormat="false" ht="15" hidden="false" customHeight="false" outlineLevel="0" collapsed="false">
      <c r="A16" s="0" t="s">
        <v>128</v>
      </c>
      <c r="C16" s="0" t="n">
        <f aca="false">-C12</f>
        <v>1663.57464</v>
      </c>
      <c r="D16" s="0" t="n">
        <f aca="false">-D12</f>
        <v>1780.344783</v>
      </c>
      <c r="E16" s="0" t="n">
        <f aca="false">-E12</f>
        <v>1895.56332273</v>
      </c>
      <c r="F16" s="0" t="n">
        <f aca="false">-F12</f>
        <v>2007.893001114</v>
      </c>
      <c r="G16" s="0" t="n">
        <f aca="false">-G12</f>
        <v>2115.95415171941</v>
      </c>
      <c r="H16" s="0" t="n">
        <f aca="false">-H12</f>
        <v>2218.3512187044</v>
      </c>
      <c r="I16" s="0" t="n">
        <f aca="false">-I12</f>
        <v>2324.98775097195</v>
      </c>
      <c r="J16" s="0" t="n">
        <f aca="false">-J12</f>
        <v>2383.11244474624</v>
      </c>
      <c r="K16" s="0" t="n">
        <f aca="false">-K12</f>
        <v>2442.6902558649</v>
      </c>
      <c r="L16" s="0" t="n">
        <f aca="false">-L12</f>
        <v>2503.75751226152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-2879.2638</v>
      </c>
      <c r="D17" s="4" t="n">
        <f aca="false">-D6*Assumptions!D32/100</f>
        <v>-3191.184045</v>
      </c>
      <c r="E17" s="4" t="n">
        <f aca="false">-E6*Assumptions!E32/100</f>
        <v>-3334.787327025</v>
      </c>
      <c r="F17" s="4" t="n">
        <f aca="false">-F6*Assumptions!F32/100</f>
        <v>-3285.643092732</v>
      </c>
      <c r="G17" s="4" t="n">
        <f aca="false">-G6*Assumptions!G32/100</f>
        <v>-3211.71612314553</v>
      </c>
      <c r="H17" s="4" t="n">
        <f aca="false">-H6*Assumptions!H32/100</f>
        <v>-3113.47539467284</v>
      </c>
      <c r="I17" s="4" t="n">
        <f aca="false">-I6*Assumptions!I32/100</f>
        <v>-3206.87965651303</v>
      </c>
      <c r="J17" s="4" t="n">
        <f aca="false">-J6*Assumptions!J32/100</f>
        <v>-3287.05164792585</v>
      </c>
      <c r="K17" s="4" t="n">
        <f aca="false">-K6*Assumptions!K32/100</f>
        <v>-3369.227939124</v>
      </c>
      <c r="L17" s="4" t="n">
        <f aca="false">-L6*Assumptions!L32/100</f>
        <v>-3453.4586376021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392.882</v>
      </c>
      <c r="D18" s="4" t="n">
        <f aca="false">(D6-C6)*Assumptions!$B$37/100</f>
        <v>159.9591</v>
      </c>
      <c r="E18" s="4" t="n">
        <f aca="false">(E6-D6)*Assumptions!$B$37/100</f>
        <v>151.1613495</v>
      </c>
      <c r="F18" s="4" t="n">
        <f aca="false">(F6-E6)*Assumptions!$B$37/100</f>
        <v>140.41209798</v>
      </c>
      <c r="G18" s="4" t="n">
        <f aca="false">(G6-F6)*Assumptions!$B$37/100</f>
        <v>127.7750091618</v>
      </c>
      <c r="H18" s="4" t="n">
        <f aca="false">(H6-G6)*Assumptions!$B$37/100</f>
        <v>113.354686699254</v>
      </c>
      <c r="I18" s="4" t="n">
        <f aca="false">(I6-H6)*Assumptions!$B$37/100</f>
        <v>116.755327300232</v>
      </c>
      <c r="J18" s="4" t="n">
        <f aca="false">(J6-I6)*Assumptions!$B$37/100</f>
        <v>100.214989266032</v>
      </c>
      <c r="K18" s="4" t="n">
        <f aca="false">(K6-J6)*Assumptions!$B$37/100</f>
        <v>102.720363997683</v>
      </c>
      <c r="L18" s="4" t="n">
        <f aca="false">(L6-K6)*Assumptions!$B$37/100</f>
        <v>105.288373097625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1178.281181</v>
      </c>
      <c r="D19" s="0" t="n">
        <f aca="false">D15+D16+D17+D18</f>
        <v>1016.87599461</v>
      </c>
      <c r="E19" s="0" t="n">
        <f aca="false">E15+E16+E17+E18</f>
        <v>1230.57935272125</v>
      </c>
      <c r="F19" s="0" t="n">
        <f aca="false">F15+F16+F17+F18</f>
        <v>1501.58101700792</v>
      </c>
      <c r="G19" s="0" t="n">
        <f aca="false">G15+G16+G17+G18</f>
        <v>1810.52533321223</v>
      </c>
      <c r="H19" s="0" t="n">
        <f aca="false">H15+H16+H17+H18</f>
        <v>2050.13097439793</v>
      </c>
      <c r="I19" s="0" t="n">
        <f aca="false">I15+I16+I17+I18</f>
        <v>2120.85468264234</v>
      </c>
      <c r="J19" s="0" t="n">
        <f aca="false">J15+J16+J17+J18</f>
        <v>2154.4168284917</v>
      </c>
      <c r="K19" s="0" t="n">
        <f aca="false">K15+K16+K17+K18</f>
        <v>2208.27724920399</v>
      </c>
      <c r="L19" s="0" t="n">
        <f aca="false">L15+L16+L17+L18</f>
        <v>2263.48418043409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1076.05587305936</v>
      </c>
      <c r="D21" s="0" t="n">
        <f aca="false">D19*D20</f>
        <v>848.085731832114</v>
      </c>
      <c r="E21" s="0" t="n">
        <f aca="false">E19*E20</f>
        <v>937.275503409876</v>
      </c>
      <c r="F21" s="0" t="n">
        <f aca="false">F19*F20</f>
        <v>1044.46115501373</v>
      </c>
      <c r="G21" s="0" t="n">
        <f aca="false">G19*G20</f>
        <v>1150.09578035007</v>
      </c>
      <c r="H21" s="0" t="n">
        <f aca="false">H19*H20</f>
        <v>1189.31498848295</v>
      </c>
      <c r="I21" s="0" t="n">
        <f aca="false">I19*I20</f>
        <v>1123.60089944496</v>
      </c>
      <c r="J21" s="0" t="n">
        <f aca="false">J19*J20</f>
        <v>1042.35770102533</v>
      </c>
      <c r="K21" s="0" t="n">
        <f aca="false">K19*K20</f>
        <v>975.722962147002</v>
      </c>
      <c r="L21" s="0" t="n">
        <f aca="false">L19*L20</f>
        <v>913.347978265459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10300.3185730308</v>
      </c>
    </row>
    <row r="31" customFormat="false" ht="15" hidden="false" customHeight="false" outlineLevel="0" collapsed="false">
      <c r="A31" s="0" t="s">
        <v>137</v>
      </c>
      <c r="B31" s="0" t="n">
        <f aca="false">L19</f>
        <v>2263.48418043409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33143.8754992134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27161.810165209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27161.810165209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10960.1757391855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21260.4943122164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19105.4943122164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38.7535381586539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-0.0737682084451755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815.797276207116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892.7234640188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42.2190974694569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18560.5702795595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21.0331524912279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15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28063</v>
      </c>
      <c r="C6" s="0" t="n">
        <f aca="false">B6*(1+C5/100)</f>
        <v>32272.45</v>
      </c>
      <c r="D6" s="0" t="n">
        <f aca="false">C6*(1+D5/100)</f>
        <v>34531.5215</v>
      </c>
      <c r="E6" s="0" t="n">
        <f aca="false">D6*(1+E5/100)</f>
        <v>36603.41279</v>
      </c>
      <c r="F6" s="0" t="n">
        <f aca="false">E6*(1+F5/100)</f>
        <v>38433.5834295</v>
      </c>
      <c r="G6" s="0" t="n">
        <f aca="false">F6*(1+G5/100)</f>
        <v>40163.0946838275</v>
      </c>
      <c r="H6" s="0" t="n">
        <f aca="false">G6*(1+H5/100)</f>
        <v>41769.6184711806</v>
      </c>
      <c r="I6" s="0" t="n">
        <f aca="false">H6*(1+I5/100)</f>
        <v>43231.5551176719</v>
      </c>
      <c r="J6" s="0" t="n">
        <f aca="false">I6*(1+J5/100)</f>
        <v>44528.5017712021</v>
      </c>
      <c r="K6" s="0" t="n">
        <f aca="false">J6*(1+K5/100)</f>
        <v>45864.3568243381</v>
      </c>
      <c r="L6" s="0" t="n">
        <f aca="false">K6*(1+L5/100)</f>
        <v>47240.2875290683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13</v>
      </c>
      <c r="D7" s="4" t="n">
        <f aca="false">Assumptions!D42</f>
        <v>15</v>
      </c>
      <c r="E7" s="4" t="n">
        <f aca="false">Assumptions!E42</f>
        <v>16.5</v>
      </c>
      <c r="F7" s="4" t="n">
        <f aca="false">Assumptions!F42</f>
        <v>17.5</v>
      </c>
      <c r="G7" s="4" t="n">
        <f aca="false">Assumptions!G42</f>
        <v>18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4195.4185</v>
      </c>
      <c r="D8" s="0" t="n">
        <f aca="false">D6*D7/100</f>
        <v>5179.728225</v>
      </c>
      <c r="E8" s="0" t="n">
        <f aca="false">E6*E7/100</f>
        <v>6039.56311035</v>
      </c>
      <c r="F8" s="0" t="n">
        <f aca="false">F6*F7/100</f>
        <v>6725.8771001625</v>
      </c>
      <c r="G8" s="0" t="n">
        <f aca="false">G6*G7/100</f>
        <v>7229.35704308895</v>
      </c>
      <c r="H8" s="0" t="n">
        <f aca="false">H6*H7/100</f>
        <v>7518.53132481251</v>
      </c>
      <c r="I8" s="0" t="n">
        <f aca="false">I6*I7/100</f>
        <v>7781.67992118094</v>
      </c>
      <c r="J8" s="0" t="n">
        <f aca="false">J6*J7/100</f>
        <v>8015.13031881637</v>
      </c>
      <c r="K8" s="0" t="n">
        <f aca="false">K6*K7/100</f>
        <v>8255.58422838086</v>
      </c>
      <c r="L8" s="0" t="n">
        <f aca="false">L6*L7/100</f>
        <v>8503.25175523229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-112.953575</v>
      </c>
      <c r="D10" s="0" t="n">
        <f aca="false">-D6*D9/100</f>
        <v>-120.86032525</v>
      </c>
      <c r="E10" s="0" t="n">
        <f aca="false">-E6*E9/100</f>
        <v>-128.111944765</v>
      </c>
      <c r="F10" s="0" t="n">
        <f aca="false">-F6*F9/100</f>
        <v>-134.51754200325</v>
      </c>
      <c r="G10" s="0" t="n">
        <f aca="false">-G6*G9/100</f>
        <v>-140.570831393396</v>
      </c>
      <c r="H10" s="0" t="n">
        <f aca="false">-H6*H9/100</f>
        <v>-146.193664649132</v>
      </c>
      <c r="I10" s="0" t="n">
        <f aca="false">-I6*I9/100</f>
        <v>-151.310442911852</v>
      </c>
      <c r="J10" s="0" t="n">
        <f aca="false">-J6*J9/100</f>
        <v>-155.849756199207</v>
      </c>
      <c r="K10" s="0" t="n">
        <f aca="false">-K6*K9/100</f>
        <v>-160.525248885183</v>
      </c>
      <c r="L10" s="0" t="n">
        <f aca="false">-L6*L9/100</f>
        <v>-165.341006351739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4082.464925</v>
      </c>
      <c r="D11" s="0" t="n">
        <f aca="false">D8+D10+D24</f>
        <v>5058.86789975</v>
      </c>
      <c r="E11" s="0" t="n">
        <f aca="false">E8+E10+E24</f>
        <v>5911.451165585</v>
      </c>
      <c r="F11" s="0" t="n">
        <f aca="false">F8+F10+F24</f>
        <v>6591.35955815925</v>
      </c>
      <c r="G11" s="0" t="n">
        <f aca="false">G8+G10+G24</f>
        <v>7088.78621169555</v>
      </c>
      <c r="H11" s="0" t="n">
        <f aca="false">H8+H10+H24</f>
        <v>7372.33766016337</v>
      </c>
      <c r="I11" s="0" t="n">
        <f aca="false">I8+I10+I24</f>
        <v>7630.36947826909</v>
      </c>
      <c r="J11" s="0" t="n">
        <f aca="false">J8+J10+J24</f>
        <v>7859.28056261717</v>
      </c>
      <c r="K11" s="0" t="n">
        <f aca="false">K8+K10+K24</f>
        <v>8095.05897949568</v>
      </c>
      <c r="L11" s="0" t="n">
        <f aca="false">L8+L10+L24</f>
        <v>8337.91074888055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-1678.1674</v>
      </c>
      <c r="D12" s="4" t="n">
        <f aca="false">-D6*Assumptions!D45/100</f>
        <v>-1830.1706395</v>
      </c>
      <c r="E12" s="4" t="n">
        <f aca="false">-E6*Assumptions!E45/100</f>
        <v>-1976.58429066</v>
      </c>
      <c r="F12" s="4" t="n">
        <f aca="false">-F6*Assumptions!F45/100</f>
        <v>-2113.8470886225</v>
      </c>
      <c r="G12" s="4" t="n">
        <f aca="false">-G6*Assumptions!G45/100</f>
        <v>-2249.13330229434</v>
      </c>
      <c r="H12" s="4" t="n">
        <f aca="false">-H6*Assumptions!H45/100</f>
        <v>-2380.86825285729</v>
      </c>
      <c r="I12" s="4" t="n">
        <f aca="false">-I6*Assumptions!I45/100</f>
        <v>-2507.43019682497</v>
      </c>
      <c r="J12" s="4" t="n">
        <f aca="false">-J6*Assumptions!J45/100</f>
        <v>-2582.65310272972</v>
      </c>
      <c r="K12" s="4" t="n">
        <f aca="false">-K6*Assumptions!K45/100</f>
        <v>-2660.13269581161</v>
      </c>
      <c r="L12" s="4" t="n">
        <f aca="false">-L6*Assumptions!L45/100</f>
        <v>-2739.93667668596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2404.297525</v>
      </c>
      <c r="D13" s="0" t="n">
        <f aca="false">D11+D12</f>
        <v>3228.69726025</v>
      </c>
      <c r="E13" s="0" t="n">
        <f aca="false">E11+E12</f>
        <v>3934.866874925</v>
      </c>
      <c r="F13" s="0" t="n">
        <f aca="false">F11+F12</f>
        <v>4477.51246953675</v>
      </c>
      <c r="G13" s="0" t="n">
        <f aca="false">G11+G12</f>
        <v>4839.65290940121</v>
      </c>
      <c r="H13" s="0" t="n">
        <f aca="false">H11+H12</f>
        <v>4991.46940730608</v>
      </c>
      <c r="I13" s="0" t="n">
        <f aca="false">I11+I12</f>
        <v>5122.93928144412</v>
      </c>
      <c r="J13" s="0" t="n">
        <f aca="false">J11+J12</f>
        <v>5276.62745988745</v>
      </c>
      <c r="K13" s="0" t="n">
        <f aca="false">K11+K12</f>
        <v>5434.92628368407</v>
      </c>
      <c r="L13" s="0" t="n">
        <f aca="false">L11+L12</f>
        <v>5597.97407219459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10</v>
      </c>
      <c r="D14" s="4" t="n">
        <f aca="false">Assumptions!D47</f>
        <v>14</v>
      </c>
      <c r="E14" s="4" t="n">
        <f aca="false">Assumptions!E47</f>
        <v>18</v>
      </c>
      <c r="F14" s="4" t="n">
        <f aca="false">Assumptions!F47</f>
        <v>21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2163.8677725</v>
      </c>
      <c r="D15" s="0" t="n">
        <f aca="false">D13-MAX(0,D13)*D14/100</f>
        <v>2776.679643815</v>
      </c>
      <c r="E15" s="0" t="n">
        <f aca="false">E13-MAX(0,E13)*E14/100</f>
        <v>3226.5908374385</v>
      </c>
      <c r="F15" s="0" t="n">
        <f aca="false">F13-MAX(0,F13)*F14/100</f>
        <v>3537.23485093403</v>
      </c>
      <c r="G15" s="0" t="n">
        <f aca="false">G13-MAX(0,G13)*G14/100</f>
        <v>3726.53274023893</v>
      </c>
      <c r="H15" s="0" t="n">
        <f aca="false">H13-MAX(0,H13)*H14/100</f>
        <v>3843.43144362568</v>
      </c>
      <c r="I15" s="0" t="n">
        <f aca="false">I13-MAX(0,I13)*I14/100</f>
        <v>3944.66324671197</v>
      </c>
      <c r="J15" s="0" t="n">
        <f aca="false">J13-MAX(0,J13)*J14/100</f>
        <v>4063.00314411333</v>
      </c>
      <c r="K15" s="0" t="n">
        <f aca="false">K13-MAX(0,K13)*K14/100</f>
        <v>4184.89323843673</v>
      </c>
      <c r="L15" s="0" t="n">
        <f aca="false">L13-MAX(0,L13)*L14/100</f>
        <v>4310.44003558984</v>
      </c>
    </row>
    <row r="16" customFormat="false" ht="15" hidden="false" customHeight="false" outlineLevel="0" collapsed="false">
      <c r="A16" s="0" t="s">
        <v>128</v>
      </c>
      <c r="C16" s="0" t="n">
        <f aca="false">-C12</f>
        <v>1678.1674</v>
      </c>
      <c r="D16" s="0" t="n">
        <f aca="false">-D12</f>
        <v>1830.1706395</v>
      </c>
      <c r="E16" s="0" t="n">
        <f aca="false">-E12</f>
        <v>1976.58429066</v>
      </c>
      <c r="F16" s="0" t="n">
        <f aca="false">-F12</f>
        <v>2113.8470886225</v>
      </c>
      <c r="G16" s="0" t="n">
        <f aca="false">-G12</f>
        <v>2249.13330229434</v>
      </c>
      <c r="H16" s="0" t="n">
        <f aca="false">-H12</f>
        <v>2380.86825285729</v>
      </c>
      <c r="I16" s="0" t="n">
        <f aca="false">-I12</f>
        <v>2507.43019682497</v>
      </c>
      <c r="J16" s="0" t="n">
        <f aca="false">-J12</f>
        <v>2582.65310272972</v>
      </c>
      <c r="K16" s="0" t="n">
        <f aca="false">-K12</f>
        <v>2660.13269581161</v>
      </c>
      <c r="L16" s="0" t="n">
        <f aca="false">-L12</f>
        <v>2739.93667668596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-2904.5205</v>
      </c>
      <c r="D17" s="4" t="n">
        <f aca="false">-D6*Assumptions!D46/100</f>
        <v>-3280.4945425</v>
      </c>
      <c r="E17" s="4" t="n">
        <f aca="false">-E6*Assumptions!E46/100</f>
        <v>-3477.32421505</v>
      </c>
      <c r="F17" s="4" t="n">
        <f aca="false">-F6*Assumptions!F46/100</f>
        <v>-3459.022508655</v>
      </c>
      <c r="G17" s="4" t="n">
        <f aca="false">-G6*Assumptions!G46/100</f>
        <v>-3413.86304812534</v>
      </c>
      <c r="H17" s="4" t="n">
        <f aca="false">-H6*Assumptions!H46/100</f>
        <v>-3550.41757005035</v>
      </c>
      <c r="I17" s="4" t="n">
        <f aca="false">-I6*Assumptions!I46/100</f>
        <v>-3458.52440941375</v>
      </c>
      <c r="J17" s="4" t="n">
        <f aca="false">-J6*Assumptions!J46/100</f>
        <v>-3562.28014169617</v>
      </c>
      <c r="K17" s="4" t="n">
        <f aca="false">-K6*Assumptions!K46/100</f>
        <v>-3669.14854594705</v>
      </c>
      <c r="L17" s="4" t="n">
        <f aca="false">-L6*Assumptions!L46/100</f>
        <v>-3779.22300232546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420.945</v>
      </c>
      <c r="D18" s="4" t="n">
        <f aca="false">(D6-C6)*Assumptions!$B$51/100</f>
        <v>225.90715</v>
      </c>
      <c r="E18" s="4" t="n">
        <f aca="false">(E6-D6)*Assumptions!$B$51/100</f>
        <v>207.189129</v>
      </c>
      <c r="F18" s="4" t="n">
        <f aca="false">(F6-E6)*Assumptions!$B$51/100</f>
        <v>183.01706395</v>
      </c>
      <c r="G18" s="4" t="n">
        <f aca="false">(G6-F6)*Assumptions!$B$51/100</f>
        <v>172.95112543275</v>
      </c>
      <c r="H18" s="4" t="n">
        <f aca="false">(H6-G6)*Assumptions!$B$51/100</f>
        <v>160.65237873531</v>
      </c>
      <c r="I18" s="4" t="n">
        <f aca="false">(I6-H6)*Assumptions!$B$51/100</f>
        <v>146.193664649132</v>
      </c>
      <c r="J18" s="4" t="n">
        <f aca="false">(J6-I6)*Assumptions!$B$51/100</f>
        <v>129.694665353016</v>
      </c>
      <c r="K18" s="4" t="n">
        <f aca="false">(K6-J6)*Assumptions!$B$51/100</f>
        <v>133.585505313606</v>
      </c>
      <c r="L18" s="4" t="n">
        <f aca="false">(L6-K6)*Assumptions!$B$51/100</f>
        <v>137.593070473015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1358.4596725</v>
      </c>
      <c r="D19" s="0" t="n">
        <f aca="false">D15+D16+D17+D18</f>
        <v>1552.262890815</v>
      </c>
      <c r="E19" s="0" t="n">
        <f aca="false">E15+E16+E17+E18</f>
        <v>1933.0400420485</v>
      </c>
      <c r="F19" s="0" t="n">
        <f aca="false">F15+F16+F17+F18</f>
        <v>2375.07649485153</v>
      </c>
      <c r="G19" s="0" t="n">
        <f aca="false">G15+G16+G17+G18</f>
        <v>2734.75411984069</v>
      </c>
      <c r="H19" s="0" t="n">
        <f aca="false">H15+H16+H17+H18</f>
        <v>2834.53450516794</v>
      </c>
      <c r="I19" s="0" t="n">
        <f aca="false">I15+I16+I17+I18</f>
        <v>3139.76269877232</v>
      </c>
      <c r="J19" s="0" t="n">
        <f aca="false">J15+J16+J17+J18</f>
        <v>3213.0707704999</v>
      </c>
      <c r="K19" s="0" t="n">
        <f aca="false">K15+K16+K17+K18</f>
        <v>3309.4628936149</v>
      </c>
      <c r="L19" s="0" t="n">
        <f aca="false">L15+L16+L17+L18</f>
        <v>3408.74678042335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1240.60244063927</v>
      </c>
      <c r="D21" s="0" t="n">
        <f aca="false">D19*D20</f>
        <v>1294.60427498593</v>
      </c>
      <c r="E21" s="0" t="n">
        <f aca="false">E19*E20</f>
        <v>1472.3073928682</v>
      </c>
      <c r="F21" s="0" t="n">
        <f aca="false">F19*F20</f>
        <v>1652.04215487595</v>
      </c>
      <c r="G21" s="0" t="n">
        <f aca="false">G19*G20</f>
        <v>1737.19147466635</v>
      </c>
      <c r="H21" s="0" t="n">
        <f aca="false">H19*H20</f>
        <v>1644.36048938694</v>
      </c>
      <c r="I21" s="0" t="n">
        <f aca="false">I19*I20</f>
        <v>1663.40495709449</v>
      </c>
      <c r="J21" s="0" t="n">
        <f aca="false">J19*J20</f>
        <v>1554.55946002554</v>
      </c>
      <c r="K21" s="0" t="n">
        <f aca="false">K19*K20</f>
        <v>1462.27967472722</v>
      </c>
      <c r="L21" s="0" t="n">
        <f aca="false">L19*L20</f>
        <v>1375.47768490323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15096.8300041731</v>
      </c>
    </row>
    <row r="31" customFormat="false" ht="15" hidden="false" customHeight="false" outlineLevel="0" collapsed="false">
      <c r="A31" s="0" t="s">
        <v>137</v>
      </c>
      <c r="B31" s="0" t="n">
        <f aca="false">L19</f>
        <v>3408.74678042335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49913.7921419133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40904.9613650802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40904.9613650802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16505.7322188387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31602.5622230118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29447.5622230118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59.731363535521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0.427613851231381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862.411816567627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976.933967936012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63.4622880476987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27951.7235994715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33.1386728954363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17.191110132549</v>
      </c>
      <c r="C4" s="0" t="n">
        <f aca="false">B4/Assumptions!$B$2-1</f>
        <v>-0.589122606774643</v>
      </c>
      <c r="D4" s="4" t="n">
        <f aca="false">Assumptions!$B$24</f>
        <v>0.25</v>
      </c>
      <c r="E4" s="4" t="n">
        <f aca="false">DCF_Bear!$B$43</f>
        <v>20.1004042917725</v>
      </c>
      <c r="F4" s="4" t="n">
        <f aca="false">DCF_Bear!$B$47</f>
        <v>8.47281236172119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38.7535381586539</v>
      </c>
      <c r="C5" s="0" t="n">
        <f aca="false">B5/Assumptions!$B$2-1</f>
        <v>-0.0737682084451755</v>
      </c>
      <c r="D5" s="4" t="n">
        <f aca="false">Assumptions!$B$38</f>
        <v>0.5</v>
      </c>
      <c r="E5" s="4" t="n">
        <f aca="false">DCF_Base!$B$43</f>
        <v>42.2190974694569</v>
      </c>
      <c r="F5" s="4" t="n">
        <f aca="false">DCF_Base!$B$47</f>
        <v>21.0331524912279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59.731363535521</v>
      </c>
      <c r="C6" s="0" t="n">
        <f aca="false">B6/Assumptions!$B$2-1</f>
        <v>0.427613851231381</v>
      </c>
      <c r="D6" s="4" t="n">
        <f aca="false">Assumptions!$B$52</f>
        <v>0.25</v>
      </c>
      <c r="E6" s="4" t="n">
        <f aca="false">DCF_Bull!$B$43</f>
        <v>63.4622880476987</v>
      </c>
      <c r="F6" s="4" t="n">
        <f aca="false">DCF_Bull!$B$47</f>
        <v>33.1386728954363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38.6073874963444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42.0002218195963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-0.0837304130967596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95.2776409240427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20.9194475599033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40.330089568896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38.7535381586539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37.2470282615402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34.430206012193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30.0641863437111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21.0331524912279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45.5185070547318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45.5185070547318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45.5185070547318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45.5185070547318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45.5185070547318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41.9804215570397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41.9804215570397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41.9804215570397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41.9804215570397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41.9804215570397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38.7535381586539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38.7535381586539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38.7535381586539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38.7535381586539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38.7535381586539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34.5852896930937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35.807029181843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35.807029181843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35.807029181843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35.807029181843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30.2534897518039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31.1606899508909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32.1686901720987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33.1134078682082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33.1134078682082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2026-10-02T00:37:05Z</dcterms:created>
  <dc:creator>openpyxl</dc:creator>
  <dc:description/>
  <dc:language>en-NZ</dc:language>
  <cp:lastModifiedBy/>
  <dcterms:modified xsi:type="dcterms:W3CDTF">2026-10-02T00:37:05Z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