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Bull" sheetId="4" state="visible" r:id="rId4"/>
    <sheet xmlns:r="http://schemas.openxmlformats.org/officeDocument/2006/relationships" name="Bear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 P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2" customWidth="1" min="1" max="1"/>
    <col width="30" customWidth="1" min="2" max="2"/>
  </cols>
  <sheetData>
    <row r="1">
      <c r="A1" s="1" t="inlineStr">
        <is>
          <t>NZ Rural Land Company (NZL.NZ) — AFFO holding-period model at cost of equity</t>
        </is>
      </c>
    </row>
    <row r="2">
      <c r="A2" t="inlineStr">
        <is>
          <t>Valuation date</t>
        </is>
      </c>
      <c r="B2" t="inlineStr">
        <is>
          <t>2026-08-23</t>
        </is>
      </c>
    </row>
    <row r="3">
      <c r="A3" t="inlineStr">
        <is>
          <t>Model</t>
        </is>
      </c>
      <c r="B3" t="inlineStr">
        <is>
          <t>5yr attributable AFFO/dividend stream at CoE + exit P/B x NAV terminal (REIT row; NOT owner-FCF DCF)</t>
        </is>
      </c>
    </row>
    <row r="4">
      <c r="A4" t="inlineStr">
        <is>
          <t>Current price (NZD, close 2026-08-21)</t>
        </is>
      </c>
      <c r="B4" t="n">
        <v>0.9350000000000001</v>
      </c>
    </row>
    <row r="5">
      <c r="A5" t="inlineStr">
        <is>
          <t>Shares outstanding (m)</t>
        </is>
      </c>
      <c r="B5" t="n">
        <v>146.138526</v>
      </c>
    </row>
    <row r="6">
      <c r="A6" t="inlineStr">
        <is>
          <t>NAV per share FY2025 (NZD)</t>
        </is>
      </c>
      <c r="B6" t="n">
        <v>1.6094</v>
      </c>
    </row>
    <row r="7">
      <c r="A7" t="inlineStr">
        <is>
          <t>FY2025 AFFO attributable to NZL ($m)</t>
        </is>
      </c>
      <c r="B7" t="n">
        <v>7.932</v>
      </c>
    </row>
    <row r="8">
      <c r="A8" t="inlineStr">
        <is>
          <t>FY2025 AFFO attributable (cps)</t>
        </is>
      </c>
      <c r="B8" t="n">
        <v>5.43</v>
      </c>
    </row>
    <row r="9">
      <c r="A9" t="inlineStr">
        <is>
          <t>FY2025 consolidated AFFO ($m) — NOT valued</t>
        </is>
      </c>
      <c r="B9" t="n">
        <v>11.014</v>
      </c>
    </row>
    <row r="10">
      <c r="A10" t="inlineStr">
        <is>
          <t>Redeemable LP units, Roc 25% ($m) — in liabilities; NAV already net</t>
        </is>
      </c>
      <c r="B10" t="n">
        <v>79.563</v>
      </c>
    </row>
    <row r="11">
      <c r="A11" t="inlineStr">
        <is>
          <t>Bank debt drawn ($m) — NOT deducted (AFFO post-interest)</t>
        </is>
      </c>
      <c r="B11" t="n">
        <v>132.717</v>
      </c>
    </row>
    <row r="12">
      <c r="A12" t="inlineStr">
        <is>
          <t>Cash ($m)</t>
        </is>
      </c>
      <c r="B12" t="n">
        <v>5.918</v>
      </c>
    </row>
    <row r="13">
      <c r="A13" t="inlineStr">
        <is>
          <t>Gearing (%)</t>
        </is>
      </c>
      <c r="B13" t="n">
        <v>29.4</v>
      </c>
    </row>
    <row r="14">
      <c r="A14" t="inlineStr">
        <is>
          <t>Weighted debt term (yrs) — refi risk</t>
        </is>
      </c>
      <c r="B14" t="n">
        <v>1.45</v>
      </c>
    </row>
    <row r="15">
      <c r="A15" t="inlineStr">
        <is>
          <t>WALT (yrs)</t>
        </is>
      </c>
      <c r="B15" t="n">
        <v>11.6</v>
      </c>
    </row>
    <row r="16">
      <c r="A16" t="inlineStr">
        <is>
          <t>Hurdle rate (entry price)</t>
        </is>
      </c>
      <c r="B16" t="n">
        <v>0.15</v>
      </c>
    </row>
    <row r="17">
      <c r="A17" s="2" t="inlineStr">
        <is>
          <t>FY26 guidance $8.25-8.75m — WITHDRAWN Jul-2026 (Kiwi Crunch receivership, ~5.8% rent; +7.3% related-party rent at risk)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Probability-weighted valuation</t>
        </is>
      </c>
    </row>
    <row r="3">
      <c r="A3" s="4" t="inlineStr">
        <is>
          <t>Scenario</t>
        </is>
      </c>
      <c r="B3" s="4" t="inlineStr">
        <is>
          <t>Weight</t>
        </is>
      </c>
      <c r="C3" s="4" t="inlineStr">
        <is>
          <t>IV (NZD)</t>
        </is>
      </c>
      <c r="D3" s="4" t="inlineStr">
        <is>
          <t>Upside</t>
        </is>
      </c>
      <c r="E3" s="4" t="inlineStr">
        <is>
          <t>Implied P/B</t>
        </is>
      </c>
      <c r="F3" s="4" t="inlineStr">
        <is>
          <t>Entry price</t>
        </is>
      </c>
    </row>
    <row r="4">
      <c r="A4" t="inlineStr">
        <is>
          <t>Bear</t>
        </is>
      </c>
      <c r="B4" t="n">
        <v>0.25</v>
      </c>
      <c r="C4">
        <f>Bear!B22</f>
        <v/>
      </c>
      <c r="D4">
        <f>Bear!B23</f>
        <v/>
      </c>
      <c r="E4">
        <f>Bear!B24</f>
        <v/>
      </c>
      <c r="F4">
        <f>Bear!B28</f>
        <v/>
      </c>
    </row>
    <row r="5">
      <c r="A5" t="inlineStr">
        <is>
          <t>Base</t>
        </is>
      </c>
      <c r="B5" t="n">
        <v>0.5</v>
      </c>
      <c r="C5">
        <f>Base!B22</f>
        <v/>
      </c>
      <c r="D5">
        <f>Base!B23</f>
        <v/>
      </c>
      <c r="E5">
        <f>Base!B24</f>
        <v/>
      </c>
      <c r="F5">
        <f>Base!B28</f>
        <v/>
      </c>
    </row>
    <row r="6">
      <c r="A6" t="inlineStr">
        <is>
          <t>Bull</t>
        </is>
      </c>
      <c r="B6" t="n">
        <v>0.25</v>
      </c>
      <c r="C6">
        <f>Bull!B22</f>
        <v/>
      </c>
      <c r="D6">
        <f>Bull!B23</f>
        <v/>
      </c>
      <c r="E6">
        <f>Bull!B24</f>
        <v/>
      </c>
      <c r="F6">
        <f>Bull!B28</f>
        <v/>
      </c>
    </row>
    <row r="8">
      <c r="A8" t="inlineStr">
        <is>
          <t>Weighted IV (NZD)</t>
        </is>
      </c>
      <c r="B8" s="5">
        <f>SUMPRODUCT(B4:B6,C4:C6)</f>
        <v/>
      </c>
    </row>
    <row r="9">
      <c r="A9" t="inlineStr">
        <is>
          <t>Weighted entry price (NZD)</t>
        </is>
      </c>
      <c r="B9">
        <f>SUMPRODUCT(B4:B6,F4:F6)</f>
        <v/>
      </c>
    </row>
    <row r="10">
      <c r="A10" t="inlineStr">
        <is>
          <t>Current price</t>
        </is>
      </c>
      <c r="B10">
        <f>Inputs!B4</f>
        <v/>
      </c>
    </row>
    <row r="11">
      <c r="A11" t="inlineStr">
        <is>
          <t>Weighted upside</t>
        </is>
      </c>
      <c r="B11">
        <f>B8/B10-1</f>
        <v/>
      </c>
    </row>
    <row r="13">
      <c r="A13" s="2" t="inlineStr">
        <is>
          <t>Sanity band: exit P/B must lie in 0.52-0.74 (NZL has never closed a FY above 0.74x book)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Base scenario</t>
        </is>
      </c>
    </row>
    <row r="3">
      <c r="A3" t="inlineStr">
        <is>
          <t>Y1 AFFO/share (cps)</t>
        </is>
      </c>
      <c r="B3" t="n">
        <v>5.5</v>
      </c>
    </row>
    <row r="4">
      <c r="A4" t="inlineStr">
        <is>
          <t>Growth Y2-Y5</t>
        </is>
      </c>
      <c r="C4" t="n">
        <v>0.045</v>
      </c>
      <c r="D4" t="n">
        <v>0.04</v>
      </c>
      <c r="E4" t="n">
        <v>0.035</v>
      </c>
      <c r="F4" t="n">
        <v>0.03</v>
      </c>
    </row>
    <row r="5">
      <c r="A5" t="inlineStr">
        <is>
          <t>Payout ratio</t>
        </is>
      </c>
      <c r="B5" t="n">
        <v>0.95</v>
      </c>
    </row>
    <row r="6">
      <c r="A6" t="inlineStr">
        <is>
          <t>NAV/share growth p.a.</t>
        </is>
      </c>
      <c r="B6" t="n">
        <v>0.01</v>
      </c>
    </row>
    <row r="7">
      <c r="A7" t="inlineStr">
        <is>
          <t>Exit P/B (constrained to 0.52-0.74 observed band)</t>
        </is>
      </c>
      <c r="B7" t="n">
        <v>0.63</v>
      </c>
    </row>
    <row r="8">
      <c r="A8" t="inlineStr">
        <is>
          <t>Cost of equity</t>
        </is>
      </c>
      <c r="B8" t="n">
        <v>0.0925</v>
      </c>
    </row>
    <row r="9">
      <c r="A9" t="inlineStr">
        <is>
          <t>NAV0 (NZD)</t>
        </is>
      </c>
      <c r="B9">
        <f>Inputs!B6</f>
        <v/>
      </c>
    </row>
    <row r="11">
      <c r="A11" t="inlineStr">
        <is>
          <t>Year</t>
        </is>
      </c>
      <c r="C11" s="5" t="inlineStr">
        <is>
          <t>FY2026</t>
        </is>
      </c>
      <c r="D11" s="5" t="inlineStr">
        <is>
          <t>FY2027</t>
        </is>
      </c>
      <c r="E11" s="5" t="inlineStr">
        <is>
          <t>FY2028</t>
        </is>
      </c>
      <c r="F11" s="5" t="inlineStr">
        <is>
          <t>FY2029</t>
        </is>
      </c>
      <c r="G11" s="5" t="inlineStr">
        <is>
          <t>FY2030</t>
        </is>
      </c>
    </row>
    <row r="12">
      <c r="A12" t="inlineStr">
        <is>
          <t>AFFO/share (cps)</t>
        </is>
      </c>
      <c r="C12">
        <f>B3</f>
        <v/>
      </c>
      <c r="D12">
        <f>C12*(1+C4)</f>
        <v/>
      </c>
      <c r="E12">
        <f>D12*(1+D4)</f>
        <v/>
      </c>
      <c r="F12">
        <f>E12*(1+E4)</f>
        <v/>
      </c>
      <c r="G12">
        <f>F12*(1+F4)</f>
        <v/>
      </c>
    </row>
    <row r="13">
      <c r="A13" t="inlineStr">
        <is>
          <t>Dividend/share (cps)</t>
        </is>
      </c>
      <c r="C13">
        <f>C12*$B$5</f>
        <v/>
      </c>
      <c r="D13">
        <f>D12*$B$5</f>
        <v/>
      </c>
      <c r="E13">
        <f>E12*$B$5</f>
        <v/>
      </c>
      <c r="F13">
        <f>F12*$B$5</f>
        <v/>
      </c>
      <c r="G13">
        <f>G12*$B$5</f>
        <v/>
      </c>
    </row>
    <row r="14">
      <c r="A14" t="inlineStr">
        <is>
          <t>NAV/share (NZD)</t>
        </is>
      </c>
      <c r="C14">
        <f>$B$9*(1+$B$6)^1</f>
        <v/>
      </c>
      <c r="D14">
        <f>$B$9*(1+$B$6)^2</f>
        <v/>
      </c>
      <c r="E14">
        <f>$B$9*(1+$B$6)^3</f>
        <v/>
      </c>
      <c r="F14">
        <f>$B$9*(1+$B$6)^4</f>
        <v/>
      </c>
      <c r="G14">
        <f>$B$9*(1+$B$6)^5</f>
        <v/>
      </c>
    </row>
    <row r="15">
      <c r="A15" t="inlineStr">
        <is>
          <t>Discount factor</t>
        </is>
      </c>
      <c r="C15">
        <f>1/(1+$B$8)^1</f>
        <v/>
      </c>
      <c r="D15">
        <f>1/(1+$B$8)^2</f>
        <v/>
      </c>
      <c r="E15">
        <f>1/(1+$B$8)^3</f>
        <v/>
      </c>
      <c r="F15">
        <f>1/(1+$B$8)^4</f>
        <v/>
      </c>
      <c r="G15">
        <f>1/(1+$B$8)^5</f>
        <v/>
      </c>
    </row>
    <row r="16">
      <c r="A16" t="inlineStr">
        <is>
          <t>PV dividend (cps)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8">
      <c r="A18" t="inlineStr">
        <is>
          <t>Sum PV dividends (cps)</t>
        </is>
      </c>
      <c r="B18">
        <f>SUM(C16:G16)</f>
        <v/>
      </c>
    </row>
    <row r="19">
      <c r="A19" t="inlineStr">
        <is>
          <t>Exit value = exit P/B x Y5 NAV (cps)</t>
        </is>
      </c>
      <c r="B19">
        <f>B7*G14*100</f>
        <v/>
      </c>
    </row>
    <row r="20">
      <c r="A20" t="inlineStr">
        <is>
          <t>PV exit (cps)</t>
        </is>
      </c>
      <c r="B20">
        <f>B19*G15</f>
        <v/>
      </c>
    </row>
    <row r="21">
      <c r="A21" t="inlineStr">
        <is>
          <t>Intrinsic value (cps)</t>
        </is>
      </c>
      <c r="B21">
        <f>B18+B20</f>
        <v/>
      </c>
    </row>
    <row r="22">
      <c r="A22" s="5" t="inlineStr">
        <is>
          <t>Intrinsic value (NZD/share)</t>
        </is>
      </c>
      <c r="B22" s="5">
        <f>B21/100</f>
        <v/>
      </c>
    </row>
    <row r="23">
      <c r="A23" t="inlineStr">
        <is>
          <t>Upside vs price</t>
        </is>
      </c>
      <c r="B23">
        <f>B22/Inputs!B4-1</f>
        <v/>
      </c>
    </row>
    <row r="24">
      <c r="A24" t="inlineStr">
        <is>
          <t>Implied P/B at IV</t>
        </is>
      </c>
      <c r="B24">
        <f>B22/Inputs!B6</f>
        <v/>
      </c>
    </row>
    <row r="25">
      <c r="A25" t="inlineStr">
        <is>
          <t>Implied trailing AFFO yield at IV</t>
        </is>
      </c>
      <c r="B25">
        <f>Inputs!B8/B21</f>
        <v/>
      </c>
    </row>
    <row r="26">
      <c r="A26" t="inlineStr">
        <is>
          <t>Terminal % of value</t>
        </is>
      </c>
      <c r="B26">
        <f>B20/B21</f>
        <v/>
      </c>
    </row>
    <row r="28">
      <c r="A28" s="5" t="inlineStr">
        <is>
          <t>Entry price at hurdle (NZD)</t>
        </is>
      </c>
      <c r="B28">
        <f>(SUMPRODUCT(C13:G13,1/(1+Inputs!B16)^{1,2,3,4,5})+B19/(1+Inputs!B16)^5)/100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Bull scenario</t>
        </is>
      </c>
    </row>
    <row r="3">
      <c r="A3" t="inlineStr">
        <is>
          <t>Y1 AFFO/share (cps)</t>
        </is>
      </c>
      <c r="B3" t="n">
        <v>5.82</v>
      </c>
    </row>
    <row r="4">
      <c r="A4" t="inlineStr">
        <is>
          <t>Growth Y2-Y5</t>
        </is>
      </c>
      <c r="C4" t="n">
        <v>0.055</v>
      </c>
      <c r="D4" t="n">
        <v>0.05</v>
      </c>
      <c r="E4" t="n">
        <v>0.045</v>
      </c>
      <c r="F4" t="n">
        <v>0.04</v>
      </c>
    </row>
    <row r="5">
      <c r="A5" t="inlineStr">
        <is>
          <t>Payout ratio</t>
        </is>
      </c>
      <c r="B5" t="n">
        <v>0.95</v>
      </c>
    </row>
    <row r="6">
      <c r="A6" t="inlineStr">
        <is>
          <t>NAV/share growth p.a.</t>
        </is>
      </c>
      <c r="B6" t="n">
        <v>0.025</v>
      </c>
    </row>
    <row r="7">
      <c r="A7" t="inlineStr">
        <is>
          <t>Exit P/B (constrained to 0.52-0.74 observed band)</t>
        </is>
      </c>
      <c r="B7" t="n">
        <v>0.74</v>
      </c>
    </row>
    <row r="8">
      <c r="A8" t="inlineStr">
        <is>
          <t>Cost of equity</t>
        </is>
      </c>
      <c r="B8" t="n">
        <v>0.08749999999999999</v>
      </c>
    </row>
    <row r="9">
      <c r="A9" t="inlineStr">
        <is>
          <t>NAV0 (NZD)</t>
        </is>
      </c>
      <c r="B9">
        <f>Inputs!B6</f>
        <v/>
      </c>
    </row>
    <row r="11">
      <c r="A11" t="inlineStr">
        <is>
          <t>Year</t>
        </is>
      </c>
      <c r="C11" s="5" t="inlineStr">
        <is>
          <t>FY2026</t>
        </is>
      </c>
      <c r="D11" s="5" t="inlineStr">
        <is>
          <t>FY2027</t>
        </is>
      </c>
      <c r="E11" s="5" t="inlineStr">
        <is>
          <t>FY2028</t>
        </is>
      </c>
      <c r="F11" s="5" t="inlineStr">
        <is>
          <t>FY2029</t>
        </is>
      </c>
      <c r="G11" s="5" t="inlineStr">
        <is>
          <t>FY2030</t>
        </is>
      </c>
    </row>
    <row r="12">
      <c r="A12" t="inlineStr">
        <is>
          <t>AFFO/share (cps)</t>
        </is>
      </c>
      <c r="C12">
        <f>B3</f>
        <v/>
      </c>
      <c r="D12">
        <f>C12*(1+C4)</f>
        <v/>
      </c>
      <c r="E12">
        <f>D12*(1+D4)</f>
        <v/>
      </c>
      <c r="F12">
        <f>E12*(1+E4)</f>
        <v/>
      </c>
      <c r="G12">
        <f>F12*(1+F4)</f>
        <v/>
      </c>
    </row>
    <row r="13">
      <c r="A13" t="inlineStr">
        <is>
          <t>Dividend/share (cps)</t>
        </is>
      </c>
      <c r="C13">
        <f>C12*$B$5</f>
        <v/>
      </c>
      <c r="D13">
        <f>D12*$B$5</f>
        <v/>
      </c>
      <c r="E13">
        <f>E12*$B$5</f>
        <v/>
      </c>
      <c r="F13">
        <f>F12*$B$5</f>
        <v/>
      </c>
      <c r="G13">
        <f>G12*$B$5</f>
        <v/>
      </c>
    </row>
    <row r="14">
      <c r="A14" t="inlineStr">
        <is>
          <t>NAV/share (NZD)</t>
        </is>
      </c>
      <c r="C14">
        <f>$B$9*(1+$B$6)^1</f>
        <v/>
      </c>
      <c r="D14">
        <f>$B$9*(1+$B$6)^2</f>
        <v/>
      </c>
      <c r="E14">
        <f>$B$9*(1+$B$6)^3</f>
        <v/>
      </c>
      <c r="F14">
        <f>$B$9*(1+$B$6)^4</f>
        <v/>
      </c>
      <c r="G14">
        <f>$B$9*(1+$B$6)^5</f>
        <v/>
      </c>
    </row>
    <row r="15">
      <c r="A15" t="inlineStr">
        <is>
          <t>Discount factor</t>
        </is>
      </c>
      <c r="C15">
        <f>1/(1+$B$8)^1</f>
        <v/>
      </c>
      <c r="D15">
        <f>1/(1+$B$8)^2</f>
        <v/>
      </c>
      <c r="E15">
        <f>1/(1+$B$8)^3</f>
        <v/>
      </c>
      <c r="F15">
        <f>1/(1+$B$8)^4</f>
        <v/>
      </c>
      <c r="G15">
        <f>1/(1+$B$8)^5</f>
        <v/>
      </c>
    </row>
    <row r="16">
      <c r="A16" t="inlineStr">
        <is>
          <t>PV dividend (cps)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8">
      <c r="A18" t="inlineStr">
        <is>
          <t>Sum PV dividends (cps)</t>
        </is>
      </c>
      <c r="B18">
        <f>SUM(C16:G16)</f>
        <v/>
      </c>
    </row>
    <row r="19">
      <c r="A19" t="inlineStr">
        <is>
          <t>Exit value = exit P/B x Y5 NAV (cps)</t>
        </is>
      </c>
      <c r="B19">
        <f>B7*G14*100</f>
        <v/>
      </c>
    </row>
    <row r="20">
      <c r="A20" t="inlineStr">
        <is>
          <t>PV exit (cps)</t>
        </is>
      </c>
      <c r="B20">
        <f>B19*G15</f>
        <v/>
      </c>
    </row>
    <row r="21">
      <c r="A21" t="inlineStr">
        <is>
          <t>Intrinsic value (cps)</t>
        </is>
      </c>
      <c r="B21">
        <f>B18+B20</f>
        <v/>
      </c>
    </row>
    <row r="22">
      <c r="A22" s="5" t="inlineStr">
        <is>
          <t>Intrinsic value (NZD/share)</t>
        </is>
      </c>
      <c r="B22" s="5">
        <f>B21/100</f>
        <v/>
      </c>
    </row>
    <row r="23">
      <c r="A23" t="inlineStr">
        <is>
          <t>Upside vs price</t>
        </is>
      </c>
      <c r="B23">
        <f>B22/Inputs!B4-1</f>
        <v/>
      </c>
    </row>
    <row r="24">
      <c r="A24" t="inlineStr">
        <is>
          <t>Implied P/B at IV</t>
        </is>
      </c>
      <c r="B24">
        <f>B22/Inputs!B6</f>
        <v/>
      </c>
    </row>
    <row r="25">
      <c r="A25" t="inlineStr">
        <is>
          <t>Implied trailing AFFO yield at IV</t>
        </is>
      </c>
      <c r="B25">
        <f>Inputs!B8/B21</f>
        <v/>
      </c>
    </row>
    <row r="26">
      <c r="A26" t="inlineStr">
        <is>
          <t>Terminal % of value</t>
        </is>
      </c>
      <c r="B26">
        <f>B20/B21</f>
        <v/>
      </c>
    </row>
    <row r="28">
      <c r="A28" s="5" t="inlineStr">
        <is>
          <t>Entry price at hurdle (NZD)</t>
        </is>
      </c>
      <c r="B28">
        <f>(SUMPRODUCT(C13:G13,1/(1+Inputs!B16)^{1,2,3,4,5})+B19/(1+Inputs!B16)^5)/100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Bear scenario</t>
        </is>
      </c>
    </row>
    <row r="3">
      <c r="A3" t="inlineStr">
        <is>
          <t>Y1 AFFO/share (cps)</t>
        </is>
      </c>
      <c r="B3" t="n">
        <v>4.6</v>
      </c>
    </row>
    <row r="4">
      <c r="A4" t="inlineStr">
        <is>
          <t>Growth Y2-Y5</t>
        </is>
      </c>
      <c r="C4" t="n">
        <v>0.02</v>
      </c>
      <c r="D4" t="n">
        <v>0.03</v>
      </c>
      <c r="E4" t="n">
        <v>0.03</v>
      </c>
      <c r="F4" t="n">
        <v>0.025</v>
      </c>
    </row>
    <row r="5">
      <c r="A5" t="inlineStr">
        <is>
          <t>Payout ratio</t>
        </is>
      </c>
      <c r="B5" t="n">
        <v>0.9</v>
      </c>
    </row>
    <row r="6">
      <c r="A6" t="inlineStr">
        <is>
          <t>NAV/share growth p.a.</t>
        </is>
      </c>
      <c r="B6" t="n">
        <v>-0.015</v>
      </c>
    </row>
    <row r="7">
      <c r="A7" t="inlineStr">
        <is>
          <t>Exit P/B (constrained to 0.52-0.74 observed band)</t>
        </is>
      </c>
      <c r="B7" t="n">
        <v>0.52</v>
      </c>
    </row>
    <row r="8">
      <c r="A8" t="inlineStr">
        <is>
          <t>Cost of equity</t>
        </is>
      </c>
      <c r="B8" t="n">
        <v>0.105</v>
      </c>
    </row>
    <row r="9">
      <c r="A9" t="inlineStr">
        <is>
          <t>NAV0 (NZD)</t>
        </is>
      </c>
      <c r="B9">
        <f>Inputs!B6</f>
        <v/>
      </c>
    </row>
    <row r="11">
      <c r="A11" t="inlineStr">
        <is>
          <t>Year</t>
        </is>
      </c>
      <c r="C11" s="5" t="inlineStr">
        <is>
          <t>FY2026</t>
        </is>
      </c>
      <c r="D11" s="5" t="inlineStr">
        <is>
          <t>FY2027</t>
        </is>
      </c>
      <c r="E11" s="5" t="inlineStr">
        <is>
          <t>FY2028</t>
        </is>
      </c>
      <c r="F11" s="5" t="inlineStr">
        <is>
          <t>FY2029</t>
        </is>
      </c>
      <c r="G11" s="5" t="inlineStr">
        <is>
          <t>FY2030</t>
        </is>
      </c>
    </row>
    <row r="12">
      <c r="A12" t="inlineStr">
        <is>
          <t>AFFO/share (cps)</t>
        </is>
      </c>
      <c r="C12">
        <f>B3</f>
        <v/>
      </c>
      <c r="D12">
        <f>C12*(1+C4)</f>
        <v/>
      </c>
      <c r="E12">
        <f>D12*(1+D4)</f>
        <v/>
      </c>
      <c r="F12">
        <f>E12*(1+E4)</f>
        <v/>
      </c>
      <c r="G12">
        <f>F12*(1+F4)</f>
        <v/>
      </c>
    </row>
    <row r="13">
      <c r="A13" t="inlineStr">
        <is>
          <t>Dividend/share (cps)</t>
        </is>
      </c>
      <c r="C13">
        <f>C12*$B$5</f>
        <v/>
      </c>
      <c r="D13">
        <f>D12*$B$5</f>
        <v/>
      </c>
      <c r="E13">
        <f>E12*$B$5</f>
        <v/>
      </c>
      <c r="F13">
        <f>F12*$B$5</f>
        <v/>
      </c>
      <c r="G13">
        <f>G12*$B$5</f>
        <v/>
      </c>
    </row>
    <row r="14">
      <c r="A14" t="inlineStr">
        <is>
          <t>NAV/share (NZD)</t>
        </is>
      </c>
      <c r="C14">
        <f>$B$9*(1+$B$6)^1</f>
        <v/>
      </c>
      <c r="D14">
        <f>$B$9*(1+$B$6)^2</f>
        <v/>
      </c>
      <c r="E14">
        <f>$B$9*(1+$B$6)^3</f>
        <v/>
      </c>
      <c r="F14">
        <f>$B$9*(1+$B$6)^4</f>
        <v/>
      </c>
      <c r="G14">
        <f>$B$9*(1+$B$6)^5</f>
        <v/>
      </c>
    </row>
    <row r="15">
      <c r="A15" t="inlineStr">
        <is>
          <t>Discount factor</t>
        </is>
      </c>
      <c r="C15">
        <f>1/(1+$B$8)^1</f>
        <v/>
      </c>
      <c r="D15">
        <f>1/(1+$B$8)^2</f>
        <v/>
      </c>
      <c r="E15">
        <f>1/(1+$B$8)^3</f>
        <v/>
      </c>
      <c r="F15">
        <f>1/(1+$B$8)^4</f>
        <v/>
      </c>
      <c r="G15">
        <f>1/(1+$B$8)^5</f>
        <v/>
      </c>
    </row>
    <row r="16">
      <c r="A16" t="inlineStr">
        <is>
          <t>PV dividend (cps)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8">
      <c r="A18" t="inlineStr">
        <is>
          <t>Sum PV dividends (cps)</t>
        </is>
      </c>
      <c r="B18">
        <f>SUM(C16:G16)</f>
        <v/>
      </c>
    </row>
    <row r="19">
      <c r="A19" t="inlineStr">
        <is>
          <t>Exit value = exit P/B x Y5 NAV (cps)</t>
        </is>
      </c>
      <c r="B19">
        <f>B7*G14*100</f>
        <v/>
      </c>
    </row>
    <row r="20">
      <c r="A20" t="inlineStr">
        <is>
          <t>PV exit (cps)</t>
        </is>
      </c>
      <c r="B20">
        <f>B19*G15</f>
        <v/>
      </c>
    </row>
    <row r="21">
      <c r="A21" t="inlineStr">
        <is>
          <t>Intrinsic value (cps)</t>
        </is>
      </c>
      <c r="B21">
        <f>B18+B20</f>
        <v/>
      </c>
    </row>
    <row r="22">
      <c r="A22" s="5" t="inlineStr">
        <is>
          <t>Intrinsic value (NZD/share)</t>
        </is>
      </c>
      <c r="B22" s="5">
        <f>B21/100</f>
        <v/>
      </c>
    </row>
    <row r="23">
      <c r="A23" t="inlineStr">
        <is>
          <t>Upside vs price</t>
        </is>
      </c>
      <c r="B23">
        <f>B22/Inputs!B4-1</f>
        <v/>
      </c>
    </row>
    <row r="24">
      <c r="A24" t="inlineStr">
        <is>
          <t>Implied P/B at IV</t>
        </is>
      </c>
      <c r="B24">
        <f>B22/Inputs!B6</f>
        <v/>
      </c>
    </row>
    <row r="25">
      <c r="A25" t="inlineStr">
        <is>
          <t>Implied trailing AFFO yield at IV</t>
        </is>
      </c>
      <c r="B25">
        <f>Inputs!B8/B21</f>
        <v/>
      </c>
    </row>
    <row r="26">
      <c r="A26" t="inlineStr">
        <is>
          <t>Terminal % of value</t>
        </is>
      </c>
      <c r="B26">
        <f>B20/B21</f>
        <v/>
      </c>
    </row>
    <row r="28">
      <c r="A28" s="5" t="inlineStr">
        <is>
          <t>Entry price at hurdle (NZD)</t>
        </is>
      </c>
      <c r="B28">
        <f>(SUMPRODUCT(C13:G13,1/(1+Inputs!B16)^{1,2,3,4,5})+B19/(1+Inputs!B16)^5)/100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Base-case IV (NZD/share): cost of equity (rows) x exit P/B (cols)</t>
        </is>
      </c>
    </row>
    <row r="3">
      <c r="B3" s="5" t="n">
        <v>0.52</v>
      </c>
      <c r="C3" s="5" t="n">
        <v>0.5570000000000001</v>
      </c>
      <c r="D3" s="5" t="n">
        <v>0.63</v>
      </c>
      <c r="E3" s="5" t="n">
        <v>0.7</v>
      </c>
      <c r="F3" s="5" t="n">
        <v>0.74</v>
      </c>
    </row>
    <row r="4">
      <c r="A4" s="5" t="n">
        <v>0.0825</v>
      </c>
      <c r="B4">
        <f>(SUMPRODUCT(Base!$C$13:$G$13,1/(1+$A4)^{1,2,3,4,5})+B$3*Base!$G$14*100/(1+$A4)^5)/100</f>
        <v/>
      </c>
      <c r="C4">
        <f>(SUMPRODUCT(Base!$C$13:$G$13,1/(1+$A4)^{1,2,3,4,5})+C$3*Base!$G$14*100/(1+$A4)^5)/100</f>
        <v/>
      </c>
      <c r="D4">
        <f>(SUMPRODUCT(Base!$C$13:$G$13,1/(1+$A4)^{1,2,3,4,5})+D$3*Base!$G$14*100/(1+$A4)^5)/100</f>
        <v/>
      </c>
      <c r="E4">
        <f>(SUMPRODUCT(Base!$C$13:$G$13,1/(1+$A4)^{1,2,3,4,5})+E$3*Base!$G$14*100/(1+$A4)^5)/100</f>
        <v/>
      </c>
      <c r="F4">
        <f>(SUMPRODUCT(Base!$C$13:$G$13,1/(1+$A4)^{1,2,3,4,5})+F$3*Base!$G$14*100/(1+$A4)^5)/100</f>
        <v/>
      </c>
    </row>
    <row r="5">
      <c r="A5" s="5" t="n">
        <v>0.08749999999999999</v>
      </c>
      <c r="B5">
        <f>(SUMPRODUCT(Base!$C$13:$G$13,1/(1+$A5)^{1,2,3,4,5})+B$3*Base!$G$14*100/(1+$A5)^5)/100</f>
        <v/>
      </c>
      <c r="C5">
        <f>(SUMPRODUCT(Base!$C$13:$G$13,1/(1+$A5)^{1,2,3,4,5})+C$3*Base!$G$14*100/(1+$A5)^5)/100</f>
        <v/>
      </c>
      <c r="D5">
        <f>(SUMPRODUCT(Base!$C$13:$G$13,1/(1+$A5)^{1,2,3,4,5})+D$3*Base!$G$14*100/(1+$A5)^5)/100</f>
        <v/>
      </c>
      <c r="E5">
        <f>(SUMPRODUCT(Base!$C$13:$G$13,1/(1+$A5)^{1,2,3,4,5})+E$3*Base!$G$14*100/(1+$A5)^5)/100</f>
        <v/>
      </c>
      <c r="F5">
        <f>(SUMPRODUCT(Base!$C$13:$G$13,1/(1+$A5)^{1,2,3,4,5})+F$3*Base!$G$14*100/(1+$A5)^5)/100</f>
        <v/>
      </c>
    </row>
    <row r="6">
      <c r="A6" s="5" t="n">
        <v>0.0925</v>
      </c>
      <c r="B6">
        <f>(SUMPRODUCT(Base!$C$13:$G$13,1/(1+$A6)^{1,2,3,4,5})+B$3*Base!$G$14*100/(1+$A6)^5)/100</f>
        <v/>
      </c>
      <c r="C6">
        <f>(SUMPRODUCT(Base!$C$13:$G$13,1/(1+$A6)^{1,2,3,4,5})+C$3*Base!$G$14*100/(1+$A6)^5)/100</f>
        <v/>
      </c>
      <c r="D6">
        <f>(SUMPRODUCT(Base!$C$13:$G$13,1/(1+$A6)^{1,2,3,4,5})+D$3*Base!$G$14*100/(1+$A6)^5)/100</f>
        <v/>
      </c>
      <c r="E6">
        <f>(SUMPRODUCT(Base!$C$13:$G$13,1/(1+$A6)^{1,2,3,4,5})+E$3*Base!$G$14*100/(1+$A6)^5)/100</f>
        <v/>
      </c>
      <c r="F6">
        <f>(SUMPRODUCT(Base!$C$13:$G$13,1/(1+$A6)^{1,2,3,4,5})+F$3*Base!$G$14*100/(1+$A6)^5)/100</f>
        <v/>
      </c>
    </row>
    <row r="7">
      <c r="A7" s="5" t="n">
        <v>0.0975</v>
      </c>
      <c r="B7">
        <f>(SUMPRODUCT(Base!$C$13:$G$13,1/(1+$A7)^{1,2,3,4,5})+B$3*Base!$G$14*100/(1+$A7)^5)/100</f>
        <v/>
      </c>
      <c r="C7">
        <f>(SUMPRODUCT(Base!$C$13:$G$13,1/(1+$A7)^{1,2,3,4,5})+C$3*Base!$G$14*100/(1+$A7)^5)/100</f>
        <v/>
      </c>
      <c r="D7">
        <f>(SUMPRODUCT(Base!$C$13:$G$13,1/(1+$A7)^{1,2,3,4,5})+D$3*Base!$G$14*100/(1+$A7)^5)/100</f>
        <v/>
      </c>
      <c r="E7">
        <f>(SUMPRODUCT(Base!$C$13:$G$13,1/(1+$A7)^{1,2,3,4,5})+E$3*Base!$G$14*100/(1+$A7)^5)/100</f>
        <v/>
      </c>
      <c r="F7">
        <f>(SUMPRODUCT(Base!$C$13:$G$13,1/(1+$A7)^{1,2,3,4,5})+F$3*Base!$G$14*100/(1+$A7)^5)/100</f>
        <v/>
      </c>
    </row>
    <row r="8">
      <c r="A8" s="5" t="n">
        <v>0.1025</v>
      </c>
      <c r="B8">
        <f>(SUMPRODUCT(Base!$C$13:$G$13,1/(1+$A8)^{1,2,3,4,5})+B$3*Base!$G$14*100/(1+$A8)^5)/100</f>
        <v/>
      </c>
      <c r="C8">
        <f>(SUMPRODUCT(Base!$C$13:$G$13,1/(1+$A8)^{1,2,3,4,5})+C$3*Base!$G$14*100/(1+$A8)^5)/100</f>
        <v/>
      </c>
      <c r="D8">
        <f>(SUMPRODUCT(Base!$C$13:$G$13,1/(1+$A8)^{1,2,3,4,5})+D$3*Base!$G$14*100/(1+$A8)^5)/100</f>
        <v/>
      </c>
      <c r="E8">
        <f>(SUMPRODUCT(Base!$C$13:$G$13,1/(1+$A8)^{1,2,3,4,5})+E$3*Base!$G$14*100/(1+$A8)^5)/100</f>
        <v/>
      </c>
      <c r="F8">
        <f>(SUMPRODUCT(Base!$C$13:$G$13,1/(1+$A8)^{1,2,3,4,5})+F$3*Base!$G$14*100/(1+$A8)^5)/100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NZL has NEVER closed a fiscal year above 0.74x book since Dec-2020 IPO — discount is structural</t>
        </is>
      </c>
    </row>
    <row r="3">
      <c r="A3" s="4" t="inlineStr">
        <is>
          <t>FY</t>
        </is>
      </c>
      <c r="B3" s="4" t="inlineStr">
        <is>
          <t>FY-end price</t>
        </is>
      </c>
      <c r="C3" s="4" t="inlineStr">
        <is>
          <t>NAV/share</t>
        </is>
      </c>
      <c r="D3" s="4" t="inlineStr">
        <is>
          <t>P/B</t>
        </is>
      </c>
    </row>
    <row r="4">
      <c r="A4" t="inlineStr">
        <is>
          <t>FY2021 (Jun)</t>
        </is>
      </c>
      <c r="B4" t="n">
        <v>1.034</v>
      </c>
      <c r="C4" t="n">
        <v>1.397</v>
      </c>
      <c r="D4" t="n">
        <v>0.74</v>
      </c>
    </row>
    <row r="5">
      <c r="A5" t="inlineStr">
        <is>
          <t>FY2022 (Jun)</t>
        </is>
      </c>
      <c r="B5" t="n">
        <v>1.006</v>
      </c>
      <c r="C5" t="n">
        <v>1.656</v>
      </c>
      <c r="D5" t="n">
        <v>0.607</v>
      </c>
    </row>
    <row r="6">
      <c r="A6" t="inlineStr">
        <is>
          <t>FY2022-6moStub</t>
        </is>
      </c>
      <c r="B6" t="n">
        <v>1.055</v>
      </c>
      <c r="C6" t="n">
        <v>1.652</v>
      </c>
      <c r="D6" t="n">
        <v>0.639</v>
      </c>
    </row>
    <row r="7">
      <c r="A7" t="inlineStr">
        <is>
          <t>FY2023</t>
        </is>
      </c>
      <c r="B7" t="n">
        <v>0.9399999999999999</v>
      </c>
      <c r="C7" t="n">
        <v>1.602</v>
      </c>
      <c r="D7" t="n">
        <v>0.587</v>
      </c>
    </row>
    <row r="8">
      <c r="A8" t="inlineStr">
        <is>
          <t>FY2024</t>
        </is>
      </c>
      <c r="B8" t="n">
        <v>0.9</v>
      </c>
      <c r="C8" t="n">
        <v>1.617</v>
      </c>
      <c r="D8" t="n">
        <v>0.5570000000000001</v>
      </c>
    </row>
    <row r="9">
      <c r="A9" t="inlineStr">
        <is>
          <t>FY2025</t>
        </is>
      </c>
      <c r="B9" t="n">
        <v>1.04</v>
      </c>
      <c r="C9" t="n">
        <v>1.609</v>
      </c>
      <c r="D9" t="n">
        <v>0.646</v>
      </c>
    </row>
    <row r="10">
      <c r="A10" t="inlineStr">
        <is>
          <t>Current (2026-08-21)</t>
        </is>
      </c>
      <c r="B10" t="n">
        <v>0.9350000000000001</v>
      </c>
      <c r="C10" t="n">
        <v>1.6094</v>
      </c>
      <c r="D10" t="n">
        <v>0.581</v>
      </c>
    </row>
    <row r="11">
      <c r="A11" t="inlineStr">
        <is>
          <t>Mean 0.63 / Min 0.557 / Max 0.740 — exit P/B assumptions: bear 0.52, base 0.63, bull 0.74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2026-08-23T04:37:14Z</dcterms:created>
  <dcterms:modified xsi:type="dcterms:W3CDTF">2026-08-23T04:37:14Z</dcterms:modified>
</cp:coreProperties>
</file>