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<sst xmlns="http://schemas.openxmlformats.org/spreadsheetml/2006/main" count="360" uniqueCount="166">
  <si>
    <t xml:space="preserve">Ticker</t>
  </si>
  <si>
    <t xml:space="preserve">0921.HK</t>
  </si>
  <si>
    <t xml:space="preserve">Company</t>
  </si>
  <si>
    <t xml:space="preserve">Hisense Home Appliances Group Co., Ltd.</t>
  </si>
  <si>
    <t xml:space="preserve">Valuation date</t>
  </si>
  <si>
    <t xml:space="preserve">2026-10-12</t>
  </si>
  <si>
    <t xml:space="preserve">Current price</t>
  </si>
  <si>
    <t xml:space="preserve">Price as of</t>
  </si>
  <si>
    <t xml:space="preserve">2026-10-09T08:08:06Z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</si>
  <si>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</si>
  <si>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</si>
  <si>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</si>
  <si>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</si>
  <si>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</si>
  <si>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</si>
  <si>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</si>
  <si>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</si>
  <si>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</si>
  <si>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</si>
  <si>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</si>
  <si>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</si>
  <si>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</si>
  <si>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2026-10-11T11:11:48Z</t>
  </si>
  <si>
    <t xml:space="preserve">Drivers file</t>
  </si>
  <si>
    <t xml:space="preserve">0921.HK_Drivers.json</t>
  </si>
  <si>
    <t xml:space="preserve">Convention</t>
  </si>
  <si>
    <t xml:space="preserve">Percents stored as percents; formulas divide by 100. Blue = input, green = link, black = formula.</t>
  </si>
  <si>
    <t xml:space="preserve">Methodology</t>
  </si>
  <si>
    <t xml:space="preserve">summary: Hisense Home Appliances is valued as the sum of (a) the parent's ~60% economic share of a thin-margin, cyclical appliance manufacturer whose profit is concentrated in a 49.2%-owned HVAC JV, and (b) a RMB35bn pile of cash, wealth-management products and bank deposits that is larger than the H-share market capitalisation. The operating flows are stripped of every investment-income line and taxed at a combined 49% (15% cash tax, 40% minority leakage) so the DCF captures only what reaches parent shareholders; the financial assets enter the bridge at carrying value with the minority's claim deducted at NCI book. Core EBITDA margins are held at the five-year mean, not the FY2023-25 peak, and the terminal multiple is capped at 12x for a cyclical. The resulting gap between intrinsic value and price is almost entirely the market's discount on the cash pile (related-party deposits, A/H discount, capital-allocation doubts), not an optimistic view of operations; the bear weight of 30% is how that doubt is carried.
key_risks_to_valuation: Cash pile accessibility: RMB11.5bn of deposits with Hisense Finance Co. (controlling-shareholder captive); a permanent governance discount or a forced redeployment into low-return group assets would make the bridge's carrying values too high; Minority leakage is an estimate (40% of core after-tax profit, NCI claim on the pile at book RMB4.2bn); if the JV holds a larger share of the financial assets than assumed, the minority's claim could be ~RMB1bn higher (about RMB0.5-0.7/share); Core margin is thin (4.7-5.0% EBIT): a 1pp move in EBITDA margin changes attributable NOPAT by ~RMB450m, ~25% of the operating value; China white-goods demand and the property cycle; subsidy phase-out reversed H1-2026 volumes by ~20%; HVAC JV leadership instability after the August 2026 resignation; the JV is 62% of group profit; Tariffs on Chinese-made appliances and Sanden auto components; copper and FX (finance costs swung RMB240m FY2024-&gt;FY2025); The H-share trades ~31% below the A-share; the DCF is in HKD on the H line and that discount may persist indefinitely
sanity_check_fix: trip: scripts/sanity_check.py exit 3: base-case upside 102% with the price in the upper half of its 10-year range (66%); diagnosis list empty -- no peak-earnings, WACC or growth cause identified.
why_the_playbook_levers_do_not_apply: Mid-cycle FCF: base margins (5.7-6.0% core EBITDA) are the five-year mean and FY2026 attributable FCF is below FY2025, so earnings are not extrapolated from a peak. WACC: 9.5% in CNY for an all-equity balance sheet; scenario weights already carry cyclicality and governance, and a premium would charge risk twice while moving IV only ~HK$2-3. Growth: base 10-year revenue CAGR ~1.7% versus a through-cycle (FY2016-25) CAGR of 14%. Exit multiple: already capped at 12x attributable FCF, ~4.3x consolidated terminal EBITDA. None of these is the cause.
actual_cause: The upside is a balance-sheet discount, not an operating assumption: RMB35.5bn of cash, wealth-management products and bank deposits (RMB27.9bn after borrowings and the minority's claim) exceeds the H-share market capitalisation (~RMB25-26bn). Carrying that pile at face assumes a minority H-shareholder can realise it; RMB11.5bn sits with the controlling shareholder's captive Hisense Finance Co., the pile has grown RMB8bn since FY2023 rather than being distributed, and the H-share trades 31% below the A-share for identical cash flows.
fix_applied: Trapped-capital discount of 35% on the non-operating financial assets net of NCI (RMB9,089m, about HK$7.7/share) added as an explicit, auditable equity_bridge line. Face value remains visible in the bridge above it; the discount is the single scenario-independent parameter a reader should flex. Operating drivers, WACC, weights and terminal caps are unchanged.
effect: Base IV HK$43.73 -&gt; HK$36.03; bull 51.70 -&gt; 44.00; bear 35.36 -&gt; 27.66; weighted IV HK$42.81 -&gt; HK$35.11 (upside 98% -&gt; 62%); weighted hurdle entry price HK$35.77 -&gt; HK$28.07. Implied P/B 3.42x -&gt; 2.82x (10-year average 2.03x, maximum 2.80x) and P/Sales 0.68x -&gt; 0.56x (average 0.37x, maximum 0.51x); sanity_check.py now passes. P/B is a weak gauge here because operating book value is negative (negative working capital) and group book is almost entirely the financial pile.
what_would_remove_the_discount: A special dividend, a step-up in payout toward 80%+, a buy-out of the Hitachi JV minority funded from the pile, or repatriation of the Hisense Finance deposits to third-party banks. Each is a reason to restore face value in a future update.</t>
  </si>
  <si>
    <t xml:space="preserve">Data sources</t>
  </si>
  <si>
    <t xml:space="preserve">price: Yahoo Finance chart API for 0921.HK at inputs.price_as_of (regular HKEX close; 52-week range 19.53-27.48 HKD). FX CNYHKD=X and A-share 000921.SZ from the same API for the parity check in inputs.fx_note.
financials: 0921.HK_Metrics.csv / core_metrics (FY2016-FY2025, H1-2024..H1-2026, quarterlies) via make dcf-context; FY2025 annual report (CAS consolidated statements: income statement lines 7075-7129, cash flow 7281-7341, D&amp;A note 12436-12454, investment gain note 12048-12059, non-wholly-owned subsidiary note 12955-12992, five-year summary 15278-15305); H1-2026 interim (balance sheet 2956-3097, income statement 3226-3286, cash flow 3450-3495, notes V.10, V.23, Hisense Finance deposit disclosure line 2262); FY2020 annual five-year summary 11914-11928.
qualitative: 0921.HK_Analysis.json (2026-10-11): business model, JV/minority structure, H1-2026 miss, HVAC leadership change, tariff/copper risks, bull/bear cases.</t>
  </si>
  <si>
    <t xml:space="preserve">Scenario narrative: bear</t>
  </si>
  <si>
    <t xml:space="preserve">The domestic price war deepens (Midea/Haier/Gree hold 70%+ of AC volume), subsidies lapse, and the HVAC JV loses share after the division president's resignation; US/EU tariffs hit Chinese-made appliances and Sanden's auto components; copper stays high. Revenue falls two more years and core EBITDA margin settles at 4.5%, below the FY2022 level. The RMB11.5bn of deposits with the captive Hisense Finance Co. and the controlling shareholder's related-party web keep the governance discount on the cash pile permanent. Terminal multiple 10x. Note that even here the net financial assets exceed the market cap, so the bear case is mainly a thesis about trapped capital, not solvency.</t>
  </si>
  <si>
    <t xml:space="preserve">Scenario narrative: base</t>
  </si>
  <si>
    <t xml:space="preserve">China's white-goods market stays flat-to-down as the trade-in subsidy pull-forward unwinds and the property downcycle keeps central/commercial AC soft; the HVAC JV (62% of group profit) defends its &gt;23% multi-split share under direct Hisense Group management after the August 2026 leadership change, but at thinner margins. Overseas (45% of revenue, growing high single digits) offsets China volume but dilutes gross margin, so core EBITDA margin sits at 5.7-6.0%, the five-year mean. Capex normalises after the Thailand/Changsha build-out. The RMB35bn of cash, WMPs and deposits remains intact and accessible, and the ~55% dividend payout (RMB1.265/share, a ~7% yield at the valuation-date price) continues.</t>
  </si>
  <si>
    <t xml:space="preserve">Scenario narrative: bull</t>
  </si>
  <si>
    <t xml:space="preserve">The H1-2026 miss proves to be the trough: copper eases, the 2026 World Cup sponsorship and local-for-local plants (Monterrey, Thailand) lift overseas share and overseas gross margin recovers toward 15%; heat pumps and data-centre liquid cooling (water chillers +69% in FY2025) become a second growth engine inside the JV; Sanden's RMB6.2bn of new EV thermal-management awards convert to revenue by FY2028-29. Revenue compounds ~4% and core EBITDA margin reaches 6.8% -- still below the FY2023 peak -- and the market closes some of the discount on the cash pile.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</si>
  <si>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</si>
  <si>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</si>
  <si>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</si>
  <si>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</si>
  <si>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</si>
  <si>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</si>
  <si>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</si>
  <si>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</si>
  <si>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</si>
  <si>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</si>
  <si>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</si>
  <si>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</si>
  <si>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</si>
  <si>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</si>
  <si>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</si>
  <si>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</si>
  <si>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</si>
  <si>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</si>
  <si>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</si>
  <si>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</si>
  <si>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</si>
  <si>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</si>
  <si>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</si>
  <si>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</si>
  <si>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</si>
  <si>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</si>
  <si>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</si>
  <si>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</si>
  <si>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</si>
  <si>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</si>
  <si>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</si>
  <si>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</si>
  <si>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</si>
  <si>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</si>
  <si>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</si>
  <si>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</si>
  <si>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</si>
  <si>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</si>
  <si>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</si>
  <si>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</si>
  <si>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</si>
  <si>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</si>
  <si>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</si>
  <si>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</si>
  <si>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</si>
  <si>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</si>
  <si>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</si>
  <si>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</si>
  <si>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</si>
  <si>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</si>
  <si>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</si>
  <si>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</si>
  <si>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</si>
  <si>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</si>
  <si>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</si>
  <si>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</si>
  <si>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</si>
  <si>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</si>
  <si>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</si>
  <si>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</si>
  <si>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</si>
  <si>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</si>
  <si>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</si>
  <si>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</si>
  <si>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</si>
  <si>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</si>
  <si>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</si>
  <si>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</si>
  <si>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</si>
  <si>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</si>
  <si>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</si>
  <si>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</si>
  <si>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</si>
  <si>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</si>
  <si>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0921.HK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</si>
  <si>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</si>
  <si>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</si>
  <si>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</si>
  <si>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</si>
  <si>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</si>
  <si>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</si>
  <si>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</si>
  <si>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</si>
  <si>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</si>
  <si>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</si>
  <si>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</si>
  <si>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</si>
  <si>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</si>
  <si>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</si>
  <si>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</si>
  <si>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</si>
  <si>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</si>
  <si>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</si>
  <si>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</si>
  <si>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</si>
  <si>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</si>
  <si>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</si>
  <si>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</si>
  <si>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</si>
  <si>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</si>
  <si>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</si>
  <si>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</si>
  <si>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</si>
  <si>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</si>
  <si>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</si>
  <si>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0921.HK owner-FCF component DCF: base case (millions, CNY)</t>
  </si>
  <si>
    <t xml:space="preserve">0921.HK owner-FCF component DCF: bull case (millions, CNY)</t>
  </si>
  <si>
    <t xml:space="preserve">0921.HK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</si>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</sst>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21.62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91"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26730.2</v>
      </c>
      <c r="I2" s="0" t="n">
        <v>1116.6</v>
      </c>
      <c r="J2" s="0" t="n">
        <v>4.2</v>
      </c>
      <c r="O2" s="0" t="n">
        <v>4985.6</v>
      </c>
      <c r="P2" s="0" t="n">
        <v>19173.2</v>
      </c>
      <c r="Q2" s="0" t="n">
        <v>13731.6</v>
      </c>
      <c r="AA2" s="0" t="s">
        <v>18</v>
      </c>
      <c r="AB2" s="0" t="s">
        <v>14</v>
      </c>
    </row>
    <row r="3" customFormat="false" ht="15" hidden="false" customHeight="false" outlineLevel="0" collapsed="false">
      <c r="A3" s="0" t="s">
        <v>65</v>
      </c>
      <c r="B3" s="0" t="n">
        <v>33487.6</v>
      </c>
      <c r="I3" s="0" t="n">
        <v>2018.1</v>
      </c>
      <c r="J3" s="0" t="n">
        <v>6</v>
      </c>
      <c r="K3" s="0" t="n">
        <v>1.48</v>
      </c>
      <c r="L3" s="0" t="n">
        <v>455</v>
      </c>
      <c r="O3" s="0" t="n">
        <v>6579.1</v>
      </c>
      <c r="P3" s="0" t="n">
        <v>21607.5</v>
      </c>
      <c r="Q3" s="0" t="n">
        <v>14520.3</v>
      </c>
      <c r="T3" s="0" t="n">
        <v>1363.6</v>
      </c>
      <c r="AA3" s="0" t="s">
        <v>18</v>
      </c>
      <c r="AB3" s="0" t="s">
        <v>14</v>
      </c>
    </row>
    <row r="4" customFormat="false" ht="15" hidden="false" customHeight="false" outlineLevel="0" collapsed="false">
      <c r="A4" s="0" t="s">
        <v>66</v>
      </c>
      <c r="B4" s="0" t="n">
        <v>36019.6</v>
      </c>
      <c r="C4" s="0" t="n">
        <v>29171.5</v>
      </c>
      <c r="D4" s="0" t="n">
        <v>6848.1</v>
      </c>
      <c r="E4" s="0" t="n">
        <v>19</v>
      </c>
      <c r="F4" s="0" t="n">
        <v>1508.7</v>
      </c>
      <c r="G4" s="0" t="n">
        <v>4.2</v>
      </c>
      <c r="I4" s="0" t="n">
        <v>1377.5</v>
      </c>
      <c r="J4" s="0" t="n">
        <v>3.8</v>
      </c>
      <c r="K4" s="0" t="n">
        <v>1.01</v>
      </c>
      <c r="L4" s="0" t="n">
        <v>1049.4</v>
      </c>
      <c r="M4" s="0" t="n">
        <v>330</v>
      </c>
      <c r="N4" s="0" t="n">
        <v>719.4</v>
      </c>
      <c r="O4" s="0" t="n">
        <v>7351.8</v>
      </c>
      <c r="P4" s="0" t="n">
        <v>21827.9</v>
      </c>
      <c r="Q4" s="0" t="n">
        <v>13938.5</v>
      </c>
      <c r="R4" s="0" t="n">
        <v>0</v>
      </c>
      <c r="S4" s="0" t="n">
        <v>3648.5</v>
      </c>
      <c r="T4" s="0" t="n">
        <v>1363.9</v>
      </c>
      <c r="AA4" s="0" t="s">
        <v>18</v>
      </c>
      <c r="AB4" s="0" t="s">
        <v>14</v>
      </c>
    </row>
    <row r="5" customFormat="false" ht="15" hidden="false" customHeight="false" outlineLevel="0" collapsed="false">
      <c r="A5" s="0" t="s">
        <v>67</v>
      </c>
      <c r="B5" s="0" t="n">
        <v>37453</v>
      </c>
      <c r="C5" s="0" t="n">
        <v>29424.8</v>
      </c>
      <c r="D5" s="0" t="n">
        <v>8028.2</v>
      </c>
      <c r="E5" s="0" t="n">
        <v>21.4</v>
      </c>
      <c r="F5" s="0" t="n">
        <v>2054.7</v>
      </c>
      <c r="G5" s="0" t="n">
        <v>5.5</v>
      </c>
      <c r="I5" s="0" t="n">
        <v>1793.7</v>
      </c>
      <c r="J5" s="0" t="n">
        <v>4.8</v>
      </c>
      <c r="K5" s="0" t="n">
        <v>1.32</v>
      </c>
      <c r="L5" s="0" t="n">
        <v>2005.3</v>
      </c>
      <c r="M5" s="0" t="n">
        <v>363.5</v>
      </c>
      <c r="N5" s="0" t="n">
        <v>1641.8</v>
      </c>
      <c r="O5" s="0" t="n">
        <v>8721.6</v>
      </c>
      <c r="P5" s="0" t="n">
        <v>33990.7</v>
      </c>
      <c r="Q5" s="0" t="n">
        <v>21509.8</v>
      </c>
      <c r="R5" s="0" t="n">
        <v>100.1</v>
      </c>
      <c r="S5" s="0" t="n">
        <v>6120.6</v>
      </c>
      <c r="T5" s="0" t="n">
        <v>1358.9</v>
      </c>
      <c r="AA5" s="0" t="s">
        <v>18</v>
      </c>
      <c r="AB5" s="0" t="s">
        <v>14</v>
      </c>
    </row>
    <row r="6" customFormat="false" ht="15" hidden="false" customHeight="false" outlineLevel="0" collapsed="false">
      <c r="A6" s="0" t="s">
        <v>68</v>
      </c>
      <c r="B6" s="0" t="n">
        <v>48392.9</v>
      </c>
      <c r="C6" s="0" t="n">
        <v>36756.3</v>
      </c>
      <c r="D6" s="0" t="n">
        <v>11636.6</v>
      </c>
      <c r="E6" s="0" t="n">
        <v>24</v>
      </c>
      <c r="F6" s="0" t="n">
        <v>3195.5</v>
      </c>
      <c r="G6" s="0" t="n">
        <v>6.6</v>
      </c>
      <c r="I6" s="0" t="n">
        <v>1578.9</v>
      </c>
      <c r="J6" s="0" t="n">
        <v>3.3</v>
      </c>
      <c r="K6" s="0" t="n">
        <v>1.16</v>
      </c>
      <c r="L6" s="0" t="n">
        <v>5962.7</v>
      </c>
      <c r="M6" s="0" t="n">
        <v>613.7</v>
      </c>
      <c r="N6" s="0" t="n">
        <v>5349</v>
      </c>
      <c r="O6" s="0" t="n">
        <v>9779.1</v>
      </c>
      <c r="P6" s="0" t="n">
        <v>41811.6</v>
      </c>
      <c r="Q6" s="0" t="n">
        <v>27405.1</v>
      </c>
      <c r="R6" s="0" t="n">
        <v>22</v>
      </c>
      <c r="S6" s="0" t="n">
        <v>7110.8</v>
      </c>
      <c r="T6" s="0" t="n">
        <v>1361.1</v>
      </c>
      <c r="AA6" s="0" t="s">
        <v>18</v>
      </c>
      <c r="AB6" s="0" t="s">
        <v>14</v>
      </c>
    </row>
    <row r="7" customFormat="false" ht="15" hidden="false" customHeight="false" outlineLevel="0" collapsed="false">
      <c r="A7" s="0" t="s">
        <v>69</v>
      </c>
      <c r="B7" s="0" t="n">
        <v>67562.6</v>
      </c>
      <c r="C7" s="0" t="n">
        <v>54250.1</v>
      </c>
      <c r="D7" s="0" t="n">
        <v>13312.5</v>
      </c>
      <c r="E7" s="0" t="n">
        <v>19.7</v>
      </c>
      <c r="F7" s="0" t="n">
        <v>2780.9</v>
      </c>
      <c r="G7" s="0" t="n">
        <v>4.1</v>
      </c>
      <c r="I7" s="0" t="n">
        <v>972.6</v>
      </c>
      <c r="J7" s="0" t="n">
        <v>1.4</v>
      </c>
      <c r="K7" s="0" t="n">
        <v>0.71</v>
      </c>
      <c r="L7" s="0" t="n">
        <v>4313.8</v>
      </c>
      <c r="M7" s="0" t="n">
        <v>1107.2</v>
      </c>
      <c r="N7" s="0" t="n">
        <v>3206.6</v>
      </c>
      <c r="O7" s="0" t="n">
        <v>10342.4</v>
      </c>
      <c r="P7" s="0" t="n">
        <v>55948.5</v>
      </c>
      <c r="Q7" s="0" t="n">
        <v>40357.3</v>
      </c>
      <c r="R7" s="0" t="n">
        <v>2891.4</v>
      </c>
      <c r="S7" s="0" t="n">
        <v>7022.6</v>
      </c>
      <c r="T7" s="0" t="n">
        <v>1369.9</v>
      </c>
      <c r="AA7" s="0" t="s">
        <v>18</v>
      </c>
      <c r="AB7" s="0" t="s">
        <v>14</v>
      </c>
    </row>
    <row r="8" customFormat="false" ht="15" hidden="false" customHeight="false" outlineLevel="0" collapsed="false">
      <c r="A8" s="0" t="s">
        <v>70</v>
      </c>
      <c r="B8" s="0" t="n">
        <v>74115.2</v>
      </c>
      <c r="C8" s="0" t="n">
        <v>58783.1</v>
      </c>
      <c r="D8" s="0" t="n">
        <v>15332.1</v>
      </c>
      <c r="E8" s="0" t="n">
        <v>20.7</v>
      </c>
      <c r="F8" s="0" t="n">
        <v>3367.1</v>
      </c>
      <c r="G8" s="0" t="n">
        <v>4.5</v>
      </c>
      <c r="I8" s="0" t="n">
        <v>1434.9</v>
      </c>
      <c r="J8" s="0" t="n">
        <v>1.9</v>
      </c>
      <c r="K8" s="0" t="n">
        <v>1.05</v>
      </c>
      <c r="L8" s="0" t="n">
        <v>4032.4</v>
      </c>
      <c r="M8" s="0" t="n">
        <v>883.5</v>
      </c>
      <c r="N8" s="0" t="n">
        <v>3148.9</v>
      </c>
      <c r="O8" s="0" t="n">
        <v>11518.4</v>
      </c>
      <c r="P8" s="0" t="n">
        <v>55375.9</v>
      </c>
      <c r="Q8" s="0" t="n">
        <v>39096.8</v>
      </c>
      <c r="R8" s="0" t="n">
        <v>1482.1</v>
      </c>
      <c r="S8" s="0" t="n">
        <v>6001.3</v>
      </c>
      <c r="T8" s="0" t="n">
        <v>1366.6</v>
      </c>
      <c r="AA8" s="0" t="s">
        <v>18</v>
      </c>
      <c r="AB8" s="0" t="s">
        <v>14</v>
      </c>
    </row>
    <row r="9" customFormat="false" ht="15" hidden="false" customHeight="false" outlineLevel="0" collapsed="false">
      <c r="A9" s="0" t="s">
        <v>71</v>
      </c>
      <c r="B9" s="0" t="n">
        <v>85600.2</v>
      </c>
      <c r="C9" s="0" t="n">
        <v>66696.1</v>
      </c>
      <c r="D9" s="0" t="n">
        <v>18904.1</v>
      </c>
      <c r="E9" s="0" t="n">
        <v>22.1</v>
      </c>
      <c r="F9" s="0" t="n">
        <v>5248</v>
      </c>
      <c r="G9" s="0" t="n">
        <v>6.1</v>
      </c>
      <c r="I9" s="0" t="n">
        <v>2837.3</v>
      </c>
      <c r="J9" s="0" t="n">
        <v>3.3</v>
      </c>
      <c r="K9" s="0" t="n">
        <v>2.08</v>
      </c>
      <c r="L9" s="0" t="n">
        <v>10611.9</v>
      </c>
      <c r="M9" s="0" t="n">
        <v>985.1</v>
      </c>
      <c r="N9" s="0" t="n">
        <v>9626.8</v>
      </c>
      <c r="O9" s="0" t="n">
        <v>13580.2</v>
      </c>
      <c r="P9" s="0" t="n">
        <v>65946.5</v>
      </c>
      <c r="Q9" s="0" t="n">
        <v>46550.4</v>
      </c>
      <c r="R9" s="0" t="n">
        <v>2545.3</v>
      </c>
      <c r="S9" s="0" t="n">
        <v>4939.3</v>
      </c>
      <c r="T9" s="0" t="n">
        <v>1364.1</v>
      </c>
      <c r="AA9" s="0" t="s">
        <v>18</v>
      </c>
      <c r="AB9" s="0" t="s">
        <v>14</v>
      </c>
    </row>
    <row r="10" customFormat="false" ht="15" hidden="false" customHeight="false" outlineLevel="0" collapsed="false">
      <c r="A10" s="0" t="s">
        <v>72</v>
      </c>
      <c r="B10" s="0" t="n">
        <v>92745.6</v>
      </c>
      <c r="C10" s="0" t="n">
        <v>73476.1</v>
      </c>
      <c r="D10" s="0" t="n">
        <v>19269.5</v>
      </c>
      <c r="E10" s="0" t="n">
        <v>20.8</v>
      </c>
      <c r="F10" s="0" t="n">
        <v>5679.1</v>
      </c>
      <c r="G10" s="0" t="n">
        <v>6.1</v>
      </c>
      <c r="I10" s="0" t="n">
        <v>3347.9</v>
      </c>
      <c r="J10" s="0" t="n">
        <v>3.6</v>
      </c>
      <c r="K10" s="0" t="n">
        <v>2.46</v>
      </c>
      <c r="L10" s="0" t="n">
        <v>5132.2</v>
      </c>
      <c r="M10" s="0" t="n">
        <v>1393.9</v>
      </c>
      <c r="N10" s="0" t="n">
        <v>3738.3</v>
      </c>
      <c r="O10" s="0" t="n">
        <v>15455.6</v>
      </c>
      <c r="P10" s="0" t="n">
        <v>69701.9</v>
      </c>
      <c r="Q10" s="0" t="n">
        <v>50327.4</v>
      </c>
      <c r="R10" s="0" t="n">
        <v>2758.1</v>
      </c>
      <c r="S10" s="0" t="n">
        <v>4397.7</v>
      </c>
      <c r="T10" s="0" t="n">
        <v>1360.9</v>
      </c>
      <c r="AA10" s="0" t="s">
        <v>18</v>
      </c>
      <c r="AB10" s="0" t="s">
        <v>14</v>
      </c>
    </row>
    <row r="11" customFormat="false" ht="15" hidden="false" customHeight="false" outlineLevel="0" collapsed="false">
      <c r="A11" s="0" t="s">
        <v>73</v>
      </c>
      <c r="B11" s="0" t="n">
        <v>87928.5</v>
      </c>
      <c r="C11" s="0" t="n">
        <v>69190.8</v>
      </c>
      <c r="D11" s="0" t="n">
        <v>18737.7</v>
      </c>
      <c r="E11" s="0" t="n">
        <v>21.3</v>
      </c>
      <c r="F11" s="0" t="n">
        <v>5280.2</v>
      </c>
      <c r="G11" s="0" t="n">
        <v>6</v>
      </c>
      <c r="I11" s="0" t="n">
        <v>3186.6</v>
      </c>
      <c r="J11" s="0" t="n">
        <v>3.6</v>
      </c>
      <c r="K11" s="0" t="n">
        <v>2.33</v>
      </c>
      <c r="L11" s="0" t="n">
        <v>5796</v>
      </c>
      <c r="M11" s="0" t="n">
        <v>2114.1</v>
      </c>
      <c r="N11" s="0" t="n">
        <v>3681.9</v>
      </c>
      <c r="O11" s="0" t="n">
        <v>17469</v>
      </c>
      <c r="P11" s="0" t="n">
        <v>69984.2</v>
      </c>
      <c r="Q11" s="0" t="n">
        <v>48463.7</v>
      </c>
      <c r="R11" s="0" t="n">
        <v>3372.1</v>
      </c>
      <c r="S11" s="0" t="n">
        <v>3496.4</v>
      </c>
      <c r="T11" s="0" t="n">
        <v>1367.6</v>
      </c>
      <c r="AA11" s="0" t="s">
        <v>18</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21.62</v>
      </c>
    </row>
    <row r="3" customFormat="false" ht="15" hidden="false" customHeight="false" outlineLevel="0" collapsed="false">
      <c r="A3" s="0" t="s">
        <v>77</v>
      </c>
      <c r="B3" s="3" t="n">
        <v>1384.1</v>
      </c>
    </row>
    <row r="4" customFormat="false" ht="15" hidden="false" customHeight="false" outlineLevel="0" collapsed="false">
      <c r="A4" s="0" t="s">
        <v>78</v>
      </c>
      <c r="B4" s="3" t="n">
        <v>-1716.5</v>
      </c>
    </row>
    <row r="5" customFormat="false" ht="15" hidden="false" customHeight="false" outlineLevel="0" collapsed="false">
      <c r="A5" s="0" t="s">
        <v>79</v>
      </c>
      <c r="B5" s="3" t="n">
        <v>18821.3</v>
      </c>
    </row>
    <row r="6" customFormat="false" ht="15" hidden="false" customHeight="false" outlineLevel="0" collapsed="false">
      <c r="A6" s="0" t="s">
        <v>80</v>
      </c>
      <c r="B6" s="3" t="n">
        <v>15</v>
      </c>
    </row>
    <row r="7" customFormat="false" ht="15" hidden="false" customHeight="false" outlineLevel="0" collapsed="false">
      <c r="A7" s="0" t="s">
        <v>81</v>
      </c>
      <c r="B7" s="3" t="n">
        <v>87928.5</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1.1721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-6</v>
      </c>
      <c r="D13" s="3" t="n">
        <v>-4</v>
      </c>
      <c r="E13" s="3" t="n">
        <v>-1</v>
      </c>
      <c r="F13" s="3" t="n">
        <v>1</v>
      </c>
      <c r="G13" s="3" t="n">
        <v>1.5</v>
      </c>
      <c r="H13" s="3" t="n">
        <v>2</v>
      </c>
      <c r="I13" s="3" t="n">
        <v>2</v>
      </c>
      <c r="J13" s="3" t="n">
        <v>2</v>
      </c>
      <c r="K13" s="3" t="n">
        <v>2</v>
      </c>
      <c r="L13" s="3" t="n">
        <v>2</v>
      </c>
    </row>
    <row r="14" customFormat="false" ht="15" hidden="false" customHeight="false" outlineLevel="0" collapsed="false">
      <c r="A14" s="0" t="s">
        <v>98</v>
      </c>
      <c r="C14" s="3" t="n">
        <v>5.5</v>
      </c>
      <c r="D14" s="3" t="n">
        <v>5</v>
      </c>
      <c r="E14" s="3" t="n">
        <v>4.7</v>
      </c>
      <c r="F14" s="3" t="n">
        <v>4.5</v>
      </c>
      <c r="G14" s="3" t="n">
        <v>4.5</v>
      </c>
      <c r="H14" s="3" t="n">
        <v>4.5</v>
      </c>
      <c r="I14" s="3" t="n">
        <v>4.5</v>
      </c>
      <c r="J14" s="3" t="n">
        <v>4.5</v>
      </c>
      <c r="K14" s="3" t="n">
        <v>4.5</v>
      </c>
      <c r="L14" s="3" t="n">
        <v>4.5</v>
      </c>
    </row>
    <row r="15" customFormat="false" ht="15" hidden="false" customHeight="false" outlineLevel="0" collapsed="false">
      <c r="A15" s="0" t="s">
        <v>99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100</v>
      </c>
      <c r="C16" s="3" t="n">
        <v>0.1</v>
      </c>
      <c r="D16" s="3" t="n">
        <v>0.1</v>
      </c>
      <c r="E16" s="3" t="n">
        <v>0.1</v>
      </c>
      <c r="F16" s="3" t="n">
        <v>0.1</v>
      </c>
      <c r="G16" s="3" t="n">
        <v>0.1</v>
      </c>
      <c r="H16" s="3" t="n">
        <v>0.1</v>
      </c>
      <c r="I16" s="3" t="n">
        <v>0.1</v>
      </c>
      <c r="J16" s="3" t="n">
        <v>0.1</v>
      </c>
      <c r="K16" s="3" t="n">
        <v>0.1</v>
      </c>
      <c r="L16" s="3" t="n">
        <v>0.1</v>
      </c>
    </row>
    <row r="17" customFormat="false" ht="15" hidden="false" customHeight="false" outlineLevel="0" collapsed="false">
      <c r="A17" s="0" t="s">
        <v>101</v>
      </c>
      <c r="C17" s="3" t="n">
        <v>1.47</v>
      </c>
      <c r="D17" s="3" t="n">
        <v>1.47</v>
      </c>
      <c r="E17" s="3" t="n">
        <v>1.47</v>
      </c>
      <c r="F17" s="3" t="n">
        <v>1.47</v>
      </c>
      <c r="G17" s="3" t="n">
        <v>1.47</v>
      </c>
      <c r="H17" s="3" t="n">
        <v>1.47</v>
      </c>
      <c r="I17" s="3" t="n">
        <v>1.47</v>
      </c>
      <c r="J17" s="3" t="n">
        <v>1.47</v>
      </c>
      <c r="K17" s="3" t="n">
        <v>1.47</v>
      </c>
      <c r="L17" s="3" t="n">
        <v>1.47</v>
      </c>
    </row>
    <row r="18" customFormat="false" ht="15" hidden="false" customHeight="false" outlineLevel="0" collapsed="false">
      <c r="A18" s="0" t="s">
        <v>102</v>
      </c>
      <c r="C18" s="3" t="n">
        <v>1.9</v>
      </c>
      <c r="D18" s="3" t="n">
        <v>1.8</v>
      </c>
      <c r="E18" s="3" t="n">
        <v>1.7</v>
      </c>
      <c r="F18" s="3" t="n">
        <v>1.6</v>
      </c>
      <c r="G18" s="3" t="n">
        <v>1.6</v>
      </c>
      <c r="H18" s="3" t="n">
        <v>1.6</v>
      </c>
      <c r="I18" s="3" t="n">
        <v>1.6</v>
      </c>
      <c r="J18" s="3" t="n">
        <v>1.6</v>
      </c>
      <c r="K18" s="3" t="n">
        <v>1.6</v>
      </c>
      <c r="L18" s="3" t="n">
        <v>1.6</v>
      </c>
    </row>
    <row r="19" customFormat="false" ht="15" hidden="false" customHeight="false" outlineLevel="0" collapsed="false">
      <c r="A19" s="0" t="s">
        <v>103</v>
      </c>
      <c r="C19" s="3" t="n">
        <v>49</v>
      </c>
      <c r="D19" s="3" t="n">
        <v>49</v>
      </c>
      <c r="E19" s="3" t="n">
        <v>49</v>
      </c>
      <c r="F19" s="3" t="n">
        <v>49</v>
      </c>
      <c r="G19" s="3" t="n">
        <v>49</v>
      </c>
      <c r="H19" s="3" t="n">
        <v>49</v>
      </c>
      <c r="I19" s="3" t="n">
        <v>49</v>
      </c>
      <c r="J19" s="3" t="n">
        <v>49</v>
      </c>
      <c r="K19" s="3" t="n">
        <v>49</v>
      </c>
      <c r="L19" s="3" t="n">
        <v>49</v>
      </c>
    </row>
    <row r="20" customFormat="false" ht="15" hidden="false" customHeight="false" outlineLevel="0" collapsed="false">
      <c r="A20" s="0" t="s">
        <v>104</v>
      </c>
      <c r="B20" s="3" t="n">
        <v>9.5</v>
      </c>
    </row>
    <row r="21" customFormat="false" ht="15" hidden="false" customHeight="false" outlineLevel="0" collapsed="false">
      <c r="A21" s="0" t="s">
        <v>105</v>
      </c>
      <c r="B21" s="3" t="n">
        <v>2</v>
      </c>
    </row>
    <row r="22" customFormat="false" ht="15" hidden="false" customHeight="false" outlineLevel="0" collapsed="false">
      <c r="A22" s="0" t="s">
        <v>106</v>
      </c>
      <c r="B22" s="3" t="n">
        <v>10</v>
      </c>
    </row>
    <row r="23" customFormat="false" ht="15" hidden="false" customHeight="false" outlineLevel="0" collapsed="false">
      <c r="A23" s="0" t="s">
        <v>107</v>
      </c>
      <c r="B23" s="3" t="n">
        <v>0</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-4.3</v>
      </c>
      <c r="D27" s="3" t="n">
        <v>0</v>
      </c>
      <c r="E27" s="3" t="n">
        <v>2.5</v>
      </c>
      <c r="F27" s="3" t="n">
        <v>3</v>
      </c>
      <c r="G27" s="3" t="n">
        <v>3</v>
      </c>
      <c r="H27" s="3" t="n">
        <v>3</v>
      </c>
      <c r="I27" s="3" t="n">
        <v>2.5</v>
      </c>
      <c r="J27" s="3" t="n">
        <v>2.5</v>
      </c>
      <c r="K27" s="3" t="n">
        <v>2.5</v>
      </c>
      <c r="L27" s="3" t="n">
        <v>2.5</v>
      </c>
    </row>
    <row r="28" customFormat="false" ht="15" hidden="false" customHeight="false" outlineLevel="0" collapsed="false">
      <c r="A28" s="0" t="s">
        <v>98</v>
      </c>
      <c r="C28" s="3" t="n">
        <v>5.8</v>
      </c>
      <c r="D28" s="3" t="n">
        <v>5.7</v>
      </c>
      <c r="E28" s="3" t="n">
        <v>5.8</v>
      </c>
      <c r="F28" s="3" t="n">
        <v>5.9</v>
      </c>
      <c r="G28" s="3" t="n">
        <v>6</v>
      </c>
      <c r="H28" s="3" t="n">
        <v>6</v>
      </c>
      <c r="I28" s="3" t="n">
        <v>6</v>
      </c>
      <c r="J28" s="3" t="n">
        <v>6</v>
      </c>
      <c r="K28" s="3" t="n">
        <v>6</v>
      </c>
      <c r="L28" s="3" t="n">
        <v>6</v>
      </c>
    </row>
    <row r="29" customFormat="false" ht="15" hidden="false" customHeight="false" outlineLevel="0" collapsed="false">
      <c r="A29" s="0" t="s">
        <v>99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100</v>
      </c>
      <c r="C30" s="3" t="n">
        <v>0.1</v>
      </c>
      <c r="D30" s="3" t="n">
        <v>0.1</v>
      </c>
      <c r="E30" s="3" t="n">
        <v>0.1</v>
      </c>
      <c r="F30" s="3" t="n">
        <v>0.1</v>
      </c>
      <c r="G30" s="3" t="n">
        <v>0.1</v>
      </c>
      <c r="H30" s="3" t="n">
        <v>0.1</v>
      </c>
      <c r="I30" s="3" t="n">
        <v>0.1</v>
      </c>
      <c r="J30" s="3" t="n">
        <v>0.1</v>
      </c>
      <c r="K30" s="3" t="n">
        <v>0.1</v>
      </c>
      <c r="L30" s="3" t="n">
        <v>0.1</v>
      </c>
    </row>
    <row r="31" customFormat="false" ht="15" hidden="false" customHeight="false" outlineLevel="0" collapsed="false">
      <c r="A31" s="0" t="s">
        <v>101</v>
      </c>
      <c r="C31" s="3" t="n">
        <v>1.47</v>
      </c>
      <c r="D31" s="3" t="n">
        <v>1.47</v>
      </c>
      <c r="E31" s="3" t="n">
        <v>1.47</v>
      </c>
      <c r="F31" s="3" t="n">
        <v>1.47</v>
      </c>
      <c r="G31" s="3" t="n">
        <v>1.47</v>
      </c>
      <c r="H31" s="3" t="n">
        <v>1.47</v>
      </c>
      <c r="I31" s="3" t="n">
        <v>1.47</v>
      </c>
      <c r="J31" s="3" t="n">
        <v>1.47</v>
      </c>
      <c r="K31" s="3" t="n">
        <v>1.47</v>
      </c>
      <c r="L31" s="3" t="n">
        <v>1.47</v>
      </c>
    </row>
    <row r="32" customFormat="false" ht="15" hidden="false" customHeight="false" outlineLevel="0" collapsed="false">
      <c r="A32" s="0" t="s">
        <v>102</v>
      </c>
      <c r="C32" s="3" t="n">
        <v>1.9</v>
      </c>
      <c r="D32" s="3" t="n">
        <v>1.9</v>
      </c>
      <c r="E32" s="3" t="n">
        <v>1.8</v>
      </c>
      <c r="F32" s="3" t="n">
        <v>1.7</v>
      </c>
      <c r="G32" s="3" t="n">
        <v>1.6</v>
      </c>
      <c r="H32" s="3" t="n">
        <v>1.6</v>
      </c>
      <c r="I32" s="3" t="n">
        <v>1.6</v>
      </c>
      <c r="J32" s="3" t="n">
        <v>1.6</v>
      </c>
      <c r="K32" s="3" t="n">
        <v>1.6</v>
      </c>
      <c r="L32" s="3" t="n">
        <v>1.6</v>
      </c>
    </row>
    <row r="33" customFormat="false" ht="15" hidden="false" customHeight="false" outlineLevel="0" collapsed="false">
      <c r="A33" s="0" t="s">
        <v>103</v>
      </c>
      <c r="C33" s="3" t="n">
        <v>49</v>
      </c>
      <c r="D33" s="3" t="n">
        <v>49</v>
      </c>
      <c r="E33" s="3" t="n">
        <v>49</v>
      </c>
      <c r="F33" s="3" t="n">
        <v>49</v>
      </c>
      <c r="G33" s="3" t="n">
        <v>49</v>
      </c>
      <c r="H33" s="3" t="n">
        <v>49</v>
      </c>
      <c r="I33" s="3" t="n">
        <v>49</v>
      </c>
      <c r="J33" s="3" t="n">
        <v>49</v>
      </c>
      <c r="K33" s="3" t="n">
        <v>49</v>
      </c>
      <c r="L33" s="3" t="n">
        <v>49</v>
      </c>
    </row>
    <row r="34" customFormat="false" ht="15" hidden="false" customHeight="false" outlineLevel="0" collapsed="false">
      <c r="A34" s="0" t="s">
        <v>104</v>
      </c>
      <c r="B34" s="3" t="n">
        <v>9.5</v>
      </c>
    </row>
    <row r="35" customFormat="false" ht="15" hidden="false" customHeight="false" outlineLevel="0" collapsed="false">
      <c r="A35" s="0" t="s">
        <v>105</v>
      </c>
      <c r="B35" s="3" t="n">
        <v>2.5</v>
      </c>
    </row>
    <row r="36" customFormat="false" ht="15" hidden="false" customHeight="false" outlineLevel="0" collapsed="false">
      <c r="A36" s="0" t="s">
        <v>106</v>
      </c>
      <c r="B36" s="3" t="n">
        <v>12</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-3</v>
      </c>
      <c r="D41" s="3" t="n">
        <v>3</v>
      </c>
      <c r="E41" s="3" t="n">
        <v>5</v>
      </c>
      <c r="F41" s="3" t="n">
        <v>5</v>
      </c>
      <c r="G41" s="3" t="n">
        <v>4.5</v>
      </c>
      <c r="H41" s="3" t="n">
        <v>4</v>
      </c>
      <c r="I41" s="3" t="n">
        <v>3.5</v>
      </c>
      <c r="J41" s="3" t="n">
        <v>3</v>
      </c>
      <c r="K41" s="3" t="n">
        <v>3</v>
      </c>
      <c r="L41" s="3" t="n">
        <v>3</v>
      </c>
    </row>
    <row r="42" customFormat="false" ht="15" hidden="false" customHeight="false" outlineLevel="0" collapsed="false">
      <c r="A42" s="0" t="s">
        <v>98</v>
      </c>
      <c r="C42" s="3" t="n">
        <v>5.9</v>
      </c>
      <c r="D42" s="3" t="n">
        <v>6.2</v>
      </c>
      <c r="E42" s="3" t="n">
        <v>6.5</v>
      </c>
      <c r="F42" s="3" t="n">
        <v>6.7</v>
      </c>
      <c r="G42" s="3" t="n">
        <v>6.8</v>
      </c>
      <c r="H42" s="3" t="n">
        <v>6.8</v>
      </c>
      <c r="I42" s="3" t="n">
        <v>6.8</v>
      </c>
      <c r="J42" s="3" t="n">
        <v>6.8</v>
      </c>
      <c r="K42" s="3" t="n">
        <v>6.8</v>
      </c>
      <c r="L42" s="3" t="n">
        <v>6.8</v>
      </c>
    </row>
    <row r="43" customFormat="false" ht="15" hidden="false" customHeight="false" outlineLevel="0" collapsed="false">
      <c r="A43" s="0" t="s">
        <v>99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100</v>
      </c>
      <c r="C44" s="3" t="n">
        <v>0.1</v>
      </c>
      <c r="D44" s="3" t="n">
        <v>0.1</v>
      </c>
      <c r="E44" s="3" t="n">
        <v>0.1</v>
      </c>
      <c r="F44" s="3" t="n">
        <v>0.1</v>
      </c>
      <c r="G44" s="3" t="n">
        <v>0.1</v>
      </c>
      <c r="H44" s="3" t="n">
        <v>0.1</v>
      </c>
      <c r="I44" s="3" t="n">
        <v>0.1</v>
      </c>
      <c r="J44" s="3" t="n">
        <v>0.1</v>
      </c>
      <c r="K44" s="3" t="n">
        <v>0.1</v>
      </c>
      <c r="L44" s="3" t="n">
        <v>0.1</v>
      </c>
    </row>
    <row r="45" customFormat="false" ht="15" hidden="false" customHeight="false" outlineLevel="0" collapsed="false">
      <c r="A45" s="0" t="s">
        <v>101</v>
      </c>
      <c r="C45" s="3" t="n">
        <v>1.47</v>
      </c>
      <c r="D45" s="3" t="n">
        <v>1.47</v>
      </c>
      <c r="E45" s="3" t="n">
        <v>1.47</v>
      </c>
      <c r="F45" s="3" t="n">
        <v>1.47</v>
      </c>
      <c r="G45" s="3" t="n">
        <v>1.47</v>
      </c>
      <c r="H45" s="3" t="n">
        <v>1.47</v>
      </c>
      <c r="I45" s="3" t="n">
        <v>1.47</v>
      </c>
      <c r="J45" s="3" t="n">
        <v>1.47</v>
      </c>
      <c r="K45" s="3" t="n">
        <v>1.47</v>
      </c>
      <c r="L45" s="3" t="n">
        <v>1.47</v>
      </c>
    </row>
    <row r="46" customFormat="false" ht="15" hidden="false" customHeight="false" outlineLevel="0" collapsed="false">
      <c r="A46" s="0" t="s">
        <v>102</v>
      </c>
      <c r="C46" s="3" t="n">
        <v>1.9</v>
      </c>
      <c r="D46" s="3" t="n">
        <v>1.9</v>
      </c>
      <c r="E46" s="3" t="n">
        <v>1.8</v>
      </c>
      <c r="F46" s="3" t="n">
        <v>1.7</v>
      </c>
      <c r="G46" s="3" t="n">
        <v>1.7</v>
      </c>
      <c r="H46" s="3" t="n">
        <v>1.7</v>
      </c>
      <c r="I46" s="3" t="n">
        <v>1.6</v>
      </c>
      <c r="J46" s="3" t="n">
        <v>1.6</v>
      </c>
      <c r="K46" s="3" t="n">
        <v>1.6</v>
      </c>
      <c r="L46" s="3" t="n">
        <v>1.6</v>
      </c>
    </row>
    <row r="47" customFormat="false" ht="15" hidden="false" customHeight="false" outlineLevel="0" collapsed="false">
      <c r="A47" s="0" t="s">
        <v>103</v>
      </c>
      <c r="C47" s="3" t="n">
        <v>49</v>
      </c>
      <c r="D47" s="3" t="n">
        <v>49</v>
      </c>
      <c r="E47" s="3" t="n">
        <v>49</v>
      </c>
      <c r="F47" s="3" t="n">
        <v>49</v>
      </c>
      <c r="G47" s="3" t="n">
        <v>49</v>
      </c>
      <c r="H47" s="3" t="n">
        <v>49</v>
      </c>
      <c r="I47" s="3" t="n">
        <v>49</v>
      </c>
      <c r="J47" s="3" t="n">
        <v>49</v>
      </c>
      <c r="K47" s="3" t="n">
        <v>49</v>
      </c>
      <c r="L47" s="3" t="n">
        <v>49</v>
      </c>
    </row>
    <row r="48" customFormat="false" ht="15" hidden="false" customHeight="false" outlineLevel="0" collapsed="false">
      <c r="A48" s="0" t="s">
        <v>104</v>
      </c>
      <c r="B48" s="3" t="n">
        <v>9.5</v>
      </c>
    </row>
    <row r="49" customFormat="false" ht="15" hidden="false" customHeight="false" outlineLevel="0" collapsed="false">
      <c r="A49" s="0" t="s">
        <v>105</v>
      </c>
      <c r="B49" s="3" t="n">
        <v>3</v>
      </c>
    </row>
    <row r="50" customFormat="false" ht="15" hidden="false" customHeight="false" outlineLevel="0" collapsed="false">
      <c r="A50" s="0" t="s">
        <v>106</v>
      </c>
      <c r="B50" s="3" t="n">
        <v>14</v>
      </c>
    </row>
    <row r="51" customFormat="false" ht="15" hidden="false" customHeight="false" outlineLevel="0" collapsed="false">
      <c r="A51" s="0" t="s">
        <v>107</v>
      </c>
      <c r="B51" s="3" t="n">
        <v>0</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-6</v>
      </c>
      <c r="D5" s="4" t="n">
        <f aca="false">Assumptions!D13</f>
        <v>-4</v>
      </c>
      <c r="E5" s="4" t="n">
        <f aca="false">Assumptions!E13</f>
        <v>-1</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87928.5</v>
      </c>
      <c r="C6" s="0" t="n">
        <f aca="false">B6*(1+C5/100)</f>
        <v>82652.79</v>
      </c>
      <c r="D6" s="0" t="n">
        <f aca="false">C6*(1+D5/100)</f>
        <v>79346.6784</v>
      </c>
      <c r="E6" s="0" t="n">
        <f aca="false">D6*(1+E5/100)</f>
        <v>78553.211616</v>
      </c>
      <c r="F6" s="0" t="n">
        <f aca="false">E6*(1+F5/100)</f>
        <v>79338.74373216</v>
      </c>
      <c r="G6" s="0" t="n">
        <f aca="false">F6*(1+G5/100)</f>
        <v>80528.8248881424</v>
      </c>
      <c r="H6" s="0" t="n">
        <f aca="false">G6*(1+H5/100)</f>
        <v>82139.4013859052</v>
      </c>
      <c r="I6" s="0" t="n">
        <f aca="false">H6*(1+I5/100)</f>
        <v>83782.1894136233</v>
      </c>
      <c r="J6" s="0" t="n">
        <f aca="false">I6*(1+J5/100)</f>
        <v>85457.8332018958</v>
      </c>
      <c r="K6" s="0" t="n">
        <f aca="false">J6*(1+K5/100)</f>
        <v>87166.9898659337</v>
      </c>
      <c r="L6" s="0" t="n">
        <f aca="false">K6*(1+L5/100)</f>
        <v>88910.3296632524</v>
      </c>
    </row>
    <row r="7" customFormat="false" ht="15" hidden="false" customHeight="false" outlineLevel="0" collapsed="false">
      <c r="A7" s="0" t="s">
        <v>98</v>
      </c>
      <c r="C7" s="4" t="n">
        <f aca="false">Assumptions!C14</f>
        <v>5.5</v>
      </c>
      <c r="D7" s="4" t="n">
        <f aca="false">Assumptions!D14</f>
        <v>5</v>
      </c>
      <c r="E7" s="4" t="n">
        <f aca="false">Assumptions!E14</f>
        <v>4.7</v>
      </c>
      <c r="F7" s="4" t="n">
        <f aca="false">Assumptions!F14</f>
        <v>4.5</v>
      </c>
      <c r="G7" s="4" t="n">
        <f aca="false">Assumptions!G14</f>
        <v>4.5</v>
      </c>
      <c r="H7" s="4" t="n">
        <f aca="false">Assumptions!H14</f>
        <v>4.5</v>
      </c>
      <c r="I7" s="4" t="n">
        <f aca="false">Assumptions!I14</f>
        <v>4.5</v>
      </c>
      <c r="J7" s="4" t="n">
        <f aca="false">Assumptions!J14</f>
        <v>4.5</v>
      </c>
      <c r="K7" s="4" t="n">
        <f aca="false">Assumptions!K14</f>
        <v>4.5</v>
      </c>
      <c r="L7" s="4" t="n">
        <f aca="false">Assumptions!L14</f>
        <v>4.5</v>
      </c>
    </row>
    <row r="8" customFormat="false" ht="15" hidden="false" customHeight="false" outlineLevel="0" collapsed="false">
      <c r="A8" s="0" t="s">
        <v>44</v>
      </c>
      <c r="C8" s="0" t="n">
        <f aca="false">C6*C7/100</f>
        <v>4545.90345</v>
      </c>
      <c r="D8" s="0" t="n">
        <f aca="false">D6*D7/100</f>
        <v>3967.33392</v>
      </c>
      <c r="E8" s="0" t="n">
        <f aca="false">E6*E7/100</f>
        <v>3692.000945952</v>
      </c>
      <c r="F8" s="0" t="n">
        <f aca="false">F6*F7/100</f>
        <v>3570.2434679472</v>
      </c>
      <c r="G8" s="0" t="n">
        <f aca="false">G6*G7/100</f>
        <v>3623.79711996641</v>
      </c>
      <c r="H8" s="0" t="n">
        <f aca="false">H6*H7/100</f>
        <v>3696.27306236574</v>
      </c>
      <c r="I8" s="0" t="n">
        <f aca="false">I6*I7/100</f>
        <v>3770.19852361305</v>
      </c>
      <c r="J8" s="0" t="n">
        <f aca="false">J6*J7/100</f>
        <v>3845.60249408531</v>
      </c>
      <c r="K8" s="0" t="n">
        <f aca="false">K6*K7/100</f>
        <v>3922.51454396702</v>
      </c>
      <c r="L8" s="0" t="n">
        <f aca="false">L6*L7/100</f>
        <v>4000.96483484636</v>
      </c>
    </row>
    <row r="9" customFormat="false" ht="15" hidden="false" customHeight="false" outlineLevel="0" collapsed="false">
      <c r="A9" s="0" t="s">
        <v>99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4463.25066</v>
      </c>
      <c r="D11" s="0" t="n">
        <f aca="false">D8+D10+D24</f>
        <v>3887.9872416</v>
      </c>
      <c r="E11" s="0" t="n">
        <f aca="false">E8+E10+E24</f>
        <v>3613.447734336</v>
      </c>
      <c r="F11" s="0" t="n">
        <f aca="false">F8+F10+F24</f>
        <v>3490.90472421504</v>
      </c>
      <c r="G11" s="0" t="n">
        <f aca="false">G8+G10+G24</f>
        <v>3543.26829507826</v>
      </c>
      <c r="H11" s="0" t="n">
        <f aca="false">H8+H10+H24</f>
        <v>3614.13366097983</v>
      </c>
      <c r="I11" s="0" t="n">
        <f aca="false">I8+I10+I24</f>
        <v>3686.41633419943</v>
      </c>
      <c r="J11" s="0" t="n">
        <f aca="false">J8+J10+J24</f>
        <v>3760.14466088342</v>
      </c>
      <c r="K11" s="0" t="n">
        <f aca="false">K8+K10+K24</f>
        <v>3835.34755410108</v>
      </c>
      <c r="L11" s="0" t="n">
        <f aca="false">L8+L10+L24</f>
        <v>3912.05450518311</v>
      </c>
    </row>
    <row r="12" customFormat="false" ht="15" hidden="false" customHeight="false" outlineLevel="0" collapsed="false">
      <c r="A12" s="0" t="s">
        <v>116</v>
      </c>
      <c r="C12" s="4" t="n">
        <f aca="false">-C6*Assumptions!C17/100</f>
        <v>-1214.996013</v>
      </c>
      <c r="D12" s="4" t="n">
        <f aca="false">-D6*Assumptions!D17/100</f>
        <v>-1166.39617248</v>
      </c>
      <c r="E12" s="4" t="n">
        <f aca="false">-E6*Assumptions!E17/100</f>
        <v>-1154.7322107552</v>
      </c>
      <c r="F12" s="4" t="n">
        <f aca="false">-F6*Assumptions!F17/100</f>
        <v>-1166.27953286275</v>
      </c>
      <c r="G12" s="4" t="n">
        <f aca="false">-G6*Assumptions!G17/100</f>
        <v>-1183.77372585569</v>
      </c>
      <c r="H12" s="4" t="n">
        <f aca="false">-H6*Assumptions!H17/100</f>
        <v>-1207.44920037281</v>
      </c>
      <c r="I12" s="4" t="n">
        <f aca="false">-I6*Assumptions!I17/100</f>
        <v>-1231.59818438026</v>
      </c>
      <c r="J12" s="4" t="n">
        <f aca="false">-J6*Assumptions!J17/100</f>
        <v>-1256.23014806787</v>
      </c>
      <c r="K12" s="4" t="n">
        <f aca="false">-K6*Assumptions!K17/100</f>
        <v>-1281.35475102923</v>
      </c>
      <c r="L12" s="4" t="n">
        <f aca="false">-L6*Assumptions!L17/100</f>
        <v>-1306.98184604981</v>
      </c>
    </row>
    <row r="13" customFormat="false" ht="15" hidden="false" customHeight="false" outlineLevel="0" collapsed="false">
      <c r="A13" s="0" t="s">
        <v>117</v>
      </c>
      <c r="C13" s="0" t="n">
        <f aca="false">C11+C12</f>
        <v>3248.254647</v>
      </c>
      <c r="D13" s="0" t="n">
        <f aca="false">D11+D12</f>
        <v>2721.59106912</v>
      </c>
      <c r="E13" s="0" t="n">
        <f aca="false">E11+E12</f>
        <v>2458.7155235808</v>
      </c>
      <c r="F13" s="0" t="n">
        <f aca="false">F11+F12</f>
        <v>2324.62519135229</v>
      </c>
      <c r="G13" s="0" t="n">
        <f aca="false">G11+G12</f>
        <v>2359.49456922257</v>
      </c>
      <c r="H13" s="0" t="n">
        <f aca="false">H11+H12</f>
        <v>2406.68446060702</v>
      </c>
      <c r="I13" s="0" t="n">
        <f aca="false">I11+I12</f>
        <v>2454.81814981916</v>
      </c>
      <c r="J13" s="0" t="n">
        <f aca="false">J11+J12</f>
        <v>2503.91451281555</v>
      </c>
      <c r="K13" s="0" t="n">
        <f aca="false">K11+K12</f>
        <v>2553.99280307186</v>
      </c>
      <c r="L13" s="0" t="n">
        <f aca="false">L11+L12</f>
        <v>2605.0726591333</v>
      </c>
    </row>
    <row r="14" customFormat="false" ht="15" hidden="false" customHeight="false" outlineLevel="0" collapsed="false">
      <c r="A14" s="0" t="s">
        <v>103</v>
      </c>
      <c r="C14" s="4" t="n">
        <f aca="false">Assumptions!C19</f>
        <v>49</v>
      </c>
      <c r="D14" s="4" t="n">
        <f aca="false">Assumptions!D19</f>
        <v>49</v>
      </c>
      <c r="E14" s="4" t="n">
        <f aca="false">Assumptions!E19</f>
        <v>49</v>
      </c>
      <c r="F14" s="4" t="n">
        <f aca="false">Assumptions!F19</f>
        <v>49</v>
      </c>
      <c r="G14" s="4" t="n">
        <f aca="false">Assumptions!G19</f>
        <v>49</v>
      </c>
      <c r="H14" s="4" t="n">
        <f aca="false">Assumptions!H19</f>
        <v>49</v>
      </c>
      <c r="I14" s="4" t="n">
        <f aca="false">Assumptions!I19</f>
        <v>49</v>
      </c>
      <c r="J14" s="4" t="n">
        <f aca="false">Assumptions!J19</f>
        <v>49</v>
      </c>
      <c r="K14" s="4" t="n">
        <f aca="false">Assumptions!K19</f>
        <v>49</v>
      </c>
      <c r="L14" s="4" t="n">
        <f aca="false">Assumptions!L19</f>
        <v>49</v>
      </c>
    </row>
    <row r="15" customFormat="false" ht="15" hidden="false" customHeight="false" outlineLevel="0" collapsed="false">
      <c r="A15" s="0" t="s">
        <v>118</v>
      </c>
      <c r="C15" s="0" t="n">
        <f aca="false">C13-MAX(0,C13)*C14/100</f>
        <v>1656.60986997</v>
      </c>
      <c r="D15" s="0" t="n">
        <f aca="false">D13-MAX(0,D13)*D14/100</f>
        <v>1388.0114452512</v>
      </c>
      <c r="E15" s="0" t="n">
        <f aca="false">E13-MAX(0,E13)*E14/100</f>
        <v>1253.94491702621</v>
      </c>
      <c r="F15" s="0" t="n">
        <f aca="false">F13-MAX(0,F13)*F14/100</f>
        <v>1185.55884758967</v>
      </c>
      <c r="G15" s="0" t="n">
        <f aca="false">G13-MAX(0,G13)*G14/100</f>
        <v>1203.34223030351</v>
      </c>
      <c r="H15" s="0" t="n">
        <f aca="false">H13-MAX(0,H13)*H14/100</f>
        <v>1227.40907490958</v>
      </c>
      <c r="I15" s="0" t="n">
        <f aca="false">I13-MAX(0,I13)*I14/100</f>
        <v>1251.95725640777</v>
      </c>
      <c r="J15" s="0" t="n">
        <f aca="false">J13-MAX(0,J13)*J14/100</f>
        <v>1276.99640153593</v>
      </c>
      <c r="K15" s="0" t="n">
        <f aca="false">K13-MAX(0,K13)*K14/100</f>
        <v>1302.53632956665</v>
      </c>
      <c r="L15" s="0" t="n">
        <f aca="false">L13-MAX(0,L13)*L14/100</f>
        <v>1328.58705615798</v>
      </c>
    </row>
    <row r="16" customFormat="false" ht="15" hidden="false" customHeight="false" outlineLevel="0" collapsed="false">
      <c r="A16" s="0" t="s">
        <v>119</v>
      </c>
      <c r="C16" s="0" t="n">
        <f aca="false">-C12</f>
        <v>1214.996013</v>
      </c>
      <c r="D16" s="0" t="n">
        <f aca="false">-D12</f>
        <v>1166.39617248</v>
      </c>
      <c r="E16" s="0" t="n">
        <f aca="false">-E12</f>
        <v>1154.7322107552</v>
      </c>
      <c r="F16" s="0" t="n">
        <f aca="false">-F12</f>
        <v>1166.27953286275</v>
      </c>
      <c r="G16" s="0" t="n">
        <f aca="false">-G12</f>
        <v>1183.77372585569</v>
      </c>
      <c r="H16" s="0" t="n">
        <f aca="false">-H12</f>
        <v>1207.44920037281</v>
      </c>
      <c r="I16" s="0" t="n">
        <f aca="false">-I12</f>
        <v>1231.59818438026</v>
      </c>
      <c r="J16" s="0" t="n">
        <f aca="false">-J12</f>
        <v>1256.23014806787</v>
      </c>
      <c r="K16" s="0" t="n">
        <f aca="false">-K12</f>
        <v>1281.35475102923</v>
      </c>
      <c r="L16" s="0" t="n">
        <f aca="false">-L12</f>
        <v>1306.98184604981</v>
      </c>
    </row>
    <row r="17" customFormat="false" ht="15" hidden="false" customHeight="false" outlineLevel="0" collapsed="false">
      <c r="A17" s="0" t="s">
        <v>120</v>
      </c>
      <c r="C17" s="4" t="n">
        <f aca="false">-C6*Assumptions!C18/100</f>
        <v>-1570.40301</v>
      </c>
      <c r="D17" s="4" t="n">
        <f aca="false">-D6*Assumptions!D18/100</f>
        <v>-1428.2402112</v>
      </c>
      <c r="E17" s="4" t="n">
        <f aca="false">-E6*Assumptions!E18/100</f>
        <v>-1335.404597472</v>
      </c>
      <c r="F17" s="4" t="n">
        <f aca="false">-F6*Assumptions!F18/100</f>
        <v>-1269.41989971456</v>
      </c>
      <c r="G17" s="4" t="n">
        <f aca="false">-G6*Assumptions!G18/100</f>
        <v>-1288.46119821028</v>
      </c>
      <c r="H17" s="4" t="n">
        <f aca="false">-H6*Assumptions!H18/100</f>
        <v>-1314.23042217448</v>
      </c>
      <c r="I17" s="4" t="n">
        <f aca="false">-I6*Assumptions!I18/100</f>
        <v>-1340.51503061797</v>
      </c>
      <c r="J17" s="4" t="n">
        <f aca="false">-J6*Assumptions!J18/100</f>
        <v>-1367.32533123033</v>
      </c>
      <c r="K17" s="4" t="n">
        <f aca="false">-K6*Assumptions!K18/100</f>
        <v>-1394.67183785494</v>
      </c>
      <c r="L17" s="4" t="n">
        <f aca="false">-L6*Assumptions!L18/100</f>
        <v>-1422.56527461204</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1301.20287297</v>
      </c>
      <c r="D19" s="0" t="n">
        <f aca="false">D15+D16+D17+D18</f>
        <v>1126.1674065312</v>
      </c>
      <c r="E19" s="0" t="n">
        <f aca="false">E15+E16+E17+E18</f>
        <v>1073.27253030941</v>
      </c>
      <c r="F19" s="0" t="n">
        <f aca="false">F15+F16+F17+F18</f>
        <v>1082.41848073786</v>
      </c>
      <c r="G19" s="0" t="n">
        <f aca="false">G15+G16+G17+G18</f>
        <v>1098.65475794893</v>
      </c>
      <c r="H19" s="0" t="n">
        <f aca="false">H15+H16+H17+H18</f>
        <v>1120.6278531079</v>
      </c>
      <c r="I19" s="0" t="n">
        <f aca="false">I15+I16+I17+I18</f>
        <v>1143.04041017006</v>
      </c>
      <c r="J19" s="0" t="n">
        <f aca="false">J15+J16+J17+J18</f>
        <v>1165.90121837346</v>
      </c>
      <c r="K19" s="0" t="n">
        <f aca="false">K15+K16+K17+K18</f>
        <v>1189.21924274093</v>
      </c>
      <c r="L19" s="0" t="n">
        <f aca="false">L15+L16+L17+L18</f>
        <v>1213.00362759575</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1188.313126</v>
      </c>
      <c r="D21" s="0" t="n">
        <f aca="false">D19*D20</f>
        <v>939.235967999999</v>
      </c>
      <c r="E21" s="0" t="n">
        <f aca="false">E19*E20</f>
        <v>817.462156273973</v>
      </c>
      <c r="F21" s="0" t="n">
        <f aca="false">F19*F20</f>
        <v>752.902469992869</v>
      </c>
      <c r="G21" s="0" t="n">
        <f aca="false">G19*G20</f>
        <v>697.895896842705</v>
      </c>
      <c r="H21" s="0" t="n">
        <f aca="false">H19*H20</f>
        <v>650.094808017862</v>
      </c>
      <c r="I21" s="0" t="n">
        <f aca="false">I19*I20</f>
        <v>605.567766372803</v>
      </c>
      <c r="J21" s="0" t="n">
        <f aca="false">J19*J20</f>
        <v>564.090522100693</v>
      </c>
      <c r="K21" s="0" t="n">
        <f aca="false">K19*K20</f>
        <v>525.454184970509</v>
      </c>
      <c r="L21" s="0" t="n">
        <f aca="false">L19*L20</f>
        <v>489.464172301296</v>
      </c>
    </row>
    <row r="23" customFormat="false" ht="15" hidden="false" customHeight="false" outlineLevel="0" collapsed="false">
      <c r="A23" s="0" t="s">
        <v>100</v>
      </c>
      <c r="C23" s="4" t="n">
        <f aca="false">Assumptions!C16</f>
        <v>0.1</v>
      </c>
      <c r="D23" s="4" t="n">
        <f aca="false">Assumptions!D16</f>
        <v>0.1</v>
      </c>
      <c r="E23" s="4" t="n">
        <f aca="false">Assumptions!E16</f>
        <v>0.1</v>
      </c>
      <c r="F23" s="4" t="n">
        <f aca="false">Assumptions!F16</f>
        <v>0.1</v>
      </c>
      <c r="G23" s="4" t="n">
        <f aca="false">Assumptions!G16</f>
        <v>0.1</v>
      </c>
      <c r="H23" s="4" t="n">
        <f aca="false">Assumptions!H16</f>
        <v>0.1</v>
      </c>
      <c r="I23" s="4" t="n">
        <f aca="false">Assumptions!I16</f>
        <v>0.1</v>
      </c>
      <c r="J23" s="4" t="n">
        <f aca="false">Assumptions!J16</f>
        <v>0.1</v>
      </c>
      <c r="K23" s="4" t="n">
        <f aca="false">Assumptions!K16</f>
        <v>0.1</v>
      </c>
      <c r="L23" s="4" t="n">
        <f aca="false">Assumptions!L16</f>
        <v>0.1</v>
      </c>
    </row>
    <row r="24" customFormat="false" ht="15" hidden="false" customHeight="false" outlineLevel="0" collapsed="false">
      <c r="A24" s="0" t="s">
        <v>125</v>
      </c>
      <c r="C24" s="0" t="n">
        <f aca="false">-C6*C23/100</f>
        <v>-82.65279</v>
      </c>
      <c r="D24" s="0" t="n">
        <f aca="false">-D6*D23/100</f>
        <v>-79.3466784</v>
      </c>
      <c r="E24" s="0" t="n">
        <f aca="false">-E6*E23/100</f>
        <v>-78.553211616</v>
      </c>
      <c r="F24" s="0" t="n">
        <f aca="false">-F6*F23/100</f>
        <v>-79.33874373216</v>
      </c>
      <c r="G24" s="0" t="n">
        <f aca="false">-G6*G23/100</f>
        <v>-80.5288248881424</v>
      </c>
      <c r="H24" s="0" t="n">
        <f aca="false">-H6*H23/100</f>
        <v>-82.1394013859052</v>
      </c>
      <c r="I24" s="0" t="n">
        <f aca="false">-I6*I23/100</f>
        <v>-83.7821894136233</v>
      </c>
      <c r="J24" s="0" t="n">
        <f aca="false">-J6*J23/100</f>
        <v>-85.4578332018958</v>
      </c>
      <c r="K24" s="0" t="n">
        <f aca="false">-K6*K23/100</f>
        <v>-87.1669898659337</v>
      </c>
      <c r="L24" s="0" t="n">
        <f aca="false">-L6*L23/100</f>
        <v>-88.9103296632524</v>
      </c>
    </row>
    <row r="26" customFormat="false" ht="15" hidden="false" customHeight="false" outlineLevel="0" collapsed="false">
      <c r="A26" s="2" t="s">
        <v>126</v>
      </c>
    </row>
    <row r="27" customFormat="false" ht="15" hidden="false" customHeight="false" outlineLevel="0" collapsed="false">
      <c r="A27" s="0" t="s">
        <v>104</v>
      </c>
      <c r="B27" s="4" t="n">
        <f aca="false">Assumptions!$B$20</f>
        <v>9.5</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10</v>
      </c>
    </row>
    <row r="30" customFormat="false" ht="15" hidden="false" customHeight="false" outlineLevel="0" collapsed="false">
      <c r="A30" s="0" t="s">
        <v>127</v>
      </c>
      <c r="B30" s="0" t="n">
        <f aca="false">SUM(C21:L21)</f>
        <v>7230.48107087271</v>
      </c>
    </row>
    <row r="31" customFormat="false" ht="15" hidden="false" customHeight="false" outlineLevel="0" collapsed="false">
      <c r="A31" s="0" t="s">
        <v>128</v>
      </c>
      <c r="B31" s="0" t="n">
        <f aca="false">L19</f>
        <v>1213.00362759575</v>
      </c>
    </row>
    <row r="32" customFormat="false" ht="15" hidden="false" customHeight="false" outlineLevel="0" collapsed="false">
      <c r="A32" s="0" t="s">
        <v>129</v>
      </c>
      <c r="B32" s="0" t="n">
        <f aca="false">IF(B27&gt;B28,B31*(1+B28/100)/((B27-B28)/100),B31*B29)</f>
        <v>16496.8493353022</v>
      </c>
    </row>
    <row r="33" customFormat="false" ht="15" hidden="false" customHeight="false" outlineLevel="0" collapsed="false">
      <c r="A33" s="0" t="s">
        <v>130</v>
      </c>
      <c r="B33" s="0" t="n">
        <f aca="false">B31*B29</f>
        <v>12130.0362759575</v>
      </c>
    </row>
    <row r="34" customFormat="false" ht="15" hidden="false" customHeight="false" outlineLevel="0" collapsed="false">
      <c r="A34" s="0" t="s">
        <v>131</v>
      </c>
      <c r="B34" s="0" t="n">
        <f aca="false">MAX(0,MIN(B32,B33))</f>
        <v>12130.0362759575</v>
      </c>
    </row>
    <row r="35" customFormat="false" ht="15" hidden="false" customHeight="false" outlineLevel="0" collapsed="false">
      <c r="A35" s="0" t="s">
        <v>132</v>
      </c>
      <c r="B35" s="0" t="n">
        <f aca="false">B34/(1+B27/100)^L4</f>
        <v>4894.64172301296</v>
      </c>
    </row>
    <row r="36" customFormat="false" ht="15" hidden="false" customHeight="false" outlineLevel="0" collapsed="false">
      <c r="A36" s="0" t="s">
        <v>133</v>
      </c>
      <c r="B36" s="0" t="n">
        <f aca="false">B30+B35</f>
        <v>12125.1227938857</v>
      </c>
    </row>
    <row r="37" customFormat="false" ht="15" hidden="false" customHeight="false" outlineLevel="0" collapsed="false">
      <c r="A37" s="0" t="s">
        <v>134</v>
      </c>
      <c r="B37" s="0" t="n">
        <f aca="false">B36+Assumptions!$B$5-Assumptions!$B$4</f>
        <v>32662.9227938857</v>
      </c>
    </row>
    <row r="38" customFormat="false" ht="15" hidden="false" customHeight="false" outlineLevel="0" collapsed="false">
      <c r="A38" s="0" t="s">
        <v>135</v>
      </c>
      <c r="B38" s="0" t="n">
        <f aca="false">B37/Assumptions!$B$3*Assumptions!$B$10</f>
        <v>27.660004195299</v>
      </c>
    </row>
    <row r="39" customFormat="false" ht="15" hidden="false" customHeight="false" outlineLevel="0" collapsed="false">
      <c r="A39" s="0" t="s">
        <v>136</v>
      </c>
      <c r="B39" s="4" t="n">
        <f aca="false">B38/Assumptions!$B$2-1</f>
        <v>0.279371146868596</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27.660004195299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9517.41307805898</v>
      </c>
    </row>
    <row r="47" customFormat="false" ht="15" hidden="false" customHeight="false" outlineLevel="0" collapsed="false">
      <c r="A47" s="0" t="s">
        <v>141</v>
      </c>
      <c r="B47" s="0" t="n">
        <f aca="false">(SUMPRODUCT(C19:L19/(1+B45/100)^C4:L4)+B46/(1+B45/100)^L4+Assumptions!$B$5-Assumptions!$B$4)/Assumptions!$B$3*Assumptions!$B$10</f>
        <v>24.2849288860397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-4.3</v>
      </c>
      <c r="D5" s="4" t="n">
        <f aca="false">Assumptions!D27</f>
        <v>0</v>
      </c>
      <c r="E5" s="4" t="n">
        <f aca="false">Assumptions!E27</f>
        <v>2.5</v>
      </c>
      <c r="F5" s="4" t="n">
        <f aca="false">Assumptions!F27</f>
        <v>3</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87928.5</v>
      </c>
      <c r="C6" s="0" t="n">
        <f aca="false">B6*(1+C5/100)</f>
        <v>84147.5745</v>
      </c>
      <c r="D6" s="0" t="n">
        <f aca="false">C6*(1+D5/100)</f>
        <v>84147.5745</v>
      </c>
      <c r="E6" s="0" t="n">
        <f aca="false">D6*(1+E5/100)</f>
        <v>86251.2638625</v>
      </c>
      <c r="F6" s="0" t="n">
        <f aca="false">E6*(1+F5/100)</f>
        <v>88838.801778375</v>
      </c>
      <c r="G6" s="0" t="n">
        <f aca="false">F6*(1+G5/100)</f>
        <v>91503.9658317263</v>
      </c>
      <c r="H6" s="0" t="n">
        <f aca="false">G6*(1+H5/100)</f>
        <v>94249.0848066781</v>
      </c>
      <c r="I6" s="0" t="n">
        <f aca="false">H6*(1+I5/100)</f>
        <v>96605.311926845</v>
      </c>
      <c r="J6" s="0" t="n">
        <f aca="false">I6*(1+J5/100)</f>
        <v>99020.4447250161</v>
      </c>
      <c r="K6" s="0" t="n">
        <f aca="false">J6*(1+K5/100)</f>
        <v>101495.955843141</v>
      </c>
      <c r="L6" s="0" t="n">
        <f aca="false">K6*(1+L5/100)</f>
        <v>104033.35473922</v>
      </c>
    </row>
    <row r="7" customFormat="false" ht="15" hidden="false" customHeight="false" outlineLevel="0" collapsed="false">
      <c r="A7" s="0" t="s">
        <v>98</v>
      </c>
      <c r="C7" s="4" t="n">
        <f aca="false">Assumptions!C28</f>
        <v>5.8</v>
      </c>
      <c r="D7" s="4" t="n">
        <f aca="false">Assumptions!D28</f>
        <v>5.7</v>
      </c>
      <c r="E7" s="4" t="n">
        <f aca="false">Assumptions!E28</f>
        <v>5.8</v>
      </c>
      <c r="F7" s="4" t="n">
        <f aca="false">Assumptions!F28</f>
        <v>5.9</v>
      </c>
      <c r="G7" s="4" t="n">
        <f aca="false">Assumptions!G28</f>
        <v>6</v>
      </c>
      <c r="H7" s="4" t="n">
        <f aca="false">Assumptions!H28</f>
        <v>6</v>
      </c>
      <c r="I7" s="4" t="n">
        <f aca="false">Assumptions!I28</f>
        <v>6</v>
      </c>
      <c r="J7" s="4" t="n">
        <f aca="false">Assumptions!J28</f>
        <v>6</v>
      </c>
      <c r="K7" s="4" t="n">
        <f aca="false">Assumptions!K28</f>
        <v>6</v>
      </c>
      <c r="L7" s="4" t="n">
        <f aca="false">Assumptions!L28</f>
        <v>6</v>
      </c>
    </row>
    <row r="8" customFormat="false" ht="15" hidden="false" customHeight="false" outlineLevel="0" collapsed="false">
      <c r="A8" s="0" t="s">
        <v>44</v>
      </c>
      <c r="C8" s="0" t="n">
        <f aca="false">C6*C7/100</f>
        <v>4880.559321</v>
      </c>
      <c r="D8" s="0" t="n">
        <f aca="false">D6*D7/100</f>
        <v>4796.4117465</v>
      </c>
      <c r="E8" s="0" t="n">
        <f aca="false">E6*E7/100</f>
        <v>5002.573304025</v>
      </c>
      <c r="F8" s="0" t="n">
        <f aca="false">F6*F7/100</f>
        <v>5241.48930492413</v>
      </c>
      <c r="G8" s="0" t="n">
        <f aca="false">G6*G7/100</f>
        <v>5490.23794990358</v>
      </c>
      <c r="H8" s="0" t="n">
        <f aca="false">H6*H7/100</f>
        <v>5654.94508840068</v>
      </c>
      <c r="I8" s="0" t="n">
        <f aca="false">I6*I7/100</f>
        <v>5796.3187156107</v>
      </c>
      <c r="J8" s="0" t="n">
        <f aca="false">J6*J7/100</f>
        <v>5941.22668350097</v>
      </c>
      <c r="K8" s="0" t="n">
        <f aca="false">K6*K7/100</f>
        <v>6089.75735058849</v>
      </c>
      <c r="L8" s="0" t="n">
        <f aca="false">L6*L7/100</f>
        <v>6242.0012843532</v>
      </c>
    </row>
    <row r="9" customFormat="false" ht="15" hidden="false" customHeight="false" outlineLevel="0" collapsed="false">
      <c r="A9" s="0" t="s">
        <v>99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4796.4117465</v>
      </c>
      <c r="D11" s="0" t="n">
        <f aca="false">D8+D10+D24</f>
        <v>4712.264172</v>
      </c>
      <c r="E11" s="0" t="n">
        <f aca="false">E8+E10+E24</f>
        <v>4916.3220401625</v>
      </c>
      <c r="F11" s="0" t="n">
        <f aca="false">F8+F10+F24</f>
        <v>5152.65050314575</v>
      </c>
      <c r="G11" s="0" t="n">
        <f aca="false">G8+G10+G24</f>
        <v>5398.73398407185</v>
      </c>
      <c r="H11" s="0" t="n">
        <f aca="false">H8+H10+H24</f>
        <v>5560.69600359401</v>
      </c>
      <c r="I11" s="0" t="n">
        <f aca="false">I8+I10+I24</f>
        <v>5699.71340368385</v>
      </c>
      <c r="J11" s="0" t="n">
        <f aca="false">J8+J10+J24</f>
        <v>5842.20623877595</v>
      </c>
      <c r="K11" s="0" t="n">
        <f aca="false">K8+K10+K24</f>
        <v>5988.26139474535</v>
      </c>
      <c r="L11" s="0" t="n">
        <f aca="false">L8+L10+L24</f>
        <v>6137.96792961398</v>
      </c>
    </row>
    <row r="12" customFormat="false" ht="15" hidden="false" customHeight="false" outlineLevel="0" collapsed="false">
      <c r="A12" s="0" t="s">
        <v>116</v>
      </c>
      <c r="C12" s="4" t="n">
        <f aca="false">-C6*Assumptions!C31/100</f>
        <v>-1236.96934515</v>
      </c>
      <c r="D12" s="4" t="n">
        <f aca="false">-D6*Assumptions!D31/100</f>
        <v>-1236.96934515</v>
      </c>
      <c r="E12" s="4" t="n">
        <f aca="false">-E6*Assumptions!E31/100</f>
        <v>-1267.89357877875</v>
      </c>
      <c r="F12" s="4" t="n">
        <f aca="false">-F6*Assumptions!F31/100</f>
        <v>-1305.93038614211</v>
      </c>
      <c r="G12" s="4" t="n">
        <f aca="false">-G6*Assumptions!G31/100</f>
        <v>-1345.10829772638</v>
      </c>
      <c r="H12" s="4" t="n">
        <f aca="false">-H6*Assumptions!H31/100</f>
        <v>-1385.46154665817</v>
      </c>
      <c r="I12" s="4" t="n">
        <f aca="false">-I6*Assumptions!I31/100</f>
        <v>-1420.09808532462</v>
      </c>
      <c r="J12" s="4" t="n">
        <f aca="false">-J6*Assumptions!J31/100</f>
        <v>-1455.60053745774</v>
      </c>
      <c r="K12" s="4" t="n">
        <f aca="false">-K6*Assumptions!K31/100</f>
        <v>-1491.99055089418</v>
      </c>
      <c r="L12" s="4" t="n">
        <f aca="false">-L6*Assumptions!L31/100</f>
        <v>-1529.29031466653</v>
      </c>
    </row>
    <row r="13" customFormat="false" ht="15" hidden="false" customHeight="false" outlineLevel="0" collapsed="false">
      <c r="A13" s="0" t="s">
        <v>117</v>
      </c>
      <c r="C13" s="0" t="n">
        <f aca="false">C11+C12</f>
        <v>3559.44240135</v>
      </c>
      <c r="D13" s="0" t="n">
        <f aca="false">D11+D12</f>
        <v>3475.29482685</v>
      </c>
      <c r="E13" s="0" t="n">
        <f aca="false">E11+E12</f>
        <v>3648.42846138375</v>
      </c>
      <c r="F13" s="0" t="n">
        <f aca="false">F11+F12</f>
        <v>3846.72011700364</v>
      </c>
      <c r="G13" s="0" t="n">
        <f aca="false">G11+G12</f>
        <v>4053.62568634547</v>
      </c>
      <c r="H13" s="0" t="n">
        <f aca="false">H11+H12</f>
        <v>4175.23445693584</v>
      </c>
      <c r="I13" s="0" t="n">
        <f aca="false">I11+I12</f>
        <v>4279.61531835923</v>
      </c>
      <c r="J13" s="0" t="n">
        <f aca="false">J11+J12</f>
        <v>4386.60570131821</v>
      </c>
      <c r="K13" s="0" t="n">
        <f aca="false">K11+K12</f>
        <v>4496.27084385117</v>
      </c>
      <c r="L13" s="0" t="n">
        <f aca="false">L11+L12</f>
        <v>4608.67761494745</v>
      </c>
    </row>
    <row r="14" customFormat="false" ht="15" hidden="false" customHeight="false" outlineLevel="0" collapsed="false">
      <c r="A14" s="0" t="s">
        <v>103</v>
      </c>
      <c r="C14" s="4" t="n">
        <f aca="false">Assumptions!C33</f>
        <v>49</v>
      </c>
      <c r="D14" s="4" t="n">
        <f aca="false">Assumptions!D33</f>
        <v>49</v>
      </c>
      <c r="E14" s="4" t="n">
        <f aca="false">Assumptions!E33</f>
        <v>49</v>
      </c>
      <c r="F14" s="4" t="n">
        <f aca="false">Assumptions!F33</f>
        <v>49</v>
      </c>
      <c r="G14" s="4" t="n">
        <f aca="false">Assumptions!G33</f>
        <v>49</v>
      </c>
      <c r="H14" s="4" t="n">
        <f aca="false">Assumptions!H33</f>
        <v>49</v>
      </c>
      <c r="I14" s="4" t="n">
        <f aca="false">Assumptions!I33</f>
        <v>49</v>
      </c>
      <c r="J14" s="4" t="n">
        <f aca="false">Assumptions!J33</f>
        <v>49</v>
      </c>
      <c r="K14" s="4" t="n">
        <f aca="false">Assumptions!K33</f>
        <v>49</v>
      </c>
      <c r="L14" s="4" t="n">
        <f aca="false">Assumptions!L33</f>
        <v>49</v>
      </c>
    </row>
    <row r="15" customFormat="false" ht="15" hidden="false" customHeight="false" outlineLevel="0" collapsed="false">
      <c r="A15" s="0" t="s">
        <v>118</v>
      </c>
      <c r="C15" s="0" t="n">
        <f aca="false">C13-MAX(0,C13)*C14/100</f>
        <v>1815.3156246885</v>
      </c>
      <c r="D15" s="0" t="n">
        <f aca="false">D13-MAX(0,D13)*D14/100</f>
        <v>1772.4003616935</v>
      </c>
      <c r="E15" s="0" t="n">
        <f aca="false">E13-MAX(0,E13)*E14/100</f>
        <v>1860.69851530571</v>
      </c>
      <c r="F15" s="0" t="n">
        <f aca="false">F13-MAX(0,F13)*F14/100</f>
        <v>1961.82725967186</v>
      </c>
      <c r="G15" s="0" t="n">
        <f aca="false">G13-MAX(0,G13)*G14/100</f>
        <v>2067.34910003619</v>
      </c>
      <c r="H15" s="0" t="n">
        <f aca="false">H13-MAX(0,H13)*H14/100</f>
        <v>2129.36957303728</v>
      </c>
      <c r="I15" s="0" t="n">
        <f aca="false">I13-MAX(0,I13)*I14/100</f>
        <v>2182.60381236321</v>
      </c>
      <c r="J15" s="0" t="n">
        <f aca="false">J13-MAX(0,J13)*J14/100</f>
        <v>2237.16890767229</v>
      </c>
      <c r="K15" s="0" t="n">
        <f aca="false">K13-MAX(0,K13)*K14/100</f>
        <v>2293.0981303641</v>
      </c>
      <c r="L15" s="0" t="n">
        <f aca="false">L13-MAX(0,L13)*L14/100</f>
        <v>2350.4255836232</v>
      </c>
    </row>
    <row r="16" customFormat="false" ht="15" hidden="false" customHeight="false" outlineLevel="0" collapsed="false">
      <c r="A16" s="0" t="s">
        <v>119</v>
      </c>
      <c r="C16" s="0" t="n">
        <f aca="false">-C12</f>
        <v>1236.96934515</v>
      </c>
      <c r="D16" s="0" t="n">
        <f aca="false">-D12</f>
        <v>1236.96934515</v>
      </c>
      <c r="E16" s="0" t="n">
        <f aca="false">-E12</f>
        <v>1267.89357877875</v>
      </c>
      <c r="F16" s="0" t="n">
        <f aca="false">-F12</f>
        <v>1305.93038614211</v>
      </c>
      <c r="G16" s="0" t="n">
        <f aca="false">-G12</f>
        <v>1345.10829772638</v>
      </c>
      <c r="H16" s="0" t="n">
        <f aca="false">-H12</f>
        <v>1385.46154665817</v>
      </c>
      <c r="I16" s="0" t="n">
        <f aca="false">-I12</f>
        <v>1420.09808532462</v>
      </c>
      <c r="J16" s="0" t="n">
        <f aca="false">-J12</f>
        <v>1455.60053745774</v>
      </c>
      <c r="K16" s="0" t="n">
        <f aca="false">-K12</f>
        <v>1491.99055089418</v>
      </c>
      <c r="L16" s="0" t="n">
        <f aca="false">-L12</f>
        <v>1529.29031466653</v>
      </c>
    </row>
    <row r="17" customFormat="false" ht="15" hidden="false" customHeight="false" outlineLevel="0" collapsed="false">
      <c r="A17" s="0" t="s">
        <v>120</v>
      </c>
      <c r="C17" s="4" t="n">
        <f aca="false">-C6*Assumptions!C32/100</f>
        <v>-1598.8039155</v>
      </c>
      <c r="D17" s="4" t="n">
        <f aca="false">-D6*Assumptions!D32/100</f>
        <v>-1598.8039155</v>
      </c>
      <c r="E17" s="4" t="n">
        <f aca="false">-E6*Assumptions!E32/100</f>
        <v>-1552.522749525</v>
      </c>
      <c r="F17" s="4" t="n">
        <f aca="false">-F6*Assumptions!F32/100</f>
        <v>-1510.25963023237</v>
      </c>
      <c r="G17" s="4" t="n">
        <f aca="false">-G6*Assumptions!G32/100</f>
        <v>-1464.06345330762</v>
      </c>
      <c r="H17" s="4" t="n">
        <f aca="false">-H6*Assumptions!H32/100</f>
        <v>-1507.98535690685</v>
      </c>
      <c r="I17" s="4" t="n">
        <f aca="false">-I6*Assumptions!I32/100</f>
        <v>-1545.68499082952</v>
      </c>
      <c r="J17" s="4" t="n">
        <f aca="false">-J6*Assumptions!J32/100</f>
        <v>-1584.32711560026</v>
      </c>
      <c r="K17" s="4" t="n">
        <f aca="false">-K6*Assumptions!K32/100</f>
        <v>-1623.93529349026</v>
      </c>
      <c r="L17" s="4" t="n">
        <f aca="false">-L6*Assumptions!L32/100</f>
        <v>-1664.53367582752</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1453.4810543385</v>
      </c>
      <c r="D19" s="0" t="n">
        <f aca="false">D15+D16+D17+D18</f>
        <v>1410.5657913435</v>
      </c>
      <c r="E19" s="0" t="n">
        <f aca="false">E15+E16+E17+E18</f>
        <v>1576.06934455946</v>
      </c>
      <c r="F19" s="0" t="n">
        <f aca="false">F15+F16+F17+F18</f>
        <v>1757.49801558159</v>
      </c>
      <c r="G19" s="0" t="n">
        <f aca="false">G15+G16+G17+G18</f>
        <v>1948.39394445495</v>
      </c>
      <c r="H19" s="0" t="n">
        <f aca="false">H15+H16+H17+H18</f>
        <v>2006.8457627886</v>
      </c>
      <c r="I19" s="0" t="n">
        <f aca="false">I15+I16+I17+I18</f>
        <v>2057.01690685831</v>
      </c>
      <c r="J19" s="0" t="n">
        <f aca="false">J15+J16+J17+J18</f>
        <v>2108.44232952977</v>
      </c>
      <c r="K19" s="0" t="n">
        <f aca="false">K15+K16+K17+K18</f>
        <v>2161.15338776801</v>
      </c>
      <c r="L19" s="0" t="n">
        <f aca="false">L15+L16+L17+L18</f>
        <v>2215.18222246221</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1327.3799583</v>
      </c>
      <c r="D21" s="0" t="n">
        <f aca="false">D19*D20</f>
        <v>1176.42734</v>
      </c>
      <c r="E21" s="0" t="n">
        <f aca="false">E19*E20</f>
        <v>1200.41928630137</v>
      </c>
      <c r="F21" s="0" t="n">
        <f aca="false">F19*F20</f>
        <v>1222.47044048706</v>
      </c>
      <c r="G21" s="0" t="n">
        <f aca="false">G19*G20</f>
        <v>1237.67373638543</v>
      </c>
      <c r="H21" s="0" t="n">
        <f aca="false">H19*H20</f>
        <v>1164.20451915707</v>
      </c>
      <c r="I21" s="0" t="n">
        <f aca="false">I19*I20</f>
        <v>1089.78048596895</v>
      </c>
      <c r="J21" s="0" t="n">
        <f aca="false">J19*J20</f>
        <v>1020.11415353258</v>
      </c>
      <c r="K21" s="0" t="n">
        <f aca="false">K19*K20</f>
        <v>954.901376594423</v>
      </c>
      <c r="L21" s="0" t="n">
        <f aca="false">L19*L20</f>
        <v>893.857452976515</v>
      </c>
    </row>
    <row r="23" customFormat="false" ht="15" hidden="false" customHeight="false" outlineLevel="0" collapsed="false">
      <c r="A23" s="0" t="s">
        <v>100</v>
      </c>
      <c r="C23" s="4" t="n">
        <f aca="false">Assumptions!C30</f>
        <v>0.1</v>
      </c>
      <c r="D23" s="4" t="n">
        <f aca="false">Assumptions!D30</f>
        <v>0.1</v>
      </c>
      <c r="E23" s="4" t="n">
        <f aca="false">Assumptions!E30</f>
        <v>0.1</v>
      </c>
      <c r="F23" s="4" t="n">
        <f aca="false">Assumptions!F30</f>
        <v>0.1</v>
      </c>
      <c r="G23" s="4" t="n">
        <f aca="false">Assumptions!G30</f>
        <v>0.1</v>
      </c>
      <c r="H23" s="4" t="n">
        <f aca="false">Assumptions!H30</f>
        <v>0.1</v>
      </c>
      <c r="I23" s="4" t="n">
        <f aca="false">Assumptions!I30</f>
        <v>0.1</v>
      </c>
      <c r="J23" s="4" t="n">
        <f aca="false">Assumptions!J30</f>
        <v>0.1</v>
      </c>
      <c r="K23" s="4" t="n">
        <f aca="false">Assumptions!K30</f>
        <v>0.1</v>
      </c>
      <c r="L23" s="4" t="n">
        <f aca="false">Assumptions!L30</f>
        <v>0.1</v>
      </c>
    </row>
    <row r="24" customFormat="false" ht="15" hidden="false" customHeight="false" outlineLevel="0" collapsed="false">
      <c r="A24" s="0" t="s">
        <v>125</v>
      </c>
      <c r="C24" s="0" t="n">
        <f aca="false">-C6*C23/100</f>
        <v>-84.1475745</v>
      </c>
      <c r="D24" s="0" t="n">
        <f aca="false">-D6*D23/100</f>
        <v>-84.1475745</v>
      </c>
      <c r="E24" s="0" t="n">
        <f aca="false">-E6*E23/100</f>
        <v>-86.2512638625</v>
      </c>
      <c r="F24" s="0" t="n">
        <f aca="false">-F6*F23/100</f>
        <v>-88.838801778375</v>
      </c>
      <c r="G24" s="0" t="n">
        <f aca="false">-G6*G23/100</f>
        <v>-91.5039658317263</v>
      </c>
      <c r="H24" s="0" t="n">
        <f aca="false">-H6*H23/100</f>
        <v>-94.2490848066781</v>
      </c>
      <c r="I24" s="0" t="n">
        <f aca="false">-I6*I23/100</f>
        <v>-96.605311926845</v>
      </c>
      <c r="J24" s="0" t="n">
        <f aca="false">-J6*J23/100</f>
        <v>-99.0204447250161</v>
      </c>
      <c r="K24" s="0" t="n">
        <f aca="false">-K6*K23/100</f>
        <v>-101.495955843141</v>
      </c>
      <c r="L24" s="0" t="n">
        <f aca="false">-L6*L23/100</f>
        <v>-104.03335473922</v>
      </c>
    </row>
    <row r="26" customFormat="false" ht="15" hidden="false" customHeight="false" outlineLevel="0" collapsed="false">
      <c r="A26" s="2" t="s">
        <v>126</v>
      </c>
    </row>
    <row r="27" customFormat="false" ht="15" hidden="false" customHeight="false" outlineLevel="0" collapsed="false">
      <c r="A27" s="0" t="s">
        <v>104</v>
      </c>
      <c r="B27" s="4" t="n">
        <f aca="false">Assumptions!$B$34</f>
        <v>9.5</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12</v>
      </c>
    </row>
    <row r="30" customFormat="false" ht="15" hidden="false" customHeight="false" outlineLevel="0" collapsed="false">
      <c r="A30" s="0" t="s">
        <v>127</v>
      </c>
      <c r="B30" s="0" t="n">
        <f aca="false">SUM(C21:L21)</f>
        <v>11287.2287497034</v>
      </c>
    </row>
    <row r="31" customFormat="false" ht="15" hidden="false" customHeight="false" outlineLevel="0" collapsed="false">
      <c r="A31" s="0" t="s">
        <v>128</v>
      </c>
      <c r="B31" s="0" t="n">
        <f aca="false">L19</f>
        <v>2215.18222246221</v>
      </c>
    </row>
    <row r="32" customFormat="false" ht="15" hidden="false" customHeight="false" outlineLevel="0" collapsed="false">
      <c r="A32" s="0" t="s">
        <v>129</v>
      </c>
      <c r="B32" s="0" t="n">
        <f aca="false">IF(B27&gt;B28,B31*(1+B28/100)/((B27-B28)/100),B31*B29)</f>
        <v>32436.596828911</v>
      </c>
    </row>
    <row r="33" customFormat="false" ht="15" hidden="false" customHeight="false" outlineLevel="0" collapsed="false">
      <c r="A33" s="0" t="s">
        <v>130</v>
      </c>
      <c r="B33" s="0" t="n">
        <f aca="false">B31*B29</f>
        <v>26582.1866695465</v>
      </c>
    </row>
    <row r="34" customFormat="false" ht="15" hidden="false" customHeight="false" outlineLevel="0" collapsed="false">
      <c r="A34" s="0" t="s">
        <v>131</v>
      </c>
      <c r="B34" s="0" t="n">
        <f aca="false">MAX(0,MIN(B32,B33))</f>
        <v>26582.1866695465</v>
      </c>
    </row>
    <row r="35" customFormat="false" ht="15" hidden="false" customHeight="false" outlineLevel="0" collapsed="false">
      <c r="A35" s="0" t="s">
        <v>132</v>
      </c>
      <c r="B35" s="0" t="n">
        <f aca="false">B34/(1+B27/100)^L4</f>
        <v>10726.2894357182</v>
      </c>
    </row>
    <row r="36" customFormat="false" ht="15" hidden="false" customHeight="false" outlineLevel="0" collapsed="false">
      <c r="A36" s="0" t="s">
        <v>133</v>
      </c>
      <c r="B36" s="0" t="n">
        <f aca="false">B30+B35</f>
        <v>22013.5181854216</v>
      </c>
    </row>
    <row r="37" customFormat="false" ht="15" hidden="false" customHeight="false" outlineLevel="0" collapsed="false">
      <c r="A37" s="0" t="s">
        <v>134</v>
      </c>
      <c r="B37" s="0" t="n">
        <f aca="false">B36+Assumptions!$B$5-Assumptions!$B$4</f>
        <v>42551.3181854216</v>
      </c>
    </row>
    <row r="38" customFormat="false" ht="15" hidden="false" customHeight="false" outlineLevel="0" collapsed="false">
      <c r="A38" s="0" t="s">
        <v>135</v>
      </c>
      <c r="B38" s="0" t="n">
        <f aca="false">B37/Assumptions!$B$3*Assumptions!$B$10</f>
        <v>36.0338126184038</v>
      </c>
    </row>
    <row r="39" customFormat="false" ht="15" hidden="false" customHeight="false" outlineLevel="0" collapsed="false">
      <c r="A39" s="0" t="s">
        <v>136</v>
      </c>
      <c r="B39" s="4" t="n">
        <f aca="false">B38/Assumptions!$B$2-1</f>
        <v>0.666688835263818</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36.0338126184038</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18164.4942241901</v>
      </c>
    </row>
    <row r="47" customFormat="false" ht="15" hidden="false" customHeight="false" outlineLevel="0" collapsed="false">
      <c r="A47" s="0" t="s">
        <v>141</v>
      </c>
      <c r="B47" s="0" t="n">
        <f aca="false">(SUMPRODUCT(C19:L19/(1+B45/100)^C4:L4)+B46/(1+B45/100)^L4+Assumptions!$B$5-Assumptions!$B$4)/Assumptions!$B$3*Assumptions!$B$10</f>
        <v>28.673884561879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-3</v>
      </c>
      <c r="D5" s="4" t="n">
        <f aca="false">Assumptions!D41</f>
        <v>3</v>
      </c>
      <c r="E5" s="4" t="n">
        <f aca="false">Assumptions!E41</f>
        <v>5</v>
      </c>
      <c r="F5" s="4" t="n">
        <f aca="false">Assumptions!F41</f>
        <v>5</v>
      </c>
      <c r="G5" s="4" t="n">
        <f aca="false">Assumptions!G41</f>
        <v>4.5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87928.5</v>
      </c>
      <c r="C6" s="0" t="n">
        <f aca="false">B6*(1+C5/100)</f>
        <v>85290.645</v>
      </c>
      <c r="D6" s="0" t="n">
        <f aca="false">C6*(1+D5/100)</f>
        <v>87849.36435</v>
      </c>
      <c r="E6" s="0" t="n">
        <f aca="false">D6*(1+E5/100)</f>
        <v>92241.8325675</v>
      </c>
      <c r="F6" s="0" t="n">
        <f aca="false">E6*(1+F5/100)</f>
        <v>96853.924195875</v>
      </c>
      <c r="G6" s="0" t="n">
        <f aca="false">F6*(1+G5/100)</f>
        <v>101212.350784689</v>
      </c>
      <c r="H6" s="0" t="n">
        <f aca="false">G6*(1+H5/100)</f>
        <v>105260.844816077</v>
      </c>
      <c r="I6" s="0" t="n">
        <f aca="false">H6*(1+I5/100)</f>
        <v>108944.97438464</v>
      </c>
      <c r="J6" s="0" t="n">
        <f aca="false">I6*(1+J5/100)</f>
        <v>112213.323616179</v>
      </c>
      <c r="K6" s="0" t="n">
        <f aca="false">J6*(1+K5/100)</f>
        <v>115579.723324664</v>
      </c>
      <c r="L6" s="0" t="n">
        <f aca="false">K6*(1+L5/100)</f>
        <v>119047.115024404</v>
      </c>
    </row>
    <row r="7" customFormat="false" ht="15" hidden="false" customHeight="false" outlineLevel="0" collapsed="false">
      <c r="A7" s="0" t="s">
        <v>98</v>
      </c>
      <c r="C7" s="4" t="n">
        <f aca="false">Assumptions!C42</f>
        <v>5.9</v>
      </c>
      <c r="D7" s="4" t="n">
        <f aca="false">Assumptions!D42</f>
        <v>6.2</v>
      </c>
      <c r="E7" s="4" t="n">
        <f aca="false">Assumptions!E42</f>
        <v>6.5</v>
      </c>
      <c r="F7" s="4" t="n">
        <f aca="false">Assumptions!F42</f>
        <v>6.7</v>
      </c>
      <c r="G7" s="4" t="n">
        <f aca="false">Assumptions!G42</f>
        <v>6.8</v>
      </c>
      <c r="H7" s="4" t="n">
        <f aca="false">Assumptions!H42</f>
        <v>6.8</v>
      </c>
      <c r="I7" s="4" t="n">
        <f aca="false">Assumptions!I42</f>
        <v>6.8</v>
      </c>
      <c r="J7" s="4" t="n">
        <f aca="false">Assumptions!J42</f>
        <v>6.8</v>
      </c>
      <c r="K7" s="4" t="n">
        <f aca="false">Assumptions!K42</f>
        <v>6.8</v>
      </c>
      <c r="L7" s="4" t="n">
        <f aca="false">Assumptions!L42</f>
        <v>6.8</v>
      </c>
    </row>
    <row r="8" customFormat="false" ht="15" hidden="false" customHeight="false" outlineLevel="0" collapsed="false">
      <c r="A8" s="0" t="s">
        <v>44</v>
      </c>
      <c r="C8" s="0" t="n">
        <f aca="false">C6*C7/100</f>
        <v>5032.148055</v>
      </c>
      <c r="D8" s="0" t="n">
        <f aca="false">D6*D7/100</f>
        <v>5446.6605897</v>
      </c>
      <c r="E8" s="0" t="n">
        <f aca="false">E6*E7/100</f>
        <v>5995.7191168875</v>
      </c>
      <c r="F8" s="0" t="n">
        <f aca="false">F6*F7/100</f>
        <v>6489.21292112363</v>
      </c>
      <c r="G8" s="0" t="n">
        <f aca="false">G6*G7/100</f>
        <v>6882.43985335888</v>
      </c>
      <c r="H8" s="0" t="n">
        <f aca="false">H6*H7/100</f>
        <v>7157.73744749323</v>
      </c>
      <c r="I8" s="0" t="n">
        <f aca="false">I6*I7/100</f>
        <v>7408.2582581555</v>
      </c>
      <c r="J8" s="0" t="n">
        <f aca="false">J6*J7/100</f>
        <v>7630.50600590016</v>
      </c>
      <c r="K8" s="0" t="n">
        <f aca="false">K6*K7/100</f>
        <v>7859.42118607717</v>
      </c>
      <c r="L8" s="0" t="n">
        <f aca="false">L6*L7/100</f>
        <v>8095.20382165948</v>
      </c>
    </row>
    <row r="9" customFormat="false" ht="15" hidden="false" customHeight="false" outlineLevel="0" collapsed="false">
      <c r="A9" s="0" t="s">
        <v>99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4946.85741</v>
      </c>
      <c r="D11" s="0" t="n">
        <f aca="false">D8+D10+D24</f>
        <v>5358.81122535</v>
      </c>
      <c r="E11" s="0" t="n">
        <f aca="false">E8+E10+E24</f>
        <v>5903.47728432</v>
      </c>
      <c r="F11" s="0" t="n">
        <f aca="false">F8+F10+F24</f>
        <v>6392.35899692775</v>
      </c>
      <c r="G11" s="0" t="n">
        <f aca="false">G8+G10+G24</f>
        <v>6781.22750257419</v>
      </c>
      <c r="H11" s="0" t="n">
        <f aca="false">H8+H10+H24</f>
        <v>7052.47660267716</v>
      </c>
      <c r="I11" s="0" t="n">
        <f aca="false">I8+I10+I24</f>
        <v>7299.31328377086</v>
      </c>
      <c r="J11" s="0" t="n">
        <f aca="false">J8+J10+J24</f>
        <v>7518.29268228398</v>
      </c>
      <c r="K11" s="0" t="n">
        <f aca="false">K8+K10+K24</f>
        <v>7743.8414627525</v>
      </c>
      <c r="L11" s="0" t="n">
        <f aca="false">L8+L10+L24</f>
        <v>7976.15670663508</v>
      </c>
    </row>
    <row r="12" customFormat="false" ht="15" hidden="false" customHeight="false" outlineLevel="0" collapsed="false">
      <c r="A12" s="0" t="s">
        <v>116</v>
      </c>
      <c r="C12" s="4" t="n">
        <f aca="false">-C6*Assumptions!C45/100</f>
        <v>-1253.7724815</v>
      </c>
      <c r="D12" s="4" t="n">
        <f aca="false">-D6*Assumptions!D45/100</f>
        <v>-1291.385655945</v>
      </c>
      <c r="E12" s="4" t="n">
        <f aca="false">-E6*Assumptions!E45/100</f>
        <v>-1355.95493874225</v>
      </c>
      <c r="F12" s="4" t="n">
        <f aca="false">-F6*Assumptions!F45/100</f>
        <v>-1423.75268567936</v>
      </c>
      <c r="G12" s="4" t="n">
        <f aca="false">-G6*Assumptions!G45/100</f>
        <v>-1487.82155653493</v>
      </c>
      <c r="H12" s="4" t="n">
        <f aca="false">-H6*Assumptions!H45/100</f>
        <v>-1547.33441879633</v>
      </c>
      <c r="I12" s="4" t="n">
        <f aca="false">-I6*Assumptions!I45/100</f>
        <v>-1601.4911234542</v>
      </c>
      <c r="J12" s="4" t="n">
        <f aca="false">-J6*Assumptions!J45/100</f>
        <v>-1649.53585715783</v>
      </c>
      <c r="K12" s="4" t="n">
        <f aca="false">-K6*Assumptions!K45/100</f>
        <v>-1699.02193287256</v>
      </c>
      <c r="L12" s="4" t="n">
        <f aca="false">-L6*Assumptions!L45/100</f>
        <v>-1749.99259085874</v>
      </c>
    </row>
    <row r="13" customFormat="false" ht="15" hidden="false" customHeight="false" outlineLevel="0" collapsed="false">
      <c r="A13" s="0" t="s">
        <v>117</v>
      </c>
      <c r="C13" s="0" t="n">
        <f aca="false">C11+C12</f>
        <v>3693.0849285</v>
      </c>
      <c r="D13" s="0" t="n">
        <f aca="false">D11+D12</f>
        <v>4067.425569405</v>
      </c>
      <c r="E13" s="0" t="n">
        <f aca="false">E11+E12</f>
        <v>4547.52234557775</v>
      </c>
      <c r="F13" s="0" t="n">
        <f aca="false">F11+F12</f>
        <v>4968.60631124839</v>
      </c>
      <c r="G13" s="0" t="n">
        <f aca="false">G11+G12</f>
        <v>5293.40594603926</v>
      </c>
      <c r="H13" s="0" t="n">
        <f aca="false">H11+H12</f>
        <v>5505.14218388083</v>
      </c>
      <c r="I13" s="0" t="n">
        <f aca="false">I11+I12</f>
        <v>5697.82216031665</v>
      </c>
      <c r="J13" s="0" t="n">
        <f aca="false">J11+J12</f>
        <v>5868.75682512615</v>
      </c>
      <c r="K13" s="0" t="n">
        <f aca="false">K11+K12</f>
        <v>6044.81952987994</v>
      </c>
      <c r="L13" s="0" t="n">
        <f aca="false">L11+L12</f>
        <v>6226.16411577634</v>
      </c>
    </row>
    <row r="14" customFormat="false" ht="15" hidden="false" customHeight="false" outlineLevel="0" collapsed="false">
      <c r="A14" s="0" t="s">
        <v>103</v>
      </c>
      <c r="C14" s="4" t="n">
        <f aca="false">Assumptions!C47</f>
        <v>49</v>
      </c>
      <c r="D14" s="4" t="n">
        <f aca="false">Assumptions!D47</f>
        <v>49</v>
      </c>
      <c r="E14" s="4" t="n">
        <f aca="false">Assumptions!E47</f>
        <v>49</v>
      </c>
      <c r="F14" s="4" t="n">
        <f aca="false">Assumptions!F47</f>
        <v>49</v>
      </c>
      <c r="G14" s="4" t="n">
        <f aca="false">Assumptions!G47</f>
        <v>49</v>
      </c>
      <c r="H14" s="4" t="n">
        <f aca="false">Assumptions!H47</f>
        <v>49</v>
      </c>
      <c r="I14" s="4" t="n">
        <f aca="false">Assumptions!I47</f>
        <v>49</v>
      </c>
      <c r="J14" s="4" t="n">
        <f aca="false">Assumptions!J47</f>
        <v>49</v>
      </c>
      <c r="K14" s="4" t="n">
        <f aca="false">Assumptions!K47</f>
        <v>49</v>
      </c>
      <c r="L14" s="4" t="n">
        <f aca="false">Assumptions!L47</f>
        <v>49</v>
      </c>
    </row>
    <row r="15" customFormat="false" ht="15" hidden="false" customHeight="false" outlineLevel="0" collapsed="false">
      <c r="A15" s="0" t="s">
        <v>118</v>
      </c>
      <c r="C15" s="0" t="n">
        <f aca="false">C13-MAX(0,C13)*C14/100</f>
        <v>1883.473313535</v>
      </c>
      <c r="D15" s="0" t="n">
        <f aca="false">D13-MAX(0,D13)*D14/100</f>
        <v>2074.38704039655</v>
      </c>
      <c r="E15" s="0" t="n">
        <f aca="false">E13-MAX(0,E13)*E14/100</f>
        <v>2319.23639624465</v>
      </c>
      <c r="F15" s="0" t="n">
        <f aca="false">F13-MAX(0,F13)*F14/100</f>
        <v>2533.98921873668</v>
      </c>
      <c r="G15" s="0" t="n">
        <f aca="false">G13-MAX(0,G13)*G14/100</f>
        <v>2699.63703248002</v>
      </c>
      <c r="H15" s="0" t="n">
        <f aca="false">H13-MAX(0,H13)*H14/100</f>
        <v>2807.62251377922</v>
      </c>
      <c r="I15" s="0" t="n">
        <f aca="false">I13-MAX(0,I13)*I14/100</f>
        <v>2905.88930176149</v>
      </c>
      <c r="J15" s="0" t="n">
        <f aca="false">J13-MAX(0,J13)*J14/100</f>
        <v>2993.06598081434</v>
      </c>
      <c r="K15" s="0" t="n">
        <f aca="false">K13-MAX(0,K13)*K14/100</f>
        <v>3082.85796023877</v>
      </c>
      <c r="L15" s="0" t="n">
        <f aca="false">L13-MAX(0,L13)*L14/100</f>
        <v>3175.34369904593</v>
      </c>
    </row>
    <row r="16" customFormat="false" ht="15" hidden="false" customHeight="false" outlineLevel="0" collapsed="false">
      <c r="A16" s="0" t="s">
        <v>119</v>
      </c>
      <c r="C16" s="0" t="n">
        <f aca="false">-C12</f>
        <v>1253.7724815</v>
      </c>
      <c r="D16" s="0" t="n">
        <f aca="false">-D12</f>
        <v>1291.385655945</v>
      </c>
      <c r="E16" s="0" t="n">
        <f aca="false">-E12</f>
        <v>1355.95493874225</v>
      </c>
      <c r="F16" s="0" t="n">
        <f aca="false">-F12</f>
        <v>1423.75268567936</v>
      </c>
      <c r="G16" s="0" t="n">
        <f aca="false">-G12</f>
        <v>1487.82155653493</v>
      </c>
      <c r="H16" s="0" t="n">
        <f aca="false">-H12</f>
        <v>1547.33441879633</v>
      </c>
      <c r="I16" s="0" t="n">
        <f aca="false">-I12</f>
        <v>1601.4911234542</v>
      </c>
      <c r="J16" s="0" t="n">
        <f aca="false">-J12</f>
        <v>1649.53585715783</v>
      </c>
      <c r="K16" s="0" t="n">
        <f aca="false">-K12</f>
        <v>1699.02193287256</v>
      </c>
      <c r="L16" s="0" t="n">
        <f aca="false">-L12</f>
        <v>1749.99259085874</v>
      </c>
    </row>
    <row r="17" customFormat="false" ht="15" hidden="false" customHeight="false" outlineLevel="0" collapsed="false">
      <c r="A17" s="0" t="s">
        <v>120</v>
      </c>
      <c r="C17" s="4" t="n">
        <f aca="false">-C6*Assumptions!C46/100</f>
        <v>-1620.522255</v>
      </c>
      <c r="D17" s="4" t="n">
        <f aca="false">-D6*Assumptions!D46/100</f>
        <v>-1669.13792265</v>
      </c>
      <c r="E17" s="4" t="n">
        <f aca="false">-E6*Assumptions!E46/100</f>
        <v>-1660.352986215</v>
      </c>
      <c r="F17" s="4" t="n">
        <f aca="false">-F6*Assumptions!F46/100</f>
        <v>-1646.51671132988</v>
      </c>
      <c r="G17" s="4" t="n">
        <f aca="false">-G6*Assumptions!G46/100</f>
        <v>-1720.60996333972</v>
      </c>
      <c r="H17" s="4" t="n">
        <f aca="false">-H6*Assumptions!H46/100</f>
        <v>-1789.43436187331</v>
      </c>
      <c r="I17" s="4" t="n">
        <f aca="false">-I6*Assumptions!I46/100</f>
        <v>-1743.11959015423</v>
      </c>
      <c r="J17" s="4" t="n">
        <f aca="false">-J6*Assumptions!J46/100</f>
        <v>-1795.41317785886</v>
      </c>
      <c r="K17" s="4" t="n">
        <f aca="false">-K6*Assumptions!K46/100</f>
        <v>-1849.27557319463</v>
      </c>
      <c r="L17" s="4" t="n">
        <f aca="false">-L6*Assumptions!L46/100</f>
        <v>-1904.75384039047</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1516.723540035</v>
      </c>
      <c r="D19" s="0" t="n">
        <f aca="false">D15+D16+D17+D18</f>
        <v>1696.63477369155</v>
      </c>
      <c r="E19" s="0" t="n">
        <f aca="false">E15+E16+E17+E18</f>
        <v>2014.8383487719</v>
      </c>
      <c r="F19" s="0" t="n">
        <f aca="false">F15+F16+F17+F18</f>
        <v>2311.22519308617</v>
      </c>
      <c r="G19" s="0" t="n">
        <f aca="false">G15+G16+G17+G18</f>
        <v>2466.84862567523</v>
      </c>
      <c r="H19" s="0" t="n">
        <f aca="false">H15+H16+H17+H18</f>
        <v>2565.52257070224</v>
      </c>
      <c r="I19" s="0" t="n">
        <f aca="false">I15+I16+I17+I18</f>
        <v>2764.26083506146</v>
      </c>
      <c r="J19" s="0" t="n">
        <f aca="false">J15+J16+J17+J18</f>
        <v>2847.1886601133</v>
      </c>
      <c r="K19" s="0" t="n">
        <f aca="false">K15+K16+K17+K18</f>
        <v>2932.6043199167</v>
      </c>
      <c r="L19" s="0" t="n">
        <f aca="false">L15+L16+L17+L18</f>
        <v>3020.58244951421</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1385.135653</v>
      </c>
      <c r="D21" s="0" t="n">
        <f aca="false">D19*D20</f>
        <v>1415.01200866667</v>
      </c>
      <c r="E21" s="0" t="n">
        <f aca="false">E19*E20</f>
        <v>1534.60938821918</v>
      </c>
      <c r="F21" s="0" t="n">
        <f aca="false">F19*F20</f>
        <v>1607.6288307625</v>
      </c>
      <c r="G21" s="0" t="n">
        <f aca="false">G19*G20</f>
        <v>1567.01049309145</v>
      </c>
      <c r="H21" s="0" t="n">
        <f aca="false">H19*H20</f>
        <v>1488.30220348411</v>
      </c>
      <c r="I21" s="0" t="n">
        <f aca="false">I19*I20</f>
        <v>1464.46901147698</v>
      </c>
      <c r="J21" s="0" t="n">
        <f aca="false">J19*J20</f>
        <v>1377.537061024</v>
      </c>
      <c r="K21" s="0" t="n">
        <f aca="false">K19*K20</f>
        <v>1295.76545466185</v>
      </c>
      <c r="L21" s="0" t="n">
        <f aca="false">L19*L20</f>
        <v>1218.84787059516</v>
      </c>
    </row>
    <row r="23" customFormat="false" ht="15" hidden="false" customHeight="false" outlineLevel="0" collapsed="false">
      <c r="A23" s="0" t="s">
        <v>100</v>
      </c>
      <c r="C23" s="4" t="n">
        <f aca="false">Assumptions!C44</f>
        <v>0.1</v>
      </c>
      <c r="D23" s="4" t="n">
        <f aca="false">Assumptions!D44</f>
        <v>0.1</v>
      </c>
      <c r="E23" s="4" t="n">
        <f aca="false">Assumptions!E44</f>
        <v>0.1</v>
      </c>
      <c r="F23" s="4" t="n">
        <f aca="false">Assumptions!F44</f>
        <v>0.1</v>
      </c>
      <c r="G23" s="4" t="n">
        <f aca="false">Assumptions!G44</f>
        <v>0.1</v>
      </c>
      <c r="H23" s="4" t="n">
        <f aca="false">Assumptions!H44</f>
        <v>0.1</v>
      </c>
      <c r="I23" s="4" t="n">
        <f aca="false">Assumptions!I44</f>
        <v>0.1</v>
      </c>
      <c r="J23" s="4" t="n">
        <f aca="false">Assumptions!J44</f>
        <v>0.1</v>
      </c>
      <c r="K23" s="4" t="n">
        <f aca="false">Assumptions!K44</f>
        <v>0.1</v>
      </c>
      <c r="L23" s="4" t="n">
        <f aca="false">Assumptions!L44</f>
        <v>0.1</v>
      </c>
    </row>
    <row r="24" customFormat="false" ht="15" hidden="false" customHeight="false" outlineLevel="0" collapsed="false">
      <c r="A24" s="0" t="s">
        <v>125</v>
      </c>
      <c r="C24" s="0" t="n">
        <f aca="false">-C6*C23/100</f>
        <v>-85.290645</v>
      </c>
      <c r="D24" s="0" t="n">
        <f aca="false">-D6*D23/100</f>
        <v>-87.84936435</v>
      </c>
      <c r="E24" s="0" t="n">
        <f aca="false">-E6*E23/100</f>
        <v>-92.2418325675</v>
      </c>
      <c r="F24" s="0" t="n">
        <f aca="false">-F6*F23/100</f>
        <v>-96.853924195875</v>
      </c>
      <c r="G24" s="0" t="n">
        <f aca="false">-G6*G23/100</f>
        <v>-101.212350784689</v>
      </c>
      <c r="H24" s="0" t="n">
        <f aca="false">-H6*H23/100</f>
        <v>-105.260844816077</v>
      </c>
      <c r="I24" s="0" t="n">
        <f aca="false">-I6*I23/100</f>
        <v>-108.94497438464</v>
      </c>
      <c r="J24" s="0" t="n">
        <f aca="false">-J6*J23/100</f>
        <v>-112.213323616179</v>
      </c>
      <c r="K24" s="0" t="n">
        <f aca="false">-K6*K23/100</f>
        <v>-115.579723324664</v>
      </c>
      <c r="L24" s="0" t="n">
        <f aca="false">-L6*L23/100</f>
        <v>-119.047115024404</v>
      </c>
    </row>
    <row r="26" customFormat="false" ht="15" hidden="false" customHeight="false" outlineLevel="0" collapsed="false">
      <c r="A26" s="2" t="s">
        <v>126</v>
      </c>
    </row>
    <row r="27" customFormat="false" ht="15" hidden="false" customHeight="false" outlineLevel="0" collapsed="false">
      <c r="A27" s="0" t="s">
        <v>104</v>
      </c>
      <c r="B27" s="4" t="n">
        <f aca="false">Assumptions!$B$48</f>
        <v>9.5</v>
      </c>
    </row>
    <row r="28" customFormat="false" ht="15" hidden="false" customHeight="false" outlineLevel="0" collapsed="false">
      <c r="A28" s="0" t="s">
        <v>105</v>
      </c>
      <c r="B28" s="4" t="n">
        <f aca="false">Assumptions!$B$49</f>
        <v>3</v>
      </c>
    </row>
    <row r="29" customFormat="false" ht="15" hidden="false" customHeight="false" outlineLevel="0" collapsed="false">
      <c r="A29" s="0" t="s">
        <v>106</v>
      </c>
      <c r="B29" s="4" t="n">
        <f aca="false">Assumptions!$B$50</f>
        <v>14</v>
      </c>
    </row>
    <row r="30" customFormat="false" ht="15" hidden="false" customHeight="false" outlineLevel="0" collapsed="false">
      <c r="A30" s="0" t="s">
        <v>127</v>
      </c>
      <c r="B30" s="0" t="n">
        <f aca="false">SUM(C21:L21)</f>
        <v>14354.3179749819</v>
      </c>
    </row>
    <row r="31" customFormat="false" ht="15" hidden="false" customHeight="false" outlineLevel="0" collapsed="false">
      <c r="A31" s="0" t="s">
        <v>128</v>
      </c>
      <c r="B31" s="0" t="n">
        <f aca="false">L19</f>
        <v>3020.58244951421</v>
      </c>
    </row>
    <row r="32" customFormat="false" ht="15" hidden="false" customHeight="false" outlineLevel="0" collapsed="false">
      <c r="A32" s="0" t="s">
        <v>129</v>
      </c>
      <c r="B32" s="0" t="n">
        <f aca="false">IF(B27&gt;B28,B31*(1+B28/100)/((B27-B28)/100),B31*B29)</f>
        <v>47864.6141999943</v>
      </c>
    </row>
    <row r="33" customFormat="false" ht="15" hidden="false" customHeight="false" outlineLevel="0" collapsed="false">
      <c r="A33" s="0" t="s">
        <v>130</v>
      </c>
      <c r="B33" s="0" t="n">
        <f aca="false">B31*B29</f>
        <v>42288.1542931989</v>
      </c>
    </row>
    <row r="34" customFormat="false" ht="15" hidden="false" customHeight="false" outlineLevel="0" collapsed="false">
      <c r="A34" s="0" t="s">
        <v>131</v>
      </c>
      <c r="B34" s="0" t="n">
        <f aca="false">MAX(0,MIN(B32,B33))</f>
        <v>42288.1542931989</v>
      </c>
    </row>
    <row r="35" customFormat="false" ht="15" hidden="false" customHeight="false" outlineLevel="0" collapsed="false">
      <c r="A35" s="0" t="s">
        <v>132</v>
      </c>
      <c r="B35" s="0" t="n">
        <f aca="false">B34/(1+B27/100)^L4</f>
        <v>17063.8701883323</v>
      </c>
    </row>
    <row r="36" customFormat="false" ht="15" hidden="false" customHeight="false" outlineLevel="0" collapsed="false">
      <c r="A36" s="0" t="s">
        <v>133</v>
      </c>
      <c r="B36" s="0" t="n">
        <f aca="false">B30+B35</f>
        <v>31418.1881633142</v>
      </c>
    </row>
    <row r="37" customFormat="false" ht="15" hidden="false" customHeight="false" outlineLevel="0" collapsed="false">
      <c r="A37" s="0" t="s">
        <v>134</v>
      </c>
      <c r="B37" s="0" t="n">
        <f aca="false">B36+Assumptions!$B$5-Assumptions!$B$4</f>
        <v>51955.9881633142</v>
      </c>
    </row>
    <row r="38" customFormat="false" ht="15" hidden="false" customHeight="false" outlineLevel="0" collapsed="false">
      <c r="A38" s="0" t="s">
        <v>135</v>
      </c>
      <c r="B38" s="0" t="n">
        <f aca="false">B37/Assumptions!$B$3*Assumptions!$B$10</f>
        <v>43.9979869418543</v>
      </c>
    </row>
    <row r="39" customFormat="false" ht="15" hidden="false" customHeight="false" outlineLevel="0" collapsed="false">
      <c r="A39" s="0" t="s">
        <v>136</v>
      </c>
      <c r="B39" s="4" t="n">
        <f aca="false">B38/Assumptions!$B$2-1</f>
        <v>1.03505952552518</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43.9979869418543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25926.6660249969</v>
      </c>
    </row>
    <row r="47" customFormat="false" ht="15" hidden="false" customHeight="false" outlineLevel="0" collapsed="false">
      <c r="A47" s="0" t="s">
        <v>141</v>
      </c>
      <c r="B47" s="0" t="n">
        <f aca="false">(SUMPRODUCT(C19:L19/(1+B45/100)^C4:L4)+B46/(1+B45/100)^L4+Assumptions!$B$5-Assumptions!$B$4)/Assumptions!$B$3*Assumptions!$B$10</f>
        <v>32.2476291711592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27.660004195299</v>
      </c>
      <c r="C4" s="0" t="n">
        <f aca="false">B4/Assumptions!$B$2-1</f>
        <v>0.279371146868596</v>
      </c>
      <c r="D4" s="4" t="n">
        <f aca="false">Assumptions!$B$24</f>
        <v>0.3</v>
      </c>
      <c r="E4" s="4" t="n">
        <f aca="false">DCF_Bear!$B$43</f>
        <v>27.660004195299</v>
      </c>
      <c r="F4" s="4" t="n">
        <f aca="false">DCF_Bear!$B$47</f>
        <v>24.2849288860397</v>
      </c>
    </row>
    <row r="5" customFormat="false" ht="15" hidden="false" customHeight="false" outlineLevel="0" collapsed="false">
      <c r="A5" s="0" t="s">
        <v>150</v>
      </c>
      <c r="B5" s="4" t="n">
        <f aca="false">DCF_Base!$B$38</f>
        <v>36.0338126184038</v>
      </c>
      <c r="C5" s="0" t="n">
        <f aca="false">B5/Assumptions!$B$2-1</f>
        <v>0.666688835263818</v>
      </c>
      <c r="D5" s="4" t="n">
        <f aca="false">Assumptions!$B$38</f>
        <v>0.5</v>
      </c>
      <c r="E5" s="4" t="n">
        <f aca="false">DCF_Base!$B$43</f>
        <v>36.0338126184038</v>
      </c>
      <c r="F5" s="4" t="n">
        <f aca="false">DCF_Base!$B$47</f>
        <v>28.673884561879</v>
      </c>
    </row>
    <row r="6" customFormat="false" ht="15" hidden="false" customHeight="false" outlineLevel="0" collapsed="false">
      <c r="A6" s="0" t="s">
        <v>151</v>
      </c>
      <c r="B6" s="4" t="n">
        <f aca="false">DCF_Bull!$B$38</f>
        <v>43.9979869418543</v>
      </c>
      <c r="C6" s="0" t="n">
        <f aca="false">B6/Assumptions!$B$2-1</f>
        <v>1.03505952552518</v>
      </c>
      <c r="D6" s="4" t="n">
        <f aca="false">Assumptions!$B$52</f>
        <v>0.2</v>
      </c>
      <c r="E6" s="4" t="n">
        <f aca="false">DCF_Bull!$B$43</f>
        <v>43.9979869418543</v>
      </c>
      <c r="F6" s="4" t="n">
        <f aca="false">DCF_Bull!$B$47</f>
        <v>32.2476291711592</v>
      </c>
    </row>
    <row r="8" customFormat="false" ht="15" hidden="false" customHeight="false" outlineLevel="0" collapsed="false">
      <c r="A8" s="0" t="s">
        <v>152</v>
      </c>
      <c r="B8" s="0" t="n">
        <f aca="false">SUMPRODUCT(B4:B6,D4:D6)</f>
        <v>35.1145049561625</v>
      </c>
    </row>
    <row r="9" customFormat="false" ht="15" hidden="false" customHeight="false" outlineLevel="0" collapsed="false">
      <c r="A9" s="0" t="s">
        <v>153</v>
      </c>
      <c r="B9" s="0" t="n">
        <f aca="false">SUMPRODUCT(E4:E6,D4:D6)</f>
        <v>35.1145049561625</v>
      </c>
    </row>
    <row r="10" customFormat="false" ht="15" hidden="false" customHeight="false" outlineLevel="0" collapsed="false">
      <c r="A10" s="0" t="s">
        <v>154</v>
      </c>
      <c r="B10" s="0" t="n">
        <f aca="false">1-Assumptions!$B$2/B8</f>
        <v>0.384300019977762</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28.0719467809832</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36.6901030130546</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36.0338126184038</v>
      </c>
      <c r="C16" s="3" t="n">
        <v>9.5</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35.4063667033874</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34.232296063124</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32.4260994074434</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28.673884561879</v>
      </c>
      <c r="C20" s="3" t="n">
        <v>15</v>
      </c>
    </row>
    <row r="22" customFormat="false" ht="15" hidden="false" customHeight="false" outlineLevel="0" collapsed="false">
      <c r="A22" s="2" t="s">
        <v>165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38.847835060414</v>
      </c>
      <c r="C24" s="0" t="n">
        <f aca="false">(SUMPRODUCT(DCF_Base!$C$19:$L$19/(1+$A$24/100)^DCF_Base!$C$4:$L$4)+MAX(0,MIN(IF($A$24&gt;$C$23,DCF_Base!$L$19*(1+$C$23/100)/(($A$24-$C$23)/100),DCF_Base!$L$19*DCF_Base!$B$29),DCF_Base!$L$19*DCF_Base!$B$29))/(1+$A$24/100)^DCF_Base!$L$4+Assumptions!$B$5-Assumptions!$B$4)/Assumptions!$B$3*Assumptions!$B$10</f>
        <v>38.847835060414</v>
      </c>
      <c r="D24" s="0" t="n">
        <f aca="false">(SUMPRODUCT(DCF_Base!$C$19:$L$19/(1+$A$24/100)^DCF_Base!$C$4:$L$4)+MAX(0,MIN(IF($A$24&gt;$D$23,DCF_Base!$L$19*(1+$D$23/100)/(($A$24-$D$23)/100),DCF_Base!$L$19*DCF_Base!$B$29),DCF_Base!$L$19*DCF_Base!$B$29))/(1+$A$24/100)^DCF_Base!$L$4+Assumptions!$B$5-Assumptions!$B$4)/Assumptions!$B$3*Assumptions!$B$10</f>
        <v>38.847835060414</v>
      </c>
      <c r="E24" s="0" t="n">
        <f aca="false">(SUMPRODUCT(DCF_Base!$C$19:$L$19/(1+$A$24/100)^DCF_Base!$C$4:$L$4)+MAX(0,MIN(IF($A$24&gt;$E$23,DCF_Base!$L$19*(1+$E$23/100)/(($A$24-$E$23)/100),DCF_Base!$L$19*DCF_Base!$B$29),DCF_Base!$L$19*DCF_Base!$B$29))/(1+$A$24/100)^DCF_Base!$L$4+Assumptions!$B$5-Assumptions!$B$4)/Assumptions!$B$3*Assumptions!$B$10</f>
        <v>38.847835060414</v>
      </c>
      <c r="F24" s="0" t="n">
        <f aca="false">(SUMPRODUCT(DCF_Base!$C$19:$L$19/(1+$A$24/100)^DCF_Base!$C$4:$L$4)+MAX(0,MIN(IF($A$24&gt;$F$23,DCF_Base!$L$19*(1+$F$23/100)/(($A$24-$F$23)/100),DCF_Base!$L$19*DCF_Base!$B$29),DCF_Base!$L$19*DCF_Base!$B$29))/(1+$A$24/100)^DCF_Base!$L$4+Assumptions!$B$5-Assumptions!$B$4)/Assumptions!$B$3*Assumptions!$B$10</f>
        <v>38.847835060414</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37.3767712929398</v>
      </c>
      <c r="C25" s="0" t="n">
        <f aca="false">(SUMPRODUCT(DCF_Base!$C$19:$L$19/(1+$A$25/100)^DCF_Base!$C$4:$L$4)+MAX(0,MIN(IF($A$25&gt;$C$23,DCF_Base!$L$19*(1+$C$23/100)/(($A$25-$C$23)/100),DCF_Base!$L$19*DCF_Base!$B$29),DCF_Base!$L$19*DCF_Base!$B$29))/(1+$A$25/100)^DCF_Base!$L$4+Assumptions!$B$5-Assumptions!$B$4)/Assumptions!$B$3*Assumptions!$B$10</f>
        <v>37.3767712929398</v>
      </c>
      <c r="D25" s="0" t="n">
        <f aca="false">(SUMPRODUCT(DCF_Base!$C$19:$L$19/(1+$A$25/100)^DCF_Base!$C$4:$L$4)+MAX(0,MIN(IF($A$25&gt;$D$23,DCF_Base!$L$19*(1+$D$23/100)/(($A$25-$D$23)/100),DCF_Base!$L$19*DCF_Base!$B$29),DCF_Base!$L$19*DCF_Base!$B$29))/(1+$A$25/100)^DCF_Base!$L$4+Assumptions!$B$5-Assumptions!$B$4)/Assumptions!$B$3*Assumptions!$B$10</f>
        <v>37.3767712929398</v>
      </c>
      <c r="E25" s="0" t="n">
        <f aca="false">(SUMPRODUCT(DCF_Base!$C$19:$L$19/(1+$A$25/100)^DCF_Base!$C$4:$L$4)+MAX(0,MIN(IF($A$25&gt;$E$23,DCF_Base!$L$19*(1+$E$23/100)/(($A$25-$E$23)/100),DCF_Base!$L$19*DCF_Base!$B$29),DCF_Base!$L$19*DCF_Base!$B$29))/(1+$A$25/100)^DCF_Base!$L$4+Assumptions!$B$5-Assumptions!$B$4)/Assumptions!$B$3*Assumptions!$B$10</f>
        <v>37.3767712929398</v>
      </c>
      <c r="F25" s="0" t="n">
        <f aca="false">(SUMPRODUCT(DCF_Base!$C$19:$L$19/(1+$A$25/100)^DCF_Base!$C$4:$L$4)+MAX(0,MIN(IF($A$25&gt;$F$23,DCF_Base!$L$19*(1+$F$23/100)/(($A$25-$F$23)/100),DCF_Base!$L$19*DCF_Base!$B$29),DCF_Base!$L$19*DCF_Base!$B$29))/(1+$A$25/100)^DCF_Base!$L$4+Assumptions!$B$5-Assumptions!$B$4)/Assumptions!$B$3*Assumptions!$B$10</f>
        <v>37.3767712929398</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36.0338126184038</v>
      </c>
      <c r="C26" s="0" t="n">
        <f aca="false">(SUMPRODUCT(DCF_Base!$C$19:$L$19/(1+$A$26/100)^DCF_Base!$C$4:$L$4)+MAX(0,MIN(IF($A$26&gt;$C$23,DCF_Base!$L$19*(1+$C$23/100)/(($A$26-$C$23)/100),DCF_Base!$L$19*DCF_Base!$B$29),DCF_Base!$L$19*DCF_Base!$B$29))/(1+$A$26/100)^DCF_Base!$L$4+Assumptions!$B$5-Assumptions!$B$4)/Assumptions!$B$3*Assumptions!$B$10</f>
        <v>36.0338126184038</v>
      </c>
      <c r="D26" s="0" t="n">
        <f aca="false">(SUMPRODUCT(DCF_Base!$C$19:$L$19/(1+$A$26/100)^DCF_Base!$C$4:$L$4)+MAX(0,MIN(IF($A$26&gt;$D$23,DCF_Base!$L$19*(1+$D$23/100)/(($A$26-$D$23)/100),DCF_Base!$L$19*DCF_Base!$B$29),DCF_Base!$L$19*DCF_Base!$B$29))/(1+$A$26/100)^DCF_Base!$L$4+Assumptions!$B$5-Assumptions!$B$4)/Assumptions!$B$3*Assumptions!$B$10</f>
        <v>36.0338126184038</v>
      </c>
      <c r="E26" s="0" t="n">
        <f aca="false">(SUMPRODUCT(DCF_Base!$C$19:$L$19/(1+$A$26/100)^DCF_Base!$C$4:$L$4)+MAX(0,MIN(IF($A$26&gt;$E$23,DCF_Base!$L$19*(1+$E$23/100)/(($A$26-$E$23)/100),DCF_Base!$L$19*DCF_Base!$B$29),DCF_Base!$L$19*DCF_Base!$B$29))/(1+$A$26/100)^DCF_Base!$L$4+Assumptions!$B$5-Assumptions!$B$4)/Assumptions!$B$3*Assumptions!$B$10</f>
        <v>36.0338126184038</v>
      </c>
      <c r="F26" s="0" t="n">
        <f aca="false">(SUMPRODUCT(DCF_Base!$C$19:$L$19/(1+$A$26/100)^DCF_Base!$C$4:$L$4)+MAX(0,MIN(IF($A$26&gt;$F$23,DCF_Base!$L$19*(1+$F$23/100)/(($A$26-$F$23)/100),DCF_Base!$L$19*DCF_Base!$B$29),DCF_Base!$L$19*DCF_Base!$B$29))/(1+$A$26/100)^DCF_Base!$L$4+Assumptions!$B$5-Assumptions!$B$4)/Assumptions!$B$3*Assumptions!$B$10</f>
        <v>36.0338126184038</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34.3071399880543</v>
      </c>
      <c r="C27" s="0" t="n">
        <f aca="false">(SUMPRODUCT(DCF_Base!$C$19:$L$19/(1+$A$27/100)^DCF_Base!$C$4:$L$4)+MAX(0,MIN(IF($A$27&gt;$C$23,DCF_Base!$L$19*(1+$C$23/100)/(($A$27-$C$23)/100),DCF_Base!$L$19*DCF_Base!$B$29),DCF_Base!$L$19*DCF_Base!$B$29))/(1+$A$27/100)^DCF_Base!$L$4+Assumptions!$B$5-Assumptions!$B$4)/Assumptions!$B$3*Assumptions!$B$10</f>
        <v>34.8063171662563</v>
      </c>
      <c r="D27" s="0" t="n">
        <f aca="false">(SUMPRODUCT(DCF_Base!$C$19:$L$19/(1+$A$27/100)^DCF_Base!$C$4:$L$4)+MAX(0,MIN(IF($A$27&gt;$D$23,DCF_Base!$L$19*(1+$D$23/100)/(($A$27-$D$23)/100),DCF_Base!$L$19*DCF_Base!$B$29),DCF_Base!$L$19*DCF_Base!$B$29))/(1+$A$27/100)^DCF_Base!$L$4+Assumptions!$B$5-Assumptions!$B$4)/Assumptions!$B$3*Assumptions!$B$10</f>
        <v>34.8063171662563</v>
      </c>
      <c r="E27" s="0" t="n">
        <f aca="false">(SUMPRODUCT(DCF_Base!$C$19:$L$19/(1+$A$27/100)^DCF_Base!$C$4:$L$4)+MAX(0,MIN(IF($A$27&gt;$E$23,DCF_Base!$L$19*(1+$E$23/100)/(($A$27-$E$23)/100),DCF_Base!$L$19*DCF_Base!$B$29),DCF_Base!$L$19*DCF_Base!$B$29))/(1+$A$27/100)^DCF_Base!$L$4+Assumptions!$B$5-Assumptions!$B$4)/Assumptions!$B$3*Assumptions!$B$10</f>
        <v>34.8063171662563</v>
      </c>
      <c r="F27" s="0" t="n">
        <f aca="false">(SUMPRODUCT(DCF_Base!$C$19:$L$19/(1+$A$27/100)^DCF_Base!$C$4:$L$4)+MAX(0,MIN(IF($A$27&gt;$F$23,DCF_Base!$L$19*(1+$F$23/100)/(($A$27-$F$23)/100),DCF_Base!$L$19*DCF_Base!$B$29),DCF_Base!$L$19*DCF_Base!$B$29))/(1+$A$27/100)^DCF_Base!$L$4+Assumptions!$B$5-Assumptions!$B$4)/Assumptions!$B$3*Assumptions!$B$10</f>
        <v>34.8063171662563</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32.5145081248602</v>
      </c>
      <c r="C28" s="0" t="n">
        <f aca="false">(SUMPRODUCT(DCF_Base!$C$19:$L$19/(1+$A$28/100)^DCF_Base!$C$4:$L$4)+MAX(0,MIN(IF($A$28&gt;$C$23,DCF_Base!$L$19*(1+$C$23/100)/(($A$28-$C$23)/100),DCF_Base!$L$19*DCF_Base!$B$29),DCF_Base!$L$19*DCF_Base!$B$29))/(1+$A$28/100)^DCF_Base!$L$4+Assumptions!$B$5-Assumptions!$B$4)/Assumptions!$B$3*Assumptions!$B$10</f>
        <v>32.8851711341308</v>
      </c>
      <c r="D28" s="0" t="n">
        <f aca="false">(SUMPRODUCT(DCF_Base!$C$19:$L$19/(1+$A$28/100)^DCF_Base!$C$4:$L$4)+MAX(0,MIN(IF($A$28&gt;$D$23,DCF_Base!$L$19*(1+$D$23/100)/(($A$28-$D$23)/100),DCF_Base!$L$19*DCF_Base!$B$29),DCF_Base!$L$19*DCF_Base!$B$29))/(1+$A$28/100)^DCF_Base!$L$4+Assumptions!$B$5-Assumptions!$B$4)/Assumptions!$B$3*Assumptions!$B$10</f>
        <v>33.2970189222093</v>
      </c>
      <c r="E28" s="0" t="n">
        <f aca="false">(SUMPRODUCT(DCF_Base!$C$19:$L$19/(1+$A$28/100)^DCF_Base!$C$4:$L$4)+MAX(0,MIN(IF($A$28&gt;$E$23,DCF_Base!$L$19*(1+$E$23/100)/(($A$28-$E$23)/100),DCF_Base!$L$19*DCF_Base!$B$29),DCF_Base!$L$19*DCF_Base!$B$29))/(1+$A$28/100)^DCF_Base!$L$4+Assumptions!$B$5-Assumptions!$B$4)/Assumptions!$B$3*Assumptions!$B$10</f>
        <v>33.6830107953412</v>
      </c>
      <c r="F28" s="0" t="n">
        <f aca="false">(SUMPRODUCT(DCF_Base!$C$19:$L$19/(1+$A$28/100)^DCF_Base!$C$4:$L$4)+MAX(0,MIN(IF($A$28&gt;$F$23,DCF_Base!$L$19*(1+$F$23/100)/(($A$28-$F$23)/100),DCF_Base!$L$19*DCF_Base!$B$29),DCF_Base!$L$19*DCF_Base!$B$29))/(1+$A$28/100)^DCF_Base!$L$4+Assumptions!$B$5-Assumptions!$B$4)/Assumptions!$B$3*Assumptions!$B$10</f>
        <v>33.6830107953412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2026-10-11T11:11:48Z</dcterms:created>
  <dc:creator>openpyxl</dc:creator>
  <dc:description/>
  <dc:language>en-NZ</dc:language>
  <cp:lastModifiedBy/>
  <dcterms:modified xsi:type="dcterms:W3CDTF">2026-10-11T11:11:48Z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