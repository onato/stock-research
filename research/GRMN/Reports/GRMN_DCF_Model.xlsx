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<sst xmlns="http://schemas.openxmlformats.org/spreadsheetml/2006/main" count="390" uniqueCount="175">
  <si>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</si>
  <si>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GRMN</t>
  </si>
  <si>
    <t xml:space="preserve">Company</t>
  </si>
  <si>
    <t xml:space="preserve">Garmin Ltd.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</si>
  <si>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</si>
  <si>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</si>
  <si>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</si>
  <si>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</si>
  <si>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2026-09-25T20:03:33Z regular close (Friday); valuation dated the following Monday before the US open</t>
  </si>
  <si>
    <t xml:space="preserve">Balance sheet date</t>
  </si>
  <si>
    <t xml:space="preserve">2026-06-27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</si>
  <si>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</si>
  <si>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</si>
  <si>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</si>
  <si>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</si>
  <si>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</si>
  <si>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</si>
  <si>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</si>
  <si>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</si>
  <si>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</si>
  <si>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</si>
  <si>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2026-09-28T08:54:53Z</t>
  </si>
  <si>
    <t xml:space="preserve">Drivers file</t>
  </si>
  <si>
    <t xml:space="preserve">GRMN_Drivers.json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</si>
  <si>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</si>
  <si>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</si>
  <si>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</si>
  <si>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Garmin is a debt-free, net-cash hardware compounder whose reported FCF flatters owner economics on two counts: ~$129M of interest on a $4.4B securities pile that is separately added back in the bridge, and ~$223M of SBC plus withholding. On owner FCF the business earned ~$1.0B in FY2025 against a ~$57B market cap, so the current price capitalises the FY2026 margin step-up and a long runway of Fitness-led growth. The valuation therefore turns on how long double-digit Fitness growth persists and whether the 27% operating margin survives tariffs and component inflation; the model treats 32% pre-SBC EBITDA as the steady state and lets growth fade to 3%.
key_risks_to_valuation: US tariff escalation on Taiwan-assembled products beyond the 10% baseline embedded in guidance (~25% of revenue exposed); Fitness growth mean-reverting from 25-40% to single digits as the wearables upgrade cycle matures and Apple/Coros/Suunto/Chinese entrants compress the niche; Auto OEM revenue gap in H2 2026-2027 between the BMW programme peak and the Mercedes-Benz ramp, with historically loss-making segment economics; Rate-sensitive Marine and Aviation demand (boats, GA aircraft) rolling over in a weaker consumer/business spending environment; Memory and component cost inflation flagged by management for late 2026 eroding the guided margin expansion; Working-capital intensity: inventory and receivables have consumed $180-380M a year of cash, so slower growth releases cash but faster growth costs more than the margin suggests; Terminal value is ~55-60% of enterprise value; a 1pp move in WACC or terminal growth moves the base value materially (see sensitivity grid)</t>
  </si>
  <si>
    <t xml:space="preserve">Data sources</t>
  </si>
  <si>
    <t xml:space="preserve">price: Yahoo Finance chart API (regularMarketPrice) at inputs.price_as_of; 52-week range 186.67-314.28
financials: SEC XBRL companyfacts for FY2006-Q1 2026 (GRMN_Metrics.csv, 10-K FY2025 filed 2026-02-18); Q2 2026 10-Q inline XBRL, accession 0001193125-26-322114 filed 2026-07-29, for the 2026-06-27 balance sheet, diluted share count and H1 2026 cash flows
qualitative: GRMN_Analysis.json (2026-09-28): segment mix, Q2 2026 raised FY2026 guidance, tariff and Auto OEM commentary, bull/bear cases</t>
  </si>
  <si>
    <t xml:space="preserve">Scenario narrative: bear</t>
  </si>
  <si>
    <t xml:space="preserve">Post-2026 the Fitness cycle exhausts, tariffs escalate above 10% on Taiwan assembly, big-ticket Marine/Aviation demand softens with rates, and the Auto OEM programme gap widens; revenue flat-lines for two years and the margin gives back the FY2024-26 expansion.</t>
  </si>
  <si>
    <t xml:space="preserve">Scenario narrative: base</t>
  </si>
  <si>
    <t xml:space="preserve">Guidance year delivered, then a normal maturing of a hardware franchise: growth decelerates from 11% to 3% over ten years, pre-SBC EBITDA margin flat at ~32%, capex and working capital normalise. Auto OEM's H2 2026 dip is bridged by the 2027 Mercedes-Benz programme; tariffs stay at the 10% baseline assumed in guidance.</t>
  </si>
  <si>
    <t xml:space="preserve">Scenario narrative: bull</t>
  </si>
  <si>
    <t xml:space="preserve">Fitness becomes a mass-market health platform rather than an athlete niche, recurring software (Connect+, TrainingPeaks) lifts mix, Marine/Aviation stay double-digit and Auto OEM turns profitable on Mercedes-Benz; margin expands to 34% and growth stays high-single-digit into the 2030s.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</si>
  <si>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</si>
  <si>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</si>
  <si>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</si>
  <si>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</si>
  <si>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</si>
  <si>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</si>
  <si>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</si>
  <si>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</si>
  <si>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</si>
  <si>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</si>
  <si>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</si>
  <si>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</si>
  <si>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</si>
  <si>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</si>
  <si>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</si>
  <si>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</si>
  <si>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</si>
  <si>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</si>
  <si>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</si>
  <si>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</si>
  <si>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</si>
  <si>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</si>
  <si>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</si>
  <si>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</si>
  <si>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</si>
  <si>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</si>
  <si>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</si>
  <si>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</si>
  <si>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</si>
  <si>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</si>
  <si>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</si>
  <si>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</si>
  <si>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</si>
  <si>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</si>
  <si>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</si>
  <si>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</si>
  <si>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</si>
  <si>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</si>
  <si>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</si>
  <si>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</si>
  <si>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</si>
  <si>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</si>
  <si>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</si>
  <si>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</si>
  <si>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</si>
  <si>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</si>
  <si>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</si>
  <si>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</si>
  <si>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</si>
  <si>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</si>
  <si>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</si>
  <si>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</si>
  <si>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</si>
  <si>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</si>
  <si>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</si>
  <si>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</si>
  <si>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</si>
  <si>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</si>
  <si>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</si>
  <si>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</si>
  <si>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</si>
  <si>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</si>
  <si>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</si>
  <si>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</si>
  <si>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</si>
  <si>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</si>
  <si>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</si>
  <si>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</si>
  <si>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</si>
  <si>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</si>
  <si>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</si>
  <si>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</si>
  <si>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</si>
  <si>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</si>
  <si>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</si>
  <si>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</si>
  <si>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</si>
  <si>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</si>
  <si>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</si>
  <si>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</si>
  <si>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</si>
  <si>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</si>
  <si>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</si>
  <si>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</si>
  <si>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GRMN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</si>
  <si>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</si>
  <si>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</si>
  <si>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</si>
  <si>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</si>
  <si>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</si>
  <si>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</si>
  <si>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</si>
  <si>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</si>
  <si>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</si>
  <si>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</si>
  <si>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</si>
  <si>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</si>
  <si>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</si>
  <si>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</si>
  <si>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</si>
  <si>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</si>
  <si>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</si>
  <si>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</si>
  <si>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</si>
  <si>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</si>
  <si>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</si>
  <si>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</si>
  <si>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</si>
  <si>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</si>
  <si>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</si>
  <si>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</si>
  <si>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</si>
  <si>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</si>
  <si>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</si>
  <si>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</si>
  <si>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GRMN owner-FCF component DCF: base case (millions, USD)</t>
  </si>
  <si>
    <t xml:space="preserve">GRMN owner-FCF component DCF: bull case (millions, USD)</t>
  </si>
  <si>
    <t xml:space="preserve">GRMN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</si>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</sst>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294.14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1557.899</v>
      </c>
      <c r="S2" s="0" t="n">
        <v>337.321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3180.319</v>
      </c>
      <c r="C3" s="0" t="n">
        <v>1717.064</v>
      </c>
      <c r="D3" s="0" t="n">
        <v>1463.255</v>
      </c>
      <c r="E3" s="0" t="n">
        <v>46.00969273837</v>
      </c>
      <c r="F3" s="0" t="n">
        <v>907.351</v>
      </c>
      <c r="G3" s="0" t="n">
        <v>28.5301883238757</v>
      </c>
      <c r="I3" s="0" t="n">
        <v>855.011</v>
      </c>
      <c r="J3" s="0" t="n">
        <v>26.8844414664064</v>
      </c>
      <c r="K3" s="0" t="n">
        <v>3.95</v>
      </c>
      <c r="L3" s="0" t="n">
        <v>682.088</v>
      </c>
      <c r="O3" s="0" t="n">
        <v>2350.614</v>
      </c>
      <c r="S3" s="0" t="n">
        <v>707.689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3494.077</v>
      </c>
      <c r="C4" s="0" t="n">
        <v>1940.562</v>
      </c>
      <c r="D4" s="0" t="n">
        <v>1553.515</v>
      </c>
      <c r="E4" s="0" t="n">
        <v>44.4613842225</v>
      </c>
      <c r="F4" s="0" t="n">
        <v>862.017</v>
      </c>
      <c r="G4" s="0" t="n">
        <v>24.6708071974373</v>
      </c>
      <c r="I4" s="0" t="n">
        <v>732.848</v>
      </c>
      <c r="J4" s="0" t="n">
        <v>20.9740083003322</v>
      </c>
      <c r="K4" s="0" t="n">
        <v>3.51</v>
      </c>
      <c r="L4" s="0" t="n">
        <v>862.164</v>
      </c>
      <c r="O4" s="0" t="n">
        <v>2225.854</v>
      </c>
      <c r="P4" s="0" t="n">
        <v>2934.421</v>
      </c>
      <c r="S4" s="0" t="n">
        <v>696.335</v>
      </c>
      <c r="T4" s="0" t="n">
        <v>200.363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2946.44</v>
      </c>
      <c r="C5" s="0" t="n">
        <v>1502.329</v>
      </c>
      <c r="D5" s="0" t="n">
        <v>1444.111</v>
      </c>
      <c r="E5" s="0" t="n">
        <v>49.0120620138201</v>
      </c>
      <c r="F5" s="0" t="n">
        <v>786.01</v>
      </c>
      <c r="G5" s="0" t="n">
        <v>26.676599557432</v>
      </c>
      <c r="I5" s="0" t="n">
        <v>703.95</v>
      </c>
      <c r="J5" s="0" t="n">
        <v>23.8915436934063</v>
      </c>
      <c r="K5" s="0" t="n">
        <v>3.51</v>
      </c>
      <c r="L5" s="0" t="n">
        <v>1094.456</v>
      </c>
      <c r="M5" s="0" t="n">
        <v>49.199</v>
      </c>
      <c r="N5" s="0" t="n">
        <v>1045.257</v>
      </c>
      <c r="O5" s="0" t="n">
        <v>2836.447</v>
      </c>
      <c r="P5" s="0" t="n">
        <v>3828.082</v>
      </c>
      <c r="S5" s="0" t="n">
        <v>1091.581</v>
      </c>
      <c r="T5" s="0" t="n">
        <v>201.161</v>
      </c>
      <c r="U5" s="0" t="n">
        <v>43.616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2689.911</v>
      </c>
      <c r="C6" s="0" t="n">
        <v>1343.537</v>
      </c>
      <c r="D6" s="0" t="n">
        <v>1346.374</v>
      </c>
      <c r="E6" s="0" t="n">
        <v>50.0527340867412</v>
      </c>
      <c r="F6" s="0" t="n">
        <v>636.676</v>
      </c>
      <c r="G6" s="0" t="n">
        <v>23.669035890035</v>
      </c>
      <c r="I6" s="0" t="n">
        <v>584.603</v>
      </c>
      <c r="J6" s="0" t="n">
        <v>21.7331725845205</v>
      </c>
      <c r="K6" s="0" t="n">
        <v>2.97</v>
      </c>
      <c r="L6" s="0" t="n">
        <v>770.637</v>
      </c>
      <c r="M6" s="0" t="n">
        <v>32.232</v>
      </c>
      <c r="N6" s="0" t="n">
        <v>738.405</v>
      </c>
      <c r="O6" s="0" t="n">
        <v>3049.562</v>
      </c>
      <c r="P6" s="0" t="n">
        <v>3988.688</v>
      </c>
      <c r="S6" s="0" t="n">
        <v>1260.936</v>
      </c>
      <c r="T6" s="0" t="n">
        <v>198.009</v>
      </c>
      <c r="U6" s="0" t="n">
        <v>40.332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2758.569</v>
      </c>
      <c r="D7" s="0" t="n">
        <v>1338.592</v>
      </c>
      <c r="E7" s="0" t="n">
        <v>48.5248692347373</v>
      </c>
      <c r="F7" s="0" t="n">
        <v>553.767</v>
      </c>
      <c r="G7" s="0" t="n">
        <v>20.0744298946302</v>
      </c>
      <c r="I7" s="0" t="n">
        <v>520.896</v>
      </c>
      <c r="J7" s="0" t="n">
        <v>18.8828338170987</v>
      </c>
      <c r="K7" s="0" t="n">
        <v>2.68</v>
      </c>
      <c r="L7" s="0" t="n">
        <v>822.334</v>
      </c>
      <c r="M7" s="0" t="n">
        <v>38.366</v>
      </c>
      <c r="N7" s="0" t="n">
        <v>783.968</v>
      </c>
      <c r="O7" s="0" t="n">
        <v>3256.581</v>
      </c>
      <c r="P7" s="0" t="n">
        <v>4471.338</v>
      </c>
      <c r="S7" s="0" t="n">
        <v>1287.16</v>
      </c>
      <c r="T7" s="0" t="n">
        <v>194.662617</v>
      </c>
      <c r="U7" s="0" t="n">
        <v>40.212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2715.675</v>
      </c>
      <c r="D8" s="0" t="n">
        <v>1438.48</v>
      </c>
      <c r="E8" s="0" t="n">
        <v>52.9695195485469</v>
      </c>
      <c r="F8" s="0" t="n">
        <v>604.16</v>
      </c>
      <c r="G8" s="0" t="n">
        <v>22.2471392931776</v>
      </c>
      <c r="I8" s="0" t="n">
        <v>542.403</v>
      </c>
      <c r="J8" s="0" t="n">
        <v>19.9730453754591</v>
      </c>
      <c r="K8" s="0" t="n">
        <v>2.78</v>
      </c>
      <c r="L8" s="0" t="n">
        <v>684.745</v>
      </c>
      <c r="M8" s="0" t="n">
        <v>38.445</v>
      </c>
      <c r="N8" s="0" t="n">
        <v>646.3</v>
      </c>
      <c r="O8" s="0" t="n">
        <v>3531.796</v>
      </c>
      <c r="P8" s="0" t="n">
        <v>4819.124</v>
      </c>
      <c r="S8" s="0" t="n">
        <v>1231.18</v>
      </c>
      <c r="T8" s="0" t="n">
        <v>195.591854</v>
      </c>
      <c r="U8" s="0" t="n">
        <v>29.274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2631.851</v>
      </c>
      <c r="C9" s="0" t="n">
        <v>1224.551</v>
      </c>
      <c r="D9" s="0" t="n">
        <v>1407.3</v>
      </c>
      <c r="E9" s="0" t="n">
        <v>53.4718720778646</v>
      </c>
      <c r="F9" s="0" t="n">
        <v>574.032</v>
      </c>
      <c r="G9" s="0" t="n">
        <v>21.8109611828329</v>
      </c>
      <c r="I9" s="0" t="n">
        <v>612.412</v>
      </c>
      <c r="J9" s="0" t="n">
        <v>23.2692504248911</v>
      </c>
      <c r="K9" s="0" t="n">
        <v>3.13</v>
      </c>
      <c r="M9" s="0" t="n">
        <v>56.083</v>
      </c>
      <c r="O9" s="0" t="n">
        <v>3659.706</v>
      </c>
      <c r="P9" s="0" t="n">
        <v>4879.603</v>
      </c>
      <c r="S9" s="0" t="n">
        <v>1179.149</v>
      </c>
      <c r="T9" s="0" t="n">
        <v>195.150102</v>
      </c>
      <c r="U9" s="0" t="n">
        <v>22.592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2870.658</v>
      </c>
      <c r="C10" s="0" t="n">
        <v>1266.246</v>
      </c>
      <c r="D10" s="0" t="n">
        <v>1604.412</v>
      </c>
      <c r="E10" s="0" t="n">
        <v>55.8900433280453</v>
      </c>
      <c r="F10" s="0" t="n">
        <v>690.626</v>
      </c>
      <c r="G10" s="0" t="n">
        <v>24.058107932049</v>
      </c>
      <c r="I10" s="0" t="n">
        <v>364.211</v>
      </c>
      <c r="J10" s="0" t="n">
        <v>12.6873699340012</v>
      </c>
      <c r="K10" s="0" t="n">
        <v>1.89</v>
      </c>
      <c r="M10" s="0" t="n">
        <v>73.339</v>
      </c>
      <c r="O10" s="0" t="n">
        <v>3403.367</v>
      </c>
      <c r="P10" s="0" t="n">
        <v>4693.303</v>
      </c>
      <c r="S10" s="0" t="n">
        <v>1196.268</v>
      </c>
      <c r="U10" s="0" t="n">
        <v>24.293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2820.27</v>
      </c>
      <c r="C11" s="0" t="n">
        <v>1281.566</v>
      </c>
      <c r="D11" s="0" t="n">
        <v>1538.704</v>
      </c>
      <c r="E11" s="0" t="n">
        <v>54.5587479212983</v>
      </c>
      <c r="F11" s="0" t="n">
        <v>549.581</v>
      </c>
      <c r="G11" s="0" t="n">
        <v>19.4868221836916</v>
      </c>
      <c r="I11" s="0" t="n">
        <v>456.227</v>
      </c>
      <c r="J11" s="0" t="n">
        <v>16.1767135770689</v>
      </c>
      <c r="K11" s="0" t="n">
        <v>2.39</v>
      </c>
      <c r="L11" s="0" t="n">
        <v>280.467</v>
      </c>
      <c r="M11" s="0" t="n">
        <v>80.592</v>
      </c>
      <c r="N11" s="0" t="n">
        <v>199.875</v>
      </c>
      <c r="O11" s="0" t="n">
        <v>3373.734</v>
      </c>
      <c r="P11" s="0" t="n">
        <v>4499.391</v>
      </c>
      <c r="S11" s="0" t="n">
        <v>833.07</v>
      </c>
      <c r="T11" s="0" t="n">
        <v>189.722</v>
      </c>
      <c r="U11" s="0" t="n">
        <v>26.29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3045.797</v>
      </c>
      <c r="C12" s="0" t="n">
        <v>1357.272</v>
      </c>
      <c r="D12" s="0" t="n">
        <v>1688.525</v>
      </c>
      <c r="E12" s="0" t="n">
        <v>55.4378706131761</v>
      </c>
      <c r="F12" s="0" t="n">
        <v>632.864</v>
      </c>
      <c r="G12" s="0" t="n">
        <v>20.7782724850015</v>
      </c>
      <c r="I12" s="0" t="n">
        <v>517.724</v>
      </c>
      <c r="J12" s="0" t="n">
        <v>16.997981152388</v>
      </c>
      <c r="K12" s="0" t="n">
        <v>2.74</v>
      </c>
      <c r="L12" s="0" t="n">
        <v>705.682</v>
      </c>
      <c r="M12" s="0" t="n">
        <v>90.96</v>
      </c>
      <c r="N12" s="0" t="n">
        <v>614.722</v>
      </c>
      <c r="O12" s="0" t="n">
        <v>3453.259</v>
      </c>
      <c r="P12" s="0" t="n">
        <v>4525.133</v>
      </c>
      <c r="S12" s="0" t="n">
        <v>846.883</v>
      </c>
      <c r="U12" s="0" t="n">
        <v>41.25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3121.56</v>
      </c>
      <c r="C13" s="0" t="n">
        <v>1323.619</v>
      </c>
      <c r="D13" s="0" t="n">
        <v>1797.941</v>
      </c>
      <c r="E13" s="0" t="n">
        <v>57.5975153448917</v>
      </c>
      <c r="F13" s="0" t="n">
        <v>683.637</v>
      </c>
      <c r="G13" s="0" t="n">
        <v>21.9004920616615</v>
      </c>
      <c r="I13" s="0" t="n">
        <v>709.007</v>
      </c>
      <c r="J13" s="0" t="n">
        <v>22.7132267199734</v>
      </c>
      <c r="K13" s="0" t="n">
        <v>3.77</v>
      </c>
      <c r="L13" s="0" t="n">
        <v>660.842</v>
      </c>
      <c r="M13" s="0" t="n">
        <v>139.696</v>
      </c>
      <c r="N13" s="0" t="n">
        <v>521.146</v>
      </c>
      <c r="O13" s="0" t="n">
        <v>3852.419</v>
      </c>
      <c r="P13" s="0" t="n">
        <v>4948.289</v>
      </c>
      <c r="S13" s="0" t="n">
        <v>891.488</v>
      </c>
      <c r="T13" s="0" t="n">
        <v>188.732</v>
      </c>
      <c r="U13" s="0" t="n">
        <v>44.735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3347.444</v>
      </c>
      <c r="C14" s="0" t="n">
        <v>1367.725</v>
      </c>
      <c r="D14" s="0" t="n">
        <v>1979.719</v>
      </c>
      <c r="E14" s="0" t="n">
        <v>59.1412134153701</v>
      </c>
      <c r="F14" s="0" t="n">
        <v>778.343</v>
      </c>
      <c r="G14" s="0" t="n">
        <v>23.2518602252943</v>
      </c>
      <c r="I14" s="0" t="n">
        <v>694.08</v>
      </c>
      <c r="J14" s="0" t="n">
        <v>20.7346261804529</v>
      </c>
      <c r="K14" s="0" t="n">
        <v>3.68</v>
      </c>
      <c r="L14" s="0" t="n">
        <v>919.52</v>
      </c>
      <c r="M14" s="0" t="n">
        <v>155.755</v>
      </c>
      <c r="N14" s="0" t="n">
        <v>763.765</v>
      </c>
      <c r="O14" s="0" t="n">
        <v>4162.974</v>
      </c>
      <c r="P14" s="0" t="n">
        <v>5382.858</v>
      </c>
      <c r="S14" s="0" t="n">
        <v>1201.732</v>
      </c>
      <c r="T14" s="0" t="n">
        <v>189.734</v>
      </c>
      <c r="U14" s="0" t="n">
        <v>56.391</v>
      </c>
      <c r="V14" s="0" t="n">
        <v>2.12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3757.505</v>
      </c>
      <c r="C15" s="0" t="n">
        <v>1523.529</v>
      </c>
      <c r="D15" s="0" t="n">
        <v>2233.976</v>
      </c>
      <c r="E15" s="0" t="n">
        <v>59.4537066484276</v>
      </c>
      <c r="F15" s="0" t="n">
        <v>945.586</v>
      </c>
      <c r="G15" s="0" t="n">
        <v>25.1652625878076</v>
      </c>
      <c r="I15" s="0" t="n">
        <v>952.486</v>
      </c>
      <c r="J15" s="0" t="n">
        <v>25.3488950779839</v>
      </c>
      <c r="K15" s="0" t="n">
        <v>5.01</v>
      </c>
      <c r="L15" s="0" t="n">
        <v>698.549</v>
      </c>
      <c r="M15" s="0" t="n">
        <v>118.031</v>
      </c>
      <c r="N15" s="0" t="n">
        <v>580.518</v>
      </c>
      <c r="O15" s="0" t="n">
        <v>4793.496</v>
      </c>
      <c r="P15" s="0" t="n">
        <v>6166.799</v>
      </c>
      <c r="S15" s="0" t="n">
        <v>1027.567</v>
      </c>
      <c r="T15" s="0" t="n">
        <v>190.899</v>
      </c>
      <c r="U15" s="0" t="n">
        <v>63.4</v>
      </c>
      <c r="V15" s="0" t="n">
        <v>2.28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4186.573</v>
      </c>
      <c r="C16" s="0" t="n">
        <v>1705.237</v>
      </c>
      <c r="D16" s="0" t="n">
        <v>2481.336</v>
      </c>
      <c r="E16" s="0" t="n">
        <v>59.2689056180317</v>
      </c>
      <c r="F16" s="0" t="n">
        <v>1054.24</v>
      </c>
      <c r="G16" s="0" t="n">
        <v>25.1814550946562</v>
      </c>
      <c r="I16" s="0" t="n">
        <v>992.324</v>
      </c>
      <c r="J16" s="0" t="n">
        <v>23.7025366570701</v>
      </c>
      <c r="K16" s="0" t="n">
        <v>5.19</v>
      </c>
      <c r="L16" s="0" t="n">
        <v>1135.267</v>
      </c>
      <c r="M16" s="0" t="n">
        <v>185.401</v>
      </c>
      <c r="N16" s="0" t="n">
        <v>949.866</v>
      </c>
      <c r="O16" s="0" t="n">
        <v>5516.116</v>
      </c>
      <c r="P16" s="0" t="n">
        <v>7031.373</v>
      </c>
      <c r="S16" s="0" t="n">
        <v>1458.442</v>
      </c>
      <c r="T16" s="0" t="n">
        <v>191.895</v>
      </c>
      <c r="U16" s="0" t="n">
        <v>80.885</v>
      </c>
      <c r="V16" s="0" t="n">
        <v>2.44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4982.795</v>
      </c>
      <c r="C17" s="0" t="n">
        <v>2092.336</v>
      </c>
      <c r="D17" s="0" t="n">
        <v>2890.459</v>
      </c>
      <c r="E17" s="0" t="n">
        <v>58.008788240335</v>
      </c>
      <c r="F17" s="0" t="n">
        <v>1218.62</v>
      </c>
      <c r="G17" s="0" t="n">
        <v>24.4565550057749</v>
      </c>
      <c r="I17" s="0" t="n">
        <v>1082.2</v>
      </c>
      <c r="J17" s="0" t="n">
        <v>21.7187341642592</v>
      </c>
      <c r="K17" s="0" t="n">
        <v>5.63</v>
      </c>
      <c r="L17" s="0" t="n">
        <v>1012.427</v>
      </c>
      <c r="M17" s="0" t="n">
        <v>307.645</v>
      </c>
      <c r="N17" s="0" t="n">
        <v>704.782</v>
      </c>
      <c r="O17" s="0" t="n">
        <v>6114.159</v>
      </c>
      <c r="P17" s="0" t="n">
        <v>7854.427</v>
      </c>
      <c r="S17" s="0" t="n">
        <v>1498.058</v>
      </c>
      <c r="T17" s="0" t="n">
        <v>192.608</v>
      </c>
      <c r="U17" s="0" t="n">
        <v>92.522</v>
      </c>
      <c r="V17" s="0" t="n">
        <v>2.68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4860.286</v>
      </c>
      <c r="C18" s="0" t="n">
        <v>2053.511</v>
      </c>
      <c r="D18" s="0" t="n">
        <v>2806.775</v>
      </c>
      <c r="E18" s="0" t="n">
        <v>57.7491736083021</v>
      </c>
      <c r="F18" s="0" t="n">
        <v>1027.845</v>
      </c>
      <c r="G18" s="0" t="n">
        <v>21.1478295721692</v>
      </c>
      <c r="I18" s="0" t="n">
        <v>973.585</v>
      </c>
      <c r="J18" s="0" t="n">
        <v>20.0314343641506</v>
      </c>
      <c r="K18" s="0" t="n">
        <v>5.06</v>
      </c>
      <c r="L18" s="0" t="n">
        <v>788.259</v>
      </c>
      <c r="M18" s="0" t="n">
        <v>244.286</v>
      </c>
      <c r="N18" s="0" t="n">
        <v>543.973</v>
      </c>
      <c r="O18" s="0" t="n">
        <v>6204.34</v>
      </c>
      <c r="P18" s="0" t="n">
        <v>7731.17</v>
      </c>
      <c r="S18" s="0" t="n">
        <v>1279.194</v>
      </c>
      <c r="T18" s="0" t="n">
        <v>193.042</v>
      </c>
      <c r="U18" s="0" t="n">
        <v>76.801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5228.252</v>
      </c>
      <c r="C19" s="0" t="n">
        <v>2223.297</v>
      </c>
      <c r="D19" s="0" t="n">
        <v>3004.955</v>
      </c>
      <c r="E19" s="0" t="n">
        <v>57.4753282741536</v>
      </c>
      <c r="F19" s="0" t="n">
        <v>1092.16</v>
      </c>
      <c r="G19" s="0" t="n">
        <v>20.8895822160064</v>
      </c>
      <c r="I19" s="0" t="n">
        <v>1289.636</v>
      </c>
      <c r="J19" s="0" t="n">
        <v>24.6666763576048</v>
      </c>
      <c r="K19" s="0" t="n">
        <v>6.74</v>
      </c>
      <c r="L19" s="0" t="n">
        <v>1376.265</v>
      </c>
      <c r="M19" s="0" t="n">
        <v>193.524</v>
      </c>
      <c r="N19" s="0" t="n">
        <v>1182.741</v>
      </c>
      <c r="O19" s="0" t="n">
        <v>7012.06</v>
      </c>
      <c r="P19" s="0" t="n">
        <v>8603.569</v>
      </c>
      <c r="S19" s="0" t="n">
        <v>1693.452</v>
      </c>
      <c r="T19" s="0" t="n">
        <v>192.058</v>
      </c>
      <c r="U19" s="0" t="n">
        <v>101.422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6296.903</v>
      </c>
      <c r="C20" s="0" t="n">
        <v>2600.348</v>
      </c>
      <c r="D20" s="0" t="n">
        <v>3696.555</v>
      </c>
      <c r="E20" s="0" t="n">
        <v>58.7043344958625</v>
      </c>
      <c r="F20" s="0" t="n">
        <v>1593.994</v>
      </c>
      <c r="G20" s="0" t="n">
        <v>25.3139360730188</v>
      </c>
      <c r="I20" s="0" t="n">
        <v>1411.436</v>
      </c>
      <c r="J20" s="0" t="n">
        <v>22.4147648455122</v>
      </c>
      <c r="K20" s="0" t="n">
        <v>7.35</v>
      </c>
      <c r="L20" s="0" t="n">
        <v>1432.471</v>
      </c>
      <c r="M20" s="0" t="n">
        <v>193.571</v>
      </c>
      <c r="N20" s="0" t="n">
        <v>1238.9</v>
      </c>
      <c r="O20" s="0" t="n">
        <v>7848.398</v>
      </c>
      <c r="P20" s="0" t="n">
        <v>9630.527</v>
      </c>
      <c r="S20" s="0" t="n">
        <v>2079.468</v>
      </c>
      <c r="T20" s="0" t="n">
        <v>193.281</v>
      </c>
      <c r="U20" s="0" t="n">
        <v>137.162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7245.519</v>
      </c>
      <c r="C21" s="0" t="n">
        <v>2989.216</v>
      </c>
      <c r="D21" s="0" t="n">
        <v>4256.303</v>
      </c>
      <c r="E21" s="0" t="n">
        <v>58.7439353895836</v>
      </c>
      <c r="F21" s="0" t="n">
        <v>1876.076</v>
      </c>
      <c r="G21" s="0" t="n">
        <v>25.8929139513677</v>
      </c>
      <c r="I21" s="0" t="n">
        <v>1663.887</v>
      </c>
      <c r="J21" s="0" t="n">
        <v>22.9643590748986</v>
      </c>
      <c r="K21" s="0" t="n">
        <v>8.65</v>
      </c>
      <c r="L21" s="0" t="n">
        <v>1633.359</v>
      </c>
      <c r="M21" s="0" t="n">
        <v>270.446</v>
      </c>
      <c r="N21" s="0" t="n">
        <v>1362.913</v>
      </c>
      <c r="O21" s="0" t="n">
        <v>8972.564</v>
      </c>
      <c r="P21" s="0" t="n">
        <v>10993.669</v>
      </c>
      <c r="S21" s="0" t="n">
        <v>2278.646</v>
      </c>
      <c r="T21" s="0" t="n">
        <v>193.616</v>
      </c>
      <c r="U21" s="0" t="n">
        <v>166.003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294.14</v>
      </c>
    </row>
    <row r="3" customFormat="false" ht="15" hidden="false" customHeight="false" outlineLevel="0" collapsed="false">
      <c r="A3" s="0" t="s">
        <v>86</v>
      </c>
      <c r="B3" s="3" t="n">
        <v>193.5</v>
      </c>
    </row>
    <row r="4" customFormat="false" ht="15" hidden="false" customHeight="false" outlineLevel="0" collapsed="false">
      <c r="A4" s="0" t="s">
        <v>87</v>
      </c>
      <c r="B4" s="3" t="n">
        <v>-4369.87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7245.519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9.5</v>
      </c>
      <c r="D13" s="3" t="n">
        <v>2</v>
      </c>
      <c r="E13" s="3" t="n">
        <v>1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30.5</v>
      </c>
      <c r="D14" s="3" t="n">
        <v>28.5</v>
      </c>
      <c r="E14" s="3" t="n">
        <v>27.5</v>
      </c>
      <c r="F14" s="3" t="n">
        <v>27.5</v>
      </c>
      <c r="G14" s="3" t="n">
        <v>27.5</v>
      </c>
      <c r="H14" s="3" t="n">
        <v>27.5</v>
      </c>
      <c r="I14" s="3" t="n">
        <v>27.5</v>
      </c>
      <c r="J14" s="3" t="n">
        <v>27.5</v>
      </c>
      <c r="K14" s="3" t="n">
        <v>27.5</v>
      </c>
      <c r="L14" s="3" t="n">
        <v>27.5</v>
      </c>
    </row>
    <row r="15" customFormat="false" ht="15" hidden="false" customHeight="false" outlineLevel="0" collapsed="false">
      <c r="A15" s="0" t="s">
        <v>108</v>
      </c>
      <c r="C15" s="3" t="n">
        <v>2.4</v>
      </c>
      <c r="D15" s="3" t="n">
        <v>2.4</v>
      </c>
      <c r="E15" s="3" t="n">
        <v>2.4</v>
      </c>
      <c r="F15" s="3" t="n">
        <v>2.4</v>
      </c>
      <c r="G15" s="3" t="n">
        <v>2.4</v>
      </c>
      <c r="H15" s="3" t="n">
        <v>2.4</v>
      </c>
      <c r="I15" s="3" t="n">
        <v>2.4</v>
      </c>
      <c r="J15" s="3" t="n">
        <v>2.4</v>
      </c>
      <c r="K15" s="3" t="n">
        <v>2.4</v>
      </c>
      <c r="L15" s="3" t="n">
        <v>2.4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2.5</v>
      </c>
      <c r="D17" s="3" t="n">
        <v>2.6</v>
      </c>
      <c r="E17" s="3" t="n">
        <v>2.7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111</v>
      </c>
      <c r="C18" s="3" t="n">
        <v>4.5</v>
      </c>
      <c r="D18" s="3" t="n">
        <v>4</v>
      </c>
      <c r="E18" s="3" t="n">
        <v>3.7</v>
      </c>
      <c r="F18" s="3" t="n">
        <v>3.5</v>
      </c>
      <c r="G18" s="3" t="n">
        <v>3.4</v>
      </c>
      <c r="H18" s="3" t="n">
        <v>3.3</v>
      </c>
      <c r="I18" s="3" t="n">
        <v>3.3</v>
      </c>
      <c r="J18" s="3" t="n">
        <v>3.2</v>
      </c>
      <c r="K18" s="3" t="n">
        <v>3.2</v>
      </c>
      <c r="L18" s="3" t="n">
        <v>3.2</v>
      </c>
    </row>
    <row r="19" customFormat="false" ht="15" hidden="false" customHeight="false" outlineLevel="0" collapsed="false">
      <c r="A19" s="0" t="s">
        <v>112</v>
      </c>
      <c r="C19" s="3" t="n">
        <v>18</v>
      </c>
      <c r="D19" s="3" t="n">
        <v>19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-30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11.1</v>
      </c>
      <c r="D27" s="3" t="n">
        <v>8</v>
      </c>
      <c r="E27" s="3" t="n">
        <v>7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31.8</v>
      </c>
      <c r="D28" s="3" t="n">
        <v>31.8</v>
      </c>
      <c r="E28" s="3" t="n">
        <v>32</v>
      </c>
      <c r="F28" s="3" t="n">
        <v>32</v>
      </c>
      <c r="G28" s="3" t="n">
        <v>32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108</v>
      </c>
      <c r="C29" s="3" t="n">
        <v>2.3</v>
      </c>
      <c r="D29" s="3" t="n">
        <v>2.3</v>
      </c>
      <c r="E29" s="3" t="n">
        <v>2.3</v>
      </c>
      <c r="F29" s="3" t="n">
        <v>2.3</v>
      </c>
      <c r="G29" s="3" t="n">
        <v>2.3</v>
      </c>
      <c r="H29" s="3" t="n">
        <v>2.3</v>
      </c>
      <c r="I29" s="3" t="n">
        <v>2.3</v>
      </c>
      <c r="J29" s="3" t="n">
        <v>2.3</v>
      </c>
      <c r="K29" s="3" t="n">
        <v>2.3</v>
      </c>
      <c r="L29" s="3" t="n">
        <v>2.3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2.5</v>
      </c>
      <c r="D31" s="3" t="n">
        <v>2.6</v>
      </c>
      <c r="E31" s="3" t="n">
        <v>2.7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111</v>
      </c>
      <c r="C32" s="3" t="n">
        <v>4.5</v>
      </c>
      <c r="D32" s="3" t="n">
        <v>4</v>
      </c>
      <c r="E32" s="3" t="n">
        <v>3.7</v>
      </c>
      <c r="F32" s="3" t="n">
        <v>3.5</v>
      </c>
      <c r="G32" s="3" t="n">
        <v>3.4</v>
      </c>
      <c r="H32" s="3" t="n">
        <v>3.3</v>
      </c>
      <c r="I32" s="3" t="n">
        <v>3.3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17.5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-30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12.5</v>
      </c>
      <c r="D41" s="3" t="n">
        <v>11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32.2</v>
      </c>
      <c r="D42" s="3" t="n">
        <v>32.8</v>
      </c>
      <c r="E42" s="3" t="n">
        <v>33.3</v>
      </c>
      <c r="F42" s="3" t="n">
        <v>33.8</v>
      </c>
      <c r="G42" s="3" t="n">
        <v>34</v>
      </c>
      <c r="H42" s="3" t="n">
        <v>34</v>
      </c>
      <c r="I42" s="3" t="n">
        <v>34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108</v>
      </c>
      <c r="C43" s="3" t="n">
        <v>2.3</v>
      </c>
      <c r="D43" s="3" t="n">
        <v>2.3</v>
      </c>
      <c r="E43" s="3" t="n">
        <v>2.3</v>
      </c>
      <c r="F43" s="3" t="n">
        <v>2.3</v>
      </c>
      <c r="G43" s="3" t="n">
        <v>2.3</v>
      </c>
      <c r="H43" s="3" t="n">
        <v>2.3</v>
      </c>
      <c r="I43" s="3" t="n">
        <v>2.3</v>
      </c>
      <c r="J43" s="3" t="n">
        <v>2.3</v>
      </c>
      <c r="K43" s="3" t="n">
        <v>2.3</v>
      </c>
      <c r="L43" s="3" t="n">
        <v>2.3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2.5</v>
      </c>
      <c r="D45" s="3" t="n">
        <v>2.6</v>
      </c>
      <c r="E45" s="3" t="n">
        <v>2.7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111</v>
      </c>
      <c r="C46" s="3" t="n">
        <v>4.5</v>
      </c>
      <c r="D46" s="3" t="n">
        <v>4</v>
      </c>
      <c r="E46" s="3" t="n">
        <v>3.7</v>
      </c>
      <c r="F46" s="3" t="n">
        <v>3.5</v>
      </c>
      <c r="G46" s="3" t="n">
        <v>3.4</v>
      </c>
      <c r="H46" s="3" t="n">
        <v>3.3</v>
      </c>
      <c r="I46" s="3" t="n">
        <v>3.3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17.5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-30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9.5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7245.519</v>
      </c>
      <c r="C6" s="0" t="n">
        <f aca="false">B6*(1+C5/100)</f>
        <v>7933.843305</v>
      </c>
      <c r="D6" s="0" t="n">
        <f aca="false">C6*(1+D5/100)</f>
        <v>8092.5201711</v>
      </c>
      <c r="E6" s="0" t="n">
        <f aca="false">D6*(1+E5/100)</f>
        <v>8173.445372811</v>
      </c>
      <c r="F6" s="0" t="n">
        <f aca="false">E6*(1+F5/100)</f>
        <v>8336.91428026722</v>
      </c>
      <c r="G6" s="0" t="n">
        <f aca="false">F6*(1+G5/100)</f>
        <v>8587.02170867524</v>
      </c>
      <c r="H6" s="0" t="n">
        <f aca="false">G6*(1+H5/100)</f>
        <v>8844.6323599355</v>
      </c>
      <c r="I6" s="0" t="n">
        <f aca="false">H6*(1+I5/100)</f>
        <v>9109.97133073356</v>
      </c>
      <c r="J6" s="0" t="n">
        <f aca="false">I6*(1+J5/100)</f>
        <v>9383.27047065557</v>
      </c>
      <c r="K6" s="0" t="n">
        <f aca="false">J6*(1+K5/100)</f>
        <v>9617.85223242196</v>
      </c>
      <c r="L6" s="0" t="n">
        <f aca="false">K6*(1+L5/100)</f>
        <v>9858.29853823251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30.5</v>
      </c>
      <c r="D7" s="4" t="n">
        <f aca="false">Assumptions!D14</f>
        <v>28.5</v>
      </c>
      <c r="E7" s="4" t="n">
        <f aca="false">Assumptions!E14</f>
        <v>27.5</v>
      </c>
      <c r="F7" s="4" t="n">
        <f aca="false">Assumptions!F14</f>
        <v>27.5</v>
      </c>
      <c r="G7" s="4" t="n">
        <f aca="false">Assumptions!G14</f>
        <v>27.5</v>
      </c>
      <c r="H7" s="4" t="n">
        <f aca="false">Assumptions!H14</f>
        <v>27.5</v>
      </c>
      <c r="I7" s="4" t="n">
        <f aca="false">Assumptions!I14</f>
        <v>27.5</v>
      </c>
      <c r="J7" s="4" t="n">
        <f aca="false">Assumptions!J14</f>
        <v>27.5</v>
      </c>
      <c r="K7" s="4" t="n">
        <f aca="false">Assumptions!K14</f>
        <v>27.5</v>
      </c>
      <c r="L7" s="4" t="n">
        <f aca="false">Assumptions!L14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2419.822208025</v>
      </c>
      <c r="D8" s="0" t="n">
        <f aca="false">D6*D7/100</f>
        <v>2306.3682487635</v>
      </c>
      <c r="E8" s="0" t="n">
        <f aca="false">E6*E7/100</f>
        <v>2247.69747752303</v>
      </c>
      <c r="F8" s="0" t="n">
        <f aca="false">F6*F7/100</f>
        <v>2292.65142707349</v>
      </c>
      <c r="G8" s="0" t="n">
        <f aca="false">G6*G7/100</f>
        <v>2361.43096988569</v>
      </c>
      <c r="H8" s="0" t="n">
        <f aca="false">H6*H7/100</f>
        <v>2432.27389898226</v>
      </c>
      <c r="I8" s="0" t="n">
        <f aca="false">I6*I7/100</f>
        <v>2505.24211595173</v>
      </c>
      <c r="J8" s="0" t="n">
        <f aca="false">J6*J7/100</f>
        <v>2580.39937943028</v>
      </c>
      <c r="K8" s="0" t="n">
        <f aca="false">K6*K7/100</f>
        <v>2644.90936391604</v>
      </c>
      <c r="L8" s="0" t="n">
        <f aca="false">L6*L7/100</f>
        <v>2711.03209801394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2.4</v>
      </c>
      <c r="D9" s="4" t="n">
        <f aca="false">Assumptions!D15</f>
        <v>2.4</v>
      </c>
      <c r="E9" s="4" t="n">
        <f aca="false">Assumptions!E15</f>
        <v>2.4</v>
      </c>
      <c r="F9" s="4" t="n">
        <f aca="false">Assumptions!F15</f>
        <v>2.4</v>
      </c>
      <c r="G9" s="4" t="n">
        <f aca="false">Assumptions!G15</f>
        <v>2.4</v>
      </c>
      <c r="H9" s="4" t="n">
        <f aca="false">Assumptions!H15</f>
        <v>2.4</v>
      </c>
      <c r="I9" s="4" t="n">
        <f aca="false">Assumptions!I15</f>
        <v>2.4</v>
      </c>
      <c r="J9" s="4" t="n">
        <f aca="false">Assumptions!J15</f>
        <v>2.4</v>
      </c>
      <c r="K9" s="4" t="n">
        <f aca="false">Assumptions!K15</f>
        <v>2.4</v>
      </c>
      <c r="L9" s="4" t="n">
        <f aca="false">Assumptions!L15</f>
        <v>2.4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-190.41223932</v>
      </c>
      <c r="D10" s="0" t="n">
        <f aca="false">-D6*D9/100</f>
        <v>-194.2204841064</v>
      </c>
      <c r="E10" s="0" t="n">
        <f aca="false">-E6*E9/100</f>
        <v>-196.162688947464</v>
      </c>
      <c r="F10" s="0" t="n">
        <f aca="false">-F6*F9/100</f>
        <v>-200.085942726413</v>
      </c>
      <c r="G10" s="0" t="n">
        <f aca="false">-G6*G9/100</f>
        <v>-206.088521008206</v>
      </c>
      <c r="H10" s="0" t="n">
        <f aca="false">-H6*H9/100</f>
        <v>-212.271176638452</v>
      </c>
      <c r="I10" s="0" t="n">
        <f aca="false">-I6*I9/100</f>
        <v>-218.639311937606</v>
      </c>
      <c r="J10" s="0" t="n">
        <f aca="false">-J6*J9/100</f>
        <v>-225.198491295734</v>
      </c>
      <c r="K10" s="0" t="n">
        <f aca="false">-K6*K9/100</f>
        <v>-230.828453578127</v>
      </c>
      <c r="L10" s="0" t="n">
        <f aca="false">-L6*L9/100</f>
        <v>-236.59916491758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2229.409968705</v>
      </c>
      <c r="D11" s="0" t="n">
        <f aca="false">D8+D10+D24</f>
        <v>2112.1477646571</v>
      </c>
      <c r="E11" s="0" t="n">
        <f aca="false">E8+E10+E24</f>
        <v>2051.53478857556</v>
      </c>
      <c r="F11" s="0" t="n">
        <f aca="false">F8+F10+F24</f>
        <v>2092.56548434707</v>
      </c>
      <c r="G11" s="0" t="n">
        <f aca="false">G8+G10+G24</f>
        <v>2155.34244887749</v>
      </c>
      <c r="H11" s="0" t="n">
        <f aca="false">H8+H10+H24</f>
        <v>2220.00272234381</v>
      </c>
      <c r="I11" s="0" t="n">
        <f aca="false">I8+I10+I24</f>
        <v>2286.60280401412</v>
      </c>
      <c r="J11" s="0" t="n">
        <f aca="false">J8+J10+J24</f>
        <v>2355.20088813455</v>
      </c>
      <c r="K11" s="0" t="n">
        <f aca="false">K8+K10+K24</f>
        <v>2414.08091033791</v>
      </c>
      <c r="L11" s="0" t="n">
        <f aca="false">L8+L10+L24</f>
        <v>2474.43293309636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-198.346082625</v>
      </c>
      <c r="D12" s="4" t="n">
        <f aca="false">-D6*Assumptions!D17/100</f>
        <v>-210.4055244486</v>
      </c>
      <c r="E12" s="4" t="n">
        <f aca="false">-E6*Assumptions!E17/100</f>
        <v>-220.683025065897</v>
      </c>
      <c r="F12" s="4" t="n">
        <f aca="false">-F6*Assumptions!F17/100</f>
        <v>-233.433599847482</v>
      </c>
      <c r="G12" s="4" t="n">
        <f aca="false">-G6*Assumptions!G17/100</f>
        <v>-240.436607842907</v>
      </c>
      <c r="H12" s="4" t="n">
        <f aca="false">-H6*Assumptions!H17/100</f>
        <v>-247.649706078194</v>
      </c>
      <c r="I12" s="4" t="n">
        <f aca="false">-I6*Assumptions!I17/100</f>
        <v>-255.07919726054</v>
      </c>
      <c r="J12" s="4" t="n">
        <f aca="false">-J6*Assumptions!J17/100</f>
        <v>-262.731573178356</v>
      </c>
      <c r="K12" s="4" t="n">
        <f aca="false">-K6*Assumptions!K17/100</f>
        <v>-269.299862507815</v>
      </c>
      <c r="L12" s="4" t="n">
        <f aca="false">-L6*Assumptions!L17/100</f>
        <v>-276.03235907051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2031.06388608</v>
      </c>
      <c r="D13" s="0" t="n">
        <f aca="false">D11+D12</f>
        <v>1901.7422402085</v>
      </c>
      <c r="E13" s="0" t="n">
        <f aca="false">E11+E12</f>
        <v>1830.85176350966</v>
      </c>
      <c r="F13" s="0" t="n">
        <f aca="false">F11+F12</f>
        <v>1859.13188449959</v>
      </c>
      <c r="G13" s="0" t="n">
        <f aca="false">G11+G12</f>
        <v>1914.90584103458</v>
      </c>
      <c r="H13" s="0" t="n">
        <f aca="false">H11+H12</f>
        <v>1972.35301626562</v>
      </c>
      <c r="I13" s="0" t="n">
        <f aca="false">I11+I12</f>
        <v>2031.52360675358</v>
      </c>
      <c r="J13" s="0" t="n">
        <f aca="false">J11+J12</f>
        <v>2092.46931495619</v>
      </c>
      <c r="K13" s="0" t="n">
        <f aca="false">K11+K12</f>
        <v>2144.7810478301</v>
      </c>
      <c r="L13" s="0" t="n">
        <f aca="false">L11+L12</f>
        <v>2198.40057402585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18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1665.4723865856</v>
      </c>
      <c r="D15" s="0" t="n">
        <f aca="false">D13-MAX(0,D13)*D14/100</f>
        <v>1540.41121456889</v>
      </c>
      <c r="E15" s="0" t="n">
        <f aca="false">E13-MAX(0,E13)*E14/100</f>
        <v>1464.68141080773</v>
      </c>
      <c r="F15" s="0" t="n">
        <f aca="false">F13-MAX(0,F13)*F14/100</f>
        <v>1487.30550759967</v>
      </c>
      <c r="G15" s="0" t="n">
        <f aca="false">G13-MAX(0,G13)*G14/100</f>
        <v>1531.92467282766</v>
      </c>
      <c r="H15" s="0" t="n">
        <f aca="false">H13-MAX(0,H13)*H14/100</f>
        <v>1577.88241301249</v>
      </c>
      <c r="I15" s="0" t="n">
        <f aca="false">I13-MAX(0,I13)*I14/100</f>
        <v>1625.21888540287</v>
      </c>
      <c r="J15" s="0" t="n">
        <f aca="false">J13-MAX(0,J13)*J14/100</f>
        <v>1673.97545196495</v>
      </c>
      <c r="K15" s="0" t="n">
        <f aca="false">K13-MAX(0,K13)*K14/100</f>
        <v>1715.82483826408</v>
      </c>
      <c r="L15" s="0" t="n">
        <f aca="false">L13-MAX(0,L13)*L14/100</f>
        <v>1758.72045922068</v>
      </c>
    </row>
    <row r="16" customFormat="false" ht="15" hidden="false" customHeight="false" outlineLevel="0" collapsed="false">
      <c r="A16" s="0" t="s">
        <v>128</v>
      </c>
      <c r="C16" s="0" t="n">
        <f aca="false">-C12</f>
        <v>198.346082625</v>
      </c>
      <c r="D16" s="0" t="n">
        <f aca="false">-D12</f>
        <v>210.4055244486</v>
      </c>
      <c r="E16" s="0" t="n">
        <f aca="false">-E12</f>
        <v>220.683025065897</v>
      </c>
      <c r="F16" s="0" t="n">
        <f aca="false">-F12</f>
        <v>233.433599847482</v>
      </c>
      <c r="G16" s="0" t="n">
        <f aca="false">-G12</f>
        <v>240.436607842907</v>
      </c>
      <c r="H16" s="0" t="n">
        <f aca="false">-H12</f>
        <v>247.649706078194</v>
      </c>
      <c r="I16" s="0" t="n">
        <f aca="false">-I12</f>
        <v>255.07919726054</v>
      </c>
      <c r="J16" s="0" t="n">
        <f aca="false">-J12</f>
        <v>262.731573178356</v>
      </c>
      <c r="K16" s="0" t="n">
        <f aca="false">-K12</f>
        <v>269.299862507815</v>
      </c>
      <c r="L16" s="0" t="n">
        <f aca="false">-L12</f>
        <v>276.03235907051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-357.022948725</v>
      </c>
      <c r="D17" s="4" t="n">
        <f aca="false">-D6*Assumptions!D18/100</f>
        <v>-323.700806844</v>
      </c>
      <c r="E17" s="4" t="n">
        <f aca="false">-E6*Assumptions!E18/100</f>
        <v>-302.417478794007</v>
      </c>
      <c r="F17" s="4" t="n">
        <f aca="false">-F6*Assumptions!F18/100</f>
        <v>-291.791999809353</v>
      </c>
      <c r="G17" s="4" t="n">
        <f aca="false">-G6*Assumptions!G18/100</f>
        <v>-291.958738094958</v>
      </c>
      <c r="H17" s="4" t="n">
        <f aca="false">-H6*Assumptions!H18/100</f>
        <v>-291.872867877871</v>
      </c>
      <c r="I17" s="4" t="n">
        <f aca="false">-I6*Assumptions!I18/100</f>
        <v>-300.629053914208</v>
      </c>
      <c r="J17" s="4" t="n">
        <f aca="false">-J6*Assumptions!J18/100</f>
        <v>-300.264655060978</v>
      </c>
      <c r="K17" s="4" t="n">
        <f aca="false">-K6*Assumptions!K18/100</f>
        <v>-307.771271437503</v>
      </c>
      <c r="L17" s="4" t="n">
        <f aca="false">-L6*Assumptions!L18/100</f>
        <v>-315.46555322344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-206.4972915</v>
      </c>
      <c r="D18" s="4" t="n">
        <f aca="false">(D6-C6)*Assumptions!$B$23/100</f>
        <v>-47.6030598300002</v>
      </c>
      <c r="E18" s="4" t="n">
        <f aca="false">(E6-D6)*Assumptions!$B$23/100</f>
        <v>-24.2775605133001</v>
      </c>
      <c r="F18" s="4" t="n">
        <f aca="false">(F6-E6)*Assumptions!$B$23/100</f>
        <v>-49.0406722368661</v>
      </c>
      <c r="G18" s="4" t="n">
        <f aca="false">(G6-F6)*Assumptions!$B$23/100</f>
        <v>-75.0322285224051</v>
      </c>
      <c r="H18" s="4" t="n">
        <f aca="false">(H6-G6)*Assumptions!$B$23/100</f>
        <v>-77.2831953780775</v>
      </c>
      <c r="I18" s="4" t="n">
        <f aca="false">(I6-H6)*Assumptions!$B$23/100</f>
        <v>-79.6016912394198</v>
      </c>
      <c r="J18" s="4" t="n">
        <f aca="false">(J6-I6)*Assumptions!$B$23/100</f>
        <v>-81.9897419766019</v>
      </c>
      <c r="K18" s="4" t="n">
        <f aca="false">(K6-J6)*Assumptions!$B$23/100</f>
        <v>-70.3745285299167</v>
      </c>
      <c r="L18" s="4" t="n">
        <f aca="false">(L6-K6)*Assumptions!$B$23/100</f>
        <v>-72.1338917431645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1300.2982289856</v>
      </c>
      <c r="D19" s="0" t="n">
        <f aca="false">D15+D16+D17+D18</f>
        <v>1379.51287234349</v>
      </c>
      <c r="E19" s="0" t="n">
        <f aca="false">E15+E16+E17+E18</f>
        <v>1358.66939656632</v>
      </c>
      <c r="F19" s="0" t="n">
        <f aca="false">F15+F16+F17+F18</f>
        <v>1379.90643540094</v>
      </c>
      <c r="G19" s="0" t="n">
        <f aca="false">G15+G16+G17+G18</f>
        <v>1405.37031405321</v>
      </c>
      <c r="H19" s="0" t="n">
        <f aca="false">H15+H16+H17+H18</f>
        <v>1456.37605583474</v>
      </c>
      <c r="I19" s="0" t="n">
        <f aca="false">I15+I16+I17+I18</f>
        <v>1500.06733750978</v>
      </c>
      <c r="J19" s="0" t="n">
        <f aca="false">J15+J16+J17+J18</f>
        <v>1554.45262810573</v>
      </c>
      <c r="K19" s="0" t="n">
        <f aca="false">K15+K16+K17+K18</f>
        <v>1606.97890080447</v>
      </c>
      <c r="L19" s="0" t="n">
        <f aca="false">L15+L16+L17+L18</f>
        <v>1647.15337332458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1187.48696711014</v>
      </c>
      <c r="D21" s="0" t="n">
        <f aca="false">D19*D20</f>
        <v>1150.52886498904</v>
      </c>
      <c r="E21" s="0" t="n">
        <f aca="false">E19*E20</f>
        <v>1034.83577862593</v>
      </c>
      <c r="F21" s="0" t="n">
        <f aca="false">F19*F20</f>
        <v>959.827443877532</v>
      </c>
      <c r="G21" s="0" t="n">
        <f aca="false">G19*G20</f>
        <v>892.730103452454</v>
      </c>
      <c r="H21" s="0" t="n">
        <f aca="false">H19*H20</f>
        <v>844.867910246855</v>
      </c>
      <c r="I21" s="0" t="n">
        <f aca="false">I19*I20</f>
        <v>794.715933839508</v>
      </c>
      <c r="J21" s="0" t="n">
        <f aca="false">J19*J20</f>
        <v>752.080863070237</v>
      </c>
      <c r="K21" s="0" t="n">
        <f aca="false">K19*K20</f>
        <v>710.040468770792</v>
      </c>
      <c r="L21" s="0" t="n">
        <f aca="false">L19*L20</f>
        <v>664.649753872202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8991.76408785469</v>
      </c>
    </row>
    <row r="31" customFormat="false" ht="15" hidden="false" customHeight="false" outlineLevel="0" collapsed="false">
      <c r="A31" s="0" t="s">
        <v>137</v>
      </c>
      <c r="B31" s="0" t="n">
        <f aca="false">L19</f>
        <v>1647.15337332458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24119.0315379671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24707.3005998688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24119.0315379671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9732.37139598582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18724.1354838405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23094.0054838405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119.348865549563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-0.5942446945347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1300.76312909559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1397.96996579033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133.295806608405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13506.6576612616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76.6357333623765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11.1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7245.519</v>
      </c>
      <c r="C6" s="0" t="n">
        <f aca="false">B6*(1+C5/100)</f>
        <v>8049.771609</v>
      </c>
      <c r="D6" s="0" t="n">
        <f aca="false">C6*(1+D5/100)</f>
        <v>8693.75333772</v>
      </c>
      <c r="E6" s="0" t="n">
        <f aca="false">D6*(1+E5/100)</f>
        <v>9302.3160713604</v>
      </c>
      <c r="F6" s="0" t="n">
        <f aca="false">E6*(1+F5/100)</f>
        <v>9860.45503564203</v>
      </c>
      <c r="G6" s="0" t="n">
        <f aca="false">F6*(1+G5/100)</f>
        <v>10402.7800626023</v>
      </c>
      <c r="H6" s="0" t="n">
        <f aca="false">G6*(1+H5/100)</f>
        <v>10922.9190657325</v>
      </c>
      <c r="I6" s="0" t="n">
        <f aca="false">H6*(1+I5/100)</f>
        <v>11414.4504236904</v>
      </c>
      <c r="J6" s="0" t="n">
        <f aca="false">I6*(1+J5/100)</f>
        <v>11871.028440638</v>
      </c>
      <c r="K6" s="0" t="n">
        <f aca="false">J6*(1+K5/100)</f>
        <v>12286.5144360604</v>
      </c>
      <c r="L6" s="0" t="n">
        <f aca="false">K6*(1+L5/100)</f>
        <v>12655.1098691422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31.8</v>
      </c>
      <c r="D7" s="4" t="n">
        <f aca="false">Assumptions!D28</f>
        <v>31.8</v>
      </c>
      <c r="E7" s="4" t="n">
        <f aca="false">Assumptions!E28</f>
        <v>32</v>
      </c>
      <c r="F7" s="4" t="n">
        <f aca="false">Assumptions!F28</f>
        <v>32</v>
      </c>
      <c r="G7" s="4" t="n">
        <f aca="false">Assumptions!G28</f>
        <v>32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2559.827371662</v>
      </c>
      <c r="D8" s="0" t="n">
        <f aca="false">D6*D7/100</f>
        <v>2764.61356139496</v>
      </c>
      <c r="E8" s="0" t="n">
        <f aca="false">E6*E7/100</f>
        <v>2976.74114283533</v>
      </c>
      <c r="F8" s="0" t="n">
        <f aca="false">F6*F7/100</f>
        <v>3155.34561140545</v>
      </c>
      <c r="G8" s="0" t="n">
        <f aca="false">G6*G7/100</f>
        <v>3328.88962003275</v>
      </c>
      <c r="H8" s="0" t="n">
        <f aca="false">H6*H7/100</f>
        <v>3495.33410103439</v>
      </c>
      <c r="I8" s="0" t="n">
        <f aca="false">I6*I7/100</f>
        <v>3652.62413558093</v>
      </c>
      <c r="J8" s="0" t="n">
        <f aca="false">J6*J7/100</f>
        <v>3798.72910100417</v>
      </c>
      <c r="K8" s="0" t="n">
        <f aca="false">K6*K7/100</f>
        <v>3931.68461953932</v>
      </c>
      <c r="L8" s="0" t="n">
        <f aca="false">L6*L7/100</f>
        <v>4049.6351581255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2.3</v>
      </c>
      <c r="D9" s="4" t="n">
        <f aca="false">Assumptions!D29</f>
        <v>2.3</v>
      </c>
      <c r="E9" s="4" t="n">
        <f aca="false">Assumptions!E29</f>
        <v>2.3</v>
      </c>
      <c r="F9" s="4" t="n">
        <f aca="false">Assumptions!F29</f>
        <v>2.3</v>
      </c>
      <c r="G9" s="4" t="n">
        <f aca="false">Assumptions!G29</f>
        <v>2.3</v>
      </c>
      <c r="H9" s="4" t="n">
        <f aca="false">Assumptions!H29</f>
        <v>2.3</v>
      </c>
      <c r="I9" s="4" t="n">
        <f aca="false">Assumptions!I29</f>
        <v>2.3</v>
      </c>
      <c r="J9" s="4" t="n">
        <f aca="false">Assumptions!J29</f>
        <v>2.3</v>
      </c>
      <c r="K9" s="4" t="n">
        <f aca="false">Assumptions!K29</f>
        <v>2.3</v>
      </c>
      <c r="L9" s="4" t="n">
        <f aca="false">Assumptions!L29</f>
        <v>2.3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-185.144747007</v>
      </c>
      <c r="D10" s="0" t="n">
        <f aca="false">-D6*D9/100</f>
        <v>-199.95632676756</v>
      </c>
      <c r="E10" s="0" t="n">
        <f aca="false">-E6*E9/100</f>
        <v>-213.953269641289</v>
      </c>
      <c r="F10" s="0" t="n">
        <f aca="false">-F6*F9/100</f>
        <v>-226.790465819767</v>
      </c>
      <c r="G10" s="0" t="n">
        <f aca="false">-G6*G9/100</f>
        <v>-239.263941439854</v>
      </c>
      <c r="H10" s="0" t="n">
        <f aca="false">-H6*H9/100</f>
        <v>-251.227138511846</v>
      </c>
      <c r="I10" s="0" t="n">
        <f aca="false">-I6*I9/100</f>
        <v>-262.53235974488</v>
      </c>
      <c r="J10" s="0" t="n">
        <f aca="false">-J6*J9/100</f>
        <v>-273.033654134675</v>
      </c>
      <c r="K10" s="0" t="n">
        <f aca="false">-K6*K9/100</f>
        <v>-282.589832029388</v>
      </c>
      <c r="L10" s="0" t="n">
        <f aca="false">-L6*L9/100</f>
        <v>-291.06752699027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2374.682624655</v>
      </c>
      <c r="D11" s="0" t="n">
        <f aca="false">D8+D10+D24</f>
        <v>2564.6572346274</v>
      </c>
      <c r="E11" s="0" t="n">
        <f aca="false">E8+E10+E24</f>
        <v>2762.78787319404</v>
      </c>
      <c r="F11" s="0" t="n">
        <f aca="false">F8+F10+F24</f>
        <v>2928.55514558568</v>
      </c>
      <c r="G11" s="0" t="n">
        <f aca="false">G8+G10+G24</f>
        <v>3089.62567859289</v>
      </c>
      <c r="H11" s="0" t="n">
        <f aca="false">H8+H10+H24</f>
        <v>3244.10696252254</v>
      </c>
      <c r="I11" s="0" t="n">
        <f aca="false">I8+I10+I24</f>
        <v>3390.09177583605</v>
      </c>
      <c r="J11" s="0" t="n">
        <f aca="false">J8+J10+J24</f>
        <v>3525.6954468695</v>
      </c>
      <c r="K11" s="0" t="n">
        <f aca="false">K8+K10+K24</f>
        <v>3649.09478750993</v>
      </c>
      <c r="L11" s="0" t="n">
        <f aca="false">L8+L10+L24</f>
        <v>3758.56763113523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-201.244290225</v>
      </c>
      <c r="D12" s="4" t="n">
        <f aca="false">-D6*Assumptions!D31/100</f>
        <v>-226.03758678072</v>
      </c>
      <c r="E12" s="4" t="n">
        <f aca="false">-E6*Assumptions!E31/100</f>
        <v>-251.162533926731</v>
      </c>
      <c r="F12" s="4" t="n">
        <f aca="false">-F6*Assumptions!F31/100</f>
        <v>-276.092740997977</v>
      </c>
      <c r="G12" s="4" t="n">
        <f aca="false">-G6*Assumptions!G31/100</f>
        <v>-291.277841752865</v>
      </c>
      <c r="H12" s="4" t="n">
        <f aca="false">-H6*Assumptions!H31/100</f>
        <v>-305.841733840509</v>
      </c>
      <c r="I12" s="4" t="n">
        <f aca="false">-I6*Assumptions!I31/100</f>
        <v>-319.604611863332</v>
      </c>
      <c r="J12" s="4" t="n">
        <f aca="false">-J6*Assumptions!J31/100</f>
        <v>-332.388796337865</v>
      </c>
      <c r="K12" s="4" t="n">
        <f aca="false">-K6*Assumptions!K31/100</f>
        <v>-344.02240420969</v>
      </c>
      <c r="L12" s="4" t="n">
        <f aca="false">-L6*Assumptions!L31/100</f>
        <v>-354.343076335981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2173.43833443</v>
      </c>
      <c r="D13" s="0" t="n">
        <f aca="false">D11+D12</f>
        <v>2338.61964784668</v>
      </c>
      <c r="E13" s="0" t="n">
        <f aca="false">E11+E12</f>
        <v>2511.62533926731</v>
      </c>
      <c r="F13" s="0" t="n">
        <f aca="false">F11+F12</f>
        <v>2652.46240458771</v>
      </c>
      <c r="G13" s="0" t="n">
        <f aca="false">G11+G12</f>
        <v>2798.34783684003</v>
      </c>
      <c r="H13" s="0" t="n">
        <f aca="false">H11+H12</f>
        <v>2938.26522868203</v>
      </c>
      <c r="I13" s="0" t="n">
        <f aca="false">I11+I12</f>
        <v>3070.48716397272</v>
      </c>
      <c r="J13" s="0" t="n">
        <f aca="false">J11+J12</f>
        <v>3193.30665053163</v>
      </c>
      <c r="K13" s="0" t="n">
        <f aca="false">K11+K12</f>
        <v>3305.07238330024</v>
      </c>
      <c r="L13" s="0" t="n">
        <f aca="false">L11+L12</f>
        <v>3404.22455479925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17.5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1803.9538175769</v>
      </c>
      <c r="D15" s="0" t="n">
        <f aca="false">D13-MAX(0,D13)*D14/100</f>
        <v>1929.36120947351</v>
      </c>
      <c r="E15" s="0" t="n">
        <f aca="false">E13-MAX(0,E13)*E14/100</f>
        <v>2059.53277819919</v>
      </c>
      <c r="F15" s="0" t="n">
        <f aca="false">F13-MAX(0,F13)*F14/100</f>
        <v>2175.01917176192</v>
      </c>
      <c r="G15" s="0" t="n">
        <f aca="false">G13-MAX(0,G13)*G14/100</f>
        <v>2294.64522620882</v>
      </c>
      <c r="H15" s="0" t="n">
        <f aca="false">H13-MAX(0,H13)*H14/100</f>
        <v>2409.37748751927</v>
      </c>
      <c r="I15" s="0" t="n">
        <f aca="false">I13-MAX(0,I13)*I14/100</f>
        <v>2517.79947445763</v>
      </c>
      <c r="J15" s="0" t="n">
        <f aca="false">J13-MAX(0,J13)*J14/100</f>
        <v>2618.51145343594</v>
      </c>
      <c r="K15" s="0" t="n">
        <f aca="false">K13-MAX(0,K13)*K14/100</f>
        <v>2710.1593543062</v>
      </c>
      <c r="L15" s="0" t="n">
        <f aca="false">L13-MAX(0,L13)*L14/100</f>
        <v>2791.46413493538</v>
      </c>
    </row>
    <row r="16" customFormat="false" ht="15" hidden="false" customHeight="false" outlineLevel="0" collapsed="false">
      <c r="A16" s="0" t="s">
        <v>128</v>
      </c>
      <c r="C16" s="0" t="n">
        <f aca="false">-C12</f>
        <v>201.244290225</v>
      </c>
      <c r="D16" s="0" t="n">
        <f aca="false">-D12</f>
        <v>226.03758678072</v>
      </c>
      <c r="E16" s="0" t="n">
        <f aca="false">-E12</f>
        <v>251.162533926731</v>
      </c>
      <c r="F16" s="0" t="n">
        <f aca="false">-F12</f>
        <v>276.092740997977</v>
      </c>
      <c r="G16" s="0" t="n">
        <f aca="false">-G12</f>
        <v>291.277841752865</v>
      </c>
      <c r="H16" s="0" t="n">
        <f aca="false">-H12</f>
        <v>305.841733840509</v>
      </c>
      <c r="I16" s="0" t="n">
        <f aca="false">-I12</f>
        <v>319.604611863332</v>
      </c>
      <c r="J16" s="0" t="n">
        <f aca="false">-J12</f>
        <v>332.388796337865</v>
      </c>
      <c r="K16" s="0" t="n">
        <f aca="false">-K12</f>
        <v>344.02240420969</v>
      </c>
      <c r="L16" s="0" t="n">
        <f aca="false">-L12</f>
        <v>354.343076335981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-362.239722405</v>
      </c>
      <c r="D17" s="4" t="n">
        <f aca="false">-D6*Assumptions!D32/100</f>
        <v>-347.7501335088</v>
      </c>
      <c r="E17" s="4" t="n">
        <f aca="false">-E6*Assumptions!E32/100</f>
        <v>-344.185694640335</v>
      </c>
      <c r="F17" s="4" t="n">
        <f aca="false">-F6*Assumptions!F32/100</f>
        <v>-345.115926247471</v>
      </c>
      <c r="G17" s="4" t="n">
        <f aca="false">-G6*Assumptions!G32/100</f>
        <v>-353.69452212848</v>
      </c>
      <c r="H17" s="4" t="n">
        <f aca="false">-H6*Assumptions!H32/100</f>
        <v>-360.456329169171</v>
      </c>
      <c r="I17" s="4" t="n">
        <f aca="false">-I6*Assumptions!I32/100</f>
        <v>-376.676863981784</v>
      </c>
      <c r="J17" s="4" t="n">
        <f aca="false">-J6*Assumptions!J32/100</f>
        <v>-379.872910100417</v>
      </c>
      <c r="K17" s="4" t="n">
        <f aca="false">-K6*Assumptions!K32/100</f>
        <v>-393.168461953932</v>
      </c>
      <c r="L17" s="4" t="n">
        <f aca="false">-L6*Assumptions!L32/100</f>
        <v>-404.96351581255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-241.2757827</v>
      </c>
      <c r="D18" s="4" t="n">
        <f aca="false">(D6-C6)*Assumptions!$B$37/100</f>
        <v>-193.194518616</v>
      </c>
      <c r="E18" s="4" t="n">
        <f aca="false">(E6-D6)*Assumptions!$B$37/100</f>
        <v>-182.56882009212</v>
      </c>
      <c r="F18" s="4" t="n">
        <f aca="false">(F6-E6)*Assumptions!$B$37/100</f>
        <v>-167.441689284487</v>
      </c>
      <c r="G18" s="4" t="n">
        <f aca="false">(G6-F6)*Assumptions!$B$37/100</f>
        <v>-162.697508088093</v>
      </c>
      <c r="H18" s="4" t="n">
        <f aca="false">(H6-G6)*Assumptions!$B$37/100</f>
        <v>-156.041700939035</v>
      </c>
      <c r="I18" s="4" t="n">
        <f aca="false">(I6-H6)*Assumptions!$B$37/100</f>
        <v>-147.459407387388</v>
      </c>
      <c r="J18" s="4" t="n">
        <f aca="false">(J6-I6)*Assumptions!$B$37/100</f>
        <v>-136.973405084285</v>
      </c>
      <c r="K18" s="4" t="n">
        <f aca="false">(K6-J6)*Assumptions!$B$37/100</f>
        <v>-124.645798626699</v>
      </c>
      <c r="L18" s="4" t="n">
        <f aca="false">(L6-K6)*Assumptions!$B$37/100</f>
        <v>-110.578629924543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1401.6826026969</v>
      </c>
      <c r="D19" s="0" t="n">
        <f aca="false">D15+D16+D17+D18</f>
        <v>1614.45414412943</v>
      </c>
      <c r="E19" s="0" t="n">
        <f aca="false">E15+E16+E17+E18</f>
        <v>1783.94079739347</v>
      </c>
      <c r="F19" s="0" t="n">
        <f aca="false">F15+F16+F17+F18</f>
        <v>1938.55429722794</v>
      </c>
      <c r="G19" s="0" t="n">
        <f aca="false">G15+G16+G17+G18</f>
        <v>2069.53103774512</v>
      </c>
      <c r="H19" s="0" t="n">
        <f aca="false">H15+H16+H17+H18</f>
        <v>2198.72119125157</v>
      </c>
      <c r="I19" s="0" t="n">
        <f aca="false">I15+I16+I17+I18</f>
        <v>2313.26781495179</v>
      </c>
      <c r="J19" s="0" t="n">
        <f aca="false">J15+J16+J17+J18</f>
        <v>2434.0539345891</v>
      </c>
      <c r="K19" s="0" t="n">
        <f aca="false">K15+K16+K17+K18</f>
        <v>2536.36749793525</v>
      </c>
      <c r="L19" s="0" t="n">
        <f aca="false">L15+L16+L17+L18</f>
        <v>2630.26506553427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1280.07543625288</v>
      </c>
      <c r="D21" s="0" t="n">
        <f aca="false">D19*D20</f>
        <v>1346.47246231683</v>
      </c>
      <c r="E21" s="0" t="n">
        <f aca="false">E19*E20</f>
        <v>1358.74537894114</v>
      </c>
      <c r="F21" s="0" t="n">
        <f aca="false">F19*F20</f>
        <v>1348.40853567399</v>
      </c>
      <c r="G21" s="0" t="n">
        <f aca="false">G19*G20</f>
        <v>1314.62336933518</v>
      </c>
      <c r="H21" s="0" t="n">
        <f aca="false">H19*H20</f>
        <v>1275.5146382872</v>
      </c>
      <c r="I21" s="0" t="n">
        <f aca="false">I19*I20</f>
        <v>1225.53884469757</v>
      </c>
      <c r="J21" s="0" t="n">
        <f aca="false">J19*J20</f>
        <v>1177.65273176325</v>
      </c>
      <c r="K21" s="0" t="n">
        <f aca="false">K19*K20</f>
        <v>1120.68899368087</v>
      </c>
      <c r="L21" s="0" t="n">
        <f aca="false">L19*L20</f>
        <v>1061.34926882823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12509.0696597771</v>
      </c>
    </row>
    <row r="31" customFormat="false" ht="15" hidden="false" customHeight="false" outlineLevel="0" collapsed="false">
      <c r="A31" s="0" t="s">
        <v>137</v>
      </c>
      <c r="B31" s="0" t="n">
        <f aca="false">L19</f>
        <v>2630.26506553427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41679.58488462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47344.7711796168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41679.58488462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16818.3037983551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29327.3734581322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33697.2434581322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174.145961023939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-0.407948728415248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1467.78173802075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1861.12881127588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191.349633113327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22576.4418125025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101.743488204963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12.5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7245.519</v>
      </c>
      <c r="C6" s="0" t="n">
        <f aca="false">B6*(1+C5/100)</f>
        <v>8151.208875</v>
      </c>
      <c r="D6" s="0" t="n">
        <f aca="false">C6*(1+D5/100)</f>
        <v>9047.84185125</v>
      </c>
      <c r="E6" s="0" t="n">
        <f aca="false">D6*(1+E5/100)</f>
        <v>9952.626036375</v>
      </c>
      <c r="F6" s="0" t="n">
        <f aca="false">E6*(1+F5/100)</f>
        <v>10848.3623796488</v>
      </c>
      <c r="G6" s="0" t="n">
        <f aca="false">F6*(1+G5/100)</f>
        <v>11716.2313700207</v>
      </c>
      <c r="H6" s="0" t="n">
        <f aca="false">G6*(1+H5/100)</f>
        <v>12536.3675659221</v>
      </c>
      <c r="I6" s="0" t="n">
        <f aca="false">H6*(1+I5/100)</f>
        <v>13288.5496198774</v>
      </c>
      <c r="J6" s="0" t="n">
        <f aca="false">I6*(1+J5/100)</f>
        <v>13952.9771008713</v>
      </c>
      <c r="K6" s="0" t="n">
        <f aca="false">J6*(1+K5/100)</f>
        <v>14511.0961849062</v>
      </c>
      <c r="L6" s="0" t="n">
        <f aca="false">K6*(1+L5/100)</f>
        <v>15018.9845513779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32.2</v>
      </c>
      <c r="D7" s="4" t="n">
        <f aca="false">Assumptions!D42</f>
        <v>32.8</v>
      </c>
      <c r="E7" s="4" t="n">
        <f aca="false">Assumptions!E42</f>
        <v>33.3</v>
      </c>
      <c r="F7" s="4" t="n">
        <f aca="false">Assumptions!F42</f>
        <v>33.8</v>
      </c>
      <c r="G7" s="4" t="n">
        <f aca="false">Assumptions!G42</f>
        <v>34</v>
      </c>
      <c r="H7" s="4" t="n">
        <f aca="false">Assumptions!H42</f>
        <v>34</v>
      </c>
      <c r="I7" s="4" t="n">
        <f aca="false">Assumptions!I42</f>
        <v>34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2624.68925775</v>
      </c>
      <c r="D8" s="0" t="n">
        <f aca="false">D6*D7/100</f>
        <v>2967.69212721</v>
      </c>
      <c r="E8" s="0" t="n">
        <f aca="false">E6*E7/100</f>
        <v>3314.22447011288</v>
      </c>
      <c r="F8" s="0" t="n">
        <f aca="false">F6*F7/100</f>
        <v>3666.74648432128</v>
      </c>
      <c r="G8" s="0" t="n">
        <f aca="false">G6*G7/100</f>
        <v>3983.51866580702</v>
      </c>
      <c r="H8" s="0" t="n">
        <f aca="false">H6*H7/100</f>
        <v>4262.36497241351</v>
      </c>
      <c r="I8" s="0" t="n">
        <f aca="false">I6*I7/100</f>
        <v>4518.10687075833</v>
      </c>
      <c r="J8" s="0" t="n">
        <f aca="false">J6*J7/100</f>
        <v>4744.01221429624</v>
      </c>
      <c r="K8" s="0" t="n">
        <f aca="false">K6*K7/100</f>
        <v>4933.77270286809</v>
      </c>
      <c r="L8" s="0" t="n">
        <f aca="false">L6*L7/100</f>
        <v>5106.45474746847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2.3</v>
      </c>
      <c r="D9" s="4" t="n">
        <f aca="false">Assumptions!D43</f>
        <v>2.3</v>
      </c>
      <c r="E9" s="4" t="n">
        <f aca="false">Assumptions!E43</f>
        <v>2.3</v>
      </c>
      <c r="F9" s="4" t="n">
        <f aca="false">Assumptions!F43</f>
        <v>2.3</v>
      </c>
      <c r="G9" s="4" t="n">
        <f aca="false">Assumptions!G43</f>
        <v>2.3</v>
      </c>
      <c r="H9" s="4" t="n">
        <f aca="false">Assumptions!H43</f>
        <v>2.3</v>
      </c>
      <c r="I9" s="4" t="n">
        <f aca="false">Assumptions!I43</f>
        <v>2.3</v>
      </c>
      <c r="J9" s="4" t="n">
        <f aca="false">Assumptions!J43</f>
        <v>2.3</v>
      </c>
      <c r="K9" s="4" t="n">
        <f aca="false">Assumptions!K43</f>
        <v>2.3</v>
      </c>
      <c r="L9" s="4" t="n">
        <f aca="false">Assumptions!L43</f>
        <v>2.3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-187.477804125</v>
      </c>
      <c r="D10" s="0" t="n">
        <f aca="false">-D6*D9/100</f>
        <v>-208.10036257875</v>
      </c>
      <c r="E10" s="0" t="n">
        <f aca="false">-E6*E9/100</f>
        <v>-228.910398836625</v>
      </c>
      <c r="F10" s="0" t="n">
        <f aca="false">-F6*F9/100</f>
        <v>-249.512334731921</v>
      </c>
      <c r="G10" s="0" t="n">
        <f aca="false">-G6*G9/100</f>
        <v>-269.473321510475</v>
      </c>
      <c r="H10" s="0" t="n">
        <f aca="false">-H6*H9/100</f>
        <v>-288.336454016208</v>
      </c>
      <c r="I10" s="0" t="n">
        <f aca="false">-I6*I9/100</f>
        <v>-305.636641257181</v>
      </c>
      <c r="J10" s="0" t="n">
        <f aca="false">-J6*J9/100</f>
        <v>-320.91847332004</v>
      </c>
      <c r="K10" s="0" t="n">
        <f aca="false">-K6*K9/100</f>
        <v>-333.755212252841</v>
      </c>
      <c r="L10" s="0" t="n">
        <f aca="false">-L6*L9/100</f>
        <v>-345.436644681691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2437.211453625</v>
      </c>
      <c r="D11" s="0" t="n">
        <f aca="false">D8+D10+D24</f>
        <v>2759.59176463125</v>
      </c>
      <c r="E11" s="0" t="n">
        <f aca="false">E8+E10+E24</f>
        <v>3085.31407127625</v>
      </c>
      <c r="F11" s="0" t="n">
        <f aca="false">F8+F10+F24</f>
        <v>3417.23414958936</v>
      </c>
      <c r="G11" s="0" t="n">
        <f aca="false">G8+G10+G24</f>
        <v>3714.04534429655</v>
      </c>
      <c r="H11" s="0" t="n">
        <f aca="false">H8+H10+H24</f>
        <v>3974.02851839731</v>
      </c>
      <c r="I11" s="0" t="n">
        <f aca="false">I8+I10+I24</f>
        <v>4212.47022950115</v>
      </c>
      <c r="J11" s="0" t="n">
        <f aca="false">J8+J10+J24</f>
        <v>4423.0937409762</v>
      </c>
      <c r="K11" s="0" t="n">
        <f aca="false">K8+K10+K24</f>
        <v>4600.01749061525</v>
      </c>
      <c r="L11" s="0" t="n">
        <f aca="false">L8+L10+L24</f>
        <v>4761.01810278678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-203.780221875</v>
      </c>
      <c r="D12" s="4" t="n">
        <f aca="false">-D6*Assumptions!D45/100</f>
        <v>-235.2438881325</v>
      </c>
      <c r="E12" s="4" t="n">
        <f aca="false">-E6*Assumptions!E45/100</f>
        <v>-268.720902982125</v>
      </c>
      <c r="F12" s="4" t="n">
        <f aca="false">-F6*Assumptions!F45/100</f>
        <v>-303.754146630165</v>
      </c>
      <c r="G12" s="4" t="n">
        <f aca="false">-G6*Assumptions!G45/100</f>
        <v>-328.054478360578</v>
      </c>
      <c r="H12" s="4" t="n">
        <f aca="false">-H6*Assumptions!H45/100</f>
        <v>-351.018291845819</v>
      </c>
      <c r="I12" s="4" t="n">
        <f aca="false">-I6*Assumptions!I45/100</f>
        <v>-372.079389356568</v>
      </c>
      <c r="J12" s="4" t="n">
        <f aca="false">-J6*Assumptions!J45/100</f>
        <v>-390.683358824396</v>
      </c>
      <c r="K12" s="4" t="n">
        <f aca="false">-K6*Assumptions!K45/100</f>
        <v>-406.310693177372</v>
      </c>
      <c r="L12" s="4" t="n">
        <f aca="false">-L6*Assumptions!L45/100</f>
        <v>-420.53156743858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2233.43123175</v>
      </c>
      <c r="D13" s="0" t="n">
        <f aca="false">D11+D12</f>
        <v>2524.34787649875</v>
      </c>
      <c r="E13" s="0" t="n">
        <f aca="false">E11+E12</f>
        <v>2816.59316829413</v>
      </c>
      <c r="F13" s="0" t="n">
        <f aca="false">F11+F12</f>
        <v>3113.48000295919</v>
      </c>
      <c r="G13" s="0" t="n">
        <f aca="false">G11+G12</f>
        <v>3385.99086593597</v>
      </c>
      <c r="H13" s="0" t="n">
        <f aca="false">H11+H12</f>
        <v>3623.01022655149</v>
      </c>
      <c r="I13" s="0" t="n">
        <f aca="false">I11+I12</f>
        <v>3840.39084014458</v>
      </c>
      <c r="J13" s="0" t="n">
        <f aca="false">J11+J12</f>
        <v>4032.41038215181</v>
      </c>
      <c r="K13" s="0" t="n">
        <f aca="false">K11+K12</f>
        <v>4193.70679743788</v>
      </c>
      <c r="L13" s="0" t="n">
        <f aca="false">L11+L12</f>
        <v>4340.4865353482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17.5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1853.7479223525</v>
      </c>
      <c r="D15" s="0" t="n">
        <f aca="false">D13-MAX(0,D13)*D14/100</f>
        <v>2082.58699811147</v>
      </c>
      <c r="E15" s="0" t="n">
        <f aca="false">E13-MAX(0,E13)*E14/100</f>
        <v>2309.60639800118</v>
      </c>
      <c r="F15" s="0" t="n">
        <f aca="false">F13-MAX(0,F13)*F14/100</f>
        <v>2553.05360242654</v>
      </c>
      <c r="G15" s="0" t="n">
        <f aca="false">G13-MAX(0,G13)*G14/100</f>
        <v>2776.51251006749</v>
      </c>
      <c r="H15" s="0" t="n">
        <f aca="false">H13-MAX(0,H13)*H14/100</f>
        <v>2970.86838577222</v>
      </c>
      <c r="I15" s="0" t="n">
        <f aca="false">I13-MAX(0,I13)*I14/100</f>
        <v>3149.12048891855</v>
      </c>
      <c r="J15" s="0" t="n">
        <f aca="false">J13-MAX(0,J13)*J14/100</f>
        <v>3306.57651336448</v>
      </c>
      <c r="K15" s="0" t="n">
        <f aca="false">K13-MAX(0,K13)*K14/100</f>
        <v>3438.83957389906</v>
      </c>
      <c r="L15" s="0" t="n">
        <f aca="false">L13-MAX(0,L13)*L14/100</f>
        <v>3559.19895898553</v>
      </c>
    </row>
    <row r="16" customFormat="false" ht="15" hidden="false" customHeight="false" outlineLevel="0" collapsed="false">
      <c r="A16" s="0" t="s">
        <v>128</v>
      </c>
      <c r="C16" s="0" t="n">
        <f aca="false">-C12</f>
        <v>203.780221875</v>
      </c>
      <c r="D16" s="0" t="n">
        <f aca="false">-D12</f>
        <v>235.2438881325</v>
      </c>
      <c r="E16" s="0" t="n">
        <f aca="false">-E12</f>
        <v>268.720902982125</v>
      </c>
      <c r="F16" s="0" t="n">
        <f aca="false">-F12</f>
        <v>303.754146630165</v>
      </c>
      <c r="G16" s="0" t="n">
        <f aca="false">-G12</f>
        <v>328.054478360578</v>
      </c>
      <c r="H16" s="0" t="n">
        <f aca="false">-H12</f>
        <v>351.018291845819</v>
      </c>
      <c r="I16" s="0" t="n">
        <f aca="false">-I12</f>
        <v>372.079389356568</v>
      </c>
      <c r="J16" s="0" t="n">
        <f aca="false">-J12</f>
        <v>390.683358824396</v>
      </c>
      <c r="K16" s="0" t="n">
        <f aca="false">-K12</f>
        <v>406.310693177372</v>
      </c>
      <c r="L16" s="0" t="n">
        <f aca="false">-L12</f>
        <v>420.53156743858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-366.804399375</v>
      </c>
      <c r="D17" s="4" t="n">
        <f aca="false">-D6*Assumptions!D46/100</f>
        <v>-361.91367405</v>
      </c>
      <c r="E17" s="4" t="n">
        <f aca="false">-E6*Assumptions!E46/100</f>
        <v>-368.247163345875</v>
      </c>
      <c r="F17" s="4" t="n">
        <f aca="false">-F6*Assumptions!F46/100</f>
        <v>-379.692683287706</v>
      </c>
      <c r="G17" s="4" t="n">
        <f aca="false">-G6*Assumptions!G46/100</f>
        <v>-398.351866580702</v>
      </c>
      <c r="H17" s="4" t="n">
        <f aca="false">-H6*Assumptions!H46/100</f>
        <v>-413.700129675429</v>
      </c>
      <c r="I17" s="4" t="n">
        <f aca="false">-I6*Assumptions!I46/100</f>
        <v>-438.522137455955</v>
      </c>
      <c r="J17" s="4" t="n">
        <f aca="false">-J6*Assumptions!J46/100</f>
        <v>-446.495267227882</v>
      </c>
      <c r="K17" s="4" t="n">
        <f aca="false">-K6*Assumptions!K46/100</f>
        <v>-464.355077916997</v>
      </c>
      <c r="L17" s="4" t="n">
        <f aca="false">-L6*Assumptions!L46/100</f>
        <v>-480.607505644092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-271.7069625</v>
      </c>
      <c r="D18" s="4" t="n">
        <f aca="false">(D6-C6)*Assumptions!$B$51/100</f>
        <v>-268.989892875</v>
      </c>
      <c r="E18" s="4" t="n">
        <f aca="false">(E6-D6)*Assumptions!$B$51/100</f>
        <v>-271.4352555375</v>
      </c>
      <c r="F18" s="4" t="n">
        <f aca="false">(F6-E6)*Assumptions!$B$51/100</f>
        <v>-268.720902982125</v>
      </c>
      <c r="G18" s="4" t="n">
        <f aca="false">(G6-F6)*Assumptions!$B$51/100</f>
        <v>-260.36069711157</v>
      </c>
      <c r="H18" s="4" t="n">
        <f aca="false">(H6-G6)*Assumptions!$B$51/100</f>
        <v>-246.040858770434</v>
      </c>
      <c r="I18" s="4" t="n">
        <f aca="false">(I6-H6)*Assumptions!$B$51/100</f>
        <v>-225.654616186598</v>
      </c>
      <c r="J18" s="4" t="n">
        <f aca="false">(J6-I6)*Assumptions!$B$51/100</f>
        <v>-199.328244298162</v>
      </c>
      <c r="K18" s="4" t="n">
        <f aca="false">(K6-J6)*Assumptions!$B$51/100</f>
        <v>-167.435725210456</v>
      </c>
      <c r="L18" s="4" t="n">
        <f aca="false">(L6-K6)*Assumptions!$B$51/100</f>
        <v>-152.366509941514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1419.0167823525</v>
      </c>
      <c r="D19" s="0" t="n">
        <f aca="false">D15+D16+D17+D18</f>
        <v>1686.92731931897</v>
      </c>
      <c r="E19" s="0" t="n">
        <f aca="false">E15+E16+E17+E18</f>
        <v>1938.64488209993</v>
      </c>
      <c r="F19" s="0" t="n">
        <f aca="false">F15+F16+F17+F18</f>
        <v>2208.39416278687</v>
      </c>
      <c r="G19" s="0" t="n">
        <f aca="false">G15+G16+G17+G18</f>
        <v>2445.8544247358</v>
      </c>
      <c r="H19" s="0" t="n">
        <f aca="false">H15+H16+H17+H18</f>
        <v>2662.14568917218</v>
      </c>
      <c r="I19" s="0" t="n">
        <f aca="false">I15+I16+I17+I18</f>
        <v>2857.02312463257</v>
      </c>
      <c r="J19" s="0" t="n">
        <f aca="false">J15+J16+J17+J18</f>
        <v>3051.43636066283</v>
      </c>
      <c r="K19" s="0" t="n">
        <f aca="false">K15+K16+K17+K18</f>
        <v>3213.35946394898</v>
      </c>
      <c r="L19" s="0" t="n">
        <f aca="false">L15+L16+L17+L18</f>
        <v>3346.7565108385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1295.90573730822</v>
      </c>
      <c r="D21" s="0" t="n">
        <f aca="false">D19*D20</f>
        <v>1406.91588525591</v>
      </c>
      <c r="E21" s="0" t="n">
        <f aca="false">E19*E20</f>
        <v>1476.57634087965</v>
      </c>
      <c r="F21" s="0" t="n">
        <f aca="false">F19*F20</f>
        <v>1536.10220951387</v>
      </c>
      <c r="G21" s="0" t="n">
        <f aca="false">G19*G20</f>
        <v>1553.67439584423</v>
      </c>
      <c r="H21" s="0" t="n">
        <f aca="false">H19*H20</f>
        <v>1544.35487741828</v>
      </c>
      <c r="I21" s="0" t="n">
        <f aca="false">I19*I20</f>
        <v>1513.61325169753</v>
      </c>
      <c r="J21" s="0" t="n">
        <f aca="false">J19*J20</f>
        <v>1476.35691833712</v>
      </c>
      <c r="K21" s="0" t="n">
        <f aca="false">K19*K20</f>
        <v>1419.81656322257</v>
      </c>
      <c r="L21" s="0" t="n">
        <f aca="false">L19*L20</f>
        <v>1350.46373168594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14573.7799111633</v>
      </c>
    </row>
    <row r="31" customFormat="false" ht="15" hidden="false" customHeight="false" outlineLevel="0" collapsed="false">
      <c r="A31" s="0" t="s">
        <v>137</v>
      </c>
      <c r="B31" s="0" t="n">
        <f aca="false">L19</f>
        <v>3346.7565108385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57731.5498119641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60241.617195093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57731.5498119641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23295.4993715824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37869.2792827458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42239.1492827458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218.290177171813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-0.257869799511074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1635.16898502382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2404.45312141568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239.166777205092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30120.8085975465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119.076658153316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119.348865549563</v>
      </c>
      <c r="C4" s="0" t="n">
        <f aca="false">B4/Assumptions!$B$2-1</f>
        <v>-0.5942446945347</v>
      </c>
      <c r="D4" s="4" t="n">
        <f aca="false">Assumptions!$B$24</f>
        <v>0.25</v>
      </c>
      <c r="E4" s="4" t="n">
        <f aca="false">DCF_Bear!$B$43</f>
        <v>133.295806608405</v>
      </c>
      <c r="F4" s="4" t="n">
        <f aca="false">DCF_Bear!$B$47</f>
        <v>76.6357333623765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174.145961023939</v>
      </c>
      <c r="C5" s="0" t="n">
        <f aca="false">B5/Assumptions!$B$2-1</f>
        <v>-0.407948728415248</v>
      </c>
      <c r="D5" s="4" t="n">
        <f aca="false">Assumptions!$B$38</f>
        <v>0.5</v>
      </c>
      <c r="E5" s="4" t="n">
        <f aca="false">DCF_Base!$B$43</f>
        <v>191.349633113327</v>
      </c>
      <c r="F5" s="4" t="n">
        <f aca="false">DCF_Base!$B$47</f>
        <v>101.743488204963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218.290177171813</v>
      </c>
      <c r="C6" s="0" t="n">
        <f aca="false">B6/Assumptions!$B$2-1</f>
        <v>-0.257869799511074</v>
      </c>
      <c r="D6" s="4" t="n">
        <f aca="false">Assumptions!$B$52</f>
        <v>0.25</v>
      </c>
      <c r="E6" s="4" t="n">
        <f aca="false">DCF_Bull!$B$43</f>
        <v>239.166777205092</v>
      </c>
      <c r="F6" s="4" t="n">
        <f aca="false">DCF_Bull!$B$47</f>
        <v>119.076658153316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171.482741192314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188.790462510038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-0.715274656533099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708.685196369994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99.7998419814046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187.392966322837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174.145961023939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162.804579093503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144.407936408435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130.136536495819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101.743488204963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212.683483420889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212.683483420889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212.683483420889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212.683483420889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212.683483420889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184.819595020971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193.182483417189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198.693511254327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198.693511254327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198.693511254327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161.825786645174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167.545867606743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174.145961023939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181.846070010667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185.959826866591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144.306121391082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148.375416036016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152.987283300275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158.257988745142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164.339571950758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130.527958030203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133.512300302495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136.847741665645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140.600113199189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144.852800937205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2026-09-28T08:54:53Z</dcterms:created>
  <dc:creator>openpyxl</dc:creator>
  <dc:description/>
  <dc:language>en-NZ</dc:language>
  <cp:lastModifiedBy/>
  <dcterms:modified xsi:type="dcterms:W3CDTF">2026-09-28T08:54:53Z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