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<sst xmlns="http://schemas.openxmlformats.org/spreadsheetml/2006/main" count="361" uniqueCount="168">
  <si>
    <t xml:space="preserve">Ticker</t>
  </si>
  <si>
    <t xml:space="preserve">0322.HK</t>
  </si>
  <si>
    <t xml:space="preserve">Company</t>
  </si>
  <si>
    <t xml:space="preserve">Tingyi (Cayman Islands) Holding Corp. (Master Kong)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</si>
  <si>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</si>
  <si>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</si>
  <si>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</si>
  <si>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</si>
  <si>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(HKEX; last trading session before valuation date)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</si>
  <si>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</si>
  <si>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</si>
  <si>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</si>
  <si>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</si>
  <si>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</si>
  <si>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RMB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</si>
  <si>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</si>
  <si>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</si>
  <si>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</si>
  <si>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</si>
  <si>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</si>
  <si>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</si>
  <si>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</si>
  <si>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2026-10-10T22:17:54Z</t>
  </si>
  <si>
    <t xml:space="preserve">Drivers file</t>
  </si>
  <si>
    <t xml:space="preserve">0322.HK_Drivers.json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</si>
  <si>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</si>
  <si>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</si>
  <si>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</si>
  <si>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mature, cash-generative Chinese staple valued on consolidated owner FCF with NCI leakage folded into the tax rate, discounted at an RMB-built 8% and converted to HKD. Terminal value capped at 15x FCF (structurally slow-growth). The investment case is yield plus modest growth; upside requires margin to hold, not grow.
key_risks_to_valuation: Margin mean-reversion: gross margin +4.4pp since FY2023 is largely input-cost driven; each 1pp of EBITDA margin is ~RMB0.8bn of pre-tax flow; Revenue stagnation in a 'stock competition' market with traditional-channel noodle volumes falling double digits; PepsiCo China licence economics/renewal (large share of beverage revenue); RMB/HKD rate: values are computed in RMB and converted at 1.1721; a 5% RMB move moves the HKD value 5%; Cash-tax leakage: PRC dividend withholding on upstreaming is inside the 36.5% combined rate</t>
  </si>
  <si>
    <t xml:space="preserve">Data sources</t>
  </si>
  <si>
    <t xml:space="preserve">price: Yahoo Finance chart API at inputs.price_as_of; 52-week range 9.42-14.14 HKD
fx: Yahoo CNYHKD=X, cross-checked via HKD=X and CNY=X (see inputs.fx_note)
financials: 0322.HK_Metrics.csv (core_metrics) plus 0322.HK_Annual_FY2025.txt (income statement p.227, balance sheet p.229-230, cash flow p.233-234, segment note 6, note 16 leases, note 37 cash flow) and 0322.HK_HalfYear_H1-2026.txt (balance sheet, cash flow, dividend note 7)
qualitative: 0322.HK_Analysis.json (bull/bear cases, risks, growth drivers)</t>
  </si>
  <si>
    <t xml:space="preserve">Scenario narrative: bear</t>
  </si>
  <si>
    <t xml:space="preserve">Low-price challengers (Baixiang) and snack-discount formats take share and block price increases, as both Tingyi and Uni-President's public denials of price hikes already suggest. Raw materials normalise against the company, EBITDA margin falls to 11.5%, and revenue shrinks for two years before stagnating at ~1%. PepsiCo licence economics are a further tail risk not explicitly modelled.</t>
  </si>
  <si>
    <t xml:space="preserve">Scenario narrative: base</t>
  </si>
  <si>
    <t xml:space="preserve">Master Kong stays the #1 noodle and #1-2 RTD beverage brand in a zero-sum ('stock competition') Chinese F&amp;B market. Revenue grows 1.5-3% a year on price/mix and new channels while traditional-channel noodle volumes keep shrinking (industry -14.5% H1 2026). The FY2023-25 gross-margin recovery (30.4% -&gt; 34.8%) is mostly held, giving EBITDA of ~13.5%. Payout stays ~100% of profit; the business is a ~7% owner-FCF yield bond with low growth.</t>
  </si>
  <si>
    <t xml:space="preserve">Scenario narrative: bull</t>
  </si>
  <si>
    <t xml:space="preserve">The new CEO's efficiency agenda, sugar-free/functional tea and premium non-fried noodles, and the PepsiCo China portfolio (Starbucks RTD coffee, Gatorade) restore 4-5% revenue growth while instant retail and membership channels scale. Input costs stay benign and EBITDA margin reaches ~14.7%, a level near the company's own pre-2021 peak economics.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</si>
  <si>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</si>
  <si>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</si>
  <si>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</si>
  <si>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</si>
  <si>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</si>
  <si>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</si>
  <si>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</si>
  <si>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</si>
  <si>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</si>
  <si>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</si>
  <si>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</si>
  <si>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</si>
  <si>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</si>
  <si>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</si>
  <si>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</si>
  <si>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</si>
  <si>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</si>
  <si>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</si>
  <si>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</si>
  <si>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</si>
  <si>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</si>
  <si>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</si>
  <si>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</si>
  <si>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</si>
  <si>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</si>
  <si>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</si>
  <si>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</si>
  <si>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TimeDeposits</t>
  </si>
  <si>
    <t xml:space="preserve">FY2016</t>
  </si>
  <si>
    <t xml:space="preserve">CNY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</si>
  <si>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</si>
  <si>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</si>
  <si>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</si>
  <si>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</si>
  <si>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</si>
  <si>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</si>
  <si>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</si>
  <si>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</si>
  <si>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</si>
  <si>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</si>
  <si>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</si>
  <si>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</si>
  <si>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</si>
  <si>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</si>
  <si>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</si>
  <si>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</si>
  <si>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</si>
  <si>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</si>
  <si>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</si>
  <si>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RMB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</si>
  <si>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</si>
  <si>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</si>
  <si>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</si>
  <si>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</si>
  <si>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</si>
  <si>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</si>
  <si>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</si>
  <si>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</si>
  <si>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</si>
  <si>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</si>
  <si>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</si>
  <si>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</si>
  <si>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</si>
  <si>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</si>
  <si>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</si>
  <si>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</si>
  <si>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</si>
  <si>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</si>
  <si>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</si>
  <si>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</si>
  <si>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</si>
  <si>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</si>
  <si>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</si>
  <si>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</si>
  <si>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</si>
  <si>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</si>
  <si>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0322.HK owner-FCF component DCF: bear case (millions, RMB)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</si>
  <si>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</si>
  <si>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</si>
  <si>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</si>
  <si>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</si>
  <si>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</si>
  <si>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</si>
  <si>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</si>
  <si>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</si>
  <si>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</si>
  <si>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</si>
  <si>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</si>
  <si>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</si>
  <si>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</si>
  <si>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</si>
  <si>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</si>
  <si>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</si>
  <si>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</si>
  <si>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</si>
  <si>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</si>
  <si>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</si>
  <si>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</si>
  <si>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</si>
  <si>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</si>
  <si>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</si>
  <si>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</si>
  <si>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</si>
  <si>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</si>
  <si>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</si>
  <si>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</si>
  <si>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</si>
  <si>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0322.HK owner-FCF component DCF: base case (millions, RMB)</t>
  </si>
  <si>
    <t xml:space="preserve">0322.HK owner-FCF component DCF: bull case (millions, RMB)</t>
  </si>
  <si>
    <t xml:space="preserve">0322.HK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</si>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</sst>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12.37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O2" s="0" t="n">
        <v>18123.54</v>
      </c>
      <c r="P2" s="0" t="n">
        <v>56521.031</v>
      </c>
      <c r="Q2" s="0" t="n">
        <v>32420.452</v>
      </c>
      <c r="R2" s="0" t="n">
        <v>16043.936</v>
      </c>
      <c r="S2" s="0" t="n">
        <v>10189.46</v>
      </c>
      <c r="AA2" s="0" t="s">
        <v>18</v>
      </c>
      <c r="AB2" s="0" t="s">
        <v>66</v>
      </c>
    </row>
    <row r="3" customFormat="false" ht="15" hidden="false" customHeight="false" outlineLevel="0" collapsed="false">
      <c r="A3" s="0" t="s">
        <v>67</v>
      </c>
      <c r="B3" s="0" t="n">
        <v>58953.788</v>
      </c>
      <c r="C3" s="0" t="n">
        <v>41615.827</v>
      </c>
      <c r="D3" s="0" t="n">
        <v>17337.961</v>
      </c>
      <c r="E3" s="0" t="n">
        <v>29.4</v>
      </c>
      <c r="I3" s="0" t="n">
        <v>1819.077</v>
      </c>
      <c r="J3" s="0" t="n">
        <v>3.1</v>
      </c>
      <c r="K3" s="0" t="n">
        <v>0.3242</v>
      </c>
      <c r="L3" s="0" t="n">
        <v>6681.918</v>
      </c>
      <c r="M3" s="0" t="n">
        <v>1066.939</v>
      </c>
      <c r="N3" s="0" t="n">
        <v>5614.979</v>
      </c>
      <c r="O3" s="0" t="n">
        <v>18412.079</v>
      </c>
      <c r="P3" s="0" t="n">
        <v>54099.156</v>
      </c>
      <c r="Q3" s="0" t="n">
        <v>31805.112</v>
      </c>
      <c r="R3" s="0" t="n">
        <v>14384.273</v>
      </c>
      <c r="S3" s="0" t="n">
        <v>10226.577</v>
      </c>
      <c r="T3" s="0" t="n">
        <v>5610.764</v>
      </c>
      <c r="U3" s="0" t="n">
        <v>44.234</v>
      </c>
      <c r="AA3" s="0" t="s">
        <v>18</v>
      </c>
      <c r="AB3" s="0" t="s">
        <v>66</v>
      </c>
    </row>
    <row r="4" customFormat="false" ht="15" hidden="false" customHeight="false" outlineLevel="0" collapsed="false">
      <c r="A4" s="0" t="s">
        <v>68</v>
      </c>
      <c r="B4" s="0" t="n">
        <v>60685.645</v>
      </c>
      <c r="C4" s="0" t="n">
        <v>41958.429</v>
      </c>
      <c r="D4" s="0" t="n">
        <v>18727.216</v>
      </c>
      <c r="E4" s="0" t="n">
        <v>30.9</v>
      </c>
      <c r="I4" s="0" t="n">
        <v>2463.321</v>
      </c>
      <c r="J4" s="0" t="n">
        <v>4.1</v>
      </c>
      <c r="K4" s="0" t="n">
        <v>0.4377</v>
      </c>
      <c r="L4" s="0" t="n">
        <v>6967.889</v>
      </c>
      <c r="M4" s="0" t="n">
        <v>1382.344</v>
      </c>
      <c r="N4" s="0" t="n">
        <v>5585.545</v>
      </c>
      <c r="O4" s="0" t="n">
        <v>19653.476</v>
      </c>
      <c r="P4" s="0" t="n">
        <v>53002.669</v>
      </c>
      <c r="Q4" s="0" t="n">
        <v>29390.238</v>
      </c>
      <c r="R4" s="0" t="n">
        <v>10834.508</v>
      </c>
      <c r="S4" s="0" t="n">
        <v>13807.963</v>
      </c>
      <c r="T4" s="0" t="n">
        <v>5627.331</v>
      </c>
      <c r="U4" s="0" t="n">
        <v>32.799</v>
      </c>
      <c r="AA4" s="0" t="s">
        <v>18</v>
      </c>
      <c r="AB4" s="0" t="s">
        <v>66</v>
      </c>
      <c r="AC4" s="0" t="n">
        <v>0</v>
      </c>
    </row>
    <row r="5" customFormat="false" ht="15" hidden="false" customHeight="false" outlineLevel="0" collapsed="false">
      <c r="A5" s="0" t="s">
        <v>69</v>
      </c>
      <c r="B5" s="0" t="n">
        <v>61978.158</v>
      </c>
      <c r="C5" s="0" t="n">
        <v>42218.703</v>
      </c>
      <c r="D5" s="0" t="n">
        <v>19759.455</v>
      </c>
      <c r="E5" s="0" t="n">
        <v>31.9</v>
      </c>
      <c r="I5" s="0" t="n">
        <v>3330.981</v>
      </c>
      <c r="J5" s="0" t="n">
        <v>5.4</v>
      </c>
      <c r="K5" s="0" t="n">
        <v>0.592</v>
      </c>
      <c r="L5" s="0" t="n">
        <v>7831.018</v>
      </c>
      <c r="M5" s="0" t="n">
        <v>1788.104</v>
      </c>
      <c r="N5" s="0" t="n">
        <v>6042.914</v>
      </c>
      <c r="O5" s="0" t="n">
        <v>19578.574</v>
      </c>
      <c r="P5" s="0" t="n">
        <v>57959.667</v>
      </c>
      <c r="Q5" s="0" t="n">
        <v>34913.56</v>
      </c>
      <c r="R5" s="0" t="n">
        <v>12374.459</v>
      </c>
      <c r="S5" s="0" t="n">
        <v>17397.557</v>
      </c>
      <c r="T5" s="0" t="n">
        <v>5626.85</v>
      </c>
      <c r="U5" s="0" t="n">
        <v>24.504</v>
      </c>
      <c r="AA5" s="0" t="s">
        <v>18</v>
      </c>
      <c r="AB5" s="0" t="s">
        <v>66</v>
      </c>
      <c r="AC5" s="0" t="n">
        <v>725</v>
      </c>
    </row>
    <row r="6" customFormat="false" ht="15" hidden="false" customHeight="false" outlineLevel="0" collapsed="false">
      <c r="A6" s="0" t="s">
        <v>70</v>
      </c>
      <c r="B6" s="0" t="n">
        <v>67617.835</v>
      </c>
      <c r="C6" s="0" t="n">
        <v>45185.68</v>
      </c>
      <c r="D6" s="0" t="n">
        <v>22432.155</v>
      </c>
      <c r="E6" s="0" t="n">
        <v>33.2</v>
      </c>
      <c r="I6" s="0" t="n">
        <v>4062.263</v>
      </c>
      <c r="J6" s="0" t="n">
        <v>6</v>
      </c>
      <c r="K6" s="0" t="n">
        <v>0.7215</v>
      </c>
      <c r="L6" s="0" t="n">
        <v>8553.854</v>
      </c>
      <c r="M6" s="0" t="n">
        <v>2147.17</v>
      </c>
      <c r="N6" s="0" t="n">
        <v>6406.684</v>
      </c>
      <c r="O6" s="0" t="n">
        <v>21112.724</v>
      </c>
      <c r="P6" s="0" t="n">
        <v>61531.398</v>
      </c>
      <c r="Q6" s="0" t="n">
        <v>36792.015</v>
      </c>
      <c r="R6" s="0" t="n">
        <v>13696.534</v>
      </c>
      <c r="S6" s="0" t="n">
        <v>21393.321</v>
      </c>
      <c r="T6" s="0" t="n">
        <v>5630.248</v>
      </c>
      <c r="U6" s="0" t="n">
        <v>15.988</v>
      </c>
      <c r="AA6" s="0" t="s">
        <v>18</v>
      </c>
      <c r="AB6" s="0" t="s">
        <v>66</v>
      </c>
      <c r="AC6" s="0" t="n">
        <v>2435</v>
      </c>
    </row>
    <row r="7" customFormat="false" ht="15" hidden="false" customHeight="false" outlineLevel="0" collapsed="false">
      <c r="A7" s="0" t="s">
        <v>71</v>
      </c>
      <c r="B7" s="0" t="n">
        <v>74082.292</v>
      </c>
      <c r="C7" s="0" t="n">
        <v>51571.867</v>
      </c>
      <c r="D7" s="0" t="n">
        <v>22510.425</v>
      </c>
      <c r="E7" s="0" t="n">
        <v>30.4</v>
      </c>
      <c r="I7" s="0" t="n">
        <v>3802.482</v>
      </c>
      <c r="J7" s="0" t="n">
        <v>5.1</v>
      </c>
      <c r="K7" s="0" t="n">
        <v>0.6751</v>
      </c>
      <c r="L7" s="0" t="n">
        <v>5418.079</v>
      </c>
      <c r="M7" s="0" t="n">
        <v>2966.094</v>
      </c>
      <c r="N7" s="0" t="n">
        <v>2451.985</v>
      </c>
      <c r="O7" s="0" t="n">
        <v>18659.976</v>
      </c>
      <c r="P7" s="0" t="n">
        <v>60309.223</v>
      </c>
      <c r="Q7" s="0" t="n">
        <v>37900.723</v>
      </c>
      <c r="R7" s="0" t="n">
        <v>13661.813</v>
      </c>
      <c r="S7" s="0" t="n">
        <v>15838.492</v>
      </c>
      <c r="T7" s="0" t="n">
        <v>5632.334</v>
      </c>
      <c r="U7" s="0" t="n">
        <v>5.075</v>
      </c>
      <c r="AA7" s="0" t="s">
        <v>18</v>
      </c>
      <c r="AB7" s="0" t="s">
        <v>66</v>
      </c>
      <c r="AC7" s="0" t="n">
        <v>6101.9</v>
      </c>
    </row>
    <row r="8" customFormat="false" ht="15" hidden="false" customHeight="false" outlineLevel="0" collapsed="false">
      <c r="A8" s="0" t="s">
        <v>72</v>
      </c>
      <c r="B8" s="0" t="n">
        <v>78717.42</v>
      </c>
      <c r="C8" s="0" t="n">
        <v>55818.003</v>
      </c>
      <c r="D8" s="0" t="n">
        <v>22899.417</v>
      </c>
      <c r="E8" s="0" t="n">
        <v>29.1</v>
      </c>
      <c r="I8" s="0" t="n">
        <v>2632.312</v>
      </c>
      <c r="J8" s="0" t="n">
        <v>3.3</v>
      </c>
      <c r="K8" s="0" t="n">
        <v>0.4671</v>
      </c>
      <c r="L8" s="0" t="n">
        <v>4475.313</v>
      </c>
      <c r="M8" s="0" t="n">
        <v>3238.944</v>
      </c>
      <c r="N8" s="0" t="n">
        <v>1236.369</v>
      </c>
      <c r="O8" s="0" t="n">
        <v>13371.526</v>
      </c>
      <c r="P8" s="0" t="n">
        <v>58449.306</v>
      </c>
      <c r="Q8" s="0" t="n">
        <v>41633.831</v>
      </c>
      <c r="R8" s="0" t="n">
        <v>17619.01</v>
      </c>
      <c r="S8" s="0" t="n">
        <v>12323.922</v>
      </c>
      <c r="T8" s="0" t="n">
        <v>5635.485</v>
      </c>
      <c r="U8" s="0" t="n">
        <v>0.522</v>
      </c>
      <c r="AA8" s="0" t="s">
        <v>18</v>
      </c>
      <c r="AB8" s="0" t="s">
        <v>66</v>
      </c>
      <c r="AC8" s="0" t="n">
        <v>7551.9</v>
      </c>
    </row>
    <row r="9" customFormat="false" ht="15" hidden="false" customHeight="false" outlineLevel="0" collapsed="false">
      <c r="A9" s="0" t="s">
        <v>73</v>
      </c>
      <c r="B9" s="0" t="n">
        <v>80418.075</v>
      </c>
      <c r="C9" s="0" t="n">
        <v>55950.986</v>
      </c>
      <c r="D9" s="0" t="n">
        <v>24467.089</v>
      </c>
      <c r="E9" s="0" t="n">
        <v>30.4</v>
      </c>
      <c r="I9" s="0" t="n">
        <v>3117.461</v>
      </c>
      <c r="J9" s="0" t="n">
        <v>3.9</v>
      </c>
      <c r="K9" s="0" t="n">
        <v>0.5531</v>
      </c>
      <c r="L9" s="0" t="n">
        <v>5494.843</v>
      </c>
      <c r="M9" s="0" t="n">
        <v>3644.379</v>
      </c>
      <c r="N9" s="0" t="n">
        <v>1850.464</v>
      </c>
      <c r="O9" s="0" t="n">
        <v>13894.604</v>
      </c>
      <c r="P9" s="0" t="n">
        <v>53149.654</v>
      </c>
      <c r="Q9" s="0" t="n">
        <v>35927.41</v>
      </c>
      <c r="R9" s="0" t="n">
        <v>13728.695</v>
      </c>
      <c r="S9" s="0" t="n">
        <v>6754.466</v>
      </c>
      <c r="T9" s="0" t="n">
        <v>5635.846</v>
      </c>
      <c r="U9" s="0" t="n">
        <v>0</v>
      </c>
      <c r="AA9" s="0" t="s">
        <v>18</v>
      </c>
      <c r="AB9" s="0" t="s">
        <v>66</v>
      </c>
      <c r="AC9" s="0" t="n">
        <v>7951.9</v>
      </c>
    </row>
    <row r="10" customFormat="false" ht="15" hidden="false" customHeight="false" outlineLevel="0" collapsed="false">
      <c r="A10" s="0" t="s">
        <v>74</v>
      </c>
      <c r="B10" s="0" t="n">
        <v>80650.914</v>
      </c>
      <c r="C10" s="0" t="n">
        <v>53955.271</v>
      </c>
      <c r="D10" s="0" t="n">
        <v>26695.643</v>
      </c>
      <c r="E10" s="0" t="n">
        <v>33.1</v>
      </c>
      <c r="I10" s="0" t="n">
        <v>3734.429</v>
      </c>
      <c r="J10" s="0" t="n">
        <v>4.6</v>
      </c>
      <c r="K10" s="0" t="n">
        <v>0.6628</v>
      </c>
      <c r="L10" s="0" t="n">
        <v>8263.872</v>
      </c>
      <c r="M10" s="0" t="n">
        <v>3608.39</v>
      </c>
      <c r="N10" s="0" t="n">
        <v>4655.482</v>
      </c>
      <c r="O10" s="0" t="n">
        <v>14229.046</v>
      </c>
      <c r="P10" s="0" t="n">
        <v>53148.855</v>
      </c>
      <c r="Q10" s="0" t="n">
        <v>35533.504</v>
      </c>
      <c r="R10" s="0" t="n">
        <v>13254.817</v>
      </c>
      <c r="S10" s="0" t="n">
        <v>7519.398</v>
      </c>
      <c r="T10" s="0" t="n">
        <v>5634.724</v>
      </c>
      <c r="U10" s="0" t="n">
        <v>0</v>
      </c>
      <c r="AA10" s="0" t="s">
        <v>18</v>
      </c>
      <c r="AB10" s="0" t="s">
        <v>66</v>
      </c>
      <c r="AC10" s="0" t="n">
        <v>8458.4</v>
      </c>
    </row>
    <row r="11" customFormat="false" ht="15" hidden="false" customHeight="false" outlineLevel="0" collapsed="false">
      <c r="A11" s="0" t="s">
        <v>75</v>
      </c>
      <c r="B11" s="0" t="n">
        <v>79068.022</v>
      </c>
      <c r="C11" s="0" t="n">
        <v>51536.318</v>
      </c>
      <c r="D11" s="0" t="n">
        <v>27531.704</v>
      </c>
      <c r="E11" s="0" t="n">
        <v>34.8</v>
      </c>
      <c r="I11" s="0" t="n">
        <v>4500.698</v>
      </c>
      <c r="J11" s="0" t="n">
        <v>5.7</v>
      </c>
      <c r="K11" s="0" t="n">
        <v>0.7984</v>
      </c>
      <c r="L11" s="0" t="n">
        <v>8201.664</v>
      </c>
      <c r="M11" s="0" t="n">
        <v>3111.623</v>
      </c>
      <c r="N11" s="0" t="n">
        <v>5090.041</v>
      </c>
      <c r="O11" s="0" t="n">
        <v>14980.057</v>
      </c>
      <c r="P11" s="0" t="n">
        <v>54939.771</v>
      </c>
      <c r="Q11" s="0" t="n">
        <v>36440.563</v>
      </c>
      <c r="R11" s="0" t="n">
        <v>15022.647</v>
      </c>
      <c r="S11" s="0" t="n">
        <v>10796.902</v>
      </c>
      <c r="T11" s="0" t="n">
        <v>5637.056</v>
      </c>
      <c r="U11" s="0" t="n">
        <v>0</v>
      </c>
      <c r="AA11" s="0" t="s">
        <v>18</v>
      </c>
      <c r="AB11" s="0" t="s">
        <v>66</v>
      </c>
      <c r="AC11" s="0" t="n">
        <v>8674.1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12.37</v>
      </c>
    </row>
    <row r="3" customFormat="false" ht="15" hidden="false" customHeight="false" outlineLevel="0" collapsed="false">
      <c r="A3" s="0" t="s">
        <v>79</v>
      </c>
      <c r="B3" s="3" t="n">
        <v>5636.775</v>
      </c>
    </row>
    <row r="4" customFormat="false" ht="15" hidden="false" customHeight="false" outlineLevel="0" collapsed="false">
      <c r="A4" s="0" t="s">
        <v>80</v>
      </c>
      <c r="B4" s="3" t="n">
        <v>-6276.4</v>
      </c>
    </row>
    <row r="5" customFormat="false" ht="15" hidden="false" customHeight="false" outlineLevel="0" collapsed="false">
      <c r="A5" s="0" t="s">
        <v>81</v>
      </c>
      <c r="B5" s="3" t="n">
        <v>-5298.5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79068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1.1721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-1.5</v>
      </c>
      <c r="D13" s="3" t="n">
        <v>-1</v>
      </c>
      <c r="E13" s="3" t="n">
        <v>0.5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100</v>
      </c>
      <c r="C14" s="3" t="n">
        <v>12.5</v>
      </c>
      <c r="D14" s="3" t="n">
        <v>12</v>
      </c>
      <c r="E14" s="3" t="n">
        <v>11.6</v>
      </c>
      <c r="F14" s="3" t="n">
        <v>11.5</v>
      </c>
      <c r="G14" s="3" t="n">
        <v>11.5</v>
      </c>
      <c r="H14" s="3" t="n">
        <v>11.5</v>
      </c>
      <c r="I14" s="3" t="n">
        <v>11.5</v>
      </c>
      <c r="J14" s="3" t="n">
        <v>11.5</v>
      </c>
      <c r="K14" s="3" t="n">
        <v>11.5</v>
      </c>
      <c r="L14" s="3" t="n">
        <v>11.5</v>
      </c>
    </row>
    <row r="15" customFormat="false" ht="15" hidden="false" customHeight="false" outlineLevel="0" collapsed="false">
      <c r="A15" s="0" t="s">
        <v>101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102</v>
      </c>
      <c r="C16" s="3" t="n">
        <v>0.25</v>
      </c>
      <c r="D16" s="3" t="n">
        <v>0.25</v>
      </c>
      <c r="E16" s="3" t="n">
        <v>0.25</v>
      </c>
      <c r="F16" s="3" t="n">
        <v>0.25</v>
      </c>
      <c r="G16" s="3" t="n">
        <v>0.25</v>
      </c>
      <c r="H16" s="3" t="n">
        <v>0.25</v>
      </c>
      <c r="I16" s="3" t="n">
        <v>0.25</v>
      </c>
      <c r="J16" s="3" t="n">
        <v>0.25</v>
      </c>
      <c r="K16" s="3" t="n">
        <v>0.25</v>
      </c>
      <c r="L16" s="3" t="n">
        <v>0.25</v>
      </c>
    </row>
    <row r="17" customFormat="false" ht="15" hidden="false" customHeight="false" outlineLevel="0" collapsed="false">
      <c r="A17" s="0" t="s">
        <v>103</v>
      </c>
      <c r="C17" s="3" t="n">
        <v>4.2</v>
      </c>
      <c r="D17" s="3" t="n">
        <v>4.2</v>
      </c>
      <c r="E17" s="3" t="n">
        <v>4.15</v>
      </c>
      <c r="F17" s="3" t="n">
        <v>4.1</v>
      </c>
      <c r="G17" s="3" t="n">
        <v>4.1</v>
      </c>
      <c r="H17" s="3" t="n">
        <v>4.1</v>
      </c>
      <c r="I17" s="3" t="n">
        <v>4.1</v>
      </c>
      <c r="J17" s="3" t="n">
        <v>4.1</v>
      </c>
      <c r="K17" s="3" t="n">
        <v>4.1</v>
      </c>
      <c r="L17" s="3" t="n">
        <v>4.1</v>
      </c>
    </row>
    <row r="18" customFormat="false" ht="15" hidden="false" customHeight="false" outlineLevel="0" collapsed="false">
      <c r="A18" s="0" t="s">
        <v>104</v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105</v>
      </c>
      <c r="C19" s="3" t="n">
        <v>37</v>
      </c>
      <c r="D19" s="3" t="n">
        <v>37</v>
      </c>
      <c r="E19" s="3" t="n">
        <v>37</v>
      </c>
      <c r="F19" s="3" t="n">
        <v>37</v>
      </c>
      <c r="G19" s="3" t="n">
        <v>37</v>
      </c>
      <c r="H19" s="3" t="n">
        <v>37</v>
      </c>
      <c r="I19" s="3" t="n">
        <v>37</v>
      </c>
      <c r="J19" s="3" t="n">
        <v>37</v>
      </c>
      <c r="K19" s="3" t="n">
        <v>37</v>
      </c>
      <c r="L19" s="3" t="n">
        <v>37</v>
      </c>
    </row>
    <row r="20" customFormat="false" ht="15" hidden="false" customHeight="false" outlineLevel="0" collapsed="false">
      <c r="A20" s="0" t="s">
        <v>106</v>
      </c>
      <c r="B20" s="3" t="n">
        <v>8</v>
      </c>
    </row>
    <row r="21" customFormat="false" ht="15" hidden="false" customHeight="false" outlineLevel="0" collapsed="false">
      <c r="A21" s="0" t="s">
        <v>107</v>
      </c>
      <c r="B21" s="3" t="n">
        <v>1</v>
      </c>
    </row>
    <row r="22" customFormat="false" ht="15" hidden="false" customHeight="false" outlineLevel="0" collapsed="false">
      <c r="A22" s="0" t="s">
        <v>108</v>
      </c>
      <c r="B22" s="3" t="n">
        <v>15</v>
      </c>
    </row>
    <row r="23" customFormat="false" ht="15" hidden="false" customHeight="false" outlineLevel="0" collapsed="false">
      <c r="A23" s="0" t="s">
        <v>109</v>
      </c>
      <c r="B23" s="3" t="n">
        <v>6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1.5</v>
      </c>
      <c r="D27" s="3" t="n">
        <v>2.5</v>
      </c>
      <c r="E27" s="3" t="n">
        <v>3</v>
      </c>
      <c r="F27" s="3" t="n">
        <v>3</v>
      </c>
      <c r="G27" s="3" t="n">
        <v>3</v>
      </c>
      <c r="H27" s="3" t="n">
        <v>2.75</v>
      </c>
      <c r="I27" s="3" t="n">
        <v>2.5</v>
      </c>
      <c r="J27" s="3" t="n">
        <v>2.5</v>
      </c>
      <c r="K27" s="3" t="n">
        <v>2.25</v>
      </c>
      <c r="L27" s="3" t="n">
        <v>2</v>
      </c>
    </row>
    <row r="28" customFormat="false" ht="15" hidden="false" customHeight="false" outlineLevel="0" collapsed="false">
      <c r="A28" s="0" t="s">
        <v>100</v>
      </c>
      <c r="C28" s="3" t="n">
        <v>13.2</v>
      </c>
      <c r="D28" s="3" t="n">
        <v>13.3</v>
      </c>
      <c r="E28" s="3" t="n">
        <v>13.4</v>
      </c>
      <c r="F28" s="3" t="n">
        <v>13.5</v>
      </c>
      <c r="G28" s="3" t="n">
        <v>13.5</v>
      </c>
      <c r="H28" s="3" t="n">
        <v>13.5</v>
      </c>
      <c r="I28" s="3" t="n">
        <v>13.5</v>
      </c>
      <c r="J28" s="3" t="n">
        <v>13.5</v>
      </c>
      <c r="K28" s="3" t="n">
        <v>13.5</v>
      </c>
      <c r="L28" s="3" t="n">
        <v>13.5</v>
      </c>
    </row>
    <row r="29" customFormat="false" ht="15" hidden="false" customHeight="false" outlineLevel="0" collapsed="false">
      <c r="A29" s="0" t="s">
        <v>101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102</v>
      </c>
      <c r="C30" s="3" t="n">
        <v>0.25</v>
      </c>
      <c r="D30" s="3" t="n">
        <v>0.25</v>
      </c>
      <c r="E30" s="3" t="n">
        <v>0.25</v>
      </c>
      <c r="F30" s="3" t="n">
        <v>0.25</v>
      </c>
      <c r="G30" s="3" t="n">
        <v>0.25</v>
      </c>
      <c r="H30" s="3" t="n">
        <v>0.25</v>
      </c>
      <c r="I30" s="3" t="n">
        <v>0.25</v>
      </c>
      <c r="J30" s="3" t="n">
        <v>0.25</v>
      </c>
      <c r="K30" s="3" t="n">
        <v>0.25</v>
      </c>
      <c r="L30" s="3" t="n">
        <v>0.25</v>
      </c>
    </row>
    <row r="31" customFormat="false" ht="15" hidden="false" customHeight="false" outlineLevel="0" collapsed="false">
      <c r="A31" s="0" t="s">
        <v>103</v>
      </c>
      <c r="C31" s="3" t="n">
        <v>4.2</v>
      </c>
      <c r="D31" s="3" t="n">
        <v>4.15</v>
      </c>
      <c r="E31" s="3" t="n">
        <v>4.1</v>
      </c>
      <c r="F31" s="3" t="n">
        <v>4.05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104</v>
      </c>
      <c r="C32" s="3" t="n">
        <v>3.8</v>
      </c>
      <c r="D32" s="3" t="n">
        <v>4</v>
      </c>
      <c r="E32" s="3" t="n">
        <v>4</v>
      </c>
      <c r="F32" s="3" t="n">
        <v>4</v>
      </c>
      <c r="G32" s="3" t="n">
        <v>4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105</v>
      </c>
      <c r="C33" s="3" t="n">
        <v>36.5</v>
      </c>
      <c r="D33" s="3" t="n">
        <v>36.5</v>
      </c>
      <c r="E33" s="3" t="n">
        <v>36.5</v>
      </c>
      <c r="F33" s="3" t="n">
        <v>36.5</v>
      </c>
      <c r="G33" s="3" t="n">
        <v>36.5</v>
      </c>
      <c r="H33" s="3" t="n">
        <v>36.5</v>
      </c>
      <c r="I33" s="3" t="n">
        <v>36.5</v>
      </c>
      <c r="J33" s="3" t="n">
        <v>36.5</v>
      </c>
      <c r="K33" s="3" t="n">
        <v>36.5</v>
      </c>
      <c r="L33" s="3" t="n">
        <v>36.5</v>
      </c>
    </row>
    <row r="34" customFormat="false" ht="15" hidden="false" customHeight="false" outlineLevel="0" collapsed="false">
      <c r="A34" s="0" t="s">
        <v>106</v>
      </c>
      <c r="B34" s="3" t="n">
        <v>8</v>
      </c>
    </row>
    <row r="35" customFormat="false" ht="15" hidden="false" customHeight="false" outlineLevel="0" collapsed="false">
      <c r="A35" s="0" t="s">
        <v>107</v>
      </c>
      <c r="B35" s="3" t="n">
        <v>2</v>
      </c>
    </row>
    <row r="36" customFormat="false" ht="15" hidden="false" customHeight="false" outlineLevel="0" collapsed="false">
      <c r="A36" s="0" t="s">
        <v>108</v>
      </c>
      <c r="B36" s="3" t="n">
        <v>15</v>
      </c>
    </row>
    <row r="37" customFormat="false" ht="15" hidden="false" customHeight="false" outlineLevel="0" collapsed="false">
      <c r="A37" s="0" t="s">
        <v>109</v>
      </c>
      <c r="B37" s="3" t="n">
        <v>6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3</v>
      </c>
      <c r="D41" s="3" t="n">
        <v>4.5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100</v>
      </c>
      <c r="C42" s="3" t="n">
        <v>13.6</v>
      </c>
      <c r="D42" s="3" t="n">
        <v>14</v>
      </c>
      <c r="E42" s="3" t="n">
        <v>14.3</v>
      </c>
      <c r="F42" s="3" t="n">
        <v>14.5</v>
      </c>
      <c r="G42" s="3" t="n">
        <v>14.6</v>
      </c>
      <c r="H42" s="3" t="n">
        <v>14.7</v>
      </c>
      <c r="I42" s="3" t="n">
        <v>14.7</v>
      </c>
      <c r="J42" s="3" t="n">
        <v>14.7</v>
      </c>
      <c r="K42" s="3" t="n">
        <v>14.7</v>
      </c>
      <c r="L42" s="3" t="n">
        <v>14.7</v>
      </c>
    </row>
    <row r="43" customFormat="false" ht="15" hidden="false" customHeight="false" outlineLevel="0" collapsed="false">
      <c r="A43" s="0" t="s">
        <v>101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102</v>
      </c>
      <c r="C44" s="3" t="n">
        <v>0.25</v>
      </c>
      <c r="D44" s="3" t="n">
        <v>0.25</v>
      </c>
      <c r="E44" s="3" t="n">
        <v>0.25</v>
      </c>
      <c r="F44" s="3" t="n">
        <v>0.25</v>
      </c>
      <c r="G44" s="3" t="n">
        <v>0.25</v>
      </c>
      <c r="H44" s="3" t="n">
        <v>0.25</v>
      </c>
      <c r="I44" s="3" t="n">
        <v>0.25</v>
      </c>
      <c r="J44" s="3" t="n">
        <v>0.25</v>
      </c>
      <c r="K44" s="3" t="n">
        <v>0.25</v>
      </c>
      <c r="L44" s="3" t="n">
        <v>0.25</v>
      </c>
    </row>
    <row r="45" customFormat="false" ht="15" hidden="false" customHeight="false" outlineLevel="0" collapsed="false">
      <c r="A45" s="0" t="s">
        <v>103</v>
      </c>
      <c r="C45" s="3" t="n">
        <v>4.2</v>
      </c>
      <c r="D45" s="3" t="n">
        <v>4.15</v>
      </c>
      <c r="E45" s="3" t="n">
        <v>4.1</v>
      </c>
      <c r="F45" s="3" t="n">
        <v>4.1</v>
      </c>
      <c r="G45" s="3" t="n">
        <v>4.1</v>
      </c>
      <c r="H45" s="3" t="n">
        <v>4.1</v>
      </c>
      <c r="I45" s="3" t="n">
        <v>4.1</v>
      </c>
      <c r="J45" s="3" t="n">
        <v>4.1</v>
      </c>
      <c r="K45" s="3" t="n">
        <v>4.1</v>
      </c>
      <c r="L45" s="3" t="n">
        <v>4.1</v>
      </c>
    </row>
    <row r="46" customFormat="false" ht="15" hidden="false" customHeight="false" outlineLevel="0" collapsed="false">
      <c r="A46" s="0" t="s">
        <v>104</v>
      </c>
      <c r="C46" s="3" t="n">
        <v>4</v>
      </c>
      <c r="D46" s="3" t="n">
        <v>4.2</v>
      </c>
      <c r="E46" s="3" t="n">
        <v>4.2</v>
      </c>
      <c r="F46" s="3" t="n">
        <v>4.2</v>
      </c>
      <c r="G46" s="3" t="n">
        <v>4.1</v>
      </c>
      <c r="H46" s="3" t="n">
        <v>4.1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105</v>
      </c>
      <c r="C47" s="3" t="n">
        <v>36</v>
      </c>
      <c r="D47" s="3" t="n">
        <v>36</v>
      </c>
      <c r="E47" s="3" t="n">
        <v>36</v>
      </c>
      <c r="F47" s="3" t="n">
        <v>36</v>
      </c>
      <c r="G47" s="3" t="n">
        <v>36</v>
      </c>
      <c r="H47" s="3" t="n">
        <v>36</v>
      </c>
      <c r="I47" s="3" t="n">
        <v>36</v>
      </c>
      <c r="J47" s="3" t="n">
        <v>36</v>
      </c>
      <c r="K47" s="3" t="n">
        <v>36</v>
      </c>
      <c r="L47" s="3" t="n">
        <v>36</v>
      </c>
    </row>
    <row r="48" customFormat="false" ht="15" hidden="false" customHeight="false" outlineLevel="0" collapsed="false">
      <c r="A48" s="0" t="s">
        <v>106</v>
      </c>
      <c r="B48" s="3" t="n">
        <v>8</v>
      </c>
    </row>
    <row r="49" customFormat="false" ht="15" hidden="false" customHeight="false" outlineLevel="0" collapsed="false">
      <c r="A49" s="0" t="s">
        <v>107</v>
      </c>
      <c r="B49" s="3" t="n">
        <v>2.5</v>
      </c>
    </row>
    <row r="50" customFormat="false" ht="15" hidden="false" customHeight="false" outlineLevel="0" collapsed="false">
      <c r="A50" s="0" t="s">
        <v>108</v>
      </c>
      <c r="B50" s="3" t="n">
        <v>15</v>
      </c>
    </row>
    <row r="51" customFormat="false" ht="15" hidden="false" customHeight="false" outlineLevel="0" collapsed="false">
      <c r="A51" s="0" t="s">
        <v>109</v>
      </c>
      <c r="B51" s="3" t="n">
        <v>6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-1.5</v>
      </c>
      <c r="D5" s="4" t="n">
        <f aca="false">Assumptions!D13</f>
        <v>-1</v>
      </c>
      <c r="E5" s="4" t="n">
        <f aca="false">Assumptions!E13</f>
        <v>0.5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79068</v>
      </c>
      <c r="C6" s="0" t="n">
        <f aca="false">B6*(1+C5/100)</f>
        <v>77881.98</v>
      </c>
      <c r="D6" s="0" t="n">
        <f aca="false">C6*(1+D5/100)</f>
        <v>77103.1602</v>
      </c>
      <c r="E6" s="0" t="n">
        <f aca="false">D6*(1+E5/100)</f>
        <v>77488.676001</v>
      </c>
      <c r="F6" s="0" t="n">
        <f aca="false">E6*(1+F5/100)</f>
        <v>78263.56276101</v>
      </c>
      <c r="G6" s="0" t="n">
        <f aca="false">F6*(1+G5/100)</f>
        <v>79046.1983886201</v>
      </c>
      <c r="H6" s="0" t="n">
        <f aca="false">G6*(1+H5/100)</f>
        <v>79836.6603725063</v>
      </c>
      <c r="I6" s="0" t="n">
        <f aca="false">H6*(1+I5/100)</f>
        <v>80635.0269762314</v>
      </c>
      <c r="J6" s="0" t="n">
        <f aca="false">I6*(1+J5/100)</f>
        <v>81441.3772459937</v>
      </c>
      <c r="K6" s="0" t="n">
        <f aca="false">J6*(1+K5/100)</f>
        <v>82255.7910184536</v>
      </c>
      <c r="L6" s="0" t="n">
        <f aca="false">K6*(1+L5/100)</f>
        <v>83078.3489286382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12.5</v>
      </c>
      <c r="D7" s="4" t="n">
        <f aca="false">Assumptions!D14</f>
        <v>12</v>
      </c>
      <c r="E7" s="4" t="n">
        <f aca="false">Assumptions!E14</f>
        <v>11.6</v>
      </c>
      <c r="F7" s="4" t="n">
        <f aca="false">Assumptions!F14</f>
        <v>11.5</v>
      </c>
      <c r="G7" s="4" t="n">
        <f aca="false">Assumptions!G14</f>
        <v>11.5</v>
      </c>
      <c r="H7" s="4" t="n">
        <f aca="false">Assumptions!H14</f>
        <v>11.5</v>
      </c>
      <c r="I7" s="4" t="n">
        <f aca="false">Assumptions!I14</f>
        <v>11.5</v>
      </c>
      <c r="J7" s="4" t="n">
        <f aca="false">Assumptions!J14</f>
        <v>11.5</v>
      </c>
      <c r="K7" s="4" t="n">
        <f aca="false">Assumptions!K14</f>
        <v>11.5</v>
      </c>
      <c r="L7" s="4" t="n">
        <f aca="false">Assumptions!L14</f>
        <v>11.5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9735.2475</v>
      </c>
      <c r="D8" s="0" t="n">
        <f aca="false">D6*D7/100</f>
        <v>9252.379224</v>
      </c>
      <c r="E8" s="0" t="n">
        <f aca="false">E6*E7/100</f>
        <v>8988.686416116</v>
      </c>
      <c r="F8" s="0" t="n">
        <f aca="false">F6*F7/100</f>
        <v>9000.30971751615</v>
      </c>
      <c r="G8" s="0" t="n">
        <f aca="false">G6*G7/100</f>
        <v>9090.31281469131</v>
      </c>
      <c r="H8" s="0" t="n">
        <f aca="false">H6*H7/100</f>
        <v>9181.21594283822</v>
      </c>
      <c r="I8" s="0" t="n">
        <f aca="false">I6*I7/100</f>
        <v>9273.02810226661</v>
      </c>
      <c r="J8" s="0" t="n">
        <f aca="false">J6*J7/100</f>
        <v>9365.75838328927</v>
      </c>
      <c r="K8" s="0" t="n">
        <f aca="false">K6*K7/100</f>
        <v>9459.41596712217</v>
      </c>
      <c r="L8" s="0" t="n">
        <f aca="false">L6*L7/100</f>
        <v>9554.01012679339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9540.54255</v>
      </c>
      <c r="D11" s="0" t="n">
        <f aca="false">D8+D10+D24</f>
        <v>9059.6213235</v>
      </c>
      <c r="E11" s="0" t="n">
        <f aca="false">E8+E10+E24</f>
        <v>8794.9647261135</v>
      </c>
      <c r="F11" s="0" t="n">
        <f aca="false">F8+F10+F24</f>
        <v>8804.65081061362</v>
      </c>
      <c r="G11" s="0" t="n">
        <f aca="false">G8+G10+G24</f>
        <v>8892.69731871976</v>
      </c>
      <c r="H11" s="0" t="n">
        <f aca="false">H8+H10+H24</f>
        <v>8981.62429190696</v>
      </c>
      <c r="I11" s="0" t="n">
        <f aca="false">I8+I10+I24</f>
        <v>9071.44053482603</v>
      </c>
      <c r="J11" s="0" t="n">
        <f aca="false">J8+J10+J24</f>
        <v>9162.15494017429</v>
      </c>
      <c r="K11" s="0" t="n">
        <f aca="false">K8+K10+K24</f>
        <v>9253.77648957603</v>
      </c>
      <c r="L11" s="0" t="n">
        <f aca="false">L8+L10+L24</f>
        <v>9346.31425447179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-3271.04316</v>
      </c>
      <c r="D12" s="4" t="n">
        <f aca="false">-D6*Assumptions!D17/100</f>
        <v>-3238.3327284</v>
      </c>
      <c r="E12" s="4" t="n">
        <f aca="false">-E6*Assumptions!E17/100</f>
        <v>-3215.7800540415</v>
      </c>
      <c r="F12" s="4" t="n">
        <f aca="false">-F6*Assumptions!F17/100</f>
        <v>-3208.80607320141</v>
      </c>
      <c r="G12" s="4" t="n">
        <f aca="false">-G6*Assumptions!G17/100</f>
        <v>-3240.89413393342</v>
      </c>
      <c r="H12" s="4" t="n">
        <f aca="false">-H6*Assumptions!H17/100</f>
        <v>-3273.30307527276</v>
      </c>
      <c r="I12" s="4" t="n">
        <f aca="false">-I6*Assumptions!I17/100</f>
        <v>-3306.03610602549</v>
      </c>
      <c r="J12" s="4" t="n">
        <f aca="false">-J6*Assumptions!J17/100</f>
        <v>-3339.09646708574</v>
      </c>
      <c r="K12" s="4" t="n">
        <f aca="false">-K6*Assumptions!K17/100</f>
        <v>-3372.4874317566</v>
      </c>
      <c r="L12" s="4" t="n">
        <f aca="false">-L6*Assumptions!L17/100</f>
        <v>-3406.21230607416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6269.49939</v>
      </c>
      <c r="D13" s="0" t="n">
        <f aca="false">D11+D12</f>
        <v>5821.2885951</v>
      </c>
      <c r="E13" s="0" t="n">
        <f aca="false">E11+E12</f>
        <v>5579.184672072</v>
      </c>
      <c r="F13" s="0" t="n">
        <f aca="false">F11+F12</f>
        <v>5595.84473741222</v>
      </c>
      <c r="G13" s="0" t="n">
        <f aca="false">G11+G12</f>
        <v>5651.80318478634</v>
      </c>
      <c r="H13" s="0" t="n">
        <f aca="false">H11+H12</f>
        <v>5708.3212166342</v>
      </c>
      <c r="I13" s="0" t="n">
        <f aca="false">I11+I12</f>
        <v>5765.40442880054</v>
      </c>
      <c r="J13" s="0" t="n">
        <f aca="false">J11+J12</f>
        <v>5823.05847308855</v>
      </c>
      <c r="K13" s="0" t="n">
        <f aca="false">K11+K12</f>
        <v>5881.28905781944</v>
      </c>
      <c r="L13" s="0" t="n">
        <f aca="false">L11+L12</f>
        <v>5940.10194839763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37</v>
      </c>
      <c r="D14" s="4" t="n">
        <f aca="false">Assumptions!D19</f>
        <v>37</v>
      </c>
      <c r="E14" s="4" t="n">
        <f aca="false">Assumptions!E19</f>
        <v>37</v>
      </c>
      <c r="F14" s="4" t="n">
        <f aca="false">Assumptions!F19</f>
        <v>37</v>
      </c>
      <c r="G14" s="4" t="n">
        <f aca="false">Assumptions!G19</f>
        <v>37</v>
      </c>
      <c r="H14" s="4" t="n">
        <f aca="false">Assumptions!H19</f>
        <v>37</v>
      </c>
      <c r="I14" s="4" t="n">
        <f aca="false">Assumptions!I19</f>
        <v>37</v>
      </c>
      <c r="J14" s="4" t="n">
        <f aca="false">Assumptions!J19</f>
        <v>37</v>
      </c>
      <c r="K14" s="4" t="n">
        <f aca="false">Assumptions!K19</f>
        <v>37</v>
      </c>
      <c r="L14" s="4" t="n">
        <f aca="false">Assumptions!L19</f>
        <v>37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3949.7846157</v>
      </c>
      <c r="D15" s="0" t="n">
        <f aca="false">D13-MAX(0,D13)*D14/100</f>
        <v>3667.411814913</v>
      </c>
      <c r="E15" s="0" t="n">
        <f aca="false">E13-MAX(0,E13)*E14/100</f>
        <v>3514.88634340536</v>
      </c>
      <c r="F15" s="0" t="n">
        <f aca="false">F13-MAX(0,F13)*F14/100</f>
        <v>3525.3821845697</v>
      </c>
      <c r="G15" s="0" t="n">
        <f aca="false">G13-MAX(0,G13)*G14/100</f>
        <v>3560.63600641539</v>
      </c>
      <c r="H15" s="0" t="n">
        <f aca="false">H13-MAX(0,H13)*H14/100</f>
        <v>3596.24236647955</v>
      </c>
      <c r="I15" s="0" t="n">
        <f aca="false">I13-MAX(0,I13)*I14/100</f>
        <v>3632.20479014434</v>
      </c>
      <c r="J15" s="0" t="n">
        <f aca="false">J13-MAX(0,J13)*J14/100</f>
        <v>3668.52683804579</v>
      </c>
      <c r="K15" s="0" t="n">
        <f aca="false">K13-MAX(0,K13)*K14/100</f>
        <v>3705.21210642624</v>
      </c>
      <c r="L15" s="0" t="n">
        <f aca="false">L13-MAX(0,L13)*L14/100</f>
        <v>3742.2642274905</v>
      </c>
    </row>
    <row r="16" customFormat="false" ht="15" hidden="false" customHeight="false" outlineLevel="0" collapsed="false">
      <c r="A16" s="0" t="s">
        <v>121</v>
      </c>
      <c r="C16" s="0" t="n">
        <f aca="false">-C12</f>
        <v>3271.04316</v>
      </c>
      <c r="D16" s="0" t="n">
        <f aca="false">-D12</f>
        <v>3238.3327284</v>
      </c>
      <c r="E16" s="0" t="n">
        <f aca="false">-E12</f>
        <v>3215.7800540415</v>
      </c>
      <c r="F16" s="0" t="n">
        <f aca="false">-F12</f>
        <v>3208.80607320141</v>
      </c>
      <c r="G16" s="0" t="n">
        <f aca="false">-G12</f>
        <v>3240.89413393342</v>
      </c>
      <c r="H16" s="0" t="n">
        <f aca="false">-H12</f>
        <v>3273.30307527276</v>
      </c>
      <c r="I16" s="0" t="n">
        <f aca="false">-I12</f>
        <v>3306.03610602549</v>
      </c>
      <c r="J16" s="0" t="n">
        <f aca="false">-J12</f>
        <v>3339.09646708574</v>
      </c>
      <c r="K16" s="0" t="n">
        <f aca="false">-K12</f>
        <v>3372.4874317566</v>
      </c>
      <c r="L16" s="0" t="n">
        <f aca="false">-L12</f>
        <v>3406.21230607416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-3115.2792</v>
      </c>
      <c r="D17" s="4" t="n">
        <f aca="false">-D6*Assumptions!D18/100</f>
        <v>-3084.126408</v>
      </c>
      <c r="E17" s="4" t="n">
        <f aca="false">-E6*Assumptions!E18/100</f>
        <v>-3099.54704004</v>
      </c>
      <c r="F17" s="4" t="n">
        <f aca="false">-F6*Assumptions!F18/100</f>
        <v>-3130.5425104404</v>
      </c>
      <c r="G17" s="4" t="n">
        <f aca="false">-G6*Assumptions!G18/100</f>
        <v>-3161.8479355448</v>
      </c>
      <c r="H17" s="4" t="n">
        <f aca="false">-H6*Assumptions!H18/100</f>
        <v>-3193.46641490025</v>
      </c>
      <c r="I17" s="4" t="n">
        <f aca="false">-I6*Assumptions!I18/100</f>
        <v>-3225.40107904925</v>
      </c>
      <c r="J17" s="4" t="n">
        <f aca="false">-J6*Assumptions!J18/100</f>
        <v>-3257.65508983975</v>
      </c>
      <c r="K17" s="4" t="n">
        <f aca="false">-K6*Assumptions!K18/100</f>
        <v>-3290.23164073814</v>
      </c>
      <c r="L17" s="4" t="n">
        <f aca="false">-L6*Assumptions!L18/100</f>
        <v>-3323.13395714553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-71.1612000000003</v>
      </c>
      <c r="D18" s="4" t="n">
        <f aca="false">(D6-C6)*Assumptions!$B$23/100</f>
        <v>-46.7291879999999</v>
      </c>
      <c r="E18" s="4" t="n">
        <f aca="false">(E6-D6)*Assumptions!$B$23/100</f>
        <v>23.1309480599992</v>
      </c>
      <c r="F18" s="4" t="n">
        <f aca="false">(F6-E6)*Assumptions!$B$23/100</f>
        <v>46.4932056006003</v>
      </c>
      <c r="G18" s="4" t="n">
        <f aca="false">(G6-F6)*Assumptions!$B$23/100</f>
        <v>46.958137656606</v>
      </c>
      <c r="H18" s="4" t="n">
        <f aca="false">(H6-G6)*Assumptions!$B$23/100</f>
        <v>47.4277190331719</v>
      </c>
      <c r="I18" s="4" t="n">
        <f aca="false">(I6-H6)*Assumptions!$B$23/100</f>
        <v>47.901996223504</v>
      </c>
      <c r="J18" s="4" t="n">
        <f aca="false">(J6-I6)*Assumptions!$B$23/100</f>
        <v>48.3810161857391</v>
      </c>
      <c r="K18" s="4" t="n">
        <f aca="false">(K6-J6)*Assumptions!$B$23/100</f>
        <v>48.8648263475965</v>
      </c>
      <c r="L18" s="4" t="n">
        <f aca="false">(L6-K6)*Assumptions!$B$23/100</f>
        <v>49.3534746110722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4034.3873757</v>
      </c>
      <c r="D19" s="0" t="n">
        <f aca="false">D15+D16+D17+D18</f>
        <v>3774.888947313</v>
      </c>
      <c r="E19" s="0" t="n">
        <f aca="false">E15+E16+E17+E18</f>
        <v>3654.25030546686</v>
      </c>
      <c r="F19" s="0" t="n">
        <f aca="false">F15+F16+F17+F18</f>
        <v>3650.13895293131</v>
      </c>
      <c r="G19" s="0" t="n">
        <f aca="false">G15+G16+G17+G18</f>
        <v>3686.64034246062</v>
      </c>
      <c r="H19" s="0" t="n">
        <f aca="false">H15+H16+H17+H18</f>
        <v>3723.50674588522</v>
      </c>
      <c r="I19" s="0" t="n">
        <f aca="false">I15+I16+I17+I18</f>
        <v>3760.74181334408</v>
      </c>
      <c r="J19" s="0" t="n">
        <f aca="false">J15+J16+J17+J18</f>
        <v>3798.34923147752</v>
      </c>
      <c r="K19" s="0" t="n">
        <f aca="false">K15+K16+K17+K18</f>
        <v>3836.33272379229</v>
      </c>
      <c r="L19" s="0" t="n">
        <f aca="false">L15+L16+L17+L18</f>
        <v>3874.69605103021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3735.54386638889</v>
      </c>
      <c r="D21" s="0" t="n">
        <f aca="false">D19*D20</f>
        <v>3236.35883685957</v>
      </c>
      <c r="E21" s="0" t="n">
        <f aca="false">E19*E20</f>
        <v>2900.8617092374</v>
      </c>
      <c r="F21" s="0" t="n">
        <f aca="false">F19*F20</f>
        <v>2682.9610972597</v>
      </c>
      <c r="G21" s="0" t="n">
        <f aca="false">G19*G20</f>
        <v>2509.06547058546</v>
      </c>
      <c r="H21" s="0" t="n">
        <f aca="false">H19*H20</f>
        <v>2346.44085675121</v>
      </c>
      <c r="I21" s="0" t="n">
        <f aca="false">I19*I20</f>
        <v>2194.35672714697</v>
      </c>
      <c r="J21" s="0" t="n">
        <f aca="false">J19*J20</f>
        <v>2052.1299022393</v>
      </c>
      <c r="K21" s="0" t="n">
        <f aca="false">K19*K20</f>
        <v>1919.12148264971</v>
      </c>
      <c r="L21" s="0" t="n">
        <f aca="false">L19*L20</f>
        <v>1794.73397914464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0.25</v>
      </c>
      <c r="D23" s="4" t="n">
        <f aca="false">Assumptions!D16</f>
        <v>0.25</v>
      </c>
      <c r="E23" s="4" t="n">
        <f aca="false">Assumptions!E16</f>
        <v>0.25</v>
      </c>
      <c r="F23" s="4" t="n">
        <f aca="false">Assumptions!F16</f>
        <v>0.25</v>
      </c>
      <c r="G23" s="4" t="n">
        <f aca="false">Assumptions!G16</f>
        <v>0.25</v>
      </c>
      <c r="H23" s="4" t="n">
        <f aca="false">Assumptions!H16</f>
        <v>0.25</v>
      </c>
      <c r="I23" s="4" t="n">
        <f aca="false">Assumptions!I16</f>
        <v>0.25</v>
      </c>
      <c r="J23" s="4" t="n">
        <f aca="false">Assumptions!J16</f>
        <v>0.25</v>
      </c>
      <c r="K23" s="4" t="n">
        <f aca="false">Assumptions!K16</f>
        <v>0.25</v>
      </c>
      <c r="L23" s="4" t="n">
        <f aca="false">Assumptions!L16</f>
        <v>0.25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-194.70495</v>
      </c>
      <c r="D24" s="0" t="n">
        <f aca="false">-D6*D23/100</f>
        <v>-192.7579005</v>
      </c>
      <c r="E24" s="0" t="n">
        <f aca="false">-E6*E23/100</f>
        <v>-193.7216900025</v>
      </c>
      <c r="F24" s="0" t="n">
        <f aca="false">-F6*F23/100</f>
        <v>-195.658906902525</v>
      </c>
      <c r="G24" s="0" t="n">
        <f aca="false">-G6*G23/100</f>
        <v>-197.61549597155</v>
      </c>
      <c r="H24" s="0" t="n">
        <f aca="false">-H6*H23/100</f>
        <v>-199.591650931266</v>
      </c>
      <c r="I24" s="0" t="n">
        <f aca="false">-I6*I23/100</f>
        <v>-201.587567440578</v>
      </c>
      <c r="J24" s="0" t="n">
        <f aca="false">-J6*J23/100</f>
        <v>-203.603443114984</v>
      </c>
      <c r="K24" s="0" t="n">
        <f aca="false">-K6*K23/100</f>
        <v>-205.639477546134</v>
      </c>
      <c r="L24" s="0" t="n">
        <f aca="false">-L6*L23/100</f>
        <v>-207.695872321595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25371.5739282628</v>
      </c>
    </row>
    <row r="31" customFormat="false" ht="15" hidden="false" customHeight="false" outlineLevel="0" collapsed="false">
      <c r="A31" s="0" t="s">
        <v>130</v>
      </c>
      <c r="B31" s="0" t="n">
        <f aca="false">L19</f>
        <v>3874.69605103021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55906.3287362931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58120.4407654532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55906.3287362931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25895.4474133726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51267.0213416354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52244.9213416354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10.8637070496039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-0.121769842392572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10.8637070496039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27953.1643681465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5.59066197186245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1.5</v>
      </c>
      <c r="D5" s="4" t="n">
        <f aca="false">Assumptions!D27</f>
        <v>2.5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2.75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2.25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79068</v>
      </c>
      <c r="C6" s="0" t="n">
        <f aca="false">B6*(1+C5/100)</f>
        <v>80254.02</v>
      </c>
      <c r="D6" s="0" t="n">
        <f aca="false">C6*(1+D5/100)</f>
        <v>82260.3705</v>
      </c>
      <c r="E6" s="0" t="n">
        <f aca="false">D6*(1+E5/100)</f>
        <v>84728.181615</v>
      </c>
      <c r="F6" s="0" t="n">
        <f aca="false">E6*(1+F5/100)</f>
        <v>87270.02706345</v>
      </c>
      <c r="G6" s="0" t="n">
        <f aca="false">F6*(1+G5/100)</f>
        <v>89888.1278753535</v>
      </c>
      <c r="H6" s="0" t="n">
        <f aca="false">G6*(1+H5/100)</f>
        <v>92360.0513919257</v>
      </c>
      <c r="I6" s="0" t="n">
        <f aca="false">H6*(1+I5/100)</f>
        <v>94669.0526767239</v>
      </c>
      <c r="J6" s="0" t="n">
        <f aca="false">I6*(1+J5/100)</f>
        <v>97035.7789936419</v>
      </c>
      <c r="K6" s="0" t="n">
        <f aca="false">J6*(1+K5/100)</f>
        <v>99219.0840209989</v>
      </c>
      <c r="L6" s="0" t="n">
        <f aca="false">K6*(1+L5/100)</f>
        <v>101203.465701419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13.2</v>
      </c>
      <c r="D7" s="4" t="n">
        <f aca="false">Assumptions!D28</f>
        <v>13.3</v>
      </c>
      <c r="E7" s="4" t="n">
        <f aca="false">Assumptions!E28</f>
        <v>13.4</v>
      </c>
      <c r="F7" s="4" t="n">
        <f aca="false">Assumptions!F28</f>
        <v>13.5</v>
      </c>
      <c r="G7" s="4" t="n">
        <f aca="false">Assumptions!G28</f>
        <v>13.5</v>
      </c>
      <c r="H7" s="4" t="n">
        <f aca="false">Assumptions!H28</f>
        <v>13.5</v>
      </c>
      <c r="I7" s="4" t="n">
        <f aca="false">Assumptions!I28</f>
        <v>13.5</v>
      </c>
      <c r="J7" s="4" t="n">
        <f aca="false">Assumptions!J28</f>
        <v>13.5</v>
      </c>
      <c r="K7" s="4" t="n">
        <f aca="false">Assumptions!K28</f>
        <v>13.5</v>
      </c>
      <c r="L7" s="4" t="n">
        <f aca="false">Assumptions!L28</f>
        <v>13.5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10593.53064</v>
      </c>
      <c r="D8" s="0" t="n">
        <f aca="false">D6*D7/100</f>
        <v>10940.6292765</v>
      </c>
      <c r="E8" s="0" t="n">
        <f aca="false">E6*E7/100</f>
        <v>11353.57633641</v>
      </c>
      <c r="F8" s="0" t="n">
        <f aca="false">F6*F7/100</f>
        <v>11781.4536535657</v>
      </c>
      <c r="G8" s="0" t="n">
        <f aca="false">G6*G7/100</f>
        <v>12134.8972631727</v>
      </c>
      <c r="H8" s="0" t="n">
        <f aca="false">H6*H7/100</f>
        <v>12468.60693791</v>
      </c>
      <c r="I8" s="0" t="n">
        <f aca="false">I6*I7/100</f>
        <v>12780.3221113577</v>
      </c>
      <c r="J8" s="0" t="n">
        <f aca="false">J6*J7/100</f>
        <v>13099.8301641417</v>
      </c>
      <c r="K8" s="0" t="n">
        <f aca="false">K6*K7/100</f>
        <v>13394.5763428348</v>
      </c>
      <c r="L8" s="0" t="n">
        <f aca="false">L6*L7/100</f>
        <v>13662.4678696915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10392.89559</v>
      </c>
      <c r="D11" s="0" t="n">
        <f aca="false">D8+D10+D24</f>
        <v>10734.97835025</v>
      </c>
      <c r="E11" s="0" t="n">
        <f aca="false">E8+E10+E24</f>
        <v>11141.7558823725</v>
      </c>
      <c r="F11" s="0" t="n">
        <f aca="false">F8+F10+F24</f>
        <v>11563.2785859071</v>
      </c>
      <c r="G11" s="0" t="n">
        <f aca="false">G8+G10+G24</f>
        <v>11910.1769434843</v>
      </c>
      <c r="H11" s="0" t="n">
        <f aca="false">H8+H10+H24</f>
        <v>12237.7068094302</v>
      </c>
      <c r="I11" s="0" t="n">
        <f aca="false">I8+I10+I24</f>
        <v>12543.6494796659</v>
      </c>
      <c r="J11" s="0" t="n">
        <f aca="false">J8+J10+J24</f>
        <v>12857.2407166576</v>
      </c>
      <c r="K11" s="0" t="n">
        <f aca="false">K8+K10+K24</f>
        <v>13146.5286327824</v>
      </c>
      <c r="L11" s="0" t="n">
        <f aca="false">L8+L10+L24</f>
        <v>13409.459205438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-3370.66884</v>
      </c>
      <c r="D12" s="4" t="n">
        <f aca="false">-D6*Assumptions!D31/100</f>
        <v>-3413.80537575</v>
      </c>
      <c r="E12" s="4" t="n">
        <f aca="false">-E6*Assumptions!E31/100</f>
        <v>-3473.855446215</v>
      </c>
      <c r="F12" s="4" t="n">
        <f aca="false">-F6*Assumptions!F31/100</f>
        <v>-3534.43609606972</v>
      </c>
      <c r="G12" s="4" t="n">
        <f aca="false">-G6*Assumptions!G31/100</f>
        <v>-3595.52511501414</v>
      </c>
      <c r="H12" s="4" t="n">
        <f aca="false">-H6*Assumptions!H31/100</f>
        <v>-3694.40205567703</v>
      </c>
      <c r="I12" s="4" t="n">
        <f aca="false">-I6*Assumptions!I31/100</f>
        <v>-3786.76210706895</v>
      </c>
      <c r="J12" s="4" t="n">
        <f aca="false">-J6*Assumptions!J31/100</f>
        <v>-3881.43115974568</v>
      </c>
      <c r="K12" s="4" t="n">
        <f aca="false">-K6*Assumptions!K31/100</f>
        <v>-3968.76336083995</v>
      </c>
      <c r="L12" s="4" t="n">
        <f aca="false">-L6*Assumptions!L31/100</f>
        <v>-4048.13862805675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7022.22675</v>
      </c>
      <c r="D13" s="0" t="n">
        <f aca="false">D11+D12</f>
        <v>7321.1729745</v>
      </c>
      <c r="E13" s="0" t="n">
        <f aca="false">E11+E12</f>
        <v>7667.9004361575</v>
      </c>
      <c r="F13" s="0" t="n">
        <f aca="false">F11+F12</f>
        <v>8028.8424898374</v>
      </c>
      <c r="G13" s="0" t="n">
        <f aca="false">G11+G12</f>
        <v>8314.65182847019</v>
      </c>
      <c r="H13" s="0" t="n">
        <f aca="false">H11+H12</f>
        <v>8543.30475375313</v>
      </c>
      <c r="I13" s="0" t="n">
        <f aca="false">I11+I12</f>
        <v>8756.88737259696</v>
      </c>
      <c r="J13" s="0" t="n">
        <f aca="false">J11+J12</f>
        <v>8975.80955691188</v>
      </c>
      <c r="K13" s="0" t="n">
        <f aca="false">K11+K12</f>
        <v>9177.7652719424</v>
      </c>
      <c r="L13" s="0" t="n">
        <f aca="false">L11+L12</f>
        <v>9361.32057738124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36.5</v>
      </c>
      <c r="D14" s="4" t="n">
        <f aca="false">Assumptions!D33</f>
        <v>36.5</v>
      </c>
      <c r="E14" s="4" t="n">
        <f aca="false">Assumptions!E33</f>
        <v>36.5</v>
      </c>
      <c r="F14" s="4" t="n">
        <f aca="false">Assumptions!F33</f>
        <v>36.5</v>
      </c>
      <c r="G14" s="4" t="n">
        <f aca="false">Assumptions!G33</f>
        <v>36.5</v>
      </c>
      <c r="H14" s="4" t="n">
        <f aca="false">Assumptions!H33</f>
        <v>36.5</v>
      </c>
      <c r="I14" s="4" t="n">
        <f aca="false">Assumptions!I33</f>
        <v>36.5</v>
      </c>
      <c r="J14" s="4" t="n">
        <f aca="false">Assumptions!J33</f>
        <v>36.5</v>
      </c>
      <c r="K14" s="4" t="n">
        <f aca="false">Assumptions!K33</f>
        <v>36.5</v>
      </c>
      <c r="L14" s="4" t="n">
        <f aca="false">Assumptions!L33</f>
        <v>36.5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4459.11398625</v>
      </c>
      <c r="D15" s="0" t="n">
        <f aca="false">D13-MAX(0,D13)*D14/100</f>
        <v>4648.9448388075</v>
      </c>
      <c r="E15" s="0" t="n">
        <f aca="false">E13-MAX(0,E13)*E14/100</f>
        <v>4869.11677696001</v>
      </c>
      <c r="F15" s="0" t="n">
        <f aca="false">F13-MAX(0,F13)*F14/100</f>
        <v>5098.31498104675</v>
      </c>
      <c r="G15" s="0" t="n">
        <f aca="false">G13-MAX(0,G13)*G14/100</f>
        <v>5279.80391107857</v>
      </c>
      <c r="H15" s="0" t="n">
        <f aca="false">H13-MAX(0,H13)*H14/100</f>
        <v>5424.99851863324</v>
      </c>
      <c r="I15" s="0" t="n">
        <f aca="false">I13-MAX(0,I13)*I14/100</f>
        <v>5560.62348159907</v>
      </c>
      <c r="J15" s="0" t="n">
        <f aca="false">J13-MAX(0,J13)*J14/100</f>
        <v>5699.63906863904</v>
      </c>
      <c r="K15" s="0" t="n">
        <f aca="false">K13-MAX(0,K13)*K14/100</f>
        <v>5827.88094768342</v>
      </c>
      <c r="L15" s="0" t="n">
        <f aca="false">L13-MAX(0,L13)*L14/100</f>
        <v>5944.43856663709</v>
      </c>
    </row>
    <row r="16" customFormat="false" ht="15" hidden="false" customHeight="false" outlineLevel="0" collapsed="false">
      <c r="A16" s="0" t="s">
        <v>121</v>
      </c>
      <c r="C16" s="0" t="n">
        <f aca="false">-C12</f>
        <v>3370.66884</v>
      </c>
      <c r="D16" s="0" t="n">
        <f aca="false">-D12</f>
        <v>3413.80537575</v>
      </c>
      <c r="E16" s="0" t="n">
        <f aca="false">-E12</f>
        <v>3473.855446215</v>
      </c>
      <c r="F16" s="0" t="n">
        <f aca="false">-F12</f>
        <v>3534.43609606972</v>
      </c>
      <c r="G16" s="0" t="n">
        <f aca="false">-G12</f>
        <v>3595.52511501414</v>
      </c>
      <c r="H16" s="0" t="n">
        <f aca="false">-H12</f>
        <v>3694.40205567703</v>
      </c>
      <c r="I16" s="0" t="n">
        <f aca="false">-I12</f>
        <v>3786.76210706895</v>
      </c>
      <c r="J16" s="0" t="n">
        <f aca="false">-J12</f>
        <v>3881.43115974568</v>
      </c>
      <c r="K16" s="0" t="n">
        <f aca="false">-K12</f>
        <v>3968.76336083995</v>
      </c>
      <c r="L16" s="0" t="n">
        <f aca="false">-L12</f>
        <v>4048.13862805675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-3049.65276</v>
      </c>
      <c r="D17" s="4" t="n">
        <f aca="false">-D6*Assumptions!D32/100</f>
        <v>-3290.41482</v>
      </c>
      <c r="E17" s="4" t="n">
        <f aca="false">-E6*Assumptions!E32/100</f>
        <v>-3389.1272646</v>
      </c>
      <c r="F17" s="4" t="n">
        <f aca="false">-F6*Assumptions!F32/100</f>
        <v>-3490.801082538</v>
      </c>
      <c r="G17" s="4" t="n">
        <f aca="false">-G6*Assumptions!G32/100</f>
        <v>-3595.52511501414</v>
      </c>
      <c r="H17" s="4" t="n">
        <f aca="false">-H6*Assumptions!H32/100</f>
        <v>-3694.40205567703</v>
      </c>
      <c r="I17" s="4" t="n">
        <f aca="false">-I6*Assumptions!I32/100</f>
        <v>-3786.76210706895</v>
      </c>
      <c r="J17" s="4" t="n">
        <f aca="false">-J6*Assumptions!J32/100</f>
        <v>-3881.43115974568</v>
      </c>
      <c r="K17" s="4" t="n">
        <f aca="false">-K6*Assumptions!K32/100</f>
        <v>-3968.76336083995</v>
      </c>
      <c r="L17" s="4" t="n">
        <f aca="false">-L6*Assumptions!L32/100</f>
        <v>-4048.13862805675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71.1611999999994</v>
      </c>
      <c r="D18" s="4" t="n">
        <f aca="false">(D6-C6)*Assumptions!$B$37/100</f>
        <v>120.381029999999</v>
      </c>
      <c r="E18" s="4" t="n">
        <f aca="false">(E6-D6)*Assumptions!$B$37/100</f>
        <v>148.0686669</v>
      </c>
      <c r="F18" s="4" t="n">
        <f aca="false">(F6-E6)*Assumptions!$B$37/100</f>
        <v>152.510726907</v>
      </c>
      <c r="G18" s="4" t="n">
        <f aca="false">(G6-F6)*Assumptions!$B$37/100</f>
        <v>157.08604871421</v>
      </c>
      <c r="H18" s="4" t="n">
        <f aca="false">(H6-G6)*Assumptions!$B$37/100</f>
        <v>148.315410994334</v>
      </c>
      <c r="I18" s="4" t="n">
        <f aca="false">(I6-H6)*Assumptions!$B$37/100</f>
        <v>138.540077087889</v>
      </c>
      <c r="J18" s="4" t="n">
        <f aca="false">(J6-I6)*Assumptions!$B$37/100</f>
        <v>142.003579015085</v>
      </c>
      <c r="K18" s="4" t="n">
        <f aca="false">(K6-J6)*Assumptions!$B$37/100</f>
        <v>130.998301641416</v>
      </c>
      <c r="L18" s="4" t="n">
        <f aca="false">(L6-K6)*Assumptions!$B$37/100</f>
        <v>119.062900825198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4851.29126625</v>
      </c>
      <c r="D19" s="0" t="n">
        <f aca="false">D15+D16+D17+D18</f>
        <v>4892.7164245575</v>
      </c>
      <c r="E19" s="0" t="n">
        <f aca="false">E15+E16+E17+E18</f>
        <v>5101.91362547501</v>
      </c>
      <c r="F19" s="0" t="n">
        <f aca="false">F15+F16+F17+F18</f>
        <v>5294.46072148547</v>
      </c>
      <c r="G19" s="0" t="n">
        <f aca="false">G15+G16+G17+G18</f>
        <v>5436.88995979278</v>
      </c>
      <c r="H19" s="0" t="n">
        <f aca="false">H15+H16+H17+H18</f>
        <v>5573.31392962757</v>
      </c>
      <c r="I19" s="0" t="n">
        <f aca="false">I15+I16+I17+I18</f>
        <v>5699.16355868696</v>
      </c>
      <c r="J19" s="0" t="n">
        <f aca="false">J15+J16+J17+J18</f>
        <v>5841.64264765413</v>
      </c>
      <c r="K19" s="0" t="n">
        <f aca="false">K15+K16+K17+K18</f>
        <v>5958.87924932484</v>
      </c>
      <c r="L19" s="0" t="n">
        <f aca="false">L15+L16+L17+L18</f>
        <v>6063.50146746229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4491.93635763889</v>
      </c>
      <c r="D21" s="0" t="n">
        <f aca="false">D19*D20</f>
        <v>4194.71572750128</v>
      </c>
      <c r="E21" s="0" t="n">
        <f aca="false">E19*E20</f>
        <v>4050.06352680217</v>
      </c>
      <c r="F21" s="0" t="n">
        <f aca="false">F19*F20</f>
        <v>3891.58668475007</v>
      </c>
      <c r="G21" s="0" t="n">
        <f aca="false">G19*G20</f>
        <v>3700.25595075648</v>
      </c>
      <c r="H21" s="0" t="n">
        <f aca="false">H19*H20</f>
        <v>3512.13315953582</v>
      </c>
      <c r="I21" s="0" t="n">
        <f aca="false">I19*I20</f>
        <v>3325.4071975218</v>
      </c>
      <c r="J21" s="0" t="n">
        <f aca="false">J19*J20</f>
        <v>3156.05775690726</v>
      </c>
      <c r="K21" s="0" t="n">
        <f aca="false">K19*K20</f>
        <v>2980.92318973583</v>
      </c>
      <c r="L21" s="0" t="n">
        <f aca="false">L19*L20</f>
        <v>2808.57439472046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0.25</v>
      </c>
      <c r="D23" s="4" t="n">
        <f aca="false">Assumptions!D30</f>
        <v>0.25</v>
      </c>
      <c r="E23" s="4" t="n">
        <f aca="false">Assumptions!E30</f>
        <v>0.25</v>
      </c>
      <c r="F23" s="4" t="n">
        <f aca="false">Assumptions!F30</f>
        <v>0.25</v>
      </c>
      <c r="G23" s="4" t="n">
        <f aca="false">Assumptions!G30</f>
        <v>0.25</v>
      </c>
      <c r="H23" s="4" t="n">
        <f aca="false">Assumptions!H30</f>
        <v>0.25</v>
      </c>
      <c r="I23" s="4" t="n">
        <f aca="false">Assumptions!I30</f>
        <v>0.25</v>
      </c>
      <c r="J23" s="4" t="n">
        <f aca="false">Assumptions!J30</f>
        <v>0.25</v>
      </c>
      <c r="K23" s="4" t="n">
        <f aca="false">Assumptions!K30</f>
        <v>0.25</v>
      </c>
      <c r="L23" s="4" t="n">
        <f aca="false">Assumptions!L30</f>
        <v>0.25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-200.63505</v>
      </c>
      <c r="D24" s="0" t="n">
        <f aca="false">-D6*D23/100</f>
        <v>-205.65092625</v>
      </c>
      <c r="E24" s="0" t="n">
        <f aca="false">-E6*E23/100</f>
        <v>-211.8204540375</v>
      </c>
      <c r="F24" s="0" t="n">
        <f aca="false">-F6*F23/100</f>
        <v>-218.175067658625</v>
      </c>
      <c r="G24" s="0" t="n">
        <f aca="false">-G6*G23/100</f>
        <v>-224.720319688384</v>
      </c>
      <c r="H24" s="0" t="n">
        <f aca="false">-H6*H23/100</f>
        <v>-230.900128479814</v>
      </c>
      <c r="I24" s="0" t="n">
        <f aca="false">-I6*I23/100</f>
        <v>-236.67263169181</v>
      </c>
      <c r="J24" s="0" t="n">
        <f aca="false">-J6*J23/100</f>
        <v>-242.589447484105</v>
      </c>
      <c r="K24" s="0" t="n">
        <f aca="false">-K6*K23/100</f>
        <v>-248.047710052497</v>
      </c>
      <c r="L24" s="0" t="n">
        <f aca="false">-L6*L23/100</f>
        <v>-253.008664253547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36111.6539458701</v>
      </c>
    </row>
    <row r="31" customFormat="false" ht="15" hidden="false" customHeight="false" outlineLevel="0" collapsed="false">
      <c r="A31" s="0" t="s">
        <v>130</v>
      </c>
      <c r="B31" s="0" t="n">
        <f aca="false">L19</f>
        <v>6063.50146746229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103079.524946859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90952.5220119343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90952.5220119343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42128.6159208069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78240.2698666769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79218.1698666769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16.4724717415068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0.331646866734584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16.4724717415068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47575.1653600887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8.19172631487627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3</v>
      </c>
      <c r="D5" s="4" t="n">
        <f aca="false">Assumptions!D41</f>
        <v>4.5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79068</v>
      </c>
      <c r="C6" s="0" t="n">
        <f aca="false">B6*(1+C5/100)</f>
        <v>81440.04</v>
      </c>
      <c r="D6" s="0" t="n">
        <f aca="false">C6*(1+D5/100)</f>
        <v>85104.8418</v>
      </c>
      <c r="E6" s="0" t="n">
        <f aca="false">D6*(1+E5/100)</f>
        <v>89360.08389</v>
      </c>
      <c r="F6" s="0" t="n">
        <f aca="false">E6*(1+F5/100)</f>
        <v>93828.0880845</v>
      </c>
      <c r="G6" s="0" t="n">
        <f aca="false">F6*(1+G5/100)</f>
        <v>98050.3520483025</v>
      </c>
      <c r="H6" s="0" t="n">
        <f aca="false">G6*(1+H5/100)</f>
        <v>101972.366130235</v>
      </c>
      <c r="I6" s="0" t="n">
        <f aca="false">H6*(1+I5/100)</f>
        <v>105541.398944793</v>
      </c>
      <c r="J6" s="0" t="n">
        <f aca="false">I6*(1+J5/100)</f>
        <v>108707.640913137</v>
      </c>
      <c r="K6" s="0" t="n">
        <f aca="false">J6*(1+K5/100)</f>
        <v>111968.870140531</v>
      </c>
      <c r="L6" s="0" t="n">
        <f aca="false">K6*(1+L5/100)</f>
        <v>114768.091894044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13.6</v>
      </c>
      <c r="D7" s="4" t="n">
        <f aca="false">Assumptions!D42</f>
        <v>14</v>
      </c>
      <c r="E7" s="4" t="n">
        <f aca="false">Assumptions!E42</f>
        <v>14.3</v>
      </c>
      <c r="F7" s="4" t="n">
        <f aca="false">Assumptions!F42</f>
        <v>14.5</v>
      </c>
      <c r="G7" s="4" t="n">
        <f aca="false">Assumptions!G42</f>
        <v>14.6</v>
      </c>
      <c r="H7" s="4" t="n">
        <f aca="false">Assumptions!H42</f>
        <v>14.7</v>
      </c>
      <c r="I7" s="4" t="n">
        <f aca="false">Assumptions!I42</f>
        <v>14.7</v>
      </c>
      <c r="J7" s="4" t="n">
        <f aca="false">Assumptions!J42</f>
        <v>14.7</v>
      </c>
      <c r="K7" s="4" t="n">
        <f aca="false">Assumptions!K42</f>
        <v>14.7</v>
      </c>
      <c r="L7" s="4" t="n">
        <f aca="false">Assumptions!L42</f>
        <v>14.7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11075.84544</v>
      </c>
      <c r="D8" s="0" t="n">
        <f aca="false">D6*D7/100</f>
        <v>11914.677852</v>
      </c>
      <c r="E8" s="0" t="n">
        <f aca="false">E6*E7/100</f>
        <v>12778.49199627</v>
      </c>
      <c r="F8" s="0" t="n">
        <f aca="false">F6*F7/100</f>
        <v>13605.0727722525</v>
      </c>
      <c r="G8" s="0" t="n">
        <f aca="false">G6*G7/100</f>
        <v>14315.3513990522</v>
      </c>
      <c r="H8" s="0" t="n">
        <f aca="false">H6*H7/100</f>
        <v>14989.9378211445</v>
      </c>
      <c r="I8" s="0" t="n">
        <f aca="false">I6*I7/100</f>
        <v>15514.5856448845</v>
      </c>
      <c r="J8" s="0" t="n">
        <f aca="false">J6*J7/100</f>
        <v>15980.0232142311</v>
      </c>
      <c r="K8" s="0" t="n">
        <f aca="false">K6*K7/100</f>
        <v>16459.423910658</v>
      </c>
      <c r="L8" s="0" t="n">
        <f aca="false">L6*L7/100</f>
        <v>16870.9095084245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10872.24534</v>
      </c>
      <c r="D11" s="0" t="n">
        <f aca="false">D8+D10+D24</f>
        <v>11701.9157475</v>
      </c>
      <c r="E11" s="0" t="n">
        <f aca="false">E8+E10+E24</f>
        <v>12555.091786545</v>
      </c>
      <c r="F11" s="0" t="n">
        <f aca="false">F8+F10+F24</f>
        <v>13370.5025520413</v>
      </c>
      <c r="G11" s="0" t="n">
        <f aca="false">G8+G10+G24</f>
        <v>14070.2255189314</v>
      </c>
      <c r="H11" s="0" t="n">
        <f aca="false">H8+H10+H24</f>
        <v>14735.0069058189</v>
      </c>
      <c r="I11" s="0" t="n">
        <f aca="false">I8+I10+I24</f>
        <v>15250.7321475226</v>
      </c>
      <c r="J11" s="0" t="n">
        <f aca="false">J8+J10+J24</f>
        <v>15708.2541119482</v>
      </c>
      <c r="K11" s="0" t="n">
        <f aca="false">K8+K10+K24</f>
        <v>16179.5017353067</v>
      </c>
      <c r="L11" s="0" t="n">
        <f aca="false">L8+L10+L24</f>
        <v>16583.9892786894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-3420.48168</v>
      </c>
      <c r="D12" s="4" t="n">
        <f aca="false">-D6*Assumptions!D45/100</f>
        <v>-3531.8509347</v>
      </c>
      <c r="E12" s="4" t="n">
        <f aca="false">-E6*Assumptions!E45/100</f>
        <v>-3663.76343949</v>
      </c>
      <c r="F12" s="4" t="n">
        <f aca="false">-F6*Assumptions!F45/100</f>
        <v>-3846.9516114645</v>
      </c>
      <c r="G12" s="4" t="n">
        <f aca="false">-G6*Assumptions!G45/100</f>
        <v>-4020.0644339804</v>
      </c>
      <c r="H12" s="4" t="n">
        <f aca="false">-H6*Assumptions!H45/100</f>
        <v>-4180.86701133962</v>
      </c>
      <c r="I12" s="4" t="n">
        <f aca="false">-I6*Assumptions!I45/100</f>
        <v>-4327.19735673651</v>
      </c>
      <c r="J12" s="4" t="n">
        <f aca="false">-J6*Assumptions!J45/100</f>
        <v>-4457.0132774386</v>
      </c>
      <c r="K12" s="4" t="n">
        <f aca="false">-K6*Assumptions!K45/100</f>
        <v>-4590.72367576176</v>
      </c>
      <c r="L12" s="4" t="n">
        <f aca="false">-L6*Assumptions!L45/100</f>
        <v>-4705.4917676558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7451.76366</v>
      </c>
      <c r="D13" s="0" t="n">
        <f aca="false">D11+D12</f>
        <v>8170.0648128</v>
      </c>
      <c r="E13" s="0" t="n">
        <f aca="false">E11+E12</f>
        <v>8891.328347055</v>
      </c>
      <c r="F13" s="0" t="n">
        <f aca="false">F11+F12</f>
        <v>9523.55094057675</v>
      </c>
      <c r="G13" s="0" t="n">
        <f aca="false">G11+G12</f>
        <v>10050.161084951</v>
      </c>
      <c r="H13" s="0" t="n">
        <f aca="false">H11+H12</f>
        <v>10554.1398944793</v>
      </c>
      <c r="I13" s="0" t="n">
        <f aca="false">I11+I12</f>
        <v>10923.5347907861</v>
      </c>
      <c r="J13" s="0" t="n">
        <f aca="false">J11+J12</f>
        <v>11251.2408345096</v>
      </c>
      <c r="K13" s="0" t="n">
        <f aca="false">K11+K12</f>
        <v>11588.7780595449</v>
      </c>
      <c r="L13" s="0" t="n">
        <f aca="false">L11+L12</f>
        <v>11878.4975110335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36</v>
      </c>
      <c r="D14" s="4" t="n">
        <f aca="false">Assumptions!D47</f>
        <v>36</v>
      </c>
      <c r="E14" s="4" t="n">
        <f aca="false">Assumptions!E47</f>
        <v>36</v>
      </c>
      <c r="F14" s="4" t="n">
        <f aca="false">Assumptions!F47</f>
        <v>36</v>
      </c>
      <c r="G14" s="4" t="n">
        <f aca="false">Assumptions!G47</f>
        <v>36</v>
      </c>
      <c r="H14" s="4" t="n">
        <f aca="false">Assumptions!H47</f>
        <v>36</v>
      </c>
      <c r="I14" s="4" t="n">
        <f aca="false">Assumptions!I47</f>
        <v>36</v>
      </c>
      <c r="J14" s="4" t="n">
        <f aca="false">Assumptions!J47</f>
        <v>36</v>
      </c>
      <c r="K14" s="4" t="n">
        <f aca="false">Assumptions!K47</f>
        <v>36</v>
      </c>
      <c r="L14" s="4" t="n">
        <f aca="false">Assumptions!L47</f>
        <v>36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4769.1287424</v>
      </c>
      <c r="D15" s="0" t="n">
        <f aca="false">D13-MAX(0,D13)*D14/100</f>
        <v>5228.841480192</v>
      </c>
      <c r="E15" s="0" t="n">
        <f aca="false">E13-MAX(0,E13)*E14/100</f>
        <v>5690.4501421152</v>
      </c>
      <c r="F15" s="0" t="n">
        <f aca="false">F13-MAX(0,F13)*F14/100</f>
        <v>6095.07260196912</v>
      </c>
      <c r="G15" s="0" t="n">
        <f aca="false">G13-MAX(0,G13)*G14/100</f>
        <v>6432.10309436865</v>
      </c>
      <c r="H15" s="0" t="n">
        <f aca="false">H13-MAX(0,H13)*H14/100</f>
        <v>6754.64953246674</v>
      </c>
      <c r="I15" s="0" t="n">
        <f aca="false">I13-MAX(0,I13)*I14/100</f>
        <v>6991.06226610308</v>
      </c>
      <c r="J15" s="0" t="n">
        <f aca="false">J13-MAX(0,J13)*J14/100</f>
        <v>7200.79413408617</v>
      </c>
      <c r="K15" s="0" t="n">
        <f aca="false">K13-MAX(0,K13)*K14/100</f>
        <v>7416.81795810876</v>
      </c>
      <c r="L15" s="0" t="n">
        <f aca="false">L13-MAX(0,L13)*L14/100</f>
        <v>7602.23840706147</v>
      </c>
    </row>
    <row r="16" customFormat="false" ht="15" hidden="false" customHeight="false" outlineLevel="0" collapsed="false">
      <c r="A16" s="0" t="s">
        <v>121</v>
      </c>
      <c r="C16" s="0" t="n">
        <f aca="false">-C12</f>
        <v>3420.48168</v>
      </c>
      <c r="D16" s="0" t="n">
        <f aca="false">-D12</f>
        <v>3531.8509347</v>
      </c>
      <c r="E16" s="0" t="n">
        <f aca="false">-E12</f>
        <v>3663.76343949</v>
      </c>
      <c r="F16" s="0" t="n">
        <f aca="false">-F12</f>
        <v>3846.9516114645</v>
      </c>
      <c r="G16" s="0" t="n">
        <f aca="false">-G12</f>
        <v>4020.0644339804</v>
      </c>
      <c r="H16" s="0" t="n">
        <f aca="false">-H12</f>
        <v>4180.86701133962</v>
      </c>
      <c r="I16" s="0" t="n">
        <f aca="false">-I12</f>
        <v>4327.19735673651</v>
      </c>
      <c r="J16" s="0" t="n">
        <f aca="false">-J12</f>
        <v>4457.0132774386</v>
      </c>
      <c r="K16" s="0" t="n">
        <f aca="false">-K12</f>
        <v>4590.72367576176</v>
      </c>
      <c r="L16" s="0" t="n">
        <f aca="false">-L12</f>
        <v>4705.4917676558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-3257.6016</v>
      </c>
      <c r="D17" s="4" t="n">
        <f aca="false">-D6*Assumptions!D46/100</f>
        <v>-3574.4033556</v>
      </c>
      <c r="E17" s="4" t="n">
        <f aca="false">-E6*Assumptions!E46/100</f>
        <v>-3753.12352338</v>
      </c>
      <c r="F17" s="4" t="n">
        <f aca="false">-F6*Assumptions!F46/100</f>
        <v>-3940.779699549</v>
      </c>
      <c r="G17" s="4" t="n">
        <f aca="false">-G6*Assumptions!G46/100</f>
        <v>-4020.0644339804</v>
      </c>
      <c r="H17" s="4" t="n">
        <f aca="false">-H6*Assumptions!H46/100</f>
        <v>-4180.86701133962</v>
      </c>
      <c r="I17" s="4" t="n">
        <f aca="false">-I6*Assumptions!I46/100</f>
        <v>-4221.65595779171</v>
      </c>
      <c r="J17" s="4" t="n">
        <f aca="false">-J6*Assumptions!J46/100</f>
        <v>-4348.30563652546</v>
      </c>
      <c r="K17" s="4" t="n">
        <f aca="false">-K6*Assumptions!K46/100</f>
        <v>-4478.75480562123</v>
      </c>
      <c r="L17" s="4" t="n">
        <f aca="false">-L6*Assumptions!L46/100</f>
        <v>-4590.72367576176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142.322400000001</v>
      </c>
      <c r="D18" s="4" t="n">
        <f aca="false">(D6-C6)*Assumptions!$B$51/100</f>
        <v>219.888108</v>
      </c>
      <c r="E18" s="4" t="n">
        <f aca="false">(E6-D6)*Assumptions!$B$51/100</f>
        <v>255.3145254</v>
      </c>
      <c r="F18" s="4" t="n">
        <f aca="false">(F6-E6)*Assumptions!$B$51/100</f>
        <v>268.08025167</v>
      </c>
      <c r="G18" s="4" t="n">
        <f aca="false">(G6-F6)*Assumptions!$B$51/100</f>
        <v>253.33583782815</v>
      </c>
      <c r="H18" s="4" t="n">
        <f aca="false">(H6-G6)*Assumptions!$B$51/100</f>
        <v>235.320844915927</v>
      </c>
      <c r="I18" s="4" t="n">
        <f aca="false">(I6-H6)*Assumptions!$B$51/100</f>
        <v>214.141968873492</v>
      </c>
      <c r="J18" s="4" t="n">
        <f aca="false">(J6-I6)*Assumptions!$B$51/100</f>
        <v>189.974518100627</v>
      </c>
      <c r="K18" s="4" t="n">
        <f aca="false">(K6-J6)*Assumptions!$B$51/100</f>
        <v>195.673753643646</v>
      </c>
      <c r="L18" s="4" t="n">
        <f aca="false">(L6-K6)*Assumptions!$B$51/100</f>
        <v>167.953305210795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5074.3312224</v>
      </c>
      <c r="D19" s="0" t="n">
        <f aca="false">D15+D16+D17+D18</f>
        <v>5406.177167292</v>
      </c>
      <c r="E19" s="0" t="n">
        <f aca="false">E15+E16+E17+E18</f>
        <v>5856.4045836252</v>
      </c>
      <c r="F19" s="0" t="n">
        <f aca="false">F15+F16+F17+F18</f>
        <v>6269.32476555462</v>
      </c>
      <c r="G19" s="0" t="n">
        <f aca="false">G15+G16+G17+G18</f>
        <v>6685.4389321968</v>
      </c>
      <c r="H19" s="0" t="n">
        <f aca="false">H15+H16+H17+H18</f>
        <v>6989.97037738267</v>
      </c>
      <c r="I19" s="0" t="n">
        <f aca="false">I15+I16+I17+I18</f>
        <v>7310.74563392136</v>
      </c>
      <c r="J19" s="0" t="n">
        <f aca="false">J15+J16+J17+J18</f>
        <v>7499.47629309993</v>
      </c>
      <c r="K19" s="0" t="n">
        <f aca="false">K15+K16+K17+K18</f>
        <v>7724.46058189293</v>
      </c>
      <c r="L19" s="0" t="n">
        <f aca="false">L15+L16+L17+L18</f>
        <v>7884.95980416631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4698.45483555556</v>
      </c>
      <c r="D21" s="0" t="n">
        <f aca="false">D19*D20</f>
        <v>4634.92555494856</v>
      </c>
      <c r="E21" s="0" t="n">
        <f aca="false">E19*E20</f>
        <v>4649.00277493999</v>
      </c>
      <c r="F21" s="0" t="n">
        <f aca="false">F19*F20</f>
        <v>4608.14085955877</v>
      </c>
      <c r="G21" s="0" t="n">
        <f aca="false">G19*G20</f>
        <v>4549.99740204841</v>
      </c>
      <c r="H21" s="0" t="n">
        <f aca="false">H19*H20</f>
        <v>4404.86702463919</v>
      </c>
      <c r="I21" s="0" t="n">
        <f aca="false">I19*I20</f>
        <v>4265.74985959769</v>
      </c>
      <c r="J21" s="0" t="n">
        <f aca="false">J19*J20</f>
        <v>4051.73369122211</v>
      </c>
      <c r="K21" s="0" t="n">
        <f aca="false">K19*K20</f>
        <v>3864.15342773961</v>
      </c>
      <c r="L21" s="0" t="n">
        <f aca="false">L19*L20</f>
        <v>3652.26203509932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0.25</v>
      </c>
      <c r="D23" s="4" t="n">
        <f aca="false">Assumptions!D44</f>
        <v>0.25</v>
      </c>
      <c r="E23" s="4" t="n">
        <f aca="false">Assumptions!E44</f>
        <v>0.25</v>
      </c>
      <c r="F23" s="4" t="n">
        <f aca="false">Assumptions!F44</f>
        <v>0.25</v>
      </c>
      <c r="G23" s="4" t="n">
        <f aca="false">Assumptions!G44</f>
        <v>0.25</v>
      </c>
      <c r="H23" s="4" t="n">
        <f aca="false">Assumptions!H44</f>
        <v>0.25</v>
      </c>
      <c r="I23" s="4" t="n">
        <f aca="false">Assumptions!I44</f>
        <v>0.25</v>
      </c>
      <c r="J23" s="4" t="n">
        <f aca="false">Assumptions!J44</f>
        <v>0.25</v>
      </c>
      <c r="K23" s="4" t="n">
        <f aca="false">Assumptions!K44</f>
        <v>0.25</v>
      </c>
      <c r="L23" s="4" t="n">
        <f aca="false">Assumptions!L44</f>
        <v>0.25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-203.6001</v>
      </c>
      <c r="D24" s="0" t="n">
        <f aca="false">-D6*D23/100</f>
        <v>-212.7621045</v>
      </c>
      <c r="E24" s="0" t="n">
        <f aca="false">-E6*E23/100</f>
        <v>-223.400209725</v>
      </c>
      <c r="F24" s="0" t="n">
        <f aca="false">-F6*F23/100</f>
        <v>-234.57022021125</v>
      </c>
      <c r="G24" s="0" t="n">
        <f aca="false">-G6*G23/100</f>
        <v>-245.125880120756</v>
      </c>
      <c r="H24" s="0" t="n">
        <f aca="false">-H6*H23/100</f>
        <v>-254.930915325587</v>
      </c>
      <c r="I24" s="0" t="n">
        <f aca="false">-I6*I23/100</f>
        <v>-263.853497361982</v>
      </c>
      <c r="J24" s="0" t="n">
        <f aca="false">-J6*J23/100</f>
        <v>-271.769102282842</v>
      </c>
      <c r="K24" s="0" t="n">
        <f aca="false">-K6*K23/100</f>
        <v>-279.922175351327</v>
      </c>
      <c r="L24" s="0" t="n">
        <f aca="false">-L6*L23/100</f>
        <v>-286.92022973511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43379.2874653492</v>
      </c>
    </row>
    <row r="31" customFormat="false" ht="15" hidden="false" customHeight="false" outlineLevel="0" collapsed="false">
      <c r="A31" s="0" t="s">
        <v>130</v>
      </c>
      <c r="B31" s="0" t="n">
        <f aca="false">L19</f>
        <v>7884.95980416631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146946.978168554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118274.397062495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118274.397062495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54783.9305264898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98163.217991839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99141.117991839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20.6152107185819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0.666548966740655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20.6152107185819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64656.6703941637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10.102904225522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10.8637070496039</v>
      </c>
      <c r="C4" s="0" t="n">
        <f aca="false">B4/Assumptions!$B$2-1</f>
        <v>-0.121769842392572</v>
      </c>
      <c r="D4" s="4" t="n">
        <f aca="false">Assumptions!$B$24</f>
        <v>0.25</v>
      </c>
      <c r="E4" s="4" t="n">
        <f aca="false">DCF_Bear!$B$43</f>
        <v>10.8637070496039</v>
      </c>
      <c r="F4" s="4" t="n">
        <f aca="false">DCF_Bear!$B$47</f>
        <v>5.59066197186245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16.4724717415068</v>
      </c>
      <c r="C5" s="0" t="n">
        <f aca="false">B5/Assumptions!$B$2-1</f>
        <v>0.331646866734584</v>
      </c>
      <c r="D5" s="4" t="n">
        <f aca="false">Assumptions!$B$38</f>
        <v>0.5</v>
      </c>
      <c r="E5" s="4" t="n">
        <f aca="false">DCF_Base!$B$43</f>
        <v>16.4724717415068</v>
      </c>
      <c r="F5" s="4" t="n">
        <f aca="false">DCF_Base!$B$47</f>
        <v>8.19172631487627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20.6152107185819</v>
      </c>
      <c r="C6" s="0" t="n">
        <f aca="false">B6/Assumptions!$B$2-1</f>
        <v>0.666548966740655</v>
      </c>
      <c r="D6" s="4" t="n">
        <f aca="false">Assumptions!$B$52</f>
        <v>0.25</v>
      </c>
      <c r="E6" s="4" t="n">
        <f aca="false">DCF_Bull!$B$43</f>
        <v>20.6152107185819</v>
      </c>
      <c r="F6" s="4" t="n">
        <f aca="false">DCF_Bull!$B$47</f>
        <v>10.102904225522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16.1059653127999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16.1059653127999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0.231961589401337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8.01925470678424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16.4724717415068</v>
      </c>
      <c r="C15" s="3" t="n">
        <v>8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15.1316055187084</v>
      </c>
      <c r="C16" s="3" t="n">
        <v>9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13.2505983509076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11.7881466176624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10.6186583395645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8.19172631487627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19.0333746513152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19.0333746513152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19.0333746513152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19.0333746513152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19.0333746513152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17.6929435808906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17.6929435808906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17.6929435808906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17.6929435808906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17.6929435808906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16.1387520374915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16.4724717415068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16.4724717415068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16.4724717415068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16.4724717415068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14.0949584002981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14.5787270555562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15.1316055187084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15.3598580952392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15.3598580952392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12.5079370561085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12.8574247242492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13.2505983509076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13.6961951277871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14.205448587078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2026-10-10T22:17:54Z</dcterms:created>
  <dc:creator>openpyxl</dc:creator>
  <dc:description/>
  <dc:language>en-NZ</dc:language>
  <cp:lastModifiedBy/>
  <dcterms:modified xsi:type="dcterms:W3CDTF">2026-10-10T22:17:54Z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