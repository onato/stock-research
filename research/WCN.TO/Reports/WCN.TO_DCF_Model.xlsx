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<sst xmlns="http://schemas.openxmlformats.org/spreadsheetml/2006/main" count="381" uniqueCount="173">
  <si>
    <t xml:space="preserve">Ticker</t>
  </si>
  <si>
    <t xml:space="preserve">WCN.TO</t>
  </si>
  <si>
    <t xml:space="preserve">Company</t>
  </si>
  <si>
    <t xml:space="preserve">Waste Connections,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</si>
  <si>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</si>
  <si>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</si>
  <si>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</si>
  <si>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</si>
  <si>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TSX regular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</si>
  <si>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</si>
  <si>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</si>
  <si>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</si>
  <si>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</si>
  <si>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</si>
  <si>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</si>
  <si>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</si>
  <si>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</si>
  <si>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</si>
  <si>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</si>
  <si>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</si>
  <si>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</si>
  <si>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</si>
  <si>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2026-10-10T10:43:24Z</t>
  </si>
  <si>
    <t xml:space="preserve">Drivers file</t>
  </si>
  <si>
    <t xml:space="preserve">WCN.TO_Drivers.json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</si>
  <si>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</si>
  <si>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</si>
  <si>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</si>
  <si>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WCN as a stream of unlevered owner FCF from the existing franchise, SBC and equity-award taxes fully expensed, share count held flat (funded by ~$0.5-0.6B/yr of buybacks), net debt of $9.2B deducted once, and acquisitions excluded on both sides so the price paid for growth and the growth bought cancel. A 10-year explicit horizon because margins are still ramping at year 5; a 20x owner-FCF terminal cap because WCN is a mature compounder, lowered to 18x in the bear. The current price sits well above the house value: the market is capitalising the roll-up spread and treating the premium multiple as permanent, which this model deliberately does not do. The 15% hurdle entry price is the number to act on.
key_risks_to_valuation: M&amp;A excluded on both sides: if WCN keeps buying at ~10-11x EBITDA and the market keeps paying ~14-15x, the model under-states value by the PV of that spread; if deal multiples rise or integration slips, the exclusion flatters it.; PFAS/CERCLA remediation and leachate costs are industry-wide, slow-moving and unquantified; the bear case charges 140bp of margin and higher capex, which may be too little.; Pricing normalisation: 6-7% total pricing is inflation-era; the base assumes it fades to ~4%. Faster fade with no volume recovery is the bear path.; Cash-tax ramp from 19% to 23%: permanent bonus depreciation could keep the cash rate nearer 17% for longer (upside); a change in US tax law could lift it (downside).; WACC 7.0% rounds a 6.7% CAPM build up; each 1pp of WACC moves the base value materially given a cap-bound terminal that is ~65% of EV (see sensitivity grid).; Terminal cap at 20x owner FCF binds in every scenario; the market currently pays ~29x unlevered owner FCF, so the model embeds a de-rating by construction.</t>
  </si>
  <si>
    <t xml:space="preserve">Data sources</t>
  </si>
  <si>
    <t xml:space="preserve">price: Yahoo Finance chart API (WCN.TO, regularMarketPrice, CAD) at inputs.price_as_of; 52-week range CAD 203.46-251.45; FX from Yahoo USDCAD=X (see inputs.fx_note).
financials: SEC XBRL companyfacts for Waste Connections, Inc. via research/WCN.TO/Reports/WCN.TO_Metrics.csv (identical to WCN_Metrics.csv; USD millions, FY2009-FY2025 annual, quarterly through Q2 2026); FY2025 10-K and Q2 2026 10-Q for shares, net debt, SBC, equity-award taxes, cash taxes, interest paid, acquisitions, leases, NCI.
qualitative: research/WCN/Reports/WCN_Analysis.json (2026-10-04) and research/WCN.TO/Reports/WCN.TO_Analysis.json where present.</t>
  </si>
  <si>
    <t xml:space="preserve">Scenario narrative: bear</t>
  </si>
  <si>
    <t xml:space="preserve">PFAS/CERCLA becomes a real cost of owning 93 landfills: leachate treatment, remediation and litigation push 'impairments and other operating items' from a Chiquita one-off into a recurring line, and PFAS capex keeps intensity at 12.5-12.8% with no RNG taper. Pricing normalises to ~3% as inflation fades while C&amp;D, special-waste and E&amp;P volumes keep falling 1-2%, so organic growth drops to 2-3%. Margin compresses 140bp to 32%; cash tax converges on the 24% book rate. No solvency question (net debt/EBITDA ~2.75-3.0x, cover ~5x), so the bear is a de-rating of a premium multiple, not a going-concern case; the terminal cap is lowered to 18x.</t>
  </si>
  <si>
    <t xml:space="preserve">Scenario narrative: base</t>
  </si>
  <si>
    <t xml:space="preserve">WCN keeps doing what it has done: price ahead of cost in secondary and franchise markets where it holds #1/#2 share, hold volumes roughly flat, and widen margins ~30bp a year while the RNG plants reach run-rate. FY2026 lands on the raised guide (revenue ~$10.0B, adjusted EBITDA ~33.25%, adjusted FCF ~$1.4B). Growth decelerates from 6% to 3% as CPI-linked escalators reset; margin (engine basis) matures at 35%; capex intensity eases from 12.4% to 11.5% once the RNG build-out is done; cash tax ramps from 19% to 23%. Acquisitions are excluded on both sides. The terminal value is cap-bound at 20x owner FCF.</t>
  </si>
  <si>
    <t xml:space="preserve">Scenario narrative: bull</t>
  </si>
  <si>
    <t xml:space="preserve">The two things WCN specifically needs go right: pricing stays sticky at 5-6% because half the collection book is under exclusive/franchise contracts with CPI-plus escalators, and C&amp;D/special-waste/E&amp;P volumes recover with construction and drilling activity. RNG credits and AI-driven routing/pricing lift the engine-basis margin to 36.5%; capex falls to 11% of revenue after FY2028. Still organic only: the real bull axis the model does NOT price is the roll-up spread (buying private haulers at ~10-11x EBITDA against WCN's ~14-15x, $0.8-2.2B a year), which is value creation that shows up only if the deals keep coming at those multiples.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</si>
  <si>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</si>
  <si>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</si>
  <si>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</si>
  <si>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</si>
  <si>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</si>
  <si>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</si>
  <si>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</si>
  <si>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</si>
  <si>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</si>
  <si>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</si>
  <si>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</si>
  <si>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</si>
  <si>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</si>
  <si>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</si>
  <si>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</si>
  <si>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</si>
  <si>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</si>
  <si>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</si>
  <si>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</si>
  <si>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</si>
  <si>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</si>
  <si>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</si>
  <si>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</si>
  <si>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</si>
  <si>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</si>
  <si>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</si>
  <si>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</si>
  <si>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</si>
  <si>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</si>
  <si>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</si>
  <si>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</si>
  <si>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</si>
  <si>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</si>
  <si>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</si>
  <si>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</si>
  <si>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</si>
  <si>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</si>
  <si>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</si>
  <si>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</si>
  <si>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</si>
  <si>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</si>
  <si>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</si>
  <si>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</si>
  <si>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</si>
  <si>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</si>
  <si>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</si>
  <si>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</si>
  <si>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</si>
  <si>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</si>
  <si>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</si>
  <si>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</si>
  <si>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</si>
  <si>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</si>
  <si>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</si>
  <si>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</si>
  <si>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</si>
  <si>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</si>
  <si>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</si>
  <si>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</si>
  <si>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</si>
  <si>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</si>
  <si>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</si>
  <si>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</si>
  <si>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</si>
  <si>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</si>
  <si>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</si>
  <si>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</si>
  <si>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</si>
  <si>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</si>
  <si>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</si>
  <si>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</si>
  <si>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</si>
  <si>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</si>
  <si>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</si>
  <si>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</si>
  <si>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</si>
  <si>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</si>
  <si>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</si>
  <si>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</si>
  <si>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</si>
  <si>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</si>
  <si>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WCN.TO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</si>
  <si>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</si>
  <si>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</si>
  <si>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</si>
  <si>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</si>
  <si>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</si>
  <si>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</si>
  <si>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</si>
  <si>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</si>
  <si>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</si>
  <si>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</si>
  <si>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</si>
  <si>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</si>
  <si>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</si>
  <si>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</si>
  <si>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</si>
  <si>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</si>
  <si>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</si>
  <si>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</si>
  <si>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</si>
  <si>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</si>
  <si>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</si>
  <si>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</si>
  <si>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</si>
  <si>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</si>
  <si>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</si>
  <si>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</si>
  <si>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</si>
  <si>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</si>
  <si>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</si>
  <si>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</si>
  <si>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WCN.TO owner-FCF component DCF: base case (millions, USD)</t>
  </si>
  <si>
    <t xml:space="preserve">WCN.TO owner-FCF component DCF: bull case (millions, USD)</t>
  </si>
  <si>
    <t xml:space="preserve">WCN.TO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</si>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</sst>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218.17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1015.546</v>
      </c>
      <c r="S2" s="0" t="n">
        <v>4.991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1429.765</v>
      </c>
      <c r="F3" s="0" t="n">
        <v>184.495</v>
      </c>
      <c r="G3" s="0" t="n">
        <v>12.9038688176029</v>
      </c>
      <c r="H3" s="0" t="n">
        <v>392.161</v>
      </c>
      <c r="I3" s="0" t="n">
        <v>82.169</v>
      </c>
      <c r="J3" s="0" t="n">
        <v>5.74702835780705</v>
      </c>
      <c r="K3" s="0" t="n">
        <v>0.77</v>
      </c>
      <c r="L3" s="0" t="n">
        <v>293.861</v>
      </c>
      <c r="M3" s="0" t="n">
        <v>97.647</v>
      </c>
      <c r="N3" s="0" t="n">
        <v>196.214</v>
      </c>
      <c r="O3" s="0" t="n">
        <v>1646.595</v>
      </c>
      <c r="P3" s="0" t="n">
        <v>3390.487</v>
      </c>
      <c r="Q3" s="0" t="n">
        <v>1743.892</v>
      </c>
      <c r="R3" s="0" t="n">
        <v>1259.659</v>
      </c>
      <c r="S3" s="0" t="n">
        <v>13.406</v>
      </c>
      <c r="T3" s="0" t="n">
        <v>121.429737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1840.096</v>
      </c>
      <c r="F4" s="0" t="n">
        <v>-88.391</v>
      </c>
      <c r="G4" s="0" t="n">
        <v>-4.8036080726223</v>
      </c>
      <c r="H4" s="0" t="n">
        <v>168.675</v>
      </c>
      <c r="I4" s="0" t="n">
        <v>-196.136</v>
      </c>
      <c r="J4" s="0" t="n">
        <v>-10.6590090951776</v>
      </c>
      <c r="K4" s="0" t="n">
        <v>-1.63</v>
      </c>
      <c r="L4" s="0" t="n">
        <v>395.706</v>
      </c>
      <c r="M4" s="0" t="n">
        <v>112.348</v>
      </c>
      <c r="N4" s="0" t="n">
        <v>283.358</v>
      </c>
      <c r="O4" s="0" t="n">
        <v>1293.141</v>
      </c>
      <c r="P4" s="0" t="n">
        <v>3077.604</v>
      </c>
      <c r="Q4" s="0" t="n">
        <v>1784.463</v>
      </c>
      <c r="R4" s="0" t="n">
        <v>1313.093</v>
      </c>
      <c r="S4" s="0" t="n">
        <v>14.143</v>
      </c>
      <c r="T4" s="0" t="n">
        <v>120.683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1896.741</v>
      </c>
      <c r="F5" s="0" t="n">
        <v>237.711</v>
      </c>
      <c r="G5" s="0" t="n">
        <v>12.5326019735958</v>
      </c>
      <c r="H5" s="0" t="n">
        <v>511.829</v>
      </c>
      <c r="I5" s="0" t="n">
        <v>94.357</v>
      </c>
      <c r="J5" s="0" t="n">
        <v>4.97469079858557</v>
      </c>
      <c r="K5" s="0" t="n">
        <v>0.81</v>
      </c>
      <c r="L5" s="0" t="n">
        <v>336.761</v>
      </c>
      <c r="M5" s="0" t="n">
        <v>180.322</v>
      </c>
      <c r="N5" s="0" t="n">
        <v>156.439</v>
      </c>
      <c r="O5" s="0" t="n">
        <v>1272.581</v>
      </c>
      <c r="P5" s="0" t="n">
        <v>3475.561</v>
      </c>
      <c r="Q5" s="0" t="n">
        <v>2202.98</v>
      </c>
      <c r="R5" s="0" t="n">
        <v>1688.277</v>
      </c>
      <c r="S5" s="0" t="n">
        <v>29.94</v>
      </c>
      <c r="T5" s="0" t="n">
        <v>116.178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2026.039</v>
      </c>
      <c r="F6" s="0" t="n">
        <v>232.916</v>
      </c>
      <c r="G6" s="0" t="n">
        <v>11.4961261851327</v>
      </c>
      <c r="H6" s="0" t="n">
        <v>529.407</v>
      </c>
      <c r="I6" s="0" t="n">
        <v>117.97</v>
      </c>
      <c r="J6" s="0" t="n">
        <v>5.82269146842682</v>
      </c>
      <c r="K6" s="0" t="n">
        <v>1.02</v>
      </c>
      <c r="L6" s="0" t="n">
        <v>450.735</v>
      </c>
      <c r="M6" s="0" t="n">
        <v>208.202</v>
      </c>
      <c r="N6" s="0" t="n">
        <v>242.533</v>
      </c>
      <c r="O6" s="0" t="n">
        <v>2048.207</v>
      </c>
      <c r="P6" s="0" t="n">
        <v>3392.57</v>
      </c>
      <c r="Q6" s="0" t="n">
        <v>2102.999</v>
      </c>
      <c r="R6" s="0" t="n">
        <v>1548.258</v>
      </c>
      <c r="S6" s="0" t="n">
        <v>13.591</v>
      </c>
      <c r="T6" s="0" t="n">
        <v>115.17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2079.166</v>
      </c>
      <c r="C7" s="0" t="n">
        <v>1138.388</v>
      </c>
      <c r="F7" s="0" t="n">
        <v>449.269</v>
      </c>
      <c r="G7" s="0" t="n">
        <v>21.6081351849732</v>
      </c>
      <c r="H7" s="0" t="n">
        <v>707.213</v>
      </c>
      <c r="I7" s="0" t="n">
        <v>233.327</v>
      </c>
      <c r="J7" s="0" t="n">
        <v>11.2221438788437</v>
      </c>
      <c r="K7" s="0" t="n">
        <v>1.87</v>
      </c>
      <c r="L7" s="0" t="n">
        <v>399.726</v>
      </c>
      <c r="M7" s="0" t="n">
        <v>241.277</v>
      </c>
      <c r="N7" s="0" t="n">
        <v>158.449</v>
      </c>
      <c r="O7" s="0" t="n">
        <v>2233.741</v>
      </c>
      <c r="P7" s="0" t="n">
        <v>5245.267</v>
      </c>
      <c r="Q7" s="0" t="n">
        <v>2147.643</v>
      </c>
      <c r="R7" s="0" t="n">
        <v>1558.045</v>
      </c>
      <c r="S7" s="0" t="n">
        <v>14.353</v>
      </c>
      <c r="T7" s="0" t="n">
        <v>124.787421</v>
      </c>
      <c r="U7" s="0" t="n">
        <v>18.446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2117.287</v>
      </c>
      <c r="C8" s="0" t="n">
        <v>1177.409</v>
      </c>
      <c r="F8" s="0" t="n">
        <v>-61.532</v>
      </c>
      <c r="G8" s="0" t="n">
        <v>-2.90617190772909</v>
      </c>
      <c r="H8" s="0" t="n">
        <v>207.902</v>
      </c>
      <c r="I8" s="0" t="n">
        <v>-95.764</v>
      </c>
      <c r="J8" s="0" t="n">
        <v>-4.52295791737256</v>
      </c>
      <c r="K8" s="0" t="n">
        <v>-0.52</v>
      </c>
      <c r="L8" s="0" t="n">
        <v>576.999</v>
      </c>
      <c r="M8" s="0" t="n">
        <v>238.833</v>
      </c>
      <c r="N8" s="0" t="n">
        <v>338.166</v>
      </c>
      <c r="O8" s="0" t="n">
        <v>1991.784</v>
      </c>
      <c r="P8" s="0" t="n">
        <v>5072.071</v>
      </c>
      <c r="Q8" s="0" t="n">
        <v>3130.014</v>
      </c>
      <c r="R8" s="0" t="n">
        <v>2149.254</v>
      </c>
      <c r="S8" s="0" t="n">
        <v>10.974</v>
      </c>
      <c r="T8" s="0" t="n">
        <v>185.237896</v>
      </c>
      <c r="U8" s="0" t="n">
        <v>20.318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3375.863</v>
      </c>
      <c r="C9" s="0" t="n">
        <v>1957.712</v>
      </c>
      <c r="F9" s="0" t="n">
        <v>452.298</v>
      </c>
      <c r="G9" s="0" t="n">
        <v>13.3979963049448</v>
      </c>
      <c r="H9" s="0" t="n">
        <v>916.21</v>
      </c>
      <c r="I9" s="0" t="n">
        <v>247.321</v>
      </c>
      <c r="J9" s="0" t="n">
        <v>7.3261563043287</v>
      </c>
      <c r="K9" s="0" t="n">
        <v>1.61</v>
      </c>
      <c r="L9" s="0" t="n">
        <v>795.312</v>
      </c>
      <c r="M9" s="0" t="n">
        <v>344.723</v>
      </c>
      <c r="N9" s="0" t="n">
        <v>450.589</v>
      </c>
      <c r="O9" s="0" t="n">
        <v>5654.877</v>
      </c>
      <c r="P9" s="0" t="n">
        <v>11103.925</v>
      </c>
      <c r="Q9" s="0" t="n">
        <v>5449.048</v>
      </c>
      <c r="R9" s="0" t="n">
        <v>3618.41</v>
      </c>
      <c r="S9" s="0" t="n">
        <v>154.382</v>
      </c>
      <c r="T9" s="0" t="n">
        <v>262.803271</v>
      </c>
      <c r="U9" s="0" t="n">
        <v>44.772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4630.488</v>
      </c>
      <c r="C10" s="0" t="n">
        <v>2704.775</v>
      </c>
      <c r="F10" s="0" t="n">
        <v>627.098</v>
      </c>
      <c r="G10" s="0" t="n">
        <v>13.542805855452</v>
      </c>
      <c r="H10" s="0" t="n">
        <v>1259.582</v>
      </c>
      <c r="I10" s="0" t="n">
        <v>577.42</v>
      </c>
      <c r="J10" s="0" t="n">
        <v>12.4699599696619</v>
      </c>
      <c r="K10" s="0" t="n">
        <v>2.19</v>
      </c>
      <c r="L10" s="0" t="n">
        <v>1187.26</v>
      </c>
      <c r="M10" s="0" t="n">
        <v>479.287</v>
      </c>
      <c r="N10" s="0" t="n">
        <v>707.973</v>
      </c>
      <c r="O10" s="0" t="n">
        <v>6274.07</v>
      </c>
      <c r="P10" s="0" t="n">
        <v>12014.681</v>
      </c>
      <c r="Q10" s="0" t="n">
        <v>5740.611</v>
      </c>
      <c r="R10" s="0" t="n">
        <v>3911.231</v>
      </c>
      <c r="S10" s="0" t="n">
        <v>433.815</v>
      </c>
      <c r="T10" s="0" t="n">
        <v>264.302411</v>
      </c>
      <c r="U10" s="0" t="n">
        <v>39.361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4922.941</v>
      </c>
      <c r="C11" s="0" t="n">
        <v>2865.704</v>
      </c>
      <c r="F11" s="0" t="n">
        <v>832.244</v>
      </c>
      <c r="G11" s="0" t="n">
        <v>16.9054229981631</v>
      </c>
      <c r="H11" s="0" t="n">
        <v>1512.731</v>
      </c>
      <c r="I11" s="0" t="n">
        <v>547.154</v>
      </c>
      <c r="J11" s="0" t="n">
        <v>11.1143724858779</v>
      </c>
      <c r="K11" s="0" t="n">
        <v>2.07</v>
      </c>
      <c r="L11" s="0" t="n">
        <v>1411.235</v>
      </c>
      <c r="M11" s="0" t="n">
        <v>546.145</v>
      </c>
      <c r="N11" s="0" t="n">
        <v>865.09</v>
      </c>
      <c r="O11" s="0" t="n">
        <v>6460.188</v>
      </c>
      <c r="P11" s="0" t="n">
        <v>12627.329</v>
      </c>
      <c r="Q11" s="0" t="n">
        <v>6167.141</v>
      </c>
      <c r="R11" s="0" t="n">
        <v>4155.251</v>
      </c>
      <c r="S11" s="0" t="n">
        <v>319.305</v>
      </c>
      <c r="T11" s="0" t="n">
        <v>264.395618</v>
      </c>
      <c r="U11" s="0" t="n">
        <v>43.803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5388.679</v>
      </c>
      <c r="C12" s="0" t="n">
        <v>3198.757</v>
      </c>
      <c r="F12" s="0" t="n">
        <v>837.778</v>
      </c>
      <c r="G12" s="0" t="n">
        <v>15.5470014079517</v>
      </c>
      <c r="H12" s="0" t="n">
        <v>1581.696</v>
      </c>
      <c r="I12" s="0" t="n">
        <v>566.841</v>
      </c>
      <c r="J12" s="0" t="n">
        <v>10.5191086720883</v>
      </c>
      <c r="K12" s="0" t="n">
        <v>2.15</v>
      </c>
      <c r="L12" s="0" t="n">
        <v>1540.547</v>
      </c>
      <c r="M12" s="0" t="n">
        <v>666.089</v>
      </c>
      <c r="N12" s="0" t="n">
        <v>874.458</v>
      </c>
      <c r="O12" s="0" t="n">
        <v>6938.354</v>
      </c>
      <c r="P12" s="0" t="n">
        <v>13737.695</v>
      </c>
      <c r="Q12" s="0" t="n">
        <v>6799.341</v>
      </c>
      <c r="R12" s="0" t="n">
        <v>4354.247</v>
      </c>
      <c r="S12" s="0" t="n">
        <v>326.738</v>
      </c>
      <c r="T12" s="0" t="n">
        <v>264.526561</v>
      </c>
      <c r="U12" s="0" t="n">
        <v>42.671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5445.99</v>
      </c>
      <c r="C13" s="0" t="n">
        <v>3276.808</v>
      </c>
      <c r="F13" s="0" t="n">
        <v>412.428</v>
      </c>
      <c r="G13" s="0" t="n">
        <v>7.57305834200944</v>
      </c>
      <c r="H13" s="0" t="n">
        <v>1164.832</v>
      </c>
      <c r="I13" s="0" t="n">
        <v>204.677</v>
      </c>
      <c r="J13" s="0" t="n">
        <v>3.75830657052253</v>
      </c>
      <c r="K13" s="0" t="n">
        <v>0.78</v>
      </c>
      <c r="L13" s="0" t="n">
        <v>1408.521</v>
      </c>
      <c r="M13" s="0" t="n">
        <v>664.561</v>
      </c>
      <c r="N13" s="0" t="n">
        <v>743.96</v>
      </c>
      <c r="O13" s="0" t="n">
        <v>6863.438</v>
      </c>
      <c r="P13" s="0" t="n">
        <v>13992.364</v>
      </c>
      <c r="Q13" s="0" t="n">
        <v>7128.926</v>
      </c>
      <c r="R13" s="0" t="n">
        <v>4716.946</v>
      </c>
      <c r="S13" s="0" t="n">
        <v>617.294</v>
      </c>
      <c r="T13" s="0" t="n">
        <v>263.687539</v>
      </c>
      <c r="U13" s="0" t="n">
        <v>45.751</v>
      </c>
      <c r="AA13" s="0" t="s">
        <v>18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6151.361</v>
      </c>
      <c r="C14" s="0" t="n">
        <v>3654.074</v>
      </c>
      <c r="F14" s="0" t="n">
        <v>1039.625</v>
      </c>
      <c r="G14" s="0" t="n">
        <v>16.9007313991164</v>
      </c>
      <c r="H14" s="0" t="n">
        <v>1852.634</v>
      </c>
      <c r="I14" s="0" t="n">
        <v>618.489</v>
      </c>
      <c r="J14" s="0" t="n">
        <v>10.054506636824</v>
      </c>
      <c r="K14" s="0" t="n">
        <v>2.37</v>
      </c>
      <c r="L14" s="0" t="n">
        <v>1698.229</v>
      </c>
      <c r="M14" s="0" t="n">
        <v>744.315</v>
      </c>
      <c r="N14" s="0" t="n">
        <v>953.914</v>
      </c>
      <c r="O14" s="0" t="n">
        <v>6993.545</v>
      </c>
      <c r="P14" s="0" t="n">
        <v>14699.924</v>
      </c>
      <c r="Q14" s="0" t="n">
        <v>7706.379</v>
      </c>
      <c r="R14" s="0" t="n">
        <v>5046.52</v>
      </c>
      <c r="S14" s="0" t="n">
        <v>147.441</v>
      </c>
      <c r="T14" s="0" t="n">
        <v>261.72847</v>
      </c>
      <c r="U14" s="0" t="n">
        <v>58.221</v>
      </c>
      <c r="AA14" s="0" t="s">
        <v>18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7211.859</v>
      </c>
      <c r="C15" s="0" t="n">
        <v>4336.012</v>
      </c>
      <c r="F15" s="0" t="n">
        <v>1242.19</v>
      </c>
      <c r="G15" s="0" t="n">
        <v>17.2242690823545</v>
      </c>
      <c r="H15" s="0" t="n">
        <v>2161.15</v>
      </c>
      <c r="I15" s="0" t="n">
        <v>836.001</v>
      </c>
      <c r="J15" s="0" t="n">
        <v>11.5920319573636</v>
      </c>
      <c r="K15" s="0" t="n">
        <v>3.25</v>
      </c>
      <c r="L15" s="0" t="n">
        <v>2022.492</v>
      </c>
      <c r="M15" s="0" t="n">
        <v>912.677</v>
      </c>
      <c r="N15" s="0" t="n">
        <v>1109.815</v>
      </c>
      <c r="O15" s="0" t="n">
        <v>7113.644</v>
      </c>
      <c r="P15" s="0" t="n">
        <v>17134.603</v>
      </c>
      <c r="Q15" s="0" t="n">
        <v>10020.959</v>
      </c>
      <c r="R15" s="0" t="n">
        <v>6896.908</v>
      </c>
      <c r="S15" s="0" t="n">
        <v>78.637</v>
      </c>
      <c r="T15" s="0" t="n">
        <v>258.038801</v>
      </c>
      <c r="U15" s="0" t="n">
        <v>63.485</v>
      </c>
      <c r="AA15" s="0" t="s">
        <v>18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8021.951</v>
      </c>
      <c r="C16" s="0" t="n">
        <v>4744.513</v>
      </c>
      <c r="F16" s="0" t="n">
        <v>1236.312</v>
      </c>
      <c r="G16" s="0" t="n">
        <v>15.4116124618562</v>
      </c>
      <c r="H16" s="0" t="n">
        <v>2239.523</v>
      </c>
      <c r="I16" s="0" t="n">
        <v>762.826</v>
      </c>
      <c r="J16" s="0" t="n">
        <v>9.50923285370354</v>
      </c>
      <c r="K16" s="0" t="n">
        <v>2.96</v>
      </c>
      <c r="L16" s="0" t="n">
        <v>2126.817</v>
      </c>
      <c r="M16" s="0" t="n">
        <v>934</v>
      </c>
      <c r="N16" s="0" t="n">
        <v>1192.817</v>
      </c>
      <c r="O16" s="0" t="n">
        <v>7697.781</v>
      </c>
      <c r="P16" s="0" t="n">
        <v>17915.876</v>
      </c>
      <c r="Q16" s="0" t="n">
        <v>10218.095</v>
      </c>
      <c r="R16" s="0" t="n">
        <v>6751.233</v>
      </c>
      <c r="S16" s="0" t="n">
        <v>78.399</v>
      </c>
      <c r="T16" s="0" t="n">
        <v>258.149244</v>
      </c>
      <c r="U16" s="0" t="n">
        <v>70.436</v>
      </c>
      <c r="AA16" s="0" t="s">
        <v>18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8919.591</v>
      </c>
      <c r="C17" s="0" t="n">
        <v>5191.706</v>
      </c>
      <c r="F17" s="0" t="n">
        <v>1067.659</v>
      </c>
      <c r="G17" s="0" t="n">
        <v>11.9698201408562</v>
      </c>
      <c r="H17" s="0" t="n">
        <v>2231.428</v>
      </c>
      <c r="I17" s="0" t="n">
        <v>617.573</v>
      </c>
      <c r="J17" s="0" t="n">
        <v>6.92378159491842</v>
      </c>
      <c r="K17" s="0" t="n">
        <v>2.39</v>
      </c>
      <c r="L17" s="0" t="n">
        <v>2228.927</v>
      </c>
      <c r="M17" s="0" t="n">
        <v>1055.988</v>
      </c>
      <c r="N17" s="0" t="n">
        <v>1172.939</v>
      </c>
      <c r="O17" s="0" t="n">
        <v>7860.354</v>
      </c>
      <c r="P17" s="0" t="n">
        <v>19817.809</v>
      </c>
      <c r="Q17" s="0" t="n">
        <v>11957.455</v>
      </c>
      <c r="R17" s="0" t="n">
        <v>8080.779</v>
      </c>
      <c r="S17" s="0" t="n">
        <v>62.366</v>
      </c>
      <c r="T17" s="0" t="n">
        <v>258.66219</v>
      </c>
      <c r="U17" s="0" t="n">
        <v>77.885</v>
      </c>
      <c r="AA17" s="0" t="s">
        <v>18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9466.915</v>
      </c>
      <c r="C18" s="0" t="n">
        <v>5455.382</v>
      </c>
      <c r="F18" s="0" t="n">
        <v>1710.174</v>
      </c>
      <c r="G18" s="0" t="n">
        <v>18.0647444283592</v>
      </c>
      <c r="H18" s="0" t="n">
        <v>2942.28</v>
      </c>
      <c r="I18" s="0" t="n">
        <v>1076.557</v>
      </c>
      <c r="J18" s="0" t="n">
        <v>11.3717826768277</v>
      </c>
      <c r="K18" s="0" t="n">
        <v>4.18</v>
      </c>
      <c r="L18" s="0" t="n">
        <v>2414.069</v>
      </c>
      <c r="M18" s="0" t="n">
        <v>1179.228</v>
      </c>
      <c r="N18" s="0" t="n">
        <v>1234.841</v>
      </c>
      <c r="O18" s="0" t="n">
        <v>8245.381</v>
      </c>
      <c r="P18" s="0" t="n">
        <v>21129.363</v>
      </c>
      <c r="Q18" s="0" t="n">
        <v>12883.982</v>
      </c>
      <c r="R18" s="0" t="n">
        <v>8819.771</v>
      </c>
      <c r="S18" s="0" t="n">
        <v>45.968</v>
      </c>
      <c r="T18" s="0" t="n">
        <v>257.976741</v>
      </c>
      <c r="U18" s="0" t="n">
        <v>79.448</v>
      </c>
      <c r="AA18" s="0" t="s">
        <v>18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218.17</v>
      </c>
    </row>
    <row r="3" customFormat="false" ht="15" hidden="false" customHeight="false" outlineLevel="0" collapsed="false">
      <c r="A3" s="0" t="s">
        <v>84</v>
      </c>
      <c r="B3" s="3" t="n">
        <v>252.45</v>
      </c>
    </row>
    <row r="4" customFormat="false" ht="15" hidden="false" customHeight="false" outlineLevel="0" collapsed="false">
      <c r="A4" s="0" t="s">
        <v>85</v>
      </c>
      <c r="B4" s="3" t="n">
        <v>9193.724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9466.915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1.4254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5.5</v>
      </c>
      <c r="D13" s="3" t="n">
        <v>3</v>
      </c>
      <c r="E13" s="3" t="n">
        <v>2.5</v>
      </c>
      <c r="F13" s="3" t="n">
        <v>2.5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33.2</v>
      </c>
      <c r="D14" s="3" t="n">
        <v>33</v>
      </c>
      <c r="E14" s="3" t="n">
        <v>32.7</v>
      </c>
      <c r="F14" s="3" t="n">
        <v>32.5</v>
      </c>
      <c r="G14" s="3" t="n">
        <v>32.3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106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13</v>
      </c>
      <c r="D17" s="3" t="n">
        <v>13</v>
      </c>
      <c r="E17" s="3" t="n">
        <v>13</v>
      </c>
      <c r="F17" s="3" t="n">
        <v>13</v>
      </c>
      <c r="G17" s="3" t="n">
        <v>13</v>
      </c>
      <c r="H17" s="3" t="n">
        <v>13</v>
      </c>
      <c r="I17" s="3" t="n">
        <v>13</v>
      </c>
      <c r="J17" s="3" t="n">
        <v>13</v>
      </c>
      <c r="K17" s="3" t="n">
        <v>13</v>
      </c>
      <c r="L17" s="3" t="n">
        <v>13</v>
      </c>
    </row>
    <row r="18" customFormat="false" ht="15" hidden="false" customHeight="false" outlineLevel="0" collapsed="false">
      <c r="A18" s="0" t="s">
        <v>109</v>
      </c>
      <c r="C18" s="3" t="n">
        <v>12.6</v>
      </c>
      <c r="D18" s="3" t="n">
        <v>12.8</v>
      </c>
      <c r="E18" s="3" t="n">
        <v>12.8</v>
      </c>
      <c r="F18" s="3" t="n">
        <v>12.8</v>
      </c>
      <c r="G18" s="3" t="n">
        <v>12.6</v>
      </c>
      <c r="H18" s="3" t="n">
        <v>12.5</v>
      </c>
      <c r="I18" s="3" t="n">
        <v>12.5</v>
      </c>
      <c r="J18" s="3" t="n">
        <v>12.5</v>
      </c>
      <c r="K18" s="3" t="n">
        <v>12.5</v>
      </c>
      <c r="L18" s="3" t="n">
        <v>12.5</v>
      </c>
    </row>
    <row r="19" customFormat="false" ht="15" hidden="false" customHeight="false" outlineLevel="0" collapsed="false">
      <c r="A19" s="0" t="s">
        <v>110</v>
      </c>
      <c r="C19" s="3" t="n">
        <v>19</v>
      </c>
      <c r="D19" s="3" t="n">
        <v>20.5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111</v>
      </c>
      <c r="B20" s="3" t="n">
        <v>7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18</v>
      </c>
    </row>
    <row r="23" customFormat="false" ht="15" hidden="false" customHeight="false" outlineLevel="0" collapsed="false">
      <c r="A23" s="0" t="s">
        <v>114</v>
      </c>
      <c r="B23" s="3" t="n">
        <v>-5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6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33.4</v>
      </c>
      <c r="D28" s="3" t="n">
        <v>33.7</v>
      </c>
      <c r="E28" s="3" t="n">
        <v>34</v>
      </c>
      <c r="F28" s="3" t="n">
        <v>34.3</v>
      </c>
      <c r="G28" s="3" t="n">
        <v>34.5</v>
      </c>
      <c r="H28" s="3" t="n">
        <v>34.7</v>
      </c>
      <c r="I28" s="3" t="n">
        <v>34.9</v>
      </c>
      <c r="J28" s="3" t="n">
        <v>35</v>
      </c>
      <c r="K28" s="3" t="n">
        <v>35</v>
      </c>
      <c r="L28" s="3" t="n">
        <v>35</v>
      </c>
    </row>
    <row r="29" customFormat="false" ht="15" hidden="false" customHeight="false" outlineLevel="0" collapsed="false">
      <c r="A29" s="0" t="s">
        <v>106</v>
      </c>
      <c r="C29" s="3" t="n">
        <v>1.15</v>
      </c>
      <c r="D29" s="3" t="n">
        <v>1.12</v>
      </c>
      <c r="E29" s="3" t="n">
        <v>1.1</v>
      </c>
      <c r="F29" s="3" t="n">
        <v>1.08</v>
      </c>
      <c r="G29" s="3" t="n">
        <v>1.05</v>
      </c>
      <c r="H29" s="3" t="n">
        <v>1.03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13</v>
      </c>
      <c r="D31" s="3" t="n">
        <v>12.9</v>
      </c>
      <c r="E31" s="3" t="n">
        <v>12.8</v>
      </c>
      <c r="F31" s="3" t="n">
        <v>12.7</v>
      </c>
      <c r="G31" s="3" t="n">
        <v>12.6</v>
      </c>
      <c r="H31" s="3" t="n">
        <v>12.5</v>
      </c>
      <c r="I31" s="3" t="n">
        <v>12.5</v>
      </c>
      <c r="J31" s="3" t="n">
        <v>12.5</v>
      </c>
      <c r="K31" s="3" t="n">
        <v>12.5</v>
      </c>
      <c r="L31" s="3" t="n">
        <v>12.5</v>
      </c>
    </row>
    <row r="32" customFormat="false" ht="15" hidden="false" customHeight="false" outlineLevel="0" collapsed="false">
      <c r="A32" s="0" t="s">
        <v>109</v>
      </c>
      <c r="C32" s="3" t="n">
        <v>12.4</v>
      </c>
      <c r="D32" s="3" t="n">
        <v>12.3</v>
      </c>
      <c r="E32" s="3" t="n">
        <v>12.2</v>
      </c>
      <c r="F32" s="3" t="n">
        <v>12</v>
      </c>
      <c r="G32" s="3" t="n">
        <v>11.8</v>
      </c>
      <c r="H32" s="3" t="n">
        <v>11.6</v>
      </c>
      <c r="I32" s="3" t="n">
        <v>11.5</v>
      </c>
      <c r="J32" s="3" t="n">
        <v>11.5</v>
      </c>
      <c r="K32" s="3" t="n">
        <v>11.5</v>
      </c>
      <c r="L32" s="3" t="n">
        <v>11.5</v>
      </c>
    </row>
    <row r="33" customFormat="false" ht="15" hidden="false" customHeight="false" outlineLevel="0" collapsed="false">
      <c r="A33" s="0" t="s">
        <v>110</v>
      </c>
      <c r="C33" s="3" t="n">
        <v>19</v>
      </c>
      <c r="D33" s="3" t="n">
        <v>20</v>
      </c>
      <c r="E33" s="3" t="n">
        <v>21</v>
      </c>
      <c r="F33" s="3" t="n">
        <v>22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7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-5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6.5</v>
      </c>
      <c r="D41" s="3" t="n">
        <v>6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33.6</v>
      </c>
      <c r="D42" s="3" t="n">
        <v>34.1</v>
      </c>
      <c r="E42" s="3" t="n">
        <v>34.6</v>
      </c>
      <c r="F42" s="3" t="n">
        <v>35</v>
      </c>
      <c r="G42" s="3" t="n">
        <v>35.4</v>
      </c>
      <c r="H42" s="3" t="n">
        <v>35.8</v>
      </c>
      <c r="I42" s="3" t="n">
        <v>36.1</v>
      </c>
      <c r="J42" s="3" t="n">
        <v>36.3</v>
      </c>
      <c r="K42" s="3" t="n">
        <v>36.5</v>
      </c>
      <c r="L42" s="3" t="n">
        <v>36.5</v>
      </c>
    </row>
    <row r="43" customFormat="false" ht="15" hidden="false" customHeight="false" outlineLevel="0" collapsed="false">
      <c r="A43" s="0" t="s">
        <v>106</v>
      </c>
      <c r="C43" s="3" t="n">
        <v>1.15</v>
      </c>
      <c r="D43" s="3" t="n">
        <v>1.12</v>
      </c>
      <c r="E43" s="3" t="n">
        <v>1.1</v>
      </c>
      <c r="F43" s="3" t="n">
        <v>1.08</v>
      </c>
      <c r="G43" s="3" t="n">
        <v>1.05</v>
      </c>
      <c r="H43" s="3" t="n">
        <v>1.03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13</v>
      </c>
      <c r="D45" s="3" t="n">
        <v>12.9</v>
      </c>
      <c r="E45" s="3" t="n">
        <v>12.8</v>
      </c>
      <c r="F45" s="3" t="n">
        <v>12.7</v>
      </c>
      <c r="G45" s="3" t="n">
        <v>12.6</v>
      </c>
      <c r="H45" s="3" t="n">
        <v>12.5</v>
      </c>
      <c r="I45" s="3" t="n">
        <v>12.4</v>
      </c>
      <c r="J45" s="3" t="n">
        <v>12.3</v>
      </c>
      <c r="K45" s="3" t="n">
        <v>12.2</v>
      </c>
      <c r="L45" s="3" t="n">
        <v>12.2</v>
      </c>
    </row>
    <row r="46" customFormat="false" ht="15" hidden="false" customHeight="false" outlineLevel="0" collapsed="false">
      <c r="A46" s="0" t="s">
        <v>109</v>
      </c>
      <c r="C46" s="3" t="n">
        <v>12.4</v>
      </c>
      <c r="D46" s="3" t="n">
        <v>12.2</v>
      </c>
      <c r="E46" s="3" t="n">
        <v>12</v>
      </c>
      <c r="F46" s="3" t="n">
        <v>11.7</v>
      </c>
      <c r="G46" s="3" t="n">
        <v>11.4</v>
      </c>
      <c r="H46" s="3" t="n">
        <v>11.2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110</v>
      </c>
      <c r="C47" s="3" t="n">
        <v>19</v>
      </c>
      <c r="D47" s="3" t="n">
        <v>19.5</v>
      </c>
      <c r="E47" s="3" t="n">
        <v>20</v>
      </c>
      <c r="F47" s="3" t="n">
        <v>20.5</v>
      </c>
      <c r="G47" s="3" t="n">
        <v>21</v>
      </c>
      <c r="H47" s="3" t="n">
        <v>21.5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111</v>
      </c>
      <c r="B48" s="3" t="n">
        <v>7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20</v>
      </c>
    </row>
    <row r="51" customFormat="false" ht="15" hidden="false" customHeight="false" outlineLevel="0" collapsed="false">
      <c r="A51" s="0" t="s">
        <v>114</v>
      </c>
      <c r="B51" s="3" t="n">
        <v>-5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5.5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9466.915</v>
      </c>
      <c r="C6" s="0" t="n">
        <f aca="false">B6*(1+C5/100)</f>
        <v>9987.595325</v>
      </c>
      <c r="D6" s="0" t="n">
        <f aca="false">C6*(1+D5/100)</f>
        <v>10287.22318475</v>
      </c>
      <c r="E6" s="0" t="n">
        <f aca="false">D6*(1+E5/100)</f>
        <v>10544.4037643688</v>
      </c>
      <c r="F6" s="0" t="n">
        <f aca="false">E6*(1+F5/100)</f>
        <v>10808.013858478</v>
      </c>
      <c r="G6" s="0" t="n">
        <f aca="false">F6*(1+G5/100)</f>
        <v>11024.1741356475</v>
      </c>
      <c r="H6" s="0" t="n">
        <f aca="false">G6*(1+H5/100)</f>
        <v>11244.6576183605</v>
      </c>
      <c r="I6" s="0" t="n">
        <f aca="false">H6*(1+I5/100)</f>
        <v>11469.5507707277</v>
      </c>
      <c r="J6" s="0" t="n">
        <f aca="false">I6*(1+J5/100)</f>
        <v>11698.9417861422</v>
      </c>
      <c r="K6" s="0" t="n">
        <f aca="false">J6*(1+K5/100)</f>
        <v>11932.9206218651</v>
      </c>
      <c r="L6" s="0" t="n">
        <f aca="false">K6*(1+L5/100)</f>
        <v>12171.5790343024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33.2</v>
      </c>
      <c r="D7" s="4" t="n">
        <f aca="false">Assumptions!D14</f>
        <v>33</v>
      </c>
      <c r="E7" s="4" t="n">
        <f aca="false">Assumptions!E14</f>
        <v>32.7</v>
      </c>
      <c r="F7" s="4" t="n">
        <f aca="false">Assumptions!F14</f>
        <v>32.5</v>
      </c>
      <c r="G7" s="4" t="n">
        <f aca="false">Assumptions!G14</f>
        <v>32.3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3315.8816479</v>
      </c>
      <c r="D8" s="0" t="n">
        <f aca="false">D6*D7/100</f>
        <v>3394.7836509675</v>
      </c>
      <c r="E8" s="0" t="n">
        <f aca="false">E6*E7/100</f>
        <v>3448.02003094858</v>
      </c>
      <c r="F8" s="0" t="n">
        <f aca="false">F6*F7/100</f>
        <v>3512.60450400534</v>
      </c>
      <c r="G8" s="0" t="n">
        <f aca="false">G6*G7/100</f>
        <v>3560.80824581415</v>
      </c>
      <c r="H8" s="0" t="n">
        <f aca="false">H6*H7/100</f>
        <v>3598.29043787535</v>
      </c>
      <c r="I8" s="0" t="n">
        <f aca="false">I6*I7/100</f>
        <v>3670.25624663286</v>
      </c>
      <c r="J8" s="0" t="n">
        <f aca="false">J6*J7/100</f>
        <v>3743.66137156552</v>
      </c>
      <c r="K8" s="0" t="n">
        <f aca="false">K6*K7/100</f>
        <v>3818.53459899683</v>
      </c>
      <c r="L8" s="0" t="n">
        <f aca="false">L6*L7/100</f>
        <v>3894.90529097676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-114.8573462375</v>
      </c>
      <c r="D10" s="0" t="n">
        <f aca="false">-D6*D9/100</f>
        <v>-118.303066624625</v>
      </c>
      <c r="E10" s="0" t="n">
        <f aca="false">-E6*E9/100</f>
        <v>-121.260643290241</v>
      </c>
      <c r="F10" s="0" t="n">
        <f aca="false">-F6*F9/100</f>
        <v>-124.292159372497</v>
      </c>
      <c r="G10" s="0" t="n">
        <f aca="false">-G6*G9/100</f>
        <v>-126.778002559947</v>
      </c>
      <c r="H10" s="0" t="n">
        <f aca="false">-H6*H9/100</f>
        <v>-129.313562611145</v>
      </c>
      <c r="I10" s="0" t="n">
        <f aca="false">-I6*I9/100</f>
        <v>-131.899833863368</v>
      </c>
      <c r="J10" s="0" t="n">
        <f aca="false">-J6*J9/100</f>
        <v>-134.537830540636</v>
      </c>
      <c r="K10" s="0" t="n">
        <f aca="false">-K6*K9/100</f>
        <v>-137.228587151448</v>
      </c>
      <c r="L10" s="0" t="n">
        <f aca="false">-L6*L9/100</f>
        <v>-139.973158894477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3201.0243016625</v>
      </c>
      <c r="D11" s="0" t="n">
        <f aca="false">D8+D10+D24</f>
        <v>3276.48058434288</v>
      </c>
      <c r="E11" s="0" t="n">
        <f aca="false">E8+E10+E24</f>
        <v>3326.75938765834</v>
      </c>
      <c r="F11" s="0" t="n">
        <f aca="false">F8+F10+F24</f>
        <v>3388.31234463284</v>
      </c>
      <c r="G11" s="0" t="n">
        <f aca="false">G8+G10+G24</f>
        <v>3434.03024325421</v>
      </c>
      <c r="H11" s="0" t="n">
        <f aca="false">H8+H10+H24</f>
        <v>3468.97687526421</v>
      </c>
      <c r="I11" s="0" t="n">
        <f aca="false">I8+I10+I24</f>
        <v>3538.35641276949</v>
      </c>
      <c r="J11" s="0" t="n">
        <f aca="false">J8+J10+J24</f>
        <v>3609.12354102488</v>
      </c>
      <c r="K11" s="0" t="n">
        <f aca="false">K8+K10+K24</f>
        <v>3681.30601184538</v>
      </c>
      <c r="L11" s="0" t="n">
        <f aca="false">L8+L10+L24</f>
        <v>3754.93213208229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-1298.38739225</v>
      </c>
      <c r="D12" s="4" t="n">
        <f aca="false">-D6*Assumptions!D17/100</f>
        <v>-1337.3390140175</v>
      </c>
      <c r="E12" s="4" t="n">
        <f aca="false">-E6*Assumptions!E17/100</f>
        <v>-1370.77248936794</v>
      </c>
      <c r="F12" s="4" t="n">
        <f aca="false">-F6*Assumptions!F17/100</f>
        <v>-1405.04180160214</v>
      </c>
      <c r="G12" s="4" t="n">
        <f aca="false">-G6*Assumptions!G17/100</f>
        <v>-1433.14263763418</v>
      </c>
      <c r="H12" s="4" t="n">
        <f aca="false">-H6*Assumptions!H17/100</f>
        <v>-1461.80549038686</v>
      </c>
      <c r="I12" s="4" t="n">
        <f aca="false">-I6*Assumptions!I17/100</f>
        <v>-1491.0416001946</v>
      </c>
      <c r="J12" s="4" t="n">
        <f aca="false">-J6*Assumptions!J17/100</f>
        <v>-1520.86243219849</v>
      </c>
      <c r="K12" s="4" t="n">
        <f aca="false">-K6*Assumptions!K17/100</f>
        <v>-1551.27968084246</v>
      </c>
      <c r="L12" s="4" t="n">
        <f aca="false">-L6*Assumptions!L17/100</f>
        <v>-1582.30527445931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1902.6369094125</v>
      </c>
      <c r="D13" s="0" t="n">
        <f aca="false">D11+D12</f>
        <v>1939.14157032538</v>
      </c>
      <c r="E13" s="0" t="n">
        <f aca="false">E11+E12</f>
        <v>1955.9868982904</v>
      </c>
      <c r="F13" s="0" t="n">
        <f aca="false">F11+F12</f>
        <v>1983.27054303071</v>
      </c>
      <c r="G13" s="0" t="n">
        <f aca="false">G11+G12</f>
        <v>2000.88760562003</v>
      </c>
      <c r="H13" s="0" t="n">
        <f aca="false">H11+H12</f>
        <v>2007.17138487735</v>
      </c>
      <c r="I13" s="0" t="n">
        <f aca="false">I11+I12</f>
        <v>2047.31481257489</v>
      </c>
      <c r="J13" s="0" t="n">
        <f aca="false">J11+J12</f>
        <v>2088.26110882639</v>
      </c>
      <c r="K13" s="0" t="n">
        <f aca="false">K11+K12</f>
        <v>2130.02633100292</v>
      </c>
      <c r="L13" s="0" t="n">
        <f aca="false">L11+L12</f>
        <v>2172.62685762298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19</v>
      </c>
      <c r="D14" s="4" t="n">
        <f aca="false">Assumptions!D19</f>
        <v>20.5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1541.13589662413</v>
      </c>
      <c r="D15" s="0" t="n">
        <f aca="false">D13-MAX(0,D13)*D14/100</f>
        <v>1541.61754840867</v>
      </c>
      <c r="E15" s="0" t="n">
        <f aca="false">E13-MAX(0,E13)*E14/100</f>
        <v>1525.66978066651</v>
      </c>
      <c r="F15" s="0" t="n">
        <f aca="false">F13-MAX(0,F13)*F14/100</f>
        <v>1527.11831813364</v>
      </c>
      <c r="G15" s="0" t="n">
        <f aca="false">G13-MAX(0,G13)*G14/100</f>
        <v>1520.67458027122</v>
      </c>
      <c r="H15" s="0" t="n">
        <f aca="false">H13-MAX(0,H13)*H14/100</f>
        <v>1525.45025250678</v>
      </c>
      <c r="I15" s="0" t="n">
        <f aca="false">I13-MAX(0,I13)*I14/100</f>
        <v>1555.95925755692</v>
      </c>
      <c r="J15" s="0" t="n">
        <f aca="false">J13-MAX(0,J13)*J14/100</f>
        <v>1587.07844270806</v>
      </c>
      <c r="K15" s="0" t="n">
        <f aca="false">K13-MAX(0,K13)*K14/100</f>
        <v>1618.82001156222</v>
      </c>
      <c r="L15" s="0" t="n">
        <f aca="false">L13-MAX(0,L13)*L14/100</f>
        <v>1651.19641179346</v>
      </c>
    </row>
    <row r="16" customFormat="false" ht="15" hidden="false" customHeight="false" outlineLevel="0" collapsed="false">
      <c r="A16" s="0" t="s">
        <v>126</v>
      </c>
      <c r="C16" s="0" t="n">
        <f aca="false">-C12</f>
        <v>1298.38739225</v>
      </c>
      <c r="D16" s="0" t="n">
        <f aca="false">-D12</f>
        <v>1337.3390140175</v>
      </c>
      <c r="E16" s="0" t="n">
        <f aca="false">-E12</f>
        <v>1370.77248936794</v>
      </c>
      <c r="F16" s="0" t="n">
        <f aca="false">-F12</f>
        <v>1405.04180160214</v>
      </c>
      <c r="G16" s="0" t="n">
        <f aca="false">-G12</f>
        <v>1433.14263763418</v>
      </c>
      <c r="H16" s="0" t="n">
        <f aca="false">-H12</f>
        <v>1461.80549038686</v>
      </c>
      <c r="I16" s="0" t="n">
        <f aca="false">-I12</f>
        <v>1491.0416001946</v>
      </c>
      <c r="J16" s="0" t="n">
        <f aca="false">-J12</f>
        <v>1520.86243219849</v>
      </c>
      <c r="K16" s="0" t="n">
        <f aca="false">-K12</f>
        <v>1551.27968084246</v>
      </c>
      <c r="L16" s="0" t="n">
        <f aca="false">-L12</f>
        <v>1582.30527445931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-1258.43701095</v>
      </c>
      <c r="D17" s="4" t="n">
        <f aca="false">-D6*Assumptions!D18/100</f>
        <v>-1316.764567648</v>
      </c>
      <c r="E17" s="4" t="n">
        <f aca="false">-E6*Assumptions!E18/100</f>
        <v>-1349.6836818392</v>
      </c>
      <c r="F17" s="4" t="n">
        <f aca="false">-F6*Assumptions!F18/100</f>
        <v>-1383.42577388518</v>
      </c>
      <c r="G17" s="4" t="n">
        <f aca="false">-G6*Assumptions!G18/100</f>
        <v>-1389.04594109159</v>
      </c>
      <c r="H17" s="4" t="n">
        <f aca="false">-H6*Assumptions!H18/100</f>
        <v>-1405.58220229506</v>
      </c>
      <c r="I17" s="4" t="n">
        <f aca="false">-I6*Assumptions!I18/100</f>
        <v>-1433.69384634096</v>
      </c>
      <c r="J17" s="4" t="n">
        <f aca="false">-J6*Assumptions!J18/100</f>
        <v>-1462.36772326778</v>
      </c>
      <c r="K17" s="4" t="n">
        <f aca="false">-K6*Assumptions!K18/100</f>
        <v>-1491.61507773314</v>
      </c>
      <c r="L17" s="4" t="n">
        <f aca="false">-L6*Assumptions!L18/100</f>
        <v>-1521.4473792878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-26.03401625</v>
      </c>
      <c r="D18" s="4" t="n">
        <f aca="false">(D6-C6)*Assumptions!$B$23/100</f>
        <v>-14.9813929875</v>
      </c>
      <c r="E18" s="4" t="n">
        <f aca="false">(E6-D6)*Assumptions!$B$23/100</f>
        <v>-12.8590289809375</v>
      </c>
      <c r="F18" s="4" t="n">
        <f aca="false">(F6-E6)*Assumptions!$B$23/100</f>
        <v>-13.1805047054609</v>
      </c>
      <c r="G18" s="4" t="n">
        <f aca="false">(G6-F6)*Assumptions!$B$23/100</f>
        <v>-10.808013858478</v>
      </c>
      <c r="H18" s="4" t="n">
        <f aca="false">(H6-G6)*Assumptions!$B$23/100</f>
        <v>-11.0241741356475</v>
      </c>
      <c r="I18" s="4" t="n">
        <f aca="false">(I6-H6)*Assumptions!$B$23/100</f>
        <v>-11.2446576183605</v>
      </c>
      <c r="J18" s="4" t="n">
        <f aca="false">(J6-I6)*Assumptions!$B$23/100</f>
        <v>-11.4695507707277</v>
      </c>
      <c r="K18" s="4" t="n">
        <f aca="false">(K6-J6)*Assumptions!$B$23/100</f>
        <v>-11.6989417861422</v>
      </c>
      <c r="L18" s="4" t="n">
        <f aca="false">(L6-K6)*Assumptions!$B$23/100</f>
        <v>-11.9329206218651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1555.05226167413</v>
      </c>
      <c r="D19" s="0" t="n">
        <f aca="false">D15+D16+D17+D18</f>
        <v>1547.21060179067</v>
      </c>
      <c r="E19" s="0" t="n">
        <f aca="false">E15+E16+E17+E18</f>
        <v>1533.89955921431</v>
      </c>
      <c r="F19" s="0" t="n">
        <f aca="false">F15+F16+F17+F18</f>
        <v>1535.55384114514</v>
      </c>
      <c r="G19" s="0" t="n">
        <f aca="false">G15+G16+G17+G18</f>
        <v>1553.96326295533</v>
      </c>
      <c r="H19" s="0" t="n">
        <f aca="false">H15+H16+H17+H18</f>
        <v>1570.64936646294</v>
      </c>
      <c r="I19" s="0" t="n">
        <f aca="false">I15+I16+I17+I18</f>
        <v>1602.0623537922</v>
      </c>
      <c r="J19" s="0" t="n">
        <f aca="false">J15+J16+J17+J18</f>
        <v>1634.10360086804</v>
      </c>
      <c r="K19" s="0" t="n">
        <f aca="false">K15+K16+K17+K18</f>
        <v>1666.7856728854</v>
      </c>
      <c r="L19" s="0" t="n">
        <f aca="false">L15+L16+L17+L18</f>
        <v>1700.12138634311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1453.31987072348</v>
      </c>
      <c r="D21" s="0" t="n">
        <f aca="false">D19*D20</f>
        <v>1351.39366039888</v>
      </c>
      <c r="E21" s="0" t="n">
        <f aca="false">E19*E20</f>
        <v>1252.11895355046</v>
      </c>
      <c r="F21" s="0" t="n">
        <f aca="false">F19*F20</f>
        <v>1171.46667325081</v>
      </c>
      <c r="G21" s="0" t="n">
        <f aca="false">G19*G20</f>
        <v>1107.9543299125</v>
      </c>
      <c r="H21" s="0" t="n">
        <f aca="false">H19*H20</f>
        <v>1046.58999168491</v>
      </c>
      <c r="I21" s="0" t="n">
        <f aca="false">I19*I20</f>
        <v>997.68391730711</v>
      </c>
      <c r="J21" s="0" t="n">
        <f aca="false">J19*J20</f>
        <v>951.063173507713</v>
      </c>
      <c r="K21" s="0" t="n">
        <f aca="false">K19*K20</f>
        <v>906.620969138193</v>
      </c>
      <c r="L21" s="0" t="n">
        <f aca="false">L19*L20</f>
        <v>864.255503290614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11102.4670427647</v>
      </c>
    </row>
    <row r="31" customFormat="false" ht="15" hidden="false" customHeight="false" outlineLevel="0" collapsed="false">
      <c r="A31" s="0" t="s">
        <v>135</v>
      </c>
      <c r="B31" s="0" t="n">
        <f aca="false">L19</f>
        <v>1700.12138634311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34682.4762813994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30602.184954176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30602.184954176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15556.5990592311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26659.0661019957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17465.3421019957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98.6139775487609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-0.547994785952418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887.279888837191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1451.56722733411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111.819731873936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13339.4139543844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11.2607652379077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9466.915</v>
      </c>
      <c r="C6" s="0" t="n">
        <f aca="false">B6*(1+C5/100)</f>
        <v>10034.9299</v>
      </c>
      <c r="D6" s="0" t="n">
        <f aca="false">C6*(1+D5/100)</f>
        <v>10536.676395</v>
      </c>
      <c r="E6" s="0" t="n">
        <f aca="false">D6*(1+E5/100)</f>
        <v>11010.826832775</v>
      </c>
      <c r="F6" s="0" t="n">
        <f aca="false">E6*(1+F5/100)</f>
        <v>11506.3140402499</v>
      </c>
      <c r="G6" s="0" t="n">
        <f aca="false">F6*(1+G5/100)</f>
        <v>11966.5666018599</v>
      </c>
      <c r="H6" s="0" t="n">
        <f aca="false">G6*(1+H5/100)</f>
        <v>12445.2292659343</v>
      </c>
      <c r="I6" s="0" t="n">
        <f aca="false">H6*(1+I5/100)</f>
        <v>12880.812290242</v>
      </c>
      <c r="J6" s="0" t="n">
        <f aca="false">I6*(1+J5/100)</f>
        <v>13331.6407204004</v>
      </c>
      <c r="K6" s="0" t="n">
        <f aca="false">J6*(1+K5/100)</f>
        <v>13731.5899420124</v>
      </c>
      <c r="L6" s="0" t="n">
        <f aca="false">K6*(1+L5/100)</f>
        <v>14143.5376402728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33.4</v>
      </c>
      <c r="D7" s="4" t="n">
        <f aca="false">Assumptions!D28</f>
        <v>33.7</v>
      </c>
      <c r="E7" s="4" t="n">
        <f aca="false">Assumptions!E28</f>
        <v>34</v>
      </c>
      <c r="F7" s="4" t="n">
        <f aca="false">Assumptions!F28</f>
        <v>34.3</v>
      </c>
      <c r="G7" s="4" t="n">
        <f aca="false">Assumptions!G28</f>
        <v>34.5</v>
      </c>
      <c r="H7" s="4" t="n">
        <f aca="false">Assumptions!H28</f>
        <v>34.7</v>
      </c>
      <c r="I7" s="4" t="n">
        <f aca="false">Assumptions!I28</f>
        <v>34.9</v>
      </c>
      <c r="J7" s="4" t="n">
        <f aca="false">Assumptions!J28</f>
        <v>35</v>
      </c>
      <c r="K7" s="4" t="n">
        <f aca="false">Assumptions!K28</f>
        <v>35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3351.6665866</v>
      </c>
      <c r="D8" s="0" t="n">
        <f aca="false">D6*D7/100</f>
        <v>3550.859945115</v>
      </c>
      <c r="E8" s="0" t="n">
        <f aca="false">E6*E7/100</f>
        <v>3743.6811231435</v>
      </c>
      <c r="F8" s="0" t="n">
        <f aca="false">F6*F7/100</f>
        <v>3946.66571580571</v>
      </c>
      <c r="G8" s="0" t="n">
        <f aca="false">G6*G7/100</f>
        <v>4128.46547764166</v>
      </c>
      <c r="H8" s="0" t="n">
        <f aca="false">H6*H7/100</f>
        <v>4318.49455527919</v>
      </c>
      <c r="I8" s="0" t="n">
        <f aca="false">I6*I7/100</f>
        <v>4495.40348929445</v>
      </c>
      <c r="J8" s="0" t="n">
        <f aca="false">J6*J7/100</f>
        <v>4666.07425214015</v>
      </c>
      <c r="K8" s="0" t="n">
        <f aca="false">K6*K7/100</f>
        <v>4806.05647970436</v>
      </c>
      <c r="L8" s="0" t="n">
        <f aca="false">L6*L7/100</f>
        <v>4950.23817409549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1.15</v>
      </c>
      <c r="D9" s="4" t="n">
        <f aca="false">Assumptions!D29</f>
        <v>1.12</v>
      </c>
      <c r="E9" s="4" t="n">
        <f aca="false">Assumptions!E29</f>
        <v>1.1</v>
      </c>
      <c r="F9" s="4" t="n">
        <f aca="false">Assumptions!F29</f>
        <v>1.08</v>
      </c>
      <c r="G9" s="4" t="n">
        <f aca="false">Assumptions!G29</f>
        <v>1.05</v>
      </c>
      <c r="H9" s="4" t="n">
        <f aca="false">Assumptions!H29</f>
        <v>1.03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-115.40169385</v>
      </c>
      <c r="D10" s="0" t="n">
        <f aca="false">-D6*D9/100</f>
        <v>-118.010775624</v>
      </c>
      <c r="E10" s="0" t="n">
        <f aca="false">-E6*E9/100</f>
        <v>-121.119095160525</v>
      </c>
      <c r="F10" s="0" t="n">
        <f aca="false">-F6*F9/100</f>
        <v>-124.268191634699</v>
      </c>
      <c r="G10" s="0" t="n">
        <f aca="false">-G6*G9/100</f>
        <v>-125.648949319529</v>
      </c>
      <c r="H10" s="0" t="n">
        <f aca="false">-H6*H9/100</f>
        <v>-128.185861439123</v>
      </c>
      <c r="I10" s="0" t="n">
        <f aca="false">-I6*I9/100</f>
        <v>-128.80812290242</v>
      </c>
      <c r="J10" s="0" t="n">
        <f aca="false">-J6*J9/100</f>
        <v>-133.316407204004</v>
      </c>
      <c r="K10" s="0" t="n">
        <f aca="false">-K6*K9/100</f>
        <v>-137.315899420124</v>
      </c>
      <c r="L10" s="0" t="n">
        <f aca="false">-L6*L9/100</f>
        <v>-141.435376402728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3236.26489275</v>
      </c>
      <c r="D11" s="0" t="n">
        <f aca="false">D8+D10+D24</f>
        <v>3432.849169491</v>
      </c>
      <c r="E11" s="0" t="n">
        <f aca="false">E8+E10+E24</f>
        <v>3622.56202798298</v>
      </c>
      <c r="F11" s="0" t="n">
        <f aca="false">F8+F10+F24</f>
        <v>3822.39752417101</v>
      </c>
      <c r="G11" s="0" t="n">
        <f aca="false">G8+G10+G24</f>
        <v>4002.81652832213</v>
      </c>
      <c r="H11" s="0" t="n">
        <f aca="false">H8+H10+H24</f>
        <v>4190.30869384007</v>
      </c>
      <c r="I11" s="0" t="n">
        <f aca="false">I8+I10+I24</f>
        <v>4366.59536639203</v>
      </c>
      <c r="J11" s="0" t="n">
        <f aca="false">J8+J10+J24</f>
        <v>4532.75784493615</v>
      </c>
      <c r="K11" s="0" t="n">
        <f aca="false">K8+K10+K24</f>
        <v>4668.74058028423</v>
      </c>
      <c r="L11" s="0" t="n">
        <f aca="false">L8+L10+L24</f>
        <v>4808.80279769276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-1304.540887</v>
      </c>
      <c r="D12" s="4" t="n">
        <f aca="false">-D6*Assumptions!D31/100</f>
        <v>-1359.231254955</v>
      </c>
      <c r="E12" s="4" t="n">
        <f aca="false">-E6*Assumptions!E31/100</f>
        <v>-1409.3858345952</v>
      </c>
      <c r="F12" s="4" t="n">
        <f aca="false">-F6*Assumptions!F31/100</f>
        <v>-1461.30188311173</v>
      </c>
      <c r="G12" s="4" t="n">
        <f aca="false">-G6*Assumptions!G31/100</f>
        <v>-1507.78739183434</v>
      </c>
      <c r="H12" s="4" t="n">
        <f aca="false">-H6*Assumptions!H31/100</f>
        <v>-1555.65365824178</v>
      </c>
      <c r="I12" s="4" t="n">
        <f aca="false">-I6*Assumptions!I31/100</f>
        <v>-1610.10153628025</v>
      </c>
      <c r="J12" s="4" t="n">
        <f aca="false">-J6*Assumptions!J31/100</f>
        <v>-1666.45509005005</v>
      </c>
      <c r="K12" s="4" t="n">
        <f aca="false">-K6*Assumptions!K31/100</f>
        <v>-1716.44874275156</v>
      </c>
      <c r="L12" s="4" t="n">
        <f aca="false">-L6*Assumptions!L31/100</f>
        <v>-1767.9422050341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1931.72400575</v>
      </c>
      <c r="D13" s="0" t="n">
        <f aca="false">D11+D12</f>
        <v>2073.617914536</v>
      </c>
      <c r="E13" s="0" t="n">
        <f aca="false">E11+E12</f>
        <v>2213.17619338778</v>
      </c>
      <c r="F13" s="0" t="n">
        <f aca="false">F11+F12</f>
        <v>2361.09564105927</v>
      </c>
      <c r="G13" s="0" t="n">
        <f aca="false">G11+G12</f>
        <v>2495.02913648778</v>
      </c>
      <c r="H13" s="0" t="n">
        <f aca="false">H11+H12</f>
        <v>2634.65503559828</v>
      </c>
      <c r="I13" s="0" t="n">
        <f aca="false">I11+I12</f>
        <v>2756.49383011178</v>
      </c>
      <c r="J13" s="0" t="n">
        <f aca="false">J11+J12</f>
        <v>2866.30275488609</v>
      </c>
      <c r="K13" s="0" t="n">
        <f aca="false">K11+K12</f>
        <v>2952.29183753268</v>
      </c>
      <c r="L13" s="0" t="n">
        <f aca="false">L11+L12</f>
        <v>3040.86059265866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19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1564.6964446575</v>
      </c>
      <c r="D15" s="0" t="n">
        <f aca="false">D13-MAX(0,D13)*D14/100</f>
        <v>1658.8943316288</v>
      </c>
      <c r="E15" s="0" t="n">
        <f aca="false">E13-MAX(0,E13)*E14/100</f>
        <v>1748.40919277634</v>
      </c>
      <c r="F15" s="0" t="n">
        <f aca="false">F13-MAX(0,F13)*F14/100</f>
        <v>1841.65460002623</v>
      </c>
      <c r="G15" s="0" t="n">
        <f aca="false">G13-MAX(0,G13)*G14/100</f>
        <v>1921.17243509559</v>
      </c>
      <c r="H15" s="0" t="n">
        <f aca="false">H13-MAX(0,H13)*H14/100</f>
        <v>2028.68437741068</v>
      </c>
      <c r="I15" s="0" t="n">
        <f aca="false">I13-MAX(0,I13)*I14/100</f>
        <v>2122.50024918607</v>
      </c>
      <c r="J15" s="0" t="n">
        <f aca="false">J13-MAX(0,J13)*J14/100</f>
        <v>2207.05312126229</v>
      </c>
      <c r="K15" s="0" t="n">
        <f aca="false">K13-MAX(0,K13)*K14/100</f>
        <v>2273.26471490016</v>
      </c>
      <c r="L15" s="0" t="n">
        <f aca="false">L13-MAX(0,L13)*L14/100</f>
        <v>2341.46265634717</v>
      </c>
    </row>
    <row r="16" customFormat="false" ht="15" hidden="false" customHeight="false" outlineLevel="0" collapsed="false">
      <c r="A16" s="0" t="s">
        <v>126</v>
      </c>
      <c r="C16" s="0" t="n">
        <f aca="false">-C12</f>
        <v>1304.540887</v>
      </c>
      <c r="D16" s="0" t="n">
        <f aca="false">-D12</f>
        <v>1359.231254955</v>
      </c>
      <c r="E16" s="0" t="n">
        <f aca="false">-E12</f>
        <v>1409.3858345952</v>
      </c>
      <c r="F16" s="0" t="n">
        <f aca="false">-F12</f>
        <v>1461.30188311173</v>
      </c>
      <c r="G16" s="0" t="n">
        <f aca="false">-G12</f>
        <v>1507.78739183434</v>
      </c>
      <c r="H16" s="0" t="n">
        <f aca="false">-H12</f>
        <v>1555.65365824178</v>
      </c>
      <c r="I16" s="0" t="n">
        <f aca="false">-I12</f>
        <v>1610.10153628025</v>
      </c>
      <c r="J16" s="0" t="n">
        <f aca="false">-J12</f>
        <v>1666.45509005005</v>
      </c>
      <c r="K16" s="0" t="n">
        <f aca="false">-K12</f>
        <v>1716.44874275156</v>
      </c>
      <c r="L16" s="0" t="n">
        <f aca="false">-L12</f>
        <v>1767.9422050341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-1244.3313076</v>
      </c>
      <c r="D17" s="4" t="n">
        <f aca="false">-D6*Assumptions!D32/100</f>
        <v>-1296.011196585</v>
      </c>
      <c r="E17" s="4" t="n">
        <f aca="false">-E6*Assumptions!E32/100</f>
        <v>-1343.32087359855</v>
      </c>
      <c r="F17" s="4" t="n">
        <f aca="false">-F6*Assumptions!F32/100</f>
        <v>-1380.75768482999</v>
      </c>
      <c r="G17" s="4" t="n">
        <f aca="false">-G6*Assumptions!G32/100</f>
        <v>-1412.05485901946</v>
      </c>
      <c r="H17" s="4" t="n">
        <f aca="false">-H6*Assumptions!H32/100</f>
        <v>-1443.64659484838</v>
      </c>
      <c r="I17" s="4" t="n">
        <f aca="false">-I6*Assumptions!I32/100</f>
        <v>-1481.29341337783</v>
      </c>
      <c r="J17" s="4" t="n">
        <f aca="false">-J6*Assumptions!J32/100</f>
        <v>-1533.13868284605</v>
      </c>
      <c r="K17" s="4" t="n">
        <f aca="false">-K6*Assumptions!K32/100</f>
        <v>-1579.13284333143</v>
      </c>
      <c r="L17" s="4" t="n">
        <f aca="false">-L6*Assumptions!L32/100</f>
        <v>-1626.50682863137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-28.400745</v>
      </c>
      <c r="D18" s="4" t="n">
        <f aca="false">(D6-C6)*Assumptions!$B$37/100</f>
        <v>-25.0873247500001</v>
      </c>
      <c r="E18" s="4" t="n">
        <f aca="false">(E6-D6)*Assumptions!$B$37/100</f>
        <v>-23.7075218887499</v>
      </c>
      <c r="F18" s="4" t="n">
        <f aca="false">(F6-E6)*Assumptions!$B$37/100</f>
        <v>-24.7743603737437</v>
      </c>
      <c r="G18" s="4" t="n">
        <f aca="false">(G6-F6)*Assumptions!$B$37/100</f>
        <v>-23.0126280804998</v>
      </c>
      <c r="H18" s="4" t="n">
        <f aca="false">(H6-G6)*Assumptions!$B$37/100</f>
        <v>-23.9331332037198</v>
      </c>
      <c r="I18" s="4" t="n">
        <f aca="false">(I6-H6)*Assumptions!$B$37/100</f>
        <v>-21.7791512153849</v>
      </c>
      <c r="J18" s="4" t="n">
        <f aca="false">(J6-I6)*Assumptions!$B$37/100</f>
        <v>-22.5414215079234</v>
      </c>
      <c r="K18" s="4" t="n">
        <f aca="false">(K6-J6)*Assumptions!$B$37/100</f>
        <v>-19.9974610806006</v>
      </c>
      <c r="L18" s="4" t="n">
        <f aca="false">(L6-K6)*Assumptions!$B$37/100</f>
        <v>-20.5973849130187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1596.5052790575</v>
      </c>
      <c r="D19" s="0" t="n">
        <f aca="false">D15+D16+D17+D18</f>
        <v>1697.0270652488</v>
      </c>
      <c r="E19" s="0" t="n">
        <f aca="false">E15+E16+E17+E18</f>
        <v>1790.76663188424</v>
      </c>
      <c r="F19" s="0" t="n">
        <f aca="false">F15+F16+F17+F18</f>
        <v>1897.42443793424</v>
      </c>
      <c r="G19" s="0" t="n">
        <f aca="false">G15+G16+G17+G18</f>
        <v>1993.89233982997</v>
      </c>
      <c r="H19" s="0" t="n">
        <f aca="false">H15+H16+H17+H18</f>
        <v>2116.75830760037</v>
      </c>
      <c r="I19" s="0" t="n">
        <f aca="false">I15+I16+I17+I18</f>
        <v>2229.52922087311</v>
      </c>
      <c r="J19" s="0" t="n">
        <f aca="false">J15+J16+J17+J18</f>
        <v>2317.82810695837</v>
      </c>
      <c r="K19" s="0" t="n">
        <f aca="false">K15+K16+K17+K18</f>
        <v>2390.58315323968</v>
      </c>
      <c r="L19" s="0" t="n">
        <f aca="false">L15+L16+L17+L18</f>
        <v>2462.30064783687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1492.06100846495</v>
      </c>
      <c r="D21" s="0" t="n">
        <f aca="false">D19*D20</f>
        <v>1482.24916171613</v>
      </c>
      <c r="E21" s="0" t="n">
        <f aca="false">E19*E20</f>
        <v>1461.79899961409</v>
      </c>
      <c r="F21" s="0" t="n">
        <f aca="false">F19*F20</f>
        <v>1447.536018922</v>
      </c>
      <c r="G21" s="0" t="n">
        <f aca="false">G19*G20</f>
        <v>1421.61768167712</v>
      </c>
      <c r="H21" s="0" t="n">
        <f aca="false">H19*H20</f>
        <v>1410.48543796851</v>
      </c>
      <c r="I21" s="0" t="n">
        <f aca="false">I19*I20</f>
        <v>1388.43874682288</v>
      </c>
      <c r="J21" s="0" t="n">
        <f aca="false">J19*J20</f>
        <v>1348.99706106652</v>
      </c>
      <c r="K21" s="0" t="n">
        <f aca="false">K19*K20</f>
        <v>1300.31884150027</v>
      </c>
      <c r="L21" s="0" t="n">
        <f aca="false">L19*L20</f>
        <v>1251.70879135073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14005.2117491032</v>
      </c>
    </row>
    <row r="31" customFormat="false" ht="15" hidden="false" customHeight="false" outlineLevel="0" collapsed="false">
      <c r="A31" s="0" t="s">
        <v>135</v>
      </c>
      <c r="B31" s="0" t="n">
        <f aca="false">L19</f>
        <v>2462.30064783687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56085.7369785066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49246.0129567375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49246.0129567375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25034.1758270146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39039.3875761178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29845.6635761178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168.5165730299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-0.227590534766923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883.997629689489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1637.68972920139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182.754692108384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20190.8653122624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31.1755119772314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9466.915</v>
      </c>
      <c r="C6" s="0" t="n">
        <f aca="false">B6*(1+C5/100)</f>
        <v>10082.264475</v>
      </c>
      <c r="D6" s="0" t="n">
        <f aca="false">C6*(1+D5/100)</f>
        <v>10687.2003435</v>
      </c>
      <c r="E6" s="0" t="n">
        <f aca="false">D6*(1+E5/100)</f>
        <v>11274.9963623925</v>
      </c>
      <c r="F6" s="0" t="n">
        <f aca="false">E6*(1+F5/100)</f>
        <v>11895.1211623241</v>
      </c>
      <c r="G6" s="0" t="n">
        <f aca="false">F6*(1+G5/100)</f>
        <v>12489.8772204403</v>
      </c>
      <c r="H6" s="0" t="n">
        <f aca="false">G6*(1+H5/100)</f>
        <v>13051.9216953601</v>
      </c>
      <c r="I6" s="0" t="n">
        <f aca="false">H6*(1+I5/100)</f>
        <v>13573.9985631745</v>
      </c>
      <c r="J6" s="0" t="n">
        <f aca="false">I6*(1+J5/100)</f>
        <v>14116.9585057015</v>
      </c>
      <c r="K6" s="0" t="n">
        <f aca="false">J6*(1+K5/100)</f>
        <v>14611.052053401</v>
      </c>
      <c r="L6" s="0" t="n">
        <f aca="false">K6*(1+L5/100)</f>
        <v>15049.3836150031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33.6</v>
      </c>
      <c r="D7" s="4" t="n">
        <f aca="false">Assumptions!D42</f>
        <v>34.1</v>
      </c>
      <c r="E7" s="4" t="n">
        <f aca="false">Assumptions!E42</f>
        <v>34.6</v>
      </c>
      <c r="F7" s="4" t="n">
        <f aca="false">Assumptions!F42</f>
        <v>35</v>
      </c>
      <c r="G7" s="4" t="n">
        <f aca="false">Assumptions!G42</f>
        <v>35.4</v>
      </c>
      <c r="H7" s="4" t="n">
        <f aca="false">Assumptions!H42</f>
        <v>35.8</v>
      </c>
      <c r="I7" s="4" t="n">
        <f aca="false">Assumptions!I42</f>
        <v>36.1</v>
      </c>
      <c r="J7" s="4" t="n">
        <f aca="false">Assumptions!J42</f>
        <v>36.3</v>
      </c>
      <c r="K7" s="4" t="n">
        <f aca="false">Assumptions!K42</f>
        <v>36.5</v>
      </c>
      <c r="L7" s="4" t="n">
        <f aca="false">Assumptions!L42</f>
        <v>36.5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3387.6408636</v>
      </c>
      <c r="D8" s="0" t="n">
        <f aca="false">D6*D7/100</f>
        <v>3644.3353171335</v>
      </c>
      <c r="E8" s="0" t="n">
        <f aca="false">E6*E7/100</f>
        <v>3901.14874138781</v>
      </c>
      <c r="F8" s="0" t="n">
        <f aca="false">F6*F7/100</f>
        <v>4163.29240681343</v>
      </c>
      <c r="G8" s="0" t="n">
        <f aca="false">G6*G7/100</f>
        <v>4421.41653603586</v>
      </c>
      <c r="H8" s="0" t="n">
        <f aca="false">H6*H7/100</f>
        <v>4672.58796693892</v>
      </c>
      <c r="I8" s="0" t="n">
        <f aca="false">I6*I7/100</f>
        <v>4900.213481306</v>
      </c>
      <c r="J8" s="0" t="n">
        <f aca="false">J6*J7/100</f>
        <v>5124.45593756964</v>
      </c>
      <c r="K8" s="0" t="n">
        <f aca="false">K6*K7/100</f>
        <v>5333.03399949138</v>
      </c>
      <c r="L8" s="0" t="n">
        <f aca="false">L6*L7/100</f>
        <v>5493.02501947612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1.15</v>
      </c>
      <c r="D9" s="4" t="n">
        <f aca="false">Assumptions!D43</f>
        <v>1.12</v>
      </c>
      <c r="E9" s="4" t="n">
        <f aca="false">Assumptions!E43</f>
        <v>1.1</v>
      </c>
      <c r="F9" s="4" t="n">
        <f aca="false">Assumptions!F43</f>
        <v>1.08</v>
      </c>
      <c r="G9" s="4" t="n">
        <f aca="false">Assumptions!G43</f>
        <v>1.05</v>
      </c>
      <c r="H9" s="4" t="n">
        <f aca="false">Assumptions!H43</f>
        <v>1.03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-115.9460414625</v>
      </c>
      <c r="D10" s="0" t="n">
        <f aca="false">-D6*D9/100</f>
        <v>-119.6966438472</v>
      </c>
      <c r="E10" s="0" t="n">
        <f aca="false">-E6*E9/100</f>
        <v>-124.024959986318</v>
      </c>
      <c r="F10" s="0" t="n">
        <f aca="false">-F6*F9/100</f>
        <v>-128.4673085531</v>
      </c>
      <c r="G10" s="0" t="n">
        <f aca="false">-G6*G9/100</f>
        <v>-131.143710814623</v>
      </c>
      <c r="H10" s="0" t="n">
        <f aca="false">-H6*H9/100</f>
        <v>-134.434793462209</v>
      </c>
      <c r="I10" s="0" t="n">
        <f aca="false">-I6*I9/100</f>
        <v>-135.739985631745</v>
      </c>
      <c r="J10" s="0" t="n">
        <f aca="false">-J6*J9/100</f>
        <v>-141.169585057015</v>
      </c>
      <c r="K10" s="0" t="n">
        <f aca="false">-K6*K9/100</f>
        <v>-146.11052053401</v>
      </c>
      <c r="L10" s="0" t="n">
        <f aca="false">-L6*L9/100</f>
        <v>-150.493836150031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3271.6948221375</v>
      </c>
      <c r="D11" s="0" t="n">
        <f aca="false">D8+D10+D24</f>
        <v>3524.6386732863</v>
      </c>
      <c r="E11" s="0" t="n">
        <f aca="false">E8+E10+E24</f>
        <v>3777.12378140149</v>
      </c>
      <c r="F11" s="0" t="n">
        <f aca="false">F8+F10+F24</f>
        <v>4034.82509826033</v>
      </c>
      <c r="G11" s="0" t="n">
        <f aca="false">G8+G10+G24</f>
        <v>4290.27282522124</v>
      </c>
      <c r="H11" s="0" t="n">
        <f aca="false">H8+H10+H24</f>
        <v>4538.15317347671</v>
      </c>
      <c r="I11" s="0" t="n">
        <f aca="false">I8+I10+I24</f>
        <v>4764.47349567425</v>
      </c>
      <c r="J11" s="0" t="n">
        <f aca="false">J8+J10+J24</f>
        <v>4983.28635251263</v>
      </c>
      <c r="K11" s="0" t="n">
        <f aca="false">K8+K10+K24</f>
        <v>5186.92347895737</v>
      </c>
      <c r="L11" s="0" t="n">
        <f aca="false">L8+L10+L24</f>
        <v>5342.53118332609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-1310.69438175</v>
      </c>
      <c r="D12" s="4" t="n">
        <f aca="false">-D6*Assumptions!D45/100</f>
        <v>-1378.6488443115</v>
      </c>
      <c r="E12" s="4" t="n">
        <f aca="false">-E6*Assumptions!E45/100</f>
        <v>-1443.19953438624</v>
      </c>
      <c r="F12" s="4" t="n">
        <f aca="false">-F6*Assumptions!F45/100</f>
        <v>-1510.68038761516</v>
      </c>
      <c r="G12" s="4" t="n">
        <f aca="false">-G6*Assumptions!G45/100</f>
        <v>-1573.72452977548</v>
      </c>
      <c r="H12" s="4" t="n">
        <f aca="false">-H6*Assumptions!H45/100</f>
        <v>-1631.49021192001</v>
      </c>
      <c r="I12" s="4" t="n">
        <f aca="false">-I6*Assumptions!I45/100</f>
        <v>-1683.17582183364</v>
      </c>
      <c r="J12" s="4" t="n">
        <f aca="false">-J6*Assumptions!J45/100</f>
        <v>-1736.38589620128</v>
      </c>
      <c r="K12" s="4" t="n">
        <f aca="false">-K6*Assumptions!K45/100</f>
        <v>-1782.54835051493</v>
      </c>
      <c r="L12" s="4" t="n">
        <f aca="false">-L6*Assumptions!L45/100</f>
        <v>-1836.02480103037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1961.0004403875</v>
      </c>
      <c r="D13" s="0" t="n">
        <f aca="false">D11+D12</f>
        <v>2145.9898289748</v>
      </c>
      <c r="E13" s="0" t="n">
        <f aca="false">E11+E12</f>
        <v>2333.92424701525</v>
      </c>
      <c r="F13" s="0" t="n">
        <f aca="false">F11+F12</f>
        <v>2524.14471064517</v>
      </c>
      <c r="G13" s="0" t="n">
        <f aca="false">G11+G12</f>
        <v>2716.54829544576</v>
      </c>
      <c r="H13" s="0" t="n">
        <f aca="false">H11+H12</f>
        <v>2906.66296155669</v>
      </c>
      <c r="I13" s="0" t="n">
        <f aca="false">I11+I12</f>
        <v>3081.29767384061</v>
      </c>
      <c r="J13" s="0" t="n">
        <f aca="false">J11+J12</f>
        <v>3246.90045631134</v>
      </c>
      <c r="K13" s="0" t="n">
        <f aca="false">K11+K12</f>
        <v>3404.37512844244</v>
      </c>
      <c r="L13" s="0" t="n">
        <f aca="false">L11+L12</f>
        <v>3506.50638229572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19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20.5</v>
      </c>
      <c r="G14" s="4" t="n">
        <f aca="false">Assumptions!G47</f>
        <v>21</v>
      </c>
      <c r="H14" s="4" t="n">
        <f aca="false">Assumptions!H47</f>
        <v>21.5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1588.41035671388</v>
      </c>
      <c r="D15" s="0" t="n">
        <f aca="false">D13-MAX(0,D13)*D14/100</f>
        <v>1727.52181232471</v>
      </c>
      <c r="E15" s="0" t="n">
        <f aca="false">E13-MAX(0,E13)*E14/100</f>
        <v>1867.1393976122</v>
      </c>
      <c r="F15" s="0" t="n">
        <f aca="false">F13-MAX(0,F13)*F14/100</f>
        <v>2006.69504496291</v>
      </c>
      <c r="G15" s="0" t="n">
        <f aca="false">G13-MAX(0,G13)*G14/100</f>
        <v>2146.07315340215</v>
      </c>
      <c r="H15" s="0" t="n">
        <f aca="false">H13-MAX(0,H13)*H14/100</f>
        <v>2281.73042482201</v>
      </c>
      <c r="I15" s="0" t="n">
        <f aca="false">I13-MAX(0,I13)*I14/100</f>
        <v>2403.41218559568</v>
      </c>
      <c r="J15" s="0" t="n">
        <f aca="false">J13-MAX(0,J13)*J14/100</f>
        <v>2532.58235592285</v>
      </c>
      <c r="K15" s="0" t="n">
        <f aca="false">K13-MAX(0,K13)*K14/100</f>
        <v>2655.41260018511</v>
      </c>
      <c r="L15" s="0" t="n">
        <f aca="false">L13-MAX(0,L13)*L14/100</f>
        <v>2735.07497819066</v>
      </c>
    </row>
    <row r="16" customFormat="false" ht="15" hidden="false" customHeight="false" outlineLevel="0" collapsed="false">
      <c r="A16" s="0" t="s">
        <v>126</v>
      </c>
      <c r="C16" s="0" t="n">
        <f aca="false">-C12</f>
        <v>1310.69438175</v>
      </c>
      <c r="D16" s="0" t="n">
        <f aca="false">-D12</f>
        <v>1378.6488443115</v>
      </c>
      <c r="E16" s="0" t="n">
        <f aca="false">-E12</f>
        <v>1443.19953438624</v>
      </c>
      <c r="F16" s="0" t="n">
        <f aca="false">-F12</f>
        <v>1510.68038761516</v>
      </c>
      <c r="G16" s="0" t="n">
        <f aca="false">-G12</f>
        <v>1573.72452977548</v>
      </c>
      <c r="H16" s="0" t="n">
        <f aca="false">-H12</f>
        <v>1631.49021192001</v>
      </c>
      <c r="I16" s="0" t="n">
        <f aca="false">-I12</f>
        <v>1683.17582183364</v>
      </c>
      <c r="J16" s="0" t="n">
        <f aca="false">-J12</f>
        <v>1736.38589620128</v>
      </c>
      <c r="K16" s="0" t="n">
        <f aca="false">-K12</f>
        <v>1782.54835051493</v>
      </c>
      <c r="L16" s="0" t="n">
        <f aca="false">-L12</f>
        <v>1836.02480103037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-1250.2007949</v>
      </c>
      <c r="D17" s="4" t="n">
        <f aca="false">-D6*Assumptions!D46/100</f>
        <v>-1303.838441907</v>
      </c>
      <c r="E17" s="4" t="n">
        <f aca="false">-E6*Assumptions!E46/100</f>
        <v>-1352.9995634871</v>
      </c>
      <c r="F17" s="4" t="n">
        <f aca="false">-F6*Assumptions!F46/100</f>
        <v>-1391.72917599192</v>
      </c>
      <c r="G17" s="4" t="n">
        <f aca="false">-G6*Assumptions!G46/100</f>
        <v>-1423.84600313019</v>
      </c>
      <c r="H17" s="4" t="n">
        <f aca="false">-H6*Assumptions!H46/100</f>
        <v>-1461.81522988033</v>
      </c>
      <c r="I17" s="4" t="n">
        <f aca="false">-I6*Assumptions!I46/100</f>
        <v>-1493.1398419492</v>
      </c>
      <c r="J17" s="4" t="n">
        <f aca="false">-J6*Assumptions!J46/100</f>
        <v>-1552.86543562716</v>
      </c>
      <c r="K17" s="4" t="n">
        <f aca="false">-K6*Assumptions!K46/100</f>
        <v>-1607.21572587411</v>
      </c>
      <c r="L17" s="4" t="n">
        <f aca="false">-L6*Assumptions!L46/100</f>
        <v>-1655.43219765034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-30.76747375</v>
      </c>
      <c r="D18" s="4" t="n">
        <f aca="false">(D6-C6)*Assumptions!$B$51/100</f>
        <v>-30.246793425</v>
      </c>
      <c r="E18" s="4" t="n">
        <f aca="false">(E6-D6)*Assumptions!$B$51/100</f>
        <v>-29.3898009446249</v>
      </c>
      <c r="F18" s="4" t="n">
        <f aca="false">(F6-E6)*Assumptions!$B$51/100</f>
        <v>-31.0062399965794</v>
      </c>
      <c r="G18" s="4" t="n">
        <f aca="false">(G6-F6)*Assumptions!$B$51/100</f>
        <v>-29.7378029058103</v>
      </c>
      <c r="H18" s="4" t="n">
        <f aca="false">(H6-G6)*Assumptions!$B$51/100</f>
        <v>-28.1022237459906</v>
      </c>
      <c r="I18" s="4" t="n">
        <f aca="false">(I6-H6)*Assumptions!$B$51/100</f>
        <v>-26.1038433907203</v>
      </c>
      <c r="J18" s="4" t="n">
        <f aca="false">(J6-I6)*Assumptions!$B$51/100</f>
        <v>-27.147997126349</v>
      </c>
      <c r="K18" s="4" t="n">
        <f aca="false">(K6-J6)*Assumptions!$B$51/100</f>
        <v>-24.7046773849776</v>
      </c>
      <c r="L18" s="4" t="n">
        <f aca="false">(L6-K6)*Assumptions!$B$51/100</f>
        <v>-21.9165780801016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1618.13646981388</v>
      </c>
      <c r="D19" s="0" t="n">
        <f aca="false">D15+D16+D17+D18</f>
        <v>1772.08542130421</v>
      </c>
      <c r="E19" s="0" t="n">
        <f aca="false">E15+E16+E17+E18</f>
        <v>1927.94956756671</v>
      </c>
      <c r="F19" s="0" t="n">
        <f aca="false">F15+F16+F17+F18</f>
        <v>2094.64001658957</v>
      </c>
      <c r="G19" s="0" t="n">
        <f aca="false">G15+G16+G17+G18</f>
        <v>2266.21387714163</v>
      </c>
      <c r="H19" s="0" t="n">
        <f aca="false">H15+H16+H17+H18</f>
        <v>2423.3031831157</v>
      </c>
      <c r="I19" s="0" t="n">
        <f aca="false">I15+I16+I17+I18</f>
        <v>2567.3443220894</v>
      </c>
      <c r="J19" s="0" t="n">
        <f aca="false">J15+J16+J17+J18</f>
        <v>2688.95481937062</v>
      </c>
      <c r="K19" s="0" t="n">
        <f aca="false">K15+K16+K17+K18</f>
        <v>2806.04054744094</v>
      </c>
      <c r="L19" s="0" t="n">
        <f aca="false">L15+L16+L17+L18</f>
        <v>2893.75100349059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1512.27707459241</v>
      </c>
      <c r="D21" s="0" t="n">
        <f aca="false">D19*D20</f>
        <v>1547.80803677545</v>
      </c>
      <c r="E21" s="0" t="n">
        <f aca="false">E19*E20</f>
        <v>1573.78113875734</v>
      </c>
      <c r="F21" s="0" t="n">
        <f aca="false">F19*F20</f>
        <v>1597.99083961933</v>
      </c>
      <c r="G21" s="0" t="n">
        <f aca="false">G19*G20</f>
        <v>1615.77917415608</v>
      </c>
      <c r="H21" s="0" t="n">
        <f aca="false">H19*H20</f>
        <v>1614.74923201895</v>
      </c>
      <c r="I21" s="0" t="n">
        <f aca="false">I19*I20</f>
        <v>1598.81301391005</v>
      </c>
      <c r="J21" s="0" t="n">
        <f aca="false">J19*J20</f>
        <v>1564.99618663774</v>
      </c>
      <c r="K21" s="0" t="n">
        <f aca="false">K19*K20</f>
        <v>1526.30013681242</v>
      </c>
      <c r="L21" s="0" t="n">
        <f aca="false">L19*L20</f>
        <v>1471.03627423857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15623.5311075183</v>
      </c>
    </row>
    <row r="31" customFormat="false" ht="15" hidden="false" customHeight="false" outlineLevel="0" collapsed="false">
      <c r="A31" s="0" t="s">
        <v>135</v>
      </c>
      <c r="B31" s="0" t="n">
        <f aca="false">L19</f>
        <v>2893.75100349059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74514.0883398828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57875.0200698119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57875.0200698119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29420.7254847714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45044.2565922898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35850.5325922898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202.421664317884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-0.0721837818312138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917.912011631996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1969.96345324579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218.72737906392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24838.0294466276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43.4178430027461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98.6139775487609</v>
      </c>
      <c r="C4" s="0" t="n">
        <f aca="false">B4/Assumptions!$B$2-1</f>
        <v>-0.547994785952418</v>
      </c>
      <c r="D4" s="4" t="n">
        <f aca="false">Assumptions!$B$24</f>
        <v>0.2</v>
      </c>
      <c r="E4" s="4" t="n">
        <f aca="false">DCF_Bear!$B$43</f>
        <v>111.819731873936</v>
      </c>
      <c r="F4" s="4" t="n">
        <f aca="false">DCF_Bear!$B$47</f>
        <v>11.2607652379077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168.5165730299</v>
      </c>
      <c r="C5" s="0" t="n">
        <f aca="false">B5/Assumptions!$B$2-1</f>
        <v>-0.227590534766923</v>
      </c>
      <c r="D5" s="4" t="n">
        <f aca="false">Assumptions!$B$38</f>
        <v>0.5</v>
      </c>
      <c r="E5" s="4" t="n">
        <f aca="false">DCF_Base!$B$43</f>
        <v>182.754692108384</v>
      </c>
      <c r="F5" s="4" t="n">
        <f aca="false">DCF_Base!$B$47</f>
        <v>31.1755119772314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202.421664317884</v>
      </c>
      <c r="C6" s="0" t="n">
        <f aca="false">B6/Assumptions!$B$2-1</f>
        <v>-0.0721837818312138</v>
      </c>
      <c r="D6" s="4" t="n">
        <f aca="false">Assumptions!$B$52</f>
        <v>0.3</v>
      </c>
      <c r="E6" s="4" t="n">
        <f aca="false">DCF_Bull!$B$43</f>
        <v>218.72737906392</v>
      </c>
      <c r="F6" s="4" t="n">
        <f aca="false">DCF_Bull!$B$47</f>
        <v>43.4178430027461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164.707581320068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179.359506148155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-0.324589908074976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364.883244401076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30.8652619370211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168.5165730299</v>
      </c>
      <c r="C15" s="3" t="n">
        <v>7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112.415027494646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89.7591739757148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72.4684968092202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58.8466942836204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31.1755119772314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206.396310397691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206.396310397691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206.396310397691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206.396310397691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206.396310397691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186.536147577507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186.536147577507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186.536147577507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186.536147577507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186.536147577507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157.594101580918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168.5165730299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168.5165730299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168.5165730299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168.5165730299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123.912168376292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132.828661042649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143.366334193799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152.147728486423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152.147728486423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99.2842828001052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105.380699979713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112.415027494646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120.621742928733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130.320588441746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2026-10-10T10:43:24Z</dcterms:created>
  <dc:creator>openpyxl</dc:creator>
  <dc:description/>
  <dc:language>en-NZ</dc:language>
  <cp:lastModifiedBy/>
  <dcterms:modified xsi:type="dcterms:W3CDTF">2026-10-10T10:43:24Z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