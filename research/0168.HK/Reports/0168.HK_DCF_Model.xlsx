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<sst xmlns="http://schemas.openxmlformats.org/spreadsheetml/2006/main" count="361" uniqueCount="167">
  <si>
    <t xml:space="preserve">Ticker</t>
  </si>
  <si>
    <t xml:space="preserve">0168.HK</t>
  </si>
  <si>
    <t xml:space="preserve">Company</t>
  </si>
  <si>
    <t xml:space="preserve">Tsingtao Brewery Company Limited (H shares)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</si>
  <si>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</si>
  <si>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</si>
  <si>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</si>
  <si>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</si>
  <si>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(HKEX regular close, Friday)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</si>
  <si>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</si>
  <si>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</si>
  <si>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</si>
  <si>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</si>
  <si>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</si>
  <si>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</si>
  <si>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</si>
  <si>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</si>
  <si>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</si>
  <si>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</si>
  <si>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</si>
  <si>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</si>
  <si>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</si>
  <si>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2026-10-10T21:28:07Z</t>
  </si>
  <si>
    <t xml:space="preserve">Drivers file</t>
  </si>
  <si>
    <t xml:space="preserve">0168.HK_Drivers.json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</si>
  <si>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</si>
  <si>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</si>
  <si>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</si>
  <si>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in CNY, converted to HKD at the spot rate, on a core-operating EBITDA that excludes all treasury income; the unrestricted treasury portfolio is added back once, less the FY2025 final dividend already paid. The H shares trade ~48% below the A shares, so the valuation gap to the H price is largely the H-share discount the market has persisted with for years; there is no catalyst in the model for it to close.
key_risks_to_valuation: Balance sheet is as at 31-Dec-2025; the H1-2026 interim balance sheet has not been extracted. Cash will have moved with H1 OCF (+RMB5.5bn) and the dividend payment (deducted here).; Consumption-tax base change effective April 2026: magnitude for Tsingtao is not disclosed; modelled only through the margin paths.; A/H discount: intrinsic value in HKD assumes cash flows are fully owned by H-share holders on an equal per-share basis (they are, legally), but H shares have never re-rated to A-share parity.; Government relocation grants (deferred-income amortisation ~1.1% of revenue) are EXCLUDED from core EBITDA; if they prove recurring, value is understated by roughly RMB2/share.; FX: CNY/HKD rate is a single dated spot and is not moved by price refreshes.</t>
  </si>
  <si>
    <t xml:space="preserve">Data sources</t>
  </si>
  <si>
    <t xml:space="preserve">price: Yahoo Finance chart API (0168.HK) at inputs.price_as_of; 52-week range 38.86-56.00 HKD. FX Yahoo CNYHKD=X; A-share parity 600600.SS.
financials: 0168.HK_Metrics.csv (CAS, RMB, attributable basis) and FY2025 annual report balance sheet, income statement and cash-flow supplementary note 57; Q1-2026 quarterly report for the run-rate.
qualitative: 0168.HK_Analysis.json (2026-10-11), incl. H1-2026 interim results summary of 26-Aug-2026.</t>
  </si>
  <si>
    <t xml:space="preserve">Scenario narrative: bear</t>
  </si>
  <si>
    <t xml:space="preserve">China beer volume decline continues at ~3-5%/yr into 2027, premium share is contested by Budweiser APAC and CR-Heineken, consumption-tax reform and input-cost reversal compress core EBITDA to 17.9%; revenue only stabilises in year 4. The net-cash pile (about half the market cap) is the floor.</t>
  </si>
  <si>
    <t xml:space="preserve">Scenario narrative: base</t>
  </si>
  <si>
    <t xml:space="preserve">Mature oligopoly, value not volume: total volume drifts down while premium mix grows; revenue bottoms in FY2026 (-3%, in line with H1 -4.1%) then grows 2-2.5%; core EBITDA rises from 20.0% to 21.4% as mix gains are partly eaten by the consumption-tax change. Capex normalises after the relocation programme. RMB26.4bn of unrestricted treasury (zero borrowings) is roughly half the H-share market cap.</t>
  </si>
  <si>
    <t xml:space="preserve">Scenario narrative: bull</t>
  </si>
  <si>
    <t xml:space="preserve">Premiumisation keeps outrunning volume decline: mid-to-high-end volume +5%/yr, demand stabilises from 2027, overseas localised production and channel innovation add growth; revenue 3-4% and core EBITDA to 23.4%.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</si>
  <si>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</si>
  <si>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</si>
  <si>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</si>
  <si>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</si>
  <si>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</si>
  <si>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</si>
  <si>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</si>
  <si>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</si>
  <si>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</si>
  <si>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</si>
  <si>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</si>
  <si>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</si>
  <si>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</si>
  <si>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</si>
  <si>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</si>
  <si>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</si>
  <si>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</si>
  <si>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</si>
  <si>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</si>
  <si>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</si>
  <si>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</si>
  <si>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</si>
  <si>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</si>
  <si>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</si>
  <si>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</si>
  <si>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</si>
  <si>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</si>
  <si>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UnderlyingNPAT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</si>
  <si>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</si>
  <si>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</si>
  <si>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</si>
  <si>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</si>
  <si>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</si>
  <si>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</si>
  <si>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</si>
  <si>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</si>
  <si>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</si>
  <si>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</si>
  <si>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</si>
  <si>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</si>
  <si>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</si>
  <si>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</si>
  <si>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</si>
  <si>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</si>
  <si>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</si>
  <si>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</si>
  <si>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</si>
  <si>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</si>
  <si>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</si>
  <si>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</si>
  <si>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</si>
  <si>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</si>
  <si>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</si>
  <si>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</si>
  <si>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</si>
  <si>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</si>
  <si>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</si>
  <si>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</si>
  <si>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</si>
  <si>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</si>
  <si>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</si>
  <si>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</si>
  <si>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</si>
  <si>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</si>
  <si>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</si>
  <si>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</si>
  <si>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</si>
  <si>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</si>
  <si>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</si>
  <si>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</si>
  <si>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</si>
  <si>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</si>
  <si>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</si>
  <si>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</si>
  <si>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</si>
  <si>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0168.HK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</si>
  <si>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</si>
  <si>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</si>
  <si>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</si>
  <si>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</si>
  <si>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</si>
  <si>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</si>
  <si>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</si>
  <si>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</si>
  <si>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</si>
  <si>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</si>
  <si>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</si>
  <si>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</si>
  <si>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</si>
  <si>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</si>
  <si>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</si>
  <si>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</si>
  <si>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</si>
  <si>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</si>
  <si>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</si>
  <si>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</si>
  <si>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</si>
  <si>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</si>
  <si>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</si>
  <si>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</si>
  <si>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</si>
  <si>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</si>
  <si>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</si>
  <si>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</si>
  <si>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</si>
  <si>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</si>
  <si>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0168.HK owner-FCF component DCF: base case (millions, CNY)</t>
  </si>
  <si>
    <t xml:space="preserve">0168.HK owner-FCF component DCF: bull case (millions, CNY)</t>
  </si>
  <si>
    <t xml:space="preserve">0168.HK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</si>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</sst>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40.66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26106.344</v>
      </c>
      <c r="I2" s="0" t="n">
        <v>1043.486</v>
      </c>
      <c r="J2" s="0" t="n">
        <v>4</v>
      </c>
      <c r="K2" s="0" t="n">
        <v>0.772</v>
      </c>
      <c r="L2" s="0" t="n">
        <v>2970.891</v>
      </c>
      <c r="O2" s="0" t="n">
        <v>16313.953</v>
      </c>
      <c r="P2" s="0" t="n">
        <v>30077.158</v>
      </c>
      <c r="Q2" s="0" t="n">
        <v>13198.019</v>
      </c>
      <c r="R2" s="0" t="n">
        <v>303.717</v>
      </c>
      <c r="S2" s="0" t="n">
        <v>8572.685</v>
      </c>
      <c r="T2" s="0" t="n">
        <v>1350.983</v>
      </c>
      <c r="U2" s="0" t="n">
        <v>0</v>
      </c>
      <c r="AA2" s="0" t="s">
        <v>18</v>
      </c>
      <c r="AB2" s="0" t="s">
        <v>14</v>
      </c>
      <c r="AC2" s="0" t="n">
        <v>819.399</v>
      </c>
    </row>
    <row r="3" customFormat="false" ht="15" hidden="false" customHeight="false" outlineLevel="0" collapsed="false">
      <c r="A3" s="0" t="s">
        <v>66</v>
      </c>
      <c r="B3" s="0" t="n">
        <v>26277.052</v>
      </c>
      <c r="C3" s="0" t="n">
        <v>15622.131</v>
      </c>
      <c r="D3" s="0" t="n">
        <v>10654.921</v>
      </c>
      <c r="E3" s="0" t="n">
        <v>40.5</v>
      </c>
      <c r="F3" s="0" t="n">
        <v>2114.965</v>
      </c>
      <c r="G3" s="0" t="n">
        <v>8</v>
      </c>
      <c r="H3" s="0" t="n">
        <v>2888.966</v>
      </c>
      <c r="I3" s="0" t="n">
        <v>1263.017</v>
      </c>
      <c r="J3" s="0" t="n">
        <v>4.8</v>
      </c>
      <c r="K3" s="0" t="n">
        <v>0.935</v>
      </c>
      <c r="L3" s="0" t="n">
        <v>2312.191</v>
      </c>
      <c r="M3" s="0" t="n">
        <v>888.194</v>
      </c>
      <c r="N3" s="0" t="n">
        <v>1423.997</v>
      </c>
      <c r="O3" s="0" t="n">
        <v>17145.228</v>
      </c>
      <c r="P3" s="0" t="n">
        <v>30974.712</v>
      </c>
      <c r="Q3" s="0" t="n">
        <v>13200.207</v>
      </c>
      <c r="R3" s="0" t="n">
        <v>283.582</v>
      </c>
      <c r="S3" s="0" t="n">
        <v>9805.485</v>
      </c>
      <c r="T3" s="0" t="n">
        <v>1350.983</v>
      </c>
      <c r="U3" s="0" t="n">
        <v>0</v>
      </c>
      <c r="AA3" s="0" t="s">
        <v>18</v>
      </c>
      <c r="AB3" s="0" t="s">
        <v>14</v>
      </c>
      <c r="AC3" s="0" t="n">
        <v>975.266</v>
      </c>
    </row>
    <row r="4" customFormat="false" ht="15" hidden="false" customHeight="false" outlineLevel="0" collapsed="false">
      <c r="A4" s="0" t="s">
        <v>67</v>
      </c>
      <c r="B4" s="0" t="n">
        <v>26575.255</v>
      </c>
      <c r="C4" s="0" t="n">
        <v>16555.775</v>
      </c>
      <c r="D4" s="0" t="n">
        <v>10019.48</v>
      </c>
      <c r="E4" s="0" t="n">
        <v>37.7</v>
      </c>
      <c r="F4" s="0" t="n">
        <v>2377.565</v>
      </c>
      <c r="G4" s="0" t="n">
        <v>8.9</v>
      </c>
      <c r="H4" s="0" t="n">
        <v>3008.024</v>
      </c>
      <c r="I4" s="0" t="n">
        <v>1422.2</v>
      </c>
      <c r="J4" s="0" t="n">
        <v>5.4</v>
      </c>
      <c r="K4" s="0" t="n">
        <v>1.053</v>
      </c>
      <c r="L4" s="0" t="n">
        <v>3992.008</v>
      </c>
      <c r="M4" s="0" t="n">
        <v>761.796</v>
      </c>
      <c r="N4" s="0" t="n">
        <v>3230.212</v>
      </c>
      <c r="O4" s="0" t="n">
        <v>17970.471</v>
      </c>
      <c r="P4" s="0" t="n">
        <v>34075.265</v>
      </c>
      <c r="Q4" s="0" t="n">
        <v>15385.314</v>
      </c>
      <c r="R4" s="0" t="n">
        <v>296.786</v>
      </c>
      <c r="S4" s="0" t="n">
        <v>12535.737</v>
      </c>
      <c r="T4" s="0" t="n">
        <v>1350.983</v>
      </c>
      <c r="U4" s="0" t="n">
        <v>0</v>
      </c>
      <c r="AA4" s="0" t="s">
        <v>18</v>
      </c>
      <c r="AB4" s="0" t="s">
        <v>14</v>
      </c>
      <c r="AC4" s="0" t="n">
        <v>1053.743</v>
      </c>
    </row>
    <row r="5" customFormat="false" ht="15" hidden="false" customHeight="false" outlineLevel="0" collapsed="false">
      <c r="A5" s="0" t="s">
        <v>68</v>
      </c>
      <c r="B5" s="0" t="n">
        <v>27983.76</v>
      </c>
      <c r="C5" s="0" t="n">
        <v>17080.443</v>
      </c>
      <c r="D5" s="0" t="n">
        <v>10903.317</v>
      </c>
      <c r="E5" s="0" t="n">
        <v>39</v>
      </c>
      <c r="F5" s="0" t="n">
        <v>2697.89</v>
      </c>
      <c r="G5" s="0" t="n">
        <v>9.6</v>
      </c>
      <c r="H5" s="0" t="n">
        <v>3334.314</v>
      </c>
      <c r="I5" s="0" t="n">
        <v>1852.103</v>
      </c>
      <c r="J5" s="0" t="n">
        <v>6.6</v>
      </c>
      <c r="K5" s="0" t="n">
        <v>1.371</v>
      </c>
      <c r="L5" s="0" t="n">
        <v>4016.553</v>
      </c>
      <c r="M5" s="0" t="n">
        <v>1155.246</v>
      </c>
      <c r="N5" s="0" t="n">
        <v>2861.307</v>
      </c>
      <c r="O5" s="0" t="n">
        <v>19171.583</v>
      </c>
      <c r="P5" s="0" t="n">
        <v>37312.384</v>
      </c>
      <c r="Q5" s="0" t="n">
        <v>17399.013</v>
      </c>
      <c r="R5" s="0" t="n">
        <v>271.116</v>
      </c>
      <c r="S5" s="0" t="n">
        <v>15301.983</v>
      </c>
      <c r="T5" s="0" t="n">
        <v>1350.983</v>
      </c>
      <c r="U5" s="0" t="n">
        <v>0</v>
      </c>
      <c r="AA5" s="0" t="s">
        <v>18</v>
      </c>
      <c r="AB5" s="0" t="s">
        <v>14</v>
      </c>
      <c r="AC5" s="0" t="n">
        <v>1346.981</v>
      </c>
    </row>
    <row r="6" customFormat="false" ht="15" hidden="false" customHeight="false" outlineLevel="0" collapsed="false">
      <c r="A6" s="0" t="s">
        <v>69</v>
      </c>
      <c r="B6" s="0" t="n">
        <v>27759.711</v>
      </c>
      <c r="C6" s="0" t="n">
        <v>17951.982</v>
      </c>
      <c r="D6" s="0" t="n">
        <v>9807.729</v>
      </c>
      <c r="E6" s="0" t="n">
        <v>35.3</v>
      </c>
      <c r="F6" s="0" t="n">
        <v>3250.085</v>
      </c>
      <c r="G6" s="0" t="n">
        <v>11.7</v>
      </c>
      <c r="H6" s="0" t="n">
        <v>3902.41</v>
      </c>
      <c r="I6" s="0" t="n">
        <v>2201.324</v>
      </c>
      <c r="J6" s="0" t="n">
        <v>7.9</v>
      </c>
      <c r="K6" s="0" t="n">
        <v>1.627</v>
      </c>
      <c r="L6" s="0" t="n">
        <v>4953.422</v>
      </c>
      <c r="M6" s="0" t="n">
        <v>1295.167</v>
      </c>
      <c r="N6" s="0" t="n">
        <v>3658.255</v>
      </c>
      <c r="O6" s="0" t="n">
        <v>20621.961</v>
      </c>
      <c r="P6" s="0" t="n">
        <v>41514.186</v>
      </c>
      <c r="Q6" s="0" t="n">
        <v>20146.134</v>
      </c>
      <c r="R6" s="0" t="n">
        <v>703.273</v>
      </c>
      <c r="S6" s="0" t="n">
        <v>18466.881</v>
      </c>
      <c r="T6" s="0" t="n">
        <v>1364.183</v>
      </c>
      <c r="U6" s="0" t="n">
        <v>127.595</v>
      </c>
      <c r="AA6" s="0" t="s">
        <v>18</v>
      </c>
      <c r="AB6" s="0" t="s">
        <v>14</v>
      </c>
      <c r="AC6" s="0" t="n">
        <v>1815.585</v>
      </c>
    </row>
    <row r="7" customFormat="false" ht="15" hidden="false" customHeight="false" outlineLevel="0" collapsed="false">
      <c r="A7" s="0" t="s">
        <v>70</v>
      </c>
      <c r="B7" s="0" t="n">
        <v>30166.805</v>
      </c>
      <c r="C7" s="0" t="n">
        <v>19091.131</v>
      </c>
      <c r="D7" s="0" t="n">
        <v>11075.674</v>
      </c>
      <c r="E7" s="0" t="n">
        <v>36.7</v>
      </c>
      <c r="F7" s="0" t="n">
        <v>4454.955</v>
      </c>
      <c r="G7" s="0" t="n">
        <v>14.8</v>
      </c>
      <c r="H7" s="0" t="n">
        <v>5306.332</v>
      </c>
      <c r="I7" s="0" t="n">
        <v>3155.456</v>
      </c>
      <c r="J7" s="0" t="n">
        <v>10.5</v>
      </c>
      <c r="K7" s="0" t="n">
        <v>2.324</v>
      </c>
      <c r="L7" s="0" t="n">
        <v>6043.111</v>
      </c>
      <c r="M7" s="0" t="n">
        <v>1634.968</v>
      </c>
      <c r="N7" s="0" t="n">
        <v>4408.143</v>
      </c>
      <c r="O7" s="0" t="n">
        <v>23001.845</v>
      </c>
      <c r="P7" s="0" t="n">
        <v>46563.004</v>
      </c>
      <c r="Q7" s="0" t="n">
        <v>22769.313</v>
      </c>
      <c r="R7" s="0" t="n">
        <v>245.781</v>
      </c>
      <c r="S7" s="0" t="n">
        <v>14597.59</v>
      </c>
      <c r="T7" s="0" t="n">
        <v>1364.355</v>
      </c>
      <c r="U7" s="0" t="n">
        <v>245.428</v>
      </c>
      <c r="AA7" s="0" t="s">
        <v>18</v>
      </c>
      <c r="AB7" s="0" t="s">
        <v>14</v>
      </c>
      <c r="AC7" s="0" t="n">
        <v>2206.584</v>
      </c>
    </row>
    <row r="8" customFormat="false" ht="15" hidden="false" customHeight="false" outlineLevel="0" collapsed="false">
      <c r="A8" s="0" t="s">
        <v>71</v>
      </c>
      <c r="B8" s="0" t="n">
        <v>32171.566</v>
      </c>
      <c r="C8" s="0" t="n">
        <v>20317.935</v>
      </c>
      <c r="D8" s="0" t="n">
        <v>11853.631</v>
      </c>
      <c r="E8" s="0" t="n">
        <v>36.8</v>
      </c>
      <c r="F8" s="0" t="n">
        <v>5000.925</v>
      </c>
      <c r="G8" s="0" t="n">
        <v>15.5</v>
      </c>
      <c r="H8" s="0" t="n">
        <v>5675.98</v>
      </c>
      <c r="I8" s="0" t="n">
        <v>3710.629</v>
      </c>
      <c r="J8" s="0" t="n">
        <v>11.5</v>
      </c>
      <c r="K8" s="0" t="n">
        <v>2.728</v>
      </c>
      <c r="L8" s="0" t="n">
        <v>4878.771</v>
      </c>
      <c r="M8" s="0" t="n">
        <v>1780.14</v>
      </c>
      <c r="N8" s="0" t="n">
        <v>3098.631</v>
      </c>
      <c r="O8" s="0" t="n">
        <v>25494.822</v>
      </c>
      <c r="P8" s="0" t="n">
        <v>50311.7</v>
      </c>
      <c r="Q8" s="0" t="n">
        <v>24039.387</v>
      </c>
      <c r="R8" s="0" t="n">
        <v>225.411</v>
      </c>
      <c r="S8" s="0" t="n">
        <v>17854.932</v>
      </c>
      <c r="T8" s="0" t="n">
        <v>1364.233</v>
      </c>
      <c r="U8" s="0" t="n">
        <v>177.131</v>
      </c>
      <c r="AA8" s="0" t="s">
        <v>18</v>
      </c>
      <c r="AB8" s="0" t="s">
        <v>14</v>
      </c>
      <c r="AC8" s="0" t="n">
        <v>3209.052</v>
      </c>
    </row>
    <row r="9" customFormat="false" ht="15" hidden="false" customHeight="false" outlineLevel="0" collapsed="false">
      <c r="A9" s="0" t="s">
        <v>72</v>
      </c>
      <c r="B9" s="0" t="n">
        <v>33936.523</v>
      </c>
      <c r="C9" s="0" t="n">
        <v>20816.89</v>
      </c>
      <c r="D9" s="0" t="n">
        <v>13119.633</v>
      </c>
      <c r="E9" s="0" t="n">
        <v>38.7</v>
      </c>
      <c r="F9" s="0" t="n">
        <v>5736.826</v>
      </c>
      <c r="G9" s="0" t="n">
        <v>16.9</v>
      </c>
      <c r="H9" s="0" t="n">
        <v>6429.065</v>
      </c>
      <c r="I9" s="0" t="n">
        <v>4267.851</v>
      </c>
      <c r="J9" s="0" t="n">
        <v>12.6</v>
      </c>
      <c r="K9" s="0" t="n">
        <v>3.132</v>
      </c>
      <c r="L9" s="0" t="n">
        <v>2777.567</v>
      </c>
      <c r="M9" s="0" t="n">
        <v>1617.743</v>
      </c>
      <c r="N9" s="0" t="n">
        <v>1159.824</v>
      </c>
      <c r="O9" s="0" t="n">
        <v>27449.478</v>
      </c>
      <c r="P9" s="0" t="n">
        <v>49256.011</v>
      </c>
      <c r="Q9" s="0" t="n">
        <v>21001.264</v>
      </c>
      <c r="R9" s="0" t="n">
        <v>0</v>
      </c>
      <c r="S9" s="0" t="n">
        <v>19282.105</v>
      </c>
      <c r="T9" s="0" t="n">
        <v>1364.197</v>
      </c>
      <c r="U9" s="0" t="n">
        <v>84.715</v>
      </c>
      <c r="AA9" s="0" t="s">
        <v>18</v>
      </c>
      <c r="AB9" s="0" t="s">
        <v>14</v>
      </c>
      <c r="AC9" s="0" t="n">
        <v>3720.724</v>
      </c>
    </row>
    <row r="10" customFormat="false" ht="15" hidden="false" customHeight="false" outlineLevel="0" collapsed="false">
      <c r="A10" s="0" t="s">
        <v>73</v>
      </c>
      <c r="B10" s="0" t="n">
        <v>32137.83</v>
      </c>
      <c r="C10" s="0" t="n">
        <v>19209.916</v>
      </c>
      <c r="D10" s="0" t="n">
        <v>12927.914</v>
      </c>
      <c r="E10" s="0" t="n">
        <v>40.2</v>
      </c>
      <c r="F10" s="0" t="n">
        <v>5843.119</v>
      </c>
      <c r="G10" s="0" t="n">
        <v>18.2</v>
      </c>
      <c r="H10" s="0" t="n">
        <v>6488.999</v>
      </c>
      <c r="I10" s="0" t="n">
        <v>4344.984</v>
      </c>
      <c r="J10" s="0" t="n">
        <v>13.5</v>
      </c>
      <c r="K10" s="0" t="n">
        <v>3.187</v>
      </c>
      <c r="L10" s="0" t="n">
        <v>5154.661</v>
      </c>
      <c r="M10" s="0" t="n">
        <v>2141.05</v>
      </c>
      <c r="N10" s="0" t="n">
        <v>3013.611</v>
      </c>
      <c r="O10" s="0" t="n">
        <v>29060.385</v>
      </c>
      <c r="P10" s="0" t="n">
        <v>51420.386</v>
      </c>
      <c r="Q10" s="0" t="n">
        <v>21560.844</v>
      </c>
      <c r="R10" s="0" t="n">
        <v>0</v>
      </c>
      <c r="S10" s="0" t="n">
        <v>17978.773</v>
      </c>
      <c r="T10" s="0" t="n">
        <v>1364.197</v>
      </c>
      <c r="U10" s="0" t="n">
        <v>24.338</v>
      </c>
      <c r="AA10" s="0" t="s">
        <v>18</v>
      </c>
      <c r="AB10" s="0" t="s">
        <v>14</v>
      </c>
      <c r="AC10" s="0" t="n">
        <v>3951.102</v>
      </c>
    </row>
    <row r="11" customFormat="false" ht="15" hidden="false" customHeight="false" outlineLevel="0" collapsed="false">
      <c r="A11" s="0" t="s">
        <v>74</v>
      </c>
      <c r="B11" s="0" t="n">
        <v>32473.494</v>
      </c>
      <c r="C11" s="0" t="n">
        <v>18885.15</v>
      </c>
      <c r="D11" s="0" t="n">
        <v>13588.344</v>
      </c>
      <c r="E11" s="0" t="n">
        <v>41.8</v>
      </c>
      <c r="F11" s="0" t="n">
        <v>6218.105</v>
      </c>
      <c r="G11" s="0" t="n">
        <v>19.1</v>
      </c>
      <c r="H11" s="0" t="n">
        <v>7108.237</v>
      </c>
      <c r="I11" s="0" t="n">
        <v>4588.101</v>
      </c>
      <c r="J11" s="0" t="n">
        <v>14.1</v>
      </c>
      <c r="K11" s="0" t="n">
        <v>3.363</v>
      </c>
      <c r="L11" s="0" t="n">
        <v>4592.509</v>
      </c>
      <c r="M11" s="0" t="n">
        <v>2253.224</v>
      </c>
      <c r="N11" s="0" t="n">
        <v>2339.285</v>
      </c>
      <c r="O11" s="0" t="n">
        <v>30648.948</v>
      </c>
      <c r="P11" s="0" t="n">
        <v>52131.586</v>
      </c>
      <c r="Q11" s="0" t="n">
        <v>20619.39</v>
      </c>
      <c r="R11" s="0" t="n">
        <v>0</v>
      </c>
      <c r="S11" s="0" t="n">
        <v>12859.567</v>
      </c>
      <c r="T11" s="0" t="n">
        <v>1364.195</v>
      </c>
      <c r="U11" s="0" t="n">
        <v>0.195</v>
      </c>
      <c r="AA11" s="0" t="s">
        <v>18</v>
      </c>
      <c r="AB11" s="0" t="s">
        <v>14</v>
      </c>
      <c r="AC11" s="0" t="n">
        <v>4130.015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40.66</v>
      </c>
    </row>
    <row r="3" customFormat="false" ht="15" hidden="false" customHeight="false" outlineLevel="0" collapsed="false">
      <c r="A3" s="0" t="s">
        <v>78</v>
      </c>
      <c r="B3" s="3" t="n">
        <v>1364.195</v>
      </c>
    </row>
    <row r="4" customFormat="false" ht="15" hidden="false" customHeight="false" outlineLevel="0" collapsed="false">
      <c r="A4" s="0" t="s">
        <v>79</v>
      </c>
      <c r="B4" s="3" t="n">
        <v>-26446.1</v>
      </c>
    </row>
    <row r="5" customFormat="false" ht="15" hidden="false" customHeight="false" outlineLevel="0" collapsed="false">
      <c r="A5" s="0" t="s">
        <v>80</v>
      </c>
      <c r="B5" s="3" t="n">
        <v>-2833.6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32473.5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1.1721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-5</v>
      </c>
      <c r="D13" s="3" t="n">
        <v>-2.5</v>
      </c>
      <c r="E13" s="3" t="n">
        <v>-1</v>
      </c>
      <c r="F13" s="3" t="n">
        <v>0</v>
      </c>
      <c r="G13" s="3" t="n">
        <v>0.5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99</v>
      </c>
      <c r="C14" s="3" t="n">
        <v>19.5</v>
      </c>
      <c r="D14" s="3" t="n">
        <v>18.9</v>
      </c>
      <c r="E14" s="3" t="n">
        <v>18.5</v>
      </c>
      <c r="F14" s="3" t="n">
        <v>18.2</v>
      </c>
      <c r="G14" s="3" t="n">
        <v>17.9</v>
      </c>
      <c r="H14" s="3" t="n">
        <v>17.9</v>
      </c>
      <c r="I14" s="3" t="n">
        <v>17.9</v>
      </c>
      <c r="J14" s="3" t="n">
        <v>17.9</v>
      </c>
      <c r="K14" s="3" t="n">
        <v>17.9</v>
      </c>
      <c r="L14" s="3" t="n">
        <v>17.9</v>
      </c>
    </row>
    <row r="15" customFormat="false" ht="15" hidden="false" customHeight="false" outlineLevel="0" collapsed="false">
      <c r="A15" s="0" t="s">
        <v>100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101</v>
      </c>
      <c r="C16" s="3" t="n">
        <v>0.17</v>
      </c>
      <c r="D16" s="3" t="n">
        <v>0.17</v>
      </c>
      <c r="E16" s="3" t="n">
        <v>0.17</v>
      </c>
      <c r="F16" s="3" t="n">
        <v>0.17</v>
      </c>
      <c r="G16" s="3" t="n">
        <v>0.17</v>
      </c>
      <c r="H16" s="3" t="n">
        <v>0.17</v>
      </c>
      <c r="I16" s="3" t="n">
        <v>0.17</v>
      </c>
      <c r="J16" s="3" t="n">
        <v>0.17</v>
      </c>
      <c r="K16" s="3" t="n">
        <v>0.17</v>
      </c>
      <c r="L16" s="3" t="n">
        <v>0.17</v>
      </c>
    </row>
    <row r="17" customFormat="false" ht="15" hidden="false" customHeight="false" outlineLevel="0" collapsed="false">
      <c r="A17" s="0" t="s">
        <v>102</v>
      </c>
      <c r="C17" s="3" t="n">
        <v>3.85</v>
      </c>
      <c r="D17" s="3" t="n">
        <v>3.9</v>
      </c>
      <c r="E17" s="3" t="n">
        <v>3.95</v>
      </c>
      <c r="F17" s="3" t="n">
        <v>4</v>
      </c>
      <c r="G17" s="3" t="n">
        <v>4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103</v>
      </c>
      <c r="C18" s="3" t="n">
        <v>6.5</v>
      </c>
      <c r="D18" s="3" t="n">
        <v>6</v>
      </c>
      <c r="E18" s="3" t="n">
        <v>5.5</v>
      </c>
      <c r="F18" s="3" t="n">
        <v>5</v>
      </c>
      <c r="G18" s="3" t="n">
        <v>4.8</v>
      </c>
      <c r="H18" s="3" t="n">
        <v>4.6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104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105</v>
      </c>
      <c r="B20" s="3" t="n">
        <v>8.5</v>
      </c>
    </row>
    <row r="21" customFormat="false" ht="15" hidden="false" customHeight="false" outlineLevel="0" collapsed="false">
      <c r="A21" s="0" t="s">
        <v>106</v>
      </c>
      <c r="B21" s="3" t="n">
        <v>1</v>
      </c>
    </row>
    <row r="22" customFormat="false" ht="15" hidden="false" customHeight="false" outlineLevel="0" collapsed="false">
      <c r="A22" s="0" t="s">
        <v>107</v>
      </c>
      <c r="B22" s="3" t="n">
        <v>11</v>
      </c>
    </row>
    <row r="23" customFormat="false" ht="15" hidden="false" customHeight="false" outlineLevel="0" collapsed="false">
      <c r="A23" s="0" t="s">
        <v>108</v>
      </c>
      <c r="B23" s="3" t="n">
        <v>10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-3</v>
      </c>
      <c r="D27" s="3" t="n">
        <v>0.5</v>
      </c>
      <c r="E27" s="3" t="n">
        <v>1.5</v>
      </c>
      <c r="F27" s="3" t="n">
        <v>2</v>
      </c>
      <c r="G27" s="3" t="n">
        <v>2.5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99</v>
      </c>
      <c r="C28" s="3" t="n">
        <v>20.2</v>
      </c>
      <c r="D28" s="3" t="n">
        <v>20.4</v>
      </c>
      <c r="E28" s="3" t="n">
        <v>20.7</v>
      </c>
      <c r="F28" s="3" t="n">
        <v>21</v>
      </c>
      <c r="G28" s="3" t="n">
        <v>21.2</v>
      </c>
      <c r="H28" s="3" t="n">
        <v>21.4</v>
      </c>
      <c r="I28" s="3" t="n">
        <v>21.4</v>
      </c>
      <c r="J28" s="3" t="n">
        <v>21.4</v>
      </c>
      <c r="K28" s="3" t="n">
        <v>21.4</v>
      </c>
      <c r="L28" s="3" t="n">
        <v>21.4</v>
      </c>
    </row>
    <row r="29" customFormat="false" ht="15" hidden="false" customHeight="false" outlineLevel="0" collapsed="false">
      <c r="A29" s="0" t="s">
        <v>100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101</v>
      </c>
      <c r="C30" s="3" t="n">
        <v>0.17</v>
      </c>
      <c r="D30" s="3" t="n">
        <v>0.17</v>
      </c>
      <c r="E30" s="3" t="n">
        <v>0.17</v>
      </c>
      <c r="F30" s="3" t="n">
        <v>0.17</v>
      </c>
      <c r="G30" s="3" t="n">
        <v>0.17</v>
      </c>
      <c r="H30" s="3" t="n">
        <v>0.17</v>
      </c>
      <c r="I30" s="3" t="n">
        <v>0.17</v>
      </c>
      <c r="J30" s="3" t="n">
        <v>0.17</v>
      </c>
      <c r="K30" s="3" t="n">
        <v>0.17</v>
      </c>
      <c r="L30" s="3" t="n">
        <v>0.17</v>
      </c>
    </row>
    <row r="31" customFormat="false" ht="15" hidden="false" customHeight="false" outlineLevel="0" collapsed="false">
      <c r="A31" s="0" t="s">
        <v>102</v>
      </c>
      <c r="C31" s="3" t="n">
        <v>3.85</v>
      </c>
      <c r="D31" s="3" t="n">
        <v>3.9</v>
      </c>
      <c r="E31" s="3" t="n">
        <v>3.95</v>
      </c>
      <c r="F31" s="3" t="n">
        <v>4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103</v>
      </c>
      <c r="C32" s="3" t="n">
        <v>6.5</v>
      </c>
      <c r="D32" s="3" t="n">
        <v>6</v>
      </c>
      <c r="E32" s="3" t="n">
        <v>5.5</v>
      </c>
      <c r="F32" s="3" t="n">
        <v>5</v>
      </c>
      <c r="G32" s="3" t="n">
        <v>4.8</v>
      </c>
      <c r="H32" s="3" t="n">
        <v>4.6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104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105</v>
      </c>
      <c r="B34" s="3" t="n">
        <v>8.5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14</v>
      </c>
    </row>
    <row r="37" customFormat="false" ht="15" hidden="false" customHeight="false" outlineLevel="0" collapsed="false">
      <c r="A37" s="0" t="s">
        <v>108</v>
      </c>
      <c r="B37" s="3" t="n">
        <v>10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-1.5</v>
      </c>
      <c r="D41" s="3" t="n">
        <v>2.5</v>
      </c>
      <c r="E41" s="3" t="n">
        <v>3.5</v>
      </c>
      <c r="F41" s="3" t="n">
        <v>4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99</v>
      </c>
      <c r="C42" s="3" t="n">
        <v>20.5</v>
      </c>
      <c r="D42" s="3" t="n">
        <v>21.1</v>
      </c>
      <c r="E42" s="3" t="n">
        <v>21.7</v>
      </c>
      <c r="F42" s="3" t="n">
        <v>22.3</v>
      </c>
      <c r="G42" s="3" t="n">
        <v>22.8</v>
      </c>
      <c r="H42" s="3" t="n">
        <v>23.2</v>
      </c>
      <c r="I42" s="3" t="n">
        <v>23.4</v>
      </c>
      <c r="J42" s="3" t="n">
        <v>23.4</v>
      </c>
      <c r="K42" s="3" t="n">
        <v>23.4</v>
      </c>
      <c r="L42" s="3" t="n">
        <v>23.4</v>
      </c>
    </row>
    <row r="43" customFormat="false" ht="15" hidden="false" customHeight="false" outlineLevel="0" collapsed="false">
      <c r="A43" s="0" t="s">
        <v>100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101</v>
      </c>
      <c r="C44" s="3" t="n">
        <v>0.17</v>
      </c>
      <c r="D44" s="3" t="n">
        <v>0.17</v>
      </c>
      <c r="E44" s="3" t="n">
        <v>0.17</v>
      </c>
      <c r="F44" s="3" t="n">
        <v>0.17</v>
      </c>
      <c r="G44" s="3" t="n">
        <v>0.17</v>
      </c>
      <c r="H44" s="3" t="n">
        <v>0.17</v>
      </c>
      <c r="I44" s="3" t="n">
        <v>0.17</v>
      </c>
      <c r="J44" s="3" t="n">
        <v>0.17</v>
      </c>
      <c r="K44" s="3" t="n">
        <v>0.17</v>
      </c>
      <c r="L44" s="3" t="n">
        <v>0.17</v>
      </c>
    </row>
    <row r="45" customFormat="false" ht="15" hidden="false" customHeight="false" outlineLevel="0" collapsed="false">
      <c r="A45" s="0" t="s">
        <v>102</v>
      </c>
      <c r="C45" s="3" t="n">
        <v>3.85</v>
      </c>
      <c r="D45" s="3" t="n">
        <v>3.9</v>
      </c>
      <c r="E45" s="3" t="n">
        <v>3.95</v>
      </c>
      <c r="F45" s="3" t="n">
        <v>4</v>
      </c>
      <c r="G45" s="3" t="n">
        <v>4</v>
      </c>
      <c r="H45" s="3" t="n">
        <v>4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103</v>
      </c>
      <c r="C46" s="3" t="n">
        <v>6.5</v>
      </c>
      <c r="D46" s="3" t="n">
        <v>6</v>
      </c>
      <c r="E46" s="3" t="n">
        <v>5.5</v>
      </c>
      <c r="F46" s="3" t="n">
        <v>5</v>
      </c>
      <c r="G46" s="3" t="n">
        <v>4.8</v>
      </c>
      <c r="H46" s="3" t="n">
        <v>4.6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104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105</v>
      </c>
      <c r="B48" s="3" t="n">
        <v>8.5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10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-5</v>
      </c>
      <c r="D5" s="4" t="n">
        <f aca="false">Assumptions!D13</f>
        <v>-2.5</v>
      </c>
      <c r="E5" s="4" t="n">
        <f aca="false">Assumptions!E13</f>
        <v>-1</v>
      </c>
      <c r="F5" s="4" t="n">
        <f aca="false">Assumptions!F13</f>
        <v>0</v>
      </c>
      <c r="G5" s="4" t="n">
        <f aca="false">Assumptions!G13</f>
        <v>0.5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32473.5</v>
      </c>
      <c r="C6" s="0" t="n">
        <f aca="false">B6*(1+C5/100)</f>
        <v>30849.825</v>
      </c>
      <c r="D6" s="0" t="n">
        <f aca="false">C6*(1+D5/100)</f>
        <v>30078.579375</v>
      </c>
      <c r="E6" s="0" t="n">
        <f aca="false">D6*(1+E5/100)</f>
        <v>29777.79358125</v>
      </c>
      <c r="F6" s="0" t="n">
        <f aca="false">E6*(1+F5/100)</f>
        <v>29777.79358125</v>
      </c>
      <c r="G6" s="0" t="n">
        <f aca="false">F6*(1+G5/100)</f>
        <v>29926.6825491562</v>
      </c>
      <c r="H6" s="0" t="n">
        <f aca="false">G6*(1+H5/100)</f>
        <v>30225.9493746478</v>
      </c>
      <c r="I6" s="0" t="n">
        <f aca="false">H6*(1+I5/100)</f>
        <v>30528.2088683943</v>
      </c>
      <c r="J6" s="0" t="n">
        <f aca="false">I6*(1+J5/100)</f>
        <v>30833.4909570782</v>
      </c>
      <c r="K6" s="0" t="n">
        <f aca="false">J6*(1+K5/100)</f>
        <v>31141.825866649</v>
      </c>
      <c r="L6" s="0" t="n">
        <f aca="false">K6*(1+L5/100)</f>
        <v>31453.2441253155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19.5</v>
      </c>
      <c r="D7" s="4" t="n">
        <f aca="false">Assumptions!D14</f>
        <v>18.9</v>
      </c>
      <c r="E7" s="4" t="n">
        <f aca="false">Assumptions!E14</f>
        <v>18.5</v>
      </c>
      <c r="F7" s="4" t="n">
        <f aca="false">Assumptions!F14</f>
        <v>18.2</v>
      </c>
      <c r="G7" s="4" t="n">
        <f aca="false">Assumptions!G14</f>
        <v>17.9</v>
      </c>
      <c r="H7" s="4" t="n">
        <f aca="false">Assumptions!H14</f>
        <v>17.9</v>
      </c>
      <c r="I7" s="4" t="n">
        <f aca="false">Assumptions!I14</f>
        <v>17.9</v>
      </c>
      <c r="J7" s="4" t="n">
        <f aca="false">Assumptions!J14</f>
        <v>17.9</v>
      </c>
      <c r="K7" s="4" t="n">
        <f aca="false">Assumptions!K14</f>
        <v>17.9</v>
      </c>
      <c r="L7" s="4" t="n">
        <f aca="false">Assumptions!L14</f>
        <v>17.9</v>
      </c>
    </row>
    <row r="8" customFormat="false" ht="15" hidden="false" customHeight="false" outlineLevel="0" collapsed="false">
      <c r="A8" s="0" t="s">
        <v>44</v>
      </c>
      <c r="C8" s="0" t="n">
        <f aca="false">C6*C7/100</f>
        <v>6015.715875</v>
      </c>
      <c r="D8" s="0" t="n">
        <f aca="false">D6*D7/100</f>
        <v>5684.851501875</v>
      </c>
      <c r="E8" s="0" t="n">
        <f aca="false">E6*E7/100</f>
        <v>5508.89181253125</v>
      </c>
      <c r="F8" s="0" t="n">
        <f aca="false">F6*F7/100</f>
        <v>5419.5584317875</v>
      </c>
      <c r="G8" s="0" t="n">
        <f aca="false">G6*G7/100</f>
        <v>5356.87617629897</v>
      </c>
      <c r="H8" s="0" t="n">
        <f aca="false">H6*H7/100</f>
        <v>5410.44493806196</v>
      </c>
      <c r="I8" s="0" t="n">
        <f aca="false">I6*I7/100</f>
        <v>5464.54938744258</v>
      </c>
      <c r="J8" s="0" t="n">
        <f aca="false">J6*J7/100</f>
        <v>5519.194881317</v>
      </c>
      <c r="K8" s="0" t="n">
        <f aca="false">K6*K7/100</f>
        <v>5574.38683013017</v>
      </c>
      <c r="L8" s="0" t="n">
        <f aca="false">L6*L7/100</f>
        <v>5630.13069843147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-30.849825</v>
      </c>
      <c r="D10" s="0" t="n">
        <f aca="false">-D6*D9/100</f>
        <v>-30.078579375</v>
      </c>
      <c r="E10" s="0" t="n">
        <f aca="false">-E6*E9/100</f>
        <v>-29.77779358125</v>
      </c>
      <c r="F10" s="0" t="n">
        <f aca="false">-F6*F9/100</f>
        <v>-29.77779358125</v>
      </c>
      <c r="G10" s="0" t="n">
        <f aca="false">-G6*G9/100</f>
        <v>-29.9266825491562</v>
      </c>
      <c r="H10" s="0" t="n">
        <f aca="false">-H6*H9/100</f>
        <v>-30.2259493746478</v>
      </c>
      <c r="I10" s="0" t="n">
        <f aca="false">-I6*I9/100</f>
        <v>-30.5282088683943</v>
      </c>
      <c r="J10" s="0" t="n">
        <f aca="false">-J6*J9/100</f>
        <v>-30.8334909570782</v>
      </c>
      <c r="K10" s="0" t="n">
        <f aca="false">-K6*K9/100</f>
        <v>-31.141825866649</v>
      </c>
      <c r="L10" s="0" t="n">
        <f aca="false">-L6*L9/100</f>
        <v>-31.4532441253155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5932.4213475</v>
      </c>
      <c r="D11" s="0" t="n">
        <f aca="false">D8+D10+D24</f>
        <v>5603.6393375625</v>
      </c>
      <c r="E11" s="0" t="n">
        <f aca="false">E8+E10+E24</f>
        <v>5428.49176986188</v>
      </c>
      <c r="F11" s="0" t="n">
        <f aca="false">F8+F10+F24</f>
        <v>5339.15838911812</v>
      </c>
      <c r="G11" s="0" t="n">
        <f aca="false">G8+G10+G24</f>
        <v>5276.07413341625</v>
      </c>
      <c r="H11" s="0" t="n">
        <f aca="false">H8+H10+H24</f>
        <v>5328.83487475041</v>
      </c>
      <c r="I11" s="0" t="n">
        <f aca="false">I8+I10+I24</f>
        <v>5382.12322349791</v>
      </c>
      <c r="J11" s="0" t="n">
        <f aca="false">J8+J10+J24</f>
        <v>5435.94445573289</v>
      </c>
      <c r="K11" s="0" t="n">
        <f aca="false">K8+K10+K24</f>
        <v>5490.30390029022</v>
      </c>
      <c r="L11" s="0" t="n">
        <f aca="false">L8+L10+L24</f>
        <v>5545.20693929312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-1187.7182625</v>
      </c>
      <c r="D12" s="4" t="n">
        <f aca="false">-D6*Assumptions!D17/100</f>
        <v>-1173.064595625</v>
      </c>
      <c r="E12" s="4" t="n">
        <f aca="false">-E6*Assumptions!E17/100</f>
        <v>-1176.22284645937</v>
      </c>
      <c r="F12" s="4" t="n">
        <f aca="false">-F6*Assumptions!F17/100</f>
        <v>-1191.11174325</v>
      </c>
      <c r="G12" s="4" t="n">
        <f aca="false">-G6*Assumptions!G17/100</f>
        <v>-1197.06730196625</v>
      </c>
      <c r="H12" s="4" t="n">
        <f aca="false">-H6*Assumptions!H17/100</f>
        <v>-1209.03797498591</v>
      </c>
      <c r="I12" s="4" t="n">
        <f aca="false">-I6*Assumptions!I17/100</f>
        <v>-1221.12835473577</v>
      </c>
      <c r="J12" s="4" t="n">
        <f aca="false">-J6*Assumptions!J17/100</f>
        <v>-1233.33963828313</v>
      </c>
      <c r="K12" s="4" t="n">
        <f aca="false">-K6*Assumptions!K17/100</f>
        <v>-1245.67303466596</v>
      </c>
      <c r="L12" s="4" t="n">
        <f aca="false">-L6*Assumptions!L17/100</f>
        <v>-1258.12976501262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4744.703085</v>
      </c>
      <c r="D13" s="0" t="n">
        <f aca="false">D11+D12</f>
        <v>4430.5747419375</v>
      </c>
      <c r="E13" s="0" t="n">
        <f aca="false">E11+E12</f>
        <v>4252.2689234025</v>
      </c>
      <c r="F13" s="0" t="n">
        <f aca="false">F11+F12</f>
        <v>4148.04664586813</v>
      </c>
      <c r="G13" s="0" t="n">
        <f aca="false">G11+G12</f>
        <v>4079.00683145</v>
      </c>
      <c r="H13" s="0" t="n">
        <f aca="false">H11+H12</f>
        <v>4119.7968997645</v>
      </c>
      <c r="I13" s="0" t="n">
        <f aca="false">I11+I12</f>
        <v>4160.99486876214</v>
      </c>
      <c r="J13" s="0" t="n">
        <f aca="false">J11+J12</f>
        <v>4202.60481744976</v>
      </c>
      <c r="K13" s="0" t="n">
        <f aca="false">K11+K12</f>
        <v>4244.63086562426</v>
      </c>
      <c r="L13" s="0" t="n">
        <f aca="false">L11+L12</f>
        <v>4287.0771742805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3463.63325205</v>
      </c>
      <c r="D15" s="0" t="n">
        <f aca="false">D13-MAX(0,D13)*D14/100</f>
        <v>3234.31956161438</v>
      </c>
      <c r="E15" s="0" t="n">
        <f aca="false">E13-MAX(0,E13)*E14/100</f>
        <v>3104.15631408383</v>
      </c>
      <c r="F15" s="0" t="n">
        <f aca="false">F13-MAX(0,F13)*F14/100</f>
        <v>3028.07405148373</v>
      </c>
      <c r="G15" s="0" t="n">
        <f aca="false">G13-MAX(0,G13)*G14/100</f>
        <v>2977.6749869585</v>
      </c>
      <c r="H15" s="0" t="n">
        <f aca="false">H13-MAX(0,H13)*H14/100</f>
        <v>3007.45173682808</v>
      </c>
      <c r="I15" s="0" t="n">
        <f aca="false">I13-MAX(0,I13)*I14/100</f>
        <v>3037.52625419636</v>
      </c>
      <c r="J15" s="0" t="n">
        <f aca="false">J13-MAX(0,J13)*J14/100</f>
        <v>3067.90151673833</v>
      </c>
      <c r="K15" s="0" t="n">
        <f aca="false">K13-MAX(0,K13)*K14/100</f>
        <v>3098.58053190571</v>
      </c>
      <c r="L15" s="0" t="n">
        <f aca="false">L13-MAX(0,L13)*L14/100</f>
        <v>3129.56633722477</v>
      </c>
    </row>
    <row r="16" customFormat="false" ht="15" hidden="false" customHeight="false" outlineLevel="0" collapsed="false">
      <c r="A16" s="0" t="s">
        <v>120</v>
      </c>
      <c r="C16" s="0" t="n">
        <f aca="false">-C12</f>
        <v>1187.7182625</v>
      </c>
      <c r="D16" s="0" t="n">
        <f aca="false">-D12</f>
        <v>1173.064595625</v>
      </c>
      <c r="E16" s="0" t="n">
        <f aca="false">-E12</f>
        <v>1176.22284645937</v>
      </c>
      <c r="F16" s="0" t="n">
        <f aca="false">-F12</f>
        <v>1191.11174325</v>
      </c>
      <c r="G16" s="0" t="n">
        <f aca="false">-G12</f>
        <v>1197.06730196625</v>
      </c>
      <c r="H16" s="0" t="n">
        <f aca="false">-H12</f>
        <v>1209.03797498591</v>
      </c>
      <c r="I16" s="0" t="n">
        <f aca="false">-I12</f>
        <v>1221.12835473577</v>
      </c>
      <c r="J16" s="0" t="n">
        <f aca="false">-J12</f>
        <v>1233.33963828313</v>
      </c>
      <c r="K16" s="0" t="n">
        <f aca="false">-K12</f>
        <v>1245.67303466596</v>
      </c>
      <c r="L16" s="0" t="n">
        <f aca="false">-L12</f>
        <v>1258.12976501262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-2005.238625</v>
      </c>
      <c r="D17" s="4" t="n">
        <f aca="false">-D6*Assumptions!D18/100</f>
        <v>-1804.7147625</v>
      </c>
      <c r="E17" s="4" t="n">
        <f aca="false">-E6*Assumptions!E18/100</f>
        <v>-1637.77864696875</v>
      </c>
      <c r="F17" s="4" t="n">
        <f aca="false">-F6*Assumptions!F18/100</f>
        <v>-1488.8896790625</v>
      </c>
      <c r="G17" s="4" t="n">
        <f aca="false">-G6*Assumptions!G18/100</f>
        <v>-1436.4807623595</v>
      </c>
      <c r="H17" s="4" t="n">
        <f aca="false">-H6*Assumptions!H18/100</f>
        <v>-1390.3936712338</v>
      </c>
      <c r="I17" s="4" t="n">
        <f aca="false">-I6*Assumptions!I18/100</f>
        <v>-1373.76939907774</v>
      </c>
      <c r="J17" s="4" t="n">
        <f aca="false">-J6*Assumptions!J18/100</f>
        <v>-1387.50709306852</v>
      </c>
      <c r="K17" s="4" t="n">
        <f aca="false">-K6*Assumptions!K18/100</f>
        <v>-1401.38216399921</v>
      </c>
      <c r="L17" s="4" t="n">
        <f aca="false">-L6*Assumptions!L18/100</f>
        <v>-1415.3959856392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-162.3675</v>
      </c>
      <c r="D18" s="4" t="n">
        <f aca="false">(D6-C6)*Assumptions!$B$23/100</f>
        <v>-77.1245625</v>
      </c>
      <c r="E18" s="4" t="n">
        <f aca="false">(E6-D6)*Assumptions!$B$23/100</f>
        <v>-30.0785793750001</v>
      </c>
      <c r="F18" s="4" t="n">
        <f aca="false">(F6-E6)*Assumptions!$B$23/100</f>
        <v>0</v>
      </c>
      <c r="G18" s="4" t="n">
        <f aca="false">(G6-F6)*Assumptions!$B$23/100</f>
        <v>14.8888967906249</v>
      </c>
      <c r="H18" s="4" t="n">
        <f aca="false">(H6-G6)*Assumptions!$B$23/100</f>
        <v>29.9266825491562</v>
      </c>
      <c r="I18" s="4" t="n">
        <f aca="false">(I6-H6)*Assumptions!$B$23/100</f>
        <v>30.2259493746478</v>
      </c>
      <c r="J18" s="4" t="n">
        <f aca="false">(J6-I6)*Assumptions!$B$23/100</f>
        <v>30.5282088683944</v>
      </c>
      <c r="K18" s="4" t="n">
        <f aca="false">(K6-J6)*Assumptions!$B$23/100</f>
        <v>30.8334909570782</v>
      </c>
      <c r="L18" s="4" t="n">
        <f aca="false">(L6-K6)*Assumptions!$B$23/100</f>
        <v>31.141825866649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2483.74538955</v>
      </c>
      <c r="D19" s="0" t="n">
        <f aca="false">D15+D16+D17+D18</f>
        <v>2525.54483223938</v>
      </c>
      <c r="E19" s="0" t="n">
        <f aca="false">E15+E16+E17+E18</f>
        <v>2612.52193419945</v>
      </c>
      <c r="F19" s="0" t="n">
        <f aca="false">F15+F16+F17+F18</f>
        <v>2730.29611567123</v>
      </c>
      <c r="G19" s="0" t="n">
        <f aca="false">G15+G16+G17+G18</f>
        <v>2753.15042335587</v>
      </c>
      <c r="H19" s="0" t="n">
        <f aca="false">H15+H16+H17+H18</f>
        <v>2856.02272312935</v>
      </c>
      <c r="I19" s="0" t="n">
        <f aca="false">I15+I16+I17+I18</f>
        <v>2915.11115922904</v>
      </c>
      <c r="J19" s="0" t="n">
        <f aca="false">J15+J16+J17+J18</f>
        <v>2944.26227082133</v>
      </c>
      <c r="K19" s="0" t="n">
        <f aca="false">K15+K16+K17+K18</f>
        <v>2973.70489352954</v>
      </c>
      <c r="L19" s="0" t="n">
        <f aca="false">L15+L16+L17+L18</f>
        <v>3003.44194246484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2289.16625764977</v>
      </c>
      <c r="D21" s="0" t="n">
        <f aca="false">D19*D20</f>
        <v>2145.33740978944</v>
      </c>
      <c r="E21" s="0" t="n">
        <f aca="false">E19*E20</f>
        <v>2045.36457961266</v>
      </c>
      <c r="F21" s="0" t="n">
        <f aca="false">F19*F20</f>
        <v>1970.11146550504</v>
      </c>
      <c r="G21" s="0" t="n">
        <f aca="false">G19*G20</f>
        <v>1830.97008867744</v>
      </c>
      <c r="H21" s="0" t="n">
        <f aca="false">H19*H20</f>
        <v>1750.58510675111</v>
      </c>
      <c r="I21" s="0" t="n">
        <f aca="false">I19*I20</f>
        <v>1646.82310928015</v>
      </c>
      <c r="J21" s="0" t="n">
        <f aca="false">J19*J20</f>
        <v>1532.98741048198</v>
      </c>
      <c r="K21" s="0" t="n">
        <f aca="false">K19*K20</f>
        <v>1427.02053878968</v>
      </c>
      <c r="L21" s="0" t="n">
        <f aca="false">L19*L20</f>
        <v>1328.37856606228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0.17</v>
      </c>
      <c r="D23" s="4" t="n">
        <f aca="false">Assumptions!D16</f>
        <v>0.17</v>
      </c>
      <c r="E23" s="4" t="n">
        <f aca="false">Assumptions!E16</f>
        <v>0.17</v>
      </c>
      <c r="F23" s="4" t="n">
        <f aca="false">Assumptions!F16</f>
        <v>0.17</v>
      </c>
      <c r="G23" s="4" t="n">
        <f aca="false">Assumptions!G16</f>
        <v>0.17</v>
      </c>
      <c r="H23" s="4" t="n">
        <f aca="false">Assumptions!H16</f>
        <v>0.17</v>
      </c>
      <c r="I23" s="4" t="n">
        <f aca="false">Assumptions!I16</f>
        <v>0.17</v>
      </c>
      <c r="J23" s="4" t="n">
        <f aca="false">Assumptions!J16</f>
        <v>0.17</v>
      </c>
      <c r="K23" s="4" t="n">
        <f aca="false">Assumptions!K16</f>
        <v>0.17</v>
      </c>
      <c r="L23" s="4" t="n">
        <f aca="false">Assumptions!L16</f>
        <v>0.17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-52.4447025</v>
      </c>
      <c r="D24" s="0" t="n">
        <f aca="false">-D6*D23/100</f>
        <v>-51.1335849375</v>
      </c>
      <c r="E24" s="0" t="n">
        <f aca="false">-E6*E23/100</f>
        <v>-50.622249088125</v>
      </c>
      <c r="F24" s="0" t="n">
        <f aca="false">-F6*F23/100</f>
        <v>-50.622249088125</v>
      </c>
      <c r="G24" s="0" t="n">
        <f aca="false">-G6*G23/100</f>
        <v>-50.8753603335656</v>
      </c>
      <c r="H24" s="0" t="n">
        <f aca="false">-H6*H23/100</f>
        <v>-51.3841139369013</v>
      </c>
      <c r="I24" s="0" t="n">
        <f aca="false">-I6*I23/100</f>
        <v>-51.8979550762703</v>
      </c>
      <c r="J24" s="0" t="n">
        <f aca="false">-J6*J23/100</f>
        <v>-52.416934627033</v>
      </c>
      <c r="K24" s="0" t="n">
        <f aca="false">-K6*K23/100</f>
        <v>-52.9411039733033</v>
      </c>
      <c r="L24" s="0" t="n">
        <f aca="false">-L6*L23/100</f>
        <v>-53.4705150130364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17966.7445325996</v>
      </c>
    </row>
    <row r="31" customFormat="false" ht="15" hidden="false" customHeight="false" outlineLevel="0" collapsed="false">
      <c r="A31" s="0" t="s">
        <v>129</v>
      </c>
      <c r="B31" s="0" t="n">
        <f aca="false">L19</f>
        <v>3003.44194246484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40446.3514918598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33037.8613671132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33037.8613671132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14612.1642266851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32578.9087592846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56191.4087592846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48.278985194021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0.187382813428948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199.368929839622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187.338989913922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48.6112400056448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21667.6882992106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36.5724943167699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-3</v>
      </c>
      <c r="D5" s="4" t="n">
        <f aca="false">Assumptions!D27</f>
        <v>0.5</v>
      </c>
      <c r="E5" s="4" t="n">
        <f aca="false">Assumptions!E27</f>
        <v>1.5</v>
      </c>
      <c r="F5" s="4" t="n">
        <f aca="false">Assumptions!F27</f>
        <v>2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32473.5</v>
      </c>
      <c r="C6" s="0" t="n">
        <f aca="false">B6*(1+C5/100)</f>
        <v>31499.295</v>
      </c>
      <c r="D6" s="0" t="n">
        <f aca="false">C6*(1+D5/100)</f>
        <v>31656.791475</v>
      </c>
      <c r="E6" s="0" t="n">
        <f aca="false">D6*(1+E5/100)</f>
        <v>32131.643347125</v>
      </c>
      <c r="F6" s="0" t="n">
        <f aca="false">E6*(1+F5/100)</f>
        <v>32774.2762140675</v>
      </c>
      <c r="G6" s="0" t="n">
        <f aca="false">F6*(1+G5/100)</f>
        <v>33593.6331194192</v>
      </c>
      <c r="H6" s="0" t="n">
        <f aca="false">G6*(1+H5/100)</f>
        <v>34433.4739474047</v>
      </c>
      <c r="I6" s="0" t="n">
        <f aca="false">H6*(1+I5/100)</f>
        <v>35294.3107960898</v>
      </c>
      <c r="J6" s="0" t="n">
        <f aca="false">I6*(1+J5/100)</f>
        <v>36000.1970120116</v>
      </c>
      <c r="K6" s="0" t="n">
        <f aca="false">J6*(1+K5/100)</f>
        <v>36720.2009522518</v>
      </c>
      <c r="L6" s="0" t="n">
        <f aca="false">K6*(1+L5/100)</f>
        <v>37454.6049712968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20.2</v>
      </c>
      <c r="D7" s="4" t="n">
        <f aca="false">Assumptions!D28</f>
        <v>20.4</v>
      </c>
      <c r="E7" s="4" t="n">
        <f aca="false">Assumptions!E28</f>
        <v>20.7</v>
      </c>
      <c r="F7" s="4" t="n">
        <f aca="false">Assumptions!F28</f>
        <v>21</v>
      </c>
      <c r="G7" s="4" t="n">
        <f aca="false">Assumptions!G28</f>
        <v>21.2</v>
      </c>
      <c r="H7" s="4" t="n">
        <f aca="false">Assumptions!H28</f>
        <v>21.4</v>
      </c>
      <c r="I7" s="4" t="n">
        <f aca="false">Assumptions!I28</f>
        <v>21.4</v>
      </c>
      <c r="J7" s="4" t="n">
        <f aca="false">Assumptions!J28</f>
        <v>21.4</v>
      </c>
      <c r="K7" s="4" t="n">
        <f aca="false">Assumptions!K28</f>
        <v>21.4</v>
      </c>
      <c r="L7" s="4" t="n">
        <f aca="false">Assumptions!L28</f>
        <v>21.4</v>
      </c>
    </row>
    <row r="8" customFormat="false" ht="15" hidden="false" customHeight="false" outlineLevel="0" collapsed="false">
      <c r="A8" s="0" t="s">
        <v>44</v>
      </c>
      <c r="C8" s="0" t="n">
        <f aca="false">C6*C7/100</f>
        <v>6362.85759</v>
      </c>
      <c r="D8" s="0" t="n">
        <f aca="false">D6*D7/100</f>
        <v>6457.9854609</v>
      </c>
      <c r="E8" s="0" t="n">
        <f aca="false">E6*E7/100</f>
        <v>6651.25017285487</v>
      </c>
      <c r="F8" s="0" t="n">
        <f aca="false">F6*F7/100</f>
        <v>6882.59800495417</v>
      </c>
      <c r="G8" s="0" t="n">
        <f aca="false">G6*G7/100</f>
        <v>7121.85022131687</v>
      </c>
      <c r="H8" s="0" t="n">
        <f aca="false">H6*H7/100</f>
        <v>7368.76342474459</v>
      </c>
      <c r="I8" s="0" t="n">
        <f aca="false">I6*I7/100</f>
        <v>7552.98251036321</v>
      </c>
      <c r="J8" s="0" t="n">
        <f aca="false">J6*J7/100</f>
        <v>7704.04216057047</v>
      </c>
      <c r="K8" s="0" t="n">
        <f aca="false">K6*K7/100</f>
        <v>7858.12300378188</v>
      </c>
      <c r="L8" s="0" t="n">
        <f aca="false">L6*L7/100</f>
        <v>8015.28546385752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-31.499295</v>
      </c>
      <c r="D10" s="0" t="n">
        <f aca="false">-D6*D9/100</f>
        <v>-31.656791475</v>
      </c>
      <c r="E10" s="0" t="n">
        <f aca="false">-E6*E9/100</f>
        <v>-32.131643347125</v>
      </c>
      <c r="F10" s="0" t="n">
        <f aca="false">-F6*F9/100</f>
        <v>-32.7742762140675</v>
      </c>
      <c r="G10" s="0" t="n">
        <f aca="false">-G6*G9/100</f>
        <v>-33.5936331194192</v>
      </c>
      <c r="H10" s="0" t="n">
        <f aca="false">-H6*H9/100</f>
        <v>-34.4334739474047</v>
      </c>
      <c r="I10" s="0" t="n">
        <f aca="false">-I6*I9/100</f>
        <v>-35.2943107960898</v>
      </c>
      <c r="J10" s="0" t="n">
        <f aca="false">-J6*J9/100</f>
        <v>-36.0001970120116</v>
      </c>
      <c r="K10" s="0" t="n">
        <f aca="false">-K6*K9/100</f>
        <v>-36.7202009522518</v>
      </c>
      <c r="L10" s="0" t="n">
        <f aca="false">-L6*L9/100</f>
        <v>-37.4546049712968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6277.8094935</v>
      </c>
      <c r="D11" s="0" t="n">
        <f aca="false">D8+D10+D24</f>
        <v>6372.5121239175</v>
      </c>
      <c r="E11" s="0" t="n">
        <f aca="false">E8+E10+E24</f>
        <v>6564.49473581764</v>
      </c>
      <c r="F11" s="0" t="n">
        <f aca="false">F8+F10+F24</f>
        <v>6794.10745917619</v>
      </c>
      <c r="G11" s="0" t="n">
        <f aca="false">G8+G10+G24</f>
        <v>7031.14741189443</v>
      </c>
      <c r="H11" s="0" t="n">
        <f aca="false">H8+H10+H24</f>
        <v>7275.7930450866</v>
      </c>
      <c r="I11" s="0" t="n">
        <f aca="false">I8+I10+I24</f>
        <v>7457.68787121377</v>
      </c>
      <c r="J11" s="0" t="n">
        <f aca="false">J8+J10+J24</f>
        <v>7606.84162863804</v>
      </c>
      <c r="K11" s="0" t="n">
        <f aca="false">K8+K10+K24</f>
        <v>7758.9784612108</v>
      </c>
      <c r="L11" s="0" t="n">
        <f aca="false">L8+L10+L24</f>
        <v>7914.15803043502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-1212.7228575</v>
      </c>
      <c r="D12" s="4" t="n">
        <f aca="false">-D6*Assumptions!D31/100</f>
        <v>-1234.614867525</v>
      </c>
      <c r="E12" s="4" t="n">
        <f aca="false">-E6*Assumptions!E31/100</f>
        <v>-1269.19991221144</v>
      </c>
      <c r="F12" s="4" t="n">
        <f aca="false">-F6*Assumptions!F31/100</f>
        <v>-1310.9710485627</v>
      </c>
      <c r="G12" s="4" t="n">
        <f aca="false">-G6*Assumptions!G31/100</f>
        <v>-1343.74532477677</v>
      </c>
      <c r="H12" s="4" t="n">
        <f aca="false">-H6*Assumptions!H31/100</f>
        <v>-1377.33895789619</v>
      </c>
      <c r="I12" s="4" t="n">
        <f aca="false">-I6*Assumptions!I31/100</f>
        <v>-1411.77243184359</v>
      </c>
      <c r="J12" s="4" t="n">
        <f aca="false">-J6*Assumptions!J31/100</f>
        <v>-1440.00788048046</v>
      </c>
      <c r="K12" s="4" t="n">
        <f aca="false">-K6*Assumptions!K31/100</f>
        <v>-1468.80803809007</v>
      </c>
      <c r="L12" s="4" t="n">
        <f aca="false">-L6*Assumptions!L31/100</f>
        <v>-1498.18419885187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5065.086636</v>
      </c>
      <c r="D13" s="0" t="n">
        <f aca="false">D11+D12</f>
        <v>5137.8972563925</v>
      </c>
      <c r="E13" s="0" t="n">
        <f aca="false">E11+E12</f>
        <v>5295.2948236062</v>
      </c>
      <c r="F13" s="0" t="n">
        <f aca="false">F11+F12</f>
        <v>5483.13641061349</v>
      </c>
      <c r="G13" s="0" t="n">
        <f aca="false">G11+G12</f>
        <v>5687.40208711767</v>
      </c>
      <c r="H13" s="0" t="n">
        <f aca="false">H11+H12</f>
        <v>5898.45408719042</v>
      </c>
      <c r="I13" s="0" t="n">
        <f aca="false">I11+I12</f>
        <v>6045.91543937018</v>
      </c>
      <c r="J13" s="0" t="n">
        <f aca="false">J11+J12</f>
        <v>6166.83374815758</v>
      </c>
      <c r="K13" s="0" t="n">
        <f aca="false">K11+K12</f>
        <v>6290.17042312073</v>
      </c>
      <c r="L13" s="0" t="n">
        <f aca="false">L11+L12</f>
        <v>6415.97383158315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3697.51324428</v>
      </c>
      <c r="D15" s="0" t="n">
        <f aca="false">D13-MAX(0,D13)*D14/100</f>
        <v>3750.66499716652</v>
      </c>
      <c r="E15" s="0" t="n">
        <f aca="false">E13-MAX(0,E13)*E14/100</f>
        <v>3865.56522123253</v>
      </c>
      <c r="F15" s="0" t="n">
        <f aca="false">F13-MAX(0,F13)*F14/100</f>
        <v>4002.68957974785</v>
      </c>
      <c r="G15" s="0" t="n">
        <f aca="false">G13-MAX(0,G13)*G14/100</f>
        <v>4151.8035235959</v>
      </c>
      <c r="H15" s="0" t="n">
        <f aca="false">H13-MAX(0,H13)*H14/100</f>
        <v>4305.871483649</v>
      </c>
      <c r="I15" s="0" t="n">
        <f aca="false">I13-MAX(0,I13)*I14/100</f>
        <v>4413.51827074023</v>
      </c>
      <c r="J15" s="0" t="n">
        <f aca="false">J13-MAX(0,J13)*J14/100</f>
        <v>4501.78863615503</v>
      </c>
      <c r="K15" s="0" t="n">
        <f aca="false">K13-MAX(0,K13)*K14/100</f>
        <v>4591.82440887813</v>
      </c>
      <c r="L15" s="0" t="n">
        <f aca="false">L13-MAX(0,L13)*L14/100</f>
        <v>4683.6608970557</v>
      </c>
    </row>
    <row r="16" customFormat="false" ht="15" hidden="false" customHeight="false" outlineLevel="0" collapsed="false">
      <c r="A16" s="0" t="s">
        <v>120</v>
      </c>
      <c r="C16" s="0" t="n">
        <f aca="false">-C12</f>
        <v>1212.7228575</v>
      </c>
      <c r="D16" s="0" t="n">
        <f aca="false">-D12</f>
        <v>1234.614867525</v>
      </c>
      <c r="E16" s="0" t="n">
        <f aca="false">-E12</f>
        <v>1269.19991221144</v>
      </c>
      <c r="F16" s="0" t="n">
        <f aca="false">-F12</f>
        <v>1310.9710485627</v>
      </c>
      <c r="G16" s="0" t="n">
        <f aca="false">-G12</f>
        <v>1343.74532477677</v>
      </c>
      <c r="H16" s="0" t="n">
        <f aca="false">-H12</f>
        <v>1377.33895789619</v>
      </c>
      <c r="I16" s="0" t="n">
        <f aca="false">-I12</f>
        <v>1411.77243184359</v>
      </c>
      <c r="J16" s="0" t="n">
        <f aca="false">-J12</f>
        <v>1440.00788048046</v>
      </c>
      <c r="K16" s="0" t="n">
        <f aca="false">-K12</f>
        <v>1468.80803809007</v>
      </c>
      <c r="L16" s="0" t="n">
        <f aca="false">-L12</f>
        <v>1498.18419885187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-2047.454175</v>
      </c>
      <c r="D17" s="4" t="n">
        <f aca="false">-D6*Assumptions!D32/100</f>
        <v>-1899.4074885</v>
      </c>
      <c r="E17" s="4" t="n">
        <f aca="false">-E6*Assumptions!E32/100</f>
        <v>-1767.24038409187</v>
      </c>
      <c r="F17" s="4" t="n">
        <f aca="false">-F6*Assumptions!F32/100</f>
        <v>-1638.71381070337</v>
      </c>
      <c r="G17" s="4" t="n">
        <f aca="false">-G6*Assumptions!G32/100</f>
        <v>-1612.49438973212</v>
      </c>
      <c r="H17" s="4" t="n">
        <f aca="false">-H6*Assumptions!H32/100</f>
        <v>-1583.93980158061</v>
      </c>
      <c r="I17" s="4" t="n">
        <f aca="false">-I6*Assumptions!I32/100</f>
        <v>-1588.24398582404</v>
      </c>
      <c r="J17" s="4" t="n">
        <f aca="false">-J6*Assumptions!J32/100</f>
        <v>-1620.00886554052</v>
      </c>
      <c r="K17" s="4" t="n">
        <f aca="false">-K6*Assumptions!K32/100</f>
        <v>-1652.40904285133</v>
      </c>
      <c r="L17" s="4" t="n">
        <f aca="false">-L6*Assumptions!L32/100</f>
        <v>-1685.45722370836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-97.4205000000002</v>
      </c>
      <c r="D18" s="4" t="n">
        <f aca="false">(D6-C6)*Assumptions!$B$37/100</f>
        <v>15.7496474999996</v>
      </c>
      <c r="E18" s="4" t="n">
        <f aca="false">(E6-D6)*Assumptions!$B$37/100</f>
        <v>47.4851872124997</v>
      </c>
      <c r="F18" s="4" t="n">
        <f aca="false">(F6-E6)*Assumptions!$B$37/100</f>
        <v>64.2632866942498</v>
      </c>
      <c r="G18" s="4" t="n">
        <f aca="false">(G6-F6)*Assumptions!$B$37/100</f>
        <v>81.9356905351684</v>
      </c>
      <c r="H18" s="4" t="n">
        <f aca="false">(H6-G6)*Assumptions!$B$37/100</f>
        <v>83.9840827985478</v>
      </c>
      <c r="I18" s="4" t="n">
        <f aca="false">(I6-H6)*Assumptions!$B$37/100</f>
        <v>86.083684868511</v>
      </c>
      <c r="J18" s="4" t="n">
        <f aca="false">(J6-I6)*Assumptions!$B$37/100</f>
        <v>70.5886215921797</v>
      </c>
      <c r="K18" s="4" t="n">
        <f aca="false">(K6-J6)*Assumptions!$B$37/100</f>
        <v>72.0003940240233</v>
      </c>
      <c r="L18" s="4" t="n">
        <f aca="false">(L6-K6)*Assumptions!$B$37/100</f>
        <v>73.440401904504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2765.36142678</v>
      </c>
      <c r="D19" s="0" t="n">
        <f aca="false">D15+D16+D17+D18</f>
        <v>3101.62202369152</v>
      </c>
      <c r="E19" s="0" t="n">
        <f aca="false">E15+E16+E17+E18</f>
        <v>3415.00993656459</v>
      </c>
      <c r="F19" s="0" t="n">
        <f aca="false">F15+F16+F17+F18</f>
        <v>3739.21010430142</v>
      </c>
      <c r="G19" s="0" t="n">
        <f aca="false">G15+G16+G17+G18</f>
        <v>3964.99014917571</v>
      </c>
      <c r="H19" s="0" t="n">
        <f aca="false">H15+H16+H17+H18</f>
        <v>4183.25472276312</v>
      </c>
      <c r="I19" s="0" t="n">
        <f aca="false">I15+I16+I17+I18</f>
        <v>4323.13040162829</v>
      </c>
      <c r="J19" s="0" t="n">
        <f aca="false">J15+J16+J17+J18</f>
        <v>4392.37627268716</v>
      </c>
      <c r="K19" s="0" t="n">
        <f aca="false">K15+K16+K17+K18</f>
        <v>4480.2237981409</v>
      </c>
      <c r="L19" s="0" t="n">
        <f aca="false">L15+L16+L17+L18</f>
        <v>4569.82827410372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2548.72020901382</v>
      </c>
      <c r="D21" s="0" t="n">
        <f aca="false">D19*D20</f>
        <v>2634.68922567183</v>
      </c>
      <c r="E21" s="0" t="n">
        <f aca="false">E19*E20</f>
        <v>2673.63893555783</v>
      </c>
      <c r="F21" s="0" t="n">
        <f aca="false">F19*F20</f>
        <v>2698.1178547388</v>
      </c>
      <c r="G21" s="0" t="n">
        <f aca="false">G19*G20</f>
        <v>2636.89855209304</v>
      </c>
      <c r="H21" s="0" t="n">
        <f aca="false">H19*H20</f>
        <v>2564.10544499848</v>
      </c>
      <c r="I21" s="0" t="n">
        <f aca="false">I19*I20</f>
        <v>2442.25028170655</v>
      </c>
      <c r="J21" s="0" t="n">
        <f aca="false">J19*J20</f>
        <v>2286.97612806444</v>
      </c>
      <c r="K21" s="0" t="n">
        <f aca="false">K19*K20</f>
        <v>2149.96834159053</v>
      </c>
      <c r="L21" s="0" t="n">
        <f aca="false">L19*L20</f>
        <v>2021.1683948593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0.17</v>
      </c>
      <c r="D23" s="4" t="n">
        <f aca="false">Assumptions!D30</f>
        <v>0.17</v>
      </c>
      <c r="E23" s="4" t="n">
        <f aca="false">Assumptions!E30</f>
        <v>0.17</v>
      </c>
      <c r="F23" s="4" t="n">
        <f aca="false">Assumptions!F30</f>
        <v>0.17</v>
      </c>
      <c r="G23" s="4" t="n">
        <f aca="false">Assumptions!G30</f>
        <v>0.17</v>
      </c>
      <c r="H23" s="4" t="n">
        <f aca="false">Assumptions!H30</f>
        <v>0.17</v>
      </c>
      <c r="I23" s="4" t="n">
        <f aca="false">Assumptions!I30</f>
        <v>0.17</v>
      </c>
      <c r="J23" s="4" t="n">
        <f aca="false">Assumptions!J30</f>
        <v>0.17</v>
      </c>
      <c r="K23" s="4" t="n">
        <f aca="false">Assumptions!K30</f>
        <v>0.17</v>
      </c>
      <c r="L23" s="4" t="n">
        <f aca="false">Assumptions!L30</f>
        <v>0.17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-53.5488015</v>
      </c>
      <c r="D24" s="0" t="n">
        <f aca="false">-D6*D23/100</f>
        <v>-53.8165455075</v>
      </c>
      <c r="E24" s="0" t="n">
        <f aca="false">-E6*E23/100</f>
        <v>-54.6237936901125</v>
      </c>
      <c r="F24" s="0" t="n">
        <f aca="false">-F6*F23/100</f>
        <v>-55.7162695639147</v>
      </c>
      <c r="G24" s="0" t="n">
        <f aca="false">-G6*G23/100</f>
        <v>-57.1091763030126</v>
      </c>
      <c r="H24" s="0" t="n">
        <f aca="false">-H6*H23/100</f>
        <v>-58.5369057105879</v>
      </c>
      <c r="I24" s="0" t="n">
        <f aca="false">-I6*I23/100</f>
        <v>-60.0003283533526</v>
      </c>
      <c r="J24" s="0" t="n">
        <f aca="false">-J6*J23/100</f>
        <v>-61.2003349204197</v>
      </c>
      <c r="K24" s="0" t="n">
        <f aca="false">-K6*K23/100</f>
        <v>-62.424341618828</v>
      </c>
      <c r="L24" s="0" t="n">
        <f aca="false">-L6*L23/100</f>
        <v>-63.6728284512046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24656.5333682946</v>
      </c>
    </row>
    <row r="31" customFormat="false" ht="15" hidden="false" customHeight="false" outlineLevel="0" collapsed="false">
      <c r="A31" s="0" t="s">
        <v>129</v>
      </c>
      <c r="B31" s="0" t="n">
        <f aca="false">L19</f>
        <v>4569.82827410372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71711.1513782429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63977.595837452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63977.595837452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28296.3575280302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52952.8908963249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76565.3908963249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65.784066551763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0.617906211307502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221.044749148252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259.952892536438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66.197333962814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35855.5756891215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43.6921186738667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-1.5</v>
      </c>
      <c r="D5" s="4" t="n">
        <f aca="false">Assumptions!D41</f>
        <v>2.5</v>
      </c>
      <c r="E5" s="4" t="n">
        <f aca="false">Assumptions!E41</f>
        <v>3.5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32473.5</v>
      </c>
      <c r="C6" s="0" t="n">
        <f aca="false">B6*(1+C5/100)</f>
        <v>31986.3975</v>
      </c>
      <c r="D6" s="0" t="n">
        <f aca="false">C6*(1+D5/100)</f>
        <v>32786.0574375</v>
      </c>
      <c r="E6" s="0" t="n">
        <f aca="false">D6*(1+E5/100)</f>
        <v>33933.5694478125</v>
      </c>
      <c r="F6" s="0" t="n">
        <f aca="false">E6*(1+F5/100)</f>
        <v>35290.912225725</v>
      </c>
      <c r="G6" s="0" t="n">
        <f aca="false">F6*(1+G5/100)</f>
        <v>36702.548714754</v>
      </c>
      <c r="H6" s="0" t="n">
        <f aca="false">G6*(1+H5/100)</f>
        <v>37987.1379197704</v>
      </c>
      <c r="I6" s="0" t="n">
        <f aca="false">H6*(1+I5/100)</f>
        <v>39126.7520573635</v>
      </c>
      <c r="J6" s="0" t="n">
        <f aca="false">I6*(1+J5/100)</f>
        <v>40300.5546190844</v>
      </c>
      <c r="K6" s="0" t="n">
        <f aca="false">J6*(1+K5/100)</f>
        <v>41308.0684845615</v>
      </c>
      <c r="L6" s="0" t="n">
        <f aca="false">K6*(1+L5/100)</f>
        <v>42340.7701966755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20.5</v>
      </c>
      <c r="D7" s="4" t="n">
        <f aca="false">Assumptions!D42</f>
        <v>21.1</v>
      </c>
      <c r="E7" s="4" t="n">
        <f aca="false">Assumptions!E42</f>
        <v>21.7</v>
      </c>
      <c r="F7" s="4" t="n">
        <f aca="false">Assumptions!F42</f>
        <v>22.3</v>
      </c>
      <c r="G7" s="4" t="n">
        <f aca="false">Assumptions!G42</f>
        <v>22.8</v>
      </c>
      <c r="H7" s="4" t="n">
        <f aca="false">Assumptions!H42</f>
        <v>23.2</v>
      </c>
      <c r="I7" s="4" t="n">
        <f aca="false">Assumptions!I42</f>
        <v>23.4</v>
      </c>
      <c r="J7" s="4" t="n">
        <f aca="false">Assumptions!J42</f>
        <v>23.4</v>
      </c>
      <c r="K7" s="4" t="n">
        <f aca="false">Assumptions!K42</f>
        <v>23.4</v>
      </c>
      <c r="L7" s="4" t="n">
        <f aca="false">Assumptions!L42</f>
        <v>23.4</v>
      </c>
    </row>
    <row r="8" customFormat="false" ht="15" hidden="false" customHeight="false" outlineLevel="0" collapsed="false">
      <c r="A8" s="0" t="s">
        <v>44</v>
      </c>
      <c r="C8" s="0" t="n">
        <f aca="false">C6*C7/100</f>
        <v>6557.2114875</v>
      </c>
      <c r="D8" s="0" t="n">
        <f aca="false">D6*D7/100</f>
        <v>6917.8581193125</v>
      </c>
      <c r="E8" s="0" t="n">
        <f aca="false">E6*E7/100</f>
        <v>7363.58457017531</v>
      </c>
      <c r="F8" s="0" t="n">
        <f aca="false">F6*F7/100</f>
        <v>7869.87342633668</v>
      </c>
      <c r="G8" s="0" t="n">
        <f aca="false">G6*G7/100</f>
        <v>8368.18110696391</v>
      </c>
      <c r="H8" s="0" t="n">
        <f aca="false">H6*H7/100</f>
        <v>8813.01599738673</v>
      </c>
      <c r="I8" s="0" t="n">
        <f aca="false">I6*I7/100</f>
        <v>9155.65998142306</v>
      </c>
      <c r="J8" s="0" t="n">
        <f aca="false">J6*J7/100</f>
        <v>9430.32978086575</v>
      </c>
      <c r="K8" s="0" t="n">
        <f aca="false">K6*K7/100</f>
        <v>9666.08802538739</v>
      </c>
      <c r="L8" s="0" t="n">
        <f aca="false">L6*L7/100</f>
        <v>9907.74022602208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-31.9863975</v>
      </c>
      <c r="D10" s="0" t="n">
        <f aca="false">-D6*D9/100</f>
        <v>-32.7860574375</v>
      </c>
      <c r="E10" s="0" t="n">
        <f aca="false">-E6*E9/100</f>
        <v>-33.9335694478125</v>
      </c>
      <c r="F10" s="0" t="n">
        <f aca="false">-F6*F9/100</f>
        <v>-35.290912225725</v>
      </c>
      <c r="G10" s="0" t="n">
        <f aca="false">-G6*G9/100</f>
        <v>-36.702548714754</v>
      </c>
      <c r="H10" s="0" t="n">
        <f aca="false">-H6*H9/100</f>
        <v>-37.9871379197704</v>
      </c>
      <c r="I10" s="0" t="n">
        <f aca="false">-I6*I9/100</f>
        <v>-39.1267520573635</v>
      </c>
      <c r="J10" s="0" t="n">
        <f aca="false">-J6*J9/100</f>
        <v>-40.3005546190844</v>
      </c>
      <c r="K10" s="0" t="n">
        <f aca="false">-K6*K9/100</f>
        <v>-41.3080684845615</v>
      </c>
      <c r="L10" s="0" t="n">
        <f aca="false">-L6*L9/100</f>
        <v>-42.3407701966755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6470.84821425</v>
      </c>
      <c r="D11" s="0" t="n">
        <f aca="false">D8+D10+D24</f>
        <v>6829.33576423125</v>
      </c>
      <c r="E11" s="0" t="n">
        <f aca="false">E8+E10+E24</f>
        <v>7271.96393266622</v>
      </c>
      <c r="F11" s="0" t="n">
        <f aca="false">F8+F10+F24</f>
        <v>7774.58796332722</v>
      </c>
      <c r="G11" s="0" t="n">
        <f aca="false">G8+G10+G24</f>
        <v>8269.08422543408</v>
      </c>
      <c r="H11" s="0" t="n">
        <f aca="false">H8+H10+H24</f>
        <v>8710.45072500335</v>
      </c>
      <c r="I11" s="0" t="n">
        <f aca="false">I8+I10+I24</f>
        <v>9050.01775086818</v>
      </c>
      <c r="J11" s="0" t="n">
        <f aca="false">J8+J10+J24</f>
        <v>9321.51828339422</v>
      </c>
      <c r="K11" s="0" t="n">
        <f aca="false">K8+K10+K24</f>
        <v>9554.55624047908</v>
      </c>
      <c r="L11" s="0" t="n">
        <f aca="false">L8+L10+L24</f>
        <v>9793.42014649105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-1231.47630375</v>
      </c>
      <c r="D12" s="4" t="n">
        <f aca="false">-D6*Assumptions!D45/100</f>
        <v>-1278.6562400625</v>
      </c>
      <c r="E12" s="4" t="n">
        <f aca="false">-E6*Assumptions!E45/100</f>
        <v>-1340.37599318859</v>
      </c>
      <c r="F12" s="4" t="n">
        <f aca="false">-F6*Assumptions!F45/100</f>
        <v>-1411.636489029</v>
      </c>
      <c r="G12" s="4" t="n">
        <f aca="false">-G6*Assumptions!G45/100</f>
        <v>-1468.10194859016</v>
      </c>
      <c r="H12" s="4" t="n">
        <f aca="false">-H6*Assumptions!H45/100</f>
        <v>-1519.48551679082</v>
      </c>
      <c r="I12" s="4" t="n">
        <f aca="false">-I6*Assumptions!I45/100</f>
        <v>-1565.07008229454</v>
      </c>
      <c r="J12" s="4" t="n">
        <f aca="false">-J6*Assumptions!J45/100</f>
        <v>-1612.02218476338</v>
      </c>
      <c r="K12" s="4" t="n">
        <f aca="false">-K6*Assumptions!K45/100</f>
        <v>-1652.32273938246</v>
      </c>
      <c r="L12" s="4" t="n">
        <f aca="false">-L6*Assumptions!L45/100</f>
        <v>-1693.63080786702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5239.3719105</v>
      </c>
      <c r="D13" s="0" t="n">
        <f aca="false">D11+D12</f>
        <v>5550.67952416875</v>
      </c>
      <c r="E13" s="0" t="n">
        <f aca="false">E11+E12</f>
        <v>5931.58793947763</v>
      </c>
      <c r="F13" s="0" t="n">
        <f aca="false">F11+F12</f>
        <v>6362.95147429822</v>
      </c>
      <c r="G13" s="0" t="n">
        <f aca="false">G11+G12</f>
        <v>6800.98227684392</v>
      </c>
      <c r="H13" s="0" t="n">
        <f aca="false">H11+H12</f>
        <v>7190.96520821254</v>
      </c>
      <c r="I13" s="0" t="n">
        <f aca="false">I11+I12</f>
        <v>7484.94766857364</v>
      </c>
      <c r="J13" s="0" t="n">
        <f aca="false">J11+J12</f>
        <v>7709.49609863085</v>
      </c>
      <c r="K13" s="0" t="n">
        <f aca="false">K11+K12</f>
        <v>7902.23350109662</v>
      </c>
      <c r="L13" s="0" t="n">
        <f aca="false">L11+L12</f>
        <v>8099.78933862403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3824.741494665</v>
      </c>
      <c r="D15" s="0" t="n">
        <f aca="false">D13-MAX(0,D13)*D14/100</f>
        <v>4051.99605264319</v>
      </c>
      <c r="E15" s="0" t="n">
        <f aca="false">E13-MAX(0,E13)*E14/100</f>
        <v>4330.05919581867</v>
      </c>
      <c r="F15" s="0" t="n">
        <f aca="false">F13-MAX(0,F13)*F14/100</f>
        <v>4644.9545762377</v>
      </c>
      <c r="G15" s="0" t="n">
        <f aca="false">G13-MAX(0,G13)*G14/100</f>
        <v>4964.71706209606</v>
      </c>
      <c r="H15" s="0" t="n">
        <f aca="false">H13-MAX(0,H13)*H14/100</f>
        <v>5249.40460199515</v>
      </c>
      <c r="I15" s="0" t="n">
        <f aca="false">I13-MAX(0,I13)*I14/100</f>
        <v>5464.01179805875</v>
      </c>
      <c r="J15" s="0" t="n">
        <f aca="false">J13-MAX(0,J13)*J14/100</f>
        <v>5627.93215200052</v>
      </c>
      <c r="K15" s="0" t="n">
        <f aca="false">K13-MAX(0,K13)*K14/100</f>
        <v>5768.63045580053</v>
      </c>
      <c r="L15" s="0" t="n">
        <f aca="false">L13-MAX(0,L13)*L14/100</f>
        <v>5912.84621719554</v>
      </c>
    </row>
    <row r="16" customFormat="false" ht="15" hidden="false" customHeight="false" outlineLevel="0" collapsed="false">
      <c r="A16" s="0" t="s">
        <v>120</v>
      </c>
      <c r="C16" s="0" t="n">
        <f aca="false">-C12</f>
        <v>1231.47630375</v>
      </c>
      <c r="D16" s="0" t="n">
        <f aca="false">-D12</f>
        <v>1278.6562400625</v>
      </c>
      <c r="E16" s="0" t="n">
        <f aca="false">-E12</f>
        <v>1340.37599318859</v>
      </c>
      <c r="F16" s="0" t="n">
        <f aca="false">-F12</f>
        <v>1411.636489029</v>
      </c>
      <c r="G16" s="0" t="n">
        <f aca="false">-G12</f>
        <v>1468.10194859016</v>
      </c>
      <c r="H16" s="0" t="n">
        <f aca="false">-H12</f>
        <v>1519.48551679082</v>
      </c>
      <c r="I16" s="0" t="n">
        <f aca="false">-I12</f>
        <v>1565.07008229454</v>
      </c>
      <c r="J16" s="0" t="n">
        <f aca="false">-J12</f>
        <v>1612.02218476338</v>
      </c>
      <c r="K16" s="0" t="n">
        <f aca="false">-K12</f>
        <v>1652.32273938246</v>
      </c>
      <c r="L16" s="0" t="n">
        <f aca="false">-L12</f>
        <v>1693.63080786702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-2079.1158375</v>
      </c>
      <c r="D17" s="4" t="n">
        <f aca="false">-D6*Assumptions!D46/100</f>
        <v>-1967.16344625</v>
      </c>
      <c r="E17" s="4" t="n">
        <f aca="false">-E6*Assumptions!E46/100</f>
        <v>-1866.34631962969</v>
      </c>
      <c r="F17" s="4" t="n">
        <f aca="false">-F6*Assumptions!F46/100</f>
        <v>-1764.54561128625</v>
      </c>
      <c r="G17" s="4" t="n">
        <f aca="false">-G6*Assumptions!G46/100</f>
        <v>-1761.72233830819</v>
      </c>
      <c r="H17" s="4" t="n">
        <f aca="false">-H6*Assumptions!H46/100</f>
        <v>-1747.40834430944</v>
      </c>
      <c r="I17" s="4" t="n">
        <f aca="false">-I6*Assumptions!I46/100</f>
        <v>-1760.70384258136</v>
      </c>
      <c r="J17" s="4" t="n">
        <f aca="false">-J6*Assumptions!J46/100</f>
        <v>-1813.5249578588</v>
      </c>
      <c r="K17" s="4" t="n">
        <f aca="false">-K6*Assumptions!K46/100</f>
        <v>-1858.86308180527</v>
      </c>
      <c r="L17" s="4" t="n">
        <f aca="false">-L6*Assumptions!L46/100</f>
        <v>-1905.3346588504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-48.7102500000001</v>
      </c>
      <c r="D18" s="4" t="n">
        <f aca="false">(D6-C6)*Assumptions!$B$51/100</f>
        <v>79.9659937500001</v>
      </c>
      <c r="E18" s="4" t="n">
        <f aca="false">(E6-D6)*Assumptions!$B$51/100</f>
        <v>114.75120103125</v>
      </c>
      <c r="F18" s="4" t="n">
        <f aca="false">(F6-E6)*Assumptions!$B$51/100</f>
        <v>135.73427779125</v>
      </c>
      <c r="G18" s="4" t="n">
        <f aca="false">(G6-F6)*Assumptions!$B$51/100</f>
        <v>141.1636489029</v>
      </c>
      <c r="H18" s="4" t="n">
        <f aca="false">(H6-G6)*Assumptions!$B$51/100</f>
        <v>128.458920501639</v>
      </c>
      <c r="I18" s="4" t="n">
        <f aca="false">(I6-H6)*Assumptions!$B$51/100</f>
        <v>113.961413759311</v>
      </c>
      <c r="J18" s="4" t="n">
        <f aca="false">(J6-I6)*Assumptions!$B$51/100</f>
        <v>117.380256172091</v>
      </c>
      <c r="K18" s="4" t="n">
        <f aca="false">(K6-J6)*Assumptions!$B$51/100</f>
        <v>100.751386547711</v>
      </c>
      <c r="L18" s="4" t="n">
        <f aca="false">(L6-K6)*Assumptions!$B$51/100</f>
        <v>103.270171211403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2928.391710915</v>
      </c>
      <c r="D19" s="0" t="n">
        <f aca="false">D15+D16+D17+D18</f>
        <v>3443.45484020569</v>
      </c>
      <c r="E19" s="0" t="n">
        <f aca="false">E15+E16+E17+E18</f>
        <v>3918.84007040882</v>
      </c>
      <c r="F19" s="0" t="n">
        <f aca="false">F15+F16+F17+F18</f>
        <v>4427.7797317717</v>
      </c>
      <c r="G19" s="0" t="n">
        <f aca="false">G15+G16+G17+G18</f>
        <v>4812.26032128093</v>
      </c>
      <c r="H19" s="0" t="n">
        <f aca="false">H15+H16+H17+H18</f>
        <v>5149.94069497817</v>
      </c>
      <c r="I19" s="0" t="n">
        <f aca="false">I15+I16+I17+I18</f>
        <v>5382.33945153125</v>
      </c>
      <c r="J19" s="0" t="n">
        <f aca="false">J15+J16+J17+J18</f>
        <v>5543.80963507719</v>
      </c>
      <c r="K19" s="0" t="n">
        <f aca="false">K15+K16+K17+K18</f>
        <v>5662.84149992544</v>
      </c>
      <c r="L19" s="0" t="n">
        <f aca="false">L15+L16+L17+L18</f>
        <v>5804.41253742357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2698.97853540553</v>
      </c>
      <c r="D21" s="0" t="n">
        <f aca="false">D19*D20</f>
        <v>2925.06091886062</v>
      </c>
      <c r="E21" s="0" t="n">
        <f aca="false">E19*E20</f>
        <v>3068.09162757792</v>
      </c>
      <c r="F21" s="0" t="n">
        <f aca="false">F19*F20</f>
        <v>3194.97199084931</v>
      </c>
      <c r="G21" s="0" t="n">
        <f aca="false">G19*G20</f>
        <v>3200.37170234042</v>
      </c>
      <c r="H21" s="0" t="n">
        <f aca="false">H19*H20</f>
        <v>3156.63086580839</v>
      </c>
      <c r="I21" s="0" t="n">
        <f aca="false">I19*I20</f>
        <v>3040.62538497369</v>
      </c>
      <c r="J21" s="0" t="n">
        <f aca="false">J19*J20</f>
        <v>2886.49230094276</v>
      </c>
      <c r="K21" s="0" t="n">
        <f aca="false">K19*K20</f>
        <v>2717.4825403447</v>
      </c>
      <c r="L21" s="0" t="n">
        <f aca="false">L19*L20</f>
        <v>2567.20700815974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0.17</v>
      </c>
      <c r="D23" s="4" t="n">
        <f aca="false">Assumptions!D44</f>
        <v>0.17</v>
      </c>
      <c r="E23" s="4" t="n">
        <f aca="false">Assumptions!E44</f>
        <v>0.17</v>
      </c>
      <c r="F23" s="4" t="n">
        <f aca="false">Assumptions!F44</f>
        <v>0.17</v>
      </c>
      <c r="G23" s="4" t="n">
        <f aca="false">Assumptions!G44</f>
        <v>0.17</v>
      </c>
      <c r="H23" s="4" t="n">
        <f aca="false">Assumptions!H44</f>
        <v>0.17</v>
      </c>
      <c r="I23" s="4" t="n">
        <f aca="false">Assumptions!I44</f>
        <v>0.17</v>
      </c>
      <c r="J23" s="4" t="n">
        <f aca="false">Assumptions!J44</f>
        <v>0.17</v>
      </c>
      <c r="K23" s="4" t="n">
        <f aca="false">Assumptions!K44</f>
        <v>0.17</v>
      </c>
      <c r="L23" s="4" t="n">
        <f aca="false">Assumptions!L44</f>
        <v>0.17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-54.37687575</v>
      </c>
      <c r="D24" s="0" t="n">
        <f aca="false">-D6*D23/100</f>
        <v>-55.73629764375</v>
      </c>
      <c r="E24" s="0" t="n">
        <f aca="false">-E6*E23/100</f>
        <v>-57.6870680612813</v>
      </c>
      <c r="F24" s="0" t="n">
        <f aca="false">-F6*F23/100</f>
        <v>-59.9945507837325</v>
      </c>
      <c r="G24" s="0" t="n">
        <f aca="false">-G6*G23/100</f>
        <v>-62.3943328150818</v>
      </c>
      <c r="H24" s="0" t="n">
        <f aca="false">-H6*H23/100</f>
        <v>-64.5781344636097</v>
      </c>
      <c r="I24" s="0" t="n">
        <f aca="false">-I6*I23/100</f>
        <v>-66.515478497518</v>
      </c>
      <c r="J24" s="0" t="n">
        <f aca="false">-J6*J23/100</f>
        <v>-68.5109428524435</v>
      </c>
      <c r="K24" s="0" t="n">
        <f aca="false">-K6*K23/100</f>
        <v>-70.2237164237546</v>
      </c>
      <c r="L24" s="0" t="n">
        <f aca="false">-L6*L23/100</f>
        <v>-71.9793093343484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29455.9128752631</v>
      </c>
    </row>
    <row r="31" customFormat="false" ht="15" hidden="false" customHeight="false" outlineLevel="0" collapsed="false">
      <c r="A31" s="0" t="s">
        <v>129</v>
      </c>
      <c r="B31" s="0" t="n">
        <f aca="false">L19</f>
        <v>5804.41253742357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99158.714180986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87066.1880613535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87066.1880613535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38508.1051223961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67964.0179976592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91576.5179976592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78.6814471135405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0.935106913761449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238.692221698998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319.914545790065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79.1613953556715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47596.1828068733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49.0898993467041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48.278985194021</v>
      </c>
      <c r="C4" s="0" t="n">
        <f aca="false">B4/Assumptions!$B$2-1</f>
        <v>0.187382813428948</v>
      </c>
      <c r="D4" s="4" t="n">
        <f aca="false">Assumptions!$B$24</f>
        <v>0.25</v>
      </c>
      <c r="E4" s="4" t="n">
        <f aca="false">DCF_Bear!$B$43</f>
        <v>48.6112400056448</v>
      </c>
      <c r="F4" s="4" t="n">
        <f aca="false">DCF_Bear!$B$47</f>
        <v>36.5724943167699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65.784066551763</v>
      </c>
      <c r="C5" s="0" t="n">
        <f aca="false">B5/Assumptions!$B$2-1</f>
        <v>0.617906211307502</v>
      </c>
      <c r="D5" s="4" t="n">
        <f aca="false">Assumptions!$B$38</f>
        <v>0.5</v>
      </c>
      <c r="E5" s="4" t="n">
        <f aca="false">DCF_Base!$B$43</f>
        <v>66.197333962814</v>
      </c>
      <c r="F5" s="4" t="n">
        <f aca="false">DCF_Base!$B$47</f>
        <v>43.6921186738667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78.6814471135405</v>
      </c>
      <c r="C6" s="0" t="n">
        <f aca="false">B6/Assumptions!$B$2-1</f>
        <v>0.935106913761449</v>
      </c>
      <c r="D6" s="4" t="n">
        <f aca="false">Assumptions!$B$52</f>
        <v>0.25</v>
      </c>
      <c r="E6" s="4" t="n">
        <f aca="false">DCF_Bull!$B$43</f>
        <v>79.1613953556715</v>
      </c>
      <c r="F6" s="4" t="n">
        <f aca="false">DCF_Bull!$B$47</f>
        <v>49.0898993467041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64.6321413527719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65.0418258217361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0.370901239708713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43.2616577528019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65.784066551763</v>
      </c>
      <c r="C15" s="3" t="n">
        <v>8.5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64.1853443857735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59.3063089148189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54.7819189496477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51.1688498713175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43.6921186738667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72.9734856661242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72.9734856661242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72.9734856661242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72.9734856661242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72.9734856661242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69.2113572201695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69.2113572201695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69.2113572201695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69.2113572201695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69.2113572201695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64.8578992611672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65.784066551763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65.784066551763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65.784066551763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65.784066551763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59.3029783282666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60.5786006549911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62.0243059586121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62.6580397903364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62.6580397903364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54.930436850107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55.8652643515422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56.9100715590286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58.0854796674508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59.4176088569961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2026-10-10T21:28:07Z</dcterms:created>
  <dc:creator>openpyxl</dc:creator>
  <dc:description/>
  <dc:language>en-NZ</dc:language>
  <cp:lastModifiedBy/>
  <dcterms:modified xsi:type="dcterms:W3CDTF">2026-10-10T21:28:07Z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