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<sst xmlns="http://schemas.openxmlformats.org/spreadsheetml/2006/main" count="353" uniqueCount="164">
  <si>
    <t xml:space="preserve">Ticker</t>
  </si>
  <si>
    <t xml:space="preserve">1308.HK</t>
  </si>
  <si>
    <t xml:space="preserve">Company</t>
  </si>
  <si>
    <t xml:space="preserve">SITC International Holdings Company Limited</t>
  </si>
  <si>
    <t xml:space="preserve">Valuation date</t>
  </si>
  <si>
    <t xml:space="preserve">2026-10-16</t>
  </si>
  <si>
    <t xml:space="preserve">Current price</t>
  </si>
  <si>
    <t xml:space="preserve">Price as of</t>
  </si>
  <si>
    <t xml:space="preserve">2026-10-16T08:08:14Z (HKEX regular close, 16:08 HKT)</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</si>
  <si>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</si>
  <si>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</si>
  <si>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</si>
  <si>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</si>
  <si>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</si>
  <si>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</si>
  <si>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</si>
  <si>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</si>
  <si>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</si>
  <si>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</si>
  <si>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</si>
  <si>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</si>
  <si>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</si>
  <si>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2026-10-16T08:42:06Z</t>
  </si>
  <si>
    <t xml:space="preserve">Drivers file</t>
  </si>
  <si>
    <t xml:space="preserve">1308.HK_Drivers.json</t>
  </si>
  <si>
    <t xml:space="preserve">Convention</t>
  </si>
  <si>
    <t xml:space="preserve">Percents stored as percents; formulas divide by 100. Blue = input, green = link, black = formula.</t>
  </si>
  <si>
    <t xml:space="preserve">Methodology</t>
  </si>
  <si>
    <t xml:space="preserve">summary: Value a cyclical on normalised mid-cycle owner FCF, never on the peak year. SITC is an excellent operator - the lowest-cost pure intra-Asia carrier, 83% owned fleet bought counter-cyclically, net cash, 50% ROE at the top of the cycle, and a payout that returned US$4.4bn in five years - but freight rates are a commodity price it does not set. The model charges the cycle once, in the flows: a 30% bear weight, a base case that gives back half the FY2023-26 rate gain, and a terminal cap of 10-14x owner FCF. It charges leases once (treatment B, inside EBITDA, liabilities out of net debt), SBC once (expensed, count flat), the cash pile once (interest and FV income stripped, cash and FVTPL assets in the bridge) and timing once (FY0 = FY2026E; the September interim dividend removed from the 30-Jun cash, H2 FCF added back). The structural shipping tax exemption is retained because it is statutory and carved out of Pillar Two, not an NOL that expires. Street basis differs from house by only the ~0.8% SBC charge.
key_risks_to_valuation: Freight-rate path: every 1pp of mid-cycle EBITDA margin is worth roughly US$0.10 (HK$0.8) per share; the base's 34% could be 30% if the owned-fleet advantage does not lift trough margins as assumed; Red Sea reopening or a tariff-driven volume shock would make the bear path the base path for FY2027-28; Capex: management buys vessels opportunistically and may exercise further options; capex above the modelled 5.5-8.5% of revenue lowers owner FCF unless it also lifts volume; Tax: loss of the international shipping exemption (HK IRO s.23B, Pillar Two carve-out) would move the cash tax rate from ~2-3% toward 15%+, worth roughly 12-15% of value; Terminal cap: at 12x owner FCF the terminal value is ~45% of EV; the market has at times paid under 8x for container lines at mid-cycle; Governance: 40.7% family control with related-party chartering carved out of the non-competition deed; no FX hedging on RMB/JPY exposures; FX: HKD peg gives +/-0.6% translation risk; a peg break would move the HKD values one-for-one</t>
  </si>
  <si>
    <t xml:space="preserve">Data sources</t>
  </si>
  <si>
    <t xml:space="preserve">price: Yahoo Finance chart API (query1.finance.yahoo.com/v8/finance/chart/1308.HK), regular close at inputs.price_as_of; 52-week range HK$25.64-52.15. FX: Yahoo HKD=X same date.
financials: research/1308.HK/Reports/1308.HK_Metrics.csv and the 1308.HK.duckdb kpis table (FY2018-FY2025 annual, H1 FY2023-FY2026 interim), sourced from the HKEX annual and interim reports in research/1308.HK/Extracted/. Balance sheet and share count: H1 FY2026 interim report (30 June 2026). FY2025 component lines: FY2025 Annual Report income statement, cash flow statement, notes 8 (depreciation, share award expense), 15 (leases), 31 (share capital).
qualitative: research/1308.HK/Reports/1308.HK_Analysis.json (2026-10-16); FY2025 Annual Report and H1 FY2026 Interim Report MD&amp;A (fleet, freight rate, volume, capital commitments, interim dividend).</t>
  </si>
  <si>
    <t xml:space="preserve">Scenario narrative: bear</t>
  </si>
  <si>
    <t xml:space="preserve">A FY2023-style down-cycle arriving on top of a committed capex programme. Red Sea reopening and global orderbook deliveries push rates to ~US$580/TEU, tariffs slow China-linked volumes, and revenue falls 23% over two years while the US$763m of newbuilds still has to be paid for. Owner FCF falls to ~US$270m in FY2028 and recovers only to ~US$630m by FY2036 as the margin settles at 29%. Even here the balance sheet (US$0.9bn net cash, 0% gearing) is never stressed - the risk is to the valuation, not to the company. Terminal value at a 10x cap.</t>
  </si>
  <si>
    <t xml:space="preserve">Scenario narrative: base</t>
  </si>
  <si>
    <t xml:space="preserve">Normalisation, not extrapolation. SITC is at or near peak earnings (FY2025 ROE 50%, average freight rate US$753/TEU vs the US$623 trough two years earlier), and the base assumes rates give back about half the FY2023-26 gain over FY2027-28 while volume keeps compounding at 4%. Operating EBITDA settles at a 34% mid-cycle margin - above the 29-30% troughs of FY2020 and FY2023 because the fleet is now 83% owned at counter-cyclical prices, below the 40-42% of FY2024-26 which carried a Red Sea rate tailwind. The US$763m committed orderbook is paid out in FY2027-29 and lifts owned capacity, so lease costs fall and D&amp;A rises. Owner FCF troughs at ~US$700m in FY2028 and recovers to ~US$1.05bn by FY2036, about where it is today - i.e. ten years of volume growth are needed just to replace the rate cycle. Terminal value at the 12x cap.</t>
  </si>
  <si>
    <t xml:space="preserve">Scenario narrative: bull</t>
  </si>
  <si>
    <t xml:space="preserve">The current rate environment is the new normal. Red Sea disruption, thin intra-Asia deliveries and China+1 relocation keep rates near US$750-780/TEU, volume compounds 5% a year, and the owned-fleet cost advantage holds the operating EBITDA margin at ~39%. Owner FCF grows from ~US$1.2bn to ~US$1.65bn by FY2036 and is capitalised at 14x. This scenario roughly reproduces the current market price, which is why it carries only 20%: it needs rates, volume and costs all to hold at once in an industry whose rates fell 43% in a single year three years ago.</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</si>
  <si>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</si>
  <si>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</si>
  <si>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</si>
  <si>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</si>
  <si>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</si>
  <si>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</si>
  <si>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</si>
  <si>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</si>
  <si>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</si>
  <si>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</si>
  <si>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</si>
  <si>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</si>
  <si>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</si>
  <si>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</si>
  <si>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</si>
  <si>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</si>
  <si>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</si>
  <si>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</si>
  <si>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</si>
  <si>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</si>
  <si>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</si>
  <si>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</si>
  <si>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</si>
  <si>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</si>
  <si>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</si>
  <si>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</si>
  <si>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</si>
  <si>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</si>
  <si>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</si>
  <si>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</si>
  <si>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</si>
  <si>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</si>
  <si>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</si>
  <si>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</si>
  <si>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</si>
  <si>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</si>
  <si>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</si>
  <si>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</si>
  <si>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</si>
  <si>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</si>
  <si>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</si>
  <si>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</si>
  <si>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</si>
  <si>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</si>
  <si>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</si>
  <si>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</si>
  <si>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</si>
  <si>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</si>
  <si>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</si>
  <si>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</si>
  <si>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</si>
  <si>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</si>
  <si>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</si>
  <si>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</si>
  <si>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</si>
  <si>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</si>
  <si>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</si>
  <si>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</si>
  <si>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</si>
  <si>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</si>
  <si>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</si>
  <si>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</si>
  <si>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</si>
  <si>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</si>
  <si>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</si>
  <si>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</si>
  <si>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</si>
  <si>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</si>
  <si>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</si>
  <si>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</si>
  <si>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</si>
  <si>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</si>
  <si>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</si>
  <si>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1308.HK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</si>
  <si>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</si>
  <si>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</si>
  <si>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</si>
  <si>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</si>
  <si>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</si>
  <si>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</si>
  <si>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</si>
  <si>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</si>
  <si>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</si>
  <si>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</si>
  <si>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</si>
  <si>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</si>
  <si>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</si>
  <si>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</si>
  <si>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</si>
  <si>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</si>
  <si>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</si>
  <si>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</si>
  <si>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</si>
  <si>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</si>
  <si>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</si>
  <si>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</si>
  <si>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</si>
  <si>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</si>
  <si>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</si>
  <si>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</si>
  <si>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</si>
  <si>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</si>
  <si>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</si>
  <si>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</si>
  <si>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1308.HK owner-FCF component DCF: base case (millions, USD)</t>
  </si>
  <si>
    <t xml:space="preserve">1308.HK owner-FCF component DCF: bull case (millions, USD)</t>
  </si>
  <si>
    <t xml:space="preserve">1308.HK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</si>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</sst>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49.52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1449.088</v>
      </c>
      <c r="C2" s="0" t="n">
        <v>1196.489</v>
      </c>
      <c r="D2" s="0" t="n">
        <v>252.599</v>
      </c>
      <c r="E2" s="0" t="n">
        <v>17.4</v>
      </c>
      <c r="I2" s="0" t="n">
        <v>197.514</v>
      </c>
      <c r="J2" s="0" t="n">
        <v>13.6</v>
      </c>
      <c r="K2" s="0" t="n">
        <v>0.0739</v>
      </c>
      <c r="L2" s="0" t="n">
        <v>238.477</v>
      </c>
      <c r="M2" s="0" t="n">
        <v>124.328</v>
      </c>
      <c r="N2" s="0" t="n">
        <v>114.149</v>
      </c>
      <c r="O2" s="0" t="n">
        <v>1037.032</v>
      </c>
      <c r="P2" s="0" t="n">
        <v>1551.891</v>
      </c>
      <c r="Q2" s="0" t="n">
        <v>506.192</v>
      </c>
      <c r="R2" s="0" t="n">
        <v>313.665</v>
      </c>
      <c r="S2" s="0" t="n">
        <v>380.702</v>
      </c>
      <c r="T2" s="0" t="n">
        <v>2672.721218</v>
      </c>
      <c r="U2" s="0" t="n">
        <v>3.249</v>
      </c>
      <c r="AA2" s="0" t="s">
        <v>18</v>
      </c>
      <c r="AB2" s="0" t="s">
        <v>14</v>
      </c>
    </row>
    <row r="3" customFormat="false" ht="15" hidden="false" customHeight="false" outlineLevel="0" collapsed="false">
      <c r="A3" s="0" t="s">
        <v>65</v>
      </c>
      <c r="B3" s="0" t="n">
        <v>1553.718</v>
      </c>
      <c r="C3" s="0" t="n">
        <v>1255.566</v>
      </c>
      <c r="D3" s="0" t="n">
        <v>298.152</v>
      </c>
      <c r="E3" s="0" t="n">
        <v>19.2</v>
      </c>
      <c r="I3" s="0" t="n">
        <v>219.977</v>
      </c>
      <c r="J3" s="0" t="n">
        <v>14.2</v>
      </c>
      <c r="K3" s="0" t="n">
        <v>0.0822</v>
      </c>
      <c r="L3" s="0" t="n">
        <v>329.673</v>
      </c>
      <c r="M3" s="0" t="n">
        <v>116.09</v>
      </c>
      <c r="N3" s="0" t="n">
        <v>213.583</v>
      </c>
      <c r="O3" s="0" t="n">
        <v>1010.243</v>
      </c>
      <c r="P3" s="0" t="n">
        <v>1749.544</v>
      </c>
      <c r="Q3" s="0" t="n">
        <v>729.974</v>
      </c>
      <c r="R3" s="0" t="n">
        <v>282.012</v>
      </c>
      <c r="S3" s="0" t="n">
        <v>399.363</v>
      </c>
      <c r="T3" s="0" t="n">
        <v>2676.726825</v>
      </c>
      <c r="U3" s="0" t="n">
        <v>5.413</v>
      </c>
      <c r="AA3" s="0" t="s">
        <v>18</v>
      </c>
      <c r="AB3" s="0" t="s">
        <v>14</v>
      </c>
    </row>
    <row r="4" customFormat="false" ht="15" hidden="false" customHeight="false" outlineLevel="0" collapsed="false">
      <c r="A4" s="0" t="s">
        <v>66</v>
      </c>
      <c r="B4" s="0" t="n">
        <v>1685.167</v>
      </c>
      <c r="C4" s="0" t="n">
        <v>1240.136</v>
      </c>
      <c r="D4" s="0" t="n">
        <v>445.031</v>
      </c>
      <c r="E4" s="0" t="n">
        <v>26.4</v>
      </c>
      <c r="F4" s="0" t="n">
        <v>378.528</v>
      </c>
      <c r="G4" s="0" t="n">
        <v>22.5</v>
      </c>
      <c r="H4" s="0" t="n">
        <v>494.433</v>
      </c>
      <c r="I4" s="0" t="n">
        <v>351.624</v>
      </c>
      <c r="J4" s="0" t="n">
        <v>20.9</v>
      </c>
      <c r="K4" s="0" t="n">
        <v>0.1311</v>
      </c>
      <c r="L4" s="0" t="n">
        <v>501.386</v>
      </c>
      <c r="M4" s="0" t="n">
        <v>187.105</v>
      </c>
      <c r="N4" s="0" t="n">
        <v>314.281</v>
      </c>
      <c r="O4" s="0" t="n">
        <v>1184.487</v>
      </c>
      <c r="P4" s="0" t="n">
        <v>2040.839</v>
      </c>
      <c r="Q4" s="0" t="n">
        <v>845.451</v>
      </c>
      <c r="R4" s="0" t="n">
        <v>428.893</v>
      </c>
      <c r="S4" s="0" t="n">
        <v>518.713</v>
      </c>
      <c r="T4" s="0" t="n">
        <v>2682.240068</v>
      </c>
      <c r="U4" s="0" t="n">
        <v>6.2</v>
      </c>
      <c r="AA4" s="0" t="s">
        <v>18</v>
      </c>
      <c r="AB4" s="0" t="s">
        <v>14</v>
      </c>
    </row>
    <row r="5" customFormat="false" ht="15" hidden="false" customHeight="false" outlineLevel="0" collapsed="false">
      <c r="A5" s="0" t="s">
        <v>67</v>
      </c>
      <c r="B5" s="0" t="n">
        <v>3012.447</v>
      </c>
      <c r="C5" s="0" t="n">
        <v>1693.074</v>
      </c>
      <c r="D5" s="0" t="n">
        <v>1319.373</v>
      </c>
      <c r="E5" s="0" t="n">
        <v>43.8</v>
      </c>
      <c r="F5" s="0" t="n">
        <v>1200.329</v>
      </c>
      <c r="G5" s="0" t="n">
        <v>39.8</v>
      </c>
      <c r="H5" s="0" t="n">
        <v>1331.703</v>
      </c>
      <c r="I5" s="0" t="n">
        <v>1162.714</v>
      </c>
      <c r="J5" s="0" t="n">
        <v>38.6</v>
      </c>
      <c r="K5" s="0" t="n">
        <v>0.4333</v>
      </c>
      <c r="L5" s="0" t="n">
        <v>1335.209</v>
      </c>
      <c r="M5" s="0" t="n">
        <v>189.099</v>
      </c>
      <c r="N5" s="0" t="n">
        <v>1146.11</v>
      </c>
      <c r="O5" s="0" t="n">
        <v>1501.687</v>
      </c>
      <c r="P5" s="0" t="n">
        <v>2716.423</v>
      </c>
      <c r="Q5" s="0" t="n">
        <v>1200.739</v>
      </c>
      <c r="R5" s="0" t="n">
        <v>327.271</v>
      </c>
      <c r="S5" s="0" t="n">
        <v>919.481</v>
      </c>
      <c r="T5" s="0" t="n">
        <v>2683.104708</v>
      </c>
      <c r="U5" s="0" t="n">
        <v>8.444</v>
      </c>
      <c r="AA5" s="0" t="s">
        <v>18</v>
      </c>
      <c r="AB5" s="0" t="s">
        <v>14</v>
      </c>
    </row>
    <row r="6" customFormat="false" ht="15" hidden="false" customHeight="false" outlineLevel="0" collapsed="false">
      <c r="A6" s="0" t="s">
        <v>68</v>
      </c>
      <c r="B6" s="0" t="n">
        <v>4112.955</v>
      </c>
      <c r="C6" s="0" t="n">
        <v>2133.873</v>
      </c>
      <c r="D6" s="0" t="n">
        <v>1979.082</v>
      </c>
      <c r="E6" s="0" t="n">
        <v>48.1</v>
      </c>
      <c r="F6" s="0" t="n">
        <v>1990.534</v>
      </c>
      <c r="G6" s="0" t="n">
        <v>48.4</v>
      </c>
      <c r="H6" s="0" t="n">
        <v>2136.178</v>
      </c>
      <c r="I6" s="0" t="n">
        <v>1944.425</v>
      </c>
      <c r="J6" s="0" t="n">
        <v>47.3</v>
      </c>
      <c r="K6" s="0" t="n">
        <v>0.72</v>
      </c>
      <c r="L6" s="0" t="n">
        <v>2002.565</v>
      </c>
      <c r="M6" s="0" t="n">
        <v>488.172</v>
      </c>
      <c r="N6" s="0" t="n">
        <v>1514.393</v>
      </c>
      <c r="O6" s="0" t="n">
        <v>2150.54</v>
      </c>
      <c r="P6" s="0" t="n">
        <v>3082.856</v>
      </c>
      <c r="Q6" s="0" t="n">
        <v>917.845</v>
      </c>
      <c r="R6" s="0" t="n">
        <v>271.438</v>
      </c>
      <c r="S6" s="0" t="n">
        <v>981.531</v>
      </c>
      <c r="T6" s="0" t="n">
        <v>2683.156827</v>
      </c>
      <c r="U6" s="0" t="n">
        <v>27.747</v>
      </c>
      <c r="AA6" s="0" t="s">
        <v>18</v>
      </c>
      <c r="AB6" s="0" t="s">
        <v>14</v>
      </c>
    </row>
    <row r="7" customFormat="false" ht="15" hidden="false" customHeight="false" outlineLevel="0" collapsed="false">
      <c r="A7" s="0" t="s">
        <v>69</v>
      </c>
      <c r="B7" s="0" t="n">
        <v>2428.959</v>
      </c>
      <c r="C7" s="0" t="n">
        <v>1805.925</v>
      </c>
      <c r="D7" s="0" t="n">
        <v>623.034</v>
      </c>
      <c r="E7" s="0" t="n">
        <v>25.7</v>
      </c>
      <c r="F7" s="0" t="n">
        <v>572.167</v>
      </c>
      <c r="G7" s="0" t="n">
        <v>23.6</v>
      </c>
      <c r="H7" s="0" t="n">
        <v>730.928</v>
      </c>
      <c r="I7" s="0" t="n">
        <v>531.393</v>
      </c>
      <c r="J7" s="0" t="n">
        <v>21.9</v>
      </c>
      <c r="K7" s="0" t="n">
        <v>0.2</v>
      </c>
      <c r="L7" s="0" t="n">
        <v>672.213</v>
      </c>
      <c r="M7" s="0" t="n">
        <v>309.156</v>
      </c>
      <c r="N7" s="0" t="n">
        <v>363.057</v>
      </c>
      <c r="O7" s="0" t="n">
        <v>1914.536</v>
      </c>
      <c r="P7" s="0" t="n">
        <v>2652.463</v>
      </c>
      <c r="Q7" s="0" t="n">
        <v>721.405</v>
      </c>
      <c r="R7" s="0" t="n">
        <v>169.034</v>
      </c>
      <c r="S7" s="0" t="n">
        <v>416.323</v>
      </c>
      <c r="T7" s="0" t="n">
        <v>2683.109881</v>
      </c>
      <c r="U7" s="0" t="n">
        <v>28.429</v>
      </c>
      <c r="AA7" s="0" t="s">
        <v>18</v>
      </c>
      <c r="AB7" s="0" t="s">
        <v>14</v>
      </c>
    </row>
    <row r="8" customFormat="false" ht="15" hidden="false" customHeight="false" outlineLevel="0" collapsed="false">
      <c r="A8" s="0" t="s">
        <v>70</v>
      </c>
      <c r="B8" s="0" t="n">
        <v>3058.059</v>
      </c>
      <c r="C8" s="0" t="n">
        <v>1915.242</v>
      </c>
      <c r="D8" s="0" t="n">
        <v>1142.817</v>
      </c>
      <c r="E8" s="0" t="n">
        <v>37.4</v>
      </c>
      <c r="F8" s="0" t="n">
        <v>1069.25</v>
      </c>
      <c r="G8" s="0" t="n">
        <v>35</v>
      </c>
      <c r="H8" s="0" t="n">
        <v>1233.162</v>
      </c>
      <c r="I8" s="0" t="n">
        <v>1028.325</v>
      </c>
      <c r="J8" s="0" t="n">
        <v>33.6</v>
      </c>
      <c r="K8" s="0" t="n">
        <v>0.38</v>
      </c>
      <c r="L8" s="0" t="n">
        <v>1158.334</v>
      </c>
      <c r="M8" s="0" t="n">
        <v>261.026</v>
      </c>
      <c r="N8" s="0" t="n">
        <v>897.308</v>
      </c>
      <c r="O8" s="0" t="n">
        <v>2404.236</v>
      </c>
      <c r="P8" s="0" t="n">
        <v>3198.073</v>
      </c>
      <c r="Q8" s="0" t="n">
        <v>776.569</v>
      </c>
      <c r="R8" s="0" t="n">
        <v>166.857</v>
      </c>
      <c r="S8" s="0" t="n">
        <v>744.494</v>
      </c>
      <c r="T8" s="0" t="n">
        <v>2684.191652</v>
      </c>
      <c r="U8" s="0" t="n">
        <v>27.829</v>
      </c>
      <c r="AA8" s="0" t="s">
        <v>18</v>
      </c>
      <c r="AB8" s="0" t="s">
        <v>14</v>
      </c>
    </row>
    <row r="9" customFormat="false" ht="15" hidden="false" customHeight="false" outlineLevel="0" collapsed="false">
      <c r="A9" s="0" t="s">
        <v>71</v>
      </c>
      <c r="B9" s="0" t="n">
        <v>3411.647</v>
      </c>
      <c r="C9" s="0" t="n">
        <v>2101.181</v>
      </c>
      <c r="D9" s="0" t="n">
        <v>1310.466</v>
      </c>
      <c r="E9" s="0" t="n">
        <v>38.4</v>
      </c>
      <c r="F9" s="0" t="n">
        <v>1266.819</v>
      </c>
      <c r="G9" s="0" t="n">
        <v>37.1</v>
      </c>
      <c r="H9" s="0" t="n">
        <v>1447.064</v>
      </c>
      <c r="I9" s="0" t="n">
        <v>1222.887</v>
      </c>
      <c r="J9" s="0" t="n">
        <v>35.8</v>
      </c>
      <c r="K9" s="0" t="n">
        <v>0.45</v>
      </c>
      <c r="L9" s="0" t="n">
        <v>1401.037</v>
      </c>
      <c r="M9" s="0" t="n">
        <v>135.329</v>
      </c>
      <c r="N9" s="0" t="n">
        <v>1265.708</v>
      </c>
      <c r="O9" s="0" t="n">
        <v>2478.538</v>
      </c>
      <c r="P9" s="0" t="n">
        <v>3477.57</v>
      </c>
      <c r="Q9" s="0" t="n">
        <v>976.364</v>
      </c>
      <c r="R9" s="0" t="n">
        <v>18.939</v>
      </c>
      <c r="S9" s="0" t="n">
        <v>781.228</v>
      </c>
      <c r="T9" s="0" t="n">
        <v>2695.624136</v>
      </c>
      <c r="U9" s="0" t="n">
        <v>26.952</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49.52</v>
      </c>
    </row>
    <row r="3" customFormat="false" ht="15" hidden="false" customHeight="false" outlineLevel="0" collapsed="false">
      <c r="A3" s="0" t="s">
        <v>75</v>
      </c>
      <c r="B3" s="3" t="n">
        <v>2711.5</v>
      </c>
    </row>
    <row r="4" customFormat="false" ht="15" hidden="false" customHeight="false" outlineLevel="0" collapsed="false">
      <c r="A4" s="0" t="s">
        <v>76</v>
      </c>
      <c r="B4" s="3" t="n">
        <v>-899.3</v>
      </c>
    </row>
    <row r="5" customFormat="false" ht="15" hidden="false" customHeight="false" outlineLevel="0" collapsed="false">
      <c r="A5" s="0" t="s">
        <v>77</v>
      </c>
      <c r="B5" s="3" t="n">
        <v>147.9</v>
      </c>
    </row>
    <row r="6" customFormat="false" ht="15" hidden="false" customHeight="false" outlineLevel="0" collapsed="false">
      <c r="A6" s="0" t="s">
        <v>78</v>
      </c>
      <c r="B6" s="3" t="n">
        <v>15</v>
      </c>
    </row>
    <row r="7" customFormat="false" ht="15" hidden="false" customHeight="false" outlineLevel="0" collapsed="false">
      <c r="A7" s="0" t="s">
        <v>79</v>
      </c>
      <c r="B7" s="3" t="n">
        <v>3684.6</v>
      </c>
    </row>
    <row r="8" customFormat="false" ht="15" hidden="false" customHeight="false" outlineLevel="0" collapsed="false">
      <c r="A8" s="0" t="s">
        <v>80</v>
      </c>
      <c r="B8" s="3" t="s">
        <v>81</v>
      </c>
    </row>
    <row r="9" customFormat="false" ht="15" hidden="false" customHeight="false" outlineLevel="0" collapsed="false">
      <c r="A9" s="0" t="s">
        <v>82</v>
      </c>
      <c r="B9" s="3" t="s">
        <v>83</v>
      </c>
    </row>
    <row r="10" customFormat="false" ht="15" hidden="false" customHeight="false" outlineLevel="0" collapsed="false">
      <c r="A10" s="0" t="s">
        <v>84</v>
      </c>
      <c r="B10" s="3" t="n">
        <v>7.8476</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-18</v>
      </c>
      <c r="D13" s="3" t="n">
        <v>-6</v>
      </c>
      <c r="E13" s="3" t="n">
        <v>2</v>
      </c>
      <c r="F13" s="3" t="n">
        <v>3</v>
      </c>
      <c r="G13" s="3" t="n">
        <v>3</v>
      </c>
      <c r="H13" s="3" t="n">
        <v>2.5</v>
      </c>
      <c r="I13" s="3" t="n">
        <v>2.5</v>
      </c>
      <c r="J13" s="3" t="n">
        <v>2</v>
      </c>
      <c r="K13" s="3" t="n">
        <v>2</v>
      </c>
      <c r="L13" s="3" t="n">
        <v>2</v>
      </c>
    </row>
    <row r="14" customFormat="false" ht="15" hidden="false" customHeight="false" outlineLevel="0" collapsed="false">
      <c r="A14" s="0" t="s">
        <v>97</v>
      </c>
      <c r="C14" s="3" t="n">
        <v>27</v>
      </c>
      <c r="D14" s="3" t="n">
        <v>23</v>
      </c>
      <c r="E14" s="3" t="n">
        <v>24</v>
      </c>
      <c r="F14" s="3" t="n">
        <v>26</v>
      </c>
      <c r="G14" s="3" t="n">
        <v>28</v>
      </c>
      <c r="H14" s="3" t="n">
        <v>29</v>
      </c>
      <c r="I14" s="3" t="n">
        <v>29</v>
      </c>
      <c r="J14" s="3" t="n">
        <v>29</v>
      </c>
      <c r="K14" s="3" t="n">
        <v>29</v>
      </c>
      <c r="L14" s="3" t="n">
        <v>29</v>
      </c>
    </row>
    <row r="15" customFormat="false" ht="15" hidden="false" customHeight="false" outlineLevel="0" collapsed="false">
      <c r="A15" s="0" t="s">
        <v>98</v>
      </c>
      <c r="C15" s="3" t="n">
        <v>0.9</v>
      </c>
      <c r="D15" s="3" t="n">
        <v>0.9</v>
      </c>
      <c r="E15" s="3" t="n">
        <v>0.85</v>
      </c>
      <c r="F15" s="3" t="n">
        <v>0.8</v>
      </c>
      <c r="G15" s="3" t="n">
        <v>0.8</v>
      </c>
      <c r="H15" s="3" t="n">
        <v>0.8</v>
      </c>
      <c r="I15" s="3" t="n">
        <v>0.8</v>
      </c>
      <c r="J15" s="3" t="n">
        <v>0.8</v>
      </c>
      <c r="K15" s="3" t="n">
        <v>0.8</v>
      </c>
      <c r="L15" s="3" t="n">
        <v>0.8</v>
      </c>
    </row>
    <row r="16" customFormat="false" ht="15" hidden="false" customHeight="false" outlineLevel="0" collapsed="false">
      <c r="A16" s="0" t="s">
        <v>99</v>
      </c>
      <c r="C16" s="3" t="n">
        <v>2.9</v>
      </c>
      <c r="D16" s="3" t="n">
        <v>3</v>
      </c>
      <c r="E16" s="3" t="n">
        <v>2.8</v>
      </c>
      <c r="F16" s="3" t="n">
        <v>2.6</v>
      </c>
      <c r="G16" s="3" t="n">
        <v>2.4</v>
      </c>
      <c r="H16" s="3" t="n">
        <v>2.3</v>
      </c>
      <c r="I16" s="3" t="n">
        <v>2.2</v>
      </c>
      <c r="J16" s="3" t="n">
        <v>2.2</v>
      </c>
      <c r="K16" s="3" t="n">
        <v>2.2</v>
      </c>
      <c r="L16" s="3" t="n">
        <v>2.2</v>
      </c>
    </row>
    <row r="17" customFormat="false" ht="15" hidden="false" customHeight="false" outlineLevel="0" collapsed="false">
      <c r="A17" s="0" t="s">
        <v>100</v>
      </c>
      <c r="C17" s="3" t="n">
        <v>4.2</v>
      </c>
      <c r="D17" s="3" t="n">
        <v>4.6</v>
      </c>
      <c r="E17" s="3" t="n">
        <v>4.7</v>
      </c>
      <c r="F17" s="3" t="n">
        <v>4.7</v>
      </c>
      <c r="G17" s="3" t="n">
        <v>4.7</v>
      </c>
      <c r="H17" s="3" t="n">
        <v>4.7</v>
      </c>
      <c r="I17" s="3" t="n">
        <v>4.6</v>
      </c>
      <c r="J17" s="3" t="n">
        <v>4.6</v>
      </c>
      <c r="K17" s="3" t="n">
        <v>4.6</v>
      </c>
      <c r="L17" s="3" t="n">
        <v>4.6</v>
      </c>
    </row>
    <row r="18" customFormat="false" ht="15" hidden="false" customHeight="false" outlineLevel="0" collapsed="false">
      <c r="A18" s="0" t="s">
        <v>101</v>
      </c>
      <c r="C18" s="3" t="n">
        <v>10</v>
      </c>
      <c r="D18" s="3" t="n">
        <v>10</v>
      </c>
      <c r="E18" s="3" t="n">
        <v>8</v>
      </c>
      <c r="F18" s="3" t="n">
        <v>6</v>
      </c>
      <c r="G18" s="3" t="n">
        <v>5.5</v>
      </c>
      <c r="H18" s="3" t="n">
        <v>5.5</v>
      </c>
      <c r="I18" s="3" t="n">
        <v>5.5</v>
      </c>
      <c r="J18" s="3" t="n">
        <v>5.5</v>
      </c>
      <c r="K18" s="3" t="n">
        <v>5.5</v>
      </c>
      <c r="L18" s="3" t="n">
        <v>5.5</v>
      </c>
    </row>
    <row r="19" customFormat="false" ht="15" hidden="false" customHeight="false" outlineLevel="0" collapsed="false">
      <c r="A19" s="0" t="s">
        <v>102</v>
      </c>
      <c r="C19" s="3" t="n">
        <v>2.5</v>
      </c>
      <c r="D19" s="3" t="n">
        <v>2.5</v>
      </c>
      <c r="E19" s="3" t="n">
        <v>3</v>
      </c>
      <c r="F19" s="3" t="n">
        <v>3.5</v>
      </c>
      <c r="G19" s="3" t="n">
        <v>4</v>
      </c>
      <c r="H19" s="3" t="n">
        <v>4.5</v>
      </c>
      <c r="I19" s="3" t="n">
        <v>5</v>
      </c>
      <c r="J19" s="3" t="n">
        <v>5</v>
      </c>
      <c r="K19" s="3" t="n">
        <v>5</v>
      </c>
      <c r="L19" s="3" t="n">
        <v>5</v>
      </c>
    </row>
    <row r="20" customFormat="false" ht="15" hidden="false" customHeight="false" outlineLevel="0" collapsed="false">
      <c r="A20" s="0" t="s">
        <v>103</v>
      </c>
      <c r="B20" s="3" t="n">
        <v>10</v>
      </c>
    </row>
    <row r="21" customFormat="false" ht="15" hidden="false" customHeight="false" outlineLevel="0" collapsed="false">
      <c r="A21" s="0" t="s">
        <v>104</v>
      </c>
      <c r="B21" s="3" t="n">
        <v>2.5</v>
      </c>
    </row>
    <row r="22" customFormat="false" ht="15" hidden="false" customHeight="false" outlineLevel="0" collapsed="false">
      <c r="A22" s="0" t="s">
        <v>105</v>
      </c>
      <c r="B22" s="3" t="n">
        <v>10</v>
      </c>
    </row>
    <row r="23" customFormat="false" ht="15" hidden="false" customHeight="false" outlineLevel="0" collapsed="false">
      <c r="A23" s="0" t="s">
        <v>106</v>
      </c>
      <c r="B23" s="3" t="n">
        <v>2</v>
      </c>
    </row>
    <row r="24" customFormat="false" ht="15" hidden="false" customHeight="false" outlineLevel="0" collapsed="false">
      <c r="A24" s="0" t="s">
        <v>107</v>
      </c>
      <c r="B24" s="3" t="n">
        <v>0.3</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-8</v>
      </c>
      <c r="D27" s="3" t="n">
        <v>0</v>
      </c>
      <c r="E27" s="3" t="n">
        <v>4</v>
      </c>
      <c r="F27" s="3" t="n">
        <v>4</v>
      </c>
      <c r="G27" s="3" t="n">
        <v>3.5</v>
      </c>
      <c r="H27" s="3" t="n">
        <v>3</v>
      </c>
      <c r="I27" s="3" t="n">
        <v>3</v>
      </c>
      <c r="J27" s="3" t="n">
        <v>2.5</v>
      </c>
      <c r="K27" s="3" t="n">
        <v>2.5</v>
      </c>
      <c r="L27" s="3" t="n">
        <v>2.5</v>
      </c>
    </row>
    <row r="28" customFormat="false" ht="15" hidden="false" customHeight="false" outlineLevel="0" collapsed="false">
      <c r="A28" s="0" t="s">
        <v>97</v>
      </c>
      <c r="C28" s="3" t="n">
        <v>35.5</v>
      </c>
      <c r="D28" s="3" t="n">
        <v>33</v>
      </c>
      <c r="E28" s="3" t="n">
        <v>33.5</v>
      </c>
      <c r="F28" s="3" t="n">
        <v>34</v>
      </c>
      <c r="G28" s="3" t="n">
        <v>34</v>
      </c>
      <c r="H28" s="3" t="n">
        <v>34</v>
      </c>
      <c r="I28" s="3" t="n">
        <v>34</v>
      </c>
      <c r="J28" s="3" t="n">
        <v>34</v>
      </c>
      <c r="K28" s="3" t="n">
        <v>34</v>
      </c>
      <c r="L28" s="3" t="n">
        <v>34</v>
      </c>
    </row>
    <row r="29" customFormat="false" ht="15" hidden="false" customHeight="false" outlineLevel="0" collapsed="false">
      <c r="A29" s="0" t="s">
        <v>98</v>
      </c>
      <c r="C29" s="3" t="n">
        <v>0.8</v>
      </c>
      <c r="D29" s="3" t="n">
        <v>0.8</v>
      </c>
      <c r="E29" s="3" t="n">
        <v>0.75</v>
      </c>
      <c r="F29" s="3" t="n">
        <v>0.75</v>
      </c>
      <c r="G29" s="3" t="n">
        <v>0.75</v>
      </c>
      <c r="H29" s="3" t="n">
        <v>0.7</v>
      </c>
      <c r="I29" s="3" t="n">
        <v>0.7</v>
      </c>
      <c r="J29" s="3" t="n">
        <v>0.7</v>
      </c>
      <c r="K29" s="3" t="n">
        <v>0.7</v>
      </c>
      <c r="L29" s="3" t="n">
        <v>0.7</v>
      </c>
    </row>
    <row r="30" customFormat="false" ht="15" hidden="false" customHeight="false" outlineLevel="0" collapsed="false">
      <c r="A30" s="0" t="s">
        <v>99</v>
      </c>
      <c r="C30" s="3" t="n">
        <v>2.5</v>
      </c>
      <c r="D30" s="3" t="n">
        <v>2.4</v>
      </c>
      <c r="E30" s="3" t="n">
        <v>2.2</v>
      </c>
      <c r="F30" s="3" t="n">
        <v>2.1</v>
      </c>
      <c r="G30" s="3" t="n">
        <v>2</v>
      </c>
      <c r="H30" s="3" t="n">
        <v>2</v>
      </c>
      <c r="I30" s="3" t="n">
        <v>2</v>
      </c>
      <c r="J30" s="3" t="n">
        <v>2</v>
      </c>
      <c r="K30" s="3" t="n">
        <v>2</v>
      </c>
      <c r="L30" s="3" t="n">
        <v>2</v>
      </c>
    </row>
    <row r="31" customFormat="false" ht="15" hidden="false" customHeight="false" outlineLevel="0" collapsed="false">
      <c r="A31" s="0" t="s">
        <v>100</v>
      </c>
      <c r="C31" s="3" t="n">
        <v>3.6</v>
      </c>
      <c r="D31" s="3" t="n">
        <v>3.8</v>
      </c>
      <c r="E31" s="3" t="n">
        <v>4</v>
      </c>
      <c r="F31" s="3" t="n">
        <v>4.1</v>
      </c>
      <c r="G31" s="3" t="n">
        <v>4.2</v>
      </c>
      <c r="H31" s="3" t="n">
        <v>4.3</v>
      </c>
      <c r="I31" s="3" t="n">
        <v>4.3</v>
      </c>
      <c r="J31" s="3" t="n">
        <v>4.3</v>
      </c>
      <c r="K31" s="3" t="n">
        <v>4.3</v>
      </c>
      <c r="L31" s="3" t="n">
        <v>4.3</v>
      </c>
    </row>
    <row r="32" customFormat="false" ht="15" hidden="false" customHeight="false" outlineLevel="0" collapsed="false">
      <c r="A32" s="0" t="s">
        <v>101</v>
      </c>
      <c r="C32" s="3" t="n">
        <v>8.5</v>
      </c>
      <c r="D32" s="3" t="n">
        <v>8.5</v>
      </c>
      <c r="E32" s="3" t="n">
        <v>7.5</v>
      </c>
      <c r="F32" s="3" t="n">
        <v>6</v>
      </c>
      <c r="G32" s="3" t="n">
        <v>5.5</v>
      </c>
      <c r="H32" s="3" t="n">
        <v>5.5</v>
      </c>
      <c r="I32" s="3" t="n">
        <v>5.5</v>
      </c>
      <c r="J32" s="3" t="n">
        <v>5.5</v>
      </c>
      <c r="K32" s="3" t="n">
        <v>5.5</v>
      </c>
      <c r="L32" s="3" t="n">
        <v>5.5</v>
      </c>
    </row>
    <row r="33" customFormat="false" ht="15" hidden="false" customHeight="false" outlineLevel="0" collapsed="false">
      <c r="A33" s="0" t="s">
        <v>102</v>
      </c>
      <c r="C33" s="3" t="n">
        <v>2</v>
      </c>
      <c r="D33" s="3" t="n">
        <v>2</v>
      </c>
      <c r="E33" s="3" t="n">
        <v>2.5</v>
      </c>
      <c r="F33" s="3" t="n">
        <v>2.5</v>
      </c>
      <c r="G33" s="3" t="n">
        <v>3</v>
      </c>
      <c r="H33" s="3" t="n">
        <v>3</v>
      </c>
      <c r="I33" s="3" t="n">
        <v>3</v>
      </c>
      <c r="J33" s="3" t="n">
        <v>3</v>
      </c>
      <c r="K33" s="3" t="n">
        <v>3</v>
      </c>
      <c r="L33" s="3" t="n">
        <v>3</v>
      </c>
    </row>
    <row r="34" customFormat="false" ht="15" hidden="false" customHeight="false" outlineLevel="0" collapsed="false">
      <c r="A34" s="0" t="s">
        <v>103</v>
      </c>
      <c r="B34" s="3" t="n">
        <v>10</v>
      </c>
    </row>
    <row r="35" customFormat="false" ht="15" hidden="false" customHeight="false" outlineLevel="0" collapsed="false">
      <c r="A35" s="0" t="s">
        <v>104</v>
      </c>
      <c r="B35" s="3" t="n">
        <v>2.5</v>
      </c>
    </row>
    <row r="36" customFormat="false" ht="15" hidden="false" customHeight="false" outlineLevel="0" collapsed="false">
      <c r="A36" s="0" t="s">
        <v>105</v>
      </c>
      <c r="B36" s="3" t="n">
        <v>12</v>
      </c>
    </row>
    <row r="37" customFormat="false" ht="15" hidden="false" customHeight="false" outlineLevel="0" collapsed="false">
      <c r="A37" s="0" t="s">
        <v>106</v>
      </c>
      <c r="B37" s="3" t="n">
        <v>2</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5</v>
      </c>
      <c r="D41" s="3" t="n">
        <v>5</v>
      </c>
      <c r="E41" s="3" t="n">
        <v>5</v>
      </c>
      <c r="F41" s="3" t="n">
        <v>5</v>
      </c>
      <c r="G41" s="3" t="n">
        <v>4</v>
      </c>
      <c r="H41" s="3" t="n">
        <v>4</v>
      </c>
      <c r="I41" s="3" t="n">
        <v>3.5</v>
      </c>
      <c r="J41" s="3" t="n">
        <v>3</v>
      </c>
      <c r="K41" s="3" t="n">
        <v>3</v>
      </c>
      <c r="L41" s="3" t="n">
        <v>3</v>
      </c>
    </row>
    <row r="42" customFormat="false" ht="15" hidden="false" customHeight="false" outlineLevel="0" collapsed="false">
      <c r="A42" s="0" t="s">
        <v>97</v>
      </c>
      <c r="C42" s="3" t="n">
        <v>39</v>
      </c>
      <c r="D42" s="3" t="n">
        <v>39</v>
      </c>
      <c r="E42" s="3" t="n">
        <v>39</v>
      </c>
      <c r="F42" s="3" t="n">
        <v>39</v>
      </c>
      <c r="G42" s="3" t="n">
        <v>39</v>
      </c>
      <c r="H42" s="3" t="n">
        <v>38.5</v>
      </c>
      <c r="I42" s="3" t="n">
        <v>38.5</v>
      </c>
      <c r="J42" s="3" t="n">
        <v>38.5</v>
      </c>
      <c r="K42" s="3" t="n">
        <v>38.5</v>
      </c>
      <c r="L42" s="3" t="n">
        <v>38.5</v>
      </c>
    </row>
    <row r="43" customFormat="false" ht="15" hidden="false" customHeight="false" outlineLevel="0" collapsed="false">
      <c r="A43" s="0" t="s">
        <v>98</v>
      </c>
      <c r="C43" s="3" t="n">
        <v>0.8</v>
      </c>
      <c r="D43" s="3" t="n">
        <v>0.8</v>
      </c>
      <c r="E43" s="3" t="n">
        <v>0.75</v>
      </c>
      <c r="F43" s="3" t="n">
        <v>0.75</v>
      </c>
      <c r="G43" s="3" t="n">
        <v>0.75</v>
      </c>
      <c r="H43" s="3" t="n">
        <v>0.7</v>
      </c>
      <c r="I43" s="3" t="n">
        <v>0.7</v>
      </c>
      <c r="J43" s="3" t="n">
        <v>0.7</v>
      </c>
      <c r="K43" s="3" t="n">
        <v>0.7</v>
      </c>
      <c r="L43" s="3" t="n">
        <v>0.7</v>
      </c>
    </row>
    <row r="44" customFormat="false" ht="15" hidden="false" customHeight="false" outlineLevel="0" collapsed="false">
      <c r="A44" s="0" t="s">
        <v>99</v>
      </c>
      <c r="C44" s="3" t="n">
        <v>2.5</v>
      </c>
      <c r="D44" s="3" t="n">
        <v>2.3</v>
      </c>
      <c r="E44" s="3" t="n">
        <v>2.1</v>
      </c>
      <c r="F44" s="3" t="n">
        <v>2</v>
      </c>
      <c r="G44" s="3" t="n">
        <v>1.9</v>
      </c>
      <c r="H44" s="3" t="n">
        <v>1.8</v>
      </c>
      <c r="I44" s="3" t="n">
        <v>1.8</v>
      </c>
      <c r="J44" s="3" t="n">
        <v>1.8</v>
      </c>
      <c r="K44" s="3" t="n">
        <v>1.8</v>
      </c>
      <c r="L44" s="3" t="n">
        <v>1.8</v>
      </c>
    </row>
    <row r="45" customFormat="false" ht="15" hidden="false" customHeight="false" outlineLevel="0" collapsed="false">
      <c r="A45" s="0" t="s">
        <v>100</v>
      </c>
      <c r="C45" s="3" t="n">
        <v>3.6</v>
      </c>
      <c r="D45" s="3" t="n">
        <v>3.8</v>
      </c>
      <c r="E45" s="3" t="n">
        <v>4</v>
      </c>
      <c r="F45" s="3" t="n">
        <v>4.1</v>
      </c>
      <c r="G45" s="3" t="n">
        <v>4.2</v>
      </c>
      <c r="H45" s="3" t="n">
        <v>4.2</v>
      </c>
      <c r="I45" s="3" t="n">
        <v>4.2</v>
      </c>
      <c r="J45" s="3" t="n">
        <v>4.2</v>
      </c>
      <c r="K45" s="3" t="n">
        <v>4.2</v>
      </c>
      <c r="L45" s="3" t="n">
        <v>4.2</v>
      </c>
    </row>
    <row r="46" customFormat="false" ht="15" hidden="false" customHeight="false" outlineLevel="0" collapsed="false">
      <c r="A46" s="0" t="s">
        <v>101</v>
      </c>
      <c r="C46" s="3" t="n">
        <v>8</v>
      </c>
      <c r="D46" s="3" t="n">
        <v>8</v>
      </c>
      <c r="E46" s="3" t="n">
        <v>7.5</v>
      </c>
      <c r="F46" s="3" t="n">
        <v>6.5</v>
      </c>
      <c r="G46" s="3" t="n">
        <v>6</v>
      </c>
      <c r="H46" s="3" t="n">
        <v>6</v>
      </c>
      <c r="I46" s="3" t="n">
        <v>6</v>
      </c>
      <c r="J46" s="3" t="n">
        <v>6</v>
      </c>
      <c r="K46" s="3" t="n">
        <v>6</v>
      </c>
      <c r="L46" s="3" t="n">
        <v>6</v>
      </c>
    </row>
    <row r="47" customFormat="false" ht="15" hidden="false" customHeight="false" outlineLevel="0" collapsed="false">
      <c r="A47" s="0" t="s">
        <v>102</v>
      </c>
      <c r="C47" s="3" t="n">
        <v>2</v>
      </c>
      <c r="D47" s="3" t="n">
        <v>2</v>
      </c>
      <c r="E47" s="3" t="n">
        <v>2</v>
      </c>
      <c r="F47" s="3" t="n">
        <v>2</v>
      </c>
      <c r="G47" s="3" t="n">
        <v>2</v>
      </c>
      <c r="H47" s="3" t="n">
        <v>2</v>
      </c>
      <c r="I47" s="3" t="n">
        <v>2</v>
      </c>
      <c r="J47" s="3" t="n">
        <v>2</v>
      </c>
      <c r="K47" s="3" t="n">
        <v>2</v>
      </c>
      <c r="L47" s="3" t="n">
        <v>2</v>
      </c>
    </row>
    <row r="48" customFormat="false" ht="15" hidden="false" customHeight="false" outlineLevel="0" collapsed="false">
      <c r="A48" s="0" t="s">
        <v>103</v>
      </c>
      <c r="B48" s="3" t="n">
        <v>10</v>
      </c>
    </row>
    <row r="49" customFormat="false" ht="15" hidden="false" customHeight="false" outlineLevel="0" collapsed="false">
      <c r="A49" s="0" t="s">
        <v>104</v>
      </c>
      <c r="B49" s="3" t="n">
        <v>2.5</v>
      </c>
    </row>
    <row r="50" customFormat="false" ht="15" hidden="false" customHeight="false" outlineLevel="0" collapsed="false">
      <c r="A50" s="0" t="s">
        <v>105</v>
      </c>
      <c r="B50" s="3" t="n">
        <v>14</v>
      </c>
    </row>
    <row r="51" customFormat="false" ht="15" hidden="false" customHeight="false" outlineLevel="0" collapsed="false">
      <c r="A51" s="0" t="s">
        <v>106</v>
      </c>
      <c r="B51" s="3" t="n">
        <v>2</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-18</v>
      </c>
      <c r="D5" s="4" t="n">
        <f aca="false">Assumptions!D13</f>
        <v>-6</v>
      </c>
      <c r="E5" s="4" t="n">
        <f aca="false">Assumptions!E13</f>
        <v>2</v>
      </c>
      <c r="F5" s="4" t="n">
        <f aca="false">Assumptions!F13</f>
        <v>3</v>
      </c>
      <c r="G5" s="4" t="n">
        <f aca="false">Assumptions!G13</f>
        <v>3</v>
      </c>
      <c r="H5" s="4" t="n">
        <f aca="false">Assumptions!H13</f>
        <v>2.5</v>
      </c>
      <c r="I5" s="4" t="n">
        <f aca="false">Assumptions!I13</f>
        <v>2.5</v>
      </c>
      <c r="J5" s="4" t="n">
        <f aca="false">Assumptions!J13</f>
        <v>2</v>
      </c>
      <c r="K5" s="4" t="n">
        <f aca="false">Assumptions!K13</f>
        <v>2</v>
      </c>
      <c r="L5" s="4" t="n">
        <f aca="false">Assumptions!L13</f>
        <v>2</v>
      </c>
    </row>
    <row r="6" customFormat="false" ht="15" hidden="false" customHeight="false" outlineLevel="0" collapsed="false">
      <c r="A6" s="0" t="s">
        <v>38</v>
      </c>
      <c r="B6" s="3" t="n">
        <v>3684.6</v>
      </c>
      <c r="C6" s="0" t="n">
        <f aca="false">B6*(1+C5/100)</f>
        <v>3021.372</v>
      </c>
      <c r="D6" s="0" t="n">
        <f aca="false">C6*(1+D5/100)</f>
        <v>2840.08968</v>
      </c>
      <c r="E6" s="0" t="n">
        <f aca="false">D6*(1+E5/100)</f>
        <v>2896.8914736</v>
      </c>
      <c r="F6" s="0" t="n">
        <f aca="false">E6*(1+F5/100)</f>
        <v>2983.798217808</v>
      </c>
      <c r="G6" s="0" t="n">
        <f aca="false">F6*(1+G5/100)</f>
        <v>3073.31216434224</v>
      </c>
      <c r="H6" s="0" t="n">
        <f aca="false">G6*(1+H5/100)</f>
        <v>3150.1449684508</v>
      </c>
      <c r="I6" s="0" t="n">
        <f aca="false">H6*(1+I5/100)</f>
        <v>3228.89859266207</v>
      </c>
      <c r="J6" s="0" t="n">
        <f aca="false">I6*(1+J5/100)</f>
        <v>3293.47656451531</v>
      </c>
      <c r="K6" s="0" t="n">
        <f aca="false">J6*(1+K5/100)</f>
        <v>3359.34609580561</v>
      </c>
      <c r="L6" s="0" t="n">
        <f aca="false">K6*(1+L5/100)</f>
        <v>3426.53301772172</v>
      </c>
    </row>
    <row r="7" customFormat="false" ht="15" hidden="false" customHeight="false" outlineLevel="0" collapsed="false">
      <c r="A7" s="0" t="s">
        <v>97</v>
      </c>
      <c r="C7" s="4" t="n">
        <f aca="false">Assumptions!C14</f>
        <v>27</v>
      </c>
      <c r="D7" s="4" t="n">
        <f aca="false">Assumptions!D14</f>
        <v>23</v>
      </c>
      <c r="E7" s="4" t="n">
        <f aca="false">Assumptions!E14</f>
        <v>24</v>
      </c>
      <c r="F7" s="4" t="n">
        <f aca="false">Assumptions!F14</f>
        <v>26</v>
      </c>
      <c r="G7" s="4" t="n">
        <f aca="false">Assumptions!G14</f>
        <v>28</v>
      </c>
      <c r="H7" s="4" t="n">
        <f aca="false">Assumptions!H14</f>
        <v>29</v>
      </c>
      <c r="I7" s="4" t="n">
        <f aca="false">Assumptions!I14</f>
        <v>29</v>
      </c>
      <c r="J7" s="4" t="n">
        <f aca="false">Assumptions!J14</f>
        <v>29</v>
      </c>
      <c r="K7" s="4" t="n">
        <f aca="false">Assumptions!K14</f>
        <v>29</v>
      </c>
      <c r="L7" s="4" t="n">
        <f aca="false">Assumptions!L14</f>
        <v>29</v>
      </c>
    </row>
    <row r="8" customFormat="false" ht="15" hidden="false" customHeight="false" outlineLevel="0" collapsed="false">
      <c r="A8" s="0" t="s">
        <v>44</v>
      </c>
      <c r="C8" s="0" t="n">
        <f aca="false">C6*C7/100</f>
        <v>815.77044</v>
      </c>
      <c r="D8" s="0" t="n">
        <f aca="false">D6*D7/100</f>
        <v>653.2206264</v>
      </c>
      <c r="E8" s="0" t="n">
        <f aca="false">E6*E7/100</f>
        <v>695.253953664</v>
      </c>
      <c r="F8" s="0" t="n">
        <f aca="false">F6*F7/100</f>
        <v>775.78753663008</v>
      </c>
      <c r="G8" s="0" t="n">
        <f aca="false">G6*G7/100</f>
        <v>860.527406015827</v>
      </c>
      <c r="H8" s="0" t="n">
        <f aca="false">H6*H7/100</f>
        <v>913.542040850731</v>
      </c>
      <c r="I8" s="0" t="n">
        <f aca="false">I6*I7/100</f>
        <v>936.380591871999</v>
      </c>
      <c r="J8" s="0" t="n">
        <f aca="false">J6*J7/100</f>
        <v>955.108203709439</v>
      </c>
      <c r="K8" s="0" t="n">
        <f aca="false">K6*K7/100</f>
        <v>974.210367783628</v>
      </c>
      <c r="L8" s="0" t="n">
        <f aca="false">L6*L7/100</f>
        <v>993.6945751393</v>
      </c>
    </row>
    <row r="9" customFormat="false" ht="15" hidden="false" customHeight="false" outlineLevel="0" collapsed="false">
      <c r="A9" s="0" t="s">
        <v>98</v>
      </c>
      <c r="C9" s="4" t="n">
        <f aca="false">Assumptions!C15</f>
        <v>0.9</v>
      </c>
      <c r="D9" s="4" t="n">
        <f aca="false">Assumptions!D15</f>
        <v>0.9</v>
      </c>
      <c r="E9" s="4" t="n">
        <f aca="false">Assumptions!E15</f>
        <v>0.85</v>
      </c>
      <c r="F9" s="4" t="n">
        <f aca="false">Assumptions!F15</f>
        <v>0.8</v>
      </c>
      <c r="G9" s="4" t="n">
        <f aca="false">Assumptions!G15</f>
        <v>0.8</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113</v>
      </c>
      <c r="C10" s="0" t="n">
        <f aca="false">-C6*C9/100</f>
        <v>-27.192348</v>
      </c>
      <c r="D10" s="0" t="n">
        <f aca="false">-D6*D9/100</f>
        <v>-25.56080712</v>
      </c>
      <c r="E10" s="0" t="n">
        <f aca="false">-E6*E9/100</f>
        <v>-24.6235775256</v>
      </c>
      <c r="F10" s="0" t="n">
        <f aca="false">-F6*F9/100</f>
        <v>-23.870385742464</v>
      </c>
      <c r="G10" s="0" t="n">
        <f aca="false">-G6*G9/100</f>
        <v>-24.5864973147379</v>
      </c>
      <c r="H10" s="0" t="n">
        <f aca="false">-H6*H9/100</f>
        <v>-25.2011597476064</v>
      </c>
      <c r="I10" s="0" t="n">
        <f aca="false">-I6*I9/100</f>
        <v>-25.8311887412965</v>
      </c>
      <c r="J10" s="0" t="n">
        <f aca="false">-J6*J9/100</f>
        <v>-26.3478125161225</v>
      </c>
      <c r="K10" s="0" t="n">
        <f aca="false">-K6*K9/100</f>
        <v>-26.8747687664449</v>
      </c>
      <c r="L10" s="0" t="n">
        <f aca="false">-L6*L9/100</f>
        <v>-27.4122641417738</v>
      </c>
    </row>
    <row r="11" customFormat="false" ht="15" hidden="false" customHeight="false" outlineLevel="0" collapsed="false">
      <c r="A11" s="0" t="s">
        <v>114</v>
      </c>
      <c r="C11" s="0" t="n">
        <f aca="false">C8+C10+C24</f>
        <v>700.958304</v>
      </c>
      <c r="D11" s="0" t="n">
        <f aca="false">D8+D10+D24</f>
        <v>542.45712888</v>
      </c>
      <c r="E11" s="0" t="n">
        <f aca="false">E8+E10+E24</f>
        <v>589.5174148776</v>
      </c>
      <c r="F11" s="0" t="n">
        <f aca="false">F8+F10+F24</f>
        <v>674.338397224608</v>
      </c>
      <c r="G11" s="0" t="n">
        <f aca="false">G8+G10+G24</f>
        <v>762.181416756876</v>
      </c>
      <c r="H11" s="0" t="n">
        <f aca="false">H8+H10+H24</f>
        <v>815.887546828756</v>
      </c>
      <c r="I11" s="0" t="n">
        <f aca="false">I8+I10+I24</f>
        <v>839.513634092137</v>
      </c>
      <c r="J11" s="0" t="n">
        <f aca="false">J8+J10+J24</f>
        <v>856.30390677398</v>
      </c>
      <c r="K11" s="0" t="n">
        <f aca="false">K8+K10+K24</f>
        <v>873.429984909459</v>
      </c>
      <c r="L11" s="0" t="n">
        <f aca="false">L8+L10+L24</f>
        <v>890.898584607648</v>
      </c>
    </row>
    <row r="12" customFormat="false" ht="15" hidden="false" customHeight="false" outlineLevel="0" collapsed="false">
      <c r="A12" s="0" t="s">
        <v>115</v>
      </c>
      <c r="C12" s="4" t="n">
        <f aca="false">-C6*Assumptions!C17/100</f>
        <v>-126.897624</v>
      </c>
      <c r="D12" s="4" t="n">
        <f aca="false">-D6*Assumptions!D17/100</f>
        <v>-130.64412528</v>
      </c>
      <c r="E12" s="4" t="n">
        <f aca="false">-E6*Assumptions!E17/100</f>
        <v>-136.1538992592</v>
      </c>
      <c r="F12" s="4" t="n">
        <f aca="false">-F6*Assumptions!F17/100</f>
        <v>-140.238516236976</v>
      </c>
      <c r="G12" s="4" t="n">
        <f aca="false">-G6*Assumptions!G17/100</f>
        <v>-144.445671724085</v>
      </c>
      <c r="H12" s="4" t="n">
        <f aca="false">-H6*Assumptions!H17/100</f>
        <v>-148.056813517187</v>
      </c>
      <c r="I12" s="4" t="n">
        <f aca="false">-I6*Assumptions!I17/100</f>
        <v>-148.529335262455</v>
      </c>
      <c r="J12" s="4" t="n">
        <f aca="false">-J6*Assumptions!J17/100</f>
        <v>-151.499921967704</v>
      </c>
      <c r="K12" s="4" t="n">
        <f aca="false">-K6*Assumptions!K17/100</f>
        <v>-154.529920407058</v>
      </c>
      <c r="L12" s="4" t="n">
        <f aca="false">-L6*Assumptions!L17/100</f>
        <v>-157.620518815199</v>
      </c>
    </row>
    <row r="13" customFormat="false" ht="15" hidden="false" customHeight="false" outlineLevel="0" collapsed="false">
      <c r="A13" s="0" t="s">
        <v>116</v>
      </c>
      <c r="C13" s="0" t="n">
        <f aca="false">C11+C12</f>
        <v>574.06068</v>
      </c>
      <c r="D13" s="0" t="n">
        <f aca="false">D11+D12</f>
        <v>411.8130036</v>
      </c>
      <c r="E13" s="0" t="n">
        <f aca="false">E11+E12</f>
        <v>453.3635156184</v>
      </c>
      <c r="F13" s="0" t="n">
        <f aca="false">F11+F12</f>
        <v>534.099880987632</v>
      </c>
      <c r="G13" s="0" t="n">
        <f aca="false">G11+G12</f>
        <v>617.73574503279</v>
      </c>
      <c r="H13" s="0" t="n">
        <f aca="false">H11+H12</f>
        <v>667.830733311569</v>
      </c>
      <c r="I13" s="0" t="n">
        <f aca="false">I11+I12</f>
        <v>690.984298829682</v>
      </c>
      <c r="J13" s="0" t="n">
        <f aca="false">J11+J12</f>
        <v>704.803984806276</v>
      </c>
      <c r="K13" s="0" t="n">
        <f aca="false">K11+K12</f>
        <v>718.900064502401</v>
      </c>
      <c r="L13" s="0" t="n">
        <f aca="false">L11+L12</f>
        <v>733.278065792449</v>
      </c>
    </row>
    <row r="14" customFormat="false" ht="15" hidden="false" customHeight="false" outlineLevel="0" collapsed="false">
      <c r="A14" s="0" t="s">
        <v>102</v>
      </c>
      <c r="C14" s="4" t="n">
        <f aca="false">Assumptions!C19</f>
        <v>2.5</v>
      </c>
      <c r="D14" s="4" t="n">
        <f aca="false">Assumptions!D19</f>
        <v>2.5</v>
      </c>
      <c r="E14" s="4" t="n">
        <f aca="false">Assumptions!E19</f>
        <v>3</v>
      </c>
      <c r="F14" s="4" t="n">
        <f aca="false">Assumptions!F19</f>
        <v>3.5</v>
      </c>
      <c r="G14" s="4" t="n">
        <f aca="false">Assumptions!G19</f>
        <v>4</v>
      </c>
      <c r="H14" s="4" t="n">
        <f aca="false">Assumptions!H19</f>
        <v>4.5</v>
      </c>
      <c r="I14" s="4" t="n">
        <f aca="false">Assumptions!I19</f>
        <v>5</v>
      </c>
      <c r="J14" s="4" t="n">
        <f aca="false">Assumptions!J19</f>
        <v>5</v>
      </c>
      <c r="K14" s="4" t="n">
        <f aca="false">Assumptions!K19</f>
        <v>5</v>
      </c>
      <c r="L14" s="4" t="n">
        <f aca="false">Assumptions!L19</f>
        <v>5</v>
      </c>
    </row>
    <row r="15" customFormat="false" ht="15" hidden="false" customHeight="false" outlineLevel="0" collapsed="false">
      <c r="A15" s="0" t="s">
        <v>117</v>
      </c>
      <c r="C15" s="0" t="n">
        <f aca="false">C13-MAX(0,C13)*C14/100</f>
        <v>559.709163</v>
      </c>
      <c r="D15" s="0" t="n">
        <f aca="false">D13-MAX(0,D13)*D14/100</f>
        <v>401.51767851</v>
      </c>
      <c r="E15" s="0" t="n">
        <f aca="false">E13-MAX(0,E13)*E14/100</f>
        <v>439.762610149848</v>
      </c>
      <c r="F15" s="0" t="n">
        <f aca="false">F13-MAX(0,F13)*F14/100</f>
        <v>515.406385153065</v>
      </c>
      <c r="G15" s="0" t="n">
        <f aca="false">G13-MAX(0,G13)*G14/100</f>
        <v>593.026315231479</v>
      </c>
      <c r="H15" s="0" t="n">
        <f aca="false">H13-MAX(0,H13)*H14/100</f>
        <v>637.778350312548</v>
      </c>
      <c r="I15" s="0" t="n">
        <f aca="false">I13-MAX(0,I13)*I14/100</f>
        <v>656.435083888198</v>
      </c>
      <c r="J15" s="0" t="n">
        <f aca="false">J13-MAX(0,J13)*J14/100</f>
        <v>669.563785565962</v>
      </c>
      <c r="K15" s="0" t="n">
        <f aca="false">K13-MAX(0,K13)*K14/100</f>
        <v>682.955061277281</v>
      </c>
      <c r="L15" s="0" t="n">
        <f aca="false">L13-MAX(0,L13)*L14/100</f>
        <v>696.614162502827</v>
      </c>
    </row>
    <row r="16" customFormat="false" ht="15" hidden="false" customHeight="false" outlineLevel="0" collapsed="false">
      <c r="A16" s="0" t="s">
        <v>118</v>
      </c>
      <c r="C16" s="0" t="n">
        <f aca="false">-C12</f>
        <v>126.897624</v>
      </c>
      <c r="D16" s="0" t="n">
        <f aca="false">-D12</f>
        <v>130.64412528</v>
      </c>
      <c r="E16" s="0" t="n">
        <f aca="false">-E12</f>
        <v>136.1538992592</v>
      </c>
      <c r="F16" s="0" t="n">
        <f aca="false">-F12</f>
        <v>140.238516236976</v>
      </c>
      <c r="G16" s="0" t="n">
        <f aca="false">-G12</f>
        <v>144.445671724085</v>
      </c>
      <c r="H16" s="0" t="n">
        <f aca="false">-H12</f>
        <v>148.056813517187</v>
      </c>
      <c r="I16" s="0" t="n">
        <f aca="false">-I12</f>
        <v>148.529335262455</v>
      </c>
      <c r="J16" s="0" t="n">
        <f aca="false">-J12</f>
        <v>151.499921967704</v>
      </c>
      <c r="K16" s="0" t="n">
        <f aca="false">-K12</f>
        <v>154.529920407058</v>
      </c>
      <c r="L16" s="0" t="n">
        <f aca="false">-L12</f>
        <v>157.620518815199</v>
      </c>
    </row>
    <row r="17" customFormat="false" ht="15" hidden="false" customHeight="false" outlineLevel="0" collapsed="false">
      <c r="A17" s="0" t="s">
        <v>119</v>
      </c>
      <c r="C17" s="4" t="n">
        <f aca="false">-C6*Assumptions!C18/100</f>
        <v>-302.1372</v>
      </c>
      <c r="D17" s="4" t="n">
        <f aca="false">-D6*Assumptions!D18/100</f>
        <v>-284.008968</v>
      </c>
      <c r="E17" s="4" t="n">
        <f aca="false">-E6*Assumptions!E18/100</f>
        <v>-231.751317888</v>
      </c>
      <c r="F17" s="4" t="n">
        <f aca="false">-F6*Assumptions!F18/100</f>
        <v>-179.02789306848</v>
      </c>
      <c r="G17" s="4" t="n">
        <f aca="false">-G6*Assumptions!G18/100</f>
        <v>-169.032169038823</v>
      </c>
      <c r="H17" s="4" t="n">
        <f aca="false">-H6*Assumptions!H18/100</f>
        <v>-173.257973264794</v>
      </c>
      <c r="I17" s="4" t="n">
        <f aca="false">-I6*Assumptions!I18/100</f>
        <v>-177.589422596414</v>
      </c>
      <c r="J17" s="4" t="n">
        <f aca="false">-J6*Assumptions!J18/100</f>
        <v>-181.141211048342</v>
      </c>
      <c r="K17" s="4" t="n">
        <f aca="false">-K6*Assumptions!K18/100</f>
        <v>-184.764035269309</v>
      </c>
      <c r="L17" s="4" t="n">
        <f aca="false">-L6*Assumptions!L18/100</f>
        <v>-188.459315974695</v>
      </c>
    </row>
    <row r="18" customFormat="false" ht="15" hidden="false" customHeight="false" outlineLevel="0" collapsed="false">
      <c r="A18" s="0" t="s">
        <v>120</v>
      </c>
      <c r="C18" s="4" t="n">
        <f aca="false">(C6-B6)*Assumptions!$B$23/100</f>
        <v>-13.26456</v>
      </c>
      <c r="D18" s="4" t="n">
        <f aca="false">(D6-C6)*Assumptions!$B$23/100</f>
        <v>-3.62564640000001</v>
      </c>
      <c r="E18" s="4" t="n">
        <f aca="false">(E6-D6)*Assumptions!$B$23/100</f>
        <v>1.136035872</v>
      </c>
      <c r="F18" s="4" t="n">
        <f aca="false">(F6-E6)*Assumptions!$B$23/100</f>
        <v>1.73813488416</v>
      </c>
      <c r="G18" s="4" t="n">
        <f aca="false">(G6-F6)*Assumptions!$B$23/100</f>
        <v>1.7902789306848</v>
      </c>
      <c r="H18" s="4" t="n">
        <f aca="false">(H6-G6)*Assumptions!$B$23/100</f>
        <v>1.53665608217111</v>
      </c>
      <c r="I18" s="4" t="n">
        <f aca="false">(I6-H6)*Assumptions!$B$23/100</f>
        <v>1.57507248422539</v>
      </c>
      <c r="J18" s="4" t="n">
        <f aca="false">(J6-I6)*Assumptions!$B$23/100</f>
        <v>1.29155943706483</v>
      </c>
      <c r="K18" s="4" t="n">
        <f aca="false">(K6-J6)*Assumptions!$B$23/100</f>
        <v>1.31739062580612</v>
      </c>
      <c r="L18" s="4" t="n">
        <f aca="false">(L6-K6)*Assumptions!$B$23/100</f>
        <v>1.34373843832224</v>
      </c>
    </row>
    <row r="19" customFormat="false" ht="15" hidden="false" customHeight="false" outlineLevel="0" collapsed="false">
      <c r="A19" s="0" t="s">
        <v>121</v>
      </c>
      <c r="C19" s="0" t="n">
        <f aca="false">C15+C16+C17+C18</f>
        <v>371.205027</v>
      </c>
      <c r="D19" s="0" t="n">
        <f aca="false">D15+D16+D17+D18</f>
        <v>244.52718939</v>
      </c>
      <c r="E19" s="0" t="n">
        <f aca="false">E15+E16+E17+E18</f>
        <v>345.301227393048</v>
      </c>
      <c r="F19" s="0" t="n">
        <f aca="false">F15+F16+F17+F18</f>
        <v>478.355143205721</v>
      </c>
      <c r="G19" s="0" t="n">
        <f aca="false">G15+G16+G17+G18</f>
        <v>570.230096847426</v>
      </c>
      <c r="H19" s="0" t="n">
        <f aca="false">H15+H16+H17+H18</f>
        <v>614.113846647113</v>
      </c>
      <c r="I19" s="0" t="n">
        <f aca="false">I15+I16+I17+I18</f>
        <v>628.950069038465</v>
      </c>
      <c r="J19" s="0" t="n">
        <f aca="false">J15+J16+J17+J18</f>
        <v>641.214055922389</v>
      </c>
      <c r="K19" s="0" t="n">
        <f aca="false">K15+K16+K17+K18</f>
        <v>654.038337040837</v>
      </c>
      <c r="L19" s="0" t="n">
        <f aca="false">L15+L16+L17+L18</f>
        <v>667.119103781653</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337.459115454545</v>
      </c>
      <c r="D21" s="0" t="n">
        <f aca="false">D19*D20</f>
        <v>202.088586272727</v>
      </c>
      <c r="E21" s="0" t="n">
        <f aca="false">E19*E20</f>
        <v>259.429922909878</v>
      </c>
      <c r="F21" s="0" t="n">
        <f aca="false">F19*F20</f>
        <v>326.722999252593</v>
      </c>
      <c r="G21" s="0" t="n">
        <f aca="false">G19*G20</f>
        <v>354.068026182654</v>
      </c>
      <c r="H21" s="0" t="n">
        <f aca="false">H19*H20</f>
        <v>346.651256517338</v>
      </c>
      <c r="I21" s="0" t="n">
        <f aca="false">I19*I20</f>
        <v>322.750833888851</v>
      </c>
      <c r="J21" s="0" t="n">
        <f aca="false">J19*J20</f>
        <v>299.131089382011</v>
      </c>
      <c r="K21" s="0" t="n">
        <f aca="false">K19*K20</f>
        <v>277.376101063319</v>
      </c>
      <c r="L21" s="0" t="n">
        <f aca="false">L19*L20</f>
        <v>257.20329371326</v>
      </c>
    </row>
    <row r="23" customFormat="false" ht="15" hidden="false" customHeight="false" outlineLevel="0" collapsed="false">
      <c r="A23" s="0" t="s">
        <v>99</v>
      </c>
      <c r="C23" s="4" t="n">
        <f aca="false">Assumptions!C16</f>
        <v>2.9</v>
      </c>
      <c r="D23" s="4" t="n">
        <f aca="false">Assumptions!D16</f>
        <v>3</v>
      </c>
      <c r="E23" s="4" t="n">
        <f aca="false">Assumptions!E16</f>
        <v>2.8</v>
      </c>
      <c r="F23" s="4" t="n">
        <f aca="false">Assumptions!F16</f>
        <v>2.6</v>
      </c>
      <c r="G23" s="4" t="n">
        <f aca="false">Assumptions!G16</f>
        <v>2.4</v>
      </c>
      <c r="H23" s="4" t="n">
        <f aca="false">Assumptions!H16</f>
        <v>2.3</v>
      </c>
      <c r="I23" s="4" t="n">
        <f aca="false">Assumptions!I16</f>
        <v>2.2</v>
      </c>
      <c r="J23" s="4" t="n">
        <f aca="false">Assumptions!J16</f>
        <v>2.2</v>
      </c>
      <c r="K23" s="4" t="n">
        <f aca="false">Assumptions!K16</f>
        <v>2.2</v>
      </c>
      <c r="L23" s="4" t="n">
        <f aca="false">Assumptions!L16</f>
        <v>2.2</v>
      </c>
    </row>
    <row r="24" customFormat="false" ht="15" hidden="false" customHeight="false" outlineLevel="0" collapsed="false">
      <c r="A24" s="0" t="s">
        <v>124</v>
      </c>
      <c r="C24" s="0" t="n">
        <f aca="false">-C6*C23/100</f>
        <v>-87.619788</v>
      </c>
      <c r="D24" s="0" t="n">
        <f aca="false">-D6*D23/100</f>
        <v>-85.2026904</v>
      </c>
      <c r="E24" s="0" t="n">
        <f aca="false">-E6*E23/100</f>
        <v>-81.1129612608</v>
      </c>
      <c r="F24" s="0" t="n">
        <f aca="false">-F6*F23/100</f>
        <v>-77.578753663008</v>
      </c>
      <c r="G24" s="0" t="n">
        <f aca="false">-G6*G23/100</f>
        <v>-73.7594919442138</v>
      </c>
      <c r="H24" s="0" t="n">
        <f aca="false">-H6*H23/100</f>
        <v>-72.4533342743683</v>
      </c>
      <c r="I24" s="0" t="n">
        <f aca="false">-I6*I23/100</f>
        <v>-71.0357690385654</v>
      </c>
      <c r="J24" s="0" t="n">
        <f aca="false">-J6*J23/100</f>
        <v>-72.4564844193368</v>
      </c>
      <c r="K24" s="0" t="n">
        <f aca="false">-K6*K23/100</f>
        <v>-73.9056141077235</v>
      </c>
      <c r="L24" s="0" t="n">
        <f aca="false">-L6*L23/100</f>
        <v>-75.383726389878</v>
      </c>
    </row>
    <row r="26" customFormat="false" ht="15" hidden="false" customHeight="false" outlineLevel="0" collapsed="false">
      <c r="A26" s="2" t="s">
        <v>125</v>
      </c>
    </row>
    <row r="27" customFormat="false" ht="15" hidden="false" customHeight="false" outlineLevel="0" collapsed="false">
      <c r="A27" s="0" t="s">
        <v>103</v>
      </c>
      <c r="B27" s="4" t="n">
        <f aca="false">Assumptions!$B$20</f>
        <v>10</v>
      </c>
    </row>
    <row r="28" customFormat="false" ht="15" hidden="false" customHeight="false" outlineLevel="0" collapsed="false">
      <c r="A28" s="0" t="s">
        <v>104</v>
      </c>
      <c r="B28" s="4" t="n">
        <f aca="false">Assumptions!$B$21</f>
        <v>2.5</v>
      </c>
    </row>
    <row r="29" customFormat="false" ht="15" hidden="false" customHeight="false" outlineLevel="0" collapsed="false">
      <c r="A29" s="0" t="s">
        <v>105</v>
      </c>
      <c r="B29" s="4" t="n">
        <f aca="false">Assumptions!$B$22</f>
        <v>10</v>
      </c>
    </row>
    <row r="30" customFormat="false" ht="15" hidden="false" customHeight="false" outlineLevel="0" collapsed="false">
      <c r="A30" s="0" t="s">
        <v>126</v>
      </c>
      <c r="B30" s="0" t="n">
        <f aca="false">SUM(C21:L21)</f>
        <v>2982.88122463718</v>
      </c>
    </row>
    <row r="31" customFormat="false" ht="15" hidden="false" customHeight="false" outlineLevel="0" collapsed="false">
      <c r="A31" s="0" t="s">
        <v>127</v>
      </c>
      <c r="B31" s="0" t="n">
        <f aca="false">L19</f>
        <v>667.119103781653</v>
      </c>
    </row>
    <row r="32" customFormat="false" ht="15" hidden="false" customHeight="false" outlineLevel="0" collapsed="false">
      <c r="A32" s="0" t="s">
        <v>128</v>
      </c>
      <c r="B32" s="0" t="n">
        <f aca="false">IF(B27&gt;B28,B31*(1+B28/100)/((B27-B28)/100),B31*B29)</f>
        <v>9117.29441834926</v>
      </c>
    </row>
    <row r="33" customFormat="false" ht="15" hidden="false" customHeight="false" outlineLevel="0" collapsed="false">
      <c r="A33" s="0" t="s">
        <v>129</v>
      </c>
      <c r="B33" s="0" t="n">
        <f aca="false">B31*B29</f>
        <v>6671.19103781653</v>
      </c>
    </row>
    <row r="34" customFormat="false" ht="15" hidden="false" customHeight="false" outlineLevel="0" collapsed="false">
      <c r="A34" s="0" t="s">
        <v>130</v>
      </c>
      <c r="B34" s="0" t="n">
        <f aca="false">MAX(0,MIN(B32,B33))</f>
        <v>6671.19103781653</v>
      </c>
    </row>
    <row r="35" customFormat="false" ht="15" hidden="false" customHeight="false" outlineLevel="0" collapsed="false">
      <c r="A35" s="0" t="s">
        <v>131</v>
      </c>
      <c r="B35" s="0" t="n">
        <f aca="false">B34/(1+B27/100)^L4</f>
        <v>2572.0329371326</v>
      </c>
    </row>
    <row r="36" customFormat="false" ht="15" hidden="false" customHeight="false" outlineLevel="0" collapsed="false">
      <c r="A36" s="0" t="s">
        <v>132</v>
      </c>
      <c r="B36" s="0" t="n">
        <f aca="false">B30+B35</f>
        <v>5554.91416176977</v>
      </c>
    </row>
    <row r="37" customFormat="false" ht="15" hidden="false" customHeight="false" outlineLevel="0" collapsed="false">
      <c r="A37" s="0" t="s">
        <v>133</v>
      </c>
      <c r="B37" s="0" t="n">
        <f aca="false">B36+Assumptions!$B$5-Assumptions!$B$4</f>
        <v>6602.11416176977</v>
      </c>
    </row>
    <row r="38" customFormat="false" ht="15" hidden="false" customHeight="false" outlineLevel="0" collapsed="false">
      <c r="A38" s="0" t="s">
        <v>134</v>
      </c>
      <c r="B38" s="0" t="n">
        <f aca="false">B37/Assumptions!$B$3*Assumptions!$B$10</f>
        <v>19.1077820748311</v>
      </c>
    </row>
    <row r="39" customFormat="false" ht="15" hidden="false" customHeight="false" outlineLevel="0" collapsed="false">
      <c r="A39" s="0" t="s">
        <v>135</v>
      </c>
      <c r="B39" s="4" t="n">
        <f aca="false">B38/Assumptions!$B$2-1</f>
        <v>-0.614140103496949</v>
      </c>
    </row>
    <row r="41" customFormat="false" ht="15" hidden="false" customHeight="false" outlineLevel="0" collapsed="false">
      <c r="A41" s="0" t="s">
        <v>136</v>
      </c>
      <c r="B41" s="0" t="n">
        <f aca="false">SUMPRODUCT(-C10:L10/(1+$B$27/100)^C4:L4)</f>
        <v>157.653554480188</v>
      </c>
    </row>
    <row r="42" customFormat="false" ht="15" hidden="false" customHeight="false" outlineLevel="0" collapsed="false">
      <c r="A42" s="0" t="s">
        <v>137</v>
      </c>
      <c r="B42" s="0" t="n">
        <f aca="false">IF(B27&gt;B28,-L10*(1+B28/100)/((B27-B28)/100),-L10*20)/(1+B27/100)^L4</f>
        <v>144.437731335052</v>
      </c>
    </row>
    <row r="43" customFormat="false" ht="15" hidden="false" customHeight="false" outlineLevel="0" collapsed="false">
      <c r="A43" s="0" t="s">
        <v>138</v>
      </c>
      <c r="B43" s="0" t="n">
        <f aca="false">(B37+B41+B42)/Assumptions!$B$3*Assumptions!$B$10</f>
        <v>19.9820920783582</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5470.37665100956</v>
      </c>
    </row>
    <row r="47" customFormat="false" ht="15" hidden="false" customHeight="false" outlineLevel="0" collapsed="false">
      <c r="A47" s="0" t="s">
        <v>140</v>
      </c>
      <c r="B47" s="0" t="n">
        <f aca="false">(SUMPRODUCT(C19:L19/(1+B45/100)^C4:L4)+B46/(1+B45/100)^L4+Assumptions!$B$5-Assumptions!$B$4)/Assumptions!$B$3*Assumptions!$B$10</f>
        <v>13.757549485121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-8</v>
      </c>
      <c r="D5" s="4" t="n">
        <f aca="false">Assumptions!D27</f>
        <v>0</v>
      </c>
      <c r="E5" s="4" t="n">
        <f aca="false">Assumptions!E27</f>
        <v>4</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3684.6</v>
      </c>
      <c r="C6" s="0" t="n">
        <f aca="false">B6*(1+C5/100)</f>
        <v>3389.832</v>
      </c>
      <c r="D6" s="0" t="n">
        <f aca="false">C6*(1+D5/100)</f>
        <v>3389.832</v>
      </c>
      <c r="E6" s="0" t="n">
        <f aca="false">D6*(1+E5/100)</f>
        <v>3525.42528</v>
      </c>
      <c r="F6" s="0" t="n">
        <f aca="false">E6*(1+F5/100)</f>
        <v>3666.4422912</v>
      </c>
      <c r="G6" s="0" t="n">
        <f aca="false">F6*(1+G5/100)</f>
        <v>3794.767771392</v>
      </c>
      <c r="H6" s="0" t="n">
        <f aca="false">G6*(1+H5/100)</f>
        <v>3908.61080453376</v>
      </c>
      <c r="I6" s="0" t="n">
        <f aca="false">H6*(1+I5/100)</f>
        <v>4025.86912866977</v>
      </c>
      <c r="J6" s="0" t="n">
        <f aca="false">I6*(1+J5/100)</f>
        <v>4126.51585688652</v>
      </c>
      <c r="K6" s="0" t="n">
        <f aca="false">J6*(1+K5/100)</f>
        <v>4229.67875330868</v>
      </c>
      <c r="L6" s="0" t="n">
        <f aca="false">K6*(1+L5/100)</f>
        <v>4335.4207221414</v>
      </c>
    </row>
    <row r="7" customFormat="false" ht="15" hidden="false" customHeight="false" outlineLevel="0" collapsed="false">
      <c r="A7" s="0" t="s">
        <v>97</v>
      </c>
      <c r="C7" s="4" t="n">
        <f aca="false">Assumptions!C28</f>
        <v>35.5</v>
      </c>
      <c r="D7" s="4" t="n">
        <f aca="false">Assumptions!D28</f>
        <v>33</v>
      </c>
      <c r="E7" s="4" t="n">
        <f aca="false">Assumptions!E28</f>
        <v>33.5</v>
      </c>
      <c r="F7" s="4" t="n">
        <f aca="false">Assumptions!F28</f>
        <v>34</v>
      </c>
      <c r="G7" s="4" t="n">
        <f aca="false">Assumptions!G28</f>
        <v>34</v>
      </c>
      <c r="H7" s="4" t="n">
        <f aca="false">Assumptions!H28</f>
        <v>34</v>
      </c>
      <c r="I7" s="4" t="n">
        <f aca="false">Assumptions!I28</f>
        <v>34</v>
      </c>
      <c r="J7" s="4" t="n">
        <f aca="false">Assumptions!J28</f>
        <v>34</v>
      </c>
      <c r="K7" s="4" t="n">
        <f aca="false">Assumptions!K28</f>
        <v>34</v>
      </c>
      <c r="L7" s="4" t="n">
        <f aca="false">Assumptions!L28</f>
        <v>34</v>
      </c>
    </row>
    <row r="8" customFormat="false" ht="15" hidden="false" customHeight="false" outlineLevel="0" collapsed="false">
      <c r="A8" s="0" t="s">
        <v>44</v>
      </c>
      <c r="C8" s="0" t="n">
        <f aca="false">C6*C7/100</f>
        <v>1203.39036</v>
      </c>
      <c r="D8" s="0" t="n">
        <f aca="false">D6*D7/100</f>
        <v>1118.64456</v>
      </c>
      <c r="E8" s="0" t="n">
        <f aca="false">E6*E7/100</f>
        <v>1181.0174688</v>
      </c>
      <c r="F8" s="0" t="n">
        <f aca="false">F6*F7/100</f>
        <v>1246.590379008</v>
      </c>
      <c r="G8" s="0" t="n">
        <f aca="false">G6*G7/100</f>
        <v>1290.22104227328</v>
      </c>
      <c r="H8" s="0" t="n">
        <f aca="false">H6*H7/100</f>
        <v>1328.92767354148</v>
      </c>
      <c r="I8" s="0" t="n">
        <f aca="false">I6*I7/100</f>
        <v>1368.79550374772</v>
      </c>
      <c r="J8" s="0" t="n">
        <f aca="false">J6*J7/100</f>
        <v>1403.01539134142</v>
      </c>
      <c r="K8" s="0" t="n">
        <f aca="false">K6*K7/100</f>
        <v>1438.09077612495</v>
      </c>
      <c r="L8" s="0" t="n">
        <f aca="false">L6*L7/100</f>
        <v>1474.04304552807</v>
      </c>
    </row>
    <row r="9" customFormat="false" ht="15" hidden="false" customHeight="false" outlineLevel="0" collapsed="false">
      <c r="A9" s="0" t="s">
        <v>98</v>
      </c>
      <c r="C9" s="4" t="n">
        <f aca="false">Assumptions!C29</f>
        <v>0.8</v>
      </c>
      <c r="D9" s="4" t="n">
        <f aca="false">Assumptions!D29</f>
        <v>0.8</v>
      </c>
      <c r="E9" s="4" t="n">
        <f aca="false">Assumptions!E29</f>
        <v>0.75</v>
      </c>
      <c r="F9" s="4" t="n">
        <f aca="false">Assumptions!F29</f>
        <v>0.75</v>
      </c>
      <c r="G9" s="4" t="n">
        <f aca="false">Assumptions!G29</f>
        <v>0.75</v>
      </c>
      <c r="H9" s="4" t="n">
        <f aca="false">Assumptions!H29</f>
        <v>0.7</v>
      </c>
      <c r="I9" s="4" t="n">
        <f aca="false">Assumptions!I29</f>
        <v>0.7</v>
      </c>
      <c r="J9" s="4" t="n">
        <f aca="false">Assumptions!J29</f>
        <v>0.7</v>
      </c>
      <c r="K9" s="4" t="n">
        <f aca="false">Assumptions!K29</f>
        <v>0.7</v>
      </c>
      <c r="L9" s="4" t="n">
        <f aca="false">Assumptions!L29</f>
        <v>0.7</v>
      </c>
    </row>
    <row r="10" customFormat="false" ht="15" hidden="false" customHeight="false" outlineLevel="0" collapsed="false">
      <c r="A10" s="0" t="s">
        <v>113</v>
      </c>
      <c r="C10" s="0" t="n">
        <f aca="false">-C6*C9/100</f>
        <v>-27.118656</v>
      </c>
      <c r="D10" s="0" t="n">
        <f aca="false">-D6*D9/100</f>
        <v>-27.118656</v>
      </c>
      <c r="E10" s="0" t="n">
        <f aca="false">-E6*E9/100</f>
        <v>-26.4406896</v>
      </c>
      <c r="F10" s="0" t="n">
        <f aca="false">-F6*F9/100</f>
        <v>-27.498317184</v>
      </c>
      <c r="G10" s="0" t="n">
        <f aca="false">-G6*G9/100</f>
        <v>-28.46075828544</v>
      </c>
      <c r="H10" s="0" t="n">
        <f aca="false">-H6*H9/100</f>
        <v>-27.3602756317363</v>
      </c>
      <c r="I10" s="0" t="n">
        <f aca="false">-I6*I9/100</f>
        <v>-28.1810839006884</v>
      </c>
      <c r="J10" s="0" t="n">
        <f aca="false">-J6*J9/100</f>
        <v>-28.8856109982056</v>
      </c>
      <c r="K10" s="0" t="n">
        <f aca="false">-K6*K9/100</f>
        <v>-29.6077512731608</v>
      </c>
      <c r="L10" s="0" t="n">
        <f aca="false">-L6*L9/100</f>
        <v>-30.3479450549898</v>
      </c>
    </row>
    <row r="11" customFormat="false" ht="15" hidden="false" customHeight="false" outlineLevel="0" collapsed="false">
      <c r="A11" s="0" t="s">
        <v>114</v>
      </c>
      <c r="C11" s="0" t="n">
        <f aca="false">C8+C10+C24</f>
        <v>1091.525904</v>
      </c>
      <c r="D11" s="0" t="n">
        <f aca="false">D8+D10+D24</f>
        <v>1010.169936</v>
      </c>
      <c r="E11" s="0" t="n">
        <f aca="false">E8+E10+E24</f>
        <v>1077.01742304</v>
      </c>
      <c r="F11" s="0" t="n">
        <f aca="false">F8+F10+F24</f>
        <v>1142.0967737088</v>
      </c>
      <c r="G11" s="0" t="n">
        <f aca="false">G8+G10+G24</f>
        <v>1185.86492856</v>
      </c>
      <c r="H11" s="0" t="n">
        <f aca="false">H8+H10+H24</f>
        <v>1223.39518181907</v>
      </c>
      <c r="I11" s="0" t="n">
        <f aca="false">I8+I10+I24</f>
        <v>1260.09703727364</v>
      </c>
      <c r="J11" s="0" t="n">
        <f aca="false">J8+J10+J24</f>
        <v>1291.59946320548</v>
      </c>
      <c r="K11" s="0" t="n">
        <f aca="false">K8+K10+K24</f>
        <v>1323.88944978562</v>
      </c>
      <c r="L11" s="0" t="n">
        <f aca="false">L8+L10+L24</f>
        <v>1356.98668603026</v>
      </c>
    </row>
    <row r="12" customFormat="false" ht="15" hidden="false" customHeight="false" outlineLevel="0" collapsed="false">
      <c r="A12" s="0" t="s">
        <v>115</v>
      </c>
      <c r="C12" s="4" t="n">
        <f aca="false">-C6*Assumptions!C31/100</f>
        <v>-122.033952</v>
      </c>
      <c r="D12" s="4" t="n">
        <f aca="false">-D6*Assumptions!D31/100</f>
        <v>-128.813616</v>
      </c>
      <c r="E12" s="4" t="n">
        <f aca="false">-E6*Assumptions!E31/100</f>
        <v>-141.0170112</v>
      </c>
      <c r="F12" s="4" t="n">
        <f aca="false">-F6*Assumptions!F31/100</f>
        <v>-150.3241339392</v>
      </c>
      <c r="G12" s="4" t="n">
        <f aca="false">-G6*Assumptions!G31/100</f>
        <v>-159.380246398464</v>
      </c>
      <c r="H12" s="4" t="n">
        <f aca="false">-H6*Assumptions!H31/100</f>
        <v>-168.070264594952</v>
      </c>
      <c r="I12" s="4" t="n">
        <f aca="false">-I6*Assumptions!I31/100</f>
        <v>-173.1123725328</v>
      </c>
      <c r="J12" s="4" t="n">
        <f aca="false">-J6*Assumptions!J31/100</f>
        <v>-177.44018184612</v>
      </c>
      <c r="K12" s="4" t="n">
        <f aca="false">-K6*Assumptions!K31/100</f>
        <v>-181.876186392273</v>
      </c>
      <c r="L12" s="4" t="n">
        <f aca="false">-L6*Assumptions!L31/100</f>
        <v>-186.42309105208</v>
      </c>
    </row>
    <row r="13" customFormat="false" ht="15" hidden="false" customHeight="false" outlineLevel="0" collapsed="false">
      <c r="A13" s="0" t="s">
        <v>116</v>
      </c>
      <c r="C13" s="0" t="n">
        <f aca="false">C11+C12</f>
        <v>969.491952</v>
      </c>
      <c r="D13" s="0" t="n">
        <f aca="false">D11+D12</f>
        <v>881.35632</v>
      </c>
      <c r="E13" s="0" t="n">
        <f aca="false">E11+E12</f>
        <v>936.00041184</v>
      </c>
      <c r="F13" s="0" t="n">
        <f aca="false">F11+F12</f>
        <v>991.7726397696</v>
      </c>
      <c r="G13" s="0" t="n">
        <f aca="false">G11+G12</f>
        <v>1026.48468216154</v>
      </c>
      <c r="H13" s="0" t="n">
        <f aca="false">H11+H12</f>
        <v>1055.32491722412</v>
      </c>
      <c r="I13" s="0" t="n">
        <f aca="false">I11+I12</f>
        <v>1086.98466474084</v>
      </c>
      <c r="J13" s="0" t="n">
        <f aca="false">J11+J12</f>
        <v>1114.15928135936</v>
      </c>
      <c r="K13" s="0" t="n">
        <f aca="false">K11+K12</f>
        <v>1142.01326339334</v>
      </c>
      <c r="L13" s="0" t="n">
        <f aca="false">L11+L12</f>
        <v>1170.56359497818</v>
      </c>
    </row>
    <row r="14" customFormat="false" ht="15" hidden="false" customHeight="false" outlineLevel="0" collapsed="false">
      <c r="A14" s="0" t="s">
        <v>102</v>
      </c>
      <c r="C14" s="4" t="n">
        <f aca="false">Assumptions!C33</f>
        <v>2</v>
      </c>
      <c r="D14" s="4" t="n">
        <f aca="false">Assumptions!D33</f>
        <v>2</v>
      </c>
      <c r="E14" s="4" t="n">
        <f aca="false">Assumptions!E33</f>
        <v>2.5</v>
      </c>
      <c r="F14" s="4" t="n">
        <f aca="false">Assumptions!F33</f>
        <v>2.5</v>
      </c>
      <c r="G14" s="4" t="n">
        <f aca="false">Assumptions!G33</f>
        <v>3</v>
      </c>
      <c r="H14" s="4" t="n">
        <f aca="false">Assumptions!H33</f>
        <v>3</v>
      </c>
      <c r="I14" s="4" t="n">
        <f aca="false">Assumptions!I33</f>
        <v>3</v>
      </c>
      <c r="J14" s="4" t="n">
        <f aca="false">Assumptions!J33</f>
        <v>3</v>
      </c>
      <c r="K14" s="4" t="n">
        <f aca="false">Assumptions!K33</f>
        <v>3</v>
      </c>
      <c r="L14" s="4" t="n">
        <f aca="false">Assumptions!L33</f>
        <v>3</v>
      </c>
    </row>
    <row r="15" customFormat="false" ht="15" hidden="false" customHeight="false" outlineLevel="0" collapsed="false">
      <c r="A15" s="0" t="s">
        <v>117</v>
      </c>
      <c r="C15" s="0" t="n">
        <f aca="false">C13-MAX(0,C13)*C14/100</f>
        <v>950.10211296</v>
      </c>
      <c r="D15" s="0" t="n">
        <f aca="false">D13-MAX(0,D13)*D14/100</f>
        <v>863.7291936</v>
      </c>
      <c r="E15" s="0" t="n">
        <f aca="false">E13-MAX(0,E13)*E14/100</f>
        <v>912.600401544</v>
      </c>
      <c r="F15" s="0" t="n">
        <f aca="false">F13-MAX(0,F13)*F14/100</f>
        <v>966.97832377536</v>
      </c>
      <c r="G15" s="0" t="n">
        <f aca="false">G13-MAX(0,G13)*G14/100</f>
        <v>995.69014169669</v>
      </c>
      <c r="H15" s="0" t="n">
        <f aca="false">H13-MAX(0,H13)*H14/100</f>
        <v>1023.66516970739</v>
      </c>
      <c r="I15" s="0" t="n">
        <f aca="false">I13-MAX(0,I13)*I14/100</f>
        <v>1054.37512479861</v>
      </c>
      <c r="J15" s="0" t="n">
        <f aca="false">J13-MAX(0,J13)*J14/100</f>
        <v>1080.73450291858</v>
      </c>
      <c r="K15" s="0" t="n">
        <f aca="false">K13-MAX(0,K13)*K14/100</f>
        <v>1107.75286549154</v>
      </c>
      <c r="L15" s="0" t="n">
        <f aca="false">L13-MAX(0,L13)*L14/100</f>
        <v>1135.44668712883</v>
      </c>
    </row>
    <row r="16" customFormat="false" ht="15" hidden="false" customHeight="false" outlineLevel="0" collapsed="false">
      <c r="A16" s="0" t="s">
        <v>118</v>
      </c>
      <c r="C16" s="0" t="n">
        <f aca="false">-C12</f>
        <v>122.033952</v>
      </c>
      <c r="D16" s="0" t="n">
        <f aca="false">-D12</f>
        <v>128.813616</v>
      </c>
      <c r="E16" s="0" t="n">
        <f aca="false">-E12</f>
        <v>141.0170112</v>
      </c>
      <c r="F16" s="0" t="n">
        <f aca="false">-F12</f>
        <v>150.3241339392</v>
      </c>
      <c r="G16" s="0" t="n">
        <f aca="false">-G12</f>
        <v>159.380246398464</v>
      </c>
      <c r="H16" s="0" t="n">
        <f aca="false">-H12</f>
        <v>168.070264594952</v>
      </c>
      <c r="I16" s="0" t="n">
        <f aca="false">-I12</f>
        <v>173.1123725328</v>
      </c>
      <c r="J16" s="0" t="n">
        <f aca="false">-J12</f>
        <v>177.44018184612</v>
      </c>
      <c r="K16" s="0" t="n">
        <f aca="false">-K12</f>
        <v>181.876186392273</v>
      </c>
      <c r="L16" s="0" t="n">
        <f aca="false">-L12</f>
        <v>186.42309105208</v>
      </c>
    </row>
    <row r="17" customFormat="false" ht="15" hidden="false" customHeight="false" outlineLevel="0" collapsed="false">
      <c r="A17" s="0" t="s">
        <v>119</v>
      </c>
      <c r="C17" s="4" t="n">
        <f aca="false">-C6*Assumptions!C32/100</f>
        <v>-288.13572</v>
      </c>
      <c r="D17" s="4" t="n">
        <f aca="false">-D6*Assumptions!D32/100</f>
        <v>-288.13572</v>
      </c>
      <c r="E17" s="4" t="n">
        <f aca="false">-E6*Assumptions!E32/100</f>
        <v>-264.406896</v>
      </c>
      <c r="F17" s="4" t="n">
        <f aca="false">-F6*Assumptions!F32/100</f>
        <v>-219.986537472</v>
      </c>
      <c r="G17" s="4" t="n">
        <f aca="false">-G6*Assumptions!G32/100</f>
        <v>-208.71222742656</v>
      </c>
      <c r="H17" s="4" t="n">
        <f aca="false">-H6*Assumptions!H32/100</f>
        <v>-214.973594249357</v>
      </c>
      <c r="I17" s="4" t="n">
        <f aca="false">-I6*Assumptions!I32/100</f>
        <v>-221.422802076838</v>
      </c>
      <c r="J17" s="4" t="n">
        <f aca="false">-J6*Assumptions!J32/100</f>
        <v>-226.958372128758</v>
      </c>
      <c r="K17" s="4" t="n">
        <f aca="false">-K6*Assumptions!K32/100</f>
        <v>-232.632331431977</v>
      </c>
      <c r="L17" s="4" t="n">
        <f aca="false">-L6*Assumptions!L32/100</f>
        <v>-238.448139717777</v>
      </c>
    </row>
    <row r="18" customFormat="false" ht="15" hidden="false" customHeight="false" outlineLevel="0" collapsed="false">
      <c r="A18" s="0" t="s">
        <v>120</v>
      </c>
      <c r="C18" s="4" t="n">
        <f aca="false">(C6-B6)*Assumptions!$B$37/100</f>
        <v>-5.89536</v>
      </c>
      <c r="D18" s="4" t="n">
        <f aca="false">(D6-C6)*Assumptions!$B$37/100</f>
        <v>0</v>
      </c>
      <c r="E18" s="4" t="n">
        <f aca="false">(E6-D6)*Assumptions!$B$37/100</f>
        <v>2.7118656</v>
      </c>
      <c r="F18" s="4" t="n">
        <f aca="false">(F6-E6)*Assumptions!$B$37/100</f>
        <v>2.820340224</v>
      </c>
      <c r="G18" s="4" t="n">
        <f aca="false">(G6-F6)*Assumptions!$B$37/100</f>
        <v>2.56650960384</v>
      </c>
      <c r="H18" s="4" t="n">
        <f aca="false">(H6-G6)*Assumptions!$B$37/100</f>
        <v>2.27686066283521</v>
      </c>
      <c r="I18" s="4" t="n">
        <f aca="false">(I6-H6)*Assumptions!$B$37/100</f>
        <v>2.34516648272026</v>
      </c>
      <c r="J18" s="4" t="n">
        <f aca="false">(J6-I6)*Assumptions!$B$37/100</f>
        <v>2.01293456433488</v>
      </c>
      <c r="K18" s="4" t="n">
        <f aca="false">(K6-J6)*Assumptions!$B$37/100</f>
        <v>2.06325792844325</v>
      </c>
      <c r="L18" s="4" t="n">
        <f aca="false">(L6-K6)*Assumptions!$B$37/100</f>
        <v>2.11483937665433</v>
      </c>
    </row>
    <row r="19" customFormat="false" ht="15" hidden="false" customHeight="false" outlineLevel="0" collapsed="false">
      <c r="A19" s="0" t="s">
        <v>121</v>
      </c>
      <c r="C19" s="0" t="n">
        <f aca="false">C15+C16+C17+C18</f>
        <v>778.10498496</v>
      </c>
      <c r="D19" s="0" t="n">
        <f aca="false">D15+D16+D17+D18</f>
        <v>704.4070896</v>
      </c>
      <c r="E19" s="0" t="n">
        <f aca="false">E15+E16+E17+E18</f>
        <v>791.922382344</v>
      </c>
      <c r="F19" s="0" t="n">
        <f aca="false">F15+F16+F17+F18</f>
        <v>900.13626046656</v>
      </c>
      <c r="G19" s="0" t="n">
        <f aca="false">G15+G16+G17+G18</f>
        <v>948.924670272434</v>
      </c>
      <c r="H19" s="0" t="n">
        <f aca="false">H15+H16+H17+H18</f>
        <v>979.038700715822</v>
      </c>
      <c r="I19" s="0" t="n">
        <f aca="false">I15+I16+I17+I18</f>
        <v>1008.4098617373</v>
      </c>
      <c r="J19" s="0" t="n">
        <f aca="false">J15+J16+J17+J18</f>
        <v>1033.22924720028</v>
      </c>
      <c r="K19" s="0" t="n">
        <f aca="false">K15+K16+K17+K18</f>
        <v>1059.05997838028</v>
      </c>
      <c r="L19" s="0" t="n">
        <f aca="false">L15+L16+L17+L18</f>
        <v>1085.53647783979</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707.368168145454</v>
      </c>
      <c r="D21" s="0" t="n">
        <f aca="false">D19*D20</f>
        <v>582.154619504132</v>
      </c>
      <c r="E21" s="0" t="n">
        <f aca="false">E19*E20</f>
        <v>594.983007020285</v>
      </c>
      <c r="F21" s="0" t="n">
        <f aca="false">F19*F20</f>
        <v>614.805177560658</v>
      </c>
      <c r="G21" s="0" t="n">
        <f aca="false">G19*G20</f>
        <v>589.207561749032</v>
      </c>
      <c r="H21" s="0" t="n">
        <f aca="false">H19*H20</f>
        <v>552.641823067804</v>
      </c>
      <c r="I21" s="0" t="n">
        <f aca="false">I19*I20</f>
        <v>517.473707054398</v>
      </c>
      <c r="J21" s="0" t="n">
        <f aca="false">J19*J20</f>
        <v>482.009069267475</v>
      </c>
      <c r="K21" s="0" t="n">
        <f aca="false">K19*K20</f>
        <v>449.144814544693</v>
      </c>
      <c r="L21" s="0" t="n">
        <f aca="false">L19*L20</f>
        <v>418.5213044621</v>
      </c>
    </row>
    <row r="23" customFormat="false" ht="15" hidden="false" customHeight="false" outlineLevel="0" collapsed="false">
      <c r="A23" s="0" t="s">
        <v>99</v>
      </c>
      <c r="C23" s="4" t="n">
        <f aca="false">Assumptions!C30</f>
        <v>2.5</v>
      </c>
      <c r="D23" s="4" t="n">
        <f aca="false">Assumptions!D30</f>
        <v>2.4</v>
      </c>
      <c r="E23" s="4" t="n">
        <f aca="false">Assumptions!E30</f>
        <v>2.2</v>
      </c>
      <c r="F23" s="4" t="n">
        <f aca="false">Assumptions!F30</f>
        <v>2.1</v>
      </c>
      <c r="G23" s="4" t="n">
        <f aca="false">Assumptions!G30</f>
        <v>2</v>
      </c>
      <c r="H23" s="4" t="n">
        <f aca="false">Assumptions!H30</f>
        <v>2</v>
      </c>
      <c r="I23" s="4" t="n">
        <f aca="false">Assumptions!I30</f>
        <v>2</v>
      </c>
      <c r="J23" s="4" t="n">
        <f aca="false">Assumptions!J30</f>
        <v>2</v>
      </c>
      <c r="K23" s="4" t="n">
        <f aca="false">Assumptions!K30</f>
        <v>2</v>
      </c>
      <c r="L23" s="4" t="n">
        <f aca="false">Assumptions!L30</f>
        <v>2</v>
      </c>
    </row>
    <row r="24" customFormat="false" ht="15" hidden="false" customHeight="false" outlineLevel="0" collapsed="false">
      <c r="A24" s="0" t="s">
        <v>124</v>
      </c>
      <c r="C24" s="0" t="n">
        <f aca="false">-C6*C23/100</f>
        <v>-84.7458</v>
      </c>
      <c r="D24" s="0" t="n">
        <f aca="false">-D6*D23/100</f>
        <v>-81.355968</v>
      </c>
      <c r="E24" s="0" t="n">
        <f aca="false">-E6*E23/100</f>
        <v>-77.55935616</v>
      </c>
      <c r="F24" s="0" t="n">
        <f aca="false">-F6*F23/100</f>
        <v>-76.9952881152</v>
      </c>
      <c r="G24" s="0" t="n">
        <f aca="false">-G6*G23/100</f>
        <v>-75.89535542784</v>
      </c>
      <c r="H24" s="0" t="n">
        <f aca="false">-H6*H23/100</f>
        <v>-78.1722160906752</v>
      </c>
      <c r="I24" s="0" t="n">
        <f aca="false">-I6*I23/100</f>
        <v>-80.5173825733955</v>
      </c>
      <c r="J24" s="0" t="n">
        <f aca="false">-J6*J23/100</f>
        <v>-82.5303171377304</v>
      </c>
      <c r="K24" s="0" t="n">
        <f aca="false">-K6*K23/100</f>
        <v>-84.5935750661736</v>
      </c>
      <c r="L24" s="0" t="n">
        <f aca="false">-L6*L23/100</f>
        <v>-86.7084144428279</v>
      </c>
    </row>
    <row r="26" customFormat="false" ht="15" hidden="false" customHeight="false" outlineLevel="0" collapsed="false">
      <c r="A26" s="2" t="s">
        <v>125</v>
      </c>
    </row>
    <row r="27" customFormat="false" ht="15" hidden="false" customHeight="false" outlineLevel="0" collapsed="false">
      <c r="A27" s="0" t="s">
        <v>103</v>
      </c>
      <c r="B27" s="4" t="n">
        <f aca="false">Assumptions!$B$34</f>
        <v>10</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12</v>
      </c>
    </row>
    <row r="30" customFormat="false" ht="15" hidden="false" customHeight="false" outlineLevel="0" collapsed="false">
      <c r="A30" s="0" t="s">
        <v>126</v>
      </c>
      <c r="B30" s="0" t="n">
        <f aca="false">SUM(C21:L21)</f>
        <v>5508.30925237603</v>
      </c>
    </row>
    <row r="31" customFormat="false" ht="15" hidden="false" customHeight="false" outlineLevel="0" collapsed="false">
      <c r="A31" s="0" t="s">
        <v>127</v>
      </c>
      <c r="B31" s="0" t="n">
        <f aca="false">L19</f>
        <v>1085.53647783979</v>
      </c>
    </row>
    <row r="32" customFormat="false" ht="15" hidden="false" customHeight="false" outlineLevel="0" collapsed="false">
      <c r="A32" s="0" t="s">
        <v>128</v>
      </c>
      <c r="B32" s="0" t="n">
        <f aca="false">IF(B27&gt;B28,B31*(1+B28/100)/((B27-B28)/100),B31*B29)</f>
        <v>14835.6651971438</v>
      </c>
    </row>
    <row r="33" customFormat="false" ht="15" hidden="false" customHeight="false" outlineLevel="0" collapsed="false">
      <c r="A33" s="0" t="s">
        <v>129</v>
      </c>
      <c r="B33" s="0" t="n">
        <f aca="false">B31*B29</f>
        <v>13026.4377340775</v>
      </c>
    </row>
    <row r="34" customFormat="false" ht="15" hidden="false" customHeight="false" outlineLevel="0" collapsed="false">
      <c r="A34" s="0" t="s">
        <v>130</v>
      </c>
      <c r="B34" s="0" t="n">
        <f aca="false">MAX(0,MIN(B32,B33))</f>
        <v>13026.4377340775</v>
      </c>
    </row>
    <row r="35" customFormat="false" ht="15" hidden="false" customHeight="false" outlineLevel="0" collapsed="false">
      <c r="A35" s="0" t="s">
        <v>131</v>
      </c>
      <c r="B35" s="0" t="n">
        <f aca="false">B34/(1+B27/100)^L4</f>
        <v>5022.2556535452</v>
      </c>
    </row>
    <row r="36" customFormat="false" ht="15" hidden="false" customHeight="false" outlineLevel="0" collapsed="false">
      <c r="A36" s="0" t="s">
        <v>132</v>
      </c>
      <c r="B36" s="0" t="n">
        <f aca="false">B30+B35</f>
        <v>10530.5649059212</v>
      </c>
    </row>
    <row r="37" customFormat="false" ht="15" hidden="false" customHeight="false" outlineLevel="0" collapsed="false">
      <c r="A37" s="0" t="s">
        <v>133</v>
      </c>
      <c r="B37" s="0" t="n">
        <f aca="false">B36+Assumptions!$B$5-Assumptions!$B$4</f>
        <v>11577.7649059212</v>
      </c>
    </row>
    <row r="38" customFormat="false" ht="15" hidden="false" customHeight="false" outlineLevel="0" collapsed="false">
      <c r="A38" s="0" t="s">
        <v>134</v>
      </c>
      <c r="B38" s="0" t="n">
        <f aca="false">B37/Assumptions!$B$3*Assumptions!$B$10</f>
        <v>33.5082677026397</v>
      </c>
    </row>
    <row r="39" customFormat="false" ht="15" hidden="false" customHeight="false" outlineLevel="0" collapsed="false">
      <c r="A39" s="0" t="s">
        <v>135</v>
      </c>
      <c r="B39" s="4" t="n">
        <f aca="false">B38/Assumptions!$B$2-1</f>
        <v>-0.323338697442656</v>
      </c>
    </row>
    <row r="41" customFormat="false" ht="15" hidden="false" customHeight="false" outlineLevel="0" collapsed="false">
      <c r="A41" s="0" t="s">
        <v>136</v>
      </c>
      <c r="B41" s="0" t="n">
        <f aca="false">SUMPRODUCT(-C10:L10/(1+$B$27/100)^C4:L4)</f>
        <v>171.022218176163</v>
      </c>
    </row>
    <row r="42" customFormat="false" ht="15" hidden="false" customHeight="false" outlineLevel="0" collapsed="false">
      <c r="A42" s="0" t="s">
        <v>137</v>
      </c>
      <c r="B42" s="0" t="n">
        <f aca="false">IF(B27&gt;B28,-L10*(1+B28/100)/((B27-B28)/100),-L10*20)/(1+B27/100)^L4</f>
        <v>159.906103040342</v>
      </c>
    </row>
    <row r="43" customFormat="false" ht="15" hidden="false" customHeight="false" outlineLevel="0" collapsed="false">
      <c r="A43" s="0" t="s">
        <v>138</v>
      </c>
      <c r="B43" s="0" t="n">
        <f aca="false">(B37+B41+B42)/Assumptions!$B$3*Assumptions!$B$10</f>
        <v>34.4660376062276</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8901.39911828627</v>
      </c>
    </row>
    <row r="47" customFormat="false" ht="15" hidden="false" customHeight="false" outlineLevel="0" collapsed="false">
      <c r="A47" s="0" t="s">
        <v>140</v>
      </c>
      <c r="B47" s="0" t="n">
        <f aca="false">(SUMPRODUCT(C19:L19/(1+B45/100)^C4:L4)+B46/(1+B45/100)^L4+Assumptions!$B$5-Assumptions!$B$4)/Assumptions!$B$3*Assumptions!$B$10</f>
        <v>22.208242422705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5</v>
      </c>
      <c r="D5" s="4" t="n">
        <f aca="false">Assumptions!D41</f>
        <v>5</v>
      </c>
      <c r="E5" s="4" t="n">
        <f aca="false">Assumptions!E41</f>
        <v>5</v>
      </c>
      <c r="F5" s="4" t="n">
        <f aca="false">Assumptions!F41</f>
        <v>5</v>
      </c>
      <c r="G5" s="4" t="n">
        <f aca="false">Assumptions!G41</f>
        <v>4</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3684.6</v>
      </c>
      <c r="C6" s="0" t="n">
        <f aca="false">B6*(1+C5/100)</f>
        <v>3868.83</v>
      </c>
      <c r="D6" s="0" t="n">
        <f aca="false">C6*(1+D5/100)</f>
        <v>4062.2715</v>
      </c>
      <c r="E6" s="0" t="n">
        <f aca="false">D6*(1+E5/100)</f>
        <v>4265.385075</v>
      </c>
      <c r="F6" s="0" t="n">
        <f aca="false">E6*(1+F5/100)</f>
        <v>4478.65432875</v>
      </c>
      <c r="G6" s="0" t="n">
        <f aca="false">F6*(1+G5/100)</f>
        <v>4657.8005019</v>
      </c>
      <c r="H6" s="0" t="n">
        <f aca="false">G6*(1+H5/100)</f>
        <v>4844.112521976</v>
      </c>
      <c r="I6" s="0" t="n">
        <f aca="false">H6*(1+I5/100)</f>
        <v>5013.65646024516</v>
      </c>
      <c r="J6" s="0" t="n">
        <f aca="false">I6*(1+J5/100)</f>
        <v>5164.06615405252</v>
      </c>
      <c r="K6" s="0" t="n">
        <f aca="false">J6*(1+K5/100)</f>
        <v>5318.98813867409</v>
      </c>
      <c r="L6" s="0" t="n">
        <f aca="false">K6*(1+L5/100)</f>
        <v>5478.55778283432</v>
      </c>
    </row>
    <row r="7" customFormat="false" ht="15" hidden="false" customHeight="false" outlineLevel="0" collapsed="false">
      <c r="A7" s="0" t="s">
        <v>97</v>
      </c>
      <c r="C7" s="4" t="n">
        <f aca="false">Assumptions!C42</f>
        <v>39</v>
      </c>
      <c r="D7" s="4" t="n">
        <f aca="false">Assumptions!D42</f>
        <v>39</v>
      </c>
      <c r="E7" s="4" t="n">
        <f aca="false">Assumptions!E42</f>
        <v>39</v>
      </c>
      <c r="F7" s="4" t="n">
        <f aca="false">Assumptions!F42</f>
        <v>39</v>
      </c>
      <c r="G7" s="4" t="n">
        <f aca="false">Assumptions!G42</f>
        <v>39</v>
      </c>
      <c r="H7" s="4" t="n">
        <f aca="false">Assumptions!H42</f>
        <v>38.5</v>
      </c>
      <c r="I7" s="4" t="n">
        <f aca="false">Assumptions!I42</f>
        <v>38.5</v>
      </c>
      <c r="J7" s="4" t="n">
        <f aca="false">Assumptions!J42</f>
        <v>38.5</v>
      </c>
      <c r="K7" s="4" t="n">
        <f aca="false">Assumptions!K42</f>
        <v>38.5</v>
      </c>
      <c r="L7" s="4" t="n">
        <f aca="false">Assumptions!L42</f>
        <v>38.5</v>
      </c>
    </row>
    <row r="8" customFormat="false" ht="15" hidden="false" customHeight="false" outlineLevel="0" collapsed="false">
      <c r="A8" s="0" t="s">
        <v>44</v>
      </c>
      <c r="C8" s="0" t="n">
        <f aca="false">C6*C7/100</f>
        <v>1508.8437</v>
      </c>
      <c r="D8" s="0" t="n">
        <f aca="false">D6*D7/100</f>
        <v>1584.285885</v>
      </c>
      <c r="E8" s="0" t="n">
        <f aca="false">E6*E7/100</f>
        <v>1663.50017925</v>
      </c>
      <c r="F8" s="0" t="n">
        <f aca="false">F6*F7/100</f>
        <v>1746.6751882125</v>
      </c>
      <c r="G8" s="0" t="n">
        <f aca="false">G6*G7/100</f>
        <v>1816.542195741</v>
      </c>
      <c r="H8" s="0" t="n">
        <f aca="false">H6*H7/100</f>
        <v>1864.98332096076</v>
      </c>
      <c r="I8" s="0" t="n">
        <f aca="false">I6*I7/100</f>
        <v>1930.25773719439</v>
      </c>
      <c r="J8" s="0" t="n">
        <f aca="false">J6*J7/100</f>
        <v>1988.16546931022</v>
      </c>
      <c r="K8" s="0" t="n">
        <f aca="false">K6*K7/100</f>
        <v>2047.81043338953</v>
      </c>
      <c r="L8" s="0" t="n">
        <f aca="false">L6*L7/100</f>
        <v>2109.24474639121</v>
      </c>
    </row>
    <row r="9" customFormat="false" ht="15" hidden="false" customHeight="false" outlineLevel="0" collapsed="false">
      <c r="A9" s="0" t="s">
        <v>98</v>
      </c>
      <c r="C9" s="4" t="n">
        <f aca="false">Assumptions!C43</f>
        <v>0.8</v>
      </c>
      <c r="D9" s="4" t="n">
        <f aca="false">Assumptions!D43</f>
        <v>0.8</v>
      </c>
      <c r="E9" s="4" t="n">
        <f aca="false">Assumptions!E43</f>
        <v>0.75</v>
      </c>
      <c r="F9" s="4" t="n">
        <f aca="false">Assumptions!F43</f>
        <v>0.75</v>
      </c>
      <c r="G9" s="4" t="n">
        <f aca="false">Assumptions!G43</f>
        <v>0.75</v>
      </c>
      <c r="H9" s="4" t="n">
        <f aca="false">Assumptions!H43</f>
        <v>0.7</v>
      </c>
      <c r="I9" s="4" t="n">
        <f aca="false">Assumptions!I43</f>
        <v>0.7</v>
      </c>
      <c r="J9" s="4" t="n">
        <f aca="false">Assumptions!J43</f>
        <v>0.7</v>
      </c>
      <c r="K9" s="4" t="n">
        <f aca="false">Assumptions!K43</f>
        <v>0.7</v>
      </c>
      <c r="L9" s="4" t="n">
        <f aca="false">Assumptions!L43</f>
        <v>0.7</v>
      </c>
    </row>
    <row r="10" customFormat="false" ht="15" hidden="false" customHeight="false" outlineLevel="0" collapsed="false">
      <c r="A10" s="0" t="s">
        <v>113</v>
      </c>
      <c r="C10" s="0" t="n">
        <f aca="false">-C6*C9/100</f>
        <v>-30.95064</v>
      </c>
      <c r="D10" s="0" t="n">
        <f aca="false">-D6*D9/100</f>
        <v>-32.498172</v>
      </c>
      <c r="E10" s="0" t="n">
        <f aca="false">-E6*E9/100</f>
        <v>-31.9903880625</v>
      </c>
      <c r="F10" s="0" t="n">
        <f aca="false">-F6*F9/100</f>
        <v>-33.589907465625</v>
      </c>
      <c r="G10" s="0" t="n">
        <f aca="false">-G6*G9/100</f>
        <v>-34.93350376425</v>
      </c>
      <c r="H10" s="0" t="n">
        <f aca="false">-H6*H9/100</f>
        <v>-33.908787653832</v>
      </c>
      <c r="I10" s="0" t="n">
        <f aca="false">-I6*I9/100</f>
        <v>-35.0955952217161</v>
      </c>
      <c r="J10" s="0" t="n">
        <f aca="false">-J6*J9/100</f>
        <v>-36.1484630783676</v>
      </c>
      <c r="K10" s="0" t="n">
        <f aca="false">-K6*K9/100</f>
        <v>-37.2329169707186</v>
      </c>
      <c r="L10" s="0" t="n">
        <f aca="false">-L6*L9/100</f>
        <v>-38.3499044798402</v>
      </c>
    </row>
    <row r="11" customFormat="false" ht="15" hidden="false" customHeight="false" outlineLevel="0" collapsed="false">
      <c r="A11" s="0" t="s">
        <v>114</v>
      </c>
      <c r="C11" s="0" t="n">
        <f aca="false">C8+C10+C24</f>
        <v>1381.17231</v>
      </c>
      <c r="D11" s="0" t="n">
        <f aca="false">D8+D10+D24</f>
        <v>1458.3554685</v>
      </c>
      <c r="E11" s="0" t="n">
        <f aca="false">E8+E10+E24</f>
        <v>1541.9367046125</v>
      </c>
      <c r="F11" s="0" t="n">
        <f aca="false">F8+F10+F24</f>
        <v>1623.51219417188</v>
      </c>
      <c r="G11" s="0" t="n">
        <f aca="false">G8+G10+G24</f>
        <v>1693.11048244065</v>
      </c>
      <c r="H11" s="0" t="n">
        <f aca="false">H8+H10+H24</f>
        <v>1743.88050791136</v>
      </c>
      <c r="I11" s="0" t="n">
        <f aca="false">I8+I10+I24</f>
        <v>1804.91632568826</v>
      </c>
      <c r="J11" s="0" t="n">
        <f aca="false">J8+J10+J24</f>
        <v>1859.06381545891</v>
      </c>
      <c r="K11" s="0" t="n">
        <f aca="false">K8+K10+K24</f>
        <v>1914.83572992267</v>
      </c>
      <c r="L11" s="0" t="n">
        <f aca="false">L8+L10+L24</f>
        <v>1972.28080182035</v>
      </c>
    </row>
    <row r="12" customFormat="false" ht="15" hidden="false" customHeight="false" outlineLevel="0" collapsed="false">
      <c r="A12" s="0" t="s">
        <v>115</v>
      </c>
      <c r="C12" s="4" t="n">
        <f aca="false">-C6*Assumptions!C45/100</f>
        <v>-139.27788</v>
      </c>
      <c r="D12" s="4" t="n">
        <f aca="false">-D6*Assumptions!D45/100</f>
        <v>-154.366317</v>
      </c>
      <c r="E12" s="4" t="n">
        <f aca="false">-E6*Assumptions!E45/100</f>
        <v>-170.615403</v>
      </c>
      <c r="F12" s="4" t="n">
        <f aca="false">-F6*Assumptions!F45/100</f>
        <v>-183.62482747875</v>
      </c>
      <c r="G12" s="4" t="n">
        <f aca="false">-G6*Assumptions!G45/100</f>
        <v>-195.6276210798</v>
      </c>
      <c r="H12" s="4" t="n">
        <f aca="false">-H6*Assumptions!H45/100</f>
        <v>-203.452725922992</v>
      </c>
      <c r="I12" s="4" t="n">
        <f aca="false">-I6*Assumptions!I45/100</f>
        <v>-210.573571330297</v>
      </c>
      <c r="J12" s="4" t="n">
        <f aca="false">-J6*Assumptions!J45/100</f>
        <v>-216.890778470206</v>
      </c>
      <c r="K12" s="4" t="n">
        <f aca="false">-K6*Assumptions!K45/100</f>
        <v>-223.397501824312</v>
      </c>
      <c r="L12" s="4" t="n">
        <f aca="false">-L6*Assumptions!L45/100</f>
        <v>-230.099426879041</v>
      </c>
    </row>
    <row r="13" customFormat="false" ht="15" hidden="false" customHeight="false" outlineLevel="0" collapsed="false">
      <c r="A13" s="0" t="s">
        <v>116</v>
      </c>
      <c r="C13" s="0" t="n">
        <f aca="false">C11+C12</f>
        <v>1241.89443</v>
      </c>
      <c r="D13" s="0" t="n">
        <f aca="false">D11+D12</f>
        <v>1303.9891515</v>
      </c>
      <c r="E13" s="0" t="n">
        <f aca="false">E11+E12</f>
        <v>1371.3213016125</v>
      </c>
      <c r="F13" s="0" t="n">
        <f aca="false">F11+F12</f>
        <v>1439.88736669313</v>
      </c>
      <c r="G13" s="0" t="n">
        <f aca="false">G11+G12</f>
        <v>1497.48286136085</v>
      </c>
      <c r="H13" s="0" t="n">
        <f aca="false">H11+H12</f>
        <v>1540.42778198837</v>
      </c>
      <c r="I13" s="0" t="n">
        <f aca="false">I11+I12</f>
        <v>1594.34275435796</v>
      </c>
      <c r="J13" s="0" t="n">
        <f aca="false">J11+J12</f>
        <v>1642.1730369887</v>
      </c>
      <c r="K13" s="0" t="n">
        <f aca="false">K11+K12</f>
        <v>1691.43822809836</v>
      </c>
      <c r="L13" s="0" t="n">
        <f aca="false">L11+L12</f>
        <v>1742.18137494131</v>
      </c>
    </row>
    <row r="14" customFormat="false" ht="15" hidden="false" customHeight="false" outlineLevel="0" collapsed="false">
      <c r="A14" s="0" t="s">
        <v>102</v>
      </c>
      <c r="C14" s="4" t="n">
        <f aca="false">Assumptions!C47</f>
        <v>2</v>
      </c>
      <c r="D14" s="4" t="n">
        <f aca="false">Assumptions!D47</f>
        <v>2</v>
      </c>
      <c r="E14" s="4" t="n">
        <f aca="false">Assumptions!E47</f>
        <v>2</v>
      </c>
      <c r="F14" s="4" t="n">
        <f aca="false">Assumptions!F47</f>
        <v>2</v>
      </c>
      <c r="G14" s="4" t="n">
        <f aca="false">Assumptions!G47</f>
        <v>2</v>
      </c>
      <c r="H14" s="4" t="n">
        <f aca="false">Assumptions!H47</f>
        <v>2</v>
      </c>
      <c r="I14" s="4" t="n">
        <f aca="false">Assumptions!I47</f>
        <v>2</v>
      </c>
      <c r="J14" s="4" t="n">
        <f aca="false">Assumptions!J47</f>
        <v>2</v>
      </c>
      <c r="K14" s="4" t="n">
        <f aca="false">Assumptions!K47</f>
        <v>2</v>
      </c>
      <c r="L14" s="4" t="n">
        <f aca="false">Assumptions!L47</f>
        <v>2</v>
      </c>
    </row>
    <row r="15" customFormat="false" ht="15" hidden="false" customHeight="false" outlineLevel="0" collapsed="false">
      <c r="A15" s="0" t="s">
        <v>117</v>
      </c>
      <c r="C15" s="0" t="n">
        <f aca="false">C13-MAX(0,C13)*C14/100</f>
        <v>1217.0565414</v>
      </c>
      <c r="D15" s="0" t="n">
        <f aca="false">D13-MAX(0,D13)*D14/100</f>
        <v>1277.90936847</v>
      </c>
      <c r="E15" s="0" t="n">
        <f aca="false">E13-MAX(0,E13)*E14/100</f>
        <v>1343.89487558025</v>
      </c>
      <c r="F15" s="0" t="n">
        <f aca="false">F13-MAX(0,F13)*F14/100</f>
        <v>1411.08961935926</v>
      </c>
      <c r="G15" s="0" t="n">
        <f aca="false">G13-MAX(0,G13)*G14/100</f>
        <v>1467.53320413363</v>
      </c>
      <c r="H15" s="0" t="n">
        <f aca="false">H13-MAX(0,H13)*H14/100</f>
        <v>1509.6192263486</v>
      </c>
      <c r="I15" s="0" t="n">
        <f aca="false">I13-MAX(0,I13)*I14/100</f>
        <v>1562.4558992708</v>
      </c>
      <c r="J15" s="0" t="n">
        <f aca="false">J13-MAX(0,J13)*J14/100</f>
        <v>1609.32957624893</v>
      </c>
      <c r="K15" s="0" t="n">
        <f aca="false">K13-MAX(0,K13)*K14/100</f>
        <v>1657.60946353639</v>
      </c>
      <c r="L15" s="0" t="n">
        <f aca="false">L13-MAX(0,L13)*L14/100</f>
        <v>1707.33774744249</v>
      </c>
    </row>
    <row r="16" customFormat="false" ht="15" hidden="false" customHeight="false" outlineLevel="0" collapsed="false">
      <c r="A16" s="0" t="s">
        <v>118</v>
      </c>
      <c r="C16" s="0" t="n">
        <f aca="false">-C12</f>
        <v>139.27788</v>
      </c>
      <c r="D16" s="0" t="n">
        <f aca="false">-D12</f>
        <v>154.366317</v>
      </c>
      <c r="E16" s="0" t="n">
        <f aca="false">-E12</f>
        <v>170.615403</v>
      </c>
      <c r="F16" s="0" t="n">
        <f aca="false">-F12</f>
        <v>183.62482747875</v>
      </c>
      <c r="G16" s="0" t="n">
        <f aca="false">-G12</f>
        <v>195.6276210798</v>
      </c>
      <c r="H16" s="0" t="n">
        <f aca="false">-H12</f>
        <v>203.452725922992</v>
      </c>
      <c r="I16" s="0" t="n">
        <f aca="false">-I12</f>
        <v>210.573571330297</v>
      </c>
      <c r="J16" s="0" t="n">
        <f aca="false">-J12</f>
        <v>216.890778470206</v>
      </c>
      <c r="K16" s="0" t="n">
        <f aca="false">-K12</f>
        <v>223.397501824312</v>
      </c>
      <c r="L16" s="0" t="n">
        <f aca="false">-L12</f>
        <v>230.099426879041</v>
      </c>
    </row>
    <row r="17" customFormat="false" ht="15" hidden="false" customHeight="false" outlineLevel="0" collapsed="false">
      <c r="A17" s="0" t="s">
        <v>119</v>
      </c>
      <c r="C17" s="4" t="n">
        <f aca="false">-C6*Assumptions!C46/100</f>
        <v>-309.5064</v>
      </c>
      <c r="D17" s="4" t="n">
        <f aca="false">-D6*Assumptions!D46/100</f>
        <v>-324.98172</v>
      </c>
      <c r="E17" s="4" t="n">
        <f aca="false">-E6*Assumptions!E46/100</f>
        <v>-319.903880625</v>
      </c>
      <c r="F17" s="4" t="n">
        <f aca="false">-F6*Assumptions!F46/100</f>
        <v>-291.11253136875</v>
      </c>
      <c r="G17" s="4" t="n">
        <f aca="false">-G6*Assumptions!G46/100</f>
        <v>-279.468030114</v>
      </c>
      <c r="H17" s="4" t="n">
        <f aca="false">-H6*Assumptions!H46/100</f>
        <v>-290.64675131856</v>
      </c>
      <c r="I17" s="4" t="n">
        <f aca="false">-I6*Assumptions!I46/100</f>
        <v>-300.81938761471</v>
      </c>
      <c r="J17" s="4" t="n">
        <f aca="false">-J6*Assumptions!J46/100</f>
        <v>-309.843969243151</v>
      </c>
      <c r="K17" s="4" t="n">
        <f aca="false">-K6*Assumptions!K46/100</f>
        <v>-319.139288320446</v>
      </c>
      <c r="L17" s="4" t="n">
        <f aca="false">-L6*Assumptions!L46/100</f>
        <v>-328.713466970059</v>
      </c>
    </row>
    <row r="18" customFormat="false" ht="15" hidden="false" customHeight="false" outlineLevel="0" collapsed="false">
      <c r="A18" s="0" t="s">
        <v>120</v>
      </c>
      <c r="C18" s="4" t="n">
        <f aca="false">(C6-B6)*Assumptions!$B$51/100</f>
        <v>3.6846</v>
      </c>
      <c r="D18" s="4" t="n">
        <f aca="false">(D6-C6)*Assumptions!$B$51/100</f>
        <v>3.86883000000001</v>
      </c>
      <c r="E18" s="4" t="n">
        <f aca="false">(E6-D6)*Assumptions!$B$51/100</f>
        <v>4.0622715</v>
      </c>
      <c r="F18" s="4" t="n">
        <f aca="false">(F6-E6)*Assumptions!$B$51/100</f>
        <v>4.26538507500001</v>
      </c>
      <c r="G18" s="4" t="n">
        <f aca="false">(G6-F6)*Assumptions!$B$51/100</f>
        <v>3.58292346300001</v>
      </c>
      <c r="H18" s="4" t="n">
        <f aca="false">(H6-G6)*Assumptions!$B$51/100</f>
        <v>3.72624040152001</v>
      </c>
      <c r="I18" s="4" t="n">
        <f aca="false">(I6-H6)*Assumptions!$B$51/100</f>
        <v>3.39087876538319</v>
      </c>
      <c r="J18" s="4" t="n">
        <f aca="false">(J6-I6)*Assumptions!$B$51/100</f>
        <v>3.00819387614711</v>
      </c>
      <c r="K18" s="4" t="n">
        <f aca="false">(K6-J6)*Assumptions!$B$51/100</f>
        <v>3.09843969243151</v>
      </c>
      <c r="L18" s="4" t="n">
        <f aca="false">(L6-K6)*Assumptions!$B$51/100</f>
        <v>3.19139288320446</v>
      </c>
    </row>
    <row r="19" customFormat="false" ht="15" hidden="false" customHeight="false" outlineLevel="0" collapsed="false">
      <c r="A19" s="0" t="s">
        <v>121</v>
      </c>
      <c r="C19" s="0" t="n">
        <f aca="false">C15+C16+C17+C18</f>
        <v>1050.5126214</v>
      </c>
      <c r="D19" s="0" t="n">
        <f aca="false">D15+D16+D17+D18</f>
        <v>1111.16279547</v>
      </c>
      <c r="E19" s="0" t="n">
        <f aca="false">E15+E16+E17+E18</f>
        <v>1198.66866945525</v>
      </c>
      <c r="F19" s="0" t="n">
        <f aca="false">F15+F16+F17+F18</f>
        <v>1307.86730054426</v>
      </c>
      <c r="G19" s="0" t="n">
        <f aca="false">G15+G16+G17+G18</f>
        <v>1387.27571856243</v>
      </c>
      <c r="H19" s="0" t="n">
        <f aca="false">H15+H16+H17+H18</f>
        <v>1426.15144135455</v>
      </c>
      <c r="I19" s="0" t="n">
        <f aca="false">I15+I16+I17+I18</f>
        <v>1475.60096175177</v>
      </c>
      <c r="J19" s="0" t="n">
        <f aca="false">J15+J16+J17+J18</f>
        <v>1519.38457935213</v>
      </c>
      <c r="K19" s="0" t="n">
        <f aca="false">K15+K16+K17+K18</f>
        <v>1564.96611673269</v>
      </c>
      <c r="L19" s="0" t="n">
        <f aca="false">L15+L16+L17+L18</f>
        <v>1611.91510023467</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955.011474</v>
      </c>
      <c r="D21" s="0" t="n">
        <f aca="false">D19*D20</f>
        <v>918.316359892562</v>
      </c>
      <c r="E21" s="0" t="n">
        <f aca="false">E19*E20</f>
        <v>900.57751273873</v>
      </c>
      <c r="F21" s="0" t="n">
        <f aca="false">F19*F20</f>
        <v>893.290964103724</v>
      </c>
      <c r="G21" s="0" t="n">
        <f aca="false">G19*G20</f>
        <v>861.389074617626</v>
      </c>
      <c r="H21" s="0" t="n">
        <f aca="false">H19*H20</f>
        <v>805.025308953264</v>
      </c>
      <c r="I21" s="0" t="n">
        <f aca="false">I19*I20</f>
        <v>757.21661279196</v>
      </c>
      <c r="J21" s="0" t="n">
        <f aca="false">J19*J20</f>
        <v>708.804119644629</v>
      </c>
      <c r="K21" s="0" t="n">
        <f aca="false">K19*K20</f>
        <v>663.69840293997</v>
      </c>
      <c r="L21" s="0" t="n">
        <f aca="false">L19*L20</f>
        <v>621.463050025609</v>
      </c>
    </row>
    <row r="23" customFormat="false" ht="15" hidden="false" customHeight="false" outlineLevel="0" collapsed="false">
      <c r="A23" s="0" t="s">
        <v>99</v>
      </c>
      <c r="C23" s="4" t="n">
        <f aca="false">Assumptions!C44</f>
        <v>2.5</v>
      </c>
      <c r="D23" s="4" t="n">
        <f aca="false">Assumptions!D44</f>
        <v>2.3</v>
      </c>
      <c r="E23" s="4" t="n">
        <f aca="false">Assumptions!E44</f>
        <v>2.1</v>
      </c>
      <c r="F23" s="4" t="n">
        <f aca="false">Assumptions!F44</f>
        <v>2</v>
      </c>
      <c r="G23" s="4" t="n">
        <f aca="false">Assumptions!G44</f>
        <v>1.9</v>
      </c>
      <c r="H23" s="4" t="n">
        <f aca="false">Assumptions!H44</f>
        <v>1.8</v>
      </c>
      <c r="I23" s="4" t="n">
        <f aca="false">Assumptions!I44</f>
        <v>1.8</v>
      </c>
      <c r="J23" s="4" t="n">
        <f aca="false">Assumptions!J44</f>
        <v>1.8</v>
      </c>
      <c r="K23" s="4" t="n">
        <f aca="false">Assumptions!K44</f>
        <v>1.8</v>
      </c>
      <c r="L23" s="4" t="n">
        <f aca="false">Assumptions!L44</f>
        <v>1.8</v>
      </c>
    </row>
    <row r="24" customFormat="false" ht="15" hidden="false" customHeight="false" outlineLevel="0" collapsed="false">
      <c r="A24" s="0" t="s">
        <v>124</v>
      </c>
      <c r="C24" s="0" t="n">
        <f aca="false">-C6*C23/100</f>
        <v>-96.72075</v>
      </c>
      <c r="D24" s="0" t="n">
        <f aca="false">-D6*D23/100</f>
        <v>-93.4322445</v>
      </c>
      <c r="E24" s="0" t="n">
        <f aca="false">-E6*E23/100</f>
        <v>-89.573086575</v>
      </c>
      <c r="F24" s="0" t="n">
        <f aca="false">-F6*F23/100</f>
        <v>-89.573086575</v>
      </c>
      <c r="G24" s="0" t="n">
        <f aca="false">-G6*G23/100</f>
        <v>-88.4982095361</v>
      </c>
      <c r="H24" s="0" t="n">
        <f aca="false">-H6*H23/100</f>
        <v>-87.194025395568</v>
      </c>
      <c r="I24" s="0" t="n">
        <f aca="false">-I6*I23/100</f>
        <v>-90.2458162844129</v>
      </c>
      <c r="J24" s="0" t="n">
        <f aca="false">-J6*J23/100</f>
        <v>-92.9531907729453</v>
      </c>
      <c r="K24" s="0" t="n">
        <f aca="false">-K6*K23/100</f>
        <v>-95.7417864961336</v>
      </c>
      <c r="L24" s="0" t="n">
        <f aca="false">-L6*L23/100</f>
        <v>-98.6140400910177</v>
      </c>
    </row>
    <row r="26" customFormat="false" ht="15" hidden="false" customHeight="false" outlineLevel="0" collapsed="false">
      <c r="A26" s="2" t="s">
        <v>125</v>
      </c>
    </row>
    <row r="27" customFormat="false" ht="15" hidden="false" customHeight="false" outlineLevel="0" collapsed="false">
      <c r="A27" s="0" t="s">
        <v>103</v>
      </c>
      <c r="B27" s="4" t="n">
        <f aca="false">Assumptions!$B$48</f>
        <v>10</v>
      </c>
    </row>
    <row r="28" customFormat="false" ht="15" hidden="false" customHeight="false" outlineLevel="0" collapsed="false">
      <c r="A28" s="0" t="s">
        <v>104</v>
      </c>
      <c r="B28" s="4" t="n">
        <f aca="false">Assumptions!$B$49</f>
        <v>2.5</v>
      </c>
    </row>
    <row r="29" customFormat="false" ht="15" hidden="false" customHeight="false" outlineLevel="0" collapsed="false">
      <c r="A29" s="0" t="s">
        <v>105</v>
      </c>
      <c r="B29" s="4" t="n">
        <f aca="false">Assumptions!$B$50</f>
        <v>14</v>
      </c>
    </row>
    <row r="30" customFormat="false" ht="15" hidden="false" customHeight="false" outlineLevel="0" collapsed="false">
      <c r="A30" s="0" t="s">
        <v>126</v>
      </c>
      <c r="B30" s="0" t="n">
        <f aca="false">SUM(C21:L21)</f>
        <v>8084.79287970807</v>
      </c>
    </row>
    <row r="31" customFormat="false" ht="15" hidden="false" customHeight="false" outlineLevel="0" collapsed="false">
      <c r="A31" s="0" t="s">
        <v>127</v>
      </c>
      <c r="B31" s="0" t="n">
        <f aca="false">L19</f>
        <v>1611.91510023467</v>
      </c>
    </row>
    <row r="32" customFormat="false" ht="15" hidden="false" customHeight="false" outlineLevel="0" collapsed="false">
      <c r="A32" s="0" t="s">
        <v>128</v>
      </c>
      <c r="B32" s="0" t="n">
        <f aca="false">IF(B27&gt;B28,B31*(1+B28/100)/((B27-B28)/100),B31*B29)</f>
        <v>22029.5063698739</v>
      </c>
    </row>
    <row r="33" customFormat="false" ht="15" hidden="false" customHeight="false" outlineLevel="0" collapsed="false">
      <c r="A33" s="0" t="s">
        <v>129</v>
      </c>
      <c r="B33" s="0" t="n">
        <f aca="false">B31*B29</f>
        <v>22566.8114032854</v>
      </c>
    </row>
    <row r="34" customFormat="false" ht="15" hidden="false" customHeight="false" outlineLevel="0" collapsed="false">
      <c r="A34" s="0" t="s">
        <v>130</v>
      </c>
      <c r="B34" s="0" t="n">
        <f aca="false">MAX(0,MIN(B32,B33))</f>
        <v>22029.5063698739</v>
      </c>
    </row>
    <row r="35" customFormat="false" ht="15" hidden="false" customHeight="false" outlineLevel="0" collapsed="false">
      <c r="A35" s="0" t="s">
        <v>131</v>
      </c>
      <c r="B35" s="0" t="n">
        <f aca="false">B34/(1+B27/100)^L4</f>
        <v>8493.32835034999</v>
      </c>
    </row>
    <row r="36" customFormat="false" ht="15" hidden="false" customHeight="false" outlineLevel="0" collapsed="false">
      <c r="A36" s="0" t="s">
        <v>132</v>
      </c>
      <c r="B36" s="0" t="n">
        <f aca="false">B30+B35</f>
        <v>16578.1212300581</v>
      </c>
    </row>
    <row r="37" customFormat="false" ht="15" hidden="false" customHeight="false" outlineLevel="0" collapsed="false">
      <c r="A37" s="0" t="s">
        <v>133</v>
      </c>
      <c r="B37" s="0" t="n">
        <f aca="false">B36+Assumptions!$B$5-Assumptions!$B$4</f>
        <v>17625.3212300581</v>
      </c>
    </row>
    <row r="38" customFormat="false" ht="15" hidden="false" customHeight="false" outlineLevel="0" collapsed="false">
      <c r="A38" s="0" t="s">
        <v>134</v>
      </c>
      <c r="B38" s="0" t="n">
        <f aca="false">B37/Assumptions!$B$3*Assumptions!$B$10</f>
        <v>51.0110532491254</v>
      </c>
    </row>
    <row r="39" customFormat="false" ht="15" hidden="false" customHeight="false" outlineLevel="0" collapsed="false">
      <c r="A39" s="0" t="s">
        <v>135</v>
      </c>
      <c r="B39" s="4" t="n">
        <f aca="false">B38/Assumptions!$B$2-1</f>
        <v>0.0301101221551987</v>
      </c>
    </row>
    <row r="41" customFormat="false" ht="15" hidden="false" customHeight="false" outlineLevel="0" collapsed="false">
      <c r="A41" s="0" t="s">
        <v>136</v>
      </c>
      <c r="B41" s="0" t="n">
        <f aca="false">SUMPRODUCT(-C10:L10/(1+$B$27/100)^C4:L4)</f>
        <v>208.252787797382</v>
      </c>
    </row>
    <row r="42" customFormat="false" ht="15" hidden="false" customHeight="false" outlineLevel="0" collapsed="false">
      <c r="A42" s="0" t="s">
        <v>137</v>
      </c>
      <c r="B42" s="0" t="n">
        <f aca="false">IF(B27&gt;B28,-L10*(1+B28/100)/((B27-B28)/100),-L10*20)/(1+B27/100)^L4</f>
        <v>202.069160407034</v>
      </c>
    </row>
    <row r="43" customFormat="false" ht="15" hidden="false" customHeight="false" outlineLevel="0" collapsed="false">
      <c r="A43" s="0" t="s">
        <v>138</v>
      </c>
      <c r="B43" s="0" t="n">
        <f aca="false">(B37+B41+B42)/Assumptions!$B$3*Assumptions!$B$10</f>
        <v>52.19860350571</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13217.7038219243</v>
      </c>
    </row>
    <row r="47" customFormat="false" ht="15" hidden="false" customHeight="false" outlineLevel="0" collapsed="false">
      <c r="A47" s="0" t="s">
        <v>140</v>
      </c>
      <c r="B47" s="0" t="n">
        <f aca="false">(SUMPRODUCT(C19:L19/(1+B45/100)^C4:L4)+B46/(1+B45/100)^L4+Assumptions!$B$5-Assumptions!$B$4)/Assumptions!$B$3*Assumptions!$B$10</f>
        <v>31.2718361940501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19.1077820748311</v>
      </c>
      <c r="C4" s="0" t="n">
        <f aca="false">B4/Assumptions!$B$2-1</f>
        <v>-0.614140103496949</v>
      </c>
      <c r="D4" s="4" t="n">
        <f aca="false">Assumptions!$B$24</f>
        <v>0.3</v>
      </c>
      <c r="E4" s="4" t="n">
        <f aca="false">DCF_Bear!$B$43</f>
        <v>19.9820920783582</v>
      </c>
      <c r="F4" s="4" t="n">
        <f aca="false">DCF_Bear!$B$47</f>
        <v>13.757549485121</v>
      </c>
    </row>
    <row r="5" customFormat="false" ht="15" hidden="false" customHeight="false" outlineLevel="0" collapsed="false">
      <c r="A5" s="0" t="s">
        <v>149</v>
      </c>
      <c r="B5" s="4" t="n">
        <f aca="false">DCF_Base!$B$38</f>
        <v>33.5082677026397</v>
      </c>
      <c r="C5" s="0" t="n">
        <f aca="false">B5/Assumptions!$B$2-1</f>
        <v>-0.323338697442656</v>
      </c>
      <c r="D5" s="4" t="n">
        <f aca="false">Assumptions!$B$38</f>
        <v>0.5</v>
      </c>
      <c r="E5" s="4" t="n">
        <f aca="false">DCF_Base!$B$43</f>
        <v>34.4660376062276</v>
      </c>
      <c r="F5" s="4" t="n">
        <f aca="false">DCF_Base!$B$47</f>
        <v>22.208242422705</v>
      </c>
    </row>
    <row r="6" customFormat="false" ht="15" hidden="false" customHeight="false" outlineLevel="0" collapsed="false">
      <c r="A6" s="0" t="s">
        <v>150</v>
      </c>
      <c r="B6" s="4" t="n">
        <f aca="false">DCF_Bull!$B$38</f>
        <v>51.0110532491254</v>
      </c>
      <c r="C6" s="0" t="n">
        <f aca="false">B6/Assumptions!$B$2-1</f>
        <v>0.0301101221551987</v>
      </c>
      <c r="D6" s="4" t="n">
        <f aca="false">Assumptions!$B$52</f>
        <v>0.2</v>
      </c>
      <c r="E6" s="4" t="n">
        <f aca="false">DCF_Bull!$B$43</f>
        <v>52.19860350571</v>
      </c>
      <c r="F6" s="4" t="n">
        <f aca="false">DCF_Bull!$B$47</f>
        <v>31.2718361940501</v>
      </c>
    </row>
    <row r="8" customFormat="false" ht="15" hidden="false" customHeight="false" outlineLevel="0" collapsed="false">
      <c r="A8" s="0" t="s">
        <v>151</v>
      </c>
      <c r="B8" s="0" t="n">
        <f aca="false">SUMPRODUCT(B4:B6,D4:D6)</f>
        <v>32.6886791235942</v>
      </c>
    </row>
    <row r="9" customFormat="false" ht="15" hidden="false" customHeight="false" outlineLevel="0" collapsed="false">
      <c r="A9" s="0" t="s">
        <v>152</v>
      </c>
      <c r="B9" s="0" t="n">
        <f aca="false">SUMPRODUCT(E4:E6,D4:D6)</f>
        <v>33.6673671277632</v>
      </c>
    </row>
    <row r="10" customFormat="false" ht="15" hidden="false" customHeight="false" outlineLevel="0" collapsed="false">
      <c r="A10" s="0" t="s">
        <v>153</v>
      </c>
      <c r="B10" s="0" t="n">
        <f aca="false">1-Assumptions!$B$2/B8</f>
        <v>-0.514897552536993</v>
      </c>
    </row>
    <row r="11" customFormat="false" ht="15" hidden="false" customHeight="false" outlineLevel="0" collapsed="false">
      <c r="A11" s="0" t="s">
        <v>154</v>
      </c>
      <c r="B11" s="0" t="n">
        <f aca="false">IF(ABS(B9-B8)&gt;0.01*ABS(B8),(Assumptions!$B$2-B8)/(B9-B8)*100,"n/a")</f>
        <v>1719.78411962834</v>
      </c>
    </row>
    <row r="12" customFormat="false" ht="15" hidden="false" customHeight="false" outlineLevel="0" collapsed="false">
      <c r="A12" s="0" t="s">
        <v>155</v>
      </c>
      <c r="B12" s="0" t="n">
        <f aca="false">SUMPRODUCT(F4:F6,D4:D6)</f>
        <v>21.4857532956988</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35.663630631306</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33.5082677026397</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31.5367387413671</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28.5066783664417</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22.208242422705</v>
      </c>
      <c r="C19" s="3" t="n">
        <v>15</v>
      </c>
    </row>
    <row r="21" customFormat="false" ht="15" hidden="false" customHeight="false" outlineLevel="0" collapsed="false">
      <c r="A21" s="2" t="s">
        <v>163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38.0228262843078</v>
      </c>
      <c r="C23" s="0" t="n">
        <f aca="false">(SUMPRODUCT(DCF_Base!$C$19:$L$19/(1+$A$23/100)^DCF_Base!$C$4:$L$4)+MAX(0,MIN(IF($A$23&gt;$C$22,DCF_Base!$L$19*(1+$C$22/100)/(($A$23-$C$22)/100),DCF_Base!$L$19*DCF_Base!$B$29),DCF_Base!$L$19*DCF_Base!$B$29))/(1+$A$23/100)^DCF_Base!$L$4+Assumptions!$B$5-Assumptions!$B$4)/Assumptions!$B$3*Assumptions!$B$10</f>
        <v>38.0228262843078</v>
      </c>
      <c r="D23" s="0" t="n">
        <f aca="false">(SUMPRODUCT(DCF_Base!$C$19:$L$19/(1+$A$23/100)^DCF_Base!$C$4:$L$4)+MAX(0,MIN(IF($A$23&gt;$D$22,DCF_Base!$L$19*(1+$D$22/100)/(($A$23-$D$22)/100),DCF_Base!$L$19*DCF_Base!$B$29),DCF_Base!$L$19*DCF_Base!$B$29))/(1+$A$23/100)^DCF_Base!$L$4+Assumptions!$B$5-Assumptions!$B$4)/Assumptions!$B$3*Assumptions!$B$10</f>
        <v>38.0228262843078</v>
      </c>
      <c r="E23" s="0" t="n">
        <f aca="false">(SUMPRODUCT(DCF_Base!$C$19:$L$19/(1+$A$23/100)^DCF_Base!$C$4:$L$4)+MAX(0,MIN(IF($A$23&gt;$E$22,DCF_Base!$L$19*(1+$E$22/100)/(($A$23-$E$22)/100),DCF_Base!$L$19*DCF_Base!$B$29),DCF_Base!$L$19*DCF_Base!$B$29))/(1+$A$23/100)^DCF_Base!$L$4+Assumptions!$B$5-Assumptions!$B$4)/Assumptions!$B$3*Assumptions!$B$10</f>
        <v>38.0228262843078</v>
      </c>
      <c r="F23" s="0" t="n">
        <f aca="false">(SUMPRODUCT(DCF_Base!$C$19:$L$19/(1+$A$23/100)^DCF_Base!$C$4:$L$4)+MAX(0,MIN(IF($A$23&gt;$F$22,DCF_Base!$L$19*(1+$F$22/100)/(($A$23-$F$22)/100),DCF_Base!$L$19*DCF_Base!$B$29),DCF_Base!$L$19*DCF_Base!$B$29))/(1+$A$23/100)^DCF_Base!$L$4+Assumptions!$B$5-Assumptions!$B$4)/Assumptions!$B$3*Assumptions!$B$10</f>
        <v>38.0228262843078</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35.663630631306</v>
      </c>
      <c r="C24" s="0" t="n">
        <f aca="false">(SUMPRODUCT(DCF_Base!$C$19:$L$19/(1+$A$24/100)^DCF_Base!$C$4:$L$4)+MAX(0,MIN(IF($A$24&gt;$C$22,DCF_Base!$L$19*(1+$C$22/100)/(($A$24-$C$22)/100),DCF_Base!$L$19*DCF_Base!$B$29),DCF_Base!$L$19*DCF_Base!$B$29))/(1+$A$24/100)^DCF_Base!$L$4+Assumptions!$B$5-Assumptions!$B$4)/Assumptions!$B$3*Assumptions!$B$10</f>
        <v>35.663630631306</v>
      </c>
      <c r="D24" s="0" t="n">
        <f aca="false">(SUMPRODUCT(DCF_Base!$C$19:$L$19/(1+$A$24/100)^DCF_Base!$C$4:$L$4)+MAX(0,MIN(IF($A$24&gt;$D$22,DCF_Base!$L$19*(1+$D$22/100)/(($A$24-$D$22)/100),DCF_Base!$L$19*DCF_Base!$B$29),DCF_Base!$L$19*DCF_Base!$B$29))/(1+$A$24/100)^DCF_Base!$L$4+Assumptions!$B$5-Assumptions!$B$4)/Assumptions!$B$3*Assumptions!$B$10</f>
        <v>35.663630631306</v>
      </c>
      <c r="E24" s="0" t="n">
        <f aca="false">(SUMPRODUCT(DCF_Base!$C$19:$L$19/(1+$A$24/100)^DCF_Base!$C$4:$L$4)+MAX(0,MIN(IF($A$24&gt;$E$22,DCF_Base!$L$19*(1+$E$22/100)/(($A$24-$E$22)/100),DCF_Base!$L$19*DCF_Base!$B$29),DCF_Base!$L$19*DCF_Base!$B$29))/(1+$A$24/100)^DCF_Base!$L$4+Assumptions!$B$5-Assumptions!$B$4)/Assumptions!$B$3*Assumptions!$B$10</f>
        <v>35.663630631306</v>
      </c>
      <c r="F24" s="0" t="n">
        <f aca="false">(SUMPRODUCT(DCF_Base!$C$19:$L$19/(1+$A$24/100)^DCF_Base!$C$4:$L$4)+MAX(0,MIN(IF($A$24&gt;$F$22,DCF_Base!$L$19*(1+$F$22/100)/(($A$24-$F$22)/100),DCF_Base!$L$19*DCF_Base!$B$29),DCF_Base!$L$19*DCF_Base!$B$29))/(1+$A$24/100)^DCF_Base!$L$4+Assumptions!$B$5-Assumptions!$B$4)/Assumptions!$B$3*Assumptions!$B$10</f>
        <v>35.663630631306</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33.437015893051</v>
      </c>
      <c r="C25" s="0" t="n">
        <f aca="false">(SUMPRODUCT(DCF_Base!$C$19:$L$19/(1+$A$25/100)^DCF_Base!$C$4:$L$4)+MAX(0,MIN(IF($A$25&gt;$C$22,DCF_Base!$L$19*(1+$C$22/100)/(($A$25-$C$22)/100),DCF_Base!$L$19*DCF_Base!$B$29),DCF_Base!$L$19*DCF_Base!$B$29))/(1+$A$25/100)^DCF_Base!$L$4+Assumptions!$B$5-Assumptions!$B$4)/Assumptions!$B$3*Assumptions!$B$10</f>
        <v>33.5082677026397</v>
      </c>
      <c r="D25" s="0" t="n">
        <f aca="false">(SUMPRODUCT(DCF_Base!$C$19:$L$19/(1+$A$25/100)^DCF_Base!$C$4:$L$4)+MAX(0,MIN(IF($A$25&gt;$D$22,DCF_Base!$L$19*(1+$D$22/100)/(($A$25-$D$22)/100),DCF_Base!$L$19*DCF_Base!$B$29),DCF_Base!$L$19*DCF_Base!$B$29))/(1+$A$25/100)^DCF_Base!$L$4+Assumptions!$B$5-Assumptions!$B$4)/Assumptions!$B$3*Assumptions!$B$10</f>
        <v>33.5082677026397</v>
      </c>
      <c r="E25" s="0" t="n">
        <f aca="false">(SUMPRODUCT(DCF_Base!$C$19:$L$19/(1+$A$25/100)^DCF_Base!$C$4:$L$4)+MAX(0,MIN(IF($A$25&gt;$E$22,DCF_Base!$L$19*(1+$E$22/100)/(($A$25-$E$22)/100),DCF_Base!$L$19*DCF_Base!$B$29),DCF_Base!$L$19*DCF_Base!$B$29))/(1+$A$25/100)^DCF_Base!$L$4+Assumptions!$B$5-Assumptions!$B$4)/Assumptions!$B$3*Assumptions!$B$10</f>
        <v>33.5082677026397</v>
      </c>
      <c r="F25" s="0" t="n">
        <f aca="false">(SUMPRODUCT(DCF_Base!$C$19:$L$19/(1+$A$25/100)^DCF_Base!$C$4:$L$4)+MAX(0,MIN(IF($A$25&gt;$F$22,DCF_Base!$L$19*(1+$F$22/100)/(($A$25-$F$22)/100),DCF_Base!$L$19*DCF_Base!$B$29),DCF_Base!$L$19*DCF_Base!$B$29))/(1+$A$25/100)^DCF_Base!$L$4+Assumptions!$B$5-Assumptions!$B$4)/Assumptions!$B$3*Assumptions!$B$10</f>
        <v>33.5082677026397</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30.0808496517795</v>
      </c>
      <c r="C26" s="0" t="n">
        <f aca="false">(SUMPRODUCT(DCF_Base!$C$19:$L$19/(1+$A$26/100)^DCF_Base!$C$4:$L$4)+MAX(0,MIN(IF($A$26&gt;$C$22,DCF_Base!$L$19*(1+$C$22/100)/(($A$26-$C$22)/100),DCF_Base!$L$19*DCF_Base!$B$29),DCF_Base!$L$19*DCF_Base!$B$29))/(1+$A$26/100)^DCF_Base!$L$4+Assumptions!$B$5-Assumptions!$B$4)/Assumptions!$B$3*Assumptions!$B$10</f>
        <v>30.7990882693094</v>
      </c>
      <c r="D26" s="0" t="n">
        <f aca="false">(SUMPRODUCT(DCF_Base!$C$19:$L$19/(1+$A$26/100)^DCF_Base!$C$4:$L$4)+MAX(0,MIN(IF($A$26&gt;$D$22,DCF_Base!$L$19*(1+$D$22/100)/(($A$26-$D$22)/100),DCF_Base!$L$19*DCF_Base!$B$29),DCF_Base!$L$19*DCF_Base!$B$29))/(1+$A$26/100)^DCF_Base!$L$4+Assumptions!$B$5-Assumptions!$B$4)/Assumptions!$B$3*Assumptions!$B$10</f>
        <v>31.5367387413671</v>
      </c>
      <c r="E26" s="0" t="n">
        <f aca="false">(SUMPRODUCT(DCF_Base!$C$19:$L$19/(1+$A$26/100)^DCF_Base!$C$4:$L$4)+MAX(0,MIN(IF($A$26&gt;$E$22,DCF_Base!$L$19*(1+$E$22/100)/(($A$26-$E$22)/100),DCF_Base!$L$19*DCF_Base!$B$29),DCF_Base!$L$19*DCF_Base!$B$29))/(1+$A$26/100)^DCF_Base!$L$4+Assumptions!$B$5-Assumptions!$B$4)/Assumptions!$B$3*Assumptions!$B$10</f>
        <v>31.5367387413671</v>
      </c>
      <c r="F26" s="0" t="n">
        <f aca="false">(SUMPRODUCT(DCF_Base!$C$19:$L$19/(1+$A$26/100)^DCF_Base!$C$4:$L$4)+MAX(0,MIN(IF($A$26&gt;$F$22,DCF_Base!$L$19*(1+$F$22/100)/(($A$26-$F$22)/100),DCF_Base!$L$19*DCF_Base!$B$29),DCF_Base!$L$19*DCF_Base!$B$29))/(1+$A$26/100)^DCF_Base!$L$4+Assumptions!$B$5-Assumptions!$B$4)/Assumptions!$B$3*Assumptions!$B$10</f>
        <v>31.5367387413671</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27.3708922303023</v>
      </c>
      <c r="C27" s="0" t="n">
        <f aca="false">(SUMPRODUCT(DCF_Base!$C$19:$L$19/(1+$A$27/100)^DCF_Base!$C$4:$L$4)+MAX(0,MIN(IF($A$27&gt;$C$22,DCF_Base!$L$19*(1+$C$22/100)/(($A$27-$C$22)/100),DCF_Base!$L$19*DCF_Base!$B$29),DCF_Base!$L$19*DCF_Base!$B$29))/(1+$A$27/100)^DCF_Base!$L$4+Assumptions!$B$5-Assumptions!$B$4)/Assumptions!$B$3*Assumptions!$B$10</f>
        <v>27.9103906449685</v>
      </c>
      <c r="D27" s="0" t="n">
        <f aca="false">(SUMPRODUCT(DCF_Base!$C$19:$L$19/(1+$A$27/100)^DCF_Base!$C$4:$L$4)+MAX(0,MIN(IF($A$27&gt;$D$22,DCF_Base!$L$19*(1+$D$22/100)/(($A$27-$D$22)/100),DCF_Base!$L$19*DCF_Base!$B$29),DCF_Base!$L$19*DCF_Base!$B$29))/(1+$A$27/100)^DCF_Base!$L$4+Assumptions!$B$5-Assumptions!$B$4)/Assumptions!$B$3*Assumptions!$B$10</f>
        <v>28.5066783664417</v>
      </c>
      <c r="E27" s="0" t="n">
        <f aca="false">(SUMPRODUCT(DCF_Base!$C$19:$L$19/(1+$A$27/100)^DCF_Base!$C$4:$L$4)+MAX(0,MIN(IF($A$27&gt;$E$22,DCF_Base!$L$19*(1+$E$22/100)/(($A$27-$E$22)/100),DCF_Base!$L$19*DCF_Base!$B$29),DCF_Base!$L$19*DCF_Base!$B$29))/(1+$A$27/100)^DCF_Base!$L$4+Assumptions!$B$5-Assumptions!$B$4)/Assumptions!$B$3*Assumptions!$B$10</f>
        <v>29.1692202791897</v>
      </c>
      <c r="F27" s="0" t="n">
        <f aca="false">(SUMPRODUCT(DCF_Base!$C$19:$L$19/(1+$A$27/100)^DCF_Base!$C$4:$L$4)+MAX(0,MIN(IF($A$27&gt;$F$22,DCF_Base!$L$19*(1+$F$22/100)/(($A$27-$F$22)/100),DCF_Base!$L$19*DCF_Base!$B$29),DCF_Base!$L$19*DCF_Base!$B$29))/(1+$A$27/100)^DCF_Base!$L$4+Assumptions!$B$5-Assumptions!$B$4)/Assumptions!$B$3*Assumptions!$B$10</f>
        <v>29.731197794467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2026-10-16T08:42:06Z</dcterms:created>
  <dc:creator>openpyxl</dc:creator>
  <dc:description/>
  <dc:language>en-NZ</dc:language>
  <cp:lastModifiedBy/>
  <dcterms:modified xsi:type="dcterms:W3CDTF">2026-10-16T08:42:06Z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