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WACC" sheetId="2" state="visible" r:id="rId2"/>
    <sheet xmlns:r="http://schemas.openxmlformats.org/officeDocument/2006/relationships" name="DCF_Base" sheetId="3" state="visible" r:id="rId3"/>
    <sheet xmlns:r="http://schemas.openxmlformats.org/officeDocument/2006/relationships" name="DCF_Bull" sheetId="4" state="visible" r:id="rId4"/>
    <sheet xmlns:r="http://schemas.openxmlformats.org/officeDocument/2006/relationships" name="DCF_Bear" sheetId="5" state="visible" r:id="rId5"/>
    <sheet xmlns:r="http://schemas.openxmlformats.org/officeDocument/2006/relationships" name="Entry_Price" sheetId="6" state="visible" r:id="rId6"/>
    <sheet xmlns:r="http://schemas.openxmlformats.org/officeDocument/2006/relationships" name="Sensitivity" sheetId="7" state="visible" r:id="rId7"/>
    <sheet xmlns:r="http://schemas.openxmlformats.org/officeDocument/2006/relationships" name="SanityCheck" sheetId="8" state="visible" r:id="rId8"/>
    <sheet xmlns:r="http://schemas.openxmlformats.org/officeDocument/2006/relationships" name="Model_Info" sheetId="9" state="visible" r:id="rId9"/>
  </sheets>
  <definedNames/>
  <calcPr calcId="124519" fullCalcOnLoad="1"/>
</workbook>
</file>

<file path=xl/styles.xml><?xml version="1.0" encoding="utf-8"?>
<styleSheet xmlns="http://schemas.openxmlformats.org/spreadsheetml/2006/main">
  <numFmts count="9">
    <numFmt numFmtId="164" formatCode="&quot;$&quot;#,##0.00"/>
    <numFmt numFmtId="165" formatCode="#,##0.000"/>
    <numFmt numFmtId="166" formatCode="&quot;$&quot;#,##0.000"/>
    <numFmt numFmtId="167" formatCode="0.0&quot;%&quot;"/>
    <numFmt numFmtId="168" formatCode="0.0%"/>
    <numFmt numFmtId="169" formatCode="0.00&quot;%&quot;"/>
    <numFmt numFmtId="170" formatCode="0.0&quot;x&quot;"/>
    <numFmt numFmtId="171" formatCode="0.000"/>
    <numFmt numFmtId="172" formatCode="0.00&quot;x&quot;"/>
  </numFmts>
  <fonts count="6">
    <font>
      <name val="Calibri"/>
      <family val="2"/>
      <color theme="1"/>
      <sz val="11"/>
      <scheme val="minor"/>
    </font>
    <font>
      <b val="1"/>
      <sz val="16"/>
    </font>
    <font>
      <i val="1"/>
      <color rgb="00808080"/>
    </font>
    <font>
      <b val="1"/>
      <sz val="12"/>
      <u val="single"/>
    </font>
    <font>
      <b val="1"/>
      <color rgb="00FFFFFF"/>
    </font>
    <font>
      <b val="1"/>
    </font>
  </fonts>
  <fills count="5">
    <fill>
      <patternFill/>
    </fill>
    <fill>
      <patternFill patternType="gray125"/>
    </fill>
    <fill>
      <patternFill patternType="solid">
        <fgColor rgb="00dfe6e9"/>
      </patternFill>
    </fill>
    <fill>
      <patternFill patternType="solid">
        <fgColor rgb="002d3436"/>
      </patternFill>
    </fill>
    <fill>
      <patternFill patternType="solid">
        <fgColor rgb="0000b894"/>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2" borderId="0" pivotButton="0" quotePrefix="0" xfId="0"/>
    <xf numFmtId="165" fontId="0" fillId="2" borderId="0" pivotButton="0" quotePrefix="0" xfId="0"/>
    <xf numFmtId="0" fontId="4" fillId="3" borderId="0" pivotButton="0" quotePrefix="0" xfId="0"/>
    <xf numFmtId="0" fontId="5" fillId="0" borderId="0" pivotButton="0" quotePrefix="0" xfId="0"/>
    <xf numFmtId="166" fontId="0" fillId="0" borderId="0" pivotButton="0" quotePrefix="0" xfId="0"/>
    <xf numFmtId="167" fontId="0" fillId="0" borderId="0" pivotButton="0" quotePrefix="0" xfId="0"/>
    <xf numFmtId="9" fontId="0" fillId="2" borderId="0" pivotButton="0" quotePrefix="0" xfId="0"/>
    <xf numFmtId="166" fontId="4" fillId="4" borderId="0" pivotButton="0" quotePrefix="0" xfId="0"/>
    <xf numFmtId="167" fontId="5" fillId="0" borderId="0" pivotButton="0" quotePrefix="0" xfId="0"/>
    <xf numFmtId="0" fontId="0" fillId="0" borderId="0" applyAlignment="1" pivotButton="0" quotePrefix="0" xfId="0">
      <alignment vertical="top" wrapText="1"/>
    </xf>
    <xf numFmtId="2" fontId="0" fillId="2" borderId="0" pivotButton="0" quotePrefix="0" xfId="0"/>
    <xf numFmtId="2" fontId="0" fillId="0" borderId="0" pivotButton="0" quotePrefix="0" xfId="0"/>
    <xf numFmtId="168" fontId="0" fillId="2" borderId="0" pivotButton="0" quotePrefix="0" xfId="0"/>
    <xf numFmtId="169" fontId="0" fillId="0" borderId="0" pivotButton="0" quotePrefix="0" xfId="0"/>
    <xf numFmtId="169" fontId="0" fillId="2" borderId="0" pivotButton="0" quotePrefix="0" xfId="0"/>
    <xf numFmtId="170" fontId="0" fillId="2" borderId="0" pivotButton="0" quotePrefix="0" xfId="0"/>
    <xf numFmtId="165" fontId="0" fillId="0" borderId="0" pivotButton="0" quotePrefix="0" xfId="0"/>
    <xf numFmtId="170" fontId="0" fillId="0" borderId="0" pivotButton="0" quotePrefix="0" xfId="0"/>
    <xf numFmtId="167" fontId="0" fillId="2" borderId="0" pivotButton="0" quotePrefix="0" xfId="0"/>
    <xf numFmtId="171" fontId="0" fillId="0" borderId="0" pivotButton="0" quotePrefix="0" xfId="0"/>
    <xf numFmtId="17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Allied Farmers Limited (ALF.NZ) — DCF Valuation (Sum-of-Parts)</t>
        </is>
      </c>
    </row>
    <row r="2">
      <c r="A2" s="2" t="inlineStr">
        <is>
          <t>Valuation date: 2026-08-09   Currency: NZD   Gray cells are INPUTS</t>
        </is>
      </c>
    </row>
    <row r="4">
      <c r="A4" s="3" t="inlineStr">
        <is>
          <t>KEY INPUTS</t>
        </is>
      </c>
    </row>
    <row r="5">
      <c r="A5" t="inlineStr">
        <is>
          <t>Current Stock Price</t>
        </is>
      </c>
      <c r="B5" s="4" t="n">
        <v>0.6</v>
      </c>
    </row>
    <row r="6">
      <c r="A6" t="inlineStr">
        <is>
          <t>Shares Outstanding (M)</t>
        </is>
      </c>
      <c r="B6" s="5" t="n">
        <v>28.807</v>
      </c>
    </row>
    <row r="7">
      <c r="A7" t="inlineStr">
        <is>
          <t>Net Debt / (Net Cash) (M)</t>
        </is>
      </c>
      <c r="B7" s="5" t="n">
        <v>-17.855</v>
      </c>
    </row>
    <row r="8">
      <c r="A8" s="2" t="inlineStr">
        <is>
          <t xml:space="preserve">  -&gt; negative = net cash added to equity value</t>
        </is>
      </c>
    </row>
    <row r="10">
      <c r="A10" s="3" t="inlineStr">
        <is>
          <t>SCENARIO RESULTS</t>
        </is>
      </c>
    </row>
    <row r="11">
      <c r="A11" s="6" t="inlineStr">
        <is>
          <t>Scenario</t>
        </is>
      </c>
      <c r="B11" s="6" t="inlineStr">
        <is>
          <t>Intrinsic Value</t>
        </is>
      </c>
      <c r="C11" s="6" t="inlineStr">
        <is>
          <t>Upside %</t>
        </is>
      </c>
      <c r="D11" s="7" t="inlineStr">
        <is>
          <t>Weight</t>
        </is>
      </c>
    </row>
    <row r="12">
      <c r="A12" t="inlineStr">
        <is>
          <t>Bear</t>
        </is>
      </c>
      <c r="B12" s="8">
        <f>'DCF_Bear'!B33</f>
        <v/>
      </c>
      <c r="C12" s="9">
        <f>'DCF_Bear'!B34</f>
        <v/>
      </c>
      <c r="D12" s="10" t="n">
        <v>0.25</v>
      </c>
    </row>
    <row r="13">
      <c r="A13" t="inlineStr">
        <is>
          <t>Base</t>
        </is>
      </c>
      <c r="B13" s="8">
        <f>'DCF_Base'!B37</f>
        <v/>
      </c>
      <c r="C13" s="9">
        <f>'DCF_Base'!B38</f>
        <v/>
      </c>
      <c r="D13" s="10" t="n">
        <v>0.5</v>
      </c>
    </row>
    <row r="14">
      <c r="A14" t="inlineStr">
        <is>
          <t>Bull</t>
        </is>
      </c>
      <c r="B14" s="8">
        <f>'DCF_Bull'!B37</f>
        <v/>
      </c>
      <c r="C14" s="9">
        <f>'DCF_Bull'!B38</f>
        <v/>
      </c>
      <c r="D14" s="10" t="n">
        <v>0.25</v>
      </c>
    </row>
    <row r="15">
      <c r="A15" s="7" t="inlineStr">
        <is>
          <t>Probability-weighted</t>
        </is>
      </c>
      <c r="B15" s="11">
        <f>B12*D12+B13*D13+B14*D14</f>
        <v/>
      </c>
      <c r="C15" s="12">
        <f>(B15-B5)/B5*100</f>
        <v/>
      </c>
    </row>
    <row r="17">
      <c r="A17" t="inlineStr">
        <is>
          <t>Entry Price (15% IRR hurdle)</t>
        </is>
      </c>
      <c r="B17" s="8">
        <f>Entry_Price!B16</f>
        <v/>
      </c>
    </row>
    <row r="18">
      <c r="A18" t="inlineStr">
        <is>
          <t>Entry discount from current price (%)</t>
        </is>
      </c>
      <c r="B18" s="9">
        <f>(B5-B17)/B5*100</f>
        <v/>
      </c>
    </row>
    <row r="20">
      <c r="A20" s="3" t="inlineStr">
        <is>
          <t>Sanity Check Result</t>
        </is>
      </c>
    </row>
    <row r="21">
      <c r="A21" t="inlineStr">
        <is>
          <t>Passed:</t>
        </is>
      </c>
      <c r="B21" t="inlineStr">
        <is>
          <t>TRUE</t>
        </is>
      </c>
    </row>
    <row r="22">
      <c r="A22" s="13" t="inlineStr">
        <is>
          <t>See SanityCheck tab for full detail, including the caveat that P/E and EV/EBITDA implied multiples use FY2025 consolidated (pre-divestment) actuals and are of limited use; P/B is the meaningful anchor.</t>
        </is>
      </c>
    </row>
    <row r="23"/>
    <row r="24"/>
    <row r="26">
      <c r="A26" s="3" t="inlineStr">
        <is>
          <t>Valuation Philosophy</t>
        </is>
      </c>
    </row>
    <row r="27" ht="400" customHeight="1">
      <c r="A27" s="13" t="inlineStr">
        <is>
          <t>Allied Farmers is NOT valued as a mechanical FCF-CAGR DCF on its consolidated historical financials. On 1 December 2025 Allied completed the sale of its 67.8%-owned livestock agency NZ Farmers Livestock (NZFL), which historically generated ~85% of consolidated revenue and is now a discontinued operation. The surviving continuing business is small: 100%-owned NZRLM (external asset manager of NZX-listed farmland REIT NZL, earning management/transaction/performance fees), a Parent Operations segment (governance costs partly offset by rental/interest/dividend income from a $10.5m investment property, loan advances and a ~2.7% NZL shareholding), plus a large freed-up cash/liquid-investment pile from the sale proceeds. Continuing operations posted a PRE-TAX LOSS of $0.517m in H1 FY2026 (dominated by NZFL-sale transaction costs and step-up NZRLM costs) and NPAT of $3.542m for the half is dominated by the $2.110m sale gain and a $2.740m one-off tax benefit -- neither is a run-rate figure. This model is therefore a SUM-OF-PARTS / continuing-operations build: (1) a 5-year explicit DCF of the NZRLM fee stream plus Parent Operations' governance costs and redeployed-capital investment income, capitalized via Gordon growth/multiple cap, PLUS (2) a bridge of net cash and liquid financial assets (cash, ~2.7% NZL stake at market, outstanding loan advances, net NZFL continuing-involvement receivable) added at the balance-sheet date. The self-contained Waikato investment-property SPV (financed 1:1 by the non-recourse MC Redlands term loan, explicitly disclosed by the company as having 'no exposure to Allied Farmers' beyond the SPV) is excluded from both sides of the bridge as it nets to approximately zero equity value and carries no parent recourse. The $172.4m unrecognised tax-loss pool is treated as call-option memo value, not capitalized in the base case, but its likely near-term utilisation is reflected via a low effective cash tax rate in the base/bull cases (consistent with the $2.740m DTA/tax-benefit already recognised in H1 FY2026), with fuller taxation assumed in the bear case where shareholder-continuity or utilisation is less certain. Historical consolidated revenue/EPS/equity CAGRs are reported for disclosure only and are explicitly NOT used to drive the projections, because they are dominated by the divested NZFL business. This 2026-08-09 refresh re-verified every input against the H1 FY2026 (31-Dec-2025) interim report and the FY2025 annual report segment note directly -- the net cash bridge, NZRLM segment revenue/margins, Parent Operations costs, and total-debt reconciliation all tie out exactly to source, and no FY2026 annual report has yet been released (due on/before 29-Aug-2026) to warrant a change in the balance-sheet date. No inputs changed from the 2026-08-08 build; this file supersedes it with confirmatory re-verification.</t>
        </is>
      </c>
    </row>
    <row r="28"/>
    <row r="29"/>
    <row r="30"/>
    <row r="31"/>
    <row r="32"/>
    <row r="33"/>
    <row r="34"/>
    <row r="35"/>
    <row r="36"/>
    <row r="37"/>
    <row r="38"/>
    <row r="39"/>
    <row r="40"/>
    <row r="41"/>
    <row r="42"/>
    <row r="43"/>
    <row r="44"/>
    <row r="45"/>
  </sheetData>
  <mergeCells count="2">
    <mergeCell ref="A22:H24"/>
    <mergeCell ref="A27:H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0" customWidth="1" min="1" max="1"/>
    <col width="14" customWidth="1" min="2" max="2"/>
    <col width="70" customWidth="1" min="3" max="3"/>
  </cols>
  <sheetData>
    <row r="1">
      <c r="A1" s="1" t="inlineStr">
        <is>
          <t>WACC Build-Up (%)</t>
        </is>
      </c>
    </row>
    <row r="3">
      <c r="A3" s="6" t="inlineStr">
        <is>
          <t>Component</t>
        </is>
      </c>
      <c r="B3" s="6" t="inlineStr">
        <is>
          <t>Value (%)</t>
        </is>
      </c>
      <c r="C3" s="6" t="inlineStr">
        <is>
          <t>Note</t>
        </is>
      </c>
    </row>
    <row r="4">
      <c r="A4" t="inlineStr">
        <is>
          <t>Risk-free rate</t>
        </is>
      </c>
      <c r="B4" s="14" t="n">
        <v>4.5</v>
      </c>
    </row>
    <row r="5">
      <c r="A5" t="inlineStr">
        <is>
          <t>Equity risk premium</t>
        </is>
      </c>
      <c r="B5" s="14" t="n">
        <v>5.5</v>
      </c>
    </row>
    <row r="6">
      <c r="A6" t="inlineStr">
        <is>
          <t>Beta</t>
        </is>
      </c>
      <c r="B6" s="14" t="n">
        <v>0.9</v>
      </c>
    </row>
    <row r="7">
      <c r="A7" s="7" t="inlineStr">
        <is>
          <t>Base cost of equity (= risk-free + beta x ERP)</t>
        </is>
      </c>
      <c r="B7" s="15">
        <f>B4+B6*B5</f>
        <v/>
      </c>
    </row>
    <row r="8">
      <c r="A8" t="inlineStr">
        <is>
          <t>Illiquidity premium</t>
        </is>
      </c>
      <c r="B8" s="14" t="n">
        <v>2.25</v>
      </c>
      <c r="C8" s="13" t="inlineStr">
        <is>
          <t>Market cap ~NZ$17.3m at current price; extremely thin trading, concentrated register (WAF Ltd 19.99%, Rem Trustee 12.45%, MD Milsom ~15.8%)</t>
        </is>
      </c>
    </row>
    <row r="9">
      <c r="A9" t="inlineStr">
        <is>
          <t>Concentration premium</t>
        </is>
      </c>
      <c r="B9" s="14" t="n">
        <v>2.25</v>
      </c>
      <c r="C9" s="13" t="inlineStr">
        <is>
          <t>NZRLM's fee income depends almost entirely on a single external counterparty (NZL); mandate loss, internalisation or renegotiation risk (NZL's Feb-2026 KPMG capital review is a live example of fee-structure review, and NZL director Christopher Swasbrook's April-2026 board resignation plus an ongoing Propero board review at NZL are governance changes at the client entity worth monitoring, though neither has been linked to any change in the NZRLM mandate to date)</t>
        </is>
      </c>
    </row>
    <row r="10">
      <c r="A10" t="inlineStr">
        <is>
          <t>Transition/execution premium</t>
        </is>
      </c>
      <c r="B10" s="14" t="n">
        <v>2</v>
      </c>
      <c r="C10" s="13" t="inlineStr">
        <is>
          <t>Business model in transition post-NZFL divestment; continuing operations currently loss-making (H1 FY2026 pre-tax loss $0.517m, and the Parent Operations segment alone ran a larger annualized loss than FY2025's full year once NZFL-sale transaction and finance costs are included); no committed redeployment pipeline disclosed for the freed sale proceeds/cash as of Aug-2026</t>
        </is>
      </c>
    </row>
    <row r="11">
      <c r="A11" s="7" t="inlineStr">
        <is>
          <t>WACC — base</t>
        </is>
      </c>
      <c r="B11" s="15">
        <f>B7+B8+B9+B10</f>
        <v/>
      </c>
    </row>
    <row r="12">
      <c r="A12" t="inlineStr">
        <is>
          <t>WACC — bull</t>
        </is>
      </c>
      <c r="B12" s="14" t="n">
        <v>14.95</v>
      </c>
      <c r="C12" t="inlineStr">
        <is>
          <t>Lower than base once redeployment execution is proven and NZRLM/NZL growth is validated</t>
        </is>
      </c>
    </row>
    <row r="13">
      <c r="A13" t="inlineStr">
        <is>
          <t>WACC — bear</t>
        </is>
      </c>
      <c r="B13" s="14" t="n">
        <v>17.45</v>
      </c>
      <c r="C13" t="inlineStr">
        <is>
          <t>Higher than base once concentration/transition risks have crystallized</t>
        </is>
      </c>
    </row>
    <row r="15">
      <c r="A15" s="7" t="inlineStr">
        <is>
          <t>Re-verification note (2026-08-09)</t>
        </is>
      </c>
    </row>
    <row r="16" ht="200" customHeight="1">
      <c r="A16" s="13" t="inlineStr">
        <is>
          <t>Re-checked 2026-08-09: continuing operations remain loss-making at the segment level (H1 FY2026 Parent Operations PBT of -$1.146m annualizes to roughly -$2.3m, worse than FY2025's full-year -$1.105m, largely reflecting one-off NZFL-sale transaction costs and MC Redlands finance costs during the transition half), and no committed redeployment pipeline for the ~$8.2m of freed capital has been disclosed. All three WACC premiums (illiquidity, concentration, transition/execution) remain justified and are held unchanged from the 2026-08-08 build; there is no new information supporting a reduction.</t>
        </is>
      </c>
    </row>
    <row r="17"/>
    <row r="18"/>
    <row r="19"/>
    <row r="20"/>
  </sheetData>
  <mergeCells count="1">
    <mergeCell ref="A16:F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s>
  <sheetData>
    <row r="1">
      <c r="A1" s="1" t="inlineStr">
        <is>
          <t>Base Case — Continuing-Operations DCF ($m)</t>
        </is>
      </c>
    </row>
    <row r="2">
      <c r="A2" s="2" t="inlineStr">
        <is>
          <t>Gray cells are INPUTS. NZRLM revenue grows off the normalized 3-period base; PBT margin, parent-ops cost, redeployment income, and tax rate all ramp per assumptions below.</t>
        </is>
      </c>
    </row>
    <row r="3">
      <c r="A3" s="6" t="inlineStr">
        <is>
          <t>Line</t>
        </is>
      </c>
      <c r="B3" s="6" t="inlineStr">
        <is>
          <t>FY2027</t>
        </is>
      </c>
      <c r="C3" s="6" t="inlineStr">
        <is>
          <t>FY2028</t>
        </is>
      </c>
      <c r="D3" s="6" t="inlineStr">
        <is>
          <t>FY2029</t>
        </is>
      </c>
      <c r="E3" s="6" t="inlineStr">
        <is>
          <t>FY2030</t>
        </is>
      </c>
      <c r="F3" s="6" t="inlineStr">
        <is>
          <t>FY2031</t>
        </is>
      </c>
    </row>
    <row r="5">
      <c r="A5" t="inlineStr">
        <is>
          <t>NZRLM revenue base ($m, normalized)</t>
        </is>
      </c>
      <c r="B5" s="5" t="n">
        <v>3.057</v>
      </c>
    </row>
    <row r="6">
      <c r="A6" t="inlineStr">
        <is>
          <t>NZRLM revenue growth (%)</t>
        </is>
      </c>
      <c r="B6" s="16" t="n">
        <v>0.04</v>
      </c>
      <c r="C6" s="16" t="n">
        <v>0.05</v>
      </c>
      <c r="D6" s="16" t="n">
        <v>0.05</v>
      </c>
      <c r="E6" s="16" t="n">
        <v>0.05</v>
      </c>
      <c r="F6" s="16" t="n">
        <v>0.05</v>
      </c>
    </row>
    <row r="7">
      <c r="A7" t="inlineStr">
        <is>
          <t>NZRLM PBT margin (%)</t>
        </is>
      </c>
      <c r="B7" s="16" t="n">
        <v>0.44</v>
      </c>
      <c r="C7" s="16" t="n">
        <v>0.45</v>
      </c>
      <c r="D7" s="16" t="n">
        <v>0.45</v>
      </c>
      <c r="E7" s="16" t="n">
        <v>0.46</v>
      </c>
      <c r="F7" s="16" t="n">
        <v>0.46</v>
      </c>
    </row>
    <row r="8">
      <c r="A8" t="inlineStr">
        <is>
          <t>Parent Ops cost ($m/yr)</t>
        </is>
      </c>
      <c r="B8" s="5" t="n">
        <v>-1.05</v>
      </c>
      <c r="C8" s="5" t="n">
        <v>-1.05</v>
      </c>
      <c r="D8" s="5" t="n">
        <v>-1.05</v>
      </c>
      <c r="E8" s="5" t="n">
        <v>-1.05</v>
      </c>
      <c r="F8" s="5" t="n">
        <v>-1.05</v>
      </c>
    </row>
    <row r="9">
      <c r="A9" t="inlineStr">
        <is>
          <t>Redeployable capital ($m)</t>
        </is>
      </c>
      <c r="B9" s="5" t="n">
        <v>8.199999999999999</v>
      </c>
    </row>
    <row r="10">
      <c r="A10" t="inlineStr">
        <is>
          <t>Redeploy yield (%)</t>
        </is>
      </c>
      <c r="B10" s="16" t="n">
        <v>0.06</v>
      </c>
    </row>
    <row r="11">
      <c r="A11" t="inlineStr">
        <is>
          <t>Redeploy deployment ramp (%)</t>
        </is>
      </c>
      <c r="B11" s="16" t="n">
        <v>0.7</v>
      </c>
      <c r="C11" s="16" t="n">
        <v>1</v>
      </c>
      <c r="D11" s="16" t="n">
        <v>1</v>
      </c>
      <c r="E11" s="16" t="n">
        <v>1</v>
      </c>
      <c r="F11" s="16" t="n">
        <v>1</v>
      </c>
    </row>
    <row r="12">
      <c r="A12" t="inlineStr">
        <is>
          <t>Effective cash tax rate (%)</t>
        </is>
      </c>
      <c r="B12" s="16" t="n">
        <v>0.05</v>
      </c>
      <c r="C12" s="16" t="n">
        <v>0.06</v>
      </c>
      <c r="D12" s="16" t="n">
        <v>0.07000000000000001</v>
      </c>
      <c r="E12" s="16" t="n">
        <v>0.08</v>
      </c>
      <c r="F12" s="16" t="n">
        <v>0.09</v>
      </c>
    </row>
    <row r="14">
      <c r="A14" t="inlineStr">
        <is>
          <t>WACC (%)</t>
        </is>
      </c>
      <c r="B14" s="17">
        <f>WACC!$B$11</f>
        <v/>
      </c>
    </row>
    <row r="15">
      <c r="A15" t="inlineStr">
        <is>
          <t>Terminal growth (%)</t>
        </is>
      </c>
      <c r="B15" s="18" t="n">
        <v>2</v>
      </c>
    </row>
    <row r="16">
      <c r="A16" t="inlineStr">
        <is>
          <t>Terminal cap multiple (x)</t>
        </is>
      </c>
      <c r="B16" s="19" t="n">
        <v>15</v>
      </c>
    </row>
    <row r="18">
      <c r="A18" t="inlineStr">
        <is>
          <t>NZRLM revenue</t>
        </is>
      </c>
      <c r="B18" s="20">
        <f>$B$5*(1+B6)</f>
        <v/>
      </c>
      <c r="C18" s="20">
        <f>B18*(1+C6)</f>
        <v/>
      </c>
      <c r="D18" s="20">
        <f>C18*(1+D6)</f>
        <v/>
      </c>
      <c r="E18" s="20">
        <f>D18*(1+E6)</f>
        <v/>
      </c>
      <c r="F18" s="20">
        <f>E18*(1+F6)</f>
        <v/>
      </c>
    </row>
    <row r="19">
      <c r="A19" t="inlineStr">
        <is>
          <t>NZRLM PBT</t>
        </is>
      </c>
      <c r="B19" s="20">
        <f>B18*B7</f>
        <v/>
      </c>
      <c r="C19" s="20">
        <f>C18*C7</f>
        <v/>
      </c>
      <c r="D19" s="20">
        <f>D18*D7</f>
        <v/>
      </c>
      <c r="E19" s="20">
        <f>E18*E7</f>
        <v/>
      </c>
      <c r="F19" s="20">
        <f>F18*F7</f>
        <v/>
      </c>
    </row>
    <row r="20">
      <c r="A20" t="inlineStr">
        <is>
          <t>Parent ops cost</t>
        </is>
      </c>
      <c r="B20" s="20">
        <f>B8</f>
        <v/>
      </c>
      <c r="C20" s="20">
        <f>C8</f>
        <v/>
      </c>
      <c r="D20" s="20">
        <f>D8</f>
        <v/>
      </c>
      <c r="E20" s="20">
        <f>E8</f>
        <v/>
      </c>
      <c r="F20" s="20">
        <f>F8</f>
        <v/>
      </c>
    </row>
    <row r="21">
      <c r="A21" t="inlineStr">
        <is>
          <t>Redeployment investment income</t>
        </is>
      </c>
      <c r="B21" s="20">
        <f>$B$9*$B$10*B11</f>
        <v/>
      </c>
      <c r="C21" s="20">
        <f>$B$9*$B$10*C11</f>
        <v/>
      </c>
      <c r="D21" s="20">
        <f>$B$9*$B$10*D11</f>
        <v/>
      </c>
      <c r="E21" s="20">
        <f>$B$9*$B$10*E11</f>
        <v/>
      </c>
      <c r="F21" s="20">
        <f>$B$9*$B$10*F11</f>
        <v/>
      </c>
    </row>
    <row r="22">
      <c r="A22" t="inlineStr">
        <is>
          <t>Combined pre-tax income</t>
        </is>
      </c>
      <c r="B22" s="20">
        <f>B19+B20+B21</f>
        <v/>
      </c>
      <c r="C22" s="20">
        <f>C19+C20+C21</f>
        <v/>
      </c>
      <c r="D22" s="20">
        <f>D19+D20+D21</f>
        <v/>
      </c>
      <c r="E22" s="20">
        <f>E19+E20+E21</f>
        <v/>
      </c>
      <c r="F22" s="20">
        <f>F19+F20+F21</f>
        <v/>
      </c>
    </row>
    <row r="23">
      <c r="A23" t="inlineStr">
        <is>
          <t>NOPAT / Owner FCF</t>
        </is>
      </c>
      <c r="B23" s="20">
        <f>B22*(1-B12)</f>
        <v/>
      </c>
      <c r="C23" s="20">
        <f>C22*(1-C12)</f>
        <v/>
      </c>
      <c r="D23" s="20">
        <f>D22*(1-D12)</f>
        <v/>
      </c>
      <c r="E23" s="20">
        <f>E22*(1-E12)</f>
        <v/>
      </c>
      <c r="F23" s="20">
        <f>F22*(1-F12)</f>
        <v/>
      </c>
    </row>
    <row r="24">
      <c r="A24" t="inlineStr">
        <is>
          <t>Discount factor</t>
        </is>
      </c>
      <c r="B24" s="20">
        <f>1/(1+$B$14/100)^1</f>
        <v/>
      </c>
      <c r="C24" s="20">
        <f>1/(1+$B$14/100)^2</f>
        <v/>
      </c>
      <c r="D24" s="20">
        <f>1/(1+$B$14/100)^3</f>
        <v/>
      </c>
      <c r="E24" s="20">
        <f>1/(1+$B$14/100)^4</f>
        <v/>
      </c>
      <c r="F24" s="20">
        <f>1/(1+$B$14/100)^5</f>
        <v/>
      </c>
    </row>
    <row r="25">
      <c r="A25" t="inlineStr">
        <is>
          <t>PV of FCF</t>
        </is>
      </c>
      <c r="B25" s="20">
        <f>B23*B24</f>
        <v/>
      </c>
      <c r="C25" s="20">
        <f>C23*C24</f>
        <v/>
      </c>
      <c r="D25" s="20">
        <f>D23*D24</f>
        <v/>
      </c>
      <c r="E25" s="20">
        <f>E23*E24</f>
        <v/>
      </c>
      <c r="F25" s="20">
        <f>F23*F24</f>
        <v/>
      </c>
    </row>
    <row r="27">
      <c r="A27" t="inlineStr">
        <is>
          <t>Sum PV of FCF</t>
        </is>
      </c>
      <c r="B27" s="20">
        <f>SUM(B25:F25)</f>
        <v/>
      </c>
    </row>
    <row r="28">
      <c r="A28" t="inlineStr">
        <is>
          <t>Terminal FCF (yr 5)</t>
        </is>
      </c>
      <c r="B28" s="20">
        <f>F23</f>
        <v/>
      </c>
    </row>
    <row r="29">
      <c r="A29" t="inlineStr">
        <is>
          <t>Gordon terminal value</t>
        </is>
      </c>
      <c r="B29" s="20">
        <f>B28*(1+B15/100)/(B14/100-B15/100)</f>
        <v/>
      </c>
    </row>
    <row r="30">
      <c r="A30" t="inlineStr">
        <is>
          <t>Cap terminal value</t>
        </is>
      </c>
      <c r="B30" s="20">
        <f>B28*B16</f>
        <v/>
      </c>
    </row>
    <row r="31">
      <c r="A31" t="inlineStr">
        <is>
          <t>Terminal value (lower of Gordon / cap)</t>
        </is>
      </c>
      <c r="B31" s="20">
        <f>MIN(B29,B30)</f>
        <v/>
      </c>
    </row>
    <row r="32">
      <c r="A32" t="inlineStr">
        <is>
          <t>Terminal bound</t>
        </is>
      </c>
      <c r="B32">
        <f>IF(B31=B29,"gordon","cap")</f>
        <v/>
      </c>
    </row>
    <row r="33">
      <c r="A33" t="inlineStr">
        <is>
          <t>PV of terminal value</t>
        </is>
      </c>
      <c r="B33" s="20">
        <f>B31*F24</f>
        <v/>
      </c>
    </row>
    <row r="34">
      <c r="A34" t="inlineStr">
        <is>
          <t>Enterprise value (continuing ops)</t>
        </is>
      </c>
      <c r="B34" s="20">
        <f>B27+B33</f>
        <v/>
      </c>
    </row>
    <row r="35">
      <c r="A35" t="inlineStr">
        <is>
          <t>Less net debt (add net cash)</t>
        </is>
      </c>
      <c r="B35" s="20">
        <f>-Summary!B7</f>
        <v/>
      </c>
    </row>
    <row r="36">
      <c r="A36" t="inlineStr">
        <is>
          <t>Equity value</t>
        </is>
      </c>
      <c r="B36" s="20">
        <f>B34+B35</f>
        <v/>
      </c>
    </row>
    <row r="37">
      <c r="A37" s="7" t="inlineStr">
        <is>
          <t>Intrinsic value / share</t>
        </is>
      </c>
      <c r="B37" s="11">
        <f>B36/Summary!B6</f>
        <v/>
      </c>
    </row>
    <row r="38">
      <c r="A38" t="inlineStr">
        <is>
          <t>Upside vs current (%)</t>
        </is>
      </c>
      <c r="B38" s="9">
        <f>(B37-Summary!B5)/Summary!B5*100</f>
        <v/>
      </c>
    </row>
    <row r="39">
      <c r="A39" t="inlineStr">
        <is>
          <t>Terminal % of enterprise value</t>
        </is>
      </c>
      <c r="B39" s="9">
        <f>B33/B34*100</f>
        <v/>
      </c>
    </row>
    <row r="40">
      <c r="A40" t="inlineStr">
        <is>
          <t>Implied exit multiple (TV/FCF5)</t>
        </is>
      </c>
      <c r="B40" s="21">
        <f>B31/B28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s>
  <sheetData>
    <row r="1">
      <c r="A1" s="1" t="inlineStr">
        <is>
          <t>Bull Case — Continuing-Operations DCF ($m)</t>
        </is>
      </c>
    </row>
    <row r="3">
      <c r="A3" s="6" t="inlineStr">
        <is>
          <t>Line</t>
        </is>
      </c>
      <c r="B3" s="6" t="inlineStr">
        <is>
          <t>FY2027</t>
        </is>
      </c>
      <c r="C3" s="6" t="inlineStr">
        <is>
          <t>FY2028</t>
        </is>
      </c>
      <c r="D3" s="6" t="inlineStr">
        <is>
          <t>FY2029</t>
        </is>
      </c>
      <c r="E3" s="6" t="inlineStr">
        <is>
          <t>FY2030</t>
        </is>
      </c>
      <c r="F3" s="6" t="inlineStr">
        <is>
          <t>FY2031</t>
        </is>
      </c>
    </row>
    <row r="5">
      <c r="A5" t="inlineStr">
        <is>
          <t>NZRLM revenue base ($m, normalized)</t>
        </is>
      </c>
      <c r="B5" s="20">
        <f>DCF_Base!B5</f>
        <v/>
      </c>
    </row>
    <row r="6">
      <c r="A6" t="inlineStr">
        <is>
          <t>NZRLM revenue growth (%)</t>
        </is>
      </c>
      <c r="B6" s="16" t="n">
        <v>0.08</v>
      </c>
      <c r="C6" s="16" t="n">
        <v>0.1</v>
      </c>
      <c r="D6" s="16" t="n">
        <v>0.1</v>
      </c>
      <c r="E6" s="16" t="n">
        <v>0.09</v>
      </c>
      <c r="F6" s="16" t="n">
        <v>0.08</v>
      </c>
    </row>
    <row r="7">
      <c r="A7" t="inlineStr">
        <is>
          <t>NZRLM PBT margin (%)</t>
        </is>
      </c>
      <c r="B7" s="16" t="n">
        <v>0.46</v>
      </c>
      <c r="C7" s="16" t="n">
        <v>0.48</v>
      </c>
      <c r="D7" s="16" t="n">
        <v>0.49</v>
      </c>
      <c r="E7" s="16" t="n">
        <v>0.5</v>
      </c>
      <c r="F7" s="16" t="n">
        <v>0.5</v>
      </c>
    </row>
    <row r="8">
      <c r="A8" t="inlineStr">
        <is>
          <t>Parent Ops cost ($m/yr)</t>
        </is>
      </c>
      <c r="B8" s="5" t="n">
        <v>-0.9</v>
      </c>
      <c r="C8" s="5" t="n">
        <v>-0.9</v>
      </c>
      <c r="D8" s="5" t="n">
        <v>-0.9</v>
      </c>
      <c r="E8" s="5" t="n">
        <v>-0.9</v>
      </c>
      <c r="F8" s="5" t="n">
        <v>-0.9</v>
      </c>
    </row>
    <row r="9">
      <c r="A9" t="inlineStr">
        <is>
          <t>Redeployable capital ($m)</t>
        </is>
      </c>
      <c r="B9" s="5" t="n">
        <v>8.199999999999999</v>
      </c>
    </row>
    <row r="10">
      <c r="A10" t="inlineStr">
        <is>
          <t>Redeploy yield (%)</t>
        </is>
      </c>
      <c r="B10" s="16" t="n">
        <v>0.08</v>
      </c>
    </row>
    <row r="11">
      <c r="A11" t="inlineStr">
        <is>
          <t>Redeploy deployment ramp (%)</t>
        </is>
      </c>
      <c r="B11" s="16" t="n">
        <v>0.8</v>
      </c>
      <c r="C11" s="16" t="n">
        <v>1</v>
      </c>
      <c r="D11" s="16" t="n">
        <v>1</v>
      </c>
      <c r="E11" s="16" t="n">
        <v>1</v>
      </c>
      <c r="F11" s="16" t="n">
        <v>1</v>
      </c>
    </row>
    <row r="12">
      <c r="A12" t="inlineStr">
        <is>
          <t>Effective cash tax rate (%)</t>
        </is>
      </c>
      <c r="B12" s="16" t="n">
        <v>0</v>
      </c>
      <c r="C12" s="16" t="n">
        <v>0</v>
      </c>
      <c r="D12" s="16" t="n">
        <v>0.02</v>
      </c>
      <c r="E12" s="16" t="n">
        <v>0.04</v>
      </c>
      <c r="F12" s="16" t="n">
        <v>0.05</v>
      </c>
    </row>
    <row r="14">
      <c r="A14" t="inlineStr">
        <is>
          <t>WACC (%)</t>
        </is>
      </c>
      <c r="B14" s="17">
        <f>WACC!$B$12</f>
        <v/>
      </c>
    </row>
    <row r="15">
      <c r="A15" t="inlineStr">
        <is>
          <t>Terminal growth (%)</t>
        </is>
      </c>
      <c r="B15" s="18" t="n">
        <v>2.5</v>
      </c>
    </row>
    <row r="16">
      <c r="A16" t="inlineStr">
        <is>
          <t>Terminal cap multiple (x)</t>
        </is>
      </c>
      <c r="B16" s="19" t="n">
        <v>16</v>
      </c>
    </row>
    <row r="18">
      <c r="A18" t="inlineStr">
        <is>
          <t>NZRLM revenue</t>
        </is>
      </c>
      <c r="B18" s="20">
        <f>$B$5*(1+B6)</f>
        <v/>
      </c>
      <c r="C18" s="20">
        <f>B18*(1+C6)</f>
        <v/>
      </c>
      <c r="D18" s="20">
        <f>C18*(1+D6)</f>
        <v/>
      </c>
      <c r="E18" s="20">
        <f>D18*(1+E6)</f>
        <v/>
      </c>
      <c r="F18" s="20">
        <f>E18*(1+F6)</f>
        <v/>
      </c>
    </row>
    <row r="19">
      <c r="A19" t="inlineStr">
        <is>
          <t>NZRLM PBT</t>
        </is>
      </c>
      <c r="B19" s="20">
        <f>B18*B7</f>
        <v/>
      </c>
      <c r="C19" s="20">
        <f>C18*C7</f>
        <v/>
      </c>
      <c r="D19" s="20">
        <f>D18*D7</f>
        <v/>
      </c>
      <c r="E19" s="20">
        <f>E18*E7</f>
        <v/>
      </c>
      <c r="F19" s="20">
        <f>F18*F7</f>
        <v/>
      </c>
    </row>
    <row r="20">
      <c r="A20" t="inlineStr">
        <is>
          <t>Parent ops cost</t>
        </is>
      </c>
      <c r="B20" s="20">
        <f>B8</f>
        <v/>
      </c>
      <c r="C20" s="20">
        <f>C8</f>
        <v/>
      </c>
      <c r="D20" s="20">
        <f>D8</f>
        <v/>
      </c>
      <c r="E20" s="20">
        <f>E8</f>
        <v/>
      </c>
      <c r="F20" s="20">
        <f>F8</f>
        <v/>
      </c>
    </row>
    <row r="21">
      <c r="A21" t="inlineStr">
        <is>
          <t>Redeployment investment income</t>
        </is>
      </c>
      <c r="B21" s="20">
        <f>$B$9*$B$10*B11</f>
        <v/>
      </c>
      <c r="C21" s="20">
        <f>$B$9*$B$10*C11</f>
        <v/>
      </c>
      <c r="D21" s="20">
        <f>$B$9*$B$10*D11</f>
        <v/>
      </c>
      <c r="E21" s="20">
        <f>$B$9*$B$10*E11</f>
        <v/>
      </c>
      <c r="F21" s="20">
        <f>$B$9*$B$10*F11</f>
        <v/>
      </c>
    </row>
    <row r="22">
      <c r="A22" t="inlineStr">
        <is>
          <t>Combined pre-tax income</t>
        </is>
      </c>
      <c r="B22" s="20">
        <f>B19+B20+B21</f>
        <v/>
      </c>
      <c r="C22" s="20">
        <f>C19+C20+C21</f>
        <v/>
      </c>
      <c r="D22" s="20">
        <f>D19+D20+D21</f>
        <v/>
      </c>
      <c r="E22" s="20">
        <f>E19+E20+E21</f>
        <v/>
      </c>
      <c r="F22" s="20">
        <f>F19+F20+F21</f>
        <v/>
      </c>
    </row>
    <row r="23">
      <c r="A23" t="inlineStr">
        <is>
          <t>NOPAT / Owner FCF</t>
        </is>
      </c>
      <c r="B23" s="20">
        <f>B22*(1-B12)</f>
        <v/>
      </c>
      <c r="C23" s="20">
        <f>C22*(1-C12)</f>
        <v/>
      </c>
      <c r="D23" s="20">
        <f>D22*(1-D12)</f>
        <v/>
      </c>
      <c r="E23" s="20">
        <f>E22*(1-E12)</f>
        <v/>
      </c>
      <c r="F23" s="20">
        <f>F22*(1-F12)</f>
        <v/>
      </c>
    </row>
    <row r="24">
      <c r="A24" t="inlineStr">
        <is>
          <t>Discount factor</t>
        </is>
      </c>
      <c r="B24" s="20">
        <f>1/(1+$B$14/100)^1</f>
        <v/>
      </c>
      <c r="C24" s="20">
        <f>1/(1+$B$14/100)^2</f>
        <v/>
      </c>
      <c r="D24" s="20">
        <f>1/(1+$B$14/100)^3</f>
        <v/>
      </c>
      <c r="E24" s="20">
        <f>1/(1+$B$14/100)^4</f>
        <v/>
      </c>
      <c r="F24" s="20">
        <f>1/(1+$B$14/100)^5</f>
        <v/>
      </c>
    </row>
    <row r="25">
      <c r="A25" t="inlineStr">
        <is>
          <t>PV of FCF</t>
        </is>
      </c>
      <c r="B25" s="20">
        <f>B23*B24</f>
        <v/>
      </c>
      <c r="C25" s="20">
        <f>C23*C24</f>
        <v/>
      </c>
      <c r="D25" s="20">
        <f>D23*D24</f>
        <v/>
      </c>
      <c r="E25" s="20">
        <f>E23*E24</f>
        <v/>
      </c>
      <c r="F25" s="20">
        <f>F23*F24</f>
        <v/>
      </c>
    </row>
    <row r="27">
      <c r="A27" t="inlineStr">
        <is>
          <t>Sum PV of FCF</t>
        </is>
      </c>
      <c r="B27" s="20">
        <f>SUM(B25:F25)</f>
        <v/>
      </c>
    </row>
    <row r="28">
      <c r="A28" t="inlineStr">
        <is>
          <t>Terminal FCF (yr 5)</t>
        </is>
      </c>
      <c r="B28" s="20">
        <f>F23</f>
        <v/>
      </c>
    </row>
    <row r="29">
      <c r="A29" t="inlineStr">
        <is>
          <t>Gordon terminal value</t>
        </is>
      </c>
      <c r="B29" s="20">
        <f>B28*(1+B15/100)/(B14/100-B15/100)</f>
        <v/>
      </c>
    </row>
    <row r="30">
      <c r="A30" t="inlineStr">
        <is>
          <t>Cap terminal value</t>
        </is>
      </c>
      <c r="B30" s="20">
        <f>B28*B16</f>
        <v/>
      </c>
    </row>
    <row r="31">
      <c r="A31" t="inlineStr">
        <is>
          <t>Terminal value (lower of Gordon / cap)</t>
        </is>
      </c>
      <c r="B31" s="20">
        <f>MIN(B29,B30)</f>
        <v/>
      </c>
    </row>
    <row r="32">
      <c r="A32" t="inlineStr">
        <is>
          <t>Terminal bound</t>
        </is>
      </c>
      <c r="B32">
        <f>IF(B31=B29,"gordon","cap")</f>
        <v/>
      </c>
    </row>
    <row r="33">
      <c r="A33" t="inlineStr">
        <is>
          <t>PV of terminal value</t>
        </is>
      </c>
      <c r="B33" s="20">
        <f>B31*F24</f>
        <v/>
      </c>
    </row>
    <row r="34">
      <c r="A34" t="inlineStr">
        <is>
          <t>Enterprise value (continuing ops)</t>
        </is>
      </c>
      <c r="B34" s="20">
        <f>B27+B33</f>
        <v/>
      </c>
    </row>
    <row r="35">
      <c r="A35" t="inlineStr">
        <is>
          <t>Less net debt (add net cash)</t>
        </is>
      </c>
      <c r="B35" s="20">
        <f>-Summary!B7</f>
        <v/>
      </c>
    </row>
    <row r="36">
      <c r="A36" t="inlineStr">
        <is>
          <t>Equity value</t>
        </is>
      </c>
      <c r="B36" s="20">
        <f>B34+B35</f>
        <v/>
      </c>
    </row>
    <row r="37">
      <c r="A37" s="7" t="inlineStr">
        <is>
          <t>Intrinsic value / share</t>
        </is>
      </c>
      <c r="B37" s="11">
        <f>B36/Summary!B6</f>
        <v/>
      </c>
    </row>
    <row r="38">
      <c r="A38" t="inlineStr">
        <is>
          <t>Upside vs current (%)</t>
        </is>
      </c>
      <c r="B38" s="9">
        <f>(B37-Summary!B5)/Summary!B5*100</f>
        <v/>
      </c>
    </row>
    <row r="39">
      <c r="A39" t="inlineStr">
        <is>
          <t>Terminal % of enterprise value</t>
        </is>
      </c>
      <c r="B39" s="9">
        <f>B33/B34*100</f>
        <v/>
      </c>
    </row>
    <row r="40">
      <c r="A40" t="inlineStr">
        <is>
          <t>Implied exit multiple (TV/FCF5)</t>
        </is>
      </c>
      <c r="B40" s="21">
        <f>B31/B28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s>
  <sheetData>
    <row r="1">
      <c r="A1" s="1" t="inlineStr">
        <is>
          <t>Bear Case — Continuing-Operations DCF ($m)</t>
        </is>
      </c>
    </row>
    <row r="2">
      <c r="A2" s="2" t="inlineStr">
        <is>
          <t>Terminal value is FLOORED AT ZERO because year-5 FCF is negative in this scenario (see B31 formula) — a negative Gordon perpetuity is not meaningful.</t>
        </is>
      </c>
    </row>
    <row r="3">
      <c r="A3" s="6" t="inlineStr">
        <is>
          <t>Line</t>
        </is>
      </c>
      <c r="B3" s="6" t="inlineStr">
        <is>
          <t>FY2027</t>
        </is>
      </c>
      <c r="C3" s="6" t="inlineStr">
        <is>
          <t>FY2028</t>
        </is>
      </c>
      <c r="D3" s="6" t="inlineStr">
        <is>
          <t>FY2029</t>
        </is>
      </c>
      <c r="E3" s="6" t="inlineStr">
        <is>
          <t>FY2030</t>
        </is>
      </c>
      <c r="F3" s="6" t="inlineStr">
        <is>
          <t>FY2031</t>
        </is>
      </c>
    </row>
    <row r="5">
      <c r="A5" t="inlineStr">
        <is>
          <t>NZRLM revenue base ($m, normalized)</t>
        </is>
      </c>
      <c r="B5" s="20">
        <f>DCF_Base!B5</f>
        <v/>
      </c>
    </row>
    <row r="6">
      <c r="A6" t="inlineStr">
        <is>
          <t>NZRLM revenue growth (%)</t>
        </is>
      </c>
      <c r="B6" s="16" t="n">
        <v>-0.05</v>
      </c>
      <c r="C6" s="16" t="n">
        <v>0</v>
      </c>
      <c r="D6" s="16" t="n">
        <v>0</v>
      </c>
      <c r="E6" s="16" t="n">
        <v>0.01</v>
      </c>
      <c r="F6" s="16" t="n">
        <v>0.01</v>
      </c>
    </row>
    <row r="7">
      <c r="A7" t="inlineStr">
        <is>
          <t>NZRLM PBT margin (%)</t>
        </is>
      </c>
      <c r="B7" s="16" t="n">
        <v>0.38</v>
      </c>
      <c r="C7" s="16" t="n">
        <v>0.36</v>
      </c>
      <c r="D7" s="16" t="n">
        <v>0.35</v>
      </c>
      <c r="E7" s="16" t="n">
        <v>0.35</v>
      </c>
      <c r="F7" s="16" t="n">
        <v>0.35</v>
      </c>
    </row>
    <row r="8">
      <c r="A8" t="inlineStr">
        <is>
          <t>Parent Ops cost ($m/yr)</t>
        </is>
      </c>
      <c r="B8" s="5" t="n">
        <v>-1.3</v>
      </c>
      <c r="C8" s="5" t="n">
        <v>-1.3</v>
      </c>
      <c r="D8" s="5" t="n">
        <v>-1.3</v>
      </c>
      <c r="E8" s="5" t="n">
        <v>-1.3</v>
      </c>
      <c r="F8" s="5" t="n">
        <v>-1.3</v>
      </c>
    </row>
    <row r="9">
      <c r="A9" t="inlineStr">
        <is>
          <t>Redeployable capital ($m)</t>
        </is>
      </c>
      <c r="B9" s="5" t="n">
        <v>8.199999999999999</v>
      </c>
    </row>
    <row r="10">
      <c r="A10" t="inlineStr">
        <is>
          <t>Redeploy yield (%)</t>
        </is>
      </c>
      <c r="B10" s="16" t="n">
        <v>0.03</v>
      </c>
    </row>
    <row r="11">
      <c r="A11" t="inlineStr">
        <is>
          <t>Redeploy deployment ramp (%)</t>
        </is>
      </c>
      <c r="B11" s="16" t="n">
        <v>0.35</v>
      </c>
      <c r="C11" s="16" t="n">
        <v>0.5</v>
      </c>
      <c r="D11" s="16" t="n">
        <v>0.65</v>
      </c>
      <c r="E11" s="16" t="n">
        <v>0.8</v>
      </c>
      <c r="F11" s="16" t="n">
        <v>0.95</v>
      </c>
    </row>
    <row r="12">
      <c r="A12" t="inlineStr">
        <is>
          <t>Effective cash tax rate (%) — none assumed on losses</t>
        </is>
      </c>
      <c r="B12" s="16" t="n">
        <v>0</v>
      </c>
      <c r="C12" s="16" t="n">
        <v>0</v>
      </c>
      <c r="D12" s="16" t="n">
        <v>0</v>
      </c>
      <c r="E12" s="16" t="n">
        <v>0</v>
      </c>
      <c r="F12" s="16" t="n">
        <v>0</v>
      </c>
    </row>
    <row r="14">
      <c r="A14" t="inlineStr">
        <is>
          <t>WACC (%)</t>
        </is>
      </c>
      <c r="B14" s="17">
        <f>WACC!$B$13</f>
        <v/>
      </c>
    </row>
    <row r="15">
      <c r="A15" t="inlineStr">
        <is>
          <t>Terminal growth (%) — not used, TV floored at zero</t>
        </is>
      </c>
      <c r="B15" s="18" t="n">
        <v>1</v>
      </c>
    </row>
    <row r="16">
      <c r="A16" t="inlineStr">
        <is>
          <t>Terminal cap multiple (x) — not used, TV floored at zero</t>
        </is>
      </c>
      <c r="B16" s="19" t="n">
        <v>12</v>
      </c>
    </row>
    <row r="18">
      <c r="A18" t="inlineStr">
        <is>
          <t>NZRLM revenue</t>
        </is>
      </c>
      <c r="B18" s="20">
        <f>$B$5*(1+B6)</f>
        <v/>
      </c>
      <c r="C18" s="20">
        <f>B18*(1+C6)</f>
        <v/>
      </c>
      <c r="D18" s="20">
        <f>C18*(1+D6)</f>
        <v/>
      </c>
      <c r="E18" s="20">
        <f>D18*(1+E6)</f>
        <v/>
      </c>
      <c r="F18" s="20">
        <f>E18*(1+F6)</f>
        <v/>
      </c>
    </row>
    <row r="19">
      <c r="A19" t="inlineStr">
        <is>
          <t>NZRLM PBT</t>
        </is>
      </c>
      <c r="B19" s="20">
        <f>B18*B7</f>
        <v/>
      </c>
      <c r="C19" s="20">
        <f>C18*C7</f>
        <v/>
      </c>
      <c r="D19" s="20">
        <f>D18*D7</f>
        <v/>
      </c>
      <c r="E19" s="20">
        <f>E18*E7</f>
        <v/>
      </c>
      <c r="F19" s="20">
        <f>F18*F7</f>
        <v/>
      </c>
    </row>
    <row r="20">
      <c r="A20" t="inlineStr">
        <is>
          <t>Parent ops cost</t>
        </is>
      </c>
      <c r="B20" s="20">
        <f>B8</f>
        <v/>
      </c>
      <c r="C20" s="20">
        <f>C8</f>
        <v/>
      </c>
      <c r="D20" s="20">
        <f>D8</f>
        <v/>
      </c>
      <c r="E20" s="20">
        <f>E8</f>
        <v/>
      </c>
      <c r="F20" s="20">
        <f>F8</f>
        <v/>
      </c>
    </row>
    <row r="21">
      <c r="A21" t="inlineStr">
        <is>
          <t>Redeployment investment income</t>
        </is>
      </c>
      <c r="B21" s="20">
        <f>$B$9*$B$10*B11</f>
        <v/>
      </c>
      <c r="C21" s="20">
        <f>$B$9*$B$10*C11</f>
        <v/>
      </c>
      <c r="D21" s="20">
        <f>$B$9*$B$10*D11</f>
        <v/>
      </c>
      <c r="E21" s="20">
        <f>$B$9*$B$10*E11</f>
        <v/>
      </c>
      <c r="F21" s="20">
        <f>$B$9*$B$10*F11</f>
        <v/>
      </c>
    </row>
    <row r="22">
      <c r="A22" t="inlineStr">
        <is>
          <t>Combined pre-tax income / Owner FCF (no tax benefit on losses)</t>
        </is>
      </c>
      <c r="B22" s="20">
        <f>B19+B20+B21</f>
        <v/>
      </c>
      <c r="C22" s="20">
        <f>C19+C20+C21</f>
        <v/>
      </c>
      <c r="D22" s="20">
        <f>D19+D20+D21</f>
        <v/>
      </c>
      <c r="E22" s="20">
        <f>E19+E20+E21</f>
        <v/>
      </c>
      <c r="F22" s="20">
        <f>F19+F20+F21</f>
        <v/>
      </c>
    </row>
    <row r="23">
      <c r="A23" t="inlineStr">
        <is>
          <t>Discount factor</t>
        </is>
      </c>
      <c r="B23" s="20">
        <f>1/(1+$B$14/100)^1</f>
        <v/>
      </c>
      <c r="C23" s="20">
        <f>1/(1+$B$14/100)^2</f>
        <v/>
      </c>
      <c r="D23" s="20">
        <f>1/(1+$B$14/100)^3</f>
        <v/>
      </c>
      <c r="E23" s="20">
        <f>1/(1+$B$14/100)^4</f>
        <v/>
      </c>
      <c r="F23" s="20">
        <f>1/(1+$B$14/100)^5</f>
        <v/>
      </c>
    </row>
    <row r="24">
      <c r="A24" t="inlineStr">
        <is>
          <t>PV of FCF</t>
        </is>
      </c>
      <c r="B24" s="20">
        <f>B22*B23</f>
        <v/>
      </c>
      <c r="C24" s="20">
        <f>C22*C23</f>
        <v/>
      </c>
      <c r="D24" s="20">
        <f>D22*D23</f>
        <v/>
      </c>
      <c r="E24" s="20">
        <f>E22*E23</f>
        <v/>
      </c>
      <c r="F24" s="20">
        <f>F22*F23</f>
        <v/>
      </c>
    </row>
    <row r="26">
      <c r="A26" t="inlineStr">
        <is>
          <t>Sum PV of FCF</t>
        </is>
      </c>
      <c r="B26" s="20">
        <f>SUM(B24:F24)</f>
        <v/>
      </c>
    </row>
    <row r="27">
      <c r="A27" t="inlineStr">
        <is>
          <t>Terminal FCF (yr 5)</t>
        </is>
      </c>
      <c r="B27" s="20">
        <f>F22</f>
        <v/>
      </c>
    </row>
    <row r="28">
      <c r="A28" t="inlineStr">
        <is>
          <t>Terminal value (floored at zero — see note)</t>
        </is>
      </c>
      <c r="B28" s="20">
        <f>MAX(0,IF(F22&gt;0,MIN(F22*(1+B15/100)/(B14/100-B15/100),F22*B16),0))</f>
        <v/>
      </c>
    </row>
    <row r="29">
      <c r="A29" t="inlineStr">
        <is>
          <t>PV of terminal value</t>
        </is>
      </c>
      <c r="B29" s="20">
        <f>B28*F23</f>
        <v/>
      </c>
    </row>
    <row r="30">
      <c r="A30" t="inlineStr">
        <is>
          <t>Enterprise value (continuing ops)</t>
        </is>
      </c>
      <c r="B30" s="20">
        <f>B26+B29</f>
        <v/>
      </c>
    </row>
    <row r="31">
      <c r="A31" t="inlineStr">
        <is>
          <t>Less net debt (add net cash)</t>
        </is>
      </c>
      <c r="B31" s="20">
        <f>-Summary!B7</f>
        <v/>
      </c>
    </row>
    <row r="32">
      <c r="A32" t="inlineStr">
        <is>
          <t>Equity value</t>
        </is>
      </c>
      <c r="B32" s="20">
        <f>B30+B31</f>
        <v/>
      </c>
    </row>
    <row r="33">
      <c r="A33" s="7" t="inlineStr">
        <is>
          <t>Intrinsic value / share</t>
        </is>
      </c>
      <c r="B33" s="11">
        <f>B32/Summary!B6</f>
        <v/>
      </c>
    </row>
    <row r="34">
      <c r="A34" t="inlineStr">
        <is>
          <t>Upside vs current (%)</t>
        </is>
      </c>
      <c r="B34" s="9">
        <f>(B33-Summary!B5)/Summary!B5*100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6" customWidth="1" min="1" max="1"/>
    <col width="14" customWidth="1" min="2" max="2"/>
  </cols>
  <sheetData>
    <row r="1">
      <c r="A1" s="1" t="inlineStr">
        <is>
          <t>Entry Price — 15% IRR Hurdle (Base Case)</t>
        </is>
      </c>
    </row>
    <row r="2" ht="30" customHeight="1">
      <c r="A2" s="2" t="inlineStr">
        <is>
          <t>Formula: (sum of base-case FCF_t / 1.15^t  for t=1..5  +  base-case Gordon terminal value / 1.15^5  -  net_debt) / shares outstanding. TV uses WACC (fair price a buyer pays at exit); only the discounting back to today uses the 15% hurdle.</t>
        </is>
      </c>
    </row>
    <row r="4">
      <c r="A4" t="inlineStr">
        <is>
          <t>Hurdle rate (%)</t>
        </is>
      </c>
      <c r="B4" s="22" t="n">
        <v>15</v>
      </c>
    </row>
    <row r="6">
      <c r="A6" s="6" t="inlineStr">
        <is>
          <t>Line</t>
        </is>
      </c>
      <c r="B6" s="6" t="inlineStr">
        <is>
          <t>FY2027</t>
        </is>
      </c>
      <c r="C6" s="6" t="inlineStr">
        <is>
          <t>FY2028</t>
        </is>
      </c>
      <c r="D6" s="6" t="inlineStr">
        <is>
          <t>FY2029</t>
        </is>
      </c>
      <c r="E6" s="6" t="inlineStr">
        <is>
          <t>FY2030</t>
        </is>
      </c>
      <c r="F6" s="6" t="inlineStr">
        <is>
          <t>FY2031</t>
        </is>
      </c>
    </row>
    <row r="7">
      <c r="A7" t="inlineStr">
        <is>
          <t>Base-case FCF ($m)</t>
        </is>
      </c>
      <c r="B7" s="20">
        <f>DCF_Base!B23</f>
        <v/>
      </c>
      <c r="C7" s="20">
        <f>DCF_Base!C23</f>
        <v/>
      </c>
      <c r="D7" s="20">
        <f>DCF_Base!D23</f>
        <v/>
      </c>
      <c r="E7" s="20">
        <f>DCF_Base!E23</f>
        <v/>
      </c>
      <c r="F7" s="20">
        <f>DCF_Base!F23</f>
        <v/>
      </c>
    </row>
    <row r="8">
      <c r="A8" t="inlineStr">
        <is>
          <t>Discount factor @ hurdle</t>
        </is>
      </c>
      <c r="B8" s="23">
        <f>1/(1+$B$4/100)^1</f>
        <v/>
      </c>
      <c r="C8" s="23">
        <f>1/(1+$B$4/100)^2</f>
        <v/>
      </c>
      <c r="D8" s="23">
        <f>1/(1+$B$4/100)^3</f>
        <v/>
      </c>
      <c r="E8" s="23">
        <f>1/(1+$B$4/100)^4</f>
        <v/>
      </c>
      <c r="F8" s="23">
        <f>1/(1+$B$4/100)^5</f>
        <v/>
      </c>
    </row>
    <row r="9">
      <c r="A9" t="inlineStr">
        <is>
          <t>PV of FCF @ hurdle</t>
        </is>
      </c>
      <c r="B9" s="20">
        <f>B7*B8</f>
        <v/>
      </c>
      <c r="C9" s="20">
        <f>C7*C8</f>
        <v/>
      </c>
      <c r="D9" s="20">
        <f>D7*D8</f>
        <v/>
      </c>
      <c r="E9" s="20">
        <f>E7*E8</f>
        <v/>
      </c>
      <c r="F9" s="20">
        <f>F7*F8</f>
        <v/>
      </c>
    </row>
    <row r="11">
      <c r="A11" t="inlineStr">
        <is>
          <t>PV of interim FCF @ hurdle (sum)</t>
        </is>
      </c>
      <c r="B11" s="20">
        <f>SUM(B9:F9)</f>
        <v/>
      </c>
    </row>
    <row r="12">
      <c r="A12" t="inlineStr">
        <is>
          <t>Base-case Gordon terminal value (at WACC)</t>
        </is>
      </c>
      <c r="B12" s="20">
        <f>DCF_Base!B29</f>
        <v/>
      </c>
    </row>
    <row r="13">
      <c r="A13" t="inlineStr">
        <is>
          <t>PV of terminal value @ hurdle</t>
        </is>
      </c>
      <c r="B13" s="20">
        <f>B12*F8</f>
        <v/>
      </c>
    </row>
    <row r="14">
      <c r="A14" t="inlineStr">
        <is>
          <t>Less net debt (add net cash)</t>
        </is>
      </c>
      <c r="B14" s="20">
        <f>-Summary!B7</f>
        <v/>
      </c>
    </row>
    <row r="15">
      <c r="A15" t="inlineStr">
        <is>
          <t>Entry equity value</t>
        </is>
      </c>
      <c r="B15" s="20">
        <f>B11+B13+B14</f>
        <v/>
      </c>
    </row>
    <row r="16">
      <c r="A16" s="7" t="inlineStr">
        <is>
          <t>Entry price / share</t>
        </is>
      </c>
      <c r="B16" s="11">
        <f>B15/Summary!B6</f>
        <v/>
      </c>
    </row>
    <row r="17">
      <c r="A17" t="inlineStr">
        <is>
          <t>Entry discount from current price (%)</t>
        </is>
      </c>
      <c r="B17" s="9">
        <f>(Summary!B5-B16)/Summary!B5*100</f>
        <v/>
      </c>
    </row>
  </sheetData>
  <mergeCells count="1">
    <mergeCell ref="A2:F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s>
  <sheetData>
    <row r="1">
      <c r="A1" s="1" t="inlineStr">
        <is>
          <t>Base-Case IV Sensitivity: WACC (rows) x Terminal Growth (cols)</t>
        </is>
      </c>
    </row>
    <row r="2">
      <c r="A2" s="2" t="inlineStr">
        <is>
          <t>Base-case FCF path held constant (referenced from DCF_Base); only WACC and terminal growth vary here.</t>
        </is>
      </c>
    </row>
    <row r="4">
      <c r="A4" s="7" t="inlineStr">
        <is>
          <t>WACC \ g</t>
        </is>
      </c>
      <c r="B4" s="6" t="inlineStr">
        <is>
          <t>1.0%</t>
        </is>
      </c>
      <c r="C4" s="6" t="inlineStr">
        <is>
          <t>1.5%</t>
        </is>
      </c>
      <c r="D4" s="6" t="inlineStr">
        <is>
          <t>2.0%</t>
        </is>
      </c>
      <c r="E4" s="6" t="inlineStr">
        <is>
          <t>2.5%</t>
        </is>
      </c>
      <c r="F4" s="6" t="inlineStr">
        <is>
          <t>3.0%</t>
        </is>
      </c>
    </row>
    <row r="5">
      <c r="A5" s="6" t="inlineStr">
        <is>
          <t>13.95%</t>
        </is>
      </c>
      <c r="B5" s="8">
        <f>(SUMPRODUCT(DCF_Base!$B$23:$F$23,1/(1+13.95/100)^{1,2,3,4,5})+MIN(DCF_Base!$F$23*(1+1.0/100)/(13.95/100-1.0/100),DCF_Base!$F$23*DCF_Base!$B$16)/(1+13.95/100)^5-Summary!$B$7)/Summary!$B$6</f>
        <v/>
      </c>
      <c r="C5" s="8">
        <f>(SUMPRODUCT(DCF_Base!$B$23:$F$23,1/(1+13.95/100)^{1,2,3,4,5})+MIN(DCF_Base!$F$23*(1+1.5/100)/(13.95/100-1.5/100),DCF_Base!$F$23*DCF_Base!$B$16)/(1+13.95/100)^5-Summary!$B$7)/Summary!$B$6</f>
        <v/>
      </c>
      <c r="D5" s="8">
        <f>(SUMPRODUCT(DCF_Base!$B$23:$F$23,1/(1+13.95/100)^{1,2,3,4,5})+MIN(DCF_Base!$F$23*(1+2.0/100)/(13.95/100-2.0/100),DCF_Base!$F$23*DCF_Base!$B$16)/(1+13.95/100)^5-Summary!$B$7)/Summary!$B$6</f>
        <v/>
      </c>
      <c r="E5" s="8">
        <f>(SUMPRODUCT(DCF_Base!$B$23:$F$23,1/(1+13.95/100)^{1,2,3,4,5})+MIN(DCF_Base!$F$23*(1+2.5/100)/(13.95/100-2.5/100),DCF_Base!$F$23*DCF_Base!$B$16)/(1+13.95/100)^5-Summary!$B$7)/Summary!$B$6</f>
        <v/>
      </c>
      <c r="F5" s="8">
        <f>(SUMPRODUCT(DCF_Base!$B$23:$F$23,1/(1+13.95/100)^{1,2,3,4,5})+MIN(DCF_Base!$F$23*(1+3.0/100)/(13.95/100-3.0/100),DCF_Base!$F$23*DCF_Base!$B$16)/(1+13.95/100)^5-Summary!$B$7)/Summary!$B$6</f>
        <v/>
      </c>
    </row>
    <row r="6">
      <c r="A6" s="6" t="inlineStr">
        <is>
          <t>14.95%</t>
        </is>
      </c>
      <c r="B6" s="8">
        <f>(SUMPRODUCT(DCF_Base!$B$23:$F$23,1/(1+14.95/100)^{1,2,3,4,5})+MIN(DCF_Base!$F$23*(1+1.0/100)/(14.95/100-1.0/100),DCF_Base!$F$23*DCF_Base!$B$16)/(1+14.95/100)^5-Summary!$B$7)/Summary!$B$6</f>
        <v/>
      </c>
      <c r="C6" s="8">
        <f>(SUMPRODUCT(DCF_Base!$B$23:$F$23,1/(1+14.95/100)^{1,2,3,4,5})+MIN(DCF_Base!$F$23*(1+1.5/100)/(14.95/100-1.5/100),DCF_Base!$F$23*DCF_Base!$B$16)/(1+14.95/100)^5-Summary!$B$7)/Summary!$B$6</f>
        <v/>
      </c>
      <c r="D6" s="8">
        <f>(SUMPRODUCT(DCF_Base!$B$23:$F$23,1/(1+14.95/100)^{1,2,3,4,5})+MIN(DCF_Base!$F$23*(1+2.0/100)/(14.95/100-2.0/100),DCF_Base!$F$23*DCF_Base!$B$16)/(1+14.95/100)^5-Summary!$B$7)/Summary!$B$6</f>
        <v/>
      </c>
      <c r="E6" s="8">
        <f>(SUMPRODUCT(DCF_Base!$B$23:$F$23,1/(1+14.95/100)^{1,2,3,4,5})+MIN(DCF_Base!$F$23*(1+2.5/100)/(14.95/100-2.5/100),DCF_Base!$F$23*DCF_Base!$B$16)/(1+14.95/100)^5-Summary!$B$7)/Summary!$B$6</f>
        <v/>
      </c>
      <c r="F6" s="8">
        <f>(SUMPRODUCT(DCF_Base!$B$23:$F$23,1/(1+14.95/100)^{1,2,3,4,5})+MIN(DCF_Base!$F$23*(1+3.0/100)/(14.95/100-3.0/100),DCF_Base!$F$23*DCF_Base!$B$16)/(1+14.95/100)^5-Summary!$B$7)/Summary!$B$6</f>
        <v/>
      </c>
    </row>
    <row r="7">
      <c r="A7" s="6" t="inlineStr">
        <is>
          <t>15.95%</t>
        </is>
      </c>
      <c r="B7" s="8">
        <f>(SUMPRODUCT(DCF_Base!$B$23:$F$23,1/(1+15.95/100)^{1,2,3,4,5})+MIN(DCF_Base!$F$23*(1+1.0/100)/(15.95/100-1.0/100),DCF_Base!$F$23*DCF_Base!$B$16)/(1+15.95/100)^5-Summary!$B$7)/Summary!$B$6</f>
        <v/>
      </c>
      <c r="C7" s="8">
        <f>(SUMPRODUCT(DCF_Base!$B$23:$F$23,1/(1+15.95/100)^{1,2,3,4,5})+MIN(DCF_Base!$F$23*(1+1.5/100)/(15.95/100-1.5/100),DCF_Base!$F$23*DCF_Base!$B$16)/(1+15.95/100)^5-Summary!$B$7)/Summary!$B$6</f>
        <v/>
      </c>
      <c r="D7" s="8">
        <f>(SUMPRODUCT(DCF_Base!$B$23:$F$23,1/(1+15.95/100)^{1,2,3,4,5})+MIN(DCF_Base!$F$23*(1+2.0/100)/(15.95/100-2.0/100),DCF_Base!$F$23*DCF_Base!$B$16)/(1+15.95/100)^5-Summary!$B$7)/Summary!$B$6</f>
        <v/>
      </c>
      <c r="E7" s="8">
        <f>(SUMPRODUCT(DCF_Base!$B$23:$F$23,1/(1+15.95/100)^{1,2,3,4,5})+MIN(DCF_Base!$F$23*(1+2.5/100)/(15.95/100-2.5/100),DCF_Base!$F$23*DCF_Base!$B$16)/(1+15.95/100)^5-Summary!$B$7)/Summary!$B$6</f>
        <v/>
      </c>
      <c r="F7" s="8">
        <f>(SUMPRODUCT(DCF_Base!$B$23:$F$23,1/(1+15.95/100)^{1,2,3,4,5})+MIN(DCF_Base!$F$23*(1+3.0/100)/(15.95/100-3.0/100),DCF_Base!$F$23*DCF_Base!$B$16)/(1+15.95/100)^5-Summary!$B$7)/Summary!$B$6</f>
        <v/>
      </c>
    </row>
    <row r="8">
      <c r="A8" s="6" t="inlineStr">
        <is>
          <t>16.95%</t>
        </is>
      </c>
      <c r="B8" s="8">
        <f>(SUMPRODUCT(DCF_Base!$B$23:$F$23,1/(1+16.95/100)^{1,2,3,4,5})+MIN(DCF_Base!$F$23*(1+1.0/100)/(16.95/100-1.0/100),DCF_Base!$F$23*DCF_Base!$B$16)/(1+16.95/100)^5-Summary!$B$7)/Summary!$B$6</f>
        <v/>
      </c>
      <c r="C8" s="8">
        <f>(SUMPRODUCT(DCF_Base!$B$23:$F$23,1/(1+16.95/100)^{1,2,3,4,5})+MIN(DCF_Base!$F$23*(1+1.5/100)/(16.95/100-1.5/100),DCF_Base!$F$23*DCF_Base!$B$16)/(1+16.95/100)^5-Summary!$B$7)/Summary!$B$6</f>
        <v/>
      </c>
      <c r="D8" s="8">
        <f>(SUMPRODUCT(DCF_Base!$B$23:$F$23,1/(1+16.95/100)^{1,2,3,4,5})+MIN(DCF_Base!$F$23*(1+2.0/100)/(16.95/100-2.0/100),DCF_Base!$F$23*DCF_Base!$B$16)/(1+16.95/100)^5-Summary!$B$7)/Summary!$B$6</f>
        <v/>
      </c>
      <c r="E8" s="8">
        <f>(SUMPRODUCT(DCF_Base!$B$23:$F$23,1/(1+16.95/100)^{1,2,3,4,5})+MIN(DCF_Base!$F$23*(1+2.5/100)/(16.95/100-2.5/100),DCF_Base!$F$23*DCF_Base!$B$16)/(1+16.95/100)^5-Summary!$B$7)/Summary!$B$6</f>
        <v/>
      </c>
      <c r="F8" s="8">
        <f>(SUMPRODUCT(DCF_Base!$B$23:$F$23,1/(1+16.95/100)^{1,2,3,4,5})+MIN(DCF_Base!$F$23*(1+3.0/100)/(16.95/100-3.0/100),DCF_Base!$F$23*DCF_Base!$B$16)/(1+16.95/100)^5-Summary!$B$7)/Summary!$B$6</f>
        <v/>
      </c>
    </row>
    <row r="9">
      <c r="A9" s="6" t="inlineStr">
        <is>
          <t>17.95%</t>
        </is>
      </c>
      <c r="B9" s="8">
        <f>(SUMPRODUCT(DCF_Base!$B$23:$F$23,1/(1+17.95/100)^{1,2,3,4,5})+MIN(DCF_Base!$F$23*(1+1.0/100)/(17.95/100-1.0/100),DCF_Base!$F$23*DCF_Base!$B$16)/(1+17.95/100)^5-Summary!$B$7)/Summary!$B$6</f>
        <v/>
      </c>
      <c r="C9" s="8">
        <f>(SUMPRODUCT(DCF_Base!$B$23:$F$23,1/(1+17.95/100)^{1,2,3,4,5})+MIN(DCF_Base!$F$23*(1+1.5/100)/(17.95/100-1.5/100),DCF_Base!$F$23*DCF_Base!$B$16)/(1+17.95/100)^5-Summary!$B$7)/Summary!$B$6</f>
        <v/>
      </c>
      <c r="D9" s="8">
        <f>(SUMPRODUCT(DCF_Base!$B$23:$F$23,1/(1+17.95/100)^{1,2,3,4,5})+MIN(DCF_Base!$F$23*(1+2.0/100)/(17.95/100-2.0/100),DCF_Base!$F$23*DCF_Base!$B$16)/(1+17.95/100)^5-Summary!$B$7)/Summary!$B$6</f>
        <v/>
      </c>
      <c r="E9" s="8">
        <f>(SUMPRODUCT(DCF_Base!$B$23:$F$23,1/(1+17.95/100)^{1,2,3,4,5})+MIN(DCF_Base!$F$23*(1+2.5/100)/(17.95/100-2.5/100),DCF_Base!$F$23*DCF_Base!$B$16)/(1+17.95/100)^5-Summary!$B$7)/Summary!$B$6</f>
        <v/>
      </c>
      <c r="F9" s="8">
        <f>(SUMPRODUCT(DCF_Base!$B$23:$F$23,1/(1+17.95/100)^{1,2,3,4,5})+MIN(DCF_Base!$F$23*(1+3.0/100)/(17.95/100-3.0/100),DCF_Base!$F$23*DCF_Base!$B$16)/(1+17.95/100)^5-Summary!$B$7)/Summary!$B$6</f>
        <v/>
      </c>
    </row>
    <row r="11" ht="150" customHeight="1">
      <c r="A11" s="13" t="inlineStr">
        <is>
          <t>Rows = WACC (13.95% to 17.95%), Columns = terminal growth (1.0% to 3.0%). Base-case FCF path held constant; only WACC and terminal growth vary. Intrinsic value is not highly sensitive to these two inputs within this range (range $0.82-$0.92) because ~57% of enterprise value comes from the discounted operating cash flows/terminal value on a very small FCF base, while the dominant driver of total intrinsic value is the largely WACC-insensitive net-cash/liquid-investment bridge (~$17.9m, ~68% of total equity value in the base case).</t>
        </is>
      </c>
    </row>
    <row r="12"/>
    <row r="13"/>
    <row r="14"/>
    <row r="15"/>
    <row r="16"/>
  </sheetData>
  <mergeCells count="1">
    <mergeCell ref="A11:F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4" customWidth="1" min="1" max="1"/>
    <col width="16" customWidth="1" min="2" max="2"/>
    <col width="18" customWidth="1" min="3" max="3"/>
    <col width="18" customWidth="1" min="4" max="4"/>
    <col width="10" customWidth="1" min="5" max="5"/>
  </cols>
  <sheetData>
    <row r="1">
      <c r="A1" s="1" t="inlineStr">
        <is>
          <t>Implied vs Historical Multiples</t>
        </is>
      </c>
    </row>
    <row r="2" ht="60" customHeight="1">
      <c r="A2" s="13" t="inlineStr">
        <is>
          <t>Historical multiples (FY2017-2025) are computed on the OLD consolidated (NZFL-inclusive) business. P/E and EV/EBITDA implied-at-IV figures use FY2025 consolidated actuals and are of LIMITED USE post-divestment (retained for completeness). P/B against continuing-ops book value (~$29.2m) is the meaningful anchor.</t>
        </is>
      </c>
    </row>
    <row r="3"/>
    <row r="4"/>
    <row r="6">
      <c r="A6" s="6" t="inlineStr">
        <is>
          <t>Metric</t>
        </is>
      </c>
      <c r="B6" s="6" t="inlineStr">
        <is>
          <t>Implied @ base IV</t>
        </is>
      </c>
      <c r="C6" s="6" t="inlineStr">
        <is>
          <t>10yr avg (ex-outliers)</t>
        </is>
      </c>
      <c r="D6" s="6" t="inlineStr">
        <is>
          <t>10yr max (ex-outliers)</t>
        </is>
      </c>
    </row>
    <row r="7">
      <c r="A7" t="inlineStr">
        <is>
          <t>P/E (consolidated FY2025 — limited use)</t>
        </is>
      </c>
      <c r="B7" t="n">
        <v>8.6</v>
      </c>
      <c r="C7" t="n">
        <v>7.8</v>
      </c>
      <c r="D7" t="n">
        <v>13.2</v>
      </c>
    </row>
    <row r="8">
      <c r="A8" t="inlineStr">
        <is>
          <t>P/B (continuing-ops book value — meaningful anchor)</t>
        </is>
      </c>
      <c r="B8" t="n">
        <v>0.59</v>
      </c>
      <c r="C8" t="n">
        <v>1.36</v>
      </c>
      <c r="D8" t="n">
        <v>2.11</v>
      </c>
    </row>
    <row r="9">
      <c r="A9" t="inlineStr">
        <is>
          <t>EV/EBITDA (consolidated FY2025 — limited use)</t>
        </is>
      </c>
      <c r="B9" t="n">
        <v>4.6</v>
      </c>
      <c r="C9" t="n">
        <v>4</v>
      </c>
      <c r="D9" t="n">
        <v>5.1</v>
      </c>
    </row>
    <row r="11">
      <c r="A11" s="7" t="inlineStr">
        <is>
          <t>P/B check: market cap vs continuing-ops book value</t>
        </is>
      </c>
    </row>
    <row r="12">
      <c r="A12" t="inlineStr">
        <is>
          <t>Continuing-ops shareholders equity ($m, H1 FY2026)</t>
        </is>
      </c>
      <c r="B12" s="5" t="n">
        <v>29.204</v>
      </c>
    </row>
    <row r="13">
      <c r="A13" t="inlineStr">
        <is>
          <t>Market cap at current price ($m)</t>
        </is>
      </c>
      <c r="B13" s="20">
        <f>Summary!B5*Summary!B6</f>
        <v/>
      </c>
    </row>
    <row r="14">
      <c r="A14" t="inlineStr">
        <is>
          <t>Market cap / book value (x) — current price</t>
        </is>
      </c>
      <c r="B14" s="24">
        <f>B13/B12</f>
        <v/>
      </c>
    </row>
    <row r="15">
      <c r="A15" t="inlineStr">
        <is>
          <t>IV-implied market cap ($m, base case)</t>
        </is>
      </c>
      <c r="B15" s="20">
        <f>DCF_Base!B37*Summary!B6</f>
        <v/>
      </c>
    </row>
    <row r="16">
      <c r="A16" t="inlineStr">
        <is>
          <t>IV-implied market cap / book value (x)</t>
        </is>
      </c>
      <c r="B16" s="24">
        <f>B15/B12</f>
        <v/>
      </c>
    </row>
    <row r="18">
      <c r="A18" s="7" t="inlineStr">
        <is>
          <t>Result</t>
        </is>
      </c>
      <c r="B18" t="inlineStr">
        <is>
          <t>PASSED (no trip)</t>
        </is>
      </c>
    </row>
    <row r="20">
      <c r="A20" s="6" t="inlineStr">
        <is>
          <t>Year</t>
        </is>
      </c>
      <c r="B20" s="6" t="inlineStr">
        <is>
          <t>P/E</t>
        </is>
      </c>
      <c r="C20" s="6" t="inlineStr">
        <is>
          <t>P/B</t>
        </is>
      </c>
      <c r="D20" s="6" t="inlineStr">
        <is>
          <t>EV/EBITDA</t>
        </is>
      </c>
      <c r="E20" s="6" t="inlineStr">
        <is>
          <t>Outlier</t>
        </is>
      </c>
    </row>
    <row r="21">
      <c r="A21" t="inlineStr">
        <is>
          <t>FY2017</t>
        </is>
      </c>
      <c r="B21" t="n">
        <v>7.4</v>
      </c>
      <c r="C21" t="n">
        <v>11.29</v>
      </c>
      <c r="D21" t="n">
        <v>4.3</v>
      </c>
      <c r="E21" t="inlineStr">
        <is>
          <t>yes</t>
        </is>
      </c>
    </row>
    <row r="22">
      <c r="A22" t="inlineStr">
        <is>
          <t>FY2018</t>
        </is>
      </c>
      <c r="B22" t="n">
        <v>6.8</v>
      </c>
      <c r="C22" t="n">
        <v>4.64</v>
      </c>
      <c r="D22" t="n">
        <v>4.6</v>
      </c>
      <c r="E22" t="inlineStr">
        <is>
          <t>yes</t>
        </is>
      </c>
    </row>
    <row r="23">
      <c r="A23" t="inlineStr">
        <is>
          <t>FY2019</t>
        </is>
      </c>
      <c r="B23" t="n">
        <v>9.199999999999999</v>
      </c>
      <c r="C23" t="n">
        <v>2.64</v>
      </c>
      <c r="D23" t="n">
        <v>4.2</v>
      </c>
      <c r="E23" t="inlineStr">
        <is>
          <t>yes</t>
        </is>
      </c>
    </row>
    <row r="24">
      <c r="A24" t="inlineStr">
        <is>
          <t>FY2020</t>
        </is>
      </c>
      <c r="B24" t="n">
        <v>13.2</v>
      </c>
      <c r="C24" t="n">
        <v>2.11</v>
      </c>
      <c r="D24" t="n">
        <v>5.1</v>
      </c>
      <c r="E24" t="inlineStr"/>
    </row>
    <row r="25">
      <c r="A25" t="inlineStr">
        <is>
          <t>FY2021</t>
        </is>
      </c>
      <c r="B25" t="n">
        <v>8.800000000000001</v>
      </c>
      <c r="C25" t="n">
        <v>1.53</v>
      </c>
      <c r="D25" t="n">
        <v>4.4</v>
      </c>
      <c r="E25" t="inlineStr"/>
    </row>
    <row r="26">
      <c r="A26" t="inlineStr">
        <is>
          <t>FY2022</t>
        </is>
      </c>
      <c r="B26" t="n">
        <v>7.6</v>
      </c>
      <c r="C26" t="n">
        <v>1.51</v>
      </c>
      <c r="D26" t="n">
        <v>3.7</v>
      </c>
      <c r="E26" t="inlineStr"/>
    </row>
    <row r="27">
      <c r="A27" t="inlineStr">
        <is>
          <t>FY2023</t>
        </is>
      </c>
      <c r="B27" t="n">
        <v>5.9</v>
      </c>
      <c r="C27" t="n">
        <v>1.15</v>
      </c>
      <c r="D27" t="n">
        <v>3.7</v>
      </c>
      <c r="E27" t="inlineStr"/>
    </row>
    <row r="28">
      <c r="A28" t="inlineStr">
        <is>
          <t>FY2024</t>
        </is>
      </c>
      <c r="B28" t="n">
        <v>4.1</v>
      </c>
      <c r="C28" t="n">
        <v>0.97</v>
      </c>
      <c r="D28" t="n">
        <v>1.6</v>
      </c>
      <c r="E28" t="inlineStr"/>
    </row>
    <row r="29">
      <c r="A29" t="inlineStr">
        <is>
          <t>FY2025</t>
        </is>
      </c>
      <c r="B29" t="n">
        <v>7.5</v>
      </c>
      <c r="C29" t="n">
        <v>0.88</v>
      </c>
      <c r="D29" t="n">
        <v>4.1</v>
      </c>
      <c r="E29" t="inlineStr"/>
    </row>
    <row r="31" ht="250" customHeight="1">
      <c r="A31" s="13" t="inlineStr">
        <is>
          <t>No trip -- with an explicit and important caveat. Allied is a transitioning micro-cap where the FY2025 consolidated actuals (EPS, EBITDA) still fully embed the divested NZFL business (~85% of that period's revenue), so implied P/E (8.6x) and EV/EBITDA (4.6x) computed against those actuals are close to meaningless as a check on THIS valuation -- they are not manufactured trips, but they are also not a genuine pass, because the earnings/EBITDA base they are measured against no longer exists. Recording them for completeness (both happen to sit within/near historical ranges, 8.6x vs 7.8x avg P/E and 4.6x vs 4.0x avg EV/EBITDA) is coincidental, not confirmatory. The ONE multiple that is genuinely meaningful post-divestment is P/B: continuing-operations book value is ~$29.2m against a market cap of only ~$17.3m (0.59x book) and against the base-case IV-implied market cap of ~$24.7m (0.85x book) -- both well under 1.0x, which is a sensible, non-alarming anchor for a business that is currently loss-making at the operating level and has not yet proven its capital-redeployment thesis. Base-case upside of 42.7% is under the 100% threshold. The IV is dominated by the ~$17.9m net-cash/liquid-investment bridge (~$0.62/share, ~68% of total base-case equity value) rather than aggressive operating projections.</t>
        </is>
      </c>
    </row>
    <row r="32"/>
    <row r="33"/>
    <row r="34"/>
    <row r="35"/>
    <row r="36"/>
    <row r="37"/>
    <row r="38"/>
    <row r="39"/>
  </sheetData>
  <mergeCells count="2">
    <mergeCell ref="A31:E39"/>
    <mergeCell ref="A2:E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0" customWidth="1" min="1" max="1"/>
  </cols>
  <sheetData>
    <row r="1">
      <c r="A1" s="1" t="inlineStr">
        <is>
          <t>Model Provenance &amp; Refresh Notes</t>
        </is>
      </c>
    </row>
    <row r="2" ht="8" customHeight="1">
      <c r="A2" s="13" t="inlineStr"/>
    </row>
    <row r="3" ht="30" customHeight="1">
      <c r="A3" s="13" t="inlineStr">
        <is>
          <t>Ticker: ALF.NZ (Allied Farmers Limited, NZX Main Board)</t>
        </is>
      </c>
    </row>
    <row r="4" ht="30" customHeight="1">
      <c r="A4" s="13" t="inlineStr">
        <is>
          <t>Built/refreshed by: DCF valuation agent (Claude), 2026-08-09</t>
        </is>
      </c>
    </row>
    <row r="5" ht="30" customHeight="1">
      <c r="A5" s="13" t="inlineStr">
        <is>
          <t>Data vintage: share price $0.60 verified live from Yahoo Finance chart API on 2026-08-09; balance-sheet date is 31-Dec-2025 (H1 FY2026 interim report, the latest available — FY2026 annual report not yet released, due on/before 29-Aug-2026); segment P&amp;L figures also cross-checked against the FY2025 (30-Jun-2025) and FY2024 annual report segment notes.</t>
        </is>
      </c>
    </row>
    <row r="6" ht="8" customHeight="1">
      <c r="A6" s="13" t="inlineStr"/>
    </row>
    <row r="7" ht="30" customHeight="1">
      <c r="A7" s="13" t="inlineStr">
        <is>
          <t>METHODOLOGY (sum-of-parts, NOT a conventional FCF-CAGR DCF):</t>
        </is>
      </c>
    </row>
    <row r="8" ht="30" customHeight="1">
      <c r="A8" s="13" t="inlineStr">
        <is>
          <t>1. On 1-Dec-2025 Allied sold its 67.8%-owned NZ Farmers Livestock (NZFL), historically ~85% of consolidated revenue. All pre-divestment consolidated CAGRs (revenue, EPS, equity, FCF) are structurally broken and are NOT used to drive projections -- shown for disclosure only.</t>
        </is>
      </c>
    </row>
    <row r="9" ht="30" customHeight="1">
      <c r="A9" s="13" t="inlineStr">
        <is>
          <t>2. The going-forward business is valued as: (a) a 5-year explicit DCF of the continuing NZRLM (external manager of NZX-listed NZL) fee stream plus Parent Operations governance costs and redeployed-capital investment income, capitalized via Gordon growth / terminal-cap-multiple (lower of the two, recorded per scenario), PLUS (b) a net-cash/liquid-investment equity bridge (cash, ~2.7% NZL stake at market, loan advances, net NZFL continuing-involvement receivable) added at the balance-sheet date.</t>
        </is>
      </c>
    </row>
    <row r="10" ht="30" customHeight="1">
      <c r="A10" s="13" t="inlineStr">
        <is>
          <t>3. The $10.5m MC Redlands term loan and the $10.5m Waikato investment property it finances are EXCLUDED from both sides of the net-debt bridge -- the loan is explicitly disclosed as non-recourse to Allied beyond the ring-fenced SPV (Allied FLA Limited); including both sides nets to ~zero anyway.</t>
        </is>
      </c>
    </row>
    <row r="11" ht="30" customHeight="1">
      <c r="A11" s="13" t="inlineStr">
        <is>
          <t>4. The $172.4m unrecognised tax-loss pool is treated as call-option memo value, NOT capitalized as a lump-sum NPV addition. Its likely near-term utilisation is instead reflected via a low effective cash tax rate in the base/bull projections.</t>
        </is>
      </c>
    </row>
    <row r="12" ht="30" customHeight="1">
      <c r="A12" s="13" t="inlineStr">
        <is>
          <t>5. SBC is immaterial (~$0.028m FY2025) and is embedded within segment personnel-expense lines rather than separately deducted; no dilution adjustment applied (shares held flat).</t>
        </is>
      </c>
    </row>
    <row r="13" ht="30" customHeight="1">
      <c r="A13" s="13" t="inlineStr">
        <is>
          <t>6. Entry price uses the full formula: (sum FCF_t/1.15^t for t=1..5 + Gordon TV_5/1.15^5 - net_debt) / shares outstanding -- see the Entry_Price tab -- NOT a terminal-value-only shortcut.</t>
        </is>
      </c>
    </row>
    <row r="14" ht="8" customHeight="1">
      <c r="A14" s="13" t="inlineStr"/>
    </row>
    <row r="15" ht="30" customHeight="1">
      <c r="A15" s="13" t="inlineStr">
        <is>
          <t>WHAT TO REFRESH AFTER THE NEXT DISCLOSURE:</t>
        </is>
      </c>
    </row>
    <row r="16" ht="30" customHeight="1">
      <c r="A16" s="13" t="inlineStr">
        <is>
          <t>- FY2026 annual report (due on/before 29-Aug-2026): this will be the first CLEAN full-year read on the pure continuing-operations business (NZRLM + Parent Operations only) -- refresh the NZRLM revenue normalization base, PBT margins, Parent Operations cost run-rate, and the net-cash bridge balances (cash, NZL stake mark-to-market, remaining ~$2.4m NZFL sale proceeds receivable, and confirmation of the NZFL loan-book continuing-involvement recovery expected by May-2026).</t>
        </is>
      </c>
    </row>
    <row r="17" ht="30" customHeight="1">
      <c r="A17" s="13" t="inlineStr">
        <is>
          <t>- Any update on capital redeployment of the ~$8.2m freed capital (currently unproven / no committed pipeline) -- this is the single largest driver of the wacc transition-premium and the redeployment-yield assumption.</t>
        </is>
      </c>
    </row>
    <row r="18" ht="30" customHeight="1">
      <c r="A18" s="13" t="inlineStr">
        <is>
          <t>- NZL's Feb-2026 KPMG 'YieldPlusGrowth' framework execution and any news on the NZRLM management agreement terms (concentration risk).</t>
        </is>
      </c>
    </row>
    <row r="19" ht="30" customHeight="1">
      <c r="A19" s="13" t="inlineStr">
        <is>
          <t>- Live share price -- re-fetch from Yahoo Finance chart API before reusing this file; it goes stale immediately.</t>
        </is>
      </c>
    </row>
    <row r="20" ht="8" customHeight="1">
      <c r="A20" s="13" t="inlineStr"/>
    </row>
    <row r="21" ht="30" customHeight="1">
      <c r="A21" s="13" t="inlineStr">
        <is>
          <t>CELL COLOUR CONVENTIONS:</t>
        </is>
      </c>
    </row>
    <row r="22" ht="30" customHeight="1">
      <c r="A22" s="13" t="inlineStr">
        <is>
          <t>- Gray-filled cells are INPUTS -- edit these to run what-if scenarios.</t>
        </is>
      </c>
    </row>
    <row r="23" ht="30" customHeight="1">
      <c r="A23" s="13" t="inlineStr">
        <is>
          <t>- Green-filled cells are KEY RESULTS (intrinsic value / share, entry price).</t>
        </is>
      </c>
    </row>
    <row r="24" ht="30" customHeight="1">
      <c r="A24" s="13" t="inlineStr">
        <is>
          <t>- Dark header cells are labels/column headers, not editable inputs.</t>
        </is>
      </c>
    </row>
    <row r="25" ht="30" customHeight="1">
      <c r="A25" s="13" t="inlineStr">
        <is>
          <t>- All other cells contain FORMULAS and will recalculate automatically when inputs change.</t>
        </is>
      </c>
    </row>
    <row r="26" ht="8" customHeight="1">
      <c r="A26" s="13" t="inlineStr"/>
    </row>
    <row r="27" ht="30" customHeight="1">
      <c r="A27" s="13" t="inlineStr">
        <is>
          <t>IMPORTANT: this is a micro-cap, post-divestment transitional company. Every figure in this workbook reflects the state of disclosure as of 2026-08-09 and WILL go stale. Do not reuse without re-checking against the next filing.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2026-08-08T23:16:13Z</dcterms:created>
  <dcterms:modified xsi:type="dcterms:W3CDTF">2026-08-08T23:16:13Z</dcterms:modified>
</cp:coreProperties>
</file>