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<sst xmlns="http://schemas.openxmlformats.org/spreadsheetml/2006/main" count="390" uniqueCount="176">
  <si>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</si>
  <si>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QCOM</t>
  </si>
  <si>
    <t xml:space="preserve">Company</t>
  </si>
  <si>
    <t xml:space="preserve">QUALCOMM Incorporated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</si>
  <si>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</si>
  <si>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</si>
  <si>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</si>
  <si>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</si>
  <si>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2026-10-01T20:00:00Z regular close</t>
  </si>
  <si>
    <t xml:space="preserve">Balance sheet date</t>
  </si>
  <si>
    <t xml:space="preserve">2026-06-28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</si>
  <si>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</si>
  <si>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</si>
  <si>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</si>
  <si>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</si>
  <si>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</si>
  <si>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</si>
  <si>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</si>
  <si>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</si>
  <si>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</si>
  <si>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</si>
  <si>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2026-10-02T07:49:49Z</t>
  </si>
  <si>
    <t xml:space="preserve">Drivers file</t>
  </si>
  <si>
    <t xml:space="preserve">QCOM_Drivers.json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</si>
  <si>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</si>
  <si>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</si>
  <si>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</si>
  <si>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QCOM is valued as a cyclical fabless semiconductor plus a stable licensing annuity on a strict owner-FCF basis: SBC and the cash taxes paid on net-share settlement (~10% of revenue combined) are charged in the flows and the share count held flat. The FY26 trough (revenue -3%, margins compressed by AI/data-center opex) is not carried forward; margins recover toward but not back to the FY24-25 mix. The terminal value is capped at a cyclical 14x (16x bull, 12x bear) rather than a growth-tech 20x. The data-center business is treated as an option realised mainly in the bull case.
key_risks_to_valuation: Apple modem attrition faster or deeper than base (largest historical QCT customer); AI200/AI250 data-center revenue fails to scale beyond HUMAIN, stranding the opex build; Antitrust/licensee challenge to the QTL royalty model; China smartphone demand and MediaTek/in-house Chinese silicon share gains; SBC + withholding treatment: the street basis (SBC as non-cash) values QCOM materially higher; the house figure depends on charging ~$4.5B/yr of equity comp; Cash tax: OBBBA R&amp;D expensing and FDII changes could keep cash tax below 19% for longer (upside)</t>
  </si>
  <si>
    <t xml:space="preserve">Data sources</t>
  </si>
  <si>
    <t xml:space="preserve">price: Yahoo Finance chart API at inputs.price_as_of; 52-week range 121.99-259.92
financials: QCOM_Metrics.csv (SEC XBRL, FY2007-Q3 FY2026); Q3 FY26 balance sheet, SBC, withholding taxes, buybacks, D&amp;A and diluted shares from SEC companyfacts API (CIK 804328)
qualitative: QCOM_Analysis.json (guidance as of Q3 FY26 earnings: Q4 FY26 revenue $9.7-10.5B, non-GAAP EPS $2.05-2.25)</t>
  </si>
  <si>
    <t xml:space="preserve">Scenario narrative: bear</t>
  </si>
  <si>
    <t xml:space="preserve">The Apple loss lands at once while a China-led smartphone downturn (memory-cost inflation, MediaTek and in-house Chinese silicon) shrinks the Android handset pool; the AI200/AI250 racks fail to win beyond HUMAIN against Nvidia, AMD and hyperscaler ASICs, leaving a costly opex build stranded. A renewed antitrust or licensee challenge to 'no license, no chips' trims QTL rates. Revenue falls ~9% over two years and recovers only at GDP-like rates; margins stay near the FY26 trough.</t>
  </si>
  <si>
    <t xml:space="preserve">Scenario narrative: base</t>
  </si>
  <si>
    <t xml:space="preserve">Apple's in-house modem finishes displacing Qualcomm across the iPhone line by FY27, taking several billion of QCT handset revenue; Android flagship share (Samsung, Xiaomi, Oppo/Vivo) holds against MediaTek, and global smartphone units stay flat. Automotive (Snapdragon Digital Chassis backlog) and IoT/PC compound at double digits, and the AI200/AI250 data-center business ships into HUMAIN but lands at a fraction of management's $5B/$15B targets -- enough, with auto, to replace the Apple hole and return revenue to mid-single-digit growth from FY29. QTL royalties stay stable at ~$5.5-6B. Margins recover from the FY26 investment trough but settle below the FY24-25 level on mix.</t>
  </si>
  <si>
    <t xml:space="preserve">Scenario narrative: bull</t>
  </si>
  <si>
    <t xml:space="preserve">Data center AI becomes a real third leg: HUMAIN's 200MW plus at least one hyperscaler win take data-center revenue into the mid-single-digit billions by FY29, Alphawave connectivity IP attaches to custom silicon, and the Arm judgment lets Oryon CPUs win share in Windows PCs. Automotive reaches the ~$8B+ pipeline management points to, the handset business benefits from an on-device-AI upgrade cycle, and operating leverage on the now-built opex base lifts adj EBITDA margin back above 38%. Revenue compounds high-single-digit for three years.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</si>
  <si>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</si>
  <si>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</si>
  <si>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</si>
  <si>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</si>
  <si>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</si>
  <si>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</si>
  <si>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</si>
  <si>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</si>
  <si>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</si>
  <si>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</si>
  <si>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</si>
  <si>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</si>
  <si>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</si>
  <si>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</si>
  <si>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</si>
  <si>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</si>
  <si>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</si>
  <si>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</si>
  <si>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</si>
  <si>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</si>
  <si>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</si>
  <si>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</si>
  <si>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</si>
  <si>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</si>
  <si>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</si>
  <si>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</si>
  <si>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</si>
  <si>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</si>
  <si>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</si>
  <si>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</si>
  <si>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</si>
  <si>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</si>
  <si>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</si>
  <si>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</si>
  <si>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</si>
  <si>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</si>
  <si>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</si>
  <si>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</si>
  <si>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</si>
  <si>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</si>
  <si>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</si>
  <si>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</si>
  <si>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</si>
  <si>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</si>
  <si>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</si>
  <si>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</si>
  <si>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</si>
  <si>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</si>
  <si>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</si>
  <si>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</si>
  <si>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</si>
  <si>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</si>
  <si>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</si>
  <si>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</si>
  <si>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</si>
  <si>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</si>
  <si>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</si>
  <si>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</si>
  <si>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</si>
  <si>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</si>
  <si>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</si>
  <si>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</si>
  <si>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</si>
  <si>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</si>
  <si>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</si>
  <si>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</si>
  <si>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</si>
  <si>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</si>
  <si>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</si>
  <si>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</si>
  <si>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</si>
  <si>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</si>
  <si>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</si>
  <si>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</si>
  <si>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</si>
  <si>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</si>
  <si>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</si>
  <si>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</si>
  <si>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</si>
  <si>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</si>
  <si>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</si>
  <si>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</si>
  <si>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</si>
  <si>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</si>
  <si>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</si>
  <si>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QCOM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</si>
  <si>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</si>
  <si>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</si>
  <si>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</si>
  <si>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</si>
  <si>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</si>
  <si>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</si>
  <si>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</si>
  <si>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</si>
  <si>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</si>
  <si>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</si>
  <si>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</si>
  <si>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</si>
  <si>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</si>
  <si>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</si>
  <si>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</si>
  <si>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</si>
  <si>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</si>
  <si>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</si>
  <si>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</si>
  <si>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</si>
  <si>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</si>
  <si>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</si>
  <si>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</si>
  <si>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</si>
  <si>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</si>
  <si>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</si>
  <si>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</si>
  <si>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</si>
  <si>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</si>
  <si>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</si>
  <si>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QCOM owner-FCF component DCF: base case (millions, USD)</t>
  </si>
  <si>
    <t xml:space="preserve">QCOM owner-FCF component DCF: bull case (millions, USD)</t>
  </si>
  <si>
    <t xml:space="preserve">QCOM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</si>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</sst>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182.09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13406</v>
      </c>
      <c r="S2" s="0" t="n">
        <v>1607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8871</v>
      </c>
      <c r="C3" s="0" t="n">
        <v>2681</v>
      </c>
      <c r="F3" s="0" t="n">
        <v>2883</v>
      </c>
      <c r="G3" s="0" t="n">
        <v>32.4991545485289</v>
      </c>
      <c r="H3" s="0" t="n">
        <v>3266</v>
      </c>
      <c r="I3" s="0" t="n">
        <v>3303</v>
      </c>
      <c r="J3" s="0" t="n">
        <v>37.2336827866081</v>
      </c>
      <c r="K3" s="0" t="n">
        <v>1.99</v>
      </c>
      <c r="L3" s="0" t="n">
        <v>3811</v>
      </c>
      <c r="M3" s="0" t="n">
        <v>818</v>
      </c>
      <c r="N3" s="0" t="n">
        <v>2993</v>
      </c>
      <c r="O3" s="0" t="n">
        <v>15835</v>
      </c>
      <c r="S3" s="0" t="n">
        <v>2411</v>
      </c>
      <c r="T3" s="0" t="n">
        <v>1693</v>
      </c>
      <c r="U3" s="0" t="n">
        <v>488</v>
      </c>
      <c r="V3" s="0" t="n">
        <v>0.52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11142</v>
      </c>
      <c r="C4" s="0" t="n">
        <v>3414</v>
      </c>
      <c r="F4" s="0" t="n">
        <v>3730</v>
      </c>
      <c r="G4" s="0" t="n">
        <v>33.4769341231377</v>
      </c>
      <c r="H4" s="0" t="n">
        <v>4186</v>
      </c>
      <c r="I4" s="0" t="n">
        <v>3160</v>
      </c>
      <c r="J4" s="0" t="n">
        <v>28.3611559863579</v>
      </c>
      <c r="K4" s="0" t="n">
        <v>1.94</v>
      </c>
      <c r="L4" s="0" t="n">
        <v>3558</v>
      </c>
      <c r="M4" s="0" t="n">
        <v>1397</v>
      </c>
      <c r="N4" s="0" t="n">
        <v>2161</v>
      </c>
      <c r="O4" s="0" t="n">
        <v>17944</v>
      </c>
      <c r="P4" s="0" t="n">
        <v>24712</v>
      </c>
      <c r="Q4" s="0" t="n">
        <v>6768</v>
      </c>
      <c r="S4" s="0" t="n">
        <v>1840</v>
      </c>
      <c r="T4" s="0" t="n">
        <v>1660</v>
      </c>
      <c r="U4" s="0" t="n">
        <v>543</v>
      </c>
      <c r="V4" s="0" t="n">
        <v>0.6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10387</v>
      </c>
      <c r="C5" s="0" t="n">
        <v>3025</v>
      </c>
      <c r="F5" s="0" t="n">
        <v>2542</v>
      </c>
      <c r="G5" s="0" t="n">
        <v>24.4728988158275</v>
      </c>
      <c r="H5" s="0" t="n">
        <v>3177</v>
      </c>
      <c r="I5" s="0" t="n">
        <v>1592</v>
      </c>
      <c r="J5" s="0" t="n">
        <v>15.3268508712814</v>
      </c>
      <c r="K5" s="0" t="n">
        <v>0.96</v>
      </c>
      <c r="L5" s="0" t="n">
        <v>7172</v>
      </c>
      <c r="M5" s="0" t="n">
        <v>761</v>
      </c>
      <c r="N5" s="0" t="n">
        <v>6411</v>
      </c>
      <c r="O5" s="0" t="n">
        <v>20316</v>
      </c>
      <c r="P5" s="0" t="n">
        <v>27445</v>
      </c>
      <c r="Q5" s="0" t="n">
        <v>7129</v>
      </c>
      <c r="S5" s="0" t="n">
        <v>2717</v>
      </c>
      <c r="T5" s="0" t="n">
        <v>1673</v>
      </c>
      <c r="U5" s="0" t="n">
        <v>584</v>
      </c>
      <c r="V5" s="0" t="n">
        <v>0.66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10982</v>
      </c>
      <c r="C6" s="0" t="n">
        <v>3301</v>
      </c>
      <c r="F6" s="0" t="n">
        <v>3727</v>
      </c>
      <c r="G6" s="0" t="n">
        <v>33.9373520305955</v>
      </c>
      <c r="H6" s="0" t="n">
        <v>4393</v>
      </c>
      <c r="I6" s="0" t="n">
        <v>3247</v>
      </c>
      <c r="J6" s="0" t="n">
        <v>29.5665634674923</v>
      </c>
      <c r="K6" s="0" t="n">
        <v>1.98</v>
      </c>
      <c r="L6" s="0" t="n">
        <v>4076</v>
      </c>
      <c r="M6" s="0" t="n">
        <v>426</v>
      </c>
      <c r="N6" s="0" t="n">
        <v>3650</v>
      </c>
      <c r="O6" s="0" t="n">
        <v>20858</v>
      </c>
      <c r="P6" s="0" t="n">
        <v>30572</v>
      </c>
      <c r="Q6" s="0" t="n">
        <v>9714</v>
      </c>
      <c r="S6" s="0" t="n">
        <v>3547</v>
      </c>
      <c r="T6" s="0" t="n">
        <v>1658</v>
      </c>
      <c r="U6" s="0" t="n">
        <v>615</v>
      </c>
      <c r="V6" s="0" t="n">
        <v>0.72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14957</v>
      </c>
      <c r="C7" s="0" t="n">
        <v>4877</v>
      </c>
      <c r="F7" s="0" t="n">
        <v>5026</v>
      </c>
      <c r="G7" s="0" t="n">
        <v>33.6029952530588</v>
      </c>
      <c r="H7" s="0" t="n">
        <v>6087</v>
      </c>
      <c r="I7" s="0" t="n">
        <v>4260</v>
      </c>
      <c r="J7" s="0" t="n">
        <v>28.4816473891823</v>
      </c>
      <c r="K7" s="0" t="n">
        <v>2.57</v>
      </c>
      <c r="L7" s="0" t="n">
        <v>4900</v>
      </c>
      <c r="M7" s="0" t="n">
        <v>593</v>
      </c>
      <c r="N7" s="0" t="n">
        <v>4307</v>
      </c>
      <c r="O7" s="0" t="n">
        <v>26972</v>
      </c>
      <c r="P7" s="0" t="n">
        <v>36422</v>
      </c>
      <c r="Q7" s="0" t="n">
        <v>9450</v>
      </c>
      <c r="S7" s="0" t="n">
        <v>5462</v>
      </c>
      <c r="T7" s="0" t="n">
        <v>1691</v>
      </c>
      <c r="U7" s="0" t="n">
        <v>824</v>
      </c>
      <c r="V7" s="0" t="n">
        <v>0.81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19121</v>
      </c>
      <c r="C8" s="0" t="n">
        <v>7096</v>
      </c>
      <c r="F8" s="0" t="n">
        <v>5682</v>
      </c>
      <c r="G8" s="0" t="n">
        <v>29.7160190366613</v>
      </c>
      <c r="H8" s="0" t="n">
        <v>6579</v>
      </c>
      <c r="I8" s="0" t="n">
        <v>6109</v>
      </c>
      <c r="J8" s="0" t="n">
        <v>31.9491658386068</v>
      </c>
      <c r="K8" s="0" t="n">
        <v>3.59</v>
      </c>
      <c r="L8" s="0" t="n">
        <v>5998</v>
      </c>
      <c r="M8" s="0" t="n">
        <v>1284</v>
      </c>
      <c r="N8" s="0" t="n">
        <v>4714</v>
      </c>
      <c r="O8" s="0" t="n">
        <v>33545</v>
      </c>
      <c r="P8" s="0" t="n">
        <v>43012</v>
      </c>
      <c r="Q8" s="0" t="n">
        <v>9467</v>
      </c>
      <c r="S8" s="0" t="n">
        <v>3807</v>
      </c>
      <c r="T8" s="0" t="n">
        <v>1741</v>
      </c>
      <c r="U8" s="0" t="n">
        <v>1035</v>
      </c>
      <c r="V8" s="0" t="n">
        <v>0.93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24866</v>
      </c>
      <c r="C9" s="0" t="n">
        <v>9820</v>
      </c>
      <c r="F9" s="0" t="n">
        <v>7230</v>
      </c>
      <c r="G9" s="0" t="n">
        <v>29.0758465374407</v>
      </c>
      <c r="H9" s="0" t="n">
        <v>8247</v>
      </c>
      <c r="I9" s="0" t="n">
        <v>6853</v>
      </c>
      <c r="J9" s="0" t="n">
        <v>27.5597200997346</v>
      </c>
      <c r="K9" s="0" t="n">
        <v>3.99</v>
      </c>
      <c r="L9" s="0" t="n">
        <v>8778</v>
      </c>
      <c r="M9" s="0" t="n">
        <v>1048</v>
      </c>
      <c r="N9" s="0" t="n">
        <v>7730</v>
      </c>
      <c r="O9" s="0" t="n">
        <v>36087</v>
      </c>
      <c r="P9" s="0" t="n">
        <v>45516</v>
      </c>
      <c r="Q9" s="0" t="n">
        <v>9429</v>
      </c>
      <c r="S9" s="0" t="n">
        <v>6142</v>
      </c>
      <c r="T9" s="0" t="n">
        <v>1685</v>
      </c>
      <c r="U9" s="0" t="n">
        <v>1105</v>
      </c>
      <c r="V9" s="0" t="n">
        <v>1.2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26487</v>
      </c>
      <c r="C10" s="0" t="n">
        <v>10686</v>
      </c>
      <c r="F10" s="0" t="n">
        <v>7550</v>
      </c>
      <c r="G10" s="0" t="n">
        <v>28.5045494015932</v>
      </c>
      <c r="H10" s="0" t="n">
        <v>8700</v>
      </c>
      <c r="I10" s="0" t="n">
        <v>7967</v>
      </c>
      <c r="J10" s="0" t="n">
        <v>30.0789066334428</v>
      </c>
      <c r="K10" s="0" t="n">
        <v>4.73</v>
      </c>
      <c r="L10" s="0" t="n">
        <v>8887</v>
      </c>
      <c r="M10" s="0" t="n">
        <v>1185</v>
      </c>
      <c r="N10" s="0" t="n">
        <v>7702</v>
      </c>
      <c r="O10" s="0" t="n">
        <v>39166</v>
      </c>
      <c r="P10" s="0" t="n">
        <v>48574</v>
      </c>
      <c r="Q10" s="0" t="n">
        <v>9408</v>
      </c>
      <c r="R10" s="0" t="n">
        <v>0</v>
      </c>
      <c r="S10" s="0" t="n">
        <v>7907</v>
      </c>
      <c r="T10" s="0" t="n">
        <v>1669</v>
      </c>
      <c r="U10" s="0" t="n">
        <v>1059</v>
      </c>
      <c r="V10" s="0" t="n">
        <v>1.54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25281</v>
      </c>
      <c r="C11" s="0" t="n">
        <v>10378</v>
      </c>
      <c r="F11" s="0" t="n">
        <v>5776</v>
      </c>
      <c r="G11" s="0" t="n">
        <v>22.8471975000989</v>
      </c>
      <c r="H11" s="0" t="n">
        <v>6990</v>
      </c>
      <c r="I11" s="0" t="n">
        <v>5271</v>
      </c>
      <c r="J11" s="0" t="n">
        <v>20.8496499347336</v>
      </c>
      <c r="K11" s="0" t="n">
        <v>3.26</v>
      </c>
      <c r="L11" s="0" t="n">
        <v>5506</v>
      </c>
      <c r="M11" s="0" t="n">
        <v>994</v>
      </c>
      <c r="N11" s="0" t="n">
        <v>4512</v>
      </c>
      <c r="O11" s="0" t="n">
        <v>31414</v>
      </c>
      <c r="P11" s="0" t="n">
        <v>50796</v>
      </c>
      <c r="Q11" s="0" t="n">
        <v>19382</v>
      </c>
      <c r="R11" s="0" t="n">
        <v>9969</v>
      </c>
      <c r="S11" s="0" t="n">
        <v>7560</v>
      </c>
      <c r="T11" s="0" t="n">
        <v>1524</v>
      </c>
      <c r="U11" s="0" t="n">
        <v>1026</v>
      </c>
      <c r="V11" s="0" t="n">
        <v>1.8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23554</v>
      </c>
      <c r="C12" s="0" t="n">
        <v>9749</v>
      </c>
      <c r="F12" s="0" t="n">
        <v>6495</v>
      </c>
      <c r="G12" s="0" t="n">
        <v>27.5749341937675</v>
      </c>
      <c r="H12" s="0" t="n">
        <v>7923</v>
      </c>
      <c r="I12" s="0" t="n">
        <v>5705</v>
      </c>
      <c r="J12" s="0" t="n">
        <v>24.220939118621</v>
      </c>
      <c r="K12" s="0" t="n">
        <v>3.84</v>
      </c>
      <c r="L12" s="0" t="n">
        <v>7632</v>
      </c>
      <c r="M12" s="0" t="n">
        <v>539</v>
      </c>
      <c r="N12" s="0" t="n">
        <v>7093</v>
      </c>
      <c r="O12" s="0" t="n">
        <v>31768</v>
      </c>
      <c r="P12" s="0" t="n">
        <v>52359</v>
      </c>
      <c r="Q12" s="0" t="n">
        <v>20591</v>
      </c>
      <c r="R12" s="0" t="n">
        <v>11757</v>
      </c>
      <c r="S12" s="0" t="n">
        <v>5946</v>
      </c>
      <c r="T12" s="0" t="n">
        <v>1498</v>
      </c>
      <c r="U12" s="0" t="n">
        <v>943</v>
      </c>
      <c r="V12" s="0" t="n">
        <v>2.02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22258</v>
      </c>
      <c r="C13" s="0" t="n">
        <v>9792</v>
      </c>
      <c r="F13" s="0" t="n">
        <v>2581</v>
      </c>
      <c r="G13" s="0" t="n">
        <v>11.5958307125528</v>
      </c>
      <c r="H13" s="0" t="n">
        <v>4042</v>
      </c>
      <c r="I13" s="0" t="n">
        <v>2445</v>
      </c>
      <c r="J13" s="0" t="n">
        <v>10.9848144487375</v>
      </c>
      <c r="K13" s="0" t="n">
        <v>1.66</v>
      </c>
      <c r="L13" s="0" t="n">
        <v>5001</v>
      </c>
      <c r="M13" s="0" t="n">
        <v>690</v>
      </c>
      <c r="N13" s="0" t="n">
        <v>4311</v>
      </c>
      <c r="O13" s="0" t="n">
        <v>30725</v>
      </c>
      <c r="P13" s="0" t="n">
        <v>65498</v>
      </c>
      <c r="Q13" s="0" t="n">
        <v>34740</v>
      </c>
      <c r="R13" s="0" t="n">
        <v>21893</v>
      </c>
      <c r="S13" s="0" t="n">
        <v>35029</v>
      </c>
      <c r="T13" s="0" t="n">
        <v>1490</v>
      </c>
      <c r="U13" s="0" t="n">
        <v>914</v>
      </c>
      <c r="V13" s="0" t="n">
        <v>2.2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22611</v>
      </c>
      <c r="C14" s="0" t="n">
        <v>10244</v>
      </c>
      <c r="F14" s="0" t="n">
        <v>621</v>
      </c>
      <c r="G14" s="0" t="n">
        <v>2.74645084251028</v>
      </c>
      <c r="H14" s="0" t="n">
        <v>2182</v>
      </c>
      <c r="I14" s="0" t="n">
        <v>-4964</v>
      </c>
      <c r="J14" s="0" t="n">
        <v>-21.9539162354606</v>
      </c>
      <c r="K14" s="0" t="n">
        <v>-3.39</v>
      </c>
      <c r="L14" s="0" t="n">
        <v>3908</v>
      </c>
      <c r="M14" s="0" t="n">
        <v>784</v>
      </c>
      <c r="N14" s="0" t="n">
        <v>3124</v>
      </c>
      <c r="O14" s="0" t="n">
        <v>807</v>
      </c>
      <c r="P14" s="0" t="n">
        <v>32718</v>
      </c>
      <c r="Q14" s="0" t="n">
        <v>31911</v>
      </c>
      <c r="R14" s="0" t="n">
        <v>16370</v>
      </c>
      <c r="S14" s="0" t="n">
        <v>11777</v>
      </c>
      <c r="T14" s="0" t="n">
        <v>1463</v>
      </c>
      <c r="U14" s="0" t="n">
        <v>883</v>
      </c>
      <c r="V14" s="0" t="n">
        <v>2.38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24273</v>
      </c>
      <c r="C15" s="0" t="n">
        <v>8599</v>
      </c>
      <c r="F15" s="0" t="n">
        <v>7667</v>
      </c>
      <c r="G15" s="0" t="n">
        <v>31.5865364808635</v>
      </c>
      <c r="H15" s="0" t="n">
        <v>9068</v>
      </c>
      <c r="I15" s="0" t="n">
        <v>4386</v>
      </c>
      <c r="J15" s="0" t="n">
        <v>18.0694598937091</v>
      </c>
      <c r="K15" s="0" t="n">
        <v>3.63</v>
      </c>
      <c r="L15" s="0" t="n">
        <v>7286</v>
      </c>
      <c r="M15" s="0" t="n">
        <v>887</v>
      </c>
      <c r="N15" s="0" t="n">
        <v>6399</v>
      </c>
      <c r="O15" s="0" t="n">
        <v>4909</v>
      </c>
      <c r="P15" s="0" t="n">
        <v>32957</v>
      </c>
      <c r="Q15" s="0" t="n">
        <v>28048</v>
      </c>
      <c r="R15" s="0" t="n">
        <v>15933</v>
      </c>
      <c r="S15" s="0" t="n">
        <v>11839</v>
      </c>
      <c r="T15" s="0" t="n">
        <v>1220</v>
      </c>
      <c r="U15" s="0" t="n">
        <v>1037</v>
      </c>
      <c r="V15" s="0" t="n">
        <v>2.48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23531</v>
      </c>
      <c r="C16" s="0" t="n">
        <v>9255</v>
      </c>
      <c r="F16" s="0" t="n">
        <v>6255</v>
      </c>
      <c r="G16" s="0" t="n">
        <v>26.581955717989</v>
      </c>
      <c r="H16" s="0" t="n">
        <v>7648</v>
      </c>
      <c r="I16" s="0" t="n">
        <v>5198</v>
      </c>
      <c r="J16" s="0" t="n">
        <v>22.0900089243976</v>
      </c>
      <c r="K16" s="0" t="n">
        <v>4.58</v>
      </c>
      <c r="L16" s="0" t="n">
        <v>5814</v>
      </c>
      <c r="M16" s="0" t="n">
        <v>1407</v>
      </c>
      <c r="N16" s="0" t="n">
        <v>4407</v>
      </c>
      <c r="O16" s="0" t="n">
        <v>6077</v>
      </c>
      <c r="P16" s="0" t="n">
        <v>35594</v>
      </c>
      <c r="Q16" s="0" t="n">
        <v>29517</v>
      </c>
      <c r="R16" s="0" t="n">
        <v>15726</v>
      </c>
      <c r="S16" s="0" t="n">
        <v>6707</v>
      </c>
      <c r="T16" s="0" t="n">
        <v>1149</v>
      </c>
      <c r="U16" s="0" t="n">
        <v>1212</v>
      </c>
      <c r="V16" s="0" t="n">
        <v>2.54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33566</v>
      </c>
      <c r="C17" s="0" t="n">
        <v>14262</v>
      </c>
      <c r="F17" s="0" t="n">
        <v>9789</v>
      </c>
      <c r="G17" s="0" t="n">
        <v>29.1634391944229</v>
      </c>
      <c r="H17" s="0" t="n">
        <v>11371</v>
      </c>
      <c r="I17" s="0" t="n">
        <v>9043</v>
      </c>
      <c r="J17" s="0" t="n">
        <v>26.9409521539653</v>
      </c>
      <c r="K17" s="0" t="n">
        <v>7.99</v>
      </c>
      <c r="L17" s="0" t="n">
        <v>10536</v>
      </c>
      <c r="M17" s="0" t="n">
        <v>1888</v>
      </c>
      <c r="N17" s="0" t="n">
        <v>8648</v>
      </c>
      <c r="O17" s="0" t="n">
        <v>9950</v>
      </c>
      <c r="P17" s="0" t="n">
        <v>41240</v>
      </c>
      <c r="Q17" s="0" t="n">
        <v>31290</v>
      </c>
      <c r="R17" s="0" t="n">
        <v>15745</v>
      </c>
      <c r="S17" s="0" t="n">
        <v>7116</v>
      </c>
      <c r="T17" s="0" t="n">
        <v>1149</v>
      </c>
      <c r="U17" s="0" t="n">
        <v>1670</v>
      </c>
      <c r="V17" s="0" t="n">
        <v>2.66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44200</v>
      </c>
      <c r="C18" s="0" t="n">
        <v>18635</v>
      </c>
      <c r="F18" s="0" t="n">
        <v>15860</v>
      </c>
      <c r="G18" s="0" t="n">
        <v>35.8823529411765</v>
      </c>
      <c r="H18" s="0" t="n">
        <v>17622</v>
      </c>
      <c r="I18" s="0" t="n">
        <v>12936</v>
      </c>
      <c r="J18" s="0" t="n">
        <v>29.2669683257919</v>
      </c>
      <c r="K18" s="0" t="n">
        <v>11.52</v>
      </c>
      <c r="L18" s="0" t="n">
        <v>9096</v>
      </c>
      <c r="M18" s="0" t="n">
        <v>2262</v>
      </c>
      <c r="N18" s="0" t="n">
        <v>6834</v>
      </c>
      <c r="O18" s="0" t="n">
        <v>18013</v>
      </c>
      <c r="P18" s="0" t="n">
        <v>49014</v>
      </c>
      <c r="Q18" s="0" t="n">
        <v>31001</v>
      </c>
      <c r="R18" s="0" t="n">
        <v>15482</v>
      </c>
      <c r="S18" s="0" t="n">
        <v>2773</v>
      </c>
      <c r="T18" s="0" t="n">
        <v>1137</v>
      </c>
      <c r="U18" s="0" t="n">
        <v>2061</v>
      </c>
      <c r="V18" s="0" t="n">
        <v>2.86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35820</v>
      </c>
      <c r="C19" s="0" t="n">
        <v>15869</v>
      </c>
      <c r="F19" s="0" t="n">
        <v>7788</v>
      </c>
      <c r="G19" s="0" t="n">
        <v>21.7420435510888</v>
      </c>
      <c r="H19" s="0" t="n">
        <v>9597</v>
      </c>
      <c r="I19" s="0" t="n">
        <v>7232</v>
      </c>
      <c r="J19" s="0" t="n">
        <v>20.1898380792853</v>
      </c>
      <c r="K19" s="0" t="n">
        <v>6.47</v>
      </c>
      <c r="L19" s="0" t="n">
        <v>11299</v>
      </c>
      <c r="M19" s="0" t="n">
        <v>1450</v>
      </c>
      <c r="N19" s="0" t="n">
        <v>9849</v>
      </c>
      <c r="O19" s="0" t="n">
        <v>21581</v>
      </c>
      <c r="P19" s="0" t="n">
        <v>51040</v>
      </c>
      <c r="Q19" s="0" t="n">
        <v>29459</v>
      </c>
      <c r="R19" s="0" t="n">
        <v>15398</v>
      </c>
      <c r="S19" s="0" t="n">
        <v>8450</v>
      </c>
      <c r="T19" s="0" t="n">
        <v>1126</v>
      </c>
      <c r="U19" s="0" t="n">
        <v>2484</v>
      </c>
      <c r="V19" s="0" t="n">
        <v>3.1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38962</v>
      </c>
      <c r="C20" s="0" t="n">
        <v>17060</v>
      </c>
      <c r="F20" s="0" t="n">
        <v>10071</v>
      </c>
      <c r="G20" s="0" t="n">
        <v>25.8482624095272</v>
      </c>
      <c r="H20" s="0" t="n">
        <v>11777</v>
      </c>
      <c r="I20" s="0" t="n">
        <v>10142</v>
      </c>
      <c r="J20" s="0" t="n">
        <v>26.0304912478826</v>
      </c>
      <c r="K20" s="0" t="n">
        <v>9.09</v>
      </c>
      <c r="L20" s="0" t="n">
        <v>12202</v>
      </c>
      <c r="M20" s="0" t="n">
        <v>1041</v>
      </c>
      <c r="N20" s="0" t="n">
        <v>11161</v>
      </c>
      <c r="O20" s="0" t="n">
        <v>26274</v>
      </c>
      <c r="P20" s="0" t="n">
        <v>55154</v>
      </c>
      <c r="Q20" s="0" t="n">
        <v>28880</v>
      </c>
      <c r="R20" s="0" t="n">
        <v>14634</v>
      </c>
      <c r="S20" s="0" t="n">
        <v>7849</v>
      </c>
      <c r="T20" s="0" t="n">
        <v>1130</v>
      </c>
      <c r="U20" s="0" t="n">
        <v>2648</v>
      </c>
      <c r="V20" s="0" t="n">
        <v>3.3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44284</v>
      </c>
      <c r="C21" s="0" t="n">
        <v>19738</v>
      </c>
      <c r="F21" s="0" t="n">
        <v>12355</v>
      </c>
      <c r="G21" s="0" t="n">
        <v>27.8994670761449</v>
      </c>
      <c r="H21" s="0" t="n">
        <v>13957</v>
      </c>
      <c r="I21" s="0" t="n">
        <v>5541</v>
      </c>
      <c r="J21" s="0" t="n">
        <v>12.5124198356065</v>
      </c>
      <c r="K21" s="0" t="n">
        <v>5.05</v>
      </c>
      <c r="L21" s="0" t="n">
        <v>14012</v>
      </c>
      <c r="M21" s="0" t="n">
        <v>1192</v>
      </c>
      <c r="N21" s="0" t="n">
        <v>12820</v>
      </c>
      <c r="O21" s="0" t="n">
        <v>21206</v>
      </c>
      <c r="P21" s="0" t="n">
        <v>50143</v>
      </c>
      <c r="Q21" s="0" t="n">
        <v>28937</v>
      </c>
      <c r="R21" s="0" t="n">
        <v>14811</v>
      </c>
      <c r="S21" s="0" t="n">
        <v>5520</v>
      </c>
      <c r="T21" s="0" t="n">
        <v>1105</v>
      </c>
      <c r="U21" s="0" t="n">
        <v>2783</v>
      </c>
      <c r="V21" s="0" t="n">
        <v>3.48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182.09</v>
      </c>
    </row>
    <row r="3" customFormat="false" ht="15" hidden="false" customHeight="false" outlineLevel="0" collapsed="false">
      <c r="A3" s="0" t="s">
        <v>86</v>
      </c>
      <c r="B3" s="3" t="n">
        <v>1066</v>
      </c>
    </row>
    <row r="4" customFormat="false" ht="15" hidden="false" customHeight="false" outlineLevel="0" collapsed="false">
      <c r="A4" s="0" t="s">
        <v>87</v>
      </c>
      <c r="B4" s="3" t="n">
        <v>6966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42898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-7</v>
      </c>
      <c r="D13" s="3" t="n">
        <v>-2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108</v>
      </c>
      <c r="C14" s="3" t="n">
        <v>31</v>
      </c>
      <c r="D14" s="3" t="n">
        <v>31</v>
      </c>
      <c r="E14" s="3" t="n">
        <v>31.5</v>
      </c>
      <c r="F14" s="3" t="n">
        <v>32</v>
      </c>
      <c r="G14" s="3" t="n">
        <v>32</v>
      </c>
      <c r="H14" s="3" t="n">
        <v>32</v>
      </c>
      <c r="I14" s="3" t="n">
        <v>32</v>
      </c>
      <c r="J14" s="3" t="n">
        <v>32</v>
      </c>
      <c r="K14" s="3" t="n">
        <v>32</v>
      </c>
      <c r="L14" s="3" t="n">
        <v>32</v>
      </c>
    </row>
    <row r="15" customFormat="false" ht="15" hidden="false" customHeight="false" outlineLevel="0" collapsed="false">
      <c r="A15" s="0" t="s">
        <v>109</v>
      </c>
      <c r="C15" s="3" t="n">
        <v>10.6</v>
      </c>
      <c r="D15" s="3" t="n">
        <v>10.5</v>
      </c>
      <c r="E15" s="3" t="n">
        <v>10.4</v>
      </c>
      <c r="F15" s="3" t="n">
        <v>10.3</v>
      </c>
      <c r="G15" s="3" t="n">
        <v>10.2</v>
      </c>
      <c r="H15" s="3" t="n">
        <v>10.1</v>
      </c>
      <c r="I15" s="3" t="n">
        <v>10</v>
      </c>
      <c r="J15" s="3" t="n">
        <v>10</v>
      </c>
      <c r="K15" s="3" t="n">
        <v>10</v>
      </c>
      <c r="L15" s="3" t="n">
        <v>10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3.9</v>
      </c>
      <c r="D17" s="3" t="n">
        <v>3.8</v>
      </c>
      <c r="E17" s="3" t="n">
        <v>3.7</v>
      </c>
      <c r="F17" s="3" t="n">
        <v>3.6</v>
      </c>
      <c r="G17" s="3" t="n">
        <v>3.5</v>
      </c>
      <c r="H17" s="3" t="n">
        <v>3.5</v>
      </c>
      <c r="I17" s="3" t="n">
        <v>3.5</v>
      </c>
      <c r="J17" s="3" t="n">
        <v>3.5</v>
      </c>
      <c r="K17" s="3" t="n">
        <v>3.5</v>
      </c>
      <c r="L17" s="3" t="n">
        <v>3.5</v>
      </c>
    </row>
    <row r="18" customFormat="false" ht="15" hidden="false" customHeight="false" outlineLevel="0" collapsed="false">
      <c r="A18" s="0" t="s">
        <v>112</v>
      </c>
      <c r="C18" s="3" t="n">
        <v>4.2</v>
      </c>
      <c r="D18" s="3" t="n">
        <v>4</v>
      </c>
      <c r="E18" s="3" t="n">
        <v>3.8</v>
      </c>
      <c r="F18" s="3" t="n">
        <v>3.6</v>
      </c>
      <c r="G18" s="3" t="n">
        <v>3.5</v>
      </c>
      <c r="H18" s="3" t="n">
        <v>3.5</v>
      </c>
      <c r="I18" s="3" t="n">
        <v>3.5</v>
      </c>
      <c r="J18" s="3" t="n">
        <v>3.5</v>
      </c>
      <c r="K18" s="3" t="n">
        <v>3.5</v>
      </c>
      <c r="L18" s="3" t="n">
        <v>3.5</v>
      </c>
    </row>
    <row r="19" customFormat="false" ht="15" hidden="false" customHeight="false" outlineLevel="0" collapsed="false">
      <c r="A19" s="0" t="s">
        <v>113</v>
      </c>
      <c r="C19" s="3" t="n">
        <v>17</v>
      </c>
      <c r="D19" s="3" t="n">
        <v>18</v>
      </c>
      <c r="E19" s="3" t="n">
        <v>19</v>
      </c>
      <c r="F19" s="3" t="n">
        <v>19</v>
      </c>
      <c r="G19" s="3" t="n">
        <v>19</v>
      </c>
      <c r="H19" s="3" t="n">
        <v>19</v>
      </c>
      <c r="I19" s="3" t="n">
        <v>19</v>
      </c>
      <c r="J19" s="3" t="n">
        <v>19</v>
      </c>
      <c r="K19" s="3" t="n">
        <v>19</v>
      </c>
      <c r="L19" s="3" t="n">
        <v>19</v>
      </c>
    </row>
    <row r="20" customFormat="false" ht="15" hidden="false" customHeight="false" outlineLevel="0" collapsed="false">
      <c r="A20" s="0" t="s">
        <v>114</v>
      </c>
      <c r="B20" s="3" t="n">
        <v>9.5</v>
      </c>
    </row>
    <row r="21" customFormat="false" ht="15" hidden="false" customHeight="false" outlineLevel="0" collapsed="false">
      <c r="A21" s="0" t="s">
        <v>115</v>
      </c>
      <c r="B21" s="3" t="n">
        <v>2</v>
      </c>
    </row>
    <row r="22" customFormat="false" ht="15" hidden="false" customHeight="false" outlineLevel="0" collapsed="false">
      <c r="A22" s="0" t="s">
        <v>116</v>
      </c>
      <c r="B22" s="3" t="n">
        <v>12</v>
      </c>
    </row>
    <row r="23" customFormat="false" ht="15" hidden="false" customHeight="false" outlineLevel="0" collapsed="false">
      <c r="A23" s="0" t="s">
        <v>117</v>
      </c>
      <c r="B23" s="3" t="n">
        <v>-10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-1</v>
      </c>
      <c r="D27" s="3" t="n">
        <v>3</v>
      </c>
      <c r="E27" s="3" t="n">
        <v>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108</v>
      </c>
      <c r="C28" s="3" t="n">
        <v>33</v>
      </c>
      <c r="D28" s="3" t="n">
        <v>34</v>
      </c>
      <c r="E28" s="3" t="n">
        <v>35</v>
      </c>
      <c r="F28" s="3" t="n">
        <v>35.5</v>
      </c>
      <c r="G28" s="3" t="n">
        <v>36</v>
      </c>
      <c r="H28" s="3" t="n">
        <v>36</v>
      </c>
      <c r="I28" s="3" t="n">
        <v>36</v>
      </c>
      <c r="J28" s="3" t="n">
        <v>36</v>
      </c>
      <c r="K28" s="3" t="n">
        <v>36</v>
      </c>
      <c r="L28" s="3" t="n">
        <v>36</v>
      </c>
    </row>
    <row r="29" customFormat="false" ht="15" hidden="false" customHeight="false" outlineLevel="0" collapsed="false">
      <c r="A29" s="0" t="s">
        <v>109</v>
      </c>
      <c r="C29" s="3" t="n">
        <v>10.3</v>
      </c>
      <c r="D29" s="3" t="n">
        <v>10.1</v>
      </c>
      <c r="E29" s="3" t="n">
        <v>9.9</v>
      </c>
      <c r="F29" s="3" t="n">
        <v>9.7</v>
      </c>
      <c r="G29" s="3" t="n">
        <v>9.5</v>
      </c>
      <c r="H29" s="3" t="n">
        <v>9.3</v>
      </c>
      <c r="I29" s="3" t="n">
        <v>9.1</v>
      </c>
      <c r="J29" s="3" t="n">
        <v>9</v>
      </c>
      <c r="K29" s="3" t="n">
        <v>9</v>
      </c>
      <c r="L29" s="3" t="n">
        <v>9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3.7</v>
      </c>
      <c r="D31" s="3" t="n">
        <v>3.6</v>
      </c>
      <c r="E31" s="3" t="n">
        <v>3.5</v>
      </c>
      <c r="F31" s="3" t="n">
        <v>3.4</v>
      </c>
      <c r="G31" s="3" t="n">
        <v>3.3</v>
      </c>
      <c r="H31" s="3" t="n">
        <v>3.3</v>
      </c>
      <c r="I31" s="3" t="n">
        <v>3.3</v>
      </c>
      <c r="J31" s="3" t="n">
        <v>3.3</v>
      </c>
      <c r="K31" s="3" t="n">
        <v>3.3</v>
      </c>
      <c r="L31" s="3" t="n">
        <v>3.3</v>
      </c>
    </row>
    <row r="32" customFormat="false" ht="15" hidden="false" customHeight="false" outlineLevel="0" collapsed="false">
      <c r="A32" s="0" t="s">
        <v>112</v>
      </c>
      <c r="C32" s="3" t="n">
        <v>4</v>
      </c>
      <c r="D32" s="3" t="n">
        <v>3.8</v>
      </c>
      <c r="E32" s="3" t="n">
        <v>3.6</v>
      </c>
      <c r="F32" s="3" t="n">
        <v>3.4</v>
      </c>
      <c r="G32" s="3" t="n">
        <v>3.3</v>
      </c>
      <c r="H32" s="3" t="n">
        <v>3.2</v>
      </c>
      <c r="I32" s="3" t="n">
        <v>3.2</v>
      </c>
      <c r="J32" s="3" t="n">
        <v>3.2</v>
      </c>
      <c r="K32" s="3" t="n">
        <v>3.2</v>
      </c>
      <c r="L32" s="3" t="n">
        <v>3.2</v>
      </c>
    </row>
    <row r="33" customFormat="false" ht="15" hidden="false" customHeight="false" outlineLevel="0" collapsed="false">
      <c r="A33" s="0" t="s">
        <v>113</v>
      </c>
      <c r="C33" s="3" t="n">
        <v>17</v>
      </c>
      <c r="D33" s="3" t="n">
        <v>18</v>
      </c>
      <c r="E33" s="3" t="n">
        <v>19</v>
      </c>
      <c r="F33" s="3" t="n">
        <v>19</v>
      </c>
      <c r="G33" s="3" t="n">
        <v>19</v>
      </c>
      <c r="H33" s="3" t="n">
        <v>19</v>
      </c>
      <c r="I33" s="3" t="n">
        <v>19</v>
      </c>
      <c r="J33" s="3" t="n">
        <v>19</v>
      </c>
      <c r="K33" s="3" t="n">
        <v>19</v>
      </c>
      <c r="L33" s="3" t="n">
        <v>19</v>
      </c>
    </row>
    <row r="34" customFormat="false" ht="15" hidden="false" customHeight="false" outlineLevel="0" collapsed="false">
      <c r="A34" s="0" t="s">
        <v>114</v>
      </c>
      <c r="B34" s="3" t="n">
        <v>9.5</v>
      </c>
    </row>
    <row r="35" customFormat="false" ht="15" hidden="false" customHeight="false" outlineLevel="0" collapsed="false">
      <c r="A35" s="0" t="s">
        <v>115</v>
      </c>
      <c r="B35" s="3" t="n">
        <v>2.5</v>
      </c>
    </row>
    <row r="36" customFormat="false" ht="15" hidden="false" customHeight="false" outlineLevel="0" collapsed="false">
      <c r="A36" s="0" t="s">
        <v>116</v>
      </c>
      <c r="B36" s="3" t="n">
        <v>14</v>
      </c>
    </row>
    <row r="37" customFormat="false" ht="15" hidden="false" customHeight="false" outlineLevel="0" collapsed="false">
      <c r="A37" s="0" t="s">
        <v>117</v>
      </c>
      <c r="B37" s="3" t="n">
        <v>-10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4</v>
      </c>
      <c r="D41" s="3" t="n">
        <v>9</v>
      </c>
      <c r="E41" s="3" t="n">
        <v>9</v>
      </c>
      <c r="F41" s="3" t="n">
        <v>7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108</v>
      </c>
      <c r="C42" s="3" t="n">
        <v>33.5</v>
      </c>
      <c r="D42" s="3" t="n">
        <v>35</v>
      </c>
      <c r="E42" s="3" t="n">
        <v>36.5</v>
      </c>
      <c r="F42" s="3" t="n">
        <v>37.5</v>
      </c>
      <c r="G42" s="3" t="n">
        <v>38</v>
      </c>
      <c r="H42" s="3" t="n">
        <v>38.5</v>
      </c>
      <c r="I42" s="3" t="n">
        <v>38.5</v>
      </c>
      <c r="J42" s="3" t="n">
        <v>38.5</v>
      </c>
      <c r="K42" s="3" t="n">
        <v>38.5</v>
      </c>
      <c r="L42" s="3" t="n">
        <v>38.5</v>
      </c>
    </row>
    <row r="43" customFormat="false" ht="15" hidden="false" customHeight="false" outlineLevel="0" collapsed="false">
      <c r="A43" s="0" t="s">
        <v>109</v>
      </c>
      <c r="C43" s="3" t="n">
        <v>10</v>
      </c>
      <c r="D43" s="3" t="n">
        <v>9.7</v>
      </c>
      <c r="E43" s="3" t="n">
        <v>9.4</v>
      </c>
      <c r="F43" s="3" t="n">
        <v>9.1</v>
      </c>
      <c r="G43" s="3" t="n">
        <v>8.8</v>
      </c>
      <c r="H43" s="3" t="n">
        <v>8.5</v>
      </c>
      <c r="I43" s="3" t="n">
        <v>8.5</v>
      </c>
      <c r="J43" s="3" t="n">
        <v>8.5</v>
      </c>
      <c r="K43" s="3" t="n">
        <v>8.5</v>
      </c>
      <c r="L43" s="3" t="n">
        <v>8.5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3.7</v>
      </c>
      <c r="D45" s="3" t="n">
        <v>3.6</v>
      </c>
      <c r="E45" s="3" t="n">
        <v>3.5</v>
      </c>
      <c r="F45" s="3" t="n">
        <v>3.4</v>
      </c>
      <c r="G45" s="3" t="n">
        <v>3.3</v>
      </c>
      <c r="H45" s="3" t="n">
        <v>3.3</v>
      </c>
      <c r="I45" s="3" t="n">
        <v>3.3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112</v>
      </c>
      <c r="C46" s="3" t="n">
        <v>4</v>
      </c>
      <c r="D46" s="3" t="n">
        <v>3.8</v>
      </c>
      <c r="E46" s="3" t="n">
        <v>3.6</v>
      </c>
      <c r="F46" s="3" t="n">
        <v>3.5</v>
      </c>
      <c r="G46" s="3" t="n">
        <v>3.4</v>
      </c>
      <c r="H46" s="3" t="n">
        <v>3.3</v>
      </c>
      <c r="I46" s="3" t="n">
        <v>3.3</v>
      </c>
      <c r="J46" s="3" t="n">
        <v>3.3</v>
      </c>
      <c r="K46" s="3" t="n">
        <v>3.3</v>
      </c>
      <c r="L46" s="3" t="n">
        <v>3.3</v>
      </c>
    </row>
    <row r="47" customFormat="false" ht="15" hidden="false" customHeight="false" outlineLevel="0" collapsed="false">
      <c r="A47" s="0" t="s">
        <v>113</v>
      </c>
      <c r="C47" s="3" t="n">
        <v>17</v>
      </c>
      <c r="D47" s="3" t="n">
        <v>18</v>
      </c>
      <c r="E47" s="3" t="n">
        <v>19</v>
      </c>
      <c r="F47" s="3" t="n">
        <v>19</v>
      </c>
      <c r="G47" s="3" t="n">
        <v>19</v>
      </c>
      <c r="H47" s="3" t="n">
        <v>19</v>
      </c>
      <c r="I47" s="3" t="n">
        <v>19</v>
      </c>
      <c r="J47" s="3" t="n">
        <v>19</v>
      </c>
      <c r="K47" s="3" t="n">
        <v>19</v>
      </c>
      <c r="L47" s="3" t="n">
        <v>19</v>
      </c>
    </row>
    <row r="48" customFormat="false" ht="15" hidden="false" customHeight="false" outlineLevel="0" collapsed="false">
      <c r="A48" s="0" t="s">
        <v>114</v>
      </c>
      <c r="B48" s="3" t="n">
        <v>9.5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16</v>
      </c>
    </row>
    <row r="51" customFormat="false" ht="15" hidden="false" customHeight="false" outlineLevel="0" collapsed="false">
      <c r="A51" s="0" t="s">
        <v>117</v>
      </c>
      <c r="B51" s="3" t="n">
        <v>-10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-7</v>
      </c>
      <c r="D5" s="4" t="n">
        <f aca="false">Assumptions!D13</f>
        <v>-2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42898</v>
      </c>
      <c r="C6" s="0" t="n">
        <f aca="false">B6*(1+C5/100)</f>
        <v>39895.14</v>
      </c>
      <c r="D6" s="0" t="n">
        <f aca="false">C6*(1+D5/100)</f>
        <v>39097.2372</v>
      </c>
      <c r="E6" s="0" t="n">
        <f aca="false">D6*(1+E5/100)</f>
        <v>39488.209572</v>
      </c>
      <c r="F6" s="0" t="n">
        <f aca="false">E6*(1+F5/100)</f>
        <v>40277.97376344</v>
      </c>
      <c r="G6" s="0" t="n">
        <f aca="false">F6*(1+G5/100)</f>
        <v>41083.5332387088</v>
      </c>
      <c r="H6" s="0" t="n">
        <f aca="false">G6*(1+H5/100)</f>
        <v>41905.203903483</v>
      </c>
      <c r="I6" s="0" t="n">
        <f aca="false">H6*(1+I5/100)</f>
        <v>42743.3079815526</v>
      </c>
      <c r="J6" s="0" t="n">
        <f aca="false">I6*(1+J5/100)</f>
        <v>43598.1741411837</v>
      </c>
      <c r="K6" s="0" t="n">
        <f aca="false">J6*(1+K5/100)</f>
        <v>44470.1376240074</v>
      </c>
      <c r="L6" s="0" t="n">
        <f aca="false">K6*(1+L5/100)</f>
        <v>45359.5403764875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31</v>
      </c>
      <c r="D7" s="4" t="n">
        <f aca="false">Assumptions!D14</f>
        <v>31</v>
      </c>
      <c r="E7" s="4" t="n">
        <f aca="false">Assumptions!E14</f>
        <v>31.5</v>
      </c>
      <c r="F7" s="4" t="n">
        <f aca="false">Assumptions!F14</f>
        <v>32</v>
      </c>
      <c r="G7" s="4" t="n">
        <f aca="false">Assumptions!G14</f>
        <v>32</v>
      </c>
      <c r="H7" s="4" t="n">
        <f aca="false">Assumptions!H14</f>
        <v>32</v>
      </c>
      <c r="I7" s="4" t="n">
        <f aca="false">Assumptions!I14</f>
        <v>32</v>
      </c>
      <c r="J7" s="4" t="n">
        <f aca="false">Assumptions!J14</f>
        <v>32</v>
      </c>
      <c r="K7" s="4" t="n">
        <f aca="false">Assumptions!K14</f>
        <v>32</v>
      </c>
      <c r="L7" s="4" t="n">
        <f aca="false">Assumptions!L14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12367.4934</v>
      </c>
      <c r="D8" s="0" t="n">
        <f aca="false">D6*D7/100</f>
        <v>12120.143532</v>
      </c>
      <c r="E8" s="0" t="n">
        <f aca="false">E6*E7/100</f>
        <v>12438.78601518</v>
      </c>
      <c r="F8" s="0" t="n">
        <f aca="false">F6*F7/100</f>
        <v>12888.9516043008</v>
      </c>
      <c r="G8" s="0" t="n">
        <f aca="false">G6*G7/100</f>
        <v>13146.7306363868</v>
      </c>
      <c r="H8" s="0" t="n">
        <f aca="false">H6*H7/100</f>
        <v>13409.6652491146</v>
      </c>
      <c r="I8" s="0" t="n">
        <f aca="false">I6*I7/100</f>
        <v>13677.8585540968</v>
      </c>
      <c r="J8" s="0" t="n">
        <f aca="false">J6*J7/100</f>
        <v>13951.4157251788</v>
      </c>
      <c r="K8" s="0" t="n">
        <f aca="false">K6*K7/100</f>
        <v>14230.4440396824</v>
      </c>
      <c r="L8" s="0" t="n">
        <f aca="false">L6*L7/100</f>
        <v>14515.052920476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10.6</v>
      </c>
      <c r="D9" s="4" t="n">
        <f aca="false">Assumptions!D15</f>
        <v>10.5</v>
      </c>
      <c r="E9" s="4" t="n">
        <f aca="false">Assumptions!E15</f>
        <v>10.4</v>
      </c>
      <c r="F9" s="4" t="n">
        <f aca="false">Assumptions!F15</f>
        <v>10.3</v>
      </c>
      <c r="G9" s="4" t="n">
        <f aca="false">Assumptions!G15</f>
        <v>10.2</v>
      </c>
      <c r="H9" s="4" t="n">
        <f aca="false">Assumptions!H15</f>
        <v>10.1</v>
      </c>
      <c r="I9" s="4" t="n">
        <f aca="false">Assumptions!I15</f>
        <v>10</v>
      </c>
      <c r="J9" s="4" t="n">
        <f aca="false">Assumptions!J15</f>
        <v>10</v>
      </c>
      <c r="K9" s="4" t="n">
        <f aca="false">Assumptions!K15</f>
        <v>10</v>
      </c>
      <c r="L9" s="4" t="n">
        <f aca="false">Assumptions!L15</f>
        <v>10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-4228.88484</v>
      </c>
      <c r="D10" s="0" t="n">
        <f aca="false">-D6*D9/100</f>
        <v>-4105.209906</v>
      </c>
      <c r="E10" s="0" t="n">
        <f aca="false">-E6*E9/100</f>
        <v>-4106.773795488</v>
      </c>
      <c r="F10" s="0" t="n">
        <f aca="false">-F6*F9/100</f>
        <v>-4148.63129763432</v>
      </c>
      <c r="G10" s="0" t="n">
        <f aca="false">-G6*G9/100</f>
        <v>-4190.5203903483</v>
      </c>
      <c r="H10" s="0" t="n">
        <f aca="false">-H6*H9/100</f>
        <v>-4232.42559425178</v>
      </c>
      <c r="I10" s="0" t="n">
        <f aca="false">-I6*I9/100</f>
        <v>-4274.33079815526</v>
      </c>
      <c r="J10" s="0" t="n">
        <f aca="false">-J6*J9/100</f>
        <v>-4359.81741411837</v>
      </c>
      <c r="K10" s="0" t="n">
        <f aca="false">-K6*K9/100</f>
        <v>-4447.01376240074</v>
      </c>
      <c r="L10" s="0" t="n">
        <f aca="false">-L6*L9/100</f>
        <v>-4535.95403764875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8138.60856</v>
      </c>
      <c r="D11" s="0" t="n">
        <f aca="false">D8+D10+D24</f>
        <v>8014.933626</v>
      </c>
      <c r="E11" s="0" t="n">
        <f aca="false">E8+E10+E24</f>
        <v>8332.012219692</v>
      </c>
      <c r="F11" s="0" t="n">
        <f aca="false">F8+F10+F24</f>
        <v>8740.32030666648</v>
      </c>
      <c r="G11" s="0" t="n">
        <f aca="false">G8+G10+G24</f>
        <v>8956.21024603852</v>
      </c>
      <c r="H11" s="0" t="n">
        <f aca="false">H8+H10+H24</f>
        <v>9177.23965486277</v>
      </c>
      <c r="I11" s="0" t="n">
        <f aca="false">I8+I10+I24</f>
        <v>9403.52775594158</v>
      </c>
      <c r="J11" s="0" t="n">
        <f aca="false">J8+J10+J24</f>
        <v>9591.59831106041</v>
      </c>
      <c r="K11" s="0" t="n">
        <f aca="false">K8+K10+K24</f>
        <v>9783.43027728162</v>
      </c>
      <c r="L11" s="0" t="n">
        <f aca="false">L8+L10+L24</f>
        <v>9979.09888282725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-1555.91046</v>
      </c>
      <c r="D12" s="4" t="n">
        <f aca="false">-D6*Assumptions!D17/100</f>
        <v>-1485.6950136</v>
      </c>
      <c r="E12" s="4" t="n">
        <f aca="false">-E6*Assumptions!E17/100</f>
        <v>-1461.063754164</v>
      </c>
      <c r="F12" s="4" t="n">
        <f aca="false">-F6*Assumptions!F17/100</f>
        <v>-1450.00705548384</v>
      </c>
      <c r="G12" s="4" t="n">
        <f aca="false">-G6*Assumptions!G17/100</f>
        <v>-1437.92366335481</v>
      </c>
      <c r="H12" s="4" t="n">
        <f aca="false">-H6*Assumptions!H17/100</f>
        <v>-1466.6821366219</v>
      </c>
      <c r="I12" s="4" t="n">
        <f aca="false">-I6*Assumptions!I17/100</f>
        <v>-1496.01577935434</v>
      </c>
      <c r="J12" s="4" t="n">
        <f aca="false">-J6*Assumptions!J17/100</f>
        <v>-1525.93609494143</v>
      </c>
      <c r="K12" s="4" t="n">
        <f aca="false">-K6*Assumptions!K17/100</f>
        <v>-1556.45481684026</v>
      </c>
      <c r="L12" s="4" t="n">
        <f aca="false">-L6*Assumptions!L17/100</f>
        <v>-1587.58391317706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6582.6981</v>
      </c>
      <c r="D13" s="0" t="n">
        <f aca="false">D11+D12</f>
        <v>6529.2386124</v>
      </c>
      <c r="E13" s="0" t="n">
        <f aca="false">E11+E12</f>
        <v>6870.948465528</v>
      </c>
      <c r="F13" s="0" t="n">
        <f aca="false">F11+F12</f>
        <v>7290.31325118264</v>
      </c>
      <c r="G13" s="0" t="n">
        <f aca="false">G11+G12</f>
        <v>7518.28658268371</v>
      </c>
      <c r="H13" s="0" t="n">
        <f aca="false">H11+H12</f>
        <v>7710.55751824087</v>
      </c>
      <c r="I13" s="0" t="n">
        <f aca="false">I11+I12</f>
        <v>7907.51197658724</v>
      </c>
      <c r="J13" s="0" t="n">
        <f aca="false">J11+J12</f>
        <v>8065.66221611898</v>
      </c>
      <c r="K13" s="0" t="n">
        <f aca="false">K11+K12</f>
        <v>8226.97546044136</v>
      </c>
      <c r="L13" s="0" t="n">
        <f aca="false">L11+L12</f>
        <v>8391.51496965019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17</v>
      </c>
      <c r="D14" s="4" t="n">
        <f aca="false">Assumptions!D19</f>
        <v>18</v>
      </c>
      <c r="E14" s="4" t="n">
        <f aca="false">Assumptions!E19</f>
        <v>19</v>
      </c>
      <c r="F14" s="4" t="n">
        <f aca="false">Assumptions!F19</f>
        <v>19</v>
      </c>
      <c r="G14" s="4" t="n">
        <f aca="false">Assumptions!G19</f>
        <v>19</v>
      </c>
      <c r="H14" s="4" t="n">
        <f aca="false">Assumptions!H19</f>
        <v>19</v>
      </c>
      <c r="I14" s="4" t="n">
        <f aca="false">Assumptions!I19</f>
        <v>19</v>
      </c>
      <c r="J14" s="4" t="n">
        <f aca="false">Assumptions!J19</f>
        <v>19</v>
      </c>
      <c r="K14" s="4" t="n">
        <f aca="false">Assumptions!K19</f>
        <v>19</v>
      </c>
      <c r="L14" s="4" t="n">
        <f aca="false">Assumptions!L19</f>
        <v>19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5463.639423</v>
      </c>
      <c r="D15" s="0" t="n">
        <f aca="false">D13-MAX(0,D13)*D14/100</f>
        <v>5353.975662168</v>
      </c>
      <c r="E15" s="0" t="n">
        <f aca="false">E13-MAX(0,E13)*E14/100</f>
        <v>5565.46825707768</v>
      </c>
      <c r="F15" s="0" t="n">
        <f aca="false">F13-MAX(0,F13)*F14/100</f>
        <v>5905.15373345794</v>
      </c>
      <c r="G15" s="0" t="n">
        <f aca="false">G13-MAX(0,G13)*G14/100</f>
        <v>6089.81213197381</v>
      </c>
      <c r="H15" s="0" t="n">
        <f aca="false">H13-MAX(0,H13)*H14/100</f>
        <v>6245.5515897751</v>
      </c>
      <c r="I15" s="0" t="n">
        <f aca="false">I13-MAX(0,I13)*I14/100</f>
        <v>6405.08470103566</v>
      </c>
      <c r="J15" s="0" t="n">
        <f aca="false">J13-MAX(0,J13)*J14/100</f>
        <v>6533.18639505638</v>
      </c>
      <c r="K15" s="0" t="n">
        <f aca="false">K13-MAX(0,K13)*K14/100</f>
        <v>6663.8501229575</v>
      </c>
      <c r="L15" s="0" t="n">
        <f aca="false">L13-MAX(0,L13)*L14/100</f>
        <v>6797.12712541665</v>
      </c>
    </row>
    <row r="16" customFormat="false" ht="15" hidden="false" customHeight="false" outlineLevel="0" collapsed="false">
      <c r="A16" s="0" t="s">
        <v>129</v>
      </c>
      <c r="C16" s="0" t="n">
        <f aca="false">-C12</f>
        <v>1555.91046</v>
      </c>
      <c r="D16" s="0" t="n">
        <f aca="false">-D12</f>
        <v>1485.6950136</v>
      </c>
      <c r="E16" s="0" t="n">
        <f aca="false">-E12</f>
        <v>1461.063754164</v>
      </c>
      <c r="F16" s="0" t="n">
        <f aca="false">-F12</f>
        <v>1450.00705548384</v>
      </c>
      <c r="G16" s="0" t="n">
        <f aca="false">-G12</f>
        <v>1437.92366335481</v>
      </c>
      <c r="H16" s="0" t="n">
        <f aca="false">-H12</f>
        <v>1466.6821366219</v>
      </c>
      <c r="I16" s="0" t="n">
        <f aca="false">-I12</f>
        <v>1496.01577935434</v>
      </c>
      <c r="J16" s="0" t="n">
        <f aca="false">-J12</f>
        <v>1525.93609494143</v>
      </c>
      <c r="K16" s="0" t="n">
        <f aca="false">-K12</f>
        <v>1556.45481684026</v>
      </c>
      <c r="L16" s="0" t="n">
        <f aca="false">-L12</f>
        <v>1587.58391317706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-1675.59588</v>
      </c>
      <c r="D17" s="4" t="n">
        <f aca="false">-D6*Assumptions!D18/100</f>
        <v>-1563.889488</v>
      </c>
      <c r="E17" s="4" t="n">
        <f aca="false">-E6*Assumptions!E18/100</f>
        <v>-1500.551963736</v>
      </c>
      <c r="F17" s="4" t="n">
        <f aca="false">-F6*Assumptions!F18/100</f>
        <v>-1450.00705548384</v>
      </c>
      <c r="G17" s="4" t="n">
        <f aca="false">-G6*Assumptions!G18/100</f>
        <v>-1437.92366335481</v>
      </c>
      <c r="H17" s="4" t="n">
        <f aca="false">-H6*Assumptions!H18/100</f>
        <v>-1466.6821366219</v>
      </c>
      <c r="I17" s="4" t="n">
        <f aca="false">-I6*Assumptions!I18/100</f>
        <v>-1496.01577935434</v>
      </c>
      <c r="J17" s="4" t="n">
        <f aca="false">-J6*Assumptions!J18/100</f>
        <v>-1525.93609494143</v>
      </c>
      <c r="K17" s="4" t="n">
        <f aca="false">-K6*Assumptions!K18/100</f>
        <v>-1556.45481684026</v>
      </c>
      <c r="L17" s="4" t="n">
        <f aca="false">-L6*Assumptions!L18/100</f>
        <v>-1587.58391317706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300.286</v>
      </c>
      <c r="D18" s="4" t="n">
        <f aca="false">(D6-C6)*Assumptions!$B$23/100</f>
        <v>79.7902800000004</v>
      </c>
      <c r="E18" s="4" t="n">
        <f aca="false">(E6-D6)*Assumptions!$B$23/100</f>
        <v>-39.0972372000004</v>
      </c>
      <c r="F18" s="4" t="n">
        <f aca="false">(F6-E6)*Assumptions!$B$23/100</f>
        <v>-78.9764191440001</v>
      </c>
      <c r="G18" s="4" t="n">
        <f aca="false">(G6-F6)*Assumptions!$B$23/100</f>
        <v>-80.5559475268798</v>
      </c>
      <c r="H18" s="4" t="n">
        <f aca="false">(H6-G6)*Assumptions!$B$23/100</f>
        <v>-82.1670664774174</v>
      </c>
      <c r="I18" s="4" t="n">
        <f aca="false">(I6-H6)*Assumptions!$B$23/100</f>
        <v>-83.8104078069657</v>
      </c>
      <c r="J18" s="4" t="n">
        <f aca="false">(J6-I6)*Assumptions!$B$23/100</f>
        <v>-85.4866159631056</v>
      </c>
      <c r="K18" s="4" t="n">
        <f aca="false">(K6-J6)*Assumptions!$B$23/100</f>
        <v>-87.1963482823674</v>
      </c>
      <c r="L18" s="4" t="n">
        <f aca="false">(L6-K6)*Assumptions!$B$23/100</f>
        <v>-88.940275248015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5644.240003</v>
      </c>
      <c r="D19" s="0" t="n">
        <f aca="false">D15+D16+D17+D18</f>
        <v>5355.571467768</v>
      </c>
      <c r="E19" s="0" t="n">
        <f aca="false">E15+E16+E17+E18</f>
        <v>5486.88281030568</v>
      </c>
      <c r="F19" s="0" t="n">
        <f aca="false">F15+F16+F17+F18</f>
        <v>5826.17731431394</v>
      </c>
      <c r="G19" s="0" t="n">
        <f aca="false">G15+G16+G17+G18</f>
        <v>6009.25618444693</v>
      </c>
      <c r="H19" s="0" t="n">
        <f aca="false">H15+H16+H17+H18</f>
        <v>6163.38452329768</v>
      </c>
      <c r="I19" s="0" t="n">
        <f aca="false">I15+I16+I17+I18</f>
        <v>6321.2742932287</v>
      </c>
      <c r="J19" s="0" t="n">
        <f aca="false">J15+J16+J17+J18</f>
        <v>6447.69977909327</v>
      </c>
      <c r="K19" s="0" t="n">
        <f aca="false">K15+K16+K17+K18</f>
        <v>6576.65377467514</v>
      </c>
      <c r="L19" s="0" t="n">
        <f aca="false">L15+L16+L17+L18</f>
        <v>6708.18685016864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5154.5570803653</v>
      </c>
      <c r="D21" s="0" t="n">
        <f aca="false">D19*D20</f>
        <v>4466.60533997873</v>
      </c>
      <c r="E21" s="0" t="n">
        <f aca="false">E19*E20</f>
        <v>4179.10542445545</v>
      </c>
      <c r="F21" s="0" t="n">
        <f aca="false">F19*F20</f>
        <v>4052.53916911432</v>
      </c>
      <c r="G21" s="0" t="n">
        <f aca="false">G19*G20</f>
        <v>3817.24577612681</v>
      </c>
      <c r="H21" s="0" t="n">
        <f aca="false">H19*H20</f>
        <v>3575.48160819064</v>
      </c>
      <c r="I21" s="0" t="n">
        <f aca="false">I19*I20</f>
        <v>3348.9279296878</v>
      </c>
      <c r="J21" s="0" t="n">
        <f aca="false">J19*J20</f>
        <v>3119.54930436672</v>
      </c>
      <c r="K21" s="0" t="n">
        <f aca="false">K19*K20</f>
        <v>2905.88154379365</v>
      </c>
      <c r="L21" s="0" t="n">
        <f aca="false">L19*L20</f>
        <v>2706.84856134203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37326.7417374215</v>
      </c>
    </row>
    <row r="31" customFormat="false" ht="15" hidden="false" customHeight="false" outlineLevel="0" collapsed="false">
      <c r="A31" s="0" t="s">
        <v>138</v>
      </c>
      <c r="B31" s="0" t="n">
        <f aca="false">L19</f>
        <v>6708.18685016864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91231.3411622935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80498.2422020237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80498.2422020237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32482.1827361044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69808.9244735259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62842.9244735259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58.9520867481481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-0.676247532823614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26585.7343643583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24892.376542415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107.242997542495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52633.4660551693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33.4003191961431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-1</v>
      </c>
      <c r="D5" s="4" t="n">
        <f aca="false">Assumptions!D27</f>
        <v>3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42898</v>
      </c>
      <c r="C6" s="0" t="n">
        <f aca="false">B6*(1+C5/100)</f>
        <v>42469.02</v>
      </c>
      <c r="D6" s="0" t="n">
        <f aca="false">C6*(1+D5/100)</f>
        <v>43743.0906</v>
      </c>
      <c r="E6" s="0" t="n">
        <f aca="false">D6*(1+E5/100)</f>
        <v>45930.24513</v>
      </c>
      <c r="F6" s="0" t="n">
        <f aca="false">E6*(1+F5/100)</f>
        <v>48226.7573865</v>
      </c>
      <c r="G6" s="0" t="n">
        <f aca="false">F6*(1+G5/100)</f>
        <v>50396.9614688925</v>
      </c>
      <c r="H6" s="0" t="n">
        <f aca="false">G6*(1+H5/100)</f>
        <v>52412.8399276482</v>
      </c>
      <c r="I6" s="0" t="n">
        <f aca="false">H6*(1+I5/100)</f>
        <v>54247.2893251159</v>
      </c>
      <c r="J6" s="0" t="n">
        <f aca="false">I6*(1+J5/100)</f>
        <v>55874.7080048694</v>
      </c>
      <c r="K6" s="0" t="n">
        <f aca="false">J6*(1+K5/100)</f>
        <v>57550.9492450154</v>
      </c>
      <c r="L6" s="0" t="n">
        <f aca="false">K6*(1+L5/100)</f>
        <v>59277.4777223659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33</v>
      </c>
      <c r="D7" s="4" t="n">
        <f aca="false">Assumptions!D28</f>
        <v>34</v>
      </c>
      <c r="E7" s="4" t="n">
        <f aca="false">Assumptions!E28</f>
        <v>35</v>
      </c>
      <c r="F7" s="4" t="n">
        <f aca="false">Assumptions!F28</f>
        <v>35.5</v>
      </c>
      <c r="G7" s="4" t="n">
        <f aca="false">Assumptions!G28</f>
        <v>36</v>
      </c>
      <c r="H7" s="4" t="n">
        <f aca="false">Assumptions!H28</f>
        <v>36</v>
      </c>
      <c r="I7" s="4" t="n">
        <f aca="false">Assumptions!I28</f>
        <v>36</v>
      </c>
      <c r="J7" s="4" t="n">
        <f aca="false">Assumptions!J28</f>
        <v>36</v>
      </c>
      <c r="K7" s="4" t="n">
        <f aca="false">Assumptions!K28</f>
        <v>36</v>
      </c>
      <c r="L7" s="4" t="n">
        <f aca="false">Assumptions!L28</f>
        <v>36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14014.7766</v>
      </c>
      <c r="D8" s="0" t="n">
        <f aca="false">D6*D7/100</f>
        <v>14872.650804</v>
      </c>
      <c r="E8" s="0" t="n">
        <f aca="false">E6*E7/100</f>
        <v>16075.5857955</v>
      </c>
      <c r="F8" s="0" t="n">
        <f aca="false">F6*F7/100</f>
        <v>17120.4988722075</v>
      </c>
      <c r="G8" s="0" t="n">
        <f aca="false">G6*G7/100</f>
        <v>18142.9061288013</v>
      </c>
      <c r="H8" s="0" t="n">
        <f aca="false">H6*H7/100</f>
        <v>18868.6223739534</v>
      </c>
      <c r="I8" s="0" t="n">
        <f aca="false">I6*I7/100</f>
        <v>19529.0241570417</v>
      </c>
      <c r="J8" s="0" t="n">
        <f aca="false">J6*J7/100</f>
        <v>20114.894881753</v>
      </c>
      <c r="K8" s="0" t="n">
        <f aca="false">K6*K7/100</f>
        <v>20718.3417282056</v>
      </c>
      <c r="L8" s="0" t="n">
        <f aca="false">L6*L7/100</f>
        <v>21339.8919800517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10.3</v>
      </c>
      <c r="D9" s="4" t="n">
        <f aca="false">Assumptions!D29</f>
        <v>10.1</v>
      </c>
      <c r="E9" s="4" t="n">
        <f aca="false">Assumptions!E29</f>
        <v>9.9</v>
      </c>
      <c r="F9" s="4" t="n">
        <f aca="false">Assumptions!F29</f>
        <v>9.7</v>
      </c>
      <c r="G9" s="4" t="n">
        <f aca="false">Assumptions!G29</f>
        <v>9.5</v>
      </c>
      <c r="H9" s="4" t="n">
        <f aca="false">Assumptions!H29</f>
        <v>9.3</v>
      </c>
      <c r="I9" s="4" t="n">
        <f aca="false">Assumptions!I29</f>
        <v>9.1</v>
      </c>
      <c r="J9" s="4" t="n">
        <f aca="false">Assumptions!J29</f>
        <v>9</v>
      </c>
      <c r="K9" s="4" t="n">
        <f aca="false">Assumptions!K29</f>
        <v>9</v>
      </c>
      <c r="L9" s="4" t="n">
        <f aca="false">Assumptions!L29</f>
        <v>9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-4374.30906</v>
      </c>
      <c r="D10" s="0" t="n">
        <f aca="false">-D6*D9/100</f>
        <v>-4418.0521506</v>
      </c>
      <c r="E10" s="0" t="n">
        <f aca="false">-E6*E9/100</f>
        <v>-4547.09426787</v>
      </c>
      <c r="F10" s="0" t="n">
        <f aca="false">-F6*F9/100</f>
        <v>-4677.9954664905</v>
      </c>
      <c r="G10" s="0" t="n">
        <f aca="false">-G6*G9/100</f>
        <v>-4787.71133954479</v>
      </c>
      <c r="H10" s="0" t="n">
        <f aca="false">-H6*H9/100</f>
        <v>-4874.39411327128</v>
      </c>
      <c r="I10" s="0" t="n">
        <f aca="false">-I6*I9/100</f>
        <v>-4936.50332858554</v>
      </c>
      <c r="J10" s="0" t="n">
        <f aca="false">-J6*J9/100</f>
        <v>-5028.72372043824</v>
      </c>
      <c r="K10" s="0" t="n">
        <f aca="false">-K6*K9/100</f>
        <v>-5179.58543205139</v>
      </c>
      <c r="L10" s="0" t="n">
        <f aca="false">-L6*L9/100</f>
        <v>-5334.97299501293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9640.46754</v>
      </c>
      <c r="D11" s="0" t="n">
        <f aca="false">D8+D10+D24</f>
        <v>10454.5986534</v>
      </c>
      <c r="E11" s="0" t="n">
        <f aca="false">E8+E10+E24</f>
        <v>11528.49152763</v>
      </c>
      <c r="F11" s="0" t="n">
        <f aca="false">F8+F10+F24</f>
        <v>12442.503405717</v>
      </c>
      <c r="G11" s="0" t="n">
        <f aca="false">G8+G10+G24</f>
        <v>13355.1947892565</v>
      </c>
      <c r="H11" s="0" t="n">
        <f aca="false">H8+H10+H24</f>
        <v>13994.2282606821</v>
      </c>
      <c r="I11" s="0" t="n">
        <f aca="false">I8+I10+I24</f>
        <v>14592.5208284562</v>
      </c>
      <c r="J11" s="0" t="n">
        <f aca="false">J8+J10+J24</f>
        <v>15086.1711613147</v>
      </c>
      <c r="K11" s="0" t="n">
        <f aca="false">K8+K10+K24</f>
        <v>15538.7562961542</v>
      </c>
      <c r="L11" s="0" t="n">
        <f aca="false">L8+L10+L24</f>
        <v>16004.9189850388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-1571.35374</v>
      </c>
      <c r="D12" s="4" t="n">
        <f aca="false">-D6*Assumptions!D31/100</f>
        <v>-1574.7512616</v>
      </c>
      <c r="E12" s="4" t="n">
        <f aca="false">-E6*Assumptions!E31/100</f>
        <v>-1607.55857955</v>
      </c>
      <c r="F12" s="4" t="n">
        <f aca="false">-F6*Assumptions!F31/100</f>
        <v>-1639.709751141</v>
      </c>
      <c r="G12" s="4" t="n">
        <f aca="false">-G6*Assumptions!G31/100</f>
        <v>-1663.09972847345</v>
      </c>
      <c r="H12" s="4" t="n">
        <f aca="false">-H6*Assumptions!H31/100</f>
        <v>-1729.62371761239</v>
      </c>
      <c r="I12" s="4" t="n">
        <f aca="false">-I6*Assumptions!I31/100</f>
        <v>-1790.16054772882</v>
      </c>
      <c r="J12" s="4" t="n">
        <f aca="false">-J6*Assumptions!J31/100</f>
        <v>-1843.86536416069</v>
      </c>
      <c r="K12" s="4" t="n">
        <f aca="false">-K6*Assumptions!K31/100</f>
        <v>-1899.18132508551</v>
      </c>
      <c r="L12" s="4" t="n">
        <f aca="false">-L6*Assumptions!L31/100</f>
        <v>-1956.15676483807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8069.1138</v>
      </c>
      <c r="D13" s="0" t="n">
        <f aca="false">D11+D12</f>
        <v>8879.8473918</v>
      </c>
      <c r="E13" s="0" t="n">
        <f aca="false">E11+E12</f>
        <v>9920.93294808</v>
      </c>
      <c r="F13" s="0" t="n">
        <f aca="false">F11+F12</f>
        <v>10802.793654576</v>
      </c>
      <c r="G13" s="0" t="n">
        <f aca="false">G11+G12</f>
        <v>11692.0950607831</v>
      </c>
      <c r="H13" s="0" t="n">
        <f aca="false">H11+H12</f>
        <v>12264.6045430697</v>
      </c>
      <c r="I13" s="0" t="n">
        <f aca="false">I11+I12</f>
        <v>12802.3602807273</v>
      </c>
      <c r="J13" s="0" t="n">
        <f aca="false">J11+J12</f>
        <v>13242.305797154</v>
      </c>
      <c r="K13" s="0" t="n">
        <f aca="false">K11+K12</f>
        <v>13639.5749710687</v>
      </c>
      <c r="L13" s="0" t="n">
        <f aca="false">L11+L12</f>
        <v>14048.7622202007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17</v>
      </c>
      <c r="D14" s="4" t="n">
        <f aca="false">Assumptions!D33</f>
        <v>18</v>
      </c>
      <c r="E14" s="4" t="n">
        <f aca="false">Assumptions!E33</f>
        <v>19</v>
      </c>
      <c r="F14" s="4" t="n">
        <f aca="false">Assumptions!F33</f>
        <v>19</v>
      </c>
      <c r="G14" s="4" t="n">
        <f aca="false">Assumptions!G33</f>
        <v>19</v>
      </c>
      <c r="H14" s="4" t="n">
        <f aca="false">Assumptions!H33</f>
        <v>19</v>
      </c>
      <c r="I14" s="4" t="n">
        <f aca="false">Assumptions!I33</f>
        <v>19</v>
      </c>
      <c r="J14" s="4" t="n">
        <f aca="false">Assumptions!J33</f>
        <v>19</v>
      </c>
      <c r="K14" s="4" t="n">
        <f aca="false">Assumptions!K33</f>
        <v>19</v>
      </c>
      <c r="L14" s="4" t="n">
        <f aca="false">Assumptions!L33</f>
        <v>19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6697.364454</v>
      </c>
      <c r="D15" s="0" t="n">
        <f aca="false">D13-MAX(0,D13)*D14/100</f>
        <v>7281.474861276</v>
      </c>
      <c r="E15" s="0" t="n">
        <f aca="false">E13-MAX(0,E13)*E14/100</f>
        <v>8035.9556879448</v>
      </c>
      <c r="F15" s="0" t="n">
        <f aca="false">F13-MAX(0,F13)*F14/100</f>
        <v>8750.26286020656</v>
      </c>
      <c r="G15" s="0" t="n">
        <f aca="false">G13-MAX(0,G13)*G14/100</f>
        <v>9470.59699923428</v>
      </c>
      <c r="H15" s="0" t="n">
        <f aca="false">H13-MAX(0,H13)*H14/100</f>
        <v>9934.32967988644</v>
      </c>
      <c r="I15" s="0" t="n">
        <f aca="false">I13-MAX(0,I13)*I14/100</f>
        <v>10369.9118273892</v>
      </c>
      <c r="J15" s="0" t="n">
        <f aca="false">J13-MAX(0,J13)*J14/100</f>
        <v>10726.2676956948</v>
      </c>
      <c r="K15" s="0" t="n">
        <f aca="false">K13-MAX(0,K13)*K14/100</f>
        <v>11048.0557265656</v>
      </c>
      <c r="L15" s="0" t="n">
        <f aca="false">L13-MAX(0,L13)*L14/100</f>
        <v>11379.4973983626</v>
      </c>
    </row>
    <row r="16" customFormat="false" ht="15" hidden="false" customHeight="false" outlineLevel="0" collapsed="false">
      <c r="A16" s="0" t="s">
        <v>129</v>
      </c>
      <c r="C16" s="0" t="n">
        <f aca="false">-C12</f>
        <v>1571.35374</v>
      </c>
      <c r="D16" s="0" t="n">
        <f aca="false">-D12</f>
        <v>1574.7512616</v>
      </c>
      <c r="E16" s="0" t="n">
        <f aca="false">-E12</f>
        <v>1607.55857955</v>
      </c>
      <c r="F16" s="0" t="n">
        <f aca="false">-F12</f>
        <v>1639.709751141</v>
      </c>
      <c r="G16" s="0" t="n">
        <f aca="false">-G12</f>
        <v>1663.09972847345</v>
      </c>
      <c r="H16" s="0" t="n">
        <f aca="false">-H12</f>
        <v>1729.62371761239</v>
      </c>
      <c r="I16" s="0" t="n">
        <f aca="false">-I12</f>
        <v>1790.16054772882</v>
      </c>
      <c r="J16" s="0" t="n">
        <f aca="false">-J12</f>
        <v>1843.86536416069</v>
      </c>
      <c r="K16" s="0" t="n">
        <f aca="false">-K12</f>
        <v>1899.18132508551</v>
      </c>
      <c r="L16" s="0" t="n">
        <f aca="false">-L12</f>
        <v>1956.15676483807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-1698.7608</v>
      </c>
      <c r="D17" s="4" t="n">
        <f aca="false">-D6*Assumptions!D32/100</f>
        <v>-1662.2374428</v>
      </c>
      <c r="E17" s="4" t="n">
        <f aca="false">-E6*Assumptions!E32/100</f>
        <v>-1653.48882468</v>
      </c>
      <c r="F17" s="4" t="n">
        <f aca="false">-F6*Assumptions!F32/100</f>
        <v>-1639.709751141</v>
      </c>
      <c r="G17" s="4" t="n">
        <f aca="false">-G6*Assumptions!G32/100</f>
        <v>-1663.09972847345</v>
      </c>
      <c r="H17" s="4" t="n">
        <f aca="false">-H6*Assumptions!H32/100</f>
        <v>-1677.21087768474</v>
      </c>
      <c r="I17" s="4" t="n">
        <f aca="false">-I6*Assumptions!I32/100</f>
        <v>-1735.91325840371</v>
      </c>
      <c r="J17" s="4" t="n">
        <f aca="false">-J6*Assumptions!J32/100</f>
        <v>-1787.99065615582</v>
      </c>
      <c r="K17" s="4" t="n">
        <f aca="false">-K6*Assumptions!K32/100</f>
        <v>-1841.63037584049</v>
      </c>
      <c r="L17" s="4" t="n">
        <f aca="false">-L6*Assumptions!L32/100</f>
        <v>-1896.87928711571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42.8980000000003</v>
      </c>
      <c r="D18" s="4" t="n">
        <f aca="false">(D6-C6)*Assumptions!$B$37/100</f>
        <v>-127.40706</v>
      </c>
      <c r="E18" s="4" t="n">
        <f aca="false">(E6-D6)*Assumptions!$B$37/100</f>
        <v>-218.715453</v>
      </c>
      <c r="F18" s="4" t="n">
        <f aca="false">(F6-E6)*Assumptions!$B$37/100</f>
        <v>-229.65122565</v>
      </c>
      <c r="G18" s="4" t="n">
        <f aca="false">(G6-F6)*Assumptions!$B$37/100</f>
        <v>-217.02040823925</v>
      </c>
      <c r="H18" s="4" t="n">
        <f aca="false">(H6-G6)*Assumptions!$B$37/100</f>
        <v>-201.58784587557</v>
      </c>
      <c r="I18" s="4" t="n">
        <f aca="false">(I6-H6)*Assumptions!$B$37/100</f>
        <v>-183.444939746768</v>
      </c>
      <c r="J18" s="4" t="n">
        <f aca="false">(J6-I6)*Assumptions!$B$37/100</f>
        <v>-162.741867975348</v>
      </c>
      <c r="K18" s="4" t="n">
        <f aca="false">(K6-J6)*Assumptions!$B$37/100</f>
        <v>-167.624124014608</v>
      </c>
      <c r="L18" s="4" t="n">
        <f aca="false">(L6-K6)*Assumptions!$B$37/100</f>
        <v>-172.652847735047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6612.855394</v>
      </c>
      <c r="D19" s="0" t="n">
        <f aca="false">D15+D16+D17+D18</f>
        <v>7066.581620076</v>
      </c>
      <c r="E19" s="0" t="n">
        <f aca="false">E15+E16+E17+E18</f>
        <v>7771.3099898148</v>
      </c>
      <c r="F19" s="0" t="n">
        <f aca="false">F15+F16+F17+F18</f>
        <v>8520.61163455656</v>
      </c>
      <c r="G19" s="0" t="n">
        <f aca="false">G15+G16+G17+G18</f>
        <v>9253.57659099503</v>
      </c>
      <c r="H19" s="0" t="n">
        <f aca="false">H15+H16+H17+H18</f>
        <v>9785.15467393852</v>
      </c>
      <c r="I19" s="0" t="n">
        <f aca="false">I15+I16+I17+I18</f>
        <v>10240.7141769675</v>
      </c>
      <c r="J19" s="0" t="n">
        <f aca="false">J15+J16+J17+J18</f>
        <v>10619.4005357243</v>
      </c>
      <c r="K19" s="0" t="n">
        <f aca="false">K15+K16+K17+K18</f>
        <v>10937.982551796</v>
      </c>
      <c r="L19" s="0" t="n">
        <f aca="false">L15+L16+L17+L18</f>
        <v>11266.1220283499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6039.13734611872</v>
      </c>
      <c r="D21" s="0" t="n">
        <f aca="false">D19*D20</f>
        <v>5893.60657206981</v>
      </c>
      <c r="E21" s="0" t="n">
        <f aca="false">E19*E20</f>
        <v>5919.04818389051</v>
      </c>
      <c r="F21" s="0" t="n">
        <f aca="false">F19*F20</f>
        <v>5926.71841775515</v>
      </c>
      <c r="G21" s="0" t="n">
        <f aca="false">G19*G20</f>
        <v>5878.12785340466</v>
      </c>
      <c r="H21" s="0" t="n">
        <f aca="false">H19*H20</f>
        <v>5676.53055520352</v>
      </c>
      <c r="I21" s="0" t="n">
        <f aca="false">I19*I20</f>
        <v>5425.39559846869</v>
      </c>
      <c r="J21" s="0" t="n">
        <f aca="false">J19*J20</f>
        <v>5137.91657319829</v>
      </c>
      <c r="K21" s="0" t="n">
        <f aca="false">K19*K20</f>
        <v>4832.92609168424</v>
      </c>
      <c r="L21" s="0" t="n">
        <f aca="false">L19*L20</f>
        <v>4546.04006797695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55275.4472597705</v>
      </c>
    </row>
    <row r="31" customFormat="false" ht="15" hidden="false" customHeight="false" outlineLevel="0" collapsed="false">
      <c r="A31" s="0" t="s">
        <v>138</v>
      </c>
      <c r="B31" s="0" t="n">
        <f aca="false">L19</f>
        <v>11266.1220283499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164968.215415124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157725.708396899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157725.708396899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63644.5609516773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118920.008211448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111954.008211448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105.022521774341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-0.423238388849792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29755.3522106035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31522.2245941933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162.50617731355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92382.2006324692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55.3387123110612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4</v>
      </c>
      <c r="D5" s="4" t="n">
        <f aca="false">Assumptions!D41</f>
        <v>9</v>
      </c>
      <c r="E5" s="4" t="n">
        <f aca="false">Assumptions!E41</f>
        <v>9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42898</v>
      </c>
      <c r="C6" s="0" t="n">
        <f aca="false">B6*(1+C5/100)</f>
        <v>44613.92</v>
      </c>
      <c r="D6" s="0" t="n">
        <f aca="false">C6*(1+D5/100)</f>
        <v>48629.1728</v>
      </c>
      <c r="E6" s="0" t="n">
        <f aca="false">D6*(1+E5/100)</f>
        <v>53005.798352</v>
      </c>
      <c r="F6" s="0" t="n">
        <f aca="false">E6*(1+F5/100)</f>
        <v>56716.20423664</v>
      </c>
      <c r="G6" s="0" t="n">
        <f aca="false">F6*(1+G5/100)</f>
        <v>60119.1764908384</v>
      </c>
      <c r="H6" s="0" t="n">
        <f aca="false">G6*(1+H5/100)</f>
        <v>63125.1353153803</v>
      </c>
      <c r="I6" s="0" t="n">
        <f aca="false">H6*(1+I5/100)</f>
        <v>65965.7664045724</v>
      </c>
      <c r="J6" s="0" t="n">
        <f aca="false">I6*(1+J5/100)</f>
        <v>68604.3970607553</v>
      </c>
      <c r="K6" s="0" t="n">
        <f aca="false">J6*(1+K5/100)</f>
        <v>71005.5509578818</v>
      </c>
      <c r="L6" s="0" t="n">
        <f aca="false">K6*(1+L5/100)</f>
        <v>73135.7174866182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33.5</v>
      </c>
      <c r="D7" s="4" t="n">
        <f aca="false">Assumptions!D42</f>
        <v>35</v>
      </c>
      <c r="E7" s="4" t="n">
        <f aca="false">Assumptions!E42</f>
        <v>36.5</v>
      </c>
      <c r="F7" s="4" t="n">
        <f aca="false">Assumptions!F42</f>
        <v>37.5</v>
      </c>
      <c r="G7" s="4" t="n">
        <f aca="false">Assumptions!G42</f>
        <v>38</v>
      </c>
      <c r="H7" s="4" t="n">
        <f aca="false">Assumptions!H42</f>
        <v>38.5</v>
      </c>
      <c r="I7" s="4" t="n">
        <f aca="false">Assumptions!I42</f>
        <v>38.5</v>
      </c>
      <c r="J7" s="4" t="n">
        <f aca="false">Assumptions!J42</f>
        <v>38.5</v>
      </c>
      <c r="K7" s="4" t="n">
        <f aca="false">Assumptions!K42</f>
        <v>38.5</v>
      </c>
      <c r="L7" s="4" t="n">
        <f aca="false">Assumptions!L42</f>
        <v>38.5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14945.6632</v>
      </c>
      <c r="D8" s="0" t="n">
        <f aca="false">D6*D7/100</f>
        <v>17020.21048</v>
      </c>
      <c r="E8" s="0" t="n">
        <f aca="false">E6*E7/100</f>
        <v>19347.11639848</v>
      </c>
      <c r="F8" s="0" t="n">
        <f aca="false">F6*F7/100</f>
        <v>21268.57658874</v>
      </c>
      <c r="G8" s="0" t="n">
        <f aca="false">G6*G7/100</f>
        <v>22845.2870665186</v>
      </c>
      <c r="H8" s="0" t="n">
        <f aca="false">H6*H7/100</f>
        <v>24303.1770964214</v>
      </c>
      <c r="I8" s="0" t="n">
        <f aca="false">I6*I7/100</f>
        <v>25396.8200657604</v>
      </c>
      <c r="J8" s="0" t="n">
        <f aca="false">J6*J7/100</f>
        <v>26412.6928683908</v>
      </c>
      <c r="K8" s="0" t="n">
        <f aca="false">K6*K7/100</f>
        <v>27337.1371187845</v>
      </c>
      <c r="L8" s="0" t="n">
        <f aca="false">L6*L7/100</f>
        <v>28157.251232348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10</v>
      </c>
      <c r="D9" s="4" t="n">
        <f aca="false">Assumptions!D43</f>
        <v>9.7</v>
      </c>
      <c r="E9" s="4" t="n">
        <f aca="false">Assumptions!E43</f>
        <v>9.4</v>
      </c>
      <c r="F9" s="4" t="n">
        <f aca="false">Assumptions!F43</f>
        <v>9.1</v>
      </c>
      <c r="G9" s="4" t="n">
        <f aca="false">Assumptions!G43</f>
        <v>8.8</v>
      </c>
      <c r="H9" s="4" t="n">
        <f aca="false">Assumptions!H43</f>
        <v>8.5</v>
      </c>
      <c r="I9" s="4" t="n">
        <f aca="false">Assumptions!I43</f>
        <v>8.5</v>
      </c>
      <c r="J9" s="4" t="n">
        <f aca="false">Assumptions!J43</f>
        <v>8.5</v>
      </c>
      <c r="K9" s="4" t="n">
        <f aca="false">Assumptions!K43</f>
        <v>8.5</v>
      </c>
      <c r="L9" s="4" t="n">
        <f aca="false">Assumptions!L43</f>
        <v>8.5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-4461.392</v>
      </c>
      <c r="D10" s="0" t="n">
        <f aca="false">-D6*D9/100</f>
        <v>-4717.0297616</v>
      </c>
      <c r="E10" s="0" t="n">
        <f aca="false">-E6*E9/100</f>
        <v>-4982.545045088</v>
      </c>
      <c r="F10" s="0" t="n">
        <f aca="false">-F6*F9/100</f>
        <v>-5161.17458553424</v>
      </c>
      <c r="G10" s="0" t="n">
        <f aca="false">-G6*G9/100</f>
        <v>-5290.48753119378</v>
      </c>
      <c r="H10" s="0" t="n">
        <f aca="false">-H6*H9/100</f>
        <v>-5365.63650180733</v>
      </c>
      <c r="I10" s="0" t="n">
        <f aca="false">-I6*I9/100</f>
        <v>-5607.09014438866</v>
      </c>
      <c r="J10" s="0" t="n">
        <f aca="false">-J6*J9/100</f>
        <v>-5831.3737501642</v>
      </c>
      <c r="K10" s="0" t="n">
        <f aca="false">-K6*K9/100</f>
        <v>-6035.47183141995</v>
      </c>
      <c r="L10" s="0" t="n">
        <f aca="false">-L6*L9/100</f>
        <v>-6216.53598636255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10484.2712</v>
      </c>
      <c r="D11" s="0" t="n">
        <f aca="false">D8+D10+D24</f>
        <v>12303.1807184</v>
      </c>
      <c r="E11" s="0" t="n">
        <f aca="false">E8+E10+E24</f>
        <v>14364.571353392</v>
      </c>
      <c r="F11" s="0" t="n">
        <f aca="false">F8+F10+F24</f>
        <v>16107.4020032058</v>
      </c>
      <c r="G11" s="0" t="n">
        <f aca="false">G8+G10+G24</f>
        <v>17554.7995353248</v>
      </c>
      <c r="H11" s="0" t="n">
        <f aca="false">H8+H10+H24</f>
        <v>18937.5405946141</v>
      </c>
      <c r="I11" s="0" t="n">
        <f aca="false">I8+I10+I24</f>
        <v>19789.7299213717</v>
      </c>
      <c r="J11" s="0" t="n">
        <f aca="false">J8+J10+J24</f>
        <v>20581.3191182266</v>
      </c>
      <c r="K11" s="0" t="n">
        <f aca="false">K8+K10+K24</f>
        <v>21301.6652873645</v>
      </c>
      <c r="L11" s="0" t="n">
        <f aca="false">L8+L10+L24</f>
        <v>21940.7152459855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-1650.71504</v>
      </c>
      <c r="D12" s="4" t="n">
        <f aca="false">-D6*Assumptions!D45/100</f>
        <v>-1750.6502208</v>
      </c>
      <c r="E12" s="4" t="n">
        <f aca="false">-E6*Assumptions!E45/100</f>
        <v>-1855.20294232</v>
      </c>
      <c r="F12" s="4" t="n">
        <f aca="false">-F6*Assumptions!F45/100</f>
        <v>-1928.35094404576</v>
      </c>
      <c r="G12" s="4" t="n">
        <f aca="false">-G6*Assumptions!G45/100</f>
        <v>-1983.93282419767</v>
      </c>
      <c r="H12" s="4" t="n">
        <f aca="false">-H6*Assumptions!H45/100</f>
        <v>-2083.12946540755</v>
      </c>
      <c r="I12" s="4" t="n">
        <f aca="false">-I6*Assumptions!I45/100</f>
        <v>-2176.87029135089</v>
      </c>
      <c r="J12" s="4" t="n">
        <f aca="false">-J6*Assumptions!J45/100</f>
        <v>-2263.94510300493</v>
      </c>
      <c r="K12" s="4" t="n">
        <f aca="false">-K6*Assumptions!K45/100</f>
        <v>-2343.1831816101</v>
      </c>
      <c r="L12" s="4" t="n">
        <f aca="false">-L6*Assumptions!L45/100</f>
        <v>-2413.4786770584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8833.55616</v>
      </c>
      <c r="D13" s="0" t="n">
        <f aca="false">D11+D12</f>
        <v>10552.5304976</v>
      </c>
      <c r="E13" s="0" t="n">
        <f aca="false">E11+E12</f>
        <v>12509.368411072</v>
      </c>
      <c r="F13" s="0" t="n">
        <f aca="false">F11+F12</f>
        <v>14179.05105916</v>
      </c>
      <c r="G13" s="0" t="n">
        <f aca="false">G11+G12</f>
        <v>15570.8667111271</v>
      </c>
      <c r="H13" s="0" t="n">
        <f aca="false">H11+H12</f>
        <v>16854.4111292065</v>
      </c>
      <c r="I13" s="0" t="n">
        <f aca="false">I11+I12</f>
        <v>17612.8596300208</v>
      </c>
      <c r="J13" s="0" t="n">
        <f aca="false">J11+J12</f>
        <v>18317.3740152217</v>
      </c>
      <c r="K13" s="0" t="n">
        <f aca="false">K11+K12</f>
        <v>18958.4821057544</v>
      </c>
      <c r="L13" s="0" t="n">
        <f aca="false">L11+L12</f>
        <v>19527.2365689271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17</v>
      </c>
      <c r="D14" s="4" t="n">
        <f aca="false">Assumptions!D47</f>
        <v>18</v>
      </c>
      <c r="E14" s="4" t="n">
        <f aca="false">Assumptions!E47</f>
        <v>19</v>
      </c>
      <c r="F14" s="4" t="n">
        <f aca="false">Assumptions!F47</f>
        <v>19</v>
      </c>
      <c r="G14" s="4" t="n">
        <f aca="false">Assumptions!G47</f>
        <v>19</v>
      </c>
      <c r="H14" s="4" t="n">
        <f aca="false">Assumptions!H47</f>
        <v>19</v>
      </c>
      <c r="I14" s="4" t="n">
        <f aca="false">Assumptions!I47</f>
        <v>19</v>
      </c>
      <c r="J14" s="4" t="n">
        <f aca="false">Assumptions!J47</f>
        <v>19</v>
      </c>
      <c r="K14" s="4" t="n">
        <f aca="false">Assumptions!K47</f>
        <v>19</v>
      </c>
      <c r="L14" s="4" t="n">
        <f aca="false">Assumptions!L47</f>
        <v>19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7331.8516128</v>
      </c>
      <c r="D15" s="0" t="n">
        <f aca="false">D13-MAX(0,D13)*D14/100</f>
        <v>8653.075008032</v>
      </c>
      <c r="E15" s="0" t="n">
        <f aca="false">E13-MAX(0,E13)*E14/100</f>
        <v>10132.5884129683</v>
      </c>
      <c r="F15" s="0" t="n">
        <f aca="false">F13-MAX(0,F13)*F14/100</f>
        <v>11485.0313579196</v>
      </c>
      <c r="G15" s="0" t="n">
        <f aca="false">G13-MAX(0,G13)*G14/100</f>
        <v>12612.402036013</v>
      </c>
      <c r="H15" s="0" t="n">
        <f aca="false">H13-MAX(0,H13)*H14/100</f>
        <v>13652.0730146573</v>
      </c>
      <c r="I15" s="0" t="n">
        <f aca="false">I13-MAX(0,I13)*I14/100</f>
        <v>14266.4163003169</v>
      </c>
      <c r="J15" s="0" t="n">
        <f aca="false">J13-MAX(0,J13)*J14/100</f>
        <v>14837.0729523296</v>
      </c>
      <c r="K15" s="0" t="n">
        <f aca="false">K13-MAX(0,K13)*K14/100</f>
        <v>15356.3705056611</v>
      </c>
      <c r="L15" s="0" t="n">
        <f aca="false">L13-MAX(0,L13)*L14/100</f>
        <v>15817.0616208309</v>
      </c>
    </row>
    <row r="16" customFormat="false" ht="15" hidden="false" customHeight="false" outlineLevel="0" collapsed="false">
      <c r="A16" s="0" t="s">
        <v>129</v>
      </c>
      <c r="C16" s="0" t="n">
        <f aca="false">-C12</f>
        <v>1650.71504</v>
      </c>
      <c r="D16" s="0" t="n">
        <f aca="false">-D12</f>
        <v>1750.6502208</v>
      </c>
      <c r="E16" s="0" t="n">
        <f aca="false">-E12</f>
        <v>1855.20294232</v>
      </c>
      <c r="F16" s="0" t="n">
        <f aca="false">-F12</f>
        <v>1928.35094404576</v>
      </c>
      <c r="G16" s="0" t="n">
        <f aca="false">-G12</f>
        <v>1983.93282419767</v>
      </c>
      <c r="H16" s="0" t="n">
        <f aca="false">-H12</f>
        <v>2083.12946540755</v>
      </c>
      <c r="I16" s="0" t="n">
        <f aca="false">-I12</f>
        <v>2176.87029135089</v>
      </c>
      <c r="J16" s="0" t="n">
        <f aca="false">-J12</f>
        <v>2263.94510300493</v>
      </c>
      <c r="K16" s="0" t="n">
        <f aca="false">-K12</f>
        <v>2343.1831816101</v>
      </c>
      <c r="L16" s="0" t="n">
        <f aca="false">-L12</f>
        <v>2413.4786770584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-1784.5568</v>
      </c>
      <c r="D17" s="4" t="n">
        <f aca="false">-D6*Assumptions!D46/100</f>
        <v>-1847.9085664</v>
      </c>
      <c r="E17" s="4" t="n">
        <f aca="false">-E6*Assumptions!E46/100</f>
        <v>-1908.208740672</v>
      </c>
      <c r="F17" s="4" t="n">
        <f aca="false">-F6*Assumptions!F46/100</f>
        <v>-1985.0671482824</v>
      </c>
      <c r="G17" s="4" t="n">
        <f aca="false">-G6*Assumptions!G46/100</f>
        <v>-2044.05200068851</v>
      </c>
      <c r="H17" s="4" t="n">
        <f aca="false">-H6*Assumptions!H46/100</f>
        <v>-2083.12946540755</v>
      </c>
      <c r="I17" s="4" t="n">
        <f aca="false">-I6*Assumptions!I46/100</f>
        <v>-2176.87029135089</v>
      </c>
      <c r="J17" s="4" t="n">
        <f aca="false">-J6*Assumptions!J46/100</f>
        <v>-2263.94510300493</v>
      </c>
      <c r="K17" s="4" t="n">
        <f aca="false">-K6*Assumptions!K46/100</f>
        <v>-2343.1831816101</v>
      </c>
      <c r="L17" s="4" t="n">
        <f aca="false">-L6*Assumptions!L46/100</f>
        <v>-2413.4786770584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-171.592</v>
      </c>
      <c r="D18" s="4" t="n">
        <f aca="false">(D6-C6)*Assumptions!$B$51/100</f>
        <v>-401.52528</v>
      </c>
      <c r="E18" s="4" t="n">
        <f aca="false">(E6-D6)*Assumptions!$B$51/100</f>
        <v>-437.662555200001</v>
      </c>
      <c r="F18" s="4" t="n">
        <f aca="false">(F6-E6)*Assumptions!$B$51/100</f>
        <v>-371.040588464</v>
      </c>
      <c r="G18" s="4" t="n">
        <f aca="false">(G6-F6)*Assumptions!$B$51/100</f>
        <v>-340.29722541984</v>
      </c>
      <c r="H18" s="4" t="n">
        <f aca="false">(H6-G6)*Assumptions!$B$51/100</f>
        <v>-300.595882454192</v>
      </c>
      <c r="I18" s="4" t="n">
        <f aca="false">(I6-H6)*Assumptions!$B$51/100</f>
        <v>-284.063108919211</v>
      </c>
      <c r="J18" s="4" t="n">
        <f aca="false">(J6-I6)*Assumptions!$B$51/100</f>
        <v>-263.86306561829</v>
      </c>
      <c r="K18" s="4" t="n">
        <f aca="false">(K6-J6)*Assumptions!$B$51/100</f>
        <v>-240.115389712644</v>
      </c>
      <c r="L18" s="4" t="n">
        <f aca="false">(L6-K6)*Assumptions!$B$51/100</f>
        <v>-213.016652873646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7026.4178528</v>
      </c>
      <c r="D19" s="0" t="n">
        <f aca="false">D15+D16+D17+D18</f>
        <v>8154.291382432</v>
      </c>
      <c r="E19" s="0" t="n">
        <f aca="false">E15+E16+E17+E18</f>
        <v>9641.92005941632</v>
      </c>
      <c r="F19" s="0" t="n">
        <f aca="false">F15+F16+F17+F18</f>
        <v>11057.274565219</v>
      </c>
      <c r="G19" s="0" t="n">
        <f aca="false">G15+G16+G17+G18</f>
        <v>12211.9856341023</v>
      </c>
      <c r="H19" s="0" t="n">
        <f aca="false">H15+H16+H17+H18</f>
        <v>13351.4771322031</v>
      </c>
      <c r="I19" s="0" t="n">
        <f aca="false">I15+I16+I17+I18</f>
        <v>13982.3531913977</v>
      </c>
      <c r="J19" s="0" t="n">
        <f aca="false">J15+J16+J17+J18</f>
        <v>14573.2098867113</v>
      </c>
      <c r="K19" s="0" t="n">
        <f aca="false">K15+K16+K17+K18</f>
        <v>15116.2551159484</v>
      </c>
      <c r="L19" s="0" t="n">
        <f aca="false">L15+L16+L17+L18</f>
        <v>15604.0449679573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6416.81995689498</v>
      </c>
      <c r="D21" s="0" t="n">
        <f aca="false">D19*D20</f>
        <v>6800.76844305331</v>
      </c>
      <c r="E21" s="0" t="n">
        <f aca="false">E19*E20</f>
        <v>7343.80554780388</v>
      </c>
      <c r="F21" s="0" t="n">
        <f aca="false">F19*F20</f>
        <v>7691.15594355678</v>
      </c>
      <c r="G21" s="0" t="n">
        <f aca="false">G19*G20</f>
        <v>7757.39112280645</v>
      </c>
      <c r="H21" s="0" t="n">
        <f aca="false">H19*H20</f>
        <v>7745.41337603064</v>
      </c>
      <c r="I21" s="0" t="n">
        <f aca="false">I19*I20</f>
        <v>7407.66670663075</v>
      </c>
      <c r="J21" s="0" t="n">
        <f aca="false">J19*J20</f>
        <v>7050.86283823121</v>
      </c>
      <c r="K21" s="0" t="n">
        <f aca="false">K19*K20</f>
        <v>6679.08761167541</v>
      </c>
      <c r="L21" s="0" t="n">
        <f aca="false">L19*L20</f>
        <v>6296.453515091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71189.4250617744</v>
      </c>
    </row>
    <row r="31" customFormat="false" ht="15" hidden="false" customHeight="false" outlineLevel="0" collapsed="false">
      <c r="A31" s="0" t="s">
        <v>138</v>
      </c>
      <c r="B31" s="0" t="n">
        <f aca="false">L19</f>
        <v>15604.0449679573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247264.097184554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249664.719487316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247264.097184554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99774.5710852882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170963.996147063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163997.996147063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153.844274059158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-0.155119588889241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32833.8395491805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39749.450411689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221.933664266353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133934.7193083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76.0754168503668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58.9520867481481</v>
      </c>
      <c r="C4" s="0" t="n">
        <f aca="false">B4/Assumptions!$B$2-1</f>
        <v>-0.676247532823614</v>
      </c>
      <c r="D4" s="4" t="n">
        <f aca="false">Assumptions!$B$24</f>
        <v>0.25</v>
      </c>
      <c r="E4" s="4" t="n">
        <f aca="false">DCF_Bear!$B$43</f>
        <v>107.242997542495</v>
      </c>
      <c r="F4" s="4" t="n">
        <f aca="false">DCF_Bear!$B$47</f>
        <v>33.4003191961431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105.022521774341</v>
      </c>
      <c r="C5" s="0" t="n">
        <f aca="false">B5/Assumptions!$B$2-1</f>
        <v>-0.423238388849792</v>
      </c>
      <c r="D5" s="4" t="n">
        <f aca="false">Assumptions!$B$38</f>
        <v>0.5</v>
      </c>
      <c r="E5" s="4" t="n">
        <f aca="false">DCF_Base!$B$43</f>
        <v>162.50617731355</v>
      </c>
      <c r="F5" s="4" t="n">
        <f aca="false">DCF_Base!$B$47</f>
        <v>55.3387123110612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153.844274059158</v>
      </c>
      <c r="C6" s="0" t="n">
        <f aca="false">B6/Assumptions!$B$2-1</f>
        <v>-0.155119588889241</v>
      </c>
      <c r="D6" s="4" t="n">
        <f aca="false">Assumptions!$B$52</f>
        <v>0.25</v>
      </c>
      <c r="E6" s="4" t="n">
        <f aca="false">DCF_Bull!$B$43</f>
        <v>221.933664266353</v>
      </c>
      <c r="F6" s="4" t="n">
        <f aca="false">DCF_Bull!$B$47</f>
        <v>76.0754168503668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105.710351088997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163.547254108987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-0.722537084818676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132.060405939447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55.0382901671581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109.086452350114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105.022521774341</v>
      </c>
      <c r="C16" s="3" t="n">
        <v>9.5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99.7815673527051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86.6564764414219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76.3200463767178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55.3387123110612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122.465458833817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122.465458833817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122.465458833817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122.465458833817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122.465458833817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113.341288777082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113.341288777082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113.341288777082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113.341288777082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113.341288777082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99.4252632478688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103.316690604369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105.022521774341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105.022521774341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105.022521774341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86.8287729575232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89.6410966996423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92.8049609095263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96.3906736807282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97.4290701393568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76.789277430511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78.8775627664949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81.197879806477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83.7911753217511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86.7086327764345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2026-10-02T07:49:49Z</dcterms:created>
  <dc:creator>openpyxl</dc:creator>
  <dc:description/>
  <dc:language>en-NZ</dc:language>
  <cp:lastModifiedBy/>
  <dcterms:modified xsi:type="dcterms:W3CDTF">2026-10-02T07:49:49Z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