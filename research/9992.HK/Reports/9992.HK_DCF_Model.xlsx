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<sst xmlns="http://schemas.openxmlformats.org/spreadsheetml/2006/main" count="365" uniqueCount="179">
  <si>
    <t xml:space="preserve">Ticker</t>
  </si>
  <si>
    <t xml:space="preserve">9992.HK</t>
  </si>
  <si>
    <t xml:space="preserve">Company</t>
  </si>
  <si>
    <t xml:space="preserve">Pop Mart International Group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</si>
  <si>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</si>
  <si>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</si>
  <si>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</si>
  <si>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</si>
  <si>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HKEX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</si>
  <si>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</si>
  <si>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</si>
  <si>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</si>
  <si>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</si>
  <si>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</si>
  <si>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</si>
  <si>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</si>
  <si>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</si>
  <si>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</si>
  <si>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</si>
  <si>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</si>
  <si>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</si>
  <si>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</si>
  <si>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2026-10-23T22:43:15Z</t>
  </si>
  <si>
    <t xml:space="preserve">Drivers file</t>
  </si>
  <si>
    <t xml:space="preserve">9992.HK_Drivers.json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</si>
  <si>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</si>
  <si>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</si>
  <si>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</si>
  <si>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Pop Mart as a branded-IP consumer company coming off a fad-driven peak, not as a compounder: the FY2025 RMB37bn revenue and 48% EBITDA margin are treated as a high-water mark, the forward path is anchored on H1 FY2026 actuals and the CEO's own admission that 20% growth will be missed, and the single-IP risk is carried explicitly by a deep bear case (revenue -40%, margins to 26%) at 30% weight. Terminal values are capped at 12x owner FCF, appropriate to a trend-sensitive discretionary business.
key_risks_to_valuation: LABUBU/THE MONSTERS concentration (~38% of FY2025 revenue): a faster cooling than the base case moves value toward the bear case; H2 FY2026 run-rate is unobserved; the base assumes H2 revenue -12% YoY and FY2026 +1%. A Citi-style -8% FY2026 would sit between base and bear; Counterfeiting ('Lafufu') eroding pricing power and gross margin beyond the guided 1-2pp; Lease commitments rising fast (RMB3.73bn, up 30% in six months) into slowing overseas demand: deleverage risk on flagship stores; FX: CNY/HKD 1.1744 bridge and overseas revenue translation; H1 FY2026 booked RMB720m FX losses; Upside: buyback of RMB2-5bn at depressed prices lowers the share count, which this model does not credit</t>
  </si>
  <si>
    <t xml:space="preserve">Data sources</t>
  </si>
  <si>
    <t xml:space="preserve">price: Yahoo Finance chart API at inputs.price_as_of; 52-week range 125.8-274.2 HKD
fx: Yahoo Finance CNYHKD=X, cross-checked against USDCNY=X and USDHKD=X
financials: 9992.HK_Metrics.csv / 9992.HK.duckdb (core_metrics, kpis) from Annual Reports FY2020-FY2025 and Interim Reports H1-2024 to H1-2026; balance sheet, EPS note 12(b) and lease note 15 read from 9992.HK_HalfYear_H1-2026.txt
qualitative: 9992.HK_Analysis.json (2026-10-24): H1 FY2026 regional declines, CEO comment on the 20% target, FY2026 gross-margin guidance, RMB2-5bn buyback</t>
  </si>
  <si>
    <t xml:space="preserve">Scenario narrative: bear</t>
  </si>
  <si>
    <t xml:space="preserve">The blind-box fad follows the Beanie Babies/Squishmallows arc. H1 FY2026's overseas declines (APAC -9.7%, Americas -16.5%) spread to China once the +47% lap is gone; 'Lafufu' counterfeits erode pricing and exclusivity; no successor IP replaces LABUBU's ~RMB14bn. Revenue falls ~40% from FY2025 to ~RMB22bn by FY2029 (still above FY2024's RMB13bn), store and lease costs deleverage, and EBITDA margin compresses to 26% -- towards FY2022's trough economics -- before low-single-digit growth resumes.</t>
  </si>
  <si>
    <t xml:space="preserve">Scenario narrative: base</t>
  </si>
  <si>
    <t xml:space="preserve">LABUBU cools from fad peak to a durable franchise rather than collapsing. FY2026 grows ~1% as H1's +23.8% is given back by an H2 decline against the Q3-2025 peak; FY2027 falls ~6% as Asia Pacific and the Americas keep normalising and China laps +47%. From FY2028 the IP matrix (SKULLPANDA, CRYBABY, MOLLY, DIMOO, HIRONO each &gt; RMB2bn) and measured overseas store roll-out return the group to mid-single-digit growth on a revenue base still ~2.7x FY2024. Margins give back the 2025 operating leverage: EBITDA 43% -&gt; 37%, lease costs ~3.2% of revenue as flagship overseas stores mature, owner-FCF margin ~22%.</t>
  </si>
  <si>
    <t xml:space="preserve">Scenario narrative: bull</t>
  </si>
  <si>
    <t xml:space="preserve">The 'pit-lane' year is just that: H2 FY2026 dips only modestly, the Sony LABUBU film (Paul King) and POP LAND extend the IP's half-life Disney-style, and a second IP breaks out internationally so single-IP share falls well below 38%. Americas/Europe resume double-digit growth from an early-stage store base; revenue compounds ~10% a year through FY2030 and margins hold ~43% EBITDA as overseas mix recovers and counterfeit enforcement protects pricing.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</si>
  <si>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</si>
  <si>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</si>
  <si>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</si>
  <si>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</si>
  <si>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</si>
  <si>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</si>
  <si>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</si>
  <si>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</si>
  <si>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</si>
  <si>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</si>
  <si>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</si>
  <si>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</si>
  <si>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</si>
  <si>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</si>
  <si>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</si>
  <si>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</si>
  <si>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</si>
  <si>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</si>
  <si>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</si>
  <si>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</si>
  <si>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</si>
  <si>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</si>
  <si>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</si>
  <si>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</si>
  <si>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</si>
  <si>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</si>
  <si>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</si>
  <si>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AdjustedNetProfit</t>
  </si>
  <si>
    <t xml:space="preserve">CapexPPE</t>
  </si>
  <si>
    <t xml:space="preserve">CashEquivalentsOnly</t>
  </si>
  <si>
    <t xml:space="preserve">CashGeneratedFromOperations</t>
  </si>
  <si>
    <t xml:space="preserve">LeasePayments</t>
  </si>
  <si>
    <t xml:space="preserve">NetIncomeInclNCI</t>
  </si>
  <si>
    <t xml:space="preserve">OnlineSales</t>
  </si>
  <si>
    <t xml:space="preserve">RevenueChina</t>
  </si>
  <si>
    <t xml:space="preserve">RevenueOverseas</t>
  </si>
  <si>
    <t xml:space="preserve">SegmentRevenueAPAC</t>
  </si>
  <si>
    <t xml:space="preserve">SegmentRevenueAmericas</t>
  </si>
  <si>
    <t xml:space="preserve">SegmentRevenueEurope</t>
  </si>
  <si>
    <t xml:space="preserve">StoreCount</t>
  </si>
  <si>
    <t xml:space="preserve">StoresChina</t>
  </si>
  <si>
    <t xml:space="preserve">TermDeposits</t>
  </si>
  <si>
    <t xml:space="preserve">TotalEquityInclNCI</t>
  </si>
  <si>
    <t xml:space="preserve">WholesaleRevenue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</si>
  <si>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</si>
  <si>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</si>
  <si>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</si>
  <si>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</si>
  <si>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</si>
  <si>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</si>
  <si>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</si>
  <si>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</si>
  <si>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</si>
  <si>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</si>
  <si>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</si>
  <si>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</si>
  <si>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</si>
  <si>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</si>
  <si>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</si>
  <si>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</si>
  <si>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</si>
  <si>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</si>
  <si>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</si>
  <si>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</si>
  <si>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</si>
  <si>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</si>
  <si>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</si>
  <si>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</si>
  <si>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</si>
  <si>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</si>
  <si>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</si>
  <si>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</si>
  <si>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</si>
  <si>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</si>
  <si>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</si>
  <si>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</si>
  <si>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</si>
  <si>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</si>
  <si>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</si>
  <si>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</si>
  <si>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</si>
  <si>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</si>
  <si>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</si>
  <si>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</si>
  <si>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</si>
  <si>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</si>
  <si>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</si>
  <si>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9992.HK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</si>
  <si>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</si>
  <si>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</si>
  <si>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</si>
  <si>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</si>
  <si>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</si>
  <si>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</si>
  <si>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</si>
  <si>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</si>
  <si>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</si>
  <si>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</si>
  <si>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</si>
  <si>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</si>
  <si>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</si>
  <si>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</si>
  <si>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</si>
  <si>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</si>
  <si>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</si>
  <si>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</si>
  <si>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</si>
  <si>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</si>
  <si>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</si>
  <si>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</si>
  <si>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</si>
  <si>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</si>
  <si>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</si>
  <si>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</si>
  <si>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</si>
  <si>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</si>
  <si>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</si>
  <si>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</si>
  <si>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9992.HK owner-FCF component DCF: base case (millions, CNY)</t>
  </si>
  <si>
    <t xml:space="preserve">9992.HK owner-FCF component DCF: bull case (millions, CNY)</t>
  </si>
  <si>
    <t xml:space="preserve">9992.HK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</si>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</sst>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131.7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  <c r="AO1" s="2" t="s">
        <v>76</v>
      </c>
      <c r="AP1" s="2" t="s">
        <v>77</v>
      </c>
      <c r="AQ1" s="2" t="s">
        <v>78</v>
      </c>
      <c r="AR1" s="2" t="s">
        <v>79</v>
      </c>
      <c r="AS1" s="2" t="s">
        <v>80</v>
      </c>
    </row>
    <row r="2" customFormat="false" ht="15" hidden="false" customHeight="false" outlineLevel="0" collapsed="false">
      <c r="A2" s="0" t="s">
        <v>81</v>
      </c>
      <c r="B2" s="0" t="n">
        <v>2513.471</v>
      </c>
      <c r="C2" s="0" t="n">
        <v>919.363</v>
      </c>
      <c r="D2" s="0" t="n">
        <v>1594.108</v>
      </c>
      <c r="E2" s="0" t="n">
        <v>63.4</v>
      </c>
      <c r="F2" s="0" t="n">
        <v>718.783</v>
      </c>
      <c r="G2" s="0" t="n">
        <v>28.6</v>
      </c>
      <c r="H2" s="0" t="n">
        <v>964.626</v>
      </c>
      <c r="I2" s="0" t="n">
        <v>523.505</v>
      </c>
      <c r="J2" s="0" t="n">
        <v>20.8</v>
      </c>
      <c r="K2" s="0" t="n">
        <v>0.44</v>
      </c>
      <c r="L2" s="0" t="n">
        <v>703.358</v>
      </c>
      <c r="M2" s="0" t="n">
        <v>223.592</v>
      </c>
      <c r="N2" s="0" t="n">
        <v>479.766</v>
      </c>
      <c r="O2" s="0" t="n">
        <v>6129.374</v>
      </c>
      <c r="P2" s="0" t="n">
        <v>6971.299</v>
      </c>
      <c r="Q2" s="0" t="n">
        <v>840.297</v>
      </c>
      <c r="R2" s="0" t="n">
        <v>0</v>
      </c>
      <c r="S2" s="0" t="n">
        <v>5680.235</v>
      </c>
      <c r="T2" s="0" t="n">
        <v>1211.223</v>
      </c>
      <c r="U2" s="0" t="n">
        <v>0</v>
      </c>
      <c r="AA2" s="0" t="s">
        <v>18</v>
      </c>
      <c r="AB2" s="0" t="s">
        <v>14</v>
      </c>
      <c r="AD2" s="0" t="n">
        <v>175.984</v>
      </c>
      <c r="AE2" s="0" t="n">
        <v>5680.235</v>
      </c>
      <c r="AF2" s="0" t="n">
        <v>899.881</v>
      </c>
      <c r="AG2" s="0" t="n">
        <v>147.995</v>
      </c>
      <c r="AH2" s="0" t="n">
        <v>523.312</v>
      </c>
      <c r="AI2" s="0" t="n">
        <v>951.875</v>
      </c>
      <c r="AP2" s="0" t="n">
        <v>187</v>
      </c>
      <c r="AR2" s="0" t="n">
        <v>6131.002</v>
      </c>
    </row>
    <row r="3" customFormat="false" ht="15" hidden="false" customHeight="false" outlineLevel="0" collapsed="false">
      <c r="A3" s="0" t="s">
        <v>82</v>
      </c>
      <c r="B3" s="0" t="n">
        <v>4490.651</v>
      </c>
      <c r="C3" s="0" t="n">
        <v>1732.027</v>
      </c>
      <c r="D3" s="0" t="n">
        <v>2758.624</v>
      </c>
      <c r="E3" s="0" t="n">
        <v>61.4</v>
      </c>
      <c r="F3" s="0" t="n">
        <v>1149.812</v>
      </c>
      <c r="G3" s="0" t="n">
        <v>25.6</v>
      </c>
      <c r="H3" s="0" t="n">
        <v>1584.814</v>
      </c>
      <c r="I3" s="0" t="n">
        <v>854.339</v>
      </c>
      <c r="J3" s="0" t="n">
        <v>19</v>
      </c>
      <c r="K3" s="0" t="n">
        <v>0.62</v>
      </c>
      <c r="L3" s="0" t="n">
        <v>779.097</v>
      </c>
      <c r="M3" s="0" t="n">
        <v>333.748</v>
      </c>
      <c r="N3" s="0" t="n">
        <v>445.349</v>
      </c>
      <c r="O3" s="0" t="n">
        <v>6818.182</v>
      </c>
      <c r="P3" s="0" t="n">
        <v>8323.626</v>
      </c>
      <c r="Q3" s="0" t="n">
        <v>1503.62</v>
      </c>
      <c r="R3" s="0" t="n">
        <v>0</v>
      </c>
      <c r="S3" s="0" t="n">
        <v>5264.71</v>
      </c>
      <c r="T3" s="0" t="n">
        <v>1378.827</v>
      </c>
      <c r="U3" s="0" t="n">
        <v>147.068</v>
      </c>
      <c r="AA3" s="0" t="s">
        <v>18</v>
      </c>
      <c r="AB3" s="0" t="s">
        <v>14</v>
      </c>
      <c r="AD3" s="0" t="n">
        <v>287.502</v>
      </c>
      <c r="AE3" s="0" t="n">
        <v>5264.71</v>
      </c>
      <c r="AF3" s="0" t="n">
        <v>1042.075</v>
      </c>
      <c r="AG3" s="0" t="n">
        <v>220.126</v>
      </c>
      <c r="AH3" s="0" t="n">
        <v>854.567</v>
      </c>
      <c r="AI3" s="0" t="n">
        <v>1879.189</v>
      </c>
      <c r="AP3" s="0" t="n">
        <v>295</v>
      </c>
      <c r="AR3" s="0" t="n">
        <v>6820.006</v>
      </c>
    </row>
    <row r="4" customFormat="false" ht="15" hidden="false" customHeight="false" outlineLevel="0" collapsed="false">
      <c r="A4" s="0" t="s">
        <v>83</v>
      </c>
      <c r="B4" s="0" t="n">
        <v>4617.324</v>
      </c>
      <c r="C4" s="0" t="n">
        <v>1962.781</v>
      </c>
      <c r="D4" s="0" t="n">
        <v>2654.543</v>
      </c>
      <c r="E4" s="0" t="n">
        <v>57.5</v>
      </c>
      <c r="F4" s="0" t="n">
        <v>583.38</v>
      </c>
      <c r="G4" s="0" t="n">
        <v>12.6</v>
      </c>
      <c r="H4" s="0" t="n">
        <v>1188.197</v>
      </c>
      <c r="I4" s="0" t="n">
        <v>475.66</v>
      </c>
      <c r="J4" s="0" t="n">
        <v>10.3</v>
      </c>
      <c r="K4" s="0" t="n">
        <v>0.35</v>
      </c>
      <c r="L4" s="0" t="n">
        <v>891.022</v>
      </c>
      <c r="M4" s="0" t="n">
        <v>347.623</v>
      </c>
      <c r="N4" s="0" t="n">
        <v>543.399</v>
      </c>
      <c r="O4" s="0" t="n">
        <v>6963.288</v>
      </c>
      <c r="P4" s="0" t="n">
        <v>8580.062</v>
      </c>
      <c r="Q4" s="0" t="n">
        <v>1614.737</v>
      </c>
      <c r="R4" s="0" t="n">
        <v>0</v>
      </c>
      <c r="S4" s="0" t="n">
        <v>5041.534</v>
      </c>
      <c r="T4" s="0" t="n">
        <v>1366.541</v>
      </c>
      <c r="U4" s="0" t="n">
        <v>97.739</v>
      </c>
      <c r="AA4" s="0" t="s">
        <v>18</v>
      </c>
      <c r="AB4" s="0" t="s">
        <v>14</v>
      </c>
      <c r="AD4" s="0" t="n">
        <v>266.132</v>
      </c>
      <c r="AE4" s="0" t="n">
        <v>685.314</v>
      </c>
      <c r="AF4" s="0" t="n">
        <v>1133.5</v>
      </c>
      <c r="AG4" s="0" t="n">
        <v>323.041</v>
      </c>
      <c r="AH4" s="0" t="n">
        <v>475.801</v>
      </c>
      <c r="AI4" s="0" t="n">
        <v>1829.809</v>
      </c>
      <c r="AJ4" s="0" t="n">
        <v>4163.386</v>
      </c>
      <c r="AK4" s="0" t="n">
        <v>453.938</v>
      </c>
      <c r="AP4" s="0" t="n">
        <v>329</v>
      </c>
      <c r="AQ4" s="0" t="n">
        <v>4356.22</v>
      </c>
      <c r="AR4" s="0" t="n">
        <v>6965.325</v>
      </c>
    </row>
    <row r="5" customFormat="false" ht="15" hidden="false" customHeight="false" outlineLevel="0" collapsed="false">
      <c r="A5" s="0" t="s">
        <v>84</v>
      </c>
      <c r="B5" s="0" t="n">
        <v>6301.002</v>
      </c>
      <c r="C5" s="0" t="n">
        <v>2436.931</v>
      </c>
      <c r="D5" s="0" t="n">
        <v>3864.071</v>
      </c>
      <c r="E5" s="0" t="n">
        <v>61.3</v>
      </c>
      <c r="F5" s="0" t="n">
        <v>1230.646</v>
      </c>
      <c r="G5" s="0" t="n">
        <v>19.5</v>
      </c>
      <c r="H5" s="0" t="n">
        <v>1899.211</v>
      </c>
      <c r="I5" s="0" t="n">
        <v>1082.344</v>
      </c>
      <c r="J5" s="0" t="n">
        <v>17.2</v>
      </c>
      <c r="K5" s="0" t="n">
        <v>0.81</v>
      </c>
      <c r="L5" s="0" t="n">
        <v>1990.596</v>
      </c>
      <c r="M5" s="0" t="n">
        <v>392.466</v>
      </c>
      <c r="N5" s="0" t="n">
        <v>1598.13</v>
      </c>
      <c r="O5" s="0" t="n">
        <v>7769.927</v>
      </c>
      <c r="P5" s="0" t="n">
        <v>9968.863</v>
      </c>
      <c r="Q5" s="0" t="n">
        <v>2188.481</v>
      </c>
      <c r="R5" s="0" t="n">
        <v>15.058</v>
      </c>
      <c r="S5" s="0" t="n">
        <v>5963.289</v>
      </c>
      <c r="T5" s="0" t="n">
        <v>1340.506</v>
      </c>
      <c r="U5" s="0" t="n">
        <v>101.748</v>
      </c>
      <c r="AA5" s="0" t="s">
        <v>18</v>
      </c>
      <c r="AB5" s="0" t="s">
        <v>14</v>
      </c>
      <c r="AD5" s="0" t="n">
        <v>324.179</v>
      </c>
      <c r="AE5" s="0" t="n">
        <v>2077.927</v>
      </c>
      <c r="AF5" s="0" t="n">
        <v>2143.208</v>
      </c>
      <c r="AG5" s="0" t="n">
        <v>384.999</v>
      </c>
      <c r="AH5" s="0" t="n">
        <v>1088.771</v>
      </c>
      <c r="AI5" s="0" t="n">
        <v>1710.469</v>
      </c>
      <c r="AJ5" s="0" t="n">
        <v>5234.901</v>
      </c>
      <c r="AK5" s="0" t="n">
        <v>1066.101</v>
      </c>
      <c r="AP5" s="0" t="n">
        <v>363</v>
      </c>
      <c r="AQ5" s="0" t="n">
        <v>3885.362</v>
      </c>
      <c r="AR5" s="0" t="n">
        <v>7780.382</v>
      </c>
    </row>
    <row r="6" customFormat="false" ht="15" hidden="false" customHeight="false" outlineLevel="0" collapsed="false">
      <c r="A6" s="0" t="s">
        <v>85</v>
      </c>
      <c r="B6" s="0" t="n">
        <v>13037.749</v>
      </c>
      <c r="C6" s="0" t="n">
        <v>4329.984</v>
      </c>
      <c r="D6" s="0" t="n">
        <v>8707.765</v>
      </c>
      <c r="E6" s="0" t="n">
        <v>66.8</v>
      </c>
      <c r="F6" s="0" t="n">
        <v>4154.272</v>
      </c>
      <c r="G6" s="0" t="n">
        <v>31.9</v>
      </c>
      <c r="H6" s="0" t="n">
        <v>5017.095</v>
      </c>
      <c r="I6" s="0" t="n">
        <v>3125.473</v>
      </c>
      <c r="J6" s="0" t="n">
        <v>24</v>
      </c>
      <c r="K6" s="0" t="n">
        <v>2.35</v>
      </c>
      <c r="L6" s="0" t="n">
        <v>4954.22</v>
      </c>
      <c r="M6" s="0" t="n">
        <v>516.69</v>
      </c>
      <c r="N6" s="0" t="n">
        <v>4437.53</v>
      </c>
      <c r="O6" s="0" t="n">
        <v>10683.505</v>
      </c>
      <c r="P6" s="0" t="n">
        <v>14870.672</v>
      </c>
      <c r="Q6" s="0" t="n">
        <v>3986.033</v>
      </c>
      <c r="R6" s="0" t="n">
        <v>0</v>
      </c>
      <c r="S6" s="0" t="n">
        <v>9620.16</v>
      </c>
      <c r="T6" s="0" t="n">
        <v>1332.08</v>
      </c>
      <c r="U6" s="0" t="n">
        <v>94.817</v>
      </c>
      <c r="AA6" s="0" t="s">
        <v>18</v>
      </c>
      <c r="AB6" s="0" t="s">
        <v>14</v>
      </c>
      <c r="AD6" s="0" t="n">
        <v>372.668</v>
      </c>
      <c r="AE6" s="0" t="n">
        <v>6109.017</v>
      </c>
      <c r="AF6" s="0" t="n">
        <v>5415.453</v>
      </c>
      <c r="AG6" s="0" t="n">
        <v>505.104</v>
      </c>
      <c r="AH6" s="0" t="n">
        <v>3308.345</v>
      </c>
      <c r="AI6" s="0" t="n">
        <v>2771.95</v>
      </c>
      <c r="AJ6" s="0" t="n">
        <v>8886.483</v>
      </c>
      <c r="AK6" s="0" t="n">
        <v>4151.266</v>
      </c>
      <c r="AL6" s="0" t="n">
        <v>3109.7</v>
      </c>
      <c r="AM6" s="0" t="n">
        <v>802.219</v>
      </c>
      <c r="AN6" s="0" t="n">
        <v>239.347</v>
      </c>
      <c r="AO6" s="0" t="n">
        <v>521</v>
      </c>
      <c r="AQ6" s="0" t="n">
        <v>3511.143</v>
      </c>
      <c r="AR6" s="0" t="n">
        <v>10884.639</v>
      </c>
      <c r="AS6" s="0" t="n">
        <v>762.92</v>
      </c>
    </row>
    <row r="7" customFormat="false" ht="15" hidden="false" customHeight="false" outlineLevel="0" collapsed="false">
      <c r="A7" s="0" t="s">
        <v>86</v>
      </c>
      <c r="B7" s="0" t="n">
        <v>37120.052</v>
      </c>
      <c r="C7" s="0" t="n">
        <v>10355.136</v>
      </c>
      <c r="D7" s="0" t="n">
        <v>26764.916</v>
      </c>
      <c r="E7" s="0" t="n">
        <v>72.1</v>
      </c>
      <c r="F7" s="0" t="n">
        <v>16890.474</v>
      </c>
      <c r="G7" s="0" t="n">
        <v>45.5</v>
      </c>
      <c r="H7" s="0" t="n">
        <v>18008.439</v>
      </c>
      <c r="I7" s="0" t="n">
        <v>12775.689</v>
      </c>
      <c r="J7" s="0" t="n">
        <v>34.4</v>
      </c>
      <c r="K7" s="0" t="n">
        <v>9.58</v>
      </c>
      <c r="L7" s="0" t="n">
        <v>10865.152</v>
      </c>
      <c r="M7" s="0" t="n">
        <v>1171.537</v>
      </c>
      <c r="N7" s="0" t="n">
        <v>9693.615</v>
      </c>
      <c r="O7" s="0" t="n">
        <v>22277.735</v>
      </c>
      <c r="P7" s="0" t="n">
        <v>32101.354</v>
      </c>
      <c r="Q7" s="0" t="n">
        <v>9448.987</v>
      </c>
      <c r="R7" s="0" t="n">
        <v>0</v>
      </c>
      <c r="S7" s="0" t="n">
        <v>17225.009</v>
      </c>
      <c r="T7" s="0" t="n">
        <v>1333.145</v>
      </c>
      <c r="U7" s="0" t="n">
        <v>71.604</v>
      </c>
      <c r="AA7" s="0" t="s">
        <v>18</v>
      </c>
      <c r="AB7" s="0" t="s">
        <v>14</v>
      </c>
      <c r="AD7" s="0" t="n">
        <v>985.25</v>
      </c>
      <c r="AE7" s="0" t="n">
        <v>13775.087</v>
      </c>
      <c r="AF7" s="0" t="n">
        <v>14704.78</v>
      </c>
      <c r="AG7" s="0" t="n">
        <v>608.288</v>
      </c>
      <c r="AH7" s="0" t="n">
        <v>13012.042</v>
      </c>
      <c r="AI7" s="0" t="n">
        <v>8522.321</v>
      </c>
      <c r="AJ7" s="0" t="n">
        <v>20851.717</v>
      </c>
      <c r="AK7" s="0" t="n">
        <v>16268.335</v>
      </c>
      <c r="AL7" s="0" t="n">
        <v>8011.027</v>
      </c>
      <c r="AM7" s="0" t="n">
        <v>6806.189</v>
      </c>
      <c r="AN7" s="0" t="n">
        <v>1451.119</v>
      </c>
      <c r="AO7" s="0" t="n">
        <v>630</v>
      </c>
      <c r="AQ7" s="0" t="n">
        <v>3449.922</v>
      </c>
      <c r="AR7" s="0" t="n">
        <v>22652.367</v>
      </c>
      <c r="AS7" s="0" t="n">
        <v>908.034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87</v>
      </c>
      <c r="B1" s="2" t="s">
        <v>88</v>
      </c>
    </row>
    <row r="2" customFormat="false" ht="15" hidden="false" customHeight="false" outlineLevel="0" collapsed="false">
      <c r="A2" s="0" t="s">
        <v>89</v>
      </c>
      <c r="B2" s="3" t="n">
        <v>131.7</v>
      </c>
    </row>
    <row r="3" customFormat="false" ht="15" hidden="false" customHeight="false" outlineLevel="0" collapsed="false">
      <c r="A3" s="0" t="s">
        <v>90</v>
      </c>
      <c r="B3" s="3" t="n">
        <v>1327.866</v>
      </c>
    </row>
    <row r="4" customFormat="false" ht="15" hidden="false" customHeight="false" outlineLevel="0" collapsed="false">
      <c r="A4" s="0" t="s">
        <v>91</v>
      </c>
      <c r="B4" s="3" t="n">
        <v>-12529.939</v>
      </c>
    </row>
    <row r="5" customFormat="false" ht="15" hidden="false" customHeight="false" outlineLevel="0" collapsed="false">
      <c r="A5" s="0" t="s">
        <v>92</v>
      </c>
      <c r="B5" s="3" t="n">
        <v>-460.2</v>
      </c>
    </row>
    <row r="6" customFormat="false" ht="15" hidden="false" customHeight="false" outlineLevel="0" collapsed="false">
      <c r="A6" s="0" t="s">
        <v>93</v>
      </c>
      <c r="B6" s="3" t="n">
        <v>15</v>
      </c>
    </row>
    <row r="7" customFormat="false" ht="15" hidden="false" customHeight="false" outlineLevel="0" collapsed="false">
      <c r="A7" s="0" t="s">
        <v>94</v>
      </c>
      <c r="B7" s="3" t="n">
        <v>37120.052</v>
      </c>
    </row>
    <row r="8" customFormat="false" ht="15" hidden="false" customHeight="false" outlineLevel="0" collapsed="false">
      <c r="A8" s="0" t="s">
        <v>95</v>
      </c>
      <c r="B8" s="3" t="s">
        <v>86</v>
      </c>
    </row>
    <row r="9" customFormat="false" ht="15" hidden="false" customHeight="false" outlineLevel="0" collapsed="false">
      <c r="A9" s="0" t="s">
        <v>96</v>
      </c>
      <c r="B9" s="3" t="s">
        <v>97</v>
      </c>
    </row>
    <row r="10" customFormat="false" ht="15" hidden="false" customHeight="false" outlineLevel="0" collapsed="false">
      <c r="A10" s="0" t="s">
        <v>98</v>
      </c>
      <c r="B10" s="3" t="n">
        <v>1.1744</v>
      </c>
    </row>
    <row r="12" customFormat="false" ht="15" hidden="false" customHeight="false" outlineLevel="0" collapsed="false">
      <c r="A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  <c r="K12" s="2" t="s">
        <v>108</v>
      </c>
      <c r="L12" s="2" t="s">
        <v>109</v>
      </c>
    </row>
    <row r="13" customFormat="false" ht="15" hidden="false" customHeight="false" outlineLevel="0" collapsed="false">
      <c r="A13" s="0" t="s">
        <v>110</v>
      </c>
      <c r="C13" s="3" t="n">
        <v>-4</v>
      </c>
      <c r="D13" s="3" t="n">
        <v>-25</v>
      </c>
      <c r="E13" s="3" t="n">
        <v>-15</v>
      </c>
      <c r="F13" s="3" t="n">
        <v>-3</v>
      </c>
      <c r="G13" s="3" t="n">
        <v>2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111</v>
      </c>
      <c r="C14" s="3" t="n">
        <v>41</v>
      </c>
      <c r="D14" s="3" t="n">
        <v>33</v>
      </c>
      <c r="E14" s="3" t="n">
        <v>29</v>
      </c>
      <c r="F14" s="3" t="n">
        <v>27</v>
      </c>
      <c r="G14" s="3" t="n">
        <v>26</v>
      </c>
      <c r="H14" s="3" t="n">
        <v>26</v>
      </c>
      <c r="I14" s="3" t="n">
        <v>26</v>
      </c>
      <c r="J14" s="3" t="n">
        <v>26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112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113</v>
      </c>
      <c r="C16" s="3" t="n">
        <v>3.4</v>
      </c>
      <c r="D16" s="3" t="n">
        <v>4</v>
      </c>
      <c r="E16" s="3" t="n">
        <v>4.2</v>
      </c>
      <c r="F16" s="3" t="n">
        <v>4</v>
      </c>
      <c r="G16" s="3" t="n">
        <v>3.8</v>
      </c>
      <c r="H16" s="3" t="n">
        <v>3.8</v>
      </c>
      <c r="I16" s="3" t="n">
        <v>3.8</v>
      </c>
      <c r="J16" s="3" t="n">
        <v>3.8</v>
      </c>
      <c r="K16" s="3" t="n">
        <v>3.8</v>
      </c>
      <c r="L16" s="3" t="n">
        <v>3.8</v>
      </c>
    </row>
    <row r="17" customFormat="false" ht="15" hidden="false" customHeight="false" outlineLevel="0" collapsed="false">
      <c r="A17" s="0" t="s">
        <v>114</v>
      </c>
      <c r="C17" s="3" t="n">
        <v>2.2</v>
      </c>
      <c r="D17" s="3" t="n">
        <v>2.8</v>
      </c>
      <c r="E17" s="3" t="n">
        <v>3</v>
      </c>
      <c r="F17" s="3" t="n">
        <v>2.9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115</v>
      </c>
      <c r="C18" s="3" t="n">
        <v>4</v>
      </c>
      <c r="D18" s="3" t="n">
        <v>3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116</v>
      </c>
      <c r="C19" s="3" t="n">
        <v>36</v>
      </c>
      <c r="D19" s="3" t="n">
        <v>28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117</v>
      </c>
      <c r="B20" s="3" t="n">
        <v>10.5</v>
      </c>
    </row>
    <row r="21" customFormat="false" ht="15" hidden="false" customHeight="false" outlineLevel="0" collapsed="false">
      <c r="A21" s="0" t="s">
        <v>118</v>
      </c>
      <c r="B21" s="3" t="n">
        <v>2</v>
      </c>
    </row>
    <row r="22" customFormat="false" ht="15" hidden="false" customHeight="false" outlineLevel="0" collapsed="false">
      <c r="A22" s="0" t="s">
        <v>119</v>
      </c>
      <c r="B22" s="3" t="n">
        <v>12</v>
      </c>
    </row>
    <row r="23" customFormat="false" ht="15" hidden="false" customHeight="false" outlineLevel="0" collapsed="false">
      <c r="A23" s="0" t="s">
        <v>120</v>
      </c>
      <c r="B23" s="3" t="n">
        <v>-6</v>
      </c>
    </row>
    <row r="24" customFormat="false" ht="15" hidden="false" customHeight="false" outlineLevel="0" collapsed="false">
      <c r="A24" s="0" t="s">
        <v>121</v>
      </c>
      <c r="B24" s="3" t="n">
        <v>0.3</v>
      </c>
    </row>
    <row r="26" customFormat="false" ht="15" hidden="false" customHeight="false" outlineLevel="0" collapsed="false">
      <c r="A26" s="2" t="s">
        <v>122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2" t="s">
        <v>105</v>
      </c>
      <c r="I26" s="2" t="s">
        <v>106</v>
      </c>
      <c r="J26" s="2" t="s">
        <v>107</v>
      </c>
      <c r="K26" s="2" t="s">
        <v>108</v>
      </c>
      <c r="L26" s="2" t="s">
        <v>109</v>
      </c>
    </row>
    <row r="27" customFormat="false" ht="15" hidden="false" customHeight="false" outlineLevel="0" collapsed="false">
      <c r="A27" s="0" t="s">
        <v>110</v>
      </c>
      <c r="C27" s="3" t="n">
        <v>1</v>
      </c>
      <c r="D27" s="3" t="n">
        <v>-6</v>
      </c>
      <c r="E27" s="3" t="n">
        <v>4</v>
      </c>
      <c r="F27" s="3" t="n">
        <v>6</v>
      </c>
      <c r="G27" s="3" t="n">
        <v>6</v>
      </c>
      <c r="H27" s="3" t="n">
        <v>5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111</v>
      </c>
      <c r="C28" s="3" t="n">
        <v>43</v>
      </c>
      <c r="D28" s="3" t="n">
        <v>40</v>
      </c>
      <c r="E28" s="3" t="n">
        <v>38.5</v>
      </c>
      <c r="F28" s="3" t="n">
        <v>38</v>
      </c>
      <c r="G28" s="3" t="n">
        <v>37.5</v>
      </c>
      <c r="H28" s="3" t="n">
        <v>37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112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113</v>
      </c>
      <c r="C30" s="3" t="n">
        <v>3.3</v>
      </c>
      <c r="D30" s="3" t="n">
        <v>3.4</v>
      </c>
      <c r="E30" s="3" t="n">
        <v>3.3</v>
      </c>
      <c r="F30" s="3" t="n">
        <v>3.3</v>
      </c>
      <c r="G30" s="3" t="n">
        <v>3.2</v>
      </c>
      <c r="H30" s="3" t="n">
        <v>3.2</v>
      </c>
      <c r="I30" s="3" t="n">
        <v>3.2</v>
      </c>
      <c r="J30" s="3" t="n">
        <v>3.2</v>
      </c>
      <c r="K30" s="3" t="n">
        <v>3.2</v>
      </c>
      <c r="L30" s="3" t="n">
        <v>3.2</v>
      </c>
    </row>
    <row r="31" customFormat="false" ht="15" hidden="false" customHeight="false" outlineLevel="0" collapsed="false">
      <c r="A31" s="0" t="s">
        <v>114</v>
      </c>
      <c r="C31" s="3" t="n">
        <v>2.2</v>
      </c>
      <c r="D31" s="3" t="n">
        <v>2.5</v>
      </c>
      <c r="E31" s="3" t="n">
        <v>2.6</v>
      </c>
      <c r="F31" s="3" t="n">
        <v>2.7</v>
      </c>
      <c r="G31" s="3" t="n">
        <v>2.7</v>
      </c>
      <c r="H31" s="3" t="n">
        <v>2.7</v>
      </c>
      <c r="I31" s="3" t="n">
        <v>2.7</v>
      </c>
      <c r="J31" s="3" t="n">
        <v>2.7</v>
      </c>
      <c r="K31" s="3" t="n">
        <v>2.7</v>
      </c>
      <c r="L31" s="3" t="n">
        <v>2.7</v>
      </c>
    </row>
    <row r="32" customFormat="false" ht="15" hidden="false" customHeight="false" outlineLevel="0" collapsed="false">
      <c r="A32" s="0" t="s">
        <v>115</v>
      </c>
      <c r="C32" s="3" t="n">
        <v>4</v>
      </c>
      <c r="D32" s="3" t="n">
        <v>3.5</v>
      </c>
      <c r="E32" s="3" t="n">
        <v>3.2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116</v>
      </c>
      <c r="C33" s="3" t="n">
        <v>34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117</v>
      </c>
      <c r="B34" s="3" t="n">
        <v>10.5</v>
      </c>
    </row>
    <row r="35" customFormat="false" ht="15" hidden="false" customHeight="false" outlineLevel="0" collapsed="false">
      <c r="A35" s="0" t="s">
        <v>118</v>
      </c>
      <c r="B35" s="3" t="n">
        <v>2.5</v>
      </c>
    </row>
    <row r="36" customFormat="false" ht="15" hidden="false" customHeight="false" outlineLevel="0" collapsed="false">
      <c r="A36" s="0" t="s">
        <v>119</v>
      </c>
      <c r="B36" s="3" t="n">
        <v>12</v>
      </c>
    </row>
    <row r="37" customFormat="false" ht="15" hidden="false" customHeight="false" outlineLevel="0" collapsed="false">
      <c r="A37" s="0" t="s">
        <v>120</v>
      </c>
      <c r="B37" s="3" t="n">
        <v>-12</v>
      </c>
    </row>
    <row r="38" customFormat="false" ht="15" hidden="false" customHeight="false" outlineLevel="0" collapsed="false">
      <c r="A38" s="0" t="s">
        <v>121</v>
      </c>
      <c r="B38" s="3" t="n">
        <v>0.45</v>
      </c>
    </row>
    <row r="40" customFormat="false" ht="15" hidden="false" customHeight="false" outlineLevel="0" collapsed="false">
      <c r="A40" s="2" t="s">
        <v>123</v>
      </c>
      <c r="C40" s="2" t="s">
        <v>100</v>
      </c>
      <c r="D40" s="2" t="s">
        <v>101</v>
      </c>
      <c r="E40" s="2" t="s">
        <v>102</v>
      </c>
      <c r="F40" s="2" t="s">
        <v>103</v>
      </c>
      <c r="G40" s="2" t="s">
        <v>104</v>
      </c>
      <c r="H40" s="2" t="s">
        <v>105</v>
      </c>
      <c r="I40" s="2" t="s">
        <v>106</v>
      </c>
      <c r="J40" s="2" t="s">
        <v>107</v>
      </c>
      <c r="K40" s="2" t="s">
        <v>108</v>
      </c>
      <c r="L40" s="2" t="s">
        <v>109</v>
      </c>
    </row>
    <row r="41" customFormat="false" ht="15" hidden="false" customHeight="false" outlineLevel="0" collapsed="false">
      <c r="A41" s="0" t="s">
        <v>110</v>
      </c>
      <c r="C41" s="3" t="n">
        <v>6</v>
      </c>
      <c r="D41" s="3" t="n">
        <v>8</v>
      </c>
      <c r="E41" s="3" t="n">
        <v>12</v>
      </c>
      <c r="F41" s="3" t="n">
        <v>11</v>
      </c>
      <c r="G41" s="3" t="n">
        <v>10</v>
      </c>
      <c r="H41" s="3" t="n">
        <v>9</v>
      </c>
      <c r="I41" s="3" t="n">
        <v>8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111</v>
      </c>
      <c r="C42" s="3" t="n">
        <v>44.5</v>
      </c>
      <c r="D42" s="3" t="n">
        <v>44</v>
      </c>
      <c r="E42" s="3" t="n">
        <v>43.5</v>
      </c>
      <c r="F42" s="3" t="n">
        <v>43</v>
      </c>
      <c r="G42" s="3" t="n">
        <v>43</v>
      </c>
      <c r="H42" s="3" t="n">
        <v>43</v>
      </c>
      <c r="I42" s="3" t="n">
        <v>43</v>
      </c>
      <c r="J42" s="3" t="n">
        <v>43</v>
      </c>
      <c r="K42" s="3" t="n">
        <v>43</v>
      </c>
      <c r="L42" s="3" t="n">
        <v>43</v>
      </c>
    </row>
    <row r="43" customFormat="false" ht="15" hidden="false" customHeight="false" outlineLevel="0" collapsed="false">
      <c r="A43" s="0" t="s">
        <v>112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113</v>
      </c>
      <c r="C44" s="3" t="n">
        <v>3.2</v>
      </c>
      <c r="D44" s="3" t="n">
        <v>3</v>
      </c>
      <c r="E44" s="3" t="n">
        <v>2.9</v>
      </c>
      <c r="F44" s="3" t="n">
        <v>2.8</v>
      </c>
      <c r="G44" s="3" t="n">
        <v>2.8</v>
      </c>
      <c r="H44" s="3" t="n">
        <v>2.8</v>
      </c>
      <c r="I44" s="3" t="n">
        <v>2.8</v>
      </c>
      <c r="J44" s="3" t="n">
        <v>2.8</v>
      </c>
      <c r="K44" s="3" t="n">
        <v>2.8</v>
      </c>
      <c r="L44" s="3" t="n">
        <v>2.8</v>
      </c>
    </row>
    <row r="45" customFormat="false" ht="15" hidden="false" customHeight="false" outlineLevel="0" collapsed="false">
      <c r="A45" s="0" t="s">
        <v>114</v>
      </c>
      <c r="C45" s="3" t="n">
        <v>2.2</v>
      </c>
      <c r="D45" s="3" t="n">
        <v>2.4</v>
      </c>
      <c r="E45" s="3" t="n">
        <v>2.5</v>
      </c>
      <c r="F45" s="3" t="n">
        <v>2.6</v>
      </c>
      <c r="G45" s="3" t="n">
        <v>2.6</v>
      </c>
      <c r="H45" s="3" t="n">
        <v>2.6</v>
      </c>
      <c r="I45" s="3" t="n">
        <v>2.6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115</v>
      </c>
      <c r="C46" s="3" t="n">
        <v>4</v>
      </c>
      <c r="D46" s="3" t="n">
        <v>3.6</v>
      </c>
      <c r="E46" s="3" t="n">
        <v>3.3</v>
      </c>
      <c r="F46" s="3" t="n">
        <v>3.1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116</v>
      </c>
      <c r="C47" s="3" t="n">
        <v>33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117</v>
      </c>
      <c r="B48" s="3" t="n">
        <v>10.5</v>
      </c>
    </row>
    <row r="49" customFormat="false" ht="15" hidden="false" customHeight="false" outlineLevel="0" collapsed="false">
      <c r="A49" s="0" t="s">
        <v>118</v>
      </c>
      <c r="B49" s="3" t="n">
        <v>3</v>
      </c>
    </row>
    <row r="50" customFormat="false" ht="15" hidden="false" customHeight="false" outlineLevel="0" collapsed="false">
      <c r="A50" s="0" t="s">
        <v>119</v>
      </c>
      <c r="B50" s="3" t="n">
        <v>12</v>
      </c>
    </row>
    <row r="51" customFormat="false" ht="15" hidden="false" customHeight="false" outlineLevel="0" collapsed="false">
      <c r="A51" s="0" t="s">
        <v>120</v>
      </c>
      <c r="B51" s="3" t="n">
        <v>-12</v>
      </c>
    </row>
    <row r="52" customFormat="false" ht="15" hidden="false" customHeight="false" outlineLevel="0" collapsed="false">
      <c r="A52" s="0" t="s">
        <v>121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124</v>
      </c>
    </row>
    <row r="3" customFormat="false" ht="15" hidden="false" customHeight="false" outlineLevel="0" collapsed="false">
      <c r="A3" s="0" t="s">
        <v>125</v>
      </c>
      <c r="B3" s="0" t="s">
        <v>86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Assumptions!C13</f>
        <v>-4</v>
      </c>
      <c r="D5" s="4" t="n">
        <f aca="false">Assumptions!D13</f>
        <v>-25</v>
      </c>
      <c r="E5" s="4" t="n">
        <f aca="false">Assumptions!E13</f>
        <v>-15</v>
      </c>
      <c r="F5" s="4" t="n">
        <f aca="false">Assumptions!F13</f>
        <v>-3</v>
      </c>
      <c r="G5" s="4" t="n">
        <f aca="false">Assumptions!G13</f>
        <v>2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37120.052</v>
      </c>
      <c r="C6" s="0" t="n">
        <f aca="false">B6*(1+C5/100)</f>
        <v>35635.24992</v>
      </c>
      <c r="D6" s="0" t="n">
        <f aca="false">C6*(1+D5/100)</f>
        <v>26726.43744</v>
      </c>
      <c r="E6" s="0" t="n">
        <f aca="false">D6*(1+E5/100)</f>
        <v>22717.471824</v>
      </c>
      <c r="F6" s="0" t="n">
        <f aca="false">E6*(1+F5/100)</f>
        <v>22035.94766928</v>
      </c>
      <c r="G6" s="0" t="n">
        <f aca="false">F6*(1+G5/100)</f>
        <v>22476.6666226656</v>
      </c>
      <c r="H6" s="0" t="n">
        <f aca="false">G6*(1+H5/100)</f>
        <v>23150.9666213456</v>
      </c>
      <c r="I6" s="0" t="n">
        <f aca="false">H6*(1+I5/100)</f>
        <v>23845.4956199859</v>
      </c>
      <c r="J6" s="0" t="n">
        <f aca="false">I6*(1+J5/100)</f>
        <v>24560.8604885855</v>
      </c>
      <c r="K6" s="0" t="n">
        <f aca="false">J6*(1+K5/100)</f>
        <v>25174.8820008002</v>
      </c>
      <c r="L6" s="0" t="n">
        <f aca="false">K6*(1+L5/100)</f>
        <v>25804.2540508202</v>
      </c>
    </row>
    <row r="7" customFormat="false" ht="15" hidden="false" customHeight="false" outlineLevel="0" collapsed="false">
      <c r="A7" s="0" t="s">
        <v>111</v>
      </c>
      <c r="C7" s="4" t="n">
        <f aca="false">Assumptions!C14</f>
        <v>41</v>
      </c>
      <c r="D7" s="4" t="n">
        <f aca="false">Assumptions!D14</f>
        <v>33</v>
      </c>
      <c r="E7" s="4" t="n">
        <f aca="false">Assumptions!E14</f>
        <v>29</v>
      </c>
      <c r="F7" s="4" t="n">
        <f aca="false">Assumptions!F14</f>
        <v>27</v>
      </c>
      <c r="G7" s="4" t="n">
        <f aca="false">Assumptions!G14</f>
        <v>26</v>
      </c>
      <c r="H7" s="4" t="n">
        <f aca="false">Assumptions!H14</f>
        <v>26</v>
      </c>
      <c r="I7" s="4" t="n">
        <f aca="false">Assumptions!I14</f>
        <v>26</v>
      </c>
      <c r="J7" s="4" t="n">
        <f aca="false">Assumptions!J14</f>
        <v>26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14610.4524672</v>
      </c>
      <c r="D8" s="0" t="n">
        <f aca="false">D6*D7/100</f>
        <v>8819.7243552</v>
      </c>
      <c r="E8" s="0" t="n">
        <f aca="false">E6*E7/100</f>
        <v>6588.06682896</v>
      </c>
      <c r="F8" s="0" t="n">
        <f aca="false">F6*F7/100</f>
        <v>5949.7058707056</v>
      </c>
      <c r="G8" s="0" t="n">
        <f aca="false">G6*G7/100</f>
        <v>5843.93332189306</v>
      </c>
      <c r="H8" s="0" t="n">
        <f aca="false">H6*H7/100</f>
        <v>6019.25132154985</v>
      </c>
      <c r="I8" s="0" t="n">
        <f aca="false">I6*I7/100</f>
        <v>6199.82886119634</v>
      </c>
      <c r="J8" s="0" t="n">
        <f aca="false">J6*J7/100</f>
        <v>6385.82372703223</v>
      </c>
      <c r="K8" s="0" t="n">
        <f aca="false">K6*K7/100</f>
        <v>6545.46932020804</v>
      </c>
      <c r="L8" s="0" t="n">
        <f aca="false">L6*L7/100</f>
        <v>6709.10605321324</v>
      </c>
    </row>
    <row r="9" customFormat="false" ht="15" hidden="false" customHeight="false" outlineLevel="0" collapsed="false">
      <c r="A9" s="0" t="s">
        <v>112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-106.90574976</v>
      </c>
      <c r="D10" s="0" t="n">
        <f aca="false">-D6*D9/100</f>
        <v>-80.17931232</v>
      </c>
      <c r="E10" s="0" t="n">
        <f aca="false">-E6*E9/100</f>
        <v>-68.152415472</v>
      </c>
      <c r="F10" s="0" t="n">
        <f aca="false">-F6*F9/100</f>
        <v>-66.10784300784</v>
      </c>
      <c r="G10" s="0" t="n">
        <f aca="false">-G6*G9/100</f>
        <v>-67.4299998679968</v>
      </c>
      <c r="H10" s="0" t="n">
        <f aca="false">-H6*H9/100</f>
        <v>-69.4528998640367</v>
      </c>
      <c r="I10" s="0" t="n">
        <f aca="false">-I6*I9/100</f>
        <v>-71.5364868599578</v>
      </c>
      <c r="J10" s="0" t="n">
        <f aca="false">-J6*J9/100</f>
        <v>-73.6825814657565</v>
      </c>
      <c r="K10" s="0" t="n">
        <f aca="false">-K6*K9/100</f>
        <v>-75.5246460024004</v>
      </c>
      <c r="L10" s="0" t="n">
        <f aca="false">-L6*L9/100</f>
        <v>-77.4127621524605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13291.94822016</v>
      </c>
      <c r="D11" s="0" t="n">
        <f aca="false">D8+D10+D24</f>
        <v>7670.48754528</v>
      </c>
      <c r="E11" s="0" t="n">
        <f aca="false">E8+E10+E24</f>
        <v>5565.78059688</v>
      </c>
      <c r="F11" s="0" t="n">
        <f aca="false">F8+F10+F24</f>
        <v>5002.16012092656</v>
      </c>
      <c r="G11" s="0" t="n">
        <f aca="false">G8+G10+G24</f>
        <v>4922.38999036377</v>
      </c>
      <c r="H11" s="0" t="n">
        <f aca="false">H8+H10+H24</f>
        <v>5070.06169007468</v>
      </c>
      <c r="I11" s="0" t="n">
        <f aca="false">I8+I10+I24</f>
        <v>5222.16354077692</v>
      </c>
      <c r="J11" s="0" t="n">
        <f aca="false">J8+J10+J24</f>
        <v>5378.82844700023</v>
      </c>
      <c r="K11" s="0" t="n">
        <f aca="false">K8+K10+K24</f>
        <v>5513.29915817523</v>
      </c>
      <c r="L11" s="0" t="n">
        <f aca="false">L8+L10+L24</f>
        <v>5651.13163712961</v>
      </c>
    </row>
    <row r="12" customFormat="false" ht="15" hidden="false" customHeight="false" outlineLevel="0" collapsed="false">
      <c r="A12" s="0" t="s">
        <v>129</v>
      </c>
      <c r="C12" s="4" t="n">
        <f aca="false">-C6*Assumptions!C17/100</f>
        <v>-783.97549824</v>
      </c>
      <c r="D12" s="4" t="n">
        <f aca="false">-D6*Assumptions!D17/100</f>
        <v>-748.34024832</v>
      </c>
      <c r="E12" s="4" t="n">
        <f aca="false">-E6*Assumptions!E17/100</f>
        <v>-681.52415472</v>
      </c>
      <c r="F12" s="4" t="n">
        <f aca="false">-F6*Assumptions!F17/100</f>
        <v>-639.04248240912</v>
      </c>
      <c r="G12" s="4" t="n">
        <f aca="false">-G6*Assumptions!G17/100</f>
        <v>-629.346665434637</v>
      </c>
      <c r="H12" s="4" t="n">
        <f aca="false">-H6*Assumptions!H17/100</f>
        <v>-648.227065397676</v>
      </c>
      <c r="I12" s="4" t="n">
        <f aca="false">-I6*Assumptions!I17/100</f>
        <v>-667.673877359606</v>
      </c>
      <c r="J12" s="4" t="n">
        <f aca="false">-J6*Assumptions!J17/100</f>
        <v>-687.704093680394</v>
      </c>
      <c r="K12" s="4" t="n">
        <f aca="false">-K6*Assumptions!K17/100</f>
        <v>-704.896696022404</v>
      </c>
      <c r="L12" s="4" t="n">
        <f aca="false">-L6*Assumptions!L17/100</f>
        <v>-722.519113422964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12507.97272192</v>
      </c>
      <c r="D13" s="0" t="n">
        <f aca="false">D11+D12</f>
        <v>6922.14729696</v>
      </c>
      <c r="E13" s="0" t="n">
        <f aca="false">E11+E12</f>
        <v>4884.25644216</v>
      </c>
      <c r="F13" s="0" t="n">
        <f aca="false">F11+F12</f>
        <v>4363.11763851744</v>
      </c>
      <c r="G13" s="0" t="n">
        <f aca="false">G11+G12</f>
        <v>4293.04332492913</v>
      </c>
      <c r="H13" s="0" t="n">
        <f aca="false">H11+H12</f>
        <v>4421.834624677</v>
      </c>
      <c r="I13" s="0" t="n">
        <f aca="false">I11+I12</f>
        <v>4554.48966341731</v>
      </c>
      <c r="J13" s="0" t="n">
        <f aca="false">J11+J12</f>
        <v>4691.12435331983</v>
      </c>
      <c r="K13" s="0" t="n">
        <f aca="false">K11+K12</f>
        <v>4808.40246215283</v>
      </c>
      <c r="L13" s="0" t="n">
        <f aca="false">L11+L12</f>
        <v>4928.61252370665</v>
      </c>
    </row>
    <row r="14" customFormat="false" ht="15" hidden="false" customHeight="false" outlineLevel="0" collapsed="false">
      <c r="A14" s="0" t="s">
        <v>116</v>
      </c>
      <c r="C14" s="4" t="n">
        <f aca="false">Assumptions!C19</f>
        <v>36</v>
      </c>
      <c r="D14" s="4" t="n">
        <f aca="false">Assumptions!D19</f>
        <v>28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8005.1025420288</v>
      </c>
      <c r="D15" s="0" t="n">
        <f aca="false">D13-MAX(0,D13)*D14/100</f>
        <v>4983.9460538112</v>
      </c>
      <c r="E15" s="0" t="n">
        <f aca="false">E13-MAX(0,E13)*E14/100</f>
        <v>3663.19233162</v>
      </c>
      <c r="F15" s="0" t="n">
        <f aca="false">F13-MAX(0,F13)*F14/100</f>
        <v>3272.33822888808</v>
      </c>
      <c r="G15" s="0" t="n">
        <f aca="false">G13-MAX(0,G13)*G14/100</f>
        <v>3219.78249369685</v>
      </c>
      <c r="H15" s="0" t="n">
        <f aca="false">H13-MAX(0,H13)*H14/100</f>
        <v>3316.37596850775</v>
      </c>
      <c r="I15" s="0" t="n">
        <f aca="false">I13-MAX(0,I13)*I14/100</f>
        <v>3415.86724756298</v>
      </c>
      <c r="J15" s="0" t="n">
        <f aca="false">J13-MAX(0,J13)*J14/100</f>
        <v>3518.34326498988</v>
      </c>
      <c r="K15" s="0" t="n">
        <f aca="false">K13-MAX(0,K13)*K14/100</f>
        <v>3606.30184661462</v>
      </c>
      <c r="L15" s="0" t="n">
        <f aca="false">L13-MAX(0,L13)*L14/100</f>
        <v>3696.45939277999</v>
      </c>
    </row>
    <row r="16" customFormat="false" ht="15" hidden="false" customHeight="false" outlineLevel="0" collapsed="false">
      <c r="A16" s="0" t="s">
        <v>132</v>
      </c>
      <c r="C16" s="0" t="n">
        <f aca="false">-C12</f>
        <v>783.97549824</v>
      </c>
      <c r="D16" s="0" t="n">
        <f aca="false">-D12</f>
        <v>748.34024832</v>
      </c>
      <c r="E16" s="0" t="n">
        <f aca="false">-E12</f>
        <v>681.52415472</v>
      </c>
      <c r="F16" s="0" t="n">
        <f aca="false">-F12</f>
        <v>639.04248240912</v>
      </c>
      <c r="G16" s="0" t="n">
        <f aca="false">-G12</f>
        <v>629.346665434637</v>
      </c>
      <c r="H16" s="0" t="n">
        <f aca="false">-H12</f>
        <v>648.227065397676</v>
      </c>
      <c r="I16" s="0" t="n">
        <f aca="false">-I12</f>
        <v>667.673877359606</v>
      </c>
      <c r="J16" s="0" t="n">
        <f aca="false">-J12</f>
        <v>687.704093680394</v>
      </c>
      <c r="K16" s="0" t="n">
        <f aca="false">-K12</f>
        <v>704.896696022404</v>
      </c>
      <c r="L16" s="0" t="n">
        <f aca="false">-L12</f>
        <v>722.519113422964</v>
      </c>
    </row>
    <row r="17" customFormat="false" ht="15" hidden="false" customHeight="false" outlineLevel="0" collapsed="false">
      <c r="A17" s="0" t="s">
        <v>133</v>
      </c>
      <c r="C17" s="4" t="n">
        <f aca="false">-C6*Assumptions!C18/100</f>
        <v>-1425.4099968</v>
      </c>
      <c r="D17" s="4" t="n">
        <f aca="false">-D6*Assumptions!D18/100</f>
        <v>-801.7931232</v>
      </c>
      <c r="E17" s="4" t="n">
        <f aca="false">-E6*Assumptions!E18/100</f>
        <v>-636.089211072</v>
      </c>
      <c r="F17" s="4" t="n">
        <f aca="false">-F6*Assumptions!F18/100</f>
        <v>-617.00653473984</v>
      </c>
      <c r="G17" s="4" t="n">
        <f aca="false">-G6*Assumptions!G18/100</f>
        <v>-629.346665434637</v>
      </c>
      <c r="H17" s="4" t="n">
        <f aca="false">-H6*Assumptions!H18/100</f>
        <v>-648.227065397676</v>
      </c>
      <c r="I17" s="4" t="n">
        <f aca="false">-I6*Assumptions!I18/100</f>
        <v>-667.673877359606</v>
      </c>
      <c r="J17" s="4" t="n">
        <f aca="false">-J6*Assumptions!J18/100</f>
        <v>-687.704093680394</v>
      </c>
      <c r="K17" s="4" t="n">
        <f aca="false">-K6*Assumptions!K18/100</f>
        <v>-704.896696022404</v>
      </c>
      <c r="L17" s="4" t="n">
        <f aca="false">-L6*Assumptions!L18/100</f>
        <v>-722.519113422964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(C6-B6)*Assumptions!$B$23/100</f>
        <v>89.0881248000001</v>
      </c>
      <c r="D18" s="4" t="n">
        <f aca="false">(D6-C6)*Assumptions!$B$23/100</f>
        <v>534.5287488</v>
      </c>
      <c r="E18" s="4" t="n">
        <f aca="false">(E6-D6)*Assumptions!$B$23/100</f>
        <v>240.53793696</v>
      </c>
      <c r="F18" s="4" t="n">
        <f aca="false">(F6-E6)*Assumptions!$B$23/100</f>
        <v>40.8914492832001</v>
      </c>
      <c r="G18" s="4" t="n">
        <f aca="false">(G6-F6)*Assumptions!$B$23/100</f>
        <v>-26.443137203136</v>
      </c>
      <c r="H18" s="4" t="n">
        <f aca="false">(H6-G6)*Assumptions!$B$23/100</f>
        <v>-40.4579999207982</v>
      </c>
      <c r="I18" s="4" t="n">
        <f aca="false">(I6-H6)*Assumptions!$B$23/100</f>
        <v>-41.671739918422</v>
      </c>
      <c r="J18" s="4" t="n">
        <f aca="false">(J6-I6)*Assumptions!$B$23/100</f>
        <v>-42.9218921159748</v>
      </c>
      <c r="K18" s="4" t="n">
        <f aca="false">(K6-J6)*Assumptions!$B$23/100</f>
        <v>-36.8412907328782</v>
      </c>
      <c r="L18" s="4" t="n">
        <f aca="false">(L6-K6)*Assumptions!$B$23/100</f>
        <v>-37.7623230012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7452.7561682688</v>
      </c>
      <c r="D19" s="0" t="n">
        <f aca="false">D15+D16+D17+D18</f>
        <v>5465.0219277312</v>
      </c>
      <c r="E19" s="0" t="n">
        <f aca="false">E15+E16+E17+E18</f>
        <v>3949.165212228</v>
      </c>
      <c r="F19" s="0" t="n">
        <f aca="false">F15+F16+F17+F18</f>
        <v>3335.26562584056</v>
      </c>
      <c r="G19" s="0" t="n">
        <f aca="false">G15+G16+G17+G18</f>
        <v>3193.33935649371</v>
      </c>
      <c r="H19" s="0" t="n">
        <f aca="false">H15+H16+H17+H18</f>
        <v>3275.91796858695</v>
      </c>
      <c r="I19" s="0" t="n">
        <f aca="false">I15+I16+I17+I18</f>
        <v>3374.19550764456</v>
      </c>
      <c r="J19" s="0" t="n">
        <f aca="false">J15+J16+J17+J18</f>
        <v>3475.4213728739</v>
      </c>
      <c r="K19" s="0" t="n">
        <f aca="false">K15+K16+K17+K18</f>
        <v>3569.46055588174</v>
      </c>
      <c r="L19" s="0" t="n">
        <f aca="false">L15+L16+L17+L18</f>
        <v>3658.69706977879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6744.57571789032</v>
      </c>
      <c r="D21" s="0" t="n">
        <f aca="false">D19*D20</f>
        <v>4475.76579327303</v>
      </c>
      <c r="E21" s="0" t="n">
        <f aca="false">E19*E20</f>
        <v>2926.97133100232</v>
      </c>
      <c r="F21" s="0" t="n">
        <f aca="false">F19*F20</f>
        <v>2237.07897138004</v>
      </c>
      <c r="G21" s="0" t="n">
        <f aca="false">G19*G20</f>
        <v>1938.35662706251</v>
      </c>
      <c r="H21" s="0" t="n">
        <f aca="false">H19*H20</f>
        <v>1799.53107260942</v>
      </c>
      <c r="I21" s="0" t="n">
        <f aca="false">I19*I20</f>
        <v>1677.390954559</v>
      </c>
      <c r="J21" s="0" t="n">
        <f aca="false">J19*J20</f>
        <v>1563.54088976993</v>
      </c>
      <c r="K21" s="0" t="n">
        <f aca="false">K19*K20</f>
        <v>1453.25586714871</v>
      </c>
      <c r="L21" s="0" t="n">
        <f aca="false">L19*L20</f>
        <v>1348.0427726945</v>
      </c>
    </row>
    <row r="23" customFormat="false" ht="15" hidden="false" customHeight="false" outlineLevel="0" collapsed="false">
      <c r="A23" s="0" t="s">
        <v>113</v>
      </c>
      <c r="C23" s="4" t="n">
        <f aca="false">Assumptions!C16</f>
        <v>3.4</v>
      </c>
      <c r="D23" s="4" t="n">
        <f aca="false">Assumptions!D16</f>
        <v>4</v>
      </c>
      <c r="E23" s="4" t="n">
        <f aca="false">Assumptions!E16</f>
        <v>4.2</v>
      </c>
      <c r="F23" s="4" t="n">
        <f aca="false">Assumptions!F16</f>
        <v>4</v>
      </c>
      <c r="G23" s="4" t="n">
        <f aca="false">Assumptions!G16</f>
        <v>3.8</v>
      </c>
      <c r="H23" s="4" t="n">
        <f aca="false">Assumptions!H16</f>
        <v>3.8</v>
      </c>
      <c r="I23" s="4" t="n">
        <f aca="false">Assumptions!I16</f>
        <v>3.8</v>
      </c>
      <c r="J23" s="4" t="n">
        <f aca="false">Assumptions!J16</f>
        <v>3.8</v>
      </c>
      <c r="K23" s="4" t="n">
        <f aca="false">Assumptions!K16</f>
        <v>3.8</v>
      </c>
      <c r="L23" s="4" t="n">
        <f aca="false">Assumptions!L16</f>
        <v>3.8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-1211.59849728</v>
      </c>
      <c r="D24" s="0" t="n">
        <f aca="false">-D6*D23/100</f>
        <v>-1069.0574976</v>
      </c>
      <c r="E24" s="0" t="n">
        <f aca="false">-E6*E23/100</f>
        <v>-954.133816608</v>
      </c>
      <c r="F24" s="0" t="n">
        <f aca="false">-F6*F23/100</f>
        <v>-881.4379067712</v>
      </c>
      <c r="G24" s="0" t="n">
        <f aca="false">-G6*G23/100</f>
        <v>-854.113331661293</v>
      </c>
      <c r="H24" s="0" t="n">
        <f aca="false">-H6*H23/100</f>
        <v>-879.736731611132</v>
      </c>
      <c r="I24" s="0" t="n">
        <f aca="false">-I6*I23/100</f>
        <v>-906.128833559465</v>
      </c>
      <c r="J24" s="0" t="n">
        <f aca="false">-J6*J23/100</f>
        <v>-933.312698566249</v>
      </c>
      <c r="K24" s="0" t="n">
        <f aca="false">-K6*K23/100</f>
        <v>-956.645516030406</v>
      </c>
      <c r="L24" s="0" t="n">
        <f aca="false">-L6*L23/100</f>
        <v>-980.561653931166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26164.5099973898</v>
      </c>
    </row>
    <row r="31" customFormat="false" ht="15" hidden="false" customHeight="false" outlineLevel="0" collapsed="false">
      <c r="A31" s="0" t="s">
        <v>141</v>
      </c>
      <c r="B31" s="0" t="n">
        <f aca="false">L19</f>
        <v>3658.69706977879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43904.3648373454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43904.3648373454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43904.3648373454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16176.513272334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42341.0232697238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54410.7622697238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48.1223250008386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-0.634606492020967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464.330234893291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342.271729668788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48.8357052268417</v>
      </c>
    </row>
    <row r="45" customFormat="false" ht="15" hidden="false" customHeight="false" outlineLevel="0" collapsed="false">
      <c r="A45" s="0" t="s">
        <v>93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28706.7000859566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36.8007714317281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125</v>
      </c>
      <c r="B3" s="0" t="s">
        <v>86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Assumptions!C27</f>
        <v>1</v>
      </c>
      <c r="D5" s="4" t="n">
        <f aca="false">Assumptions!D27</f>
        <v>-6</v>
      </c>
      <c r="E5" s="4" t="n">
        <f aca="false">Assumptions!E27</f>
        <v>4</v>
      </c>
      <c r="F5" s="4" t="n">
        <f aca="false">Assumptions!F27</f>
        <v>6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37120.052</v>
      </c>
      <c r="C6" s="0" t="n">
        <f aca="false">B6*(1+C5/100)</f>
        <v>37491.25252</v>
      </c>
      <c r="D6" s="0" t="n">
        <f aca="false">C6*(1+D5/100)</f>
        <v>35241.7773688</v>
      </c>
      <c r="E6" s="0" t="n">
        <f aca="false">D6*(1+E5/100)</f>
        <v>36651.448463552</v>
      </c>
      <c r="F6" s="0" t="n">
        <f aca="false">E6*(1+F5/100)</f>
        <v>38850.5353713651</v>
      </c>
      <c r="G6" s="0" t="n">
        <f aca="false">F6*(1+G5/100)</f>
        <v>41181.567493647</v>
      </c>
      <c r="H6" s="0" t="n">
        <f aca="false">G6*(1+H5/100)</f>
        <v>43240.6458683294</v>
      </c>
      <c r="I6" s="0" t="n">
        <f aca="false">H6*(1+I5/100)</f>
        <v>45402.6781617459</v>
      </c>
      <c r="J6" s="0" t="n">
        <f aca="false">I6*(1+J5/100)</f>
        <v>47218.7852882157</v>
      </c>
      <c r="K6" s="0" t="n">
        <f aca="false">J6*(1+K5/100)</f>
        <v>48871.4427733032</v>
      </c>
      <c r="L6" s="0" t="n">
        <f aca="false">K6*(1+L5/100)</f>
        <v>50337.5860565023</v>
      </c>
    </row>
    <row r="7" customFormat="false" ht="15" hidden="false" customHeight="false" outlineLevel="0" collapsed="false">
      <c r="A7" s="0" t="s">
        <v>111</v>
      </c>
      <c r="C7" s="4" t="n">
        <f aca="false">Assumptions!C28</f>
        <v>43</v>
      </c>
      <c r="D7" s="4" t="n">
        <f aca="false">Assumptions!D28</f>
        <v>40</v>
      </c>
      <c r="E7" s="4" t="n">
        <f aca="false">Assumptions!E28</f>
        <v>38.5</v>
      </c>
      <c r="F7" s="4" t="n">
        <f aca="false">Assumptions!F28</f>
        <v>38</v>
      </c>
      <c r="G7" s="4" t="n">
        <f aca="false">Assumptions!G28</f>
        <v>37.5</v>
      </c>
      <c r="H7" s="4" t="n">
        <f aca="false">Assumptions!H28</f>
        <v>37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16121.2385836</v>
      </c>
      <c r="D8" s="0" t="n">
        <f aca="false">D6*D7/100</f>
        <v>14096.71094752</v>
      </c>
      <c r="E8" s="0" t="n">
        <f aca="false">E6*E7/100</f>
        <v>14110.8076584675</v>
      </c>
      <c r="F8" s="0" t="n">
        <f aca="false">F6*F7/100</f>
        <v>14763.2034411187</v>
      </c>
      <c r="G8" s="0" t="n">
        <f aca="false">G6*G7/100</f>
        <v>15443.0878101176</v>
      </c>
      <c r="H8" s="0" t="n">
        <f aca="false">H6*H7/100</f>
        <v>15999.0389712819</v>
      </c>
      <c r="I8" s="0" t="n">
        <f aca="false">I6*I7/100</f>
        <v>16798.990919846</v>
      </c>
      <c r="J8" s="0" t="n">
        <f aca="false">J6*J7/100</f>
        <v>17470.9505566398</v>
      </c>
      <c r="K8" s="0" t="n">
        <f aca="false">K6*K7/100</f>
        <v>18082.4338261222</v>
      </c>
      <c r="L8" s="0" t="n">
        <f aca="false">L6*L7/100</f>
        <v>18624.9068409059</v>
      </c>
    </row>
    <row r="9" customFormat="false" ht="15" hidden="false" customHeight="false" outlineLevel="0" collapsed="false">
      <c r="A9" s="0" t="s">
        <v>112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-112.47375756</v>
      </c>
      <c r="D10" s="0" t="n">
        <f aca="false">-D6*D9/100</f>
        <v>-105.7253321064</v>
      </c>
      <c r="E10" s="0" t="n">
        <f aca="false">-E6*E9/100</f>
        <v>-109.954345390656</v>
      </c>
      <c r="F10" s="0" t="n">
        <f aca="false">-F6*F9/100</f>
        <v>-116.551606114095</v>
      </c>
      <c r="G10" s="0" t="n">
        <f aca="false">-G6*G9/100</f>
        <v>-123.544702480941</v>
      </c>
      <c r="H10" s="0" t="n">
        <f aca="false">-H6*H9/100</f>
        <v>-129.721937604988</v>
      </c>
      <c r="I10" s="0" t="n">
        <f aca="false">-I6*I9/100</f>
        <v>-136.208034485238</v>
      </c>
      <c r="J10" s="0" t="n">
        <f aca="false">-J6*J9/100</f>
        <v>-141.656355864647</v>
      </c>
      <c r="K10" s="0" t="n">
        <f aca="false">-K6*K9/100</f>
        <v>-146.61432831991</v>
      </c>
      <c r="L10" s="0" t="n">
        <f aca="false">-L6*L9/100</f>
        <v>-151.012758169507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14771.55349288</v>
      </c>
      <c r="D11" s="0" t="n">
        <f aca="false">D8+D10+D24</f>
        <v>12792.7651848744</v>
      </c>
      <c r="E11" s="0" t="n">
        <f aca="false">E8+E10+E24</f>
        <v>12791.3555137797</v>
      </c>
      <c r="F11" s="0" t="n">
        <f aca="false">F8+F10+F24</f>
        <v>13364.5841677496</v>
      </c>
      <c r="G11" s="0" t="n">
        <f aca="false">G8+G10+G24</f>
        <v>14001.73294784</v>
      </c>
      <c r="H11" s="0" t="n">
        <f aca="false">H8+H10+H24</f>
        <v>14485.6163658903</v>
      </c>
      <c r="I11" s="0" t="n">
        <f aca="false">I8+I10+I24</f>
        <v>15209.8971841849</v>
      </c>
      <c r="J11" s="0" t="n">
        <f aca="false">J8+J10+J24</f>
        <v>15818.2930715523</v>
      </c>
      <c r="K11" s="0" t="n">
        <f aca="false">K8+K10+K24</f>
        <v>16371.9333290566</v>
      </c>
      <c r="L11" s="0" t="n">
        <f aca="false">L8+L10+L24</f>
        <v>16863.0913289283</v>
      </c>
    </row>
    <row r="12" customFormat="false" ht="15" hidden="false" customHeight="false" outlineLevel="0" collapsed="false">
      <c r="A12" s="0" t="s">
        <v>129</v>
      </c>
      <c r="C12" s="4" t="n">
        <f aca="false">-C6*Assumptions!C31/100</f>
        <v>-824.80755544</v>
      </c>
      <c r="D12" s="4" t="n">
        <f aca="false">-D6*Assumptions!D31/100</f>
        <v>-881.04443422</v>
      </c>
      <c r="E12" s="4" t="n">
        <f aca="false">-E6*Assumptions!E31/100</f>
        <v>-952.937660052352</v>
      </c>
      <c r="F12" s="4" t="n">
        <f aca="false">-F6*Assumptions!F31/100</f>
        <v>-1048.96445502686</v>
      </c>
      <c r="G12" s="4" t="n">
        <f aca="false">-G6*Assumptions!G31/100</f>
        <v>-1111.90232232847</v>
      </c>
      <c r="H12" s="4" t="n">
        <f aca="false">-H6*Assumptions!H31/100</f>
        <v>-1167.49743844489</v>
      </c>
      <c r="I12" s="4" t="n">
        <f aca="false">-I6*Assumptions!I31/100</f>
        <v>-1225.87231036714</v>
      </c>
      <c r="J12" s="4" t="n">
        <f aca="false">-J6*Assumptions!J31/100</f>
        <v>-1274.90720278182</v>
      </c>
      <c r="K12" s="4" t="n">
        <f aca="false">-K6*Assumptions!K31/100</f>
        <v>-1319.52895487919</v>
      </c>
      <c r="L12" s="4" t="n">
        <f aca="false">-L6*Assumptions!L31/100</f>
        <v>-1359.11482352556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13946.74593744</v>
      </c>
      <c r="D13" s="0" t="n">
        <f aca="false">D11+D12</f>
        <v>11911.7207506544</v>
      </c>
      <c r="E13" s="0" t="n">
        <f aca="false">E11+E12</f>
        <v>11838.4178537273</v>
      </c>
      <c r="F13" s="0" t="n">
        <f aca="false">F11+F12</f>
        <v>12315.6197127227</v>
      </c>
      <c r="G13" s="0" t="n">
        <f aca="false">G11+G12</f>
        <v>12889.8306255115</v>
      </c>
      <c r="H13" s="0" t="n">
        <f aca="false">H11+H12</f>
        <v>13318.1189274455</v>
      </c>
      <c r="I13" s="0" t="n">
        <f aca="false">I11+I12</f>
        <v>13984.0248738177</v>
      </c>
      <c r="J13" s="0" t="n">
        <f aca="false">J11+J12</f>
        <v>14543.3858687704</v>
      </c>
      <c r="K13" s="0" t="n">
        <f aca="false">K11+K12</f>
        <v>15052.4043741774</v>
      </c>
      <c r="L13" s="0" t="n">
        <f aca="false">L11+L12</f>
        <v>15503.9765054027</v>
      </c>
    </row>
    <row r="14" customFormat="false" ht="15" hidden="false" customHeight="false" outlineLevel="0" collapsed="false">
      <c r="A14" s="0" t="s">
        <v>116</v>
      </c>
      <c r="C14" s="4" t="n">
        <f aca="false">Assumptions!C33</f>
        <v>34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9204.8523187104</v>
      </c>
      <c r="D15" s="0" t="n">
        <f aca="false">D13-MAX(0,D13)*D14/100</f>
        <v>8933.7905629908</v>
      </c>
      <c r="E15" s="0" t="n">
        <f aca="false">E13-MAX(0,E13)*E14/100</f>
        <v>8878.81339029547</v>
      </c>
      <c r="F15" s="0" t="n">
        <f aca="false">F13-MAX(0,F13)*F14/100</f>
        <v>9236.71478454206</v>
      </c>
      <c r="G15" s="0" t="n">
        <f aca="false">G13-MAX(0,G13)*G14/100</f>
        <v>9667.37296913364</v>
      </c>
      <c r="H15" s="0" t="n">
        <f aca="false">H13-MAX(0,H13)*H14/100</f>
        <v>9988.58919558409</v>
      </c>
      <c r="I15" s="0" t="n">
        <f aca="false">I13-MAX(0,I13)*I14/100</f>
        <v>10488.0186553633</v>
      </c>
      <c r="J15" s="0" t="n">
        <f aca="false">J13-MAX(0,J13)*J14/100</f>
        <v>10907.5394015778</v>
      </c>
      <c r="K15" s="0" t="n">
        <f aca="false">K13-MAX(0,K13)*K14/100</f>
        <v>11289.3032806331</v>
      </c>
      <c r="L15" s="0" t="n">
        <f aca="false">L13-MAX(0,L13)*L14/100</f>
        <v>11627.982379052</v>
      </c>
    </row>
    <row r="16" customFormat="false" ht="15" hidden="false" customHeight="false" outlineLevel="0" collapsed="false">
      <c r="A16" s="0" t="s">
        <v>132</v>
      </c>
      <c r="C16" s="0" t="n">
        <f aca="false">-C12</f>
        <v>824.80755544</v>
      </c>
      <c r="D16" s="0" t="n">
        <f aca="false">-D12</f>
        <v>881.04443422</v>
      </c>
      <c r="E16" s="0" t="n">
        <f aca="false">-E12</f>
        <v>952.937660052352</v>
      </c>
      <c r="F16" s="0" t="n">
        <f aca="false">-F12</f>
        <v>1048.96445502686</v>
      </c>
      <c r="G16" s="0" t="n">
        <f aca="false">-G12</f>
        <v>1111.90232232847</v>
      </c>
      <c r="H16" s="0" t="n">
        <f aca="false">-H12</f>
        <v>1167.49743844489</v>
      </c>
      <c r="I16" s="0" t="n">
        <f aca="false">-I12</f>
        <v>1225.87231036714</v>
      </c>
      <c r="J16" s="0" t="n">
        <f aca="false">-J12</f>
        <v>1274.90720278182</v>
      </c>
      <c r="K16" s="0" t="n">
        <f aca="false">-K12</f>
        <v>1319.52895487919</v>
      </c>
      <c r="L16" s="0" t="n">
        <f aca="false">-L12</f>
        <v>1359.11482352556</v>
      </c>
    </row>
    <row r="17" customFormat="false" ht="15" hidden="false" customHeight="false" outlineLevel="0" collapsed="false">
      <c r="A17" s="0" t="s">
        <v>133</v>
      </c>
      <c r="C17" s="4" t="n">
        <f aca="false">-C6*Assumptions!C32/100</f>
        <v>-1499.6501008</v>
      </c>
      <c r="D17" s="4" t="n">
        <f aca="false">-D6*Assumptions!D32/100</f>
        <v>-1233.462207908</v>
      </c>
      <c r="E17" s="4" t="n">
        <f aca="false">-E6*Assumptions!E32/100</f>
        <v>-1172.84635083366</v>
      </c>
      <c r="F17" s="4" t="n">
        <f aca="false">-F6*Assumptions!F32/100</f>
        <v>-1165.51606114095</v>
      </c>
      <c r="G17" s="4" t="n">
        <f aca="false">-G6*Assumptions!G32/100</f>
        <v>-1235.44702480941</v>
      </c>
      <c r="H17" s="4" t="n">
        <f aca="false">-H6*Assumptions!H32/100</f>
        <v>-1297.21937604988</v>
      </c>
      <c r="I17" s="4" t="n">
        <f aca="false">-I6*Assumptions!I32/100</f>
        <v>-1362.08034485238</v>
      </c>
      <c r="J17" s="4" t="n">
        <f aca="false">-J6*Assumptions!J32/100</f>
        <v>-1416.56355864647</v>
      </c>
      <c r="K17" s="4" t="n">
        <f aca="false">-K6*Assumptions!K32/100</f>
        <v>-1466.1432831991</v>
      </c>
      <c r="L17" s="4" t="n">
        <f aca="false">-L6*Assumptions!L32/100</f>
        <v>-1510.12758169507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(C6-B6)*Assumptions!$B$37/100</f>
        <v>-44.5440623999998</v>
      </c>
      <c r="D18" s="4" t="n">
        <f aca="false">(D6-C6)*Assumptions!$B$37/100</f>
        <v>269.937018144</v>
      </c>
      <c r="E18" s="4" t="n">
        <f aca="false">(E6-D6)*Assumptions!$B$37/100</f>
        <v>-169.160531370241</v>
      </c>
      <c r="F18" s="4" t="n">
        <f aca="false">(F6-E6)*Assumptions!$B$37/100</f>
        <v>-263.890428937575</v>
      </c>
      <c r="G18" s="4" t="n">
        <f aca="false">(G6-F6)*Assumptions!$B$37/100</f>
        <v>-279.723854673829</v>
      </c>
      <c r="H18" s="4" t="n">
        <f aca="false">(H6-G6)*Assumptions!$B$37/100</f>
        <v>-247.089404961882</v>
      </c>
      <c r="I18" s="4" t="n">
        <f aca="false">(I6-H6)*Assumptions!$B$37/100</f>
        <v>-259.443875209977</v>
      </c>
      <c r="J18" s="4" t="n">
        <f aca="false">(J6-I6)*Assumptions!$B$37/100</f>
        <v>-217.93285517638</v>
      </c>
      <c r="K18" s="4" t="n">
        <f aca="false">(K6-J6)*Assumptions!$B$37/100</f>
        <v>-198.318898210506</v>
      </c>
      <c r="L18" s="4" t="n">
        <f aca="false">(L6-K6)*Assumptions!$B$37/100</f>
        <v>-175.937193983892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8485.4657109504</v>
      </c>
      <c r="D19" s="0" t="n">
        <f aca="false">D15+D16+D17+D18</f>
        <v>8851.3098074468</v>
      </c>
      <c r="E19" s="0" t="n">
        <f aca="false">E15+E16+E17+E18</f>
        <v>8489.74416814392</v>
      </c>
      <c r="F19" s="0" t="n">
        <f aca="false">F15+F16+F17+F18</f>
        <v>8856.27274949039</v>
      </c>
      <c r="G19" s="0" t="n">
        <f aca="false">G15+G16+G17+G18</f>
        <v>9264.10441197887</v>
      </c>
      <c r="H19" s="0" t="n">
        <f aca="false">H15+H16+H17+H18</f>
        <v>9611.77785301722</v>
      </c>
      <c r="I19" s="0" t="n">
        <f aca="false">I15+I16+I17+I18</f>
        <v>10092.3667456681</v>
      </c>
      <c r="J19" s="0" t="n">
        <f aca="false">J15+J16+J17+J18</f>
        <v>10547.9501905368</v>
      </c>
      <c r="K19" s="0" t="n">
        <f aca="false">K15+K16+K17+K18</f>
        <v>10944.3700541026</v>
      </c>
      <c r="L19" s="0" t="n">
        <f aca="false">L15+L16+L17+L18</f>
        <v>11301.0324268986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7679.15448954788</v>
      </c>
      <c r="D21" s="0" t="n">
        <f aca="false">D19*D20</f>
        <v>7249.08155643562</v>
      </c>
      <c r="E21" s="0" t="n">
        <f aca="false">E19*E20</f>
        <v>6292.27607666537</v>
      </c>
      <c r="F21" s="0" t="n">
        <f aca="false">F19*F20</f>
        <v>5940.2109922498</v>
      </c>
      <c r="G21" s="0" t="n">
        <f aca="false">G19*G20</f>
        <v>5623.3103269285</v>
      </c>
      <c r="H21" s="0" t="n">
        <f aca="false">H19*H20</f>
        <v>5279.95300107723</v>
      </c>
      <c r="I21" s="0" t="n">
        <f aca="false">I19*I20</f>
        <v>5017.14991052588</v>
      </c>
      <c r="J21" s="0" t="n">
        <f aca="false">J19*J20</f>
        <v>4745.36744087613</v>
      </c>
      <c r="K21" s="0" t="n">
        <f aca="false">K19*K20</f>
        <v>4455.8469674537</v>
      </c>
      <c r="L21" s="0" t="n">
        <f aca="false">L19*L20</f>
        <v>4163.85253999397</v>
      </c>
    </row>
    <row r="23" customFormat="false" ht="15" hidden="false" customHeight="false" outlineLevel="0" collapsed="false">
      <c r="A23" s="0" t="s">
        <v>113</v>
      </c>
      <c r="C23" s="4" t="n">
        <f aca="false">Assumptions!C30</f>
        <v>3.3</v>
      </c>
      <c r="D23" s="4" t="n">
        <f aca="false">Assumptions!D30</f>
        <v>3.4</v>
      </c>
      <c r="E23" s="4" t="n">
        <f aca="false">Assumptions!E30</f>
        <v>3.3</v>
      </c>
      <c r="F23" s="4" t="n">
        <f aca="false">Assumptions!F30</f>
        <v>3.3</v>
      </c>
      <c r="G23" s="4" t="n">
        <f aca="false">Assumptions!G30</f>
        <v>3.2</v>
      </c>
      <c r="H23" s="4" t="n">
        <f aca="false">Assumptions!H30</f>
        <v>3.2</v>
      </c>
      <c r="I23" s="4" t="n">
        <f aca="false">Assumptions!I30</f>
        <v>3.2</v>
      </c>
      <c r="J23" s="4" t="n">
        <f aca="false">Assumptions!J30</f>
        <v>3.2</v>
      </c>
      <c r="K23" s="4" t="n">
        <f aca="false">Assumptions!K30</f>
        <v>3.2</v>
      </c>
      <c r="L23" s="4" t="n">
        <f aca="false">Assumptions!L30</f>
        <v>3.2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-1237.21133316</v>
      </c>
      <c r="D24" s="0" t="n">
        <f aca="false">-D6*D23/100</f>
        <v>-1198.2204305392</v>
      </c>
      <c r="E24" s="0" t="n">
        <f aca="false">-E6*E23/100</f>
        <v>-1209.49779929722</v>
      </c>
      <c r="F24" s="0" t="n">
        <f aca="false">-F6*F23/100</f>
        <v>-1282.06766725505</v>
      </c>
      <c r="G24" s="0" t="n">
        <f aca="false">-G6*G23/100</f>
        <v>-1317.81015979671</v>
      </c>
      <c r="H24" s="0" t="n">
        <f aca="false">-H6*H23/100</f>
        <v>-1383.70066778654</v>
      </c>
      <c r="I24" s="0" t="n">
        <f aca="false">-I6*I23/100</f>
        <v>-1452.88570117587</v>
      </c>
      <c r="J24" s="0" t="n">
        <f aca="false">-J6*J23/100</f>
        <v>-1511.0011292229</v>
      </c>
      <c r="K24" s="0" t="n">
        <f aca="false">-K6*K23/100</f>
        <v>-1563.8861687457</v>
      </c>
      <c r="L24" s="0" t="n">
        <f aca="false">-L6*L23/100</f>
        <v>-1610.80275380807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56446.2033017541</v>
      </c>
    </row>
    <row r="31" customFormat="false" ht="15" hidden="false" customHeight="false" outlineLevel="0" collapsed="false">
      <c r="A31" s="0" t="s">
        <v>141</v>
      </c>
      <c r="B31" s="0" t="n">
        <f aca="false">L19</f>
        <v>11301.0324268986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144794.477969639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135612.389122784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135612.389122784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49966.2304799277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106412.433781682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118482.172781682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104.7887841957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-0.204337249842826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741.067140991387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712.893636335404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106.074705769784</v>
      </c>
    </row>
    <row r="45" customFormat="false" ht="15" hidden="false" customHeight="false" outlineLevel="0" collapsed="false">
      <c r="A45" s="0" t="s">
        <v>93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92668.4659005689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72.1703852550065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0" t="s">
        <v>125</v>
      </c>
      <c r="B3" s="0" t="s">
        <v>86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</row>
    <row r="4" customFormat="false" ht="15" hidden="false" customHeight="false" outlineLevel="0" collapsed="false">
      <c r="A4" s="0" t="s">
        <v>126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110</v>
      </c>
      <c r="C5" s="4" t="n">
        <f aca="false">Assumptions!C41</f>
        <v>6</v>
      </c>
      <c r="D5" s="4" t="n">
        <f aca="false">Assumptions!D41</f>
        <v>8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37120.052</v>
      </c>
      <c r="C6" s="0" t="n">
        <f aca="false">B6*(1+C5/100)</f>
        <v>39347.25512</v>
      </c>
      <c r="D6" s="0" t="n">
        <f aca="false">C6*(1+D5/100)</f>
        <v>42495.0355296</v>
      </c>
      <c r="E6" s="0" t="n">
        <f aca="false">D6*(1+E5/100)</f>
        <v>47594.439793152</v>
      </c>
      <c r="F6" s="0" t="n">
        <f aca="false">E6*(1+F5/100)</f>
        <v>52829.8281703987</v>
      </c>
      <c r="G6" s="0" t="n">
        <f aca="false">F6*(1+G5/100)</f>
        <v>58112.8109874386</v>
      </c>
      <c r="H6" s="0" t="n">
        <f aca="false">G6*(1+H5/100)</f>
        <v>63342.9639763081</v>
      </c>
      <c r="I6" s="0" t="n">
        <f aca="false">H6*(1+I5/100)</f>
        <v>68410.4010944128</v>
      </c>
      <c r="J6" s="0" t="n">
        <f aca="false">I6*(1+J5/100)</f>
        <v>72515.0251600775</v>
      </c>
      <c r="K6" s="0" t="n">
        <f aca="false">J6*(1+K5/100)</f>
        <v>76140.7764180814</v>
      </c>
      <c r="L6" s="0" t="n">
        <f aca="false">K6*(1+L5/100)</f>
        <v>79186.4074748047</v>
      </c>
    </row>
    <row r="7" customFormat="false" ht="15" hidden="false" customHeight="false" outlineLevel="0" collapsed="false">
      <c r="A7" s="0" t="s">
        <v>111</v>
      </c>
      <c r="C7" s="4" t="n">
        <f aca="false">Assumptions!C42</f>
        <v>44.5</v>
      </c>
      <c r="D7" s="4" t="n">
        <f aca="false">Assumptions!D42</f>
        <v>44</v>
      </c>
      <c r="E7" s="4" t="n">
        <f aca="false">Assumptions!E42</f>
        <v>43.5</v>
      </c>
      <c r="F7" s="4" t="n">
        <f aca="false">Assumptions!F42</f>
        <v>43</v>
      </c>
      <c r="G7" s="4" t="n">
        <f aca="false">Assumptions!G42</f>
        <v>43</v>
      </c>
      <c r="H7" s="4" t="n">
        <f aca="false">Assumptions!H42</f>
        <v>43</v>
      </c>
      <c r="I7" s="4" t="n">
        <f aca="false">Assumptions!I42</f>
        <v>43</v>
      </c>
      <c r="J7" s="4" t="n">
        <f aca="false">Assumptions!J42</f>
        <v>43</v>
      </c>
      <c r="K7" s="4" t="n">
        <f aca="false">Assumptions!K42</f>
        <v>43</v>
      </c>
      <c r="L7" s="4" t="n">
        <f aca="false">Assumptions!L42</f>
        <v>43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17509.5285284</v>
      </c>
      <c r="D8" s="0" t="n">
        <f aca="false">D6*D7/100</f>
        <v>18697.815633024</v>
      </c>
      <c r="E8" s="0" t="n">
        <f aca="false">E6*E7/100</f>
        <v>20703.5813100211</v>
      </c>
      <c r="F8" s="0" t="n">
        <f aca="false">F6*F7/100</f>
        <v>22716.8261132715</v>
      </c>
      <c r="G8" s="0" t="n">
        <f aca="false">G6*G7/100</f>
        <v>24988.5087245986</v>
      </c>
      <c r="H8" s="0" t="n">
        <f aca="false">H6*H7/100</f>
        <v>27237.4745098125</v>
      </c>
      <c r="I8" s="0" t="n">
        <f aca="false">I6*I7/100</f>
        <v>29416.4724705975</v>
      </c>
      <c r="J8" s="0" t="n">
        <f aca="false">J6*J7/100</f>
        <v>31181.4608188333</v>
      </c>
      <c r="K8" s="0" t="n">
        <f aca="false">K6*K7/100</f>
        <v>32740.533859775</v>
      </c>
      <c r="L8" s="0" t="n">
        <f aca="false">L6*L7/100</f>
        <v>34050.155214166</v>
      </c>
    </row>
    <row r="9" customFormat="false" ht="15" hidden="false" customHeight="false" outlineLevel="0" collapsed="false">
      <c r="A9" s="0" t="s">
        <v>112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127</v>
      </c>
      <c r="C10" s="0" t="n">
        <f aca="false">-C6*C9/100</f>
        <v>-118.04176536</v>
      </c>
      <c r="D10" s="0" t="n">
        <f aca="false">-D6*D9/100</f>
        <v>-127.4851065888</v>
      </c>
      <c r="E10" s="0" t="n">
        <f aca="false">-E6*E9/100</f>
        <v>-142.783319379456</v>
      </c>
      <c r="F10" s="0" t="n">
        <f aca="false">-F6*F9/100</f>
        <v>-158.489484511196</v>
      </c>
      <c r="G10" s="0" t="n">
        <f aca="false">-G6*G9/100</f>
        <v>-174.338432962316</v>
      </c>
      <c r="H10" s="0" t="n">
        <f aca="false">-H6*H9/100</f>
        <v>-190.028891928924</v>
      </c>
      <c r="I10" s="0" t="n">
        <f aca="false">-I6*I9/100</f>
        <v>-205.231203283238</v>
      </c>
      <c r="J10" s="0" t="n">
        <f aca="false">-J6*J9/100</f>
        <v>-217.545075480233</v>
      </c>
      <c r="K10" s="0" t="n">
        <f aca="false">-K6*K9/100</f>
        <v>-228.422329254244</v>
      </c>
      <c r="L10" s="0" t="n">
        <f aca="false">-L6*L9/100</f>
        <v>-237.559222424414</v>
      </c>
    </row>
    <row r="11" customFormat="false" ht="15" hidden="false" customHeight="false" outlineLevel="0" collapsed="false">
      <c r="A11" s="0" t="s">
        <v>128</v>
      </c>
      <c r="C11" s="0" t="n">
        <f aca="false">C8+C10+C24</f>
        <v>16132.3745992</v>
      </c>
      <c r="D11" s="0" t="n">
        <f aca="false">D8+D10+D24</f>
        <v>17295.4794605472</v>
      </c>
      <c r="E11" s="0" t="n">
        <f aca="false">E8+E10+E24</f>
        <v>19180.5592366403</v>
      </c>
      <c r="F11" s="0" t="n">
        <f aca="false">F8+F10+F24</f>
        <v>21079.1014399891</v>
      </c>
      <c r="G11" s="0" t="n">
        <f aca="false">G8+G10+G24</f>
        <v>23187.011583988</v>
      </c>
      <c r="H11" s="0" t="n">
        <f aca="false">H8+H10+H24</f>
        <v>25273.8426265469</v>
      </c>
      <c r="I11" s="0" t="n">
        <f aca="false">I8+I10+I24</f>
        <v>27295.7500366707</v>
      </c>
      <c r="J11" s="0" t="n">
        <f aca="false">J8+J10+J24</f>
        <v>28933.4950388709</v>
      </c>
      <c r="K11" s="0" t="n">
        <f aca="false">K8+K10+K24</f>
        <v>30380.1697908145</v>
      </c>
      <c r="L11" s="0" t="n">
        <f aca="false">L8+L10+L24</f>
        <v>31595.3765824471</v>
      </c>
    </row>
    <row r="12" customFormat="false" ht="15" hidden="false" customHeight="false" outlineLevel="0" collapsed="false">
      <c r="A12" s="0" t="s">
        <v>129</v>
      </c>
      <c r="C12" s="4" t="n">
        <f aca="false">-C6*Assumptions!C45/100</f>
        <v>-865.63961264</v>
      </c>
      <c r="D12" s="4" t="n">
        <f aca="false">-D6*Assumptions!D45/100</f>
        <v>-1019.8808527104</v>
      </c>
      <c r="E12" s="4" t="n">
        <f aca="false">-E6*Assumptions!E45/100</f>
        <v>-1189.8609948288</v>
      </c>
      <c r="F12" s="4" t="n">
        <f aca="false">-F6*Assumptions!F45/100</f>
        <v>-1373.57553243037</v>
      </c>
      <c r="G12" s="4" t="n">
        <f aca="false">-G6*Assumptions!G45/100</f>
        <v>-1510.9330856734</v>
      </c>
      <c r="H12" s="4" t="n">
        <f aca="false">-H6*Assumptions!H45/100</f>
        <v>-1646.91706338401</v>
      </c>
      <c r="I12" s="4" t="n">
        <f aca="false">-I6*Assumptions!I45/100</f>
        <v>-1778.67042845473</v>
      </c>
      <c r="J12" s="4" t="n">
        <f aca="false">-J6*Assumptions!J45/100</f>
        <v>-1885.39065416202</v>
      </c>
      <c r="K12" s="4" t="n">
        <f aca="false">-K6*Assumptions!K45/100</f>
        <v>-1979.66018687012</v>
      </c>
      <c r="L12" s="4" t="n">
        <f aca="false">-L6*Assumptions!L45/100</f>
        <v>-2058.84659434492</v>
      </c>
    </row>
    <row r="13" customFormat="false" ht="15" hidden="false" customHeight="false" outlineLevel="0" collapsed="false">
      <c r="A13" s="0" t="s">
        <v>130</v>
      </c>
      <c r="C13" s="0" t="n">
        <f aca="false">C11+C12</f>
        <v>15266.73498656</v>
      </c>
      <c r="D13" s="0" t="n">
        <f aca="false">D11+D12</f>
        <v>16275.5986078368</v>
      </c>
      <c r="E13" s="0" t="n">
        <f aca="false">E11+E12</f>
        <v>17990.6982418115</v>
      </c>
      <c r="F13" s="0" t="n">
        <f aca="false">F11+F12</f>
        <v>19705.5259075587</v>
      </c>
      <c r="G13" s="0" t="n">
        <f aca="false">G11+G12</f>
        <v>21676.0784983146</v>
      </c>
      <c r="H13" s="0" t="n">
        <f aca="false">H11+H12</f>
        <v>23626.9255631629</v>
      </c>
      <c r="I13" s="0" t="n">
        <f aca="false">I11+I12</f>
        <v>25517.079608216</v>
      </c>
      <c r="J13" s="0" t="n">
        <f aca="false">J11+J12</f>
        <v>27048.1043847089</v>
      </c>
      <c r="K13" s="0" t="n">
        <f aca="false">K11+K12</f>
        <v>28400.5096039444</v>
      </c>
      <c r="L13" s="0" t="n">
        <f aca="false">L11+L12</f>
        <v>29536.5299881021</v>
      </c>
    </row>
    <row r="14" customFormat="false" ht="15" hidden="false" customHeight="false" outlineLevel="0" collapsed="false">
      <c r="A14" s="0" t="s">
        <v>116</v>
      </c>
      <c r="C14" s="4" t="n">
        <f aca="false">Assumptions!C47</f>
        <v>33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131</v>
      </c>
      <c r="C15" s="0" t="n">
        <f aca="false">C13-MAX(0,C13)*C14/100</f>
        <v>10228.7124409952</v>
      </c>
      <c r="D15" s="0" t="n">
        <f aca="false">D13-MAX(0,D13)*D14/100</f>
        <v>12206.6989558776</v>
      </c>
      <c r="E15" s="0" t="n">
        <f aca="false">E13-MAX(0,E13)*E14/100</f>
        <v>13493.0236813586</v>
      </c>
      <c r="F15" s="0" t="n">
        <f aca="false">F13-MAX(0,F13)*F14/100</f>
        <v>14779.144430669</v>
      </c>
      <c r="G15" s="0" t="n">
        <f aca="false">G13-MAX(0,G13)*G14/100</f>
        <v>16257.058873736</v>
      </c>
      <c r="H15" s="0" t="n">
        <f aca="false">H13-MAX(0,H13)*H14/100</f>
        <v>17720.1941723722</v>
      </c>
      <c r="I15" s="0" t="n">
        <f aca="false">I13-MAX(0,I13)*I14/100</f>
        <v>19137.809706162</v>
      </c>
      <c r="J15" s="0" t="n">
        <f aca="false">J13-MAX(0,J13)*J14/100</f>
        <v>20286.0782885317</v>
      </c>
      <c r="K15" s="0" t="n">
        <f aca="false">K13-MAX(0,K13)*K14/100</f>
        <v>21300.3822029583</v>
      </c>
      <c r="L15" s="0" t="n">
        <f aca="false">L13-MAX(0,L13)*L14/100</f>
        <v>22152.3974910766</v>
      </c>
    </row>
    <row r="16" customFormat="false" ht="15" hidden="false" customHeight="false" outlineLevel="0" collapsed="false">
      <c r="A16" s="0" t="s">
        <v>132</v>
      </c>
      <c r="C16" s="0" t="n">
        <f aca="false">-C12</f>
        <v>865.63961264</v>
      </c>
      <c r="D16" s="0" t="n">
        <f aca="false">-D12</f>
        <v>1019.8808527104</v>
      </c>
      <c r="E16" s="0" t="n">
        <f aca="false">-E12</f>
        <v>1189.8609948288</v>
      </c>
      <c r="F16" s="0" t="n">
        <f aca="false">-F12</f>
        <v>1373.57553243037</v>
      </c>
      <c r="G16" s="0" t="n">
        <f aca="false">-G12</f>
        <v>1510.9330856734</v>
      </c>
      <c r="H16" s="0" t="n">
        <f aca="false">-H12</f>
        <v>1646.91706338401</v>
      </c>
      <c r="I16" s="0" t="n">
        <f aca="false">-I12</f>
        <v>1778.67042845473</v>
      </c>
      <c r="J16" s="0" t="n">
        <f aca="false">-J12</f>
        <v>1885.39065416202</v>
      </c>
      <c r="K16" s="0" t="n">
        <f aca="false">-K12</f>
        <v>1979.66018687012</v>
      </c>
      <c r="L16" s="0" t="n">
        <f aca="false">-L12</f>
        <v>2058.84659434492</v>
      </c>
    </row>
    <row r="17" customFormat="false" ht="15" hidden="false" customHeight="false" outlineLevel="0" collapsed="false">
      <c r="A17" s="0" t="s">
        <v>133</v>
      </c>
      <c r="C17" s="4" t="n">
        <f aca="false">-C6*Assumptions!C46/100</f>
        <v>-1573.8902048</v>
      </c>
      <c r="D17" s="4" t="n">
        <f aca="false">-D6*Assumptions!D46/100</f>
        <v>-1529.8212790656</v>
      </c>
      <c r="E17" s="4" t="n">
        <f aca="false">-E6*Assumptions!E46/100</f>
        <v>-1570.61651317402</v>
      </c>
      <c r="F17" s="4" t="n">
        <f aca="false">-F6*Assumptions!F46/100</f>
        <v>-1637.72467328236</v>
      </c>
      <c r="G17" s="4" t="n">
        <f aca="false">-G6*Assumptions!G46/100</f>
        <v>-1743.38432962316</v>
      </c>
      <c r="H17" s="4" t="n">
        <f aca="false">-H6*Assumptions!H46/100</f>
        <v>-1900.28891928924</v>
      </c>
      <c r="I17" s="4" t="n">
        <f aca="false">-I6*Assumptions!I46/100</f>
        <v>-2052.31203283238</v>
      </c>
      <c r="J17" s="4" t="n">
        <f aca="false">-J6*Assumptions!J46/100</f>
        <v>-2175.45075480233</v>
      </c>
      <c r="K17" s="4" t="n">
        <f aca="false">-K6*Assumptions!K46/100</f>
        <v>-2284.22329254244</v>
      </c>
      <c r="L17" s="4" t="n">
        <f aca="false">-L6*Assumptions!L46/100</f>
        <v>-2375.59222424414</v>
      </c>
    </row>
    <row r="18" customFormat="false" ht="15" hidden="false" customHeight="false" outlineLevel="0" collapsed="false">
      <c r="A18" s="0" t="s">
        <v>134</v>
      </c>
      <c r="C18" s="4" t="n">
        <f aca="false">(C6-B6)*Assumptions!$B$51/100</f>
        <v>-267.264374400001</v>
      </c>
      <c r="D18" s="4" t="n">
        <f aca="false">(D6-C6)*Assumptions!$B$51/100</f>
        <v>-377.733649152</v>
      </c>
      <c r="E18" s="4" t="n">
        <f aca="false">(E6-D6)*Assumptions!$B$51/100</f>
        <v>-611.928511626241</v>
      </c>
      <c r="F18" s="4" t="n">
        <f aca="false">(F6-E6)*Assumptions!$B$51/100</f>
        <v>-628.246605269607</v>
      </c>
      <c r="G18" s="4" t="n">
        <f aca="false">(G6-F6)*Assumptions!$B$51/100</f>
        <v>-633.957938044785</v>
      </c>
      <c r="H18" s="4" t="n">
        <f aca="false">(H6-G6)*Assumptions!$B$51/100</f>
        <v>-627.618358664337</v>
      </c>
      <c r="I18" s="4" t="n">
        <f aca="false">(I6-H6)*Assumptions!$B$51/100</f>
        <v>-608.092454172558</v>
      </c>
      <c r="J18" s="4" t="n">
        <f aca="false">(J6-I6)*Assumptions!$B$51/100</f>
        <v>-492.554887879773</v>
      </c>
      <c r="K18" s="4" t="n">
        <f aca="false">(K6-J6)*Assumptions!$B$51/100</f>
        <v>-435.090150960465</v>
      </c>
      <c r="L18" s="4" t="n">
        <f aca="false">(L6-K6)*Assumptions!$B$51/100</f>
        <v>-365.475726806791</v>
      </c>
    </row>
    <row r="19" customFormat="false" ht="15" hidden="false" customHeight="false" outlineLevel="0" collapsed="false">
      <c r="A19" s="0" t="s">
        <v>135</v>
      </c>
      <c r="C19" s="0" t="n">
        <f aca="false">C15+C16+C17+C18</f>
        <v>9253.1974744352</v>
      </c>
      <c r="D19" s="0" t="n">
        <f aca="false">D15+D16+D17+D18</f>
        <v>11319.0248803704</v>
      </c>
      <c r="E19" s="0" t="n">
        <f aca="false">E15+E16+E17+E18</f>
        <v>12500.3396513871</v>
      </c>
      <c r="F19" s="0" t="n">
        <f aca="false">F15+F16+F17+F18</f>
        <v>13886.7486845474</v>
      </c>
      <c r="G19" s="0" t="n">
        <f aca="false">G15+G16+G17+G18</f>
        <v>15390.6496917414</v>
      </c>
      <c r="H19" s="0" t="n">
        <f aca="false">H15+H16+H17+H18</f>
        <v>16839.2039578026</v>
      </c>
      <c r="I19" s="0" t="n">
        <f aca="false">I15+I16+I17+I18</f>
        <v>18256.0756476118</v>
      </c>
      <c r="J19" s="0" t="n">
        <f aca="false">J15+J16+J17+J18</f>
        <v>19503.4633000116</v>
      </c>
      <c r="K19" s="0" t="n">
        <f aca="false">K15+K16+K17+K18</f>
        <v>20560.7289463255</v>
      </c>
      <c r="L19" s="0" t="n">
        <f aca="false">L15+L16+L17+L18</f>
        <v>21470.1761343706</v>
      </c>
    </row>
    <row r="20" customFormat="false" ht="15" hidden="false" customHeight="false" outlineLevel="0" collapsed="false">
      <c r="A20" s="0" t="s">
        <v>136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137</v>
      </c>
      <c r="C21" s="0" t="n">
        <f aca="false">C19*C20</f>
        <v>8373.93436600471</v>
      </c>
      <c r="D21" s="0" t="n">
        <f aca="false">D19*D20</f>
        <v>9270.10084180947</v>
      </c>
      <c r="E21" s="0" t="n">
        <f aca="false">E19*E20</f>
        <v>9264.77719243347</v>
      </c>
      <c r="F21" s="0" t="n">
        <f aca="false">F19*F20</f>
        <v>9314.32663784049</v>
      </c>
      <c r="G21" s="0" t="n">
        <f aca="false">G19*G20</f>
        <v>9342.12261660181</v>
      </c>
      <c r="H21" s="0" t="n">
        <f aca="false">H19*H20</f>
        <v>9250.13112374855</v>
      </c>
      <c r="I21" s="0" t="n">
        <f aca="false">I19*I20</f>
        <v>9075.51921270434</v>
      </c>
      <c r="J21" s="0" t="n">
        <f aca="false">J19*J20</f>
        <v>8774.32089234085</v>
      </c>
      <c r="K21" s="0" t="n">
        <f aca="false">K19*K20</f>
        <v>8371.01279207738</v>
      </c>
      <c r="L21" s="0" t="n">
        <f aca="false">L19*L20</f>
        <v>7910.66196911628</v>
      </c>
    </row>
    <row r="23" customFormat="false" ht="15" hidden="false" customHeight="false" outlineLevel="0" collapsed="false">
      <c r="A23" s="0" t="s">
        <v>113</v>
      </c>
      <c r="C23" s="4" t="n">
        <f aca="false">Assumptions!C44</f>
        <v>3.2</v>
      </c>
      <c r="D23" s="4" t="n">
        <f aca="false">Assumptions!D44</f>
        <v>3</v>
      </c>
      <c r="E23" s="4" t="n">
        <f aca="false">Assumptions!E44</f>
        <v>2.9</v>
      </c>
      <c r="F23" s="4" t="n">
        <f aca="false">Assumptions!F44</f>
        <v>2.8</v>
      </c>
      <c r="G23" s="4" t="n">
        <f aca="false">Assumptions!G44</f>
        <v>2.8</v>
      </c>
      <c r="H23" s="4" t="n">
        <f aca="false">Assumptions!H44</f>
        <v>2.8</v>
      </c>
      <c r="I23" s="4" t="n">
        <f aca="false">Assumptions!I44</f>
        <v>2.8</v>
      </c>
      <c r="J23" s="4" t="n">
        <f aca="false">Assumptions!J44</f>
        <v>2.8</v>
      </c>
      <c r="K23" s="4" t="n">
        <f aca="false">Assumptions!K44</f>
        <v>2.8</v>
      </c>
      <c r="L23" s="4" t="n">
        <f aca="false">Assumptions!L44</f>
        <v>2.8</v>
      </c>
    </row>
    <row r="24" customFormat="false" ht="15" hidden="false" customHeight="false" outlineLevel="0" collapsed="false">
      <c r="A24" s="0" t="s">
        <v>138</v>
      </c>
      <c r="C24" s="0" t="n">
        <f aca="false">-C6*C23/100</f>
        <v>-1259.11216384</v>
      </c>
      <c r="D24" s="0" t="n">
        <f aca="false">-D6*D23/100</f>
        <v>-1274.851065888</v>
      </c>
      <c r="E24" s="0" t="n">
        <f aca="false">-E6*E23/100</f>
        <v>-1380.23875400141</v>
      </c>
      <c r="F24" s="0" t="n">
        <f aca="false">-F6*F23/100</f>
        <v>-1479.23518877116</v>
      </c>
      <c r="G24" s="0" t="n">
        <f aca="false">-G6*G23/100</f>
        <v>-1627.15870764828</v>
      </c>
      <c r="H24" s="0" t="n">
        <f aca="false">-H6*H23/100</f>
        <v>-1773.60299133663</v>
      </c>
      <c r="I24" s="0" t="n">
        <f aca="false">-I6*I23/100</f>
        <v>-1915.49123064356</v>
      </c>
      <c r="J24" s="0" t="n">
        <f aca="false">-J6*J23/100</f>
        <v>-2030.42070448217</v>
      </c>
      <c r="K24" s="0" t="n">
        <f aca="false">-K6*K23/100</f>
        <v>-2131.94173970628</v>
      </c>
      <c r="L24" s="0" t="n">
        <f aca="false">-L6*L23/100</f>
        <v>-2217.21940929453</v>
      </c>
    </row>
    <row r="26" customFormat="false" ht="15" hidden="false" customHeight="false" outlineLevel="0" collapsed="false">
      <c r="A26" s="2" t="s">
        <v>139</v>
      </c>
    </row>
    <row r="27" customFormat="false" ht="15" hidden="false" customHeight="false" outlineLevel="0" collapsed="false">
      <c r="A27" s="0" t="s">
        <v>117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119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140</v>
      </c>
      <c r="B30" s="0" t="n">
        <f aca="false">SUM(C21:L21)</f>
        <v>88946.9076446773</v>
      </c>
    </row>
    <row r="31" customFormat="false" ht="15" hidden="false" customHeight="false" outlineLevel="0" collapsed="false">
      <c r="A31" s="0" t="s">
        <v>141</v>
      </c>
      <c r="B31" s="0" t="n">
        <f aca="false">L19</f>
        <v>21470.1761343706</v>
      </c>
    </row>
    <row r="32" customFormat="false" ht="15" hidden="false" customHeight="false" outlineLevel="0" collapsed="false">
      <c r="A32" s="0" t="s">
        <v>142</v>
      </c>
      <c r="B32" s="0" t="n">
        <f aca="false">IF(B27&gt;B28,B31*(1+B28/100)/((B27-B28)/100),B31*B29)</f>
        <v>294857.08557869</v>
      </c>
    </row>
    <row r="33" customFormat="false" ht="15" hidden="false" customHeight="false" outlineLevel="0" collapsed="false">
      <c r="A33" s="0" t="s">
        <v>143</v>
      </c>
      <c r="B33" s="0" t="n">
        <f aca="false">B31*B29</f>
        <v>257642.113612447</v>
      </c>
    </row>
    <row r="34" customFormat="false" ht="15" hidden="false" customHeight="false" outlineLevel="0" collapsed="false">
      <c r="A34" s="0" t="s">
        <v>144</v>
      </c>
      <c r="B34" s="0" t="n">
        <f aca="false">MAX(0,MIN(B32,B33))</f>
        <v>257642.113612447</v>
      </c>
    </row>
    <row r="35" customFormat="false" ht="15" hidden="false" customHeight="false" outlineLevel="0" collapsed="false">
      <c r="A35" s="0" t="s">
        <v>145</v>
      </c>
      <c r="B35" s="0" t="n">
        <f aca="false">B34/(1+B27/100)^L4</f>
        <v>94927.9436293954</v>
      </c>
    </row>
    <row r="36" customFormat="false" ht="15" hidden="false" customHeight="false" outlineLevel="0" collapsed="false">
      <c r="A36" s="0" t="s">
        <v>146</v>
      </c>
      <c r="B36" s="0" t="n">
        <f aca="false">B30+B35</f>
        <v>183874.851274073</v>
      </c>
    </row>
    <row r="37" customFormat="false" ht="15" hidden="false" customHeight="false" outlineLevel="0" collapsed="false">
      <c r="A37" s="0" t="s">
        <v>147</v>
      </c>
      <c r="B37" s="0" t="n">
        <f aca="false">B36+Assumptions!$B$5-Assumptions!$B$4</f>
        <v>195944.590274073</v>
      </c>
    </row>
    <row r="38" customFormat="false" ht="15" hidden="false" customHeight="false" outlineLevel="0" collapsed="false">
      <c r="A38" s="0" t="s">
        <v>148</v>
      </c>
      <c r="B38" s="0" t="n">
        <f aca="false">B37/Assumptions!$B$3*Assumptions!$B$10</f>
        <v>173.298606047501</v>
      </c>
    </row>
    <row r="39" customFormat="false" ht="15" hidden="false" customHeight="false" outlineLevel="0" collapsed="false">
      <c r="A39" s="0" t="s">
        <v>149</v>
      </c>
      <c r="B39" s="4" t="n">
        <f aca="false">B38/Assumptions!$B$2-1</f>
        <v>0.315858815850426</v>
      </c>
    </row>
    <row r="41" customFormat="false" ht="15" hidden="false" customHeight="false" outlineLevel="0" collapsed="false">
      <c r="A41" s="0" t="s">
        <v>150</v>
      </c>
      <c r="B41" s="0" t="n">
        <f aca="false">SUMPRODUCT(-C10:L10/(1+$B$27/100)^C4:L4)</f>
        <v>1013.99659769195</v>
      </c>
    </row>
    <row r="42" customFormat="false" ht="15" hidden="false" customHeight="false" outlineLevel="0" collapsed="false">
      <c r="A42" s="0" t="s">
        <v>151</v>
      </c>
      <c r="B42" s="0" t="n">
        <f aca="false">IF(B27&gt;B28,-L10*(1+B28/100)/((B27-B28)/100),-L10*20)/(1+B27/100)^L4</f>
        <v>1202.05703969322</v>
      </c>
    </row>
    <row r="43" customFormat="false" ht="15" hidden="false" customHeight="false" outlineLevel="0" collapsed="false">
      <c r="A43" s="0" t="s">
        <v>152</v>
      </c>
      <c r="B43" s="0" t="n">
        <f aca="false">(B37+B41+B42)/Assumptions!$B$3*Assumptions!$B$10</f>
        <v>175.258542812013</v>
      </c>
    </row>
    <row r="45" customFormat="false" ht="15" hidden="false" customHeight="false" outlineLevel="0" collapsed="false">
      <c r="A45" s="0" t="s">
        <v>93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153</v>
      </c>
      <c r="B46" s="0" t="n">
        <f aca="false">MAX(0,MIN(IF(B45&gt;B28,B31*(1+B28/100)/((B45-B28)/100),B31*B29),B31*B29))</f>
        <v>184285.678486681</v>
      </c>
    </row>
    <row r="47" customFormat="false" ht="15" hidden="false" customHeight="false" outlineLevel="0" collapsed="false">
      <c r="A47" s="0" t="s">
        <v>154</v>
      </c>
      <c r="B47" s="0" t="n">
        <f aca="false">(SUMPRODUCT(C19:L19/(1+B45/100)^C4:L4)+B46/(1+B45/100)^L4+Assumptions!$B$5-Assumptions!$B$4)/Assumptions!$B$3*Assumptions!$B$10</f>
        <v>114.717997362382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157</v>
      </c>
    </row>
    <row r="3" customFormat="false" ht="15" hidden="false" customHeight="false" outlineLevel="0" collapsed="false">
      <c r="A3" s="2" t="s">
        <v>158</v>
      </c>
      <c r="B3" s="2" t="s">
        <v>159</v>
      </c>
      <c r="C3" s="2" t="s">
        <v>149</v>
      </c>
      <c r="D3" s="2" t="s">
        <v>160</v>
      </c>
      <c r="E3" s="2" t="s">
        <v>152</v>
      </c>
      <c r="F3" s="2" t="s">
        <v>161</v>
      </c>
    </row>
    <row r="4" customFormat="false" ht="15" hidden="false" customHeight="false" outlineLevel="0" collapsed="false">
      <c r="A4" s="0" t="s">
        <v>162</v>
      </c>
      <c r="B4" s="4" t="n">
        <f aca="false">DCF_Bear!$B$38</f>
        <v>48.1223250008386</v>
      </c>
      <c r="C4" s="0" t="n">
        <f aca="false">B4/Assumptions!$B$2-1</f>
        <v>-0.634606492020967</v>
      </c>
      <c r="D4" s="4" t="n">
        <f aca="false">Assumptions!$B$24</f>
        <v>0.3</v>
      </c>
      <c r="E4" s="4" t="n">
        <f aca="false">DCF_Bear!$B$43</f>
        <v>48.8357052268417</v>
      </c>
      <c r="F4" s="4" t="n">
        <f aca="false">DCF_Bear!$B$47</f>
        <v>36.8007714317281</v>
      </c>
    </row>
    <row r="5" customFormat="false" ht="15" hidden="false" customHeight="false" outlineLevel="0" collapsed="false">
      <c r="A5" s="0" t="s">
        <v>163</v>
      </c>
      <c r="B5" s="4" t="n">
        <f aca="false">DCF_Base!$B$38</f>
        <v>104.7887841957</v>
      </c>
      <c r="C5" s="0" t="n">
        <f aca="false">B5/Assumptions!$B$2-1</f>
        <v>-0.204337249842826</v>
      </c>
      <c r="D5" s="4" t="n">
        <f aca="false">Assumptions!$B$38</f>
        <v>0.45</v>
      </c>
      <c r="E5" s="4" t="n">
        <f aca="false">DCF_Base!$B$43</f>
        <v>106.074705769784</v>
      </c>
      <c r="F5" s="4" t="n">
        <f aca="false">DCF_Base!$B$47</f>
        <v>72.1703852550065</v>
      </c>
    </row>
    <row r="6" customFormat="false" ht="15" hidden="false" customHeight="false" outlineLevel="0" collapsed="false">
      <c r="A6" s="0" t="s">
        <v>164</v>
      </c>
      <c r="B6" s="4" t="n">
        <f aca="false">DCF_Bull!$B$38</f>
        <v>173.298606047501</v>
      </c>
      <c r="C6" s="0" t="n">
        <f aca="false">B6/Assumptions!$B$2-1</f>
        <v>0.315858815850426</v>
      </c>
      <c r="D6" s="4" t="n">
        <f aca="false">Assumptions!$B$52</f>
        <v>0.25</v>
      </c>
      <c r="E6" s="4" t="n">
        <f aca="false">DCF_Bull!$B$43</f>
        <v>175.258542812013</v>
      </c>
      <c r="F6" s="4" t="n">
        <f aca="false">DCF_Bull!$B$47</f>
        <v>114.717997362382</v>
      </c>
    </row>
    <row r="8" customFormat="false" ht="15" hidden="false" customHeight="false" outlineLevel="0" collapsed="false">
      <c r="A8" s="0" t="s">
        <v>165</v>
      </c>
      <c r="B8" s="0" t="n">
        <f aca="false">SUMPRODUCT(B4:B6,D4:D6)</f>
        <v>104.916301900192</v>
      </c>
    </row>
    <row r="9" customFormat="false" ht="15" hidden="false" customHeight="false" outlineLevel="0" collapsed="false">
      <c r="A9" s="0" t="s">
        <v>166</v>
      </c>
      <c r="B9" s="0" t="n">
        <f aca="false">SUMPRODUCT(E4:E6,D4:D6)</f>
        <v>106.198964867458</v>
      </c>
    </row>
    <row r="10" customFormat="false" ht="15" hidden="false" customHeight="false" outlineLevel="0" collapsed="false">
      <c r="A10" s="0" t="s">
        <v>167</v>
      </c>
      <c r="B10" s="0" t="n">
        <f aca="false">1-Assumptions!$B$2/B8</f>
        <v>-0.255286334103616</v>
      </c>
    </row>
    <row r="11" customFormat="false" ht="15" hidden="false" customHeight="false" outlineLevel="0" collapsed="false">
      <c r="A11" s="0" t="s">
        <v>168</v>
      </c>
      <c r="B11" s="0" t="n">
        <f aca="false">IF(ABS(B9-B8)&gt;0.01*ABS(B8),(Assumptions!$B$2-B8)/(B9-B8)*100,"n/a")</f>
        <v>2088.13217371393</v>
      </c>
    </row>
    <row r="12" customFormat="false" ht="15" hidden="false" customHeight="false" outlineLevel="0" collapsed="false">
      <c r="A12" s="0" t="s">
        <v>169</v>
      </c>
      <c r="B12" s="0" t="n">
        <f aca="false">SUMPRODUCT(F4:F6,D4:D6)</f>
        <v>72.1964041348669</v>
      </c>
    </row>
    <row r="14" customFormat="false" ht="15" hidden="false" customHeight="false" outlineLevel="0" collapsed="false">
      <c r="A14" s="2" t="s">
        <v>170</v>
      </c>
      <c r="C14" s="0" t="s">
        <v>171</v>
      </c>
    </row>
    <row r="15" customFormat="false" ht="15" hidden="false" customHeight="false" outlineLevel="0" collapsed="false">
      <c r="A15" s="0" t="s">
        <v>172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114.796668601326</v>
      </c>
      <c r="C15" s="3" t="n">
        <v>9</v>
      </c>
    </row>
    <row r="16" customFormat="false" ht="15" hidden="false" customHeight="false" outlineLevel="0" collapsed="false">
      <c r="A16" s="0" t="s">
        <v>173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107.97687808695</v>
      </c>
      <c r="C16" s="3" t="n">
        <v>10</v>
      </c>
    </row>
    <row r="17" customFormat="false" ht="15" hidden="false" customHeight="false" outlineLevel="0" collapsed="false">
      <c r="A17" s="0" t="s">
        <v>174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104.7887841957</v>
      </c>
      <c r="C17" s="3" t="n">
        <v>10.5</v>
      </c>
    </row>
    <row r="18" customFormat="false" ht="15" hidden="false" customHeight="false" outlineLevel="0" collapsed="false">
      <c r="A18" s="0" t="s">
        <v>175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101.73873741657</v>
      </c>
      <c r="C18" s="3" t="n">
        <v>11</v>
      </c>
    </row>
    <row r="19" customFormat="false" ht="15" hidden="false" customHeight="false" outlineLevel="0" collapsed="false">
      <c r="A19" s="0" t="s">
        <v>176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92.1301299741365</v>
      </c>
      <c r="C19" s="3" t="n">
        <v>12</v>
      </c>
    </row>
    <row r="20" customFormat="false" ht="15" hidden="false" customHeight="false" outlineLevel="0" collapsed="false">
      <c r="A20" s="0" t="s">
        <v>177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72.1703852550065</v>
      </c>
      <c r="C20" s="3" t="n">
        <v>15</v>
      </c>
    </row>
    <row r="22" customFormat="false" ht="15" hidden="false" customHeight="false" outlineLevel="0" collapsed="false">
      <c r="A22" s="2" t="s">
        <v>178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118.444187454718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118.444187454718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118.444187454718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118.444187454718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118.444187454718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111.310278020449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111.310278020449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111.310278020449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111.310278020449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111.310278020449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102.129112817438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104.7887841957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104.7887841957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104.7887841957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104.7887841957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92.5939670735272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94.5689007038831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96.7632714042785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98.8198789216894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98.8198789216894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84.8159691218551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86.3149470248466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87.9638227181371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89.7862642738793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91.8111993358151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2026-10-23T22:43:15Z</dcterms:created>
  <dc:creator>openpyxl</dc:creator>
  <dc:description/>
  <dc:language>en-NZ</dc:language>
  <cp:lastModifiedBy/>
  <dcterms:modified xsi:type="dcterms:W3CDTF">2026-10-23T22:43:15Z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