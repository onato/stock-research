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<sst xmlns="http://schemas.openxmlformats.org/spreadsheetml/2006/main" count="365" uniqueCount="170">
  <si>
    <t xml:space="preserve">Ticker</t>
  </si>
  <si>
    <t xml:space="preserve">DEMANT.CO</t>
  </si>
  <si>
    <t xml:space="preserve">Company</t>
  </si>
  <si>
    <t xml:space="preserve">Demant A/S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</si>
  <si>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</si>
  <si>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</si>
  <si>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</si>
  <si>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</si>
  <si>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2026-09-25T14:59:46Z regular close, Nasdaq Copenhagen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</si>
  <si>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</si>
  <si>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</si>
  <si>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</si>
  <si>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</si>
  <si>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</si>
  <si>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DKK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</si>
  <si>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</si>
  <si>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</si>
  <si>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</si>
  <si>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</si>
  <si>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</si>
  <si>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</si>
  <si>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2026-09-25T18:48:54Z</t>
  </si>
  <si>
    <t xml:space="preserve">Drivers file</t>
  </si>
  <si>
    <t xml:space="preserve">DEMANT.CO_Drivers.json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</si>
  <si>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</si>
  <si>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</si>
  <si>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</si>
  <si>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Demant is a high-quality oligopoly compounder (one of five players controlling &gt;99% of the prescription hearing-aid market, essentially tied for #1 global share with Sonova) executing a genuine but leveraged recovery from a 2025 trough year. The value case rests on structural demographic demand with a long, barely-tapped penetration runway, a defensible vertically-integrated retail-roll-up model, and three simultaneous margin levers (mix, cost programme, KIND synergies) that have not yet fully landed in reported numbers. The risk case is equally real and recently demonstrated: 2025 showed how fast the model can wobble on a lost product cycle and managed-care pricing pressure, leverage is above target with capital return suspended for FY2026, and the Foundation's ~59% control caps any takeover-premium scenario. No SBC or currency-mismatch complexity here (DKK filer, DKK quote); the modelling complexity is entirely in the margin-recovery trajectory and the lease/net-debt treatment.
key_risks_to_valuation: Product-cycle loss: a five-player oligopoly with ~2-3yr platform cadence means losing a generation (as in 2025's VA share slip) is expensive and slow to reverse -- management itself flags H2 2026 competitor launches; Leverage: 3.0x gearing vs 2.0-2.5x target, ~DKK 750m annual financial expense, only ~half of NTM interest cost hedged -- a rate or earnings shock compounds through the balance sheet, not just the income statement; Much of the recovery already priced in: shares +72% off the 52-week low and near the DKK 296-303 consensus target, so incremental return depends on further beats or multiple expansion, not a re-rating from a depressed base; Structural ASP pressure from consolidating US managed care and OTC/consumer-electronics entrants (Apple's FDA-cleared AirPods Pro hearing feature) anchoring price expectations at the low end, even though prescription-volume harm is unproven to date; Foundation control (~59%, intends to stay 55-60%) removes any takeover-premium scenario and limits minority governance leverage</t>
  </si>
  <si>
    <t xml:space="preserve">Data sources</t>
  </si>
  <si>
    <t xml:space="preserve">price: Yahoo Finance chart API at inputs.price_as_of; 52-week range 175.0-312.8 DKK
financials: research/DEMANT.CO/Reports/DEMANT.CO_Metrics.csv (core_metrics-derived, FY2016-FY2025 annual + H1 FY2021-H1 FY2026 half-year); DEMANT.CO_Annual_FY2025.txt and DEMANT.CO_HalfYear_H1-2026.txt for lease, NIBD and cash-flow-statement detail not carried in the CSV
qualitative: research/DEMANT.CO/Reports/DEMANT.CO_Analysis.json, refreshed 2026-09-26</t>
  </si>
  <si>
    <t xml:space="preserve">Scenario narrative: bear</t>
  </si>
  <si>
    <t xml:space="preserve">2025's playbook repeats: a lost product cycle, managed-care/OTC price pressure, and a 3.0x-geared balance sheet that cannot fund further roll-up, pinning EBIT margin near the FY2025 trough indefinitely.</t>
  </si>
  <si>
    <t xml:space="preserve">Scenario narrative: base</t>
  </si>
  <si>
    <t xml:space="preserve">Guidance-anchored recovery continuing into a structural 4-6% hearing-market growth plus ~2% steady acquisitive roll-up, with EBIT margin normalising back to the FY2023/24 range as the cost programme and KIND synergies fully land by 2027-28.</t>
  </si>
  <si>
    <t xml:space="preserve">Scenario narrative: bull</t>
  </si>
  <si>
    <t xml:space="preserve">Product-cycle leadership (Oticon Reveal) compounds share gains, the roll-up accelerates, and margin structurally re-rates above prior highs as fixed R&amp;D and Group Services costs scale.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</si>
  <si>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</si>
  <si>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</si>
  <si>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</si>
  <si>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</si>
  <si>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</si>
  <si>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</si>
  <si>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</si>
  <si>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</si>
  <si>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</si>
  <si>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</si>
  <si>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</si>
  <si>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</si>
  <si>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</si>
  <si>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</si>
  <si>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</si>
  <si>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</si>
  <si>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</si>
  <si>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</si>
  <si>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</si>
  <si>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</si>
  <si>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</si>
  <si>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</si>
  <si>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</si>
  <si>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</si>
  <si>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</si>
  <si>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</si>
  <si>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</si>
  <si>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</si>
  <si>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AdjustedEBITMargin</t>
  </si>
  <si>
    <t xml:space="preserve">AdjustedEPS</t>
  </si>
  <si>
    <t xml:space="preserve">EmployeesFTE</t>
  </si>
  <si>
    <t xml:space="preserve">OrganicRevenueGrowth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</si>
  <si>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</si>
  <si>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</si>
  <si>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</si>
  <si>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</si>
  <si>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</si>
  <si>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</si>
  <si>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</si>
  <si>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</si>
  <si>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</si>
  <si>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</si>
  <si>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</si>
  <si>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</si>
  <si>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</si>
  <si>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</si>
  <si>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</si>
  <si>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</si>
  <si>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</si>
  <si>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</si>
  <si>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</si>
  <si>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</si>
  <si>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DKK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</si>
  <si>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</si>
  <si>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</si>
  <si>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</si>
  <si>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</si>
  <si>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</si>
  <si>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</si>
  <si>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</si>
  <si>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</si>
  <si>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</si>
  <si>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</si>
  <si>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</si>
  <si>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</si>
  <si>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</si>
  <si>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</si>
  <si>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</si>
  <si>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</si>
  <si>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</si>
  <si>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</si>
  <si>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</si>
  <si>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</si>
  <si>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</si>
  <si>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</si>
  <si>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</si>
  <si>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</si>
  <si>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</si>
  <si>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</si>
  <si>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DEMANT.CO owner-FCF component DCF: bear case (millions, DKK)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</si>
  <si>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</si>
  <si>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</si>
  <si>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</si>
  <si>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</si>
  <si>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</si>
  <si>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</si>
  <si>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</si>
  <si>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</si>
  <si>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</si>
  <si>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</si>
  <si>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</si>
  <si>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</si>
  <si>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</si>
  <si>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</si>
  <si>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</si>
  <si>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</si>
  <si>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</si>
  <si>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</si>
  <si>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</si>
  <si>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</si>
  <si>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</si>
  <si>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</si>
  <si>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</si>
  <si>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</si>
  <si>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</si>
  <si>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</si>
  <si>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</si>
  <si>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</si>
  <si>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</si>
  <si>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</si>
  <si>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DEMANT.CO owner-FCF component DCF: base case (millions, DKK)</t>
  </si>
  <si>
    <t xml:space="preserve">DEMANT.CO owner-FCF component DCF: bull case (millions, DKK)</t>
  </si>
  <si>
    <t xml:space="preserve">DEMANT.CO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</si>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</sst>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307.2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12002</v>
      </c>
      <c r="C2" s="0" t="n">
        <v>-2972</v>
      </c>
      <c r="D2" s="0" t="n">
        <v>9030</v>
      </c>
      <c r="E2" s="0" t="n">
        <v>75.2</v>
      </c>
      <c r="F2" s="0" t="n">
        <v>1942</v>
      </c>
      <c r="G2" s="0" t="n">
        <v>16.2</v>
      </c>
      <c r="H2" s="0" t="n">
        <v>2346</v>
      </c>
      <c r="I2" s="0" t="n">
        <v>1464</v>
      </c>
      <c r="J2" s="0" t="n">
        <v>12.2</v>
      </c>
      <c r="K2" s="0" t="n">
        <v>5.53</v>
      </c>
      <c r="L2" s="0" t="n">
        <v>1679</v>
      </c>
      <c r="M2" s="0" t="n">
        <v>-299</v>
      </c>
      <c r="N2" s="0" t="n">
        <v>1223</v>
      </c>
      <c r="O2" s="0" t="n">
        <v>6961</v>
      </c>
      <c r="P2" s="0" t="n">
        <v>15548</v>
      </c>
      <c r="Q2" s="0" t="n">
        <v>8587</v>
      </c>
      <c r="R2" s="0" t="n">
        <v>5507</v>
      </c>
      <c r="S2" s="0" t="n">
        <v>710</v>
      </c>
      <c r="T2" s="0" t="n">
        <v>263.75</v>
      </c>
      <c r="U2" s="0" t="n">
        <v>0</v>
      </c>
      <c r="V2" s="0" t="n">
        <v>0</v>
      </c>
      <c r="AA2" s="0" t="s">
        <v>17</v>
      </c>
      <c r="AB2" s="0" t="s">
        <v>14</v>
      </c>
      <c r="AC2" s="0" t="n">
        <v>2130</v>
      </c>
      <c r="AF2" s="0" t="n">
        <v>12339</v>
      </c>
    </row>
    <row r="3" customFormat="false" ht="15" hidden="false" customHeight="false" outlineLevel="0" collapsed="false">
      <c r="A3" s="0" t="s">
        <v>69</v>
      </c>
      <c r="B3" s="0" t="n">
        <v>13189</v>
      </c>
      <c r="C3" s="0" t="n">
        <v>-3163</v>
      </c>
      <c r="D3" s="0" t="n">
        <v>10026</v>
      </c>
      <c r="E3" s="0" t="n">
        <v>76</v>
      </c>
      <c r="F3" s="0" t="n">
        <v>2338</v>
      </c>
      <c r="G3" s="0" t="n">
        <v>17.7</v>
      </c>
      <c r="H3" s="0" t="n">
        <v>2742</v>
      </c>
      <c r="I3" s="0" t="n">
        <v>1759</v>
      </c>
      <c r="J3" s="0" t="n">
        <v>13.3</v>
      </c>
      <c r="K3" s="0" t="n">
        <v>6.84</v>
      </c>
      <c r="L3" s="0" t="n">
        <v>1872</v>
      </c>
      <c r="M3" s="0" t="n">
        <v>-292</v>
      </c>
      <c r="N3" s="0" t="n">
        <v>1387</v>
      </c>
      <c r="O3" s="0" t="n">
        <v>7433</v>
      </c>
      <c r="P3" s="0" t="n">
        <v>16222</v>
      </c>
      <c r="Q3" s="0" t="n">
        <v>8789</v>
      </c>
      <c r="R3" s="0" t="n">
        <v>5565</v>
      </c>
      <c r="S3" s="0" t="n">
        <v>651</v>
      </c>
      <c r="T3" s="0" t="n">
        <v>256.56</v>
      </c>
      <c r="U3" s="0" t="n">
        <v>0</v>
      </c>
      <c r="V3" s="0" t="n">
        <v>0</v>
      </c>
      <c r="AA3" s="0" t="s">
        <v>17</v>
      </c>
      <c r="AB3" s="0" t="s">
        <v>14</v>
      </c>
      <c r="AC3" s="0" t="n">
        <v>2504</v>
      </c>
      <c r="AF3" s="0" t="n">
        <v>13280</v>
      </c>
    </row>
    <row r="4" customFormat="false" ht="15" hidden="false" customHeight="false" outlineLevel="0" collapsed="false">
      <c r="A4" s="0" t="s">
        <v>70</v>
      </c>
      <c r="B4" s="0" t="n">
        <v>13937</v>
      </c>
      <c r="C4" s="0" t="n">
        <v>-3153</v>
      </c>
      <c r="D4" s="0" t="n">
        <v>10784</v>
      </c>
      <c r="E4" s="0" t="n">
        <v>77.4</v>
      </c>
      <c r="F4" s="0" t="n">
        <v>2532</v>
      </c>
      <c r="G4" s="0" t="n">
        <v>18.2</v>
      </c>
      <c r="H4" s="0" t="n">
        <v>2978</v>
      </c>
      <c r="I4" s="0" t="n">
        <v>1830</v>
      </c>
      <c r="J4" s="0" t="n">
        <v>13.1</v>
      </c>
      <c r="K4" s="0" t="n">
        <v>7.32</v>
      </c>
      <c r="L4" s="0" t="n">
        <v>1683</v>
      </c>
      <c r="M4" s="0" t="n">
        <v>-409</v>
      </c>
      <c r="N4" s="0" t="n">
        <v>1185</v>
      </c>
      <c r="O4" s="0" t="n">
        <v>7059</v>
      </c>
      <c r="P4" s="0" t="n">
        <v>17935</v>
      </c>
      <c r="Q4" s="0" t="n">
        <v>10876</v>
      </c>
      <c r="R4" s="0" t="n">
        <v>7128</v>
      </c>
      <c r="S4" s="0" t="n">
        <v>248</v>
      </c>
      <c r="T4" s="0" t="n">
        <v>249.14</v>
      </c>
      <c r="U4" s="0" t="n">
        <v>0</v>
      </c>
      <c r="V4" s="0" t="n">
        <v>0</v>
      </c>
      <c r="AA4" s="0" t="s">
        <v>17</v>
      </c>
      <c r="AB4" s="0" t="s">
        <v>14</v>
      </c>
      <c r="AC4" s="0" t="n">
        <v>2652</v>
      </c>
      <c r="AF4" s="0" t="n">
        <v>14250</v>
      </c>
    </row>
    <row r="5" customFormat="false" ht="15" hidden="false" customHeight="false" outlineLevel="0" collapsed="false">
      <c r="A5" s="0" t="s">
        <v>71</v>
      </c>
      <c r="B5" s="0" t="n">
        <v>14946</v>
      </c>
      <c r="C5" s="0" t="n">
        <v>-3621</v>
      </c>
      <c r="D5" s="0" t="n">
        <v>11325</v>
      </c>
      <c r="E5" s="0" t="n">
        <v>75.8</v>
      </c>
      <c r="F5" s="0" t="n">
        <v>2151</v>
      </c>
      <c r="G5" s="0" t="n">
        <v>14.4</v>
      </c>
      <c r="H5" s="0" t="n">
        <v>3110</v>
      </c>
      <c r="I5" s="0" t="n">
        <v>1467</v>
      </c>
      <c r="J5" s="0" t="n">
        <v>9.8</v>
      </c>
      <c r="K5" s="0" t="n">
        <v>6</v>
      </c>
      <c r="L5" s="0" t="n">
        <v>2149</v>
      </c>
      <c r="M5" s="0" t="n">
        <v>-561</v>
      </c>
      <c r="N5" s="0" t="n">
        <v>1338</v>
      </c>
      <c r="O5" s="0" t="n">
        <v>7645</v>
      </c>
      <c r="P5" s="0" t="n">
        <v>21798</v>
      </c>
      <c r="Q5" s="0" t="n">
        <v>14153</v>
      </c>
      <c r="R5" s="0" t="n">
        <v>9989</v>
      </c>
      <c r="S5" s="0" t="n">
        <v>792</v>
      </c>
      <c r="T5" s="0" t="n">
        <v>243.55</v>
      </c>
      <c r="U5" s="0" t="n">
        <v>1</v>
      </c>
      <c r="V5" s="0" t="n">
        <v>0</v>
      </c>
      <c r="AA5" s="0" t="s">
        <v>17</v>
      </c>
      <c r="AB5" s="0" t="s">
        <v>14</v>
      </c>
      <c r="AC5" s="0" t="n">
        <v>2151</v>
      </c>
      <c r="AF5" s="0" t="n">
        <v>15352</v>
      </c>
    </row>
    <row r="6" customFormat="false" ht="15" hidden="false" customHeight="false" outlineLevel="0" collapsed="false">
      <c r="A6" s="0" t="s">
        <v>72</v>
      </c>
      <c r="B6" s="0" t="n">
        <v>14469</v>
      </c>
      <c r="C6" s="0" t="n">
        <v>-4276</v>
      </c>
      <c r="D6" s="0" t="n">
        <v>10193</v>
      </c>
      <c r="E6" s="0" t="n">
        <v>70.4</v>
      </c>
      <c r="F6" s="0" t="n">
        <v>1530</v>
      </c>
      <c r="G6" s="0" t="n">
        <v>10.6</v>
      </c>
      <c r="H6" s="0" t="n">
        <v>2578</v>
      </c>
      <c r="I6" s="0" t="n">
        <v>1134</v>
      </c>
      <c r="J6" s="0" t="n">
        <v>7.8</v>
      </c>
      <c r="K6" s="0" t="n">
        <v>4.68</v>
      </c>
      <c r="L6" s="0" t="n">
        <v>2621</v>
      </c>
      <c r="M6" s="0" t="n">
        <v>-493</v>
      </c>
      <c r="N6" s="0" t="n">
        <v>2023</v>
      </c>
      <c r="O6" s="0" t="n">
        <v>8250</v>
      </c>
      <c r="P6" s="0" t="n">
        <v>21927</v>
      </c>
      <c r="Q6" s="0" t="n">
        <v>13677</v>
      </c>
      <c r="R6" s="0" t="n">
        <v>9004</v>
      </c>
      <c r="S6" s="0" t="n">
        <v>952</v>
      </c>
      <c r="T6" s="0" t="n">
        <v>239.78</v>
      </c>
      <c r="U6" s="0" t="n">
        <v>4</v>
      </c>
      <c r="V6" s="0" t="n">
        <v>0</v>
      </c>
      <c r="AA6" s="0" t="s">
        <v>17</v>
      </c>
      <c r="AB6" s="0" t="s">
        <v>14</v>
      </c>
      <c r="AC6" s="0" t="n">
        <v>1530</v>
      </c>
      <c r="AF6" s="0" t="n">
        <v>16155</v>
      </c>
      <c r="AG6" s="0" t="n">
        <v>-13</v>
      </c>
    </row>
    <row r="7" customFormat="false" ht="15" hidden="false" customHeight="false" outlineLevel="0" collapsed="false">
      <c r="A7" s="0" t="s">
        <v>73</v>
      </c>
      <c r="B7" s="0" t="n">
        <v>17905</v>
      </c>
      <c r="C7" s="0" t="n">
        <v>-4447</v>
      </c>
      <c r="D7" s="0" t="n">
        <v>13458</v>
      </c>
      <c r="E7" s="0" t="n">
        <v>75.2</v>
      </c>
      <c r="F7" s="0" t="n">
        <v>3663</v>
      </c>
      <c r="G7" s="0" t="n">
        <v>20.5</v>
      </c>
      <c r="H7" s="0" t="n">
        <v>4730</v>
      </c>
      <c r="I7" s="0" t="n">
        <v>2528</v>
      </c>
      <c r="J7" s="0" t="n">
        <v>14.1</v>
      </c>
      <c r="K7" s="0" t="n">
        <v>10.7</v>
      </c>
      <c r="L7" s="0" t="n">
        <v>3593</v>
      </c>
      <c r="M7" s="0" t="n">
        <v>-547</v>
      </c>
      <c r="N7" s="0" t="n">
        <v>2838</v>
      </c>
      <c r="O7" s="0" t="n">
        <v>7977</v>
      </c>
      <c r="P7" s="0" t="n">
        <v>24860</v>
      </c>
      <c r="Q7" s="0" t="n">
        <v>16883</v>
      </c>
      <c r="R7" s="0" t="n">
        <v>11338</v>
      </c>
      <c r="S7" s="0" t="n">
        <v>1172</v>
      </c>
      <c r="T7" s="0" t="n">
        <v>234.82</v>
      </c>
      <c r="U7" s="0" t="n">
        <v>8</v>
      </c>
      <c r="V7" s="0" t="n">
        <v>0</v>
      </c>
      <c r="AA7" s="0" t="s">
        <v>17</v>
      </c>
      <c r="AB7" s="0" t="s">
        <v>14</v>
      </c>
      <c r="AC7" s="0" t="n">
        <v>3663</v>
      </c>
      <c r="AD7" s="0" t="n">
        <v>20.5</v>
      </c>
      <c r="AE7" s="0" t="n">
        <v>11.48</v>
      </c>
      <c r="AF7" s="0" t="n">
        <v>16866</v>
      </c>
      <c r="AG7" s="0" t="n">
        <v>27</v>
      </c>
    </row>
    <row r="8" customFormat="false" ht="15" hidden="false" customHeight="false" outlineLevel="0" collapsed="false">
      <c r="A8" s="0" t="s">
        <v>74</v>
      </c>
      <c r="B8" s="0" t="n">
        <v>19705</v>
      </c>
      <c r="C8" s="0" t="n">
        <v>-5036</v>
      </c>
      <c r="D8" s="0" t="n">
        <v>14669</v>
      </c>
      <c r="E8" s="0" t="n">
        <v>74.4</v>
      </c>
      <c r="F8" s="0" t="n">
        <v>3207</v>
      </c>
      <c r="G8" s="0" t="n">
        <v>16.3</v>
      </c>
      <c r="H8" s="0" t="n">
        <v>4383</v>
      </c>
      <c r="I8" s="0" t="n">
        <v>2084</v>
      </c>
      <c r="J8" s="0" t="n">
        <v>10.6</v>
      </c>
      <c r="K8" s="0" t="n">
        <v>9.21</v>
      </c>
      <c r="L8" s="0" t="n">
        <v>2622</v>
      </c>
      <c r="M8" s="0" t="n">
        <v>-630</v>
      </c>
      <c r="N8" s="0" t="n">
        <v>1617</v>
      </c>
      <c r="O8" s="0" t="n">
        <v>8561</v>
      </c>
      <c r="P8" s="0" t="n">
        <v>29857</v>
      </c>
      <c r="Q8" s="0" t="n">
        <v>21296</v>
      </c>
      <c r="R8" s="0" t="n">
        <v>15076</v>
      </c>
      <c r="S8" s="0" t="n">
        <v>1130</v>
      </c>
      <c r="T8" s="0" t="n">
        <v>226.01</v>
      </c>
      <c r="U8" s="0" t="n">
        <v>80</v>
      </c>
      <c r="V8" s="0" t="n">
        <v>0</v>
      </c>
      <c r="AA8" s="0" t="s">
        <v>17</v>
      </c>
      <c r="AB8" s="0" t="s">
        <v>14</v>
      </c>
      <c r="AC8" s="0" t="n">
        <v>3207</v>
      </c>
      <c r="AD8" s="0" t="n">
        <v>16.3</v>
      </c>
      <c r="AE8" s="0" t="n">
        <v>10.06</v>
      </c>
      <c r="AF8" s="0" t="n">
        <v>19239</v>
      </c>
      <c r="AG8" s="0" t="n">
        <v>4</v>
      </c>
    </row>
    <row r="9" customFormat="false" ht="15" hidden="false" customHeight="false" outlineLevel="0" collapsed="false">
      <c r="A9" s="0" t="s">
        <v>75</v>
      </c>
      <c r="B9" s="0" t="n">
        <v>21601</v>
      </c>
      <c r="C9" s="0" t="n">
        <v>-5281</v>
      </c>
      <c r="D9" s="0" t="n">
        <v>16320</v>
      </c>
      <c r="E9" s="0" t="n">
        <v>75.6</v>
      </c>
      <c r="F9" s="0" t="n">
        <v>4506</v>
      </c>
      <c r="G9" s="0" t="n">
        <v>20.9</v>
      </c>
      <c r="H9" s="0" t="n">
        <v>5799</v>
      </c>
      <c r="I9" s="0" t="n">
        <v>1798</v>
      </c>
      <c r="J9" s="0" t="n">
        <v>8.3</v>
      </c>
      <c r="K9" s="0" t="n">
        <v>8.04</v>
      </c>
      <c r="L9" s="0" t="n">
        <v>4458</v>
      </c>
      <c r="M9" s="0" t="n">
        <v>-621</v>
      </c>
      <c r="N9" s="0" t="n">
        <v>3622</v>
      </c>
      <c r="O9" s="0" t="n">
        <v>9256</v>
      </c>
      <c r="P9" s="0" t="n">
        <v>30546</v>
      </c>
      <c r="Q9" s="0" t="n">
        <v>21290</v>
      </c>
      <c r="R9" s="0" t="n">
        <v>14454</v>
      </c>
      <c r="S9" s="0" t="n">
        <v>1138</v>
      </c>
      <c r="T9" s="0" t="n">
        <v>223.13</v>
      </c>
      <c r="U9" s="0" t="n">
        <v>63</v>
      </c>
      <c r="V9" s="0" t="n">
        <v>0</v>
      </c>
      <c r="AA9" s="0" t="s">
        <v>17</v>
      </c>
      <c r="AB9" s="0" t="s">
        <v>14</v>
      </c>
      <c r="AC9" s="0" t="n">
        <v>4506</v>
      </c>
      <c r="AD9" s="0" t="n">
        <v>20.9</v>
      </c>
      <c r="AE9" s="0" t="n">
        <v>12.64</v>
      </c>
      <c r="AF9" s="0" t="n">
        <v>20690</v>
      </c>
      <c r="AG9" s="0" t="n">
        <v>14</v>
      </c>
    </row>
    <row r="10" customFormat="false" ht="15" hidden="false" customHeight="false" outlineLevel="0" collapsed="false">
      <c r="A10" s="0" t="s">
        <v>76</v>
      </c>
      <c r="B10" s="0" t="n">
        <v>22419</v>
      </c>
      <c r="C10" s="0" t="n">
        <v>-5329</v>
      </c>
      <c r="D10" s="0" t="n">
        <v>17090</v>
      </c>
      <c r="E10" s="0" t="n">
        <v>76.2</v>
      </c>
      <c r="F10" s="0" t="n">
        <v>4528</v>
      </c>
      <c r="G10" s="0" t="n">
        <v>20.2</v>
      </c>
      <c r="H10" s="0" t="n">
        <v>5963</v>
      </c>
      <c r="I10" s="0" t="n">
        <v>2388</v>
      </c>
      <c r="J10" s="0" t="n">
        <v>10.7</v>
      </c>
      <c r="K10" s="0" t="n">
        <v>10.99</v>
      </c>
      <c r="L10" s="0" t="n">
        <v>4080</v>
      </c>
      <c r="M10" s="0" t="n">
        <v>-545</v>
      </c>
      <c r="N10" s="0" t="n">
        <v>3486</v>
      </c>
      <c r="O10" s="0" t="n">
        <v>9564</v>
      </c>
      <c r="P10" s="0" t="n">
        <v>32450</v>
      </c>
      <c r="Q10" s="0" t="n">
        <v>22886</v>
      </c>
      <c r="R10" s="0" t="n">
        <v>15681</v>
      </c>
      <c r="S10" s="0" t="n">
        <v>1112</v>
      </c>
      <c r="T10" s="0" t="n">
        <v>217.2</v>
      </c>
      <c r="U10" s="0" t="n">
        <v>44</v>
      </c>
      <c r="V10" s="0" t="n">
        <v>0</v>
      </c>
      <c r="AA10" s="0" t="s">
        <v>17</v>
      </c>
      <c r="AB10" s="0" t="s">
        <v>14</v>
      </c>
      <c r="AC10" s="0" t="n">
        <v>4404</v>
      </c>
      <c r="AD10" s="0" t="n">
        <v>19.6</v>
      </c>
      <c r="AE10" s="0" t="n">
        <v>12.74</v>
      </c>
      <c r="AF10" s="0" t="n">
        <v>21381</v>
      </c>
      <c r="AG10" s="0" t="n">
        <v>2</v>
      </c>
    </row>
    <row r="11" customFormat="false" ht="15" hidden="false" customHeight="false" outlineLevel="0" collapsed="false">
      <c r="A11" s="0" t="s">
        <v>77</v>
      </c>
      <c r="B11" s="0" t="n">
        <v>22971</v>
      </c>
      <c r="C11" s="0" t="n">
        <v>-5600</v>
      </c>
      <c r="D11" s="0" t="n">
        <v>17371</v>
      </c>
      <c r="E11" s="0" t="n">
        <v>75.6</v>
      </c>
      <c r="F11" s="0" t="n">
        <v>3832</v>
      </c>
      <c r="G11" s="0" t="n">
        <v>16.7</v>
      </c>
      <c r="H11" s="0" t="n">
        <v>5351</v>
      </c>
      <c r="I11" s="0" t="n">
        <v>1544</v>
      </c>
      <c r="J11" s="0" t="n">
        <v>6.7</v>
      </c>
      <c r="K11" s="0" t="n">
        <v>7.31</v>
      </c>
      <c r="L11" s="0" t="n">
        <v>3852</v>
      </c>
      <c r="M11" s="0" t="n">
        <v>-605</v>
      </c>
      <c r="N11" s="0" t="n">
        <v>3094</v>
      </c>
      <c r="O11" s="0" t="n">
        <v>9842</v>
      </c>
      <c r="P11" s="0" t="n">
        <v>39074</v>
      </c>
      <c r="Q11" s="0" t="n">
        <v>29232</v>
      </c>
      <c r="R11" s="0" t="n">
        <v>20988</v>
      </c>
      <c r="S11" s="0" t="n">
        <v>1330</v>
      </c>
      <c r="T11" s="0" t="n">
        <v>211.3</v>
      </c>
      <c r="U11" s="0" t="n">
        <v>34</v>
      </c>
      <c r="V11" s="0" t="n">
        <v>0</v>
      </c>
      <c r="AA11" s="0" t="s">
        <v>17</v>
      </c>
      <c r="AB11" s="0" t="s">
        <v>14</v>
      </c>
      <c r="AC11" s="0" t="n">
        <v>3960</v>
      </c>
      <c r="AD11" s="0" t="n">
        <v>17.2</v>
      </c>
      <c r="AE11" s="0" t="n">
        <v>11.74</v>
      </c>
      <c r="AF11" s="0" t="n">
        <v>22248</v>
      </c>
      <c r="AG1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307.2</v>
      </c>
    </row>
    <row r="3" customFormat="false" ht="15" hidden="false" customHeight="false" outlineLevel="0" collapsed="false">
      <c r="A3" s="0" t="s">
        <v>81</v>
      </c>
      <c r="B3" s="3" t="n">
        <v>211</v>
      </c>
    </row>
    <row r="4" customFormat="false" ht="15" hidden="false" customHeight="false" outlineLevel="0" collapsed="false">
      <c r="A4" s="0" t="s">
        <v>82</v>
      </c>
      <c r="B4" s="3" t="n">
        <v>17950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22971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8</v>
      </c>
      <c r="D13" s="3" t="n">
        <v>4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22</v>
      </c>
      <c r="D14" s="3" t="n">
        <v>21</v>
      </c>
      <c r="E14" s="3" t="n">
        <v>20.5</v>
      </c>
      <c r="F14" s="3" t="n">
        <v>20.5</v>
      </c>
      <c r="G14" s="3" t="n">
        <v>20.5</v>
      </c>
      <c r="H14" s="3" t="n">
        <v>20.5</v>
      </c>
      <c r="I14" s="3" t="n">
        <v>21</v>
      </c>
      <c r="J14" s="3" t="n">
        <v>21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103</v>
      </c>
      <c r="C15" s="3" t="n">
        <v>0.15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6.6</v>
      </c>
      <c r="D17" s="3" t="n">
        <v>6.6</v>
      </c>
      <c r="E17" s="3" t="n">
        <v>6.5</v>
      </c>
      <c r="F17" s="3" t="n">
        <v>6.5</v>
      </c>
      <c r="G17" s="3" t="n">
        <v>6.4</v>
      </c>
      <c r="H17" s="3" t="n">
        <v>6.4</v>
      </c>
      <c r="I17" s="3" t="n">
        <v>6.3</v>
      </c>
      <c r="J17" s="3" t="n">
        <v>6.3</v>
      </c>
      <c r="K17" s="3" t="n">
        <v>6.2</v>
      </c>
      <c r="L17" s="3" t="n">
        <v>6.2</v>
      </c>
    </row>
    <row r="18" customFormat="false" ht="15" hidden="false" customHeight="false" outlineLevel="0" collapsed="false">
      <c r="A18" s="0" t="s">
        <v>106</v>
      </c>
      <c r="C18" s="3" t="n">
        <v>3</v>
      </c>
      <c r="D18" s="3" t="n">
        <v>3</v>
      </c>
      <c r="E18" s="3" t="n">
        <v>2.9</v>
      </c>
      <c r="F18" s="3" t="n">
        <v>2.9</v>
      </c>
      <c r="G18" s="3" t="n">
        <v>2.8</v>
      </c>
      <c r="H18" s="3" t="n">
        <v>2.8</v>
      </c>
      <c r="I18" s="3" t="n">
        <v>2.7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107</v>
      </c>
      <c r="C19" s="3" t="n">
        <v>24.5</v>
      </c>
      <c r="D19" s="3" t="n">
        <v>24.5</v>
      </c>
      <c r="E19" s="3" t="n">
        <v>24.5</v>
      </c>
      <c r="F19" s="3" t="n">
        <v>24.5</v>
      </c>
      <c r="G19" s="3" t="n">
        <v>24.5</v>
      </c>
      <c r="H19" s="3" t="n">
        <v>24.5</v>
      </c>
      <c r="I19" s="3" t="n">
        <v>24.5</v>
      </c>
      <c r="J19" s="3" t="n">
        <v>24.5</v>
      </c>
      <c r="K19" s="3" t="n">
        <v>24.5</v>
      </c>
      <c r="L19" s="3" t="n">
        <v>24.5</v>
      </c>
    </row>
    <row r="20" customFormat="false" ht="15" hidden="false" customHeight="false" outlineLevel="0" collapsed="false">
      <c r="A20" s="0" t="s">
        <v>108</v>
      </c>
      <c r="B20" s="3" t="n">
        <v>9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10</v>
      </c>
    </row>
    <row r="23" customFormat="false" ht="15" hidden="false" customHeight="false" outlineLevel="0" collapsed="false">
      <c r="A23" s="0" t="s">
        <v>111</v>
      </c>
      <c r="B23" s="3" t="n">
        <v>-18</v>
      </c>
    </row>
    <row r="24" customFormat="false" ht="15" hidden="false" customHeight="false" outlineLevel="0" collapsed="false">
      <c r="A24" s="0" t="s">
        <v>112</v>
      </c>
      <c r="B24" s="3" t="n">
        <v>0.2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14</v>
      </c>
      <c r="D27" s="3" t="n">
        <v>10</v>
      </c>
      <c r="E27" s="3" t="n">
        <v>8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102</v>
      </c>
      <c r="C28" s="3" t="n">
        <v>24.5</v>
      </c>
      <c r="D28" s="3" t="n">
        <v>25.3</v>
      </c>
      <c r="E28" s="3" t="n">
        <v>25.8</v>
      </c>
      <c r="F28" s="3" t="n">
        <v>26.2</v>
      </c>
      <c r="G28" s="3" t="n">
        <v>26.5</v>
      </c>
      <c r="H28" s="3" t="n">
        <v>26.7</v>
      </c>
      <c r="I28" s="3" t="n">
        <v>26.8</v>
      </c>
      <c r="J28" s="3" t="n">
        <v>26.9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103</v>
      </c>
      <c r="C29" s="3" t="n">
        <v>0.15</v>
      </c>
      <c r="D29" s="3" t="n">
        <v>0.15</v>
      </c>
      <c r="E29" s="3" t="n">
        <v>0.14</v>
      </c>
      <c r="F29" s="3" t="n">
        <v>0.14</v>
      </c>
      <c r="G29" s="3" t="n">
        <v>0.13</v>
      </c>
      <c r="H29" s="3" t="n">
        <v>0.13</v>
      </c>
      <c r="I29" s="3" t="n">
        <v>0.12</v>
      </c>
      <c r="J29" s="3" t="n">
        <v>0.12</v>
      </c>
      <c r="K29" s="3" t="n">
        <v>0.11</v>
      </c>
      <c r="L29" s="3" t="n">
        <v>0.11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6.4</v>
      </c>
      <c r="D31" s="3" t="n">
        <v>6.2</v>
      </c>
      <c r="E31" s="3" t="n">
        <v>6.1</v>
      </c>
      <c r="F31" s="3" t="n">
        <v>6</v>
      </c>
      <c r="G31" s="3" t="n">
        <v>5.9</v>
      </c>
      <c r="H31" s="3" t="n">
        <v>5.8</v>
      </c>
      <c r="I31" s="3" t="n">
        <v>5.7</v>
      </c>
      <c r="J31" s="3" t="n">
        <v>5.6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106</v>
      </c>
      <c r="C32" s="3" t="n">
        <v>2.8</v>
      </c>
      <c r="D32" s="3" t="n">
        <v>2.8</v>
      </c>
      <c r="E32" s="3" t="n">
        <v>2.7</v>
      </c>
      <c r="F32" s="3" t="n">
        <v>2.7</v>
      </c>
      <c r="G32" s="3" t="n">
        <v>2.6</v>
      </c>
      <c r="H32" s="3" t="n">
        <v>2.6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107</v>
      </c>
      <c r="C33" s="3" t="n">
        <v>23.5</v>
      </c>
      <c r="D33" s="3" t="n">
        <v>23.5</v>
      </c>
      <c r="E33" s="3" t="n">
        <v>23.5</v>
      </c>
      <c r="F33" s="3" t="n">
        <v>23.5</v>
      </c>
      <c r="G33" s="3" t="n">
        <v>23.5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108</v>
      </c>
      <c r="B34" s="3" t="n">
        <v>7.5</v>
      </c>
    </row>
    <row r="35" customFormat="false" ht="15" hidden="false" customHeight="false" outlineLevel="0" collapsed="false">
      <c r="A35" s="0" t="s">
        <v>109</v>
      </c>
      <c r="B35" s="3" t="n">
        <v>3</v>
      </c>
    </row>
    <row r="36" customFormat="false" ht="15" hidden="false" customHeight="false" outlineLevel="0" collapsed="false">
      <c r="A36" s="0" t="s">
        <v>110</v>
      </c>
      <c r="B36" s="3" t="n">
        <v>14</v>
      </c>
    </row>
    <row r="37" customFormat="false" ht="15" hidden="false" customHeight="false" outlineLevel="0" collapsed="false">
      <c r="A37" s="0" t="s">
        <v>111</v>
      </c>
      <c r="B37" s="3" t="n">
        <v>-12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16</v>
      </c>
      <c r="D41" s="3" t="n">
        <v>13</v>
      </c>
      <c r="E41" s="3" t="n">
        <v>11</v>
      </c>
      <c r="F41" s="3" t="n">
        <v>9.5</v>
      </c>
      <c r="G41" s="3" t="n">
        <v>8.5</v>
      </c>
      <c r="H41" s="3" t="n">
        <v>7.5</v>
      </c>
      <c r="I41" s="3" t="n">
        <v>6.5</v>
      </c>
      <c r="J41" s="3" t="n">
        <v>6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102</v>
      </c>
      <c r="C42" s="3" t="n">
        <v>25</v>
      </c>
      <c r="D42" s="3" t="n">
        <v>26.2</v>
      </c>
      <c r="E42" s="3" t="n">
        <v>27</v>
      </c>
      <c r="F42" s="3" t="n">
        <v>27.5</v>
      </c>
      <c r="G42" s="3" t="n">
        <v>28</v>
      </c>
      <c r="H42" s="3" t="n">
        <v>28.3</v>
      </c>
      <c r="I42" s="3" t="n">
        <v>28.5</v>
      </c>
      <c r="J42" s="3" t="n">
        <v>28.7</v>
      </c>
      <c r="K42" s="3" t="n">
        <v>28.8</v>
      </c>
      <c r="L42" s="3" t="n">
        <v>29</v>
      </c>
    </row>
    <row r="43" customFormat="false" ht="15" hidden="false" customHeight="false" outlineLevel="0" collapsed="false">
      <c r="A43" s="0" t="s">
        <v>103</v>
      </c>
      <c r="C43" s="3" t="n">
        <v>0.15</v>
      </c>
      <c r="D43" s="3" t="n">
        <v>0.14</v>
      </c>
      <c r="E43" s="3" t="n">
        <v>0.13</v>
      </c>
      <c r="F43" s="3" t="n">
        <v>0.13</v>
      </c>
      <c r="G43" s="3" t="n">
        <v>0.12</v>
      </c>
      <c r="H43" s="3" t="n">
        <v>0.12</v>
      </c>
      <c r="I43" s="3" t="n">
        <v>0.11</v>
      </c>
      <c r="J43" s="3" t="n">
        <v>0.11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6.3</v>
      </c>
      <c r="D45" s="3" t="n">
        <v>6</v>
      </c>
      <c r="E45" s="3" t="n">
        <v>5.8</v>
      </c>
      <c r="F45" s="3" t="n">
        <v>5.7</v>
      </c>
      <c r="G45" s="3" t="n">
        <v>5.6</v>
      </c>
      <c r="H45" s="3" t="n">
        <v>5.5</v>
      </c>
      <c r="I45" s="3" t="n">
        <v>5.4</v>
      </c>
      <c r="J45" s="3" t="n">
        <v>5.3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106</v>
      </c>
      <c r="C46" s="3" t="n">
        <v>2.7</v>
      </c>
      <c r="D46" s="3" t="n">
        <v>2.6</v>
      </c>
      <c r="E46" s="3" t="n">
        <v>2.5</v>
      </c>
      <c r="F46" s="3" t="n">
        <v>2.5</v>
      </c>
      <c r="G46" s="3" t="n">
        <v>2.4</v>
      </c>
      <c r="H46" s="3" t="n">
        <v>2.4</v>
      </c>
      <c r="I46" s="3" t="n">
        <v>2.3</v>
      </c>
      <c r="J46" s="3" t="n">
        <v>2.3</v>
      </c>
      <c r="K46" s="3" t="n">
        <v>2.2</v>
      </c>
      <c r="L46" s="3" t="n">
        <v>2.2</v>
      </c>
    </row>
    <row r="47" customFormat="false" ht="15" hidden="false" customHeight="false" outlineLevel="0" collapsed="false">
      <c r="A47" s="0" t="s">
        <v>107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3.5</v>
      </c>
    </row>
    <row r="50" customFormat="false" ht="15" hidden="false" customHeight="false" outlineLevel="0" collapsed="false">
      <c r="A50" s="0" t="s">
        <v>110</v>
      </c>
      <c r="B50" s="3" t="n">
        <v>16</v>
      </c>
    </row>
    <row r="51" customFormat="false" ht="15" hidden="false" customHeight="false" outlineLevel="0" collapsed="false">
      <c r="A51" s="0" t="s">
        <v>111</v>
      </c>
      <c r="B51" s="3" t="n">
        <v>-10</v>
      </c>
    </row>
    <row r="52" customFormat="false" ht="15" hidden="false" customHeight="false" outlineLevel="0" collapsed="false">
      <c r="A52" s="0" t="s">
        <v>112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8</v>
      </c>
      <c r="D5" s="4" t="n">
        <f aca="false">Assumptions!D13</f>
        <v>4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22971</v>
      </c>
      <c r="C6" s="0" t="n">
        <f aca="false">B6*(1+C5/100)</f>
        <v>24808.68</v>
      </c>
      <c r="D6" s="0" t="n">
        <f aca="false">C6*(1+D5/100)</f>
        <v>25801.0272</v>
      </c>
      <c r="E6" s="0" t="n">
        <f aca="false">D6*(1+E5/100)</f>
        <v>26575.058016</v>
      </c>
      <c r="F6" s="0" t="n">
        <f aca="false">E6*(1+F5/100)</f>
        <v>27372.30975648</v>
      </c>
      <c r="G6" s="0" t="n">
        <f aca="false">F6*(1+G5/100)</f>
        <v>28193.4790491744</v>
      </c>
      <c r="H6" s="0" t="n">
        <f aca="false">G6*(1+H5/100)</f>
        <v>28898.3160254038</v>
      </c>
      <c r="I6" s="0" t="n">
        <f aca="false">H6*(1+I5/100)</f>
        <v>29620.7739260389</v>
      </c>
      <c r="J6" s="0" t="n">
        <f aca="false">I6*(1+J5/100)</f>
        <v>30213.1894045596</v>
      </c>
      <c r="K6" s="0" t="n">
        <f aca="false">J6*(1+K5/100)</f>
        <v>30817.4531926508</v>
      </c>
      <c r="L6" s="0" t="n">
        <f aca="false">K6*(1+L5/100)</f>
        <v>31433.8022565038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22</v>
      </c>
      <c r="D7" s="4" t="n">
        <f aca="false">Assumptions!D14</f>
        <v>21</v>
      </c>
      <c r="E7" s="4" t="n">
        <f aca="false">Assumptions!E14</f>
        <v>20.5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5457.9096</v>
      </c>
      <c r="D8" s="0" t="n">
        <f aca="false">D6*D7/100</f>
        <v>5418.215712</v>
      </c>
      <c r="E8" s="0" t="n">
        <f aca="false">E6*E7/100</f>
        <v>5447.88689328</v>
      </c>
      <c r="F8" s="0" t="n">
        <f aca="false">F6*F7/100</f>
        <v>5611.3235000784</v>
      </c>
      <c r="G8" s="0" t="n">
        <f aca="false">G6*G7/100</f>
        <v>5779.66320508075</v>
      </c>
      <c r="H8" s="0" t="n">
        <f aca="false">H6*H7/100</f>
        <v>5924.15478520777</v>
      </c>
      <c r="I8" s="0" t="n">
        <f aca="false">I6*I7/100</f>
        <v>6220.36252446816</v>
      </c>
      <c r="J8" s="0" t="n">
        <f aca="false">J6*J7/100</f>
        <v>6344.76977495752</v>
      </c>
      <c r="K8" s="0" t="n">
        <f aca="false">K6*K7/100</f>
        <v>6625.75243641993</v>
      </c>
      <c r="L8" s="0" t="n">
        <f aca="false">L6*L7/100</f>
        <v>6758.26748514833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0.15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-37.21302</v>
      </c>
      <c r="D10" s="0" t="n">
        <f aca="false">-D6*D9/100</f>
        <v>-38.7015408</v>
      </c>
      <c r="E10" s="0" t="n">
        <f aca="false">-E6*E9/100</f>
        <v>-39.862587024</v>
      </c>
      <c r="F10" s="0" t="n">
        <f aca="false">-F6*F9/100</f>
        <v>-41.05846463472</v>
      </c>
      <c r="G10" s="0" t="n">
        <f aca="false">-G6*G9/100</f>
        <v>-42.2902185737616</v>
      </c>
      <c r="H10" s="0" t="n">
        <f aca="false">-H6*H9/100</f>
        <v>-43.3474740381056</v>
      </c>
      <c r="I10" s="0" t="n">
        <f aca="false">-I6*I9/100</f>
        <v>-44.4311608890583</v>
      </c>
      <c r="J10" s="0" t="n">
        <f aca="false">-J6*J9/100</f>
        <v>-45.3197841068395</v>
      </c>
      <c r="K10" s="0" t="n">
        <f aca="false">-K6*K9/100</f>
        <v>-46.2261797889762</v>
      </c>
      <c r="L10" s="0" t="n">
        <f aca="false">-L6*L9/100</f>
        <v>-47.1507033847558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5420.69658</v>
      </c>
      <c r="D11" s="0" t="n">
        <f aca="false">D8+D10+D24</f>
        <v>5379.5141712</v>
      </c>
      <c r="E11" s="0" t="n">
        <f aca="false">E8+E10+E24</f>
        <v>5408.024306256</v>
      </c>
      <c r="F11" s="0" t="n">
        <f aca="false">F8+F10+F24</f>
        <v>5570.26503544368</v>
      </c>
      <c r="G11" s="0" t="n">
        <f aca="false">G8+G10+G24</f>
        <v>5737.37298650699</v>
      </c>
      <c r="H11" s="0" t="n">
        <f aca="false">H8+H10+H24</f>
        <v>5880.80731116967</v>
      </c>
      <c r="I11" s="0" t="n">
        <f aca="false">I8+I10+I24</f>
        <v>6175.9313635791</v>
      </c>
      <c r="J11" s="0" t="n">
        <f aca="false">J8+J10+J24</f>
        <v>6299.44999085068</v>
      </c>
      <c r="K11" s="0" t="n">
        <f aca="false">K8+K10+K24</f>
        <v>6579.52625663095</v>
      </c>
      <c r="L11" s="0" t="n">
        <f aca="false">L8+L10+L24</f>
        <v>6711.11678176357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-1637.37288</v>
      </c>
      <c r="D12" s="4" t="n">
        <f aca="false">-D6*Assumptions!D17/100</f>
        <v>-1702.8677952</v>
      </c>
      <c r="E12" s="4" t="n">
        <f aca="false">-E6*Assumptions!E17/100</f>
        <v>-1727.37877104</v>
      </c>
      <c r="F12" s="4" t="n">
        <f aca="false">-F6*Assumptions!F17/100</f>
        <v>-1779.2001341712</v>
      </c>
      <c r="G12" s="4" t="n">
        <f aca="false">-G6*Assumptions!G17/100</f>
        <v>-1804.38265914716</v>
      </c>
      <c r="H12" s="4" t="n">
        <f aca="false">-H6*Assumptions!H17/100</f>
        <v>-1849.49222562584</v>
      </c>
      <c r="I12" s="4" t="n">
        <f aca="false">-I6*Assumptions!I17/100</f>
        <v>-1866.10875734045</v>
      </c>
      <c r="J12" s="4" t="n">
        <f aca="false">-J6*Assumptions!J17/100</f>
        <v>-1903.43093248726</v>
      </c>
      <c r="K12" s="4" t="n">
        <f aca="false">-K6*Assumptions!K17/100</f>
        <v>-1910.68209794435</v>
      </c>
      <c r="L12" s="4" t="n">
        <f aca="false">-L6*Assumptions!L17/100</f>
        <v>-1948.89573990324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3783.3237</v>
      </c>
      <c r="D13" s="0" t="n">
        <f aca="false">D11+D12</f>
        <v>3676.646376</v>
      </c>
      <c r="E13" s="0" t="n">
        <f aca="false">E11+E12</f>
        <v>3680.645535216</v>
      </c>
      <c r="F13" s="0" t="n">
        <f aca="false">F11+F12</f>
        <v>3791.06490127248</v>
      </c>
      <c r="G13" s="0" t="n">
        <f aca="false">G11+G12</f>
        <v>3932.99032735983</v>
      </c>
      <c r="H13" s="0" t="n">
        <f aca="false">H11+H12</f>
        <v>4031.31508554383</v>
      </c>
      <c r="I13" s="0" t="n">
        <f aca="false">I11+I12</f>
        <v>4309.82260623865</v>
      </c>
      <c r="J13" s="0" t="n">
        <f aca="false">J11+J12</f>
        <v>4396.01905836343</v>
      </c>
      <c r="K13" s="0" t="n">
        <f aca="false">K11+K12</f>
        <v>4668.8441586866</v>
      </c>
      <c r="L13" s="0" t="n">
        <f aca="false">L11+L12</f>
        <v>4762.22104186033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24.5</v>
      </c>
      <c r="D14" s="4" t="n">
        <f aca="false">Assumptions!D19</f>
        <v>24.5</v>
      </c>
      <c r="E14" s="4" t="n">
        <f aca="false">Assumptions!E19</f>
        <v>24.5</v>
      </c>
      <c r="F14" s="4" t="n">
        <f aca="false">Assumptions!F19</f>
        <v>24.5</v>
      </c>
      <c r="G14" s="4" t="n">
        <f aca="false">Assumptions!G19</f>
        <v>24.5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24.5</v>
      </c>
      <c r="K14" s="4" t="n">
        <f aca="false">Assumptions!K19</f>
        <v>24.5</v>
      </c>
      <c r="L14" s="4" t="n">
        <f aca="false">Assumptions!L19</f>
        <v>24.5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2856.4093935</v>
      </c>
      <c r="D15" s="0" t="n">
        <f aca="false">D13-MAX(0,D13)*D14/100</f>
        <v>2775.86801388</v>
      </c>
      <c r="E15" s="0" t="n">
        <f aca="false">E13-MAX(0,E13)*E14/100</f>
        <v>2778.88737908808</v>
      </c>
      <c r="F15" s="0" t="n">
        <f aca="false">F13-MAX(0,F13)*F14/100</f>
        <v>2862.25400046072</v>
      </c>
      <c r="G15" s="0" t="n">
        <f aca="false">G13-MAX(0,G13)*G14/100</f>
        <v>2969.40769715667</v>
      </c>
      <c r="H15" s="0" t="n">
        <f aca="false">H13-MAX(0,H13)*H14/100</f>
        <v>3043.64288958559</v>
      </c>
      <c r="I15" s="0" t="n">
        <f aca="false">I13-MAX(0,I13)*I14/100</f>
        <v>3253.91606771018</v>
      </c>
      <c r="J15" s="0" t="n">
        <f aca="false">J13-MAX(0,J13)*J14/100</f>
        <v>3318.99438906439</v>
      </c>
      <c r="K15" s="0" t="n">
        <f aca="false">K13-MAX(0,K13)*K14/100</f>
        <v>3524.97733980838</v>
      </c>
      <c r="L15" s="0" t="n">
        <f aca="false">L13-MAX(0,L13)*L14/100</f>
        <v>3595.47688660455</v>
      </c>
    </row>
    <row r="16" customFormat="false" ht="15" hidden="false" customHeight="false" outlineLevel="0" collapsed="false">
      <c r="A16" s="0" t="s">
        <v>123</v>
      </c>
      <c r="C16" s="0" t="n">
        <f aca="false">-C12</f>
        <v>1637.37288</v>
      </c>
      <c r="D16" s="0" t="n">
        <f aca="false">-D12</f>
        <v>1702.8677952</v>
      </c>
      <c r="E16" s="0" t="n">
        <f aca="false">-E12</f>
        <v>1727.37877104</v>
      </c>
      <c r="F16" s="0" t="n">
        <f aca="false">-F12</f>
        <v>1779.2001341712</v>
      </c>
      <c r="G16" s="0" t="n">
        <f aca="false">-G12</f>
        <v>1804.38265914716</v>
      </c>
      <c r="H16" s="0" t="n">
        <f aca="false">-H12</f>
        <v>1849.49222562584</v>
      </c>
      <c r="I16" s="0" t="n">
        <f aca="false">-I12</f>
        <v>1866.10875734045</v>
      </c>
      <c r="J16" s="0" t="n">
        <f aca="false">-J12</f>
        <v>1903.43093248726</v>
      </c>
      <c r="K16" s="0" t="n">
        <f aca="false">-K12</f>
        <v>1910.68209794435</v>
      </c>
      <c r="L16" s="0" t="n">
        <f aca="false">-L12</f>
        <v>1948.89573990324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-744.2604</v>
      </c>
      <c r="D17" s="4" t="n">
        <f aca="false">-D6*Assumptions!D18/100</f>
        <v>-774.030816</v>
      </c>
      <c r="E17" s="4" t="n">
        <f aca="false">-E6*Assumptions!E18/100</f>
        <v>-770.676682464</v>
      </c>
      <c r="F17" s="4" t="n">
        <f aca="false">-F6*Assumptions!F18/100</f>
        <v>-793.79698293792</v>
      </c>
      <c r="G17" s="4" t="n">
        <f aca="false">-G6*Assumptions!G18/100</f>
        <v>-789.417413376883</v>
      </c>
      <c r="H17" s="4" t="n">
        <f aca="false">-H6*Assumptions!H18/100</f>
        <v>-809.152848711305</v>
      </c>
      <c r="I17" s="4" t="n">
        <f aca="false">-I6*Assumptions!I18/100</f>
        <v>-799.760896003049</v>
      </c>
      <c r="J17" s="4" t="n">
        <f aca="false">-J6*Assumptions!J18/100</f>
        <v>-815.75611392311</v>
      </c>
      <c r="K17" s="4" t="n">
        <f aca="false">-K6*Assumptions!K18/100</f>
        <v>-832.071236201572</v>
      </c>
      <c r="L17" s="4" t="n">
        <f aca="false">-L6*Assumptions!L18/100</f>
        <v>-848.712660925604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-330.7824</v>
      </c>
      <c r="D18" s="4" t="n">
        <f aca="false">(D6-C6)*Assumptions!$B$23/100</f>
        <v>-178.622496</v>
      </c>
      <c r="E18" s="4" t="n">
        <f aca="false">(E6-D6)*Assumptions!$B$23/100</f>
        <v>-139.32554688</v>
      </c>
      <c r="F18" s="4" t="n">
        <f aca="false">(F6-E6)*Assumptions!$B$23/100</f>
        <v>-143.5053132864</v>
      </c>
      <c r="G18" s="4" t="n">
        <f aca="false">(G6-F6)*Assumptions!$B$23/100</f>
        <v>-147.810472684992</v>
      </c>
      <c r="H18" s="4" t="n">
        <f aca="false">(H6-G6)*Assumptions!$B$23/100</f>
        <v>-126.870655721285</v>
      </c>
      <c r="I18" s="4" t="n">
        <f aca="false">(I6-H6)*Assumptions!$B$23/100</f>
        <v>-130.042422114316</v>
      </c>
      <c r="J18" s="4" t="n">
        <f aca="false">(J6-I6)*Assumptions!$B$23/100</f>
        <v>-106.63478613374</v>
      </c>
      <c r="K18" s="4" t="n">
        <f aca="false">(K6-J6)*Assumptions!$B$23/100</f>
        <v>-108.767481856415</v>
      </c>
      <c r="L18" s="4" t="n">
        <f aca="false">(L6-K6)*Assumptions!$B$23/100</f>
        <v>-110.942831493543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3418.7394735</v>
      </c>
      <c r="D19" s="0" t="n">
        <f aca="false">D15+D16+D17+D18</f>
        <v>3526.08249708</v>
      </c>
      <c r="E19" s="0" t="n">
        <f aca="false">E15+E16+E17+E18</f>
        <v>3596.26392078408</v>
      </c>
      <c r="F19" s="0" t="n">
        <f aca="false">F15+F16+F17+F18</f>
        <v>3704.1518384076</v>
      </c>
      <c r="G19" s="0" t="n">
        <f aca="false">G15+G16+G17+G18</f>
        <v>3836.56247024196</v>
      </c>
      <c r="H19" s="0" t="n">
        <f aca="false">H15+H16+H17+H18</f>
        <v>3957.11161077884</v>
      </c>
      <c r="I19" s="0" t="n">
        <f aca="false">I15+I16+I17+I18</f>
        <v>4190.22150693326</v>
      </c>
      <c r="J19" s="0" t="n">
        <f aca="false">J15+J16+J17+J18</f>
        <v>4300.03442149479</v>
      </c>
      <c r="K19" s="0" t="n">
        <f aca="false">K15+K16+K17+K18</f>
        <v>4494.82071969475</v>
      </c>
      <c r="L19" s="0" t="n">
        <f aca="false">L15+L16+L17+L18</f>
        <v>4584.71713408864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3136.45823256881</v>
      </c>
      <c r="D21" s="0" t="n">
        <f aca="false">D19*D20</f>
        <v>2967.83309239963</v>
      </c>
      <c r="E21" s="0" t="n">
        <f aca="false">E19*E20</f>
        <v>2776.9755895691</v>
      </c>
      <c r="F21" s="0" t="n">
        <f aca="false">F19*F20</f>
        <v>2624.11454794144</v>
      </c>
      <c r="G21" s="0" t="n">
        <f aca="false">G19*G20</f>
        <v>2493.50236490456</v>
      </c>
      <c r="H21" s="0" t="n">
        <f aca="false">H19*H20</f>
        <v>2359.49636232181</v>
      </c>
      <c r="I21" s="0" t="n">
        <f aca="false">I19*I20</f>
        <v>2292.19465777147</v>
      </c>
      <c r="J21" s="0" t="n">
        <f aca="false">J19*J20</f>
        <v>2158.04227758044</v>
      </c>
      <c r="K21" s="0" t="n">
        <f aca="false">K19*K20</f>
        <v>2069.54032329291</v>
      </c>
      <c r="L21" s="0" t="n">
        <f aca="false">L19*L20</f>
        <v>1936.63406399887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24814.791512349</v>
      </c>
    </row>
    <row r="31" customFormat="false" ht="15" hidden="false" customHeight="false" outlineLevel="0" collapsed="false">
      <c r="A31" s="0" t="s">
        <v>132</v>
      </c>
      <c r="B31" s="0" t="n">
        <f aca="false">L19</f>
        <v>4584.71713408864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66805.8782395774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45847.1713408864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45847.1713408864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19366.3406399887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44181.1321523378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26231.1321523378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124.318161859421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-0.595318483530532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268.165825392461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290.218657081472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126.964533814273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35972.3959751571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47.7416009072669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14</v>
      </c>
      <c r="D5" s="4" t="n">
        <f aca="false">Assumptions!D27</f>
        <v>10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22971</v>
      </c>
      <c r="C6" s="0" t="n">
        <f aca="false">B6*(1+C5/100)</f>
        <v>26186.94</v>
      </c>
      <c r="D6" s="0" t="n">
        <f aca="false">C6*(1+D5/100)</f>
        <v>28805.634</v>
      </c>
      <c r="E6" s="0" t="n">
        <f aca="false">D6*(1+E5/100)</f>
        <v>31110.08472</v>
      </c>
      <c r="F6" s="0" t="n">
        <f aca="false">E6*(1+F5/100)</f>
        <v>33287.7906504</v>
      </c>
      <c r="G6" s="0" t="n">
        <f aca="false">F6*(1+G5/100)</f>
        <v>35451.497042676</v>
      </c>
      <c r="H6" s="0" t="n">
        <f aca="false">G6*(1+H5/100)</f>
        <v>37578.5868652366</v>
      </c>
      <c r="I6" s="0" t="n">
        <f aca="false">H6*(1+I5/100)</f>
        <v>39645.4091428246</v>
      </c>
      <c r="J6" s="0" t="n">
        <f aca="false">I6*(1+J5/100)</f>
        <v>41627.6795999658</v>
      </c>
      <c r="K6" s="0" t="n">
        <f aca="false">J6*(1+K5/100)</f>
        <v>43500.9251819643</v>
      </c>
      <c r="L6" s="0" t="n">
        <f aca="false">K6*(1+L5/100)</f>
        <v>45240.9621892428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24.5</v>
      </c>
      <c r="D7" s="4" t="n">
        <f aca="false">Assumptions!D28</f>
        <v>25.3</v>
      </c>
      <c r="E7" s="4" t="n">
        <f aca="false">Assumptions!E28</f>
        <v>25.8</v>
      </c>
      <c r="F7" s="4" t="n">
        <f aca="false">Assumptions!F28</f>
        <v>26.2</v>
      </c>
      <c r="G7" s="4" t="n">
        <f aca="false">Assumptions!G28</f>
        <v>26.5</v>
      </c>
      <c r="H7" s="4" t="n">
        <f aca="false">Assumptions!H28</f>
        <v>26.7</v>
      </c>
      <c r="I7" s="4" t="n">
        <f aca="false">Assumptions!I28</f>
        <v>26.8</v>
      </c>
      <c r="J7" s="4" t="n">
        <f aca="false">Assumptions!J28</f>
        <v>26.9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6415.8003</v>
      </c>
      <c r="D8" s="0" t="n">
        <f aca="false">D6*D7/100</f>
        <v>7287.825402</v>
      </c>
      <c r="E8" s="0" t="n">
        <f aca="false">E6*E7/100</f>
        <v>8026.40185776</v>
      </c>
      <c r="F8" s="0" t="n">
        <f aca="false">F6*F7/100</f>
        <v>8721.4011504048</v>
      </c>
      <c r="G8" s="0" t="n">
        <f aca="false">G6*G7/100</f>
        <v>9394.64671630914</v>
      </c>
      <c r="H8" s="0" t="n">
        <f aca="false">H6*H7/100</f>
        <v>10033.4826930182</v>
      </c>
      <c r="I8" s="0" t="n">
        <f aca="false">I6*I7/100</f>
        <v>10624.969650277</v>
      </c>
      <c r="J8" s="0" t="n">
        <f aca="false">J6*J7/100</f>
        <v>11197.8458123908</v>
      </c>
      <c r="K8" s="0" t="n">
        <f aca="false">K6*K7/100</f>
        <v>11745.2497991304</v>
      </c>
      <c r="L8" s="0" t="n">
        <f aca="false">L6*L7/100</f>
        <v>12215.0597910956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0.15</v>
      </c>
      <c r="D9" s="4" t="n">
        <f aca="false">Assumptions!D29</f>
        <v>0.15</v>
      </c>
      <c r="E9" s="4" t="n">
        <f aca="false">Assumptions!E29</f>
        <v>0.14</v>
      </c>
      <c r="F9" s="4" t="n">
        <f aca="false">Assumptions!F29</f>
        <v>0.14</v>
      </c>
      <c r="G9" s="4" t="n">
        <f aca="false">Assumptions!G29</f>
        <v>0.13</v>
      </c>
      <c r="H9" s="4" t="n">
        <f aca="false">Assumptions!H29</f>
        <v>0.13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0.11</v>
      </c>
      <c r="L9" s="4" t="n">
        <f aca="false">Assumptions!L29</f>
        <v>0.11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-39.28041</v>
      </c>
      <c r="D10" s="0" t="n">
        <f aca="false">-D6*D9/100</f>
        <v>-43.208451</v>
      </c>
      <c r="E10" s="0" t="n">
        <f aca="false">-E6*E9/100</f>
        <v>-43.554118608</v>
      </c>
      <c r="F10" s="0" t="n">
        <f aca="false">-F6*F9/100</f>
        <v>-46.60290691056</v>
      </c>
      <c r="G10" s="0" t="n">
        <f aca="false">-G6*G9/100</f>
        <v>-46.0869461554788</v>
      </c>
      <c r="H10" s="0" t="n">
        <f aca="false">-H6*H9/100</f>
        <v>-48.8521629248075</v>
      </c>
      <c r="I10" s="0" t="n">
        <f aca="false">-I6*I9/100</f>
        <v>-47.5744909713895</v>
      </c>
      <c r="J10" s="0" t="n">
        <f aca="false">-J6*J9/100</f>
        <v>-49.953215519959</v>
      </c>
      <c r="K10" s="0" t="n">
        <f aca="false">-K6*K9/100</f>
        <v>-47.8510177001607</v>
      </c>
      <c r="L10" s="0" t="n">
        <f aca="false">-L6*L9/100</f>
        <v>-49.7650584081671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6376.51989</v>
      </c>
      <c r="D11" s="0" t="n">
        <f aca="false">D8+D10+D24</f>
        <v>7244.616951</v>
      </c>
      <c r="E11" s="0" t="n">
        <f aca="false">E8+E10+E24</f>
        <v>7982.847739152</v>
      </c>
      <c r="F11" s="0" t="n">
        <f aca="false">F8+F10+F24</f>
        <v>8674.79824349424</v>
      </c>
      <c r="G11" s="0" t="n">
        <f aca="false">G8+G10+G24</f>
        <v>9348.55977015366</v>
      </c>
      <c r="H11" s="0" t="n">
        <f aca="false">H8+H10+H24</f>
        <v>9984.63053009336</v>
      </c>
      <c r="I11" s="0" t="n">
        <f aca="false">I8+I10+I24</f>
        <v>10577.3951593056</v>
      </c>
      <c r="J11" s="0" t="n">
        <f aca="false">J8+J10+J24</f>
        <v>11147.8925968708</v>
      </c>
      <c r="K11" s="0" t="n">
        <f aca="false">K8+K10+K24</f>
        <v>11697.3987814302</v>
      </c>
      <c r="L11" s="0" t="n">
        <f aca="false">L8+L10+L24</f>
        <v>12165.2947326874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-1675.96416</v>
      </c>
      <c r="D12" s="4" t="n">
        <f aca="false">-D6*Assumptions!D31/100</f>
        <v>-1785.949308</v>
      </c>
      <c r="E12" s="4" t="n">
        <f aca="false">-E6*Assumptions!E31/100</f>
        <v>-1897.71516792</v>
      </c>
      <c r="F12" s="4" t="n">
        <f aca="false">-F6*Assumptions!F31/100</f>
        <v>-1997.267439024</v>
      </c>
      <c r="G12" s="4" t="n">
        <f aca="false">-G6*Assumptions!G31/100</f>
        <v>-2091.63832551788</v>
      </c>
      <c r="H12" s="4" t="n">
        <f aca="false">-H6*Assumptions!H31/100</f>
        <v>-2179.55803818372</v>
      </c>
      <c r="I12" s="4" t="n">
        <f aca="false">-I6*Assumptions!I31/100</f>
        <v>-2259.788321141</v>
      </c>
      <c r="J12" s="4" t="n">
        <f aca="false">-J6*Assumptions!J31/100</f>
        <v>-2331.15005759809</v>
      </c>
      <c r="K12" s="4" t="n">
        <f aca="false">-K6*Assumptions!K31/100</f>
        <v>-2392.55088500803</v>
      </c>
      <c r="L12" s="4" t="n">
        <f aca="false">-L6*Assumptions!L31/100</f>
        <v>-2488.25292040836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4700.55573</v>
      </c>
      <c r="D13" s="0" t="n">
        <f aca="false">D11+D12</f>
        <v>5458.667643</v>
      </c>
      <c r="E13" s="0" t="n">
        <f aca="false">E11+E12</f>
        <v>6085.132571232</v>
      </c>
      <c r="F13" s="0" t="n">
        <f aca="false">F11+F12</f>
        <v>6677.53080447024</v>
      </c>
      <c r="G13" s="0" t="n">
        <f aca="false">G11+G12</f>
        <v>7256.92144463578</v>
      </c>
      <c r="H13" s="0" t="n">
        <f aca="false">H11+H12</f>
        <v>7805.07249190964</v>
      </c>
      <c r="I13" s="0" t="n">
        <f aca="false">I11+I12</f>
        <v>8317.6068381646</v>
      </c>
      <c r="J13" s="0" t="n">
        <f aca="false">J11+J12</f>
        <v>8816.74253927276</v>
      </c>
      <c r="K13" s="0" t="n">
        <f aca="false">K11+K12</f>
        <v>9304.84789642216</v>
      </c>
      <c r="L13" s="0" t="n">
        <f aca="false">L11+L12</f>
        <v>9677.04181227904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23.5</v>
      </c>
      <c r="D14" s="4" t="n">
        <f aca="false">Assumptions!D33</f>
        <v>23.5</v>
      </c>
      <c r="E14" s="4" t="n">
        <f aca="false">Assumptions!E33</f>
        <v>23.5</v>
      </c>
      <c r="F14" s="4" t="n">
        <f aca="false">Assumptions!F33</f>
        <v>23.5</v>
      </c>
      <c r="G14" s="4" t="n">
        <f aca="false">Assumptions!G33</f>
        <v>23.5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3595.92513345</v>
      </c>
      <c r="D15" s="0" t="n">
        <f aca="false">D13-MAX(0,D13)*D14/100</f>
        <v>4175.880746895</v>
      </c>
      <c r="E15" s="0" t="n">
        <f aca="false">E13-MAX(0,E13)*E14/100</f>
        <v>4655.12641699248</v>
      </c>
      <c r="F15" s="0" t="n">
        <f aca="false">F13-MAX(0,F13)*F14/100</f>
        <v>5108.31106541973</v>
      </c>
      <c r="G15" s="0" t="n">
        <f aca="false">G13-MAX(0,G13)*G14/100</f>
        <v>5551.54490514637</v>
      </c>
      <c r="H15" s="0" t="n">
        <f aca="false">H13-MAX(0,H13)*H14/100</f>
        <v>5970.88045631087</v>
      </c>
      <c r="I15" s="0" t="n">
        <f aca="false">I13-MAX(0,I13)*I14/100</f>
        <v>6362.96923119592</v>
      </c>
      <c r="J15" s="0" t="n">
        <f aca="false">J13-MAX(0,J13)*J14/100</f>
        <v>6744.80804254366</v>
      </c>
      <c r="K15" s="0" t="n">
        <f aca="false">K13-MAX(0,K13)*K14/100</f>
        <v>7118.20864076295</v>
      </c>
      <c r="L15" s="0" t="n">
        <f aca="false">L13-MAX(0,L13)*L14/100</f>
        <v>7402.93698639347</v>
      </c>
    </row>
    <row r="16" customFormat="false" ht="15" hidden="false" customHeight="false" outlineLevel="0" collapsed="false">
      <c r="A16" s="0" t="s">
        <v>123</v>
      </c>
      <c r="C16" s="0" t="n">
        <f aca="false">-C12</f>
        <v>1675.96416</v>
      </c>
      <c r="D16" s="0" t="n">
        <f aca="false">-D12</f>
        <v>1785.949308</v>
      </c>
      <c r="E16" s="0" t="n">
        <f aca="false">-E12</f>
        <v>1897.71516792</v>
      </c>
      <c r="F16" s="0" t="n">
        <f aca="false">-F12</f>
        <v>1997.267439024</v>
      </c>
      <c r="G16" s="0" t="n">
        <f aca="false">-G12</f>
        <v>2091.63832551788</v>
      </c>
      <c r="H16" s="0" t="n">
        <f aca="false">-H12</f>
        <v>2179.55803818372</v>
      </c>
      <c r="I16" s="0" t="n">
        <f aca="false">-I12</f>
        <v>2259.788321141</v>
      </c>
      <c r="J16" s="0" t="n">
        <f aca="false">-J12</f>
        <v>2331.15005759809</v>
      </c>
      <c r="K16" s="0" t="n">
        <f aca="false">-K12</f>
        <v>2392.55088500803</v>
      </c>
      <c r="L16" s="0" t="n">
        <f aca="false">-L12</f>
        <v>2488.25292040836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-733.23432</v>
      </c>
      <c r="D17" s="4" t="n">
        <f aca="false">-D6*Assumptions!D32/100</f>
        <v>-806.557752</v>
      </c>
      <c r="E17" s="4" t="n">
        <f aca="false">-E6*Assumptions!E32/100</f>
        <v>-839.97228744</v>
      </c>
      <c r="F17" s="4" t="n">
        <f aca="false">-F6*Assumptions!F32/100</f>
        <v>-898.7703475608</v>
      </c>
      <c r="G17" s="4" t="n">
        <f aca="false">-G6*Assumptions!G32/100</f>
        <v>-921.738923109576</v>
      </c>
      <c r="H17" s="4" t="n">
        <f aca="false">-H6*Assumptions!H32/100</f>
        <v>-977.043258496151</v>
      </c>
      <c r="I17" s="4" t="n">
        <f aca="false">-I6*Assumptions!I32/100</f>
        <v>-991.135228570615</v>
      </c>
      <c r="J17" s="4" t="n">
        <f aca="false">-J6*Assumptions!J32/100</f>
        <v>-1040.69198999915</v>
      </c>
      <c r="K17" s="4" t="n">
        <f aca="false">-K6*Assumptions!K32/100</f>
        <v>-1087.52312954911</v>
      </c>
      <c r="L17" s="4" t="n">
        <f aca="false">-L6*Assumptions!L32/100</f>
        <v>-1131.02405473107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-385.9128</v>
      </c>
      <c r="D18" s="4" t="n">
        <f aca="false">(D6-C6)*Assumptions!$B$37/100</f>
        <v>-314.24328</v>
      </c>
      <c r="E18" s="4" t="n">
        <f aca="false">(E6-D6)*Assumptions!$B$37/100</f>
        <v>-276.5340864</v>
      </c>
      <c r="F18" s="4" t="n">
        <f aca="false">(F6-E6)*Assumptions!$B$37/100</f>
        <v>-261.324711648</v>
      </c>
      <c r="G18" s="4" t="n">
        <f aca="false">(G6-F6)*Assumptions!$B$37/100</f>
        <v>-259.64476707312</v>
      </c>
      <c r="H18" s="4" t="n">
        <f aca="false">(H6-G6)*Assumptions!$B$37/100</f>
        <v>-255.250778707268</v>
      </c>
      <c r="I18" s="4" t="n">
        <f aca="false">(I6-H6)*Assumptions!$B$37/100</f>
        <v>-248.018673310561</v>
      </c>
      <c r="J18" s="4" t="n">
        <f aca="false">(J6-I6)*Assumptions!$B$37/100</f>
        <v>-237.872454856948</v>
      </c>
      <c r="K18" s="4" t="n">
        <f aca="false">(K6-J6)*Assumptions!$B$37/100</f>
        <v>-224.789469839815</v>
      </c>
      <c r="L18" s="4" t="n">
        <f aca="false">(L6-K6)*Assumptions!$B$37/100</f>
        <v>-208.804440873429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4152.74217345</v>
      </c>
      <c r="D19" s="0" t="n">
        <f aca="false">D15+D16+D17+D18</f>
        <v>4841.029022895</v>
      </c>
      <c r="E19" s="0" t="n">
        <f aca="false">E15+E16+E17+E18</f>
        <v>5436.33521107248</v>
      </c>
      <c r="F19" s="0" t="n">
        <f aca="false">F15+F16+F17+F18</f>
        <v>5945.48344523493</v>
      </c>
      <c r="G19" s="0" t="n">
        <f aca="false">G15+G16+G17+G18</f>
        <v>6461.79954048156</v>
      </c>
      <c r="H19" s="0" t="n">
        <f aca="false">H15+H16+H17+H18</f>
        <v>6918.14445729117</v>
      </c>
      <c r="I19" s="0" t="n">
        <f aca="false">I15+I16+I17+I18</f>
        <v>7383.60365045574</v>
      </c>
      <c r="J19" s="0" t="n">
        <f aca="false">J15+J16+J17+J18</f>
        <v>7797.39365528565</v>
      </c>
      <c r="K19" s="0" t="n">
        <f aca="false">K15+K16+K17+K18</f>
        <v>8198.44692638206</v>
      </c>
      <c r="L19" s="0" t="n">
        <f aca="false">L15+L16+L17+L18</f>
        <v>8551.36141119732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3863.01597530233</v>
      </c>
      <c r="D21" s="0" t="n">
        <f aca="false">D19*D20</f>
        <v>4189.10029022823</v>
      </c>
      <c r="E21" s="0" t="n">
        <f aca="false">E19*E20</f>
        <v>4376.03548755001</v>
      </c>
      <c r="F21" s="0" t="n">
        <f aca="false">F19*F20</f>
        <v>4451.98115356859</v>
      </c>
      <c r="G21" s="0" t="n">
        <f aca="false">G19*G20</f>
        <v>4501.02225043844</v>
      </c>
      <c r="H21" s="0" t="n">
        <f aca="false">H19*H20</f>
        <v>4482.69138750817</v>
      </c>
      <c r="I21" s="0" t="n">
        <f aca="false">I19*I20</f>
        <v>4450.5032865997</v>
      </c>
      <c r="J21" s="0" t="n">
        <f aca="false">J19*J20</f>
        <v>4372.01603716603</v>
      </c>
      <c r="K21" s="0" t="n">
        <f aca="false">K19*K20</f>
        <v>4276.17442044606</v>
      </c>
      <c r="L21" s="0" t="n">
        <f aca="false">L19*L20</f>
        <v>4149.06863542438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43111.6089242319</v>
      </c>
    </row>
    <row r="31" customFormat="false" ht="15" hidden="false" customHeight="false" outlineLevel="0" collapsed="false">
      <c r="A31" s="0" t="s">
        <v>132</v>
      </c>
      <c r="B31" s="0" t="n">
        <f aca="false">L19</f>
        <v>8551.36141119732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195731.161189628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119719.059756763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119719.059756763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58086.9608959414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101198.569820173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83248.5698201733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394.542984929731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0.284319612401469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313.430450682416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552.668340147705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398.647718535561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73399.1854461104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144.128753131537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16</v>
      </c>
      <c r="D5" s="4" t="n">
        <f aca="false">Assumptions!D41</f>
        <v>13</v>
      </c>
      <c r="E5" s="4" t="n">
        <f aca="false">Assumptions!E41</f>
        <v>11</v>
      </c>
      <c r="F5" s="4" t="n">
        <f aca="false">Assumptions!F41</f>
        <v>9.5</v>
      </c>
      <c r="G5" s="4" t="n">
        <f aca="false">Assumptions!G41</f>
        <v>8.5</v>
      </c>
      <c r="H5" s="4" t="n">
        <f aca="false">Assumptions!H41</f>
        <v>7.5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37</v>
      </c>
      <c r="B6" s="3" t="n">
        <v>22971</v>
      </c>
      <c r="C6" s="0" t="n">
        <f aca="false">B6*(1+C5/100)</f>
        <v>26646.36</v>
      </c>
      <c r="D6" s="0" t="n">
        <f aca="false">C6*(1+D5/100)</f>
        <v>30110.3868</v>
      </c>
      <c r="E6" s="0" t="n">
        <f aca="false">D6*(1+E5/100)</f>
        <v>33422.529348</v>
      </c>
      <c r="F6" s="0" t="n">
        <f aca="false">E6*(1+F5/100)</f>
        <v>36597.66963606</v>
      </c>
      <c r="G6" s="0" t="n">
        <f aca="false">F6*(1+G5/100)</f>
        <v>39708.4715551251</v>
      </c>
      <c r="H6" s="0" t="n">
        <f aca="false">G6*(1+H5/100)</f>
        <v>42686.6069217595</v>
      </c>
      <c r="I6" s="0" t="n">
        <f aca="false">H6*(1+I5/100)</f>
        <v>45461.2363716738</v>
      </c>
      <c r="J6" s="0" t="n">
        <f aca="false">I6*(1+J5/100)</f>
        <v>48188.9105539743</v>
      </c>
      <c r="K6" s="0" t="n">
        <f aca="false">J6*(1+K5/100)</f>
        <v>50839.3006344429</v>
      </c>
      <c r="L6" s="0" t="n">
        <f aca="false">K6*(1+L5/100)</f>
        <v>53381.265666165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25</v>
      </c>
      <c r="D7" s="4" t="n">
        <f aca="false">Assumptions!D42</f>
        <v>26.2</v>
      </c>
      <c r="E7" s="4" t="n">
        <f aca="false">Assumptions!E42</f>
        <v>27</v>
      </c>
      <c r="F7" s="4" t="n">
        <f aca="false">Assumptions!F42</f>
        <v>27.5</v>
      </c>
      <c r="G7" s="4" t="n">
        <f aca="false">Assumptions!G42</f>
        <v>28</v>
      </c>
      <c r="H7" s="4" t="n">
        <f aca="false">Assumptions!H42</f>
        <v>28.3</v>
      </c>
      <c r="I7" s="4" t="n">
        <f aca="false">Assumptions!I42</f>
        <v>28.5</v>
      </c>
      <c r="J7" s="4" t="n">
        <f aca="false">Assumptions!J42</f>
        <v>28.7</v>
      </c>
      <c r="K7" s="4" t="n">
        <f aca="false">Assumptions!K42</f>
        <v>28.8</v>
      </c>
      <c r="L7" s="4" t="n">
        <f aca="false">Assumptions!L42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6661.59</v>
      </c>
      <c r="D8" s="0" t="n">
        <f aca="false">D6*D7/100</f>
        <v>7888.9213416</v>
      </c>
      <c r="E8" s="0" t="n">
        <f aca="false">E6*E7/100</f>
        <v>9024.08292396</v>
      </c>
      <c r="F8" s="0" t="n">
        <f aca="false">F6*F7/100</f>
        <v>10064.3591499165</v>
      </c>
      <c r="G8" s="0" t="n">
        <f aca="false">G6*G7/100</f>
        <v>11118.372035435</v>
      </c>
      <c r="H8" s="0" t="n">
        <f aca="false">H6*H7/100</f>
        <v>12080.3097588579</v>
      </c>
      <c r="I8" s="0" t="n">
        <f aca="false">I6*I7/100</f>
        <v>12956.452365927</v>
      </c>
      <c r="J8" s="0" t="n">
        <f aca="false">J6*J7/100</f>
        <v>13830.2173289906</v>
      </c>
      <c r="K8" s="0" t="n">
        <f aca="false">K6*K7/100</f>
        <v>14641.7185827195</v>
      </c>
      <c r="L8" s="0" t="n">
        <f aca="false">L6*L7/100</f>
        <v>15480.5670431878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0.15</v>
      </c>
      <c r="D9" s="4" t="n">
        <f aca="false">Assumptions!D43</f>
        <v>0.14</v>
      </c>
      <c r="E9" s="4" t="n">
        <f aca="false">Assumptions!E43</f>
        <v>0.13</v>
      </c>
      <c r="F9" s="4" t="n">
        <f aca="false">Assumptions!F43</f>
        <v>0.13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0.11</v>
      </c>
      <c r="J9" s="4" t="n">
        <f aca="false">Assumptions!J43</f>
        <v>0.11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-39.96954</v>
      </c>
      <c r="D10" s="0" t="n">
        <f aca="false">-D6*D9/100</f>
        <v>-42.15454152</v>
      </c>
      <c r="E10" s="0" t="n">
        <f aca="false">-E6*E9/100</f>
        <v>-43.4492881524</v>
      </c>
      <c r="F10" s="0" t="n">
        <f aca="false">-F6*F9/100</f>
        <v>-47.576970526878</v>
      </c>
      <c r="G10" s="0" t="n">
        <f aca="false">-G6*G9/100</f>
        <v>-47.6501658661501</v>
      </c>
      <c r="H10" s="0" t="n">
        <f aca="false">-H6*H9/100</f>
        <v>-51.2239283061114</v>
      </c>
      <c r="I10" s="0" t="n">
        <f aca="false">-I6*I9/100</f>
        <v>-50.0073600088412</v>
      </c>
      <c r="J10" s="0" t="n">
        <f aca="false">-J6*J9/100</f>
        <v>-53.0078016093717</v>
      </c>
      <c r="K10" s="0" t="n">
        <f aca="false">-K6*K9/100</f>
        <v>-50.8393006344429</v>
      </c>
      <c r="L10" s="0" t="n">
        <f aca="false">-L6*L9/100</f>
        <v>-53.381265666165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6621.62046</v>
      </c>
      <c r="D11" s="0" t="n">
        <f aca="false">D8+D10+D24</f>
        <v>7846.76680008</v>
      </c>
      <c r="E11" s="0" t="n">
        <f aca="false">E8+E10+E24</f>
        <v>8980.6336358076</v>
      </c>
      <c r="F11" s="0" t="n">
        <f aca="false">F8+F10+F24</f>
        <v>10016.7821793896</v>
      </c>
      <c r="G11" s="0" t="n">
        <f aca="false">G8+G10+G24</f>
        <v>11070.7218695689</v>
      </c>
      <c r="H11" s="0" t="n">
        <f aca="false">H8+H10+H24</f>
        <v>12029.0858305518</v>
      </c>
      <c r="I11" s="0" t="n">
        <f aca="false">I8+I10+I24</f>
        <v>12906.4450059182</v>
      </c>
      <c r="J11" s="0" t="n">
        <f aca="false">J8+J10+J24</f>
        <v>13777.2095273812</v>
      </c>
      <c r="K11" s="0" t="n">
        <f aca="false">K8+K10+K24</f>
        <v>14590.8792820851</v>
      </c>
      <c r="L11" s="0" t="n">
        <f aca="false">L8+L10+L24</f>
        <v>15427.1857775217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-1678.72068</v>
      </c>
      <c r="D12" s="4" t="n">
        <f aca="false">-D6*Assumptions!D45/100</f>
        <v>-1806.623208</v>
      </c>
      <c r="E12" s="4" t="n">
        <f aca="false">-E6*Assumptions!E45/100</f>
        <v>-1938.506702184</v>
      </c>
      <c r="F12" s="4" t="n">
        <f aca="false">-F6*Assumptions!F45/100</f>
        <v>-2086.06716925542</v>
      </c>
      <c r="G12" s="4" t="n">
        <f aca="false">-G6*Assumptions!G45/100</f>
        <v>-2223.67440708701</v>
      </c>
      <c r="H12" s="4" t="n">
        <f aca="false">-H6*Assumptions!H45/100</f>
        <v>-2347.76338069677</v>
      </c>
      <c r="I12" s="4" t="n">
        <f aca="false">-I6*Assumptions!I45/100</f>
        <v>-2454.90676407039</v>
      </c>
      <c r="J12" s="4" t="n">
        <f aca="false">-J6*Assumptions!J45/100</f>
        <v>-2554.01225936064</v>
      </c>
      <c r="K12" s="4" t="n">
        <f aca="false">-K6*Assumptions!K45/100</f>
        <v>-2643.64363299103</v>
      </c>
      <c r="L12" s="4" t="n">
        <f aca="false">-L6*Assumptions!L45/100</f>
        <v>-2775.82581464058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4942.89978</v>
      </c>
      <c r="D13" s="0" t="n">
        <f aca="false">D11+D12</f>
        <v>6040.14359208</v>
      </c>
      <c r="E13" s="0" t="n">
        <f aca="false">E11+E12</f>
        <v>7042.1269336236</v>
      </c>
      <c r="F13" s="0" t="n">
        <f aca="false">F11+F12</f>
        <v>7930.7150101342</v>
      </c>
      <c r="G13" s="0" t="n">
        <f aca="false">G11+G12</f>
        <v>8847.04746248187</v>
      </c>
      <c r="H13" s="0" t="n">
        <f aca="false">H11+H12</f>
        <v>9681.32244985505</v>
      </c>
      <c r="I13" s="0" t="n">
        <f aca="false">I11+I12</f>
        <v>10451.5382418478</v>
      </c>
      <c r="J13" s="0" t="n">
        <f aca="false">J11+J12</f>
        <v>11223.1972680206</v>
      </c>
      <c r="K13" s="0" t="n">
        <f aca="false">K11+K12</f>
        <v>11947.2356490941</v>
      </c>
      <c r="L13" s="0" t="n">
        <f aca="false">L11+L12</f>
        <v>12651.3599628811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3806.0328306</v>
      </c>
      <c r="D15" s="0" t="n">
        <f aca="false">D13-MAX(0,D13)*D14/100</f>
        <v>4650.9105659016</v>
      </c>
      <c r="E15" s="0" t="n">
        <f aca="false">E13-MAX(0,E13)*E14/100</f>
        <v>5422.43773889017</v>
      </c>
      <c r="F15" s="0" t="n">
        <f aca="false">F13-MAX(0,F13)*F14/100</f>
        <v>6106.65055780334</v>
      </c>
      <c r="G15" s="0" t="n">
        <f aca="false">G13-MAX(0,G13)*G14/100</f>
        <v>6812.22654611104</v>
      </c>
      <c r="H15" s="0" t="n">
        <f aca="false">H13-MAX(0,H13)*H14/100</f>
        <v>7454.61828638839</v>
      </c>
      <c r="I15" s="0" t="n">
        <f aca="false">I13-MAX(0,I13)*I14/100</f>
        <v>8047.68444622282</v>
      </c>
      <c r="J15" s="0" t="n">
        <f aca="false">J13-MAX(0,J13)*J14/100</f>
        <v>8641.86189637587</v>
      </c>
      <c r="K15" s="0" t="n">
        <f aca="false">K13-MAX(0,K13)*K14/100</f>
        <v>9199.37144980243</v>
      </c>
      <c r="L15" s="0" t="n">
        <f aca="false">L13-MAX(0,L13)*L14/100</f>
        <v>9741.54717141845</v>
      </c>
    </row>
    <row r="16" customFormat="false" ht="15" hidden="false" customHeight="false" outlineLevel="0" collapsed="false">
      <c r="A16" s="0" t="s">
        <v>123</v>
      </c>
      <c r="C16" s="0" t="n">
        <f aca="false">-C12</f>
        <v>1678.72068</v>
      </c>
      <c r="D16" s="0" t="n">
        <f aca="false">-D12</f>
        <v>1806.623208</v>
      </c>
      <c r="E16" s="0" t="n">
        <f aca="false">-E12</f>
        <v>1938.506702184</v>
      </c>
      <c r="F16" s="0" t="n">
        <f aca="false">-F12</f>
        <v>2086.06716925542</v>
      </c>
      <c r="G16" s="0" t="n">
        <f aca="false">-G12</f>
        <v>2223.67440708701</v>
      </c>
      <c r="H16" s="0" t="n">
        <f aca="false">-H12</f>
        <v>2347.76338069677</v>
      </c>
      <c r="I16" s="0" t="n">
        <f aca="false">-I12</f>
        <v>2454.90676407039</v>
      </c>
      <c r="J16" s="0" t="n">
        <f aca="false">-J12</f>
        <v>2554.01225936064</v>
      </c>
      <c r="K16" s="0" t="n">
        <f aca="false">-K12</f>
        <v>2643.64363299103</v>
      </c>
      <c r="L16" s="0" t="n">
        <f aca="false">-L12</f>
        <v>2775.82581464058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-719.45172</v>
      </c>
      <c r="D17" s="4" t="n">
        <f aca="false">-D6*Assumptions!D46/100</f>
        <v>-782.8700568</v>
      </c>
      <c r="E17" s="4" t="n">
        <f aca="false">-E6*Assumptions!E46/100</f>
        <v>-835.5632337</v>
      </c>
      <c r="F17" s="4" t="n">
        <f aca="false">-F6*Assumptions!F46/100</f>
        <v>-914.9417409015</v>
      </c>
      <c r="G17" s="4" t="n">
        <f aca="false">-G6*Assumptions!G46/100</f>
        <v>-953.003317323002</v>
      </c>
      <c r="H17" s="4" t="n">
        <f aca="false">-H6*Assumptions!H46/100</f>
        <v>-1024.47856612223</v>
      </c>
      <c r="I17" s="4" t="n">
        <f aca="false">-I6*Assumptions!I46/100</f>
        <v>-1045.6084365485</v>
      </c>
      <c r="J17" s="4" t="n">
        <f aca="false">-J6*Assumptions!J46/100</f>
        <v>-1108.34494274141</v>
      </c>
      <c r="K17" s="4" t="n">
        <f aca="false">-K6*Assumptions!K46/100</f>
        <v>-1118.46461395774</v>
      </c>
      <c r="L17" s="4" t="n">
        <f aca="false">-L6*Assumptions!L46/100</f>
        <v>-1174.38784465563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-367.536</v>
      </c>
      <c r="D18" s="4" t="n">
        <f aca="false">(D6-C6)*Assumptions!$B$51/100</f>
        <v>-346.40268</v>
      </c>
      <c r="E18" s="4" t="n">
        <f aca="false">(E6-D6)*Assumptions!$B$51/100</f>
        <v>-331.2142548</v>
      </c>
      <c r="F18" s="4" t="n">
        <f aca="false">(F6-E6)*Assumptions!$B$51/100</f>
        <v>-317.514028806</v>
      </c>
      <c r="G18" s="4" t="n">
        <f aca="false">(G6-F6)*Assumptions!$B$51/100</f>
        <v>-311.08019190651</v>
      </c>
      <c r="H18" s="4" t="n">
        <f aca="false">(H6-G6)*Assumptions!$B$51/100</f>
        <v>-297.813536663438</v>
      </c>
      <c r="I18" s="4" t="n">
        <f aca="false">(I6-H6)*Assumptions!$B$51/100</f>
        <v>-277.462944991436</v>
      </c>
      <c r="J18" s="4" t="n">
        <f aca="false">(J6-I6)*Assumptions!$B$51/100</f>
        <v>-272.767418230043</v>
      </c>
      <c r="K18" s="4" t="n">
        <f aca="false">(K6-J6)*Assumptions!$B$51/100</f>
        <v>-265.039008046858</v>
      </c>
      <c r="L18" s="4" t="n">
        <f aca="false">(L6-K6)*Assumptions!$B$51/100</f>
        <v>-254.196503172215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4397.7657906</v>
      </c>
      <c r="D19" s="0" t="n">
        <f aca="false">D15+D16+D17+D18</f>
        <v>5328.2610371016</v>
      </c>
      <c r="E19" s="0" t="n">
        <f aca="false">E15+E16+E17+E18</f>
        <v>6194.16695257417</v>
      </c>
      <c r="F19" s="0" t="n">
        <f aca="false">F15+F16+F17+F18</f>
        <v>6960.26195735126</v>
      </c>
      <c r="G19" s="0" t="n">
        <f aca="false">G15+G16+G17+G18</f>
        <v>7771.81744396853</v>
      </c>
      <c r="H19" s="0" t="n">
        <f aca="false">H15+H16+H17+H18</f>
        <v>8480.08956429949</v>
      </c>
      <c r="I19" s="0" t="n">
        <f aca="false">I15+I16+I17+I18</f>
        <v>9179.51982875327</v>
      </c>
      <c r="J19" s="0" t="n">
        <f aca="false">J15+J16+J17+J18</f>
        <v>9814.76179476505</v>
      </c>
      <c r="K19" s="0" t="n">
        <f aca="false">K15+K16+K17+K18</f>
        <v>10459.5114607889</v>
      </c>
      <c r="L19" s="0" t="n">
        <f aca="false">L15+L16+L17+L18</f>
        <v>11088.7886382312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4110.06148654206</v>
      </c>
      <c r="D21" s="0" t="n">
        <f aca="false">D19*D20</f>
        <v>4653.90954415372</v>
      </c>
      <c r="E21" s="0" t="n">
        <f aca="false">E19*E20</f>
        <v>5056.28533249377</v>
      </c>
      <c r="F21" s="0" t="n">
        <f aca="false">F19*F20</f>
        <v>5309.95052185981</v>
      </c>
      <c r="G21" s="0" t="n">
        <f aca="false">G19*G20</f>
        <v>5541.19842701965</v>
      </c>
      <c r="H21" s="0" t="n">
        <f aca="false">H19*H20</f>
        <v>5650.64173843852</v>
      </c>
      <c r="I21" s="0" t="n">
        <f aca="false">I19*I20</f>
        <v>5716.54360398058</v>
      </c>
      <c r="J21" s="0" t="n">
        <f aca="false">J19*J20</f>
        <v>5712.28072369035</v>
      </c>
      <c r="K21" s="0" t="n">
        <f aca="false">K19*K20</f>
        <v>5689.28121446867</v>
      </c>
      <c r="L21" s="0" t="n">
        <f aca="false">L19*L20</f>
        <v>5636.97785487632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53077.1304475235</v>
      </c>
    </row>
    <row r="31" customFormat="false" ht="15" hidden="false" customHeight="false" outlineLevel="0" collapsed="false">
      <c r="A31" s="0" t="s">
        <v>132</v>
      </c>
      <c r="B31" s="0" t="n">
        <f aca="false">L19</f>
        <v>11088.7886382312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327911.321159122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177420.618211699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177420.618211699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90191.6456780211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143268.776125545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125318.776125545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593.927848936231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0.933358883255959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330.827133485799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802.460003318944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599.298878020613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99799.0977440807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201.554295567025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124.318161859421</v>
      </c>
      <c r="C4" s="0" t="n">
        <f aca="false">B4/Assumptions!$B$2-1</f>
        <v>-0.595318483530532</v>
      </c>
      <c r="D4" s="4" t="n">
        <f aca="false">Assumptions!$B$24</f>
        <v>0.2</v>
      </c>
      <c r="E4" s="4" t="n">
        <f aca="false">DCF_Bear!$B$43</f>
        <v>126.964533814273</v>
      </c>
      <c r="F4" s="4" t="n">
        <f aca="false">DCF_Bear!$B$47</f>
        <v>47.7416009072669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394.542984929731</v>
      </c>
      <c r="C5" s="0" t="n">
        <f aca="false">B5/Assumptions!$B$2-1</f>
        <v>0.284319612401469</v>
      </c>
      <c r="D5" s="4" t="n">
        <f aca="false">Assumptions!$B$38</f>
        <v>0.5</v>
      </c>
      <c r="E5" s="4" t="n">
        <f aca="false">DCF_Base!$B$43</f>
        <v>398.647718535561</v>
      </c>
      <c r="F5" s="4" t="n">
        <f aca="false">DCF_Base!$B$47</f>
        <v>144.128753131537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593.927848936231</v>
      </c>
      <c r="C6" s="0" t="n">
        <f aca="false">B6/Assumptions!$B$2-1</f>
        <v>0.933358883255959</v>
      </c>
      <c r="D6" s="4" t="n">
        <f aca="false">Assumptions!$B$52</f>
        <v>0.3</v>
      </c>
      <c r="E6" s="4" t="n">
        <f aca="false">DCF_Bull!$B$43</f>
        <v>599.298878020613</v>
      </c>
      <c r="F6" s="4" t="n">
        <f aca="false">DCF_Bull!$B$47</f>
        <v>201.554295567025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400.313479517619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404.506429436819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0.232601409350046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-2220.71527950369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142.07898541733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394.542984929731</v>
      </c>
      <c r="C15" s="3" t="n">
        <v>7.5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343.976107749523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313.961781847764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270.506363011183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228.178111659744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144.128753131537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474.121780333424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474.121780333424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474.121780333424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474.121780333424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474.121780333424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432.437293663951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432.437293663951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432.437293663951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432.437293663951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432.437293663951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394.542984929731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394.542984929731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394.542984929731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394.542984929731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394.542984929731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360.053094694713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360.053094694713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360.053094694713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360.053094694713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360.053094694713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322.083262464701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328.624676010397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328.624676010397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328.624676010397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328.624676010397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2026-09-25T18:48:54Z</dcterms:created>
  <dc:creator>openpyxl</dc:creator>
  <dc:description/>
  <dc:language>en-NZ</dc:language>
  <cp:lastModifiedBy/>
  <dcterms:modified xsi:type="dcterms:W3CDTF">2026-09-25T18:48:54Z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