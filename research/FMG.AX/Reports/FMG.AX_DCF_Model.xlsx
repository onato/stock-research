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<sst xmlns="http://schemas.openxmlformats.org/spreadsheetml/2006/main" count="364" uniqueCount="168">
  <si>
    <t xml:space="preserve">Ticker</t>
  </si>
  <si>
    <t xml:space="preserve">FMG.AX</t>
  </si>
  <si>
    <t xml:space="preserve">Company</t>
  </si>
  <si>
    <t xml:space="preserve">Fortescue Ltd</t>
  </si>
  <si>
    <t xml:space="preserve">Valuation date</t>
  </si>
  <si>
    <t xml:space="preserve">2026-09-22</t>
  </si>
  <si>
    <t xml:space="preserve">Current price</t>
  </si>
  <si>
    <t xml:space="preserve">Price as of</t>
  </si>
  <si>
    <t xml:space="preserve">2026-09-22T06:12:33Z (ASX regular close, 16:12 AEST; Yahoo chart meta, marketState not reported)</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</si>
  <si>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</si>
  <si>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</si>
  <si>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</si>
  <si>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</si>
  <si>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</si>
  <si>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</si>
  <si>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</si>
  <si>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AUD</t>
  </si>
  <si>
    <t xml:space="preserve">Units</t>
  </si>
  <si>
    <t xml:space="preserve">millions</t>
  </si>
  <si>
    <t xml:space="preserve">Engine</t>
  </si>
  <si>
    <t xml:space="preserve">dcf_engine v1</t>
  </si>
  <si>
    <t xml:space="preserve">Built at</t>
  </si>
  <si>
    <t xml:space="preserve">2026-09-22T11:35:00Z</t>
  </si>
  <si>
    <t xml:space="preserve">Drivers file</t>
  </si>
  <si>
    <t xml:space="preserve">FMG.AX_Drivers.json</t>
  </si>
  <si>
    <t xml:space="preserve">Convention</t>
  </si>
  <si>
    <t xml:space="preserve">Percents stored as percents; formulas divide by 100. Blue = input, green = link, black = formula.</t>
  </si>
  <si>
    <t xml:space="preserve">Methodology</t>
  </si>
  <si>
    <t xml:space="preserve">summary: A single-commodity iron ore producer is worth its mid-cycle owner cash flow at a mid-cycle cost base, not its best year (FY2021, US$135/dmt, US$9.1bn owner FCF) and not its most recent year (FY2026, US$91/dmt, US$3.5bn owner FCF, but at a C1 cost and capex level that FY27 guidance has already moved higher). The model builds each year from components (revenue x pre-SBC underlying EBITDA margin - SBC - D&amp;A - 31% cash tax + D&amp;A - capex incl. leased-fleet renewal - working capital), anchors FY27 to the company's own guidance (shipments 197-207Mt, C1 US$20.50-21.75/wmt, capex US$3.85-4.85bn, Energy net cost ~US$300m), and fades the realised price to ~US$80/dmt as Simandou supply arrives. It charges leases once (as debt, net debt 857 ties to the company's own figure), SBC once (expensed at 1.15% of revenue against a flat 3,082m diluted count that the employee share trust actually funds), and risk once (in the scenario flows and a 30% bear weight, at a single 9.5% USD WACC). The terminal value is capped at 10x owner FCF (~5x mid-cycle EBITDA) because the market has never paid more than ~6x EBITDA for Fortescue. All values are computed in USD and converted to AUD at 1.4055 for comparison with the ASX price.
key_risks_to_valuation: Iron ore price path: each US$10/dmt on realised price is ~US$1.75bn of revenue and roughly A$3-4/share of value; the base case's US$80/dmt mid-cycle is a judgment about Simandou supply against Chinese steel demand, and the 62% index has averaged ~US$100-110 over the past decade; Cost base: FY27 C1 guidance of US$20.50-21.75/wmt is up 51% on FY2021's US$13.93; each US$1/wmt is ~US$190m of EBITDA (~1.1pp of margin). Strip ratios (1.62x in FY2026) are rising as Chichester and Solomon hubs mature; Capex normalisation: the valuation depends on capex falling from ~26% of revenue (FY27 guidance) to ~20% by FY2032 as the Real Zero decarbonisation program (US$0.9-1.3bn/yr) completes; a new wave of green-hydrogen or downstream (green iron) capital would defer the FCF harvest; Iron Bridge: extended ramp-up (FY27 guidance 11-14Mt vs 22Mtpa nameplate), ~US$750m impaired in FY2026; a further impairment or a decision to run below nameplate removes the premium-product mix improvement the bull case relies on; Fortescue Energy: the segment lost US$422m at the EBITDA line in FY2026 and US$741m in FY2025; the model assumes the guided ~US$300m net cost holds, not the multi-billion hydrogen program of 2022-2024. Founder control (Dr Andrew Forrest ~37%) means the capital allocation risk is idiosyncratic, in both directions; China concentration and grade: ~85-90% of sales to Chinese mills, and Fortescue's 56-58% Fe product carries the widest discount among the majors; discounts widen in a buyer's market, which is why the bear case realises US$62/dmt on a US$75 index; Native title and legal: the US$104m Yindjibarndi compensation in FY2026 is a precedent for further claims across the Pilbara tenements; FX: AUD-denominated costs (~70% of C1) against USD revenue; management guides on AUD:USD 0.70 and each cent moves C1 by ~US$0.16/wmt. The AUD quote also moves the AUD-denominated IV one-for-one with the USD/AUD rate even when the USD valuation is unchanged; Dividend policy (50-80% of NPAT, FY2026 65%) means the company retains little cushion; the bear case implies a dividend cut of more than half from the FY2026 A$1.08/share</t>
  </si>
  <si>
    <t xml:space="preserve">Data sources</t>
  </si>
  <si>
    <t xml:space="preserve">price: Yahoo Finance chart API, FMG.AX regularMarketPrice at inputs.price_as_of (ASX regular close); 52-week range 16.135-23.38. FX: Yahoo AUDUSD=X at 2026-09-22T11:28:06Z, see inputs.fx_note
financials: research/FMG.AX/Reports/FMG.AX_Metrics.csv (core_metrics + kpis, FY2016-FY2026 annual and half-year, USD millions) and FMG.AX_Annual_FY2026.txt for FY27 guidance (lines 1728-1751), diluted shares (lines 12600-12610), borrowings and leases (lines 2653-2660), segment underlying EBITDA (line 2161), realised prices (lines 2089-2092), cash-flow financing lines incl. lease repayment and employee share trust purchases (lines 12170-12180), SBC (line 12905)
qualitative: FMG.AX_Analysis.json was not present at build time; bull/bear axes drawn from the FY2026 Annual Report operating and financial review, outlook, segment note and Iron Bridge impairment note (line 13581)</t>
  </si>
  <si>
    <t xml:space="preserve">Scenario narrative: bear</t>
  </si>
  <si>
    <t xml:space="preserve">Simandou reaches ~120Mtpa by FY2029 just as Chinese crude steel falls toward 850-900Mt on the property downturn and rising scrap use; the index settles ~US$75 and, because Fortescue sells the lowest-grade product among the majors, its discount widens and the realised price falls to ~US$62/dmt, a revenue decline of ~22% over three years. C1 rises above US$22/wmt on strip ratios and diesel, Iron Bridge stalls and is impaired again, the Energy segment keeps consuming ~US$500m/yr because the hydrogen projects are neither built nor cleanly exited, and native-title compensation claims follow the US$104m Yindjibarndi award. A 36% pre-SBC margin, below any year on record, with capex stuck at 22-27% of revenue: owner FCF falls to ~US$0.6bn in FY2029 and recovers only to ~US$1.2bn, and the dividend is cut hard. The balance sheet (net debt US$0.9bn, gross gearing 23%) survives; the equity value does not.</t>
  </si>
  <si>
    <t xml:space="preserve">Scenario narrative: base</t>
  </si>
  <si>
    <t xml:space="preserve">Fortescue's earnings are a function of one price, the Platts 62% Fe iron ore index, applied to a ~190Mt hematite business whose cost base has just stepped up (C1 guided to US$20.50-21.75/wmt for FY27 against US$13.93 in FY2021) and whose capex is guided to US$3.85-4.85bn in FY27, a third above FY2026. The base case takes FY27 at the company's guidance with the realised price held at FY2026's US$91/dmt, then lets pricing fade to ~US$80/dmt over FY28-29 as Simandou's first ~60-120Mtpa enters a flat-to-declining Chinese steel market, and holds a 46% pre-SBC margin at mid-cycle. Capex normalises to ~20% of revenue (~US$3.2bn) once the Real Zero decarbonisation program completes around FY2031, which is what lifts owner FCF from ~US$2.1bn in FY27 back to ~US$2.6-2.9bn, below the decade median of US$3.5bn because both C1 and sustaining capex are structurally higher than the years that produced that median. The axes are the iron ore price path under Simandou supply, the C1 cost trajectory, Iron Bridge's ramp (impaired ~US$750m in FY2026 after the ramp-up was extended), and whether the Energy segment is contained at the guided ~US$300m net cost or resumes multi-billion green-hydrogen spending.</t>
  </si>
  <si>
    <t xml:space="preserve">Scenario narrative: bull</t>
  </si>
  <si>
    <t xml:space="preserve">Chinese steel output plateaus rather than declines, India's steel build-out absorbs new seaborne supply, and Simandou displaces high-cost Chinese domestic concentrate instead of Pilbara fines, so the index holds ~US$105 and Fortescue realises the low-90s with an improving product mix as Iron Bridge reaches 22Mtpa nameplate at a premium magnetite price. The autonomous, increasingly electrified fleet and cheap Pilbara solar and wind hold C1 near US$20/wmt, the Energy segment is cut to break-even and Fortescue Zero's battery-electric haulage and electrolyser technology is sold to third parties. A 52% pre-SBC margin (the FY2025-26 level) on ~2.5-3% nominal revenue growth, capex falling to 18% of revenue after 2030, and dividends at 65% of NPAT continuing.</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</si>
  <si>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</si>
  <si>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</si>
  <si>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</si>
  <si>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</si>
  <si>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</si>
  <si>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</si>
  <si>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</si>
  <si>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</si>
  <si>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</si>
  <si>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</si>
  <si>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</si>
  <si>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</si>
  <si>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</si>
  <si>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</si>
  <si>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</si>
  <si>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</si>
  <si>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</si>
  <si>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</si>
  <si>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</si>
  <si>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</si>
  <si>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</si>
  <si>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</si>
  <si>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</si>
  <si>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</si>
  <si>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</si>
  <si>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</si>
  <si>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</si>
  <si>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UnderlyingEBITDA</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</si>
  <si>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</si>
  <si>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</si>
  <si>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</si>
  <si>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</si>
  <si>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</si>
  <si>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</si>
  <si>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</si>
  <si>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</si>
  <si>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</si>
  <si>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</si>
  <si>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</si>
  <si>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</si>
  <si>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</si>
  <si>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</si>
  <si>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</si>
  <si>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</si>
  <si>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</si>
  <si>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</si>
  <si>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</si>
  <si>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</si>
  <si>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</si>
  <si>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</si>
  <si>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</si>
  <si>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</si>
  <si>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</si>
  <si>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</si>
  <si>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</si>
  <si>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</si>
  <si>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</si>
  <si>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</si>
  <si>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</si>
  <si>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</si>
  <si>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</si>
  <si>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</si>
  <si>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</si>
  <si>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</si>
  <si>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</si>
  <si>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</si>
  <si>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</si>
  <si>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</si>
  <si>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</si>
  <si>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</si>
  <si>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</si>
  <si>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</si>
  <si>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</si>
  <si>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</si>
  <si>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</si>
  <si>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</si>
  <si>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FMG.AX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</si>
  <si>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</si>
  <si>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</si>
  <si>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</si>
  <si>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</si>
  <si>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</si>
  <si>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</si>
  <si>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</si>
  <si>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</si>
  <si>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</si>
  <si>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</si>
  <si>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</si>
  <si>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</si>
  <si>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</si>
  <si>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</si>
  <si>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</si>
  <si>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</si>
  <si>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</si>
  <si>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</si>
  <si>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</si>
  <si>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</si>
  <si>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</si>
  <si>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</si>
  <si>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</si>
  <si>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</si>
  <si>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</si>
  <si>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</si>
  <si>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</si>
  <si>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</si>
  <si>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</si>
  <si>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</si>
  <si>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FMG.AX owner-FCF component DCF: base case (millions, USD)</t>
  </si>
  <si>
    <t xml:space="preserve">FMG.AX owner-FCF component DCF: bull case (millions, USD)</t>
  </si>
  <si>
    <t xml:space="preserve">FMG.AX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</si>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</sst>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16.75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7083</v>
      </c>
      <c r="C2" s="0" t="n">
        <v>-5064</v>
      </c>
      <c r="D2" s="0" t="n">
        <v>2019</v>
      </c>
      <c r="E2" s="0" t="n">
        <v>28.5</v>
      </c>
      <c r="F2" s="0" t="n">
        <v>1815</v>
      </c>
      <c r="G2" s="0" t="n">
        <v>25.6</v>
      </c>
      <c r="H2" s="0" t="n">
        <v>3059</v>
      </c>
      <c r="I2" s="0" t="n">
        <v>985</v>
      </c>
      <c r="J2" s="0" t="n">
        <v>13.9</v>
      </c>
      <c r="K2" s="0" t="n">
        <v>0.316</v>
      </c>
      <c r="L2" s="0" t="n">
        <v>3023</v>
      </c>
      <c r="M2" s="0" t="n">
        <v>-360</v>
      </c>
      <c r="N2" s="0" t="n">
        <v>2663</v>
      </c>
      <c r="O2" s="0" t="n">
        <v>8406</v>
      </c>
      <c r="P2" s="0" t="n">
        <v>19337</v>
      </c>
      <c r="Q2" s="0" t="n">
        <v>10931</v>
      </c>
      <c r="R2" s="0" t="n">
        <v>6771</v>
      </c>
      <c r="S2" s="0" t="n">
        <v>1583</v>
      </c>
      <c r="T2" s="0" t="n">
        <v>3111.801515</v>
      </c>
      <c r="U2" s="0" t="n">
        <v>-3</v>
      </c>
      <c r="AA2" s="0" t="s">
        <v>18</v>
      </c>
      <c r="AB2" s="0" t="s">
        <v>14</v>
      </c>
      <c r="AC2" s="0" t="n">
        <v>3195</v>
      </c>
    </row>
    <row r="3" customFormat="false" ht="15" hidden="false" customHeight="false" outlineLevel="0" collapsed="false">
      <c r="A3" s="0" t="s">
        <v>66</v>
      </c>
      <c r="B3" s="0" t="n">
        <v>8447</v>
      </c>
      <c r="C3" s="0" t="n">
        <v>-4888</v>
      </c>
      <c r="D3" s="0" t="n">
        <v>3559</v>
      </c>
      <c r="E3" s="0" t="n">
        <v>42.1</v>
      </c>
      <c r="F3" s="0" t="n">
        <v>3450</v>
      </c>
      <c r="G3" s="0" t="n">
        <v>40.8</v>
      </c>
      <c r="H3" s="0" t="n">
        <v>4693</v>
      </c>
      <c r="I3" s="0" t="n">
        <v>2093</v>
      </c>
      <c r="J3" s="0" t="n">
        <v>24.8</v>
      </c>
      <c r="K3" s="0" t="n">
        <v>0.673</v>
      </c>
      <c r="L3" s="0" t="n">
        <v>4256</v>
      </c>
      <c r="M3" s="0" t="n">
        <v>-729</v>
      </c>
      <c r="N3" s="0" t="n">
        <v>3527</v>
      </c>
      <c r="O3" s="0" t="n">
        <v>9734</v>
      </c>
      <c r="P3" s="0" t="n">
        <v>19115</v>
      </c>
      <c r="Q3" s="0" t="n">
        <v>9381</v>
      </c>
      <c r="R3" s="0" t="n">
        <v>4471</v>
      </c>
      <c r="S3" s="0" t="n">
        <v>1838</v>
      </c>
      <c r="T3" s="0" t="n">
        <v>3111.190703</v>
      </c>
      <c r="U3" s="0" t="n">
        <v>16</v>
      </c>
      <c r="AA3" s="0" t="s">
        <v>18</v>
      </c>
      <c r="AB3" s="0" t="s">
        <v>14</v>
      </c>
      <c r="AC3" s="0" t="n">
        <v>4744</v>
      </c>
    </row>
    <row r="4" customFormat="false" ht="15" hidden="false" customHeight="false" outlineLevel="0" collapsed="false">
      <c r="A4" s="0" t="s">
        <v>67</v>
      </c>
      <c r="B4" s="0" t="n">
        <v>6887</v>
      </c>
      <c r="C4" s="0" t="n">
        <v>-4930</v>
      </c>
      <c r="D4" s="0" t="n">
        <v>1957</v>
      </c>
      <c r="E4" s="0" t="n">
        <v>28.4</v>
      </c>
      <c r="F4" s="0" t="n">
        <v>1873</v>
      </c>
      <c r="G4" s="0" t="n">
        <v>27.2</v>
      </c>
      <c r="H4" s="0" t="n">
        <v>3150</v>
      </c>
      <c r="I4" s="0" t="n">
        <v>878</v>
      </c>
      <c r="J4" s="0" t="n">
        <v>12.7</v>
      </c>
      <c r="K4" s="0" t="n">
        <v>0.282</v>
      </c>
      <c r="L4" s="0" t="n">
        <v>1601</v>
      </c>
      <c r="M4" s="0" t="n">
        <v>-901</v>
      </c>
      <c r="N4" s="0" t="n">
        <v>700</v>
      </c>
      <c r="O4" s="0" t="n">
        <v>9732</v>
      </c>
      <c r="P4" s="0" t="n">
        <v>17849</v>
      </c>
      <c r="Q4" s="0" t="n">
        <v>8117</v>
      </c>
      <c r="R4" s="0" t="n">
        <v>3975</v>
      </c>
      <c r="S4" s="0" t="n">
        <v>863</v>
      </c>
      <c r="T4" s="0" t="n">
        <v>3112.150439</v>
      </c>
      <c r="U4" s="0" t="n">
        <v>14</v>
      </c>
      <c r="AA4" s="0" t="s">
        <v>18</v>
      </c>
      <c r="AB4" s="0" t="s">
        <v>14</v>
      </c>
      <c r="AC4" s="0" t="n">
        <v>3182</v>
      </c>
    </row>
    <row r="5" customFormat="false" ht="15" hidden="false" customHeight="false" outlineLevel="0" collapsed="false">
      <c r="A5" s="0" t="s">
        <v>68</v>
      </c>
      <c r="B5" s="0" t="n">
        <v>9965</v>
      </c>
      <c r="C5" s="0" t="n">
        <v>-5115</v>
      </c>
      <c r="D5" s="0" t="n">
        <v>4850</v>
      </c>
      <c r="E5" s="0" t="n">
        <v>48.7</v>
      </c>
      <c r="F5" s="0" t="n">
        <v>4822</v>
      </c>
      <c r="G5" s="0" t="n">
        <v>48.4</v>
      </c>
      <c r="H5" s="0" t="n">
        <v>6018</v>
      </c>
      <c r="I5" s="0" t="n">
        <v>3187</v>
      </c>
      <c r="J5" s="0" t="n">
        <v>32</v>
      </c>
      <c r="K5" s="0" t="n">
        <v>1.031</v>
      </c>
      <c r="L5" s="0" t="n">
        <v>4373</v>
      </c>
      <c r="M5" s="0" t="n">
        <v>-1048</v>
      </c>
      <c r="N5" s="0" t="n">
        <v>3325</v>
      </c>
      <c r="O5" s="0" t="n">
        <v>10601</v>
      </c>
      <c r="P5" s="0" t="n">
        <v>19694</v>
      </c>
      <c r="Q5" s="0" t="n">
        <v>9093</v>
      </c>
      <c r="R5" s="0" t="n">
        <v>3952</v>
      </c>
      <c r="S5" s="0" t="n">
        <v>1874</v>
      </c>
      <c r="T5" s="0" t="n">
        <v>3090.462322</v>
      </c>
      <c r="U5" s="0" t="n">
        <v>21</v>
      </c>
      <c r="AA5" s="0" t="s">
        <v>18</v>
      </c>
      <c r="AB5" s="0" t="s">
        <v>14</v>
      </c>
      <c r="AC5" s="0" t="n">
        <v>6047</v>
      </c>
    </row>
    <row r="6" customFormat="false" ht="15" hidden="false" customHeight="false" outlineLevel="0" collapsed="false">
      <c r="A6" s="0" t="s">
        <v>69</v>
      </c>
      <c r="B6" s="0" t="n">
        <v>12820</v>
      </c>
      <c r="C6" s="0" t="n">
        <v>-5742</v>
      </c>
      <c r="D6" s="0" t="n">
        <v>7078</v>
      </c>
      <c r="E6" s="0" t="n">
        <v>55.2</v>
      </c>
      <c r="F6" s="0" t="n">
        <v>6912</v>
      </c>
      <c r="G6" s="0" t="n">
        <v>53.9</v>
      </c>
      <c r="H6" s="0" t="n">
        <v>8312</v>
      </c>
      <c r="I6" s="0" t="n">
        <v>4735</v>
      </c>
      <c r="J6" s="0" t="n">
        <v>36.9</v>
      </c>
      <c r="K6" s="0" t="n">
        <v>1.539</v>
      </c>
      <c r="L6" s="0" t="n">
        <v>6415</v>
      </c>
      <c r="M6" s="0" t="n">
        <v>-1945</v>
      </c>
      <c r="N6" s="0" t="n">
        <v>4470</v>
      </c>
      <c r="O6" s="0" t="n">
        <v>13244</v>
      </c>
      <c r="P6" s="0" t="n">
        <v>23398</v>
      </c>
      <c r="Q6" s="0" t="n">
        <v>10154</v>
      </c>
      <c r="R6" s="0" t="n">
        <v>5113</v>
      </c>
      <c r="S6" s="0" t="n">
        <v>4855</v>
      </c>
      <c r="T6" s="0" t="n">
        <v>3077.324924</v>
      </c>
      <c r="U6" s="0" t="n">
        <v>41</v>
      </c>
      <c r="AA6" s="0" t="s">
        <v>18</v>
      </c>
      <c r="AB6" s="0" t="s">
        <v>14</v>
      </c>
      <c r="AC6" s="0" t="n">
        <v>8375</v>
      </c>
    </row>
    <row r="7" customFormat="false" ht="15" hidden="false" customHeight="false" outlineLevel="0" collapsed="false">
      <c r="A7" s="0" t="s">
        <v>70</v>
      </c>
      <c r="B7" s="0" t="n">
        <v>22284</v>
      </c>
      <c r="C7" s="0" t="n">
        <v>-6794</v>
      </c>
      <c r="D7" s="0" t="n">
        <v>15490</v>
      </c>
      <c r="E7" s="0" t="n">
        <v>69.5</v>
      </c>
      <c r="F7" s="0" t="n">
        <v>14946</v>
      </c>
      <c r="G7" s="0" t="n">
        <v>67.1</v>
      </c>
      <c r="H7" s="0" t="n">
        <v>16312</v>
      </c>
      <c r="I7" s="0" t="n">
        <v>10295</v>
      </c>
      <c r="J7" s="0" t="n">
        <v>46.2</v>
      </c>
      <c r="K7" s="0" t="n">
        <v>3.346</v>
      </c>
      <c r="L7" s="0" t="n">
        <v>12594</v>
      </c>
      <c r="M7" s="0" t="n">
        <v>-3382</v>
      </c>
      <c r="N7" s="0" t="n">
        <v>9212</v>
      </c>
      <c r="O7" s="0" t="n">
        <v>17735</v>
      </c>
      <c r="P7" s="0" t="n">
        <v>28383</v>
      </c>
      <c r="Q7" s="0" t="n">
        <v>10648</v>
      </c>
      <c r="R7" s="0" t="n">
        <v>4252</v>
      </c>
      <c r="S7" s="0" t="n">
        <v>6930</v>
      </c>
      <c r="T7" s="0" t="n">
        <v>3077.08233</v>
      </c>
      <c r="U7" s="0" t="n">
        <v>94</v>
      </c>
      <c r="AA7" s="0" t="s">
        <v>18</v>
      </c>
      <c r="AB7" s="0" t="s">
        <v>14</v>
      </c>
      <c r="AC7" s="0" t="n">
        <v>16375</v>
      </c>
    </row>
    <row r="8" customFormat="false" ht="15" hidden="false" customHeight="false" outlineLevel="0" collapsed="false">
      <c r="A8" s="0" t="s">
        <v>71</v>
      </c>
      <c r="B8" s="0" t="n">
        <v>17390</v>
      </c>
      <c r="C8" s="0" t="n">
        <v>-7649</v>
      </c>
      <c r="D8" s="0" t="n">
        <v>9741</v>
      </c>
      <c r="E8" s="0" t="n">
        <v>56</v>
      </c>
      <c r="F8" s="0" t="n">
        <v>9000</v>
      </c>
      <c r="G8" s="0" t="n">
        <v>51.8</v>
      </c>
      <c r="H8" s="0" t="n">
        <v>10528</v>
      </c>
      <c r="I8" s="0" t="n">
        <v>6197</v>
      </c>
      <c r="J8" s="0" t="n">
        <v>35.6</v>
      </c>
      <c r="K8" s="0" t="n">
        <v>2.014</v>
      </c>
      <c r="L8" s="0" t="n">
        <v>6646</v>
      </c>
      <c r="M8" s="0" t="n">
        <v>-2803</v>
      </c>
      <c r="N8" s="0" t="n">
        <v>3843</v>
      </c>
      <c r="O8" s="0" t="n">
        <v>17345</v>
      </c>
      <c r="P8" s="0" t="n">
        <v>28375</v>
      </c>
      <c r="Q8" s="0" t="n">
        <v>11030</v>
      </c>
      <c r="R8" s="0" t="n">
        <v>6103</v>
      </c>
      <c r="S8" s="0" t="n">
        <v>5224</v>
      </c>
      <c r="T8" s="0" t="n">
        <v>3076.669539</v>
      </c>
      <c r="U8" s="0" t="n">
        <v>128</v>
      </c>
      <c r="AA8" s="0" t="s">
        <v>18</v>
      </c>
      <c r="AB8" s="0" t="s">
        <v>14</v>
      </c>
      <c r="AC8" s="0" t="n">
        <v>10561</v>
      </c>
    </row>
    <row r="9" customFormat="false" ht="15" hidden="false" customHeight="false" outlineLevel="0" collapsed="false">
      <c r="A9" s="0" t="s">
        <v>72</v>
      </c>
      <c r="B9" s="0" t="n">
        <v>16871</v>
      </c>
      <c r="C9" s="0" t="n">
        <v>-7817</v>
      </c>
      <c r="D9" s="0" t="n">
        <v>9054</v>
      </c>
      <c r="E9" s="0" t="n">
        <v>53.7</v>
      </c>
      <c r="F9" s="0" t="n">
        <v>7020</v>
      </c>
      <c r="G9" s="0" t="n">
        <v>41.6</v>
      </c>
      <c r="H9" s="0" t="n">
        <v>8764</v>
      </c>
      <c r="I9" s="0" t="n">
        <v>4796</v>
      </c>
      <c r="J9" s="0" t="n">
        <v>28.4</v>
      </c>
      <c r="K9" s="0" t="n">
        <v>1.56</v>
      </c>
      <c r="L9" s="0" t="n">
        <v>7432</v>
      </c>
      <c r="M9" s="0" t="n">
        <v>-2901</v>
      </c>
      <c r="N9" s="0" t="n">
        <v>4531</v>
      </c>
      <c r="O9" s="0" t="n">
        <v>17998</v>
      </c>
      <c r="P9" s="0" t="n">
        <v>28218</v>
      </c>
      <c r="Q9" s="0" t="n">
        <v>10220</v>
      </c>
      <c r="R9" s="0" t="n">
        <v>5321</v>
      </c>
      <c r="S9" s="0" t="n">
        <v>4287</v>
      </c>
      <c r="T9" s="0" t="n">
        <v>3075.997351</v>
      </c>
      <c r="U9" s="0" t="n">
        <v>148</v>
      </c>
      <c r="AA9" s="0" t="s">
        <v>18</v>
      </c>
      <c r="AB9" s="0" t="s">
        <v>14</v>
      </c>
      <c r="AC9" s="0" t="n">
        <v>9963</v>
      </c>
    </row>
    <row r="10" customFormat="false" ht="15" hidden="false" customHeight="false" outlineLevel="0" collapsed="false">
      <c r="A10" s="0" t="s">
        <v>73</v>
      </c>
      <c r="B10" s="0" t="n">
        <v>18220</v>
      </c>
      <c r="C10" s="0" t="n">
        <v>-8673</v>
      </c>
      <c r="D10" s="0" t="n">
        <v>9547</v>
      </c>
      <c r="E10" s="0" t="n">
        <v>52.4</v>
      </c>
      <c r="F10" s="0" t="n">
        <v>8489</v>
      </c>
      <c r="G10" s="0" t="n">
        <v>46.6</v>
      </c>
      <c r="H10" s="0" t="n">
        <v>10633</v>
      </c>
      <c r="I10" s="0" t="n">
        <v>5664</v>
      </c>
      <c r="J10" s="0" t="n">
        <v>31.1</v>
      </c>
      <c r="K10" s="0" t="n">
        <v>1.848</v>
      </c>
      <c r="L10" s="0" t="n">
        <v>7919</v>
      </c>
      <c r="M10" s="0" t="n">
        <v>-2834</v>
      </c>
      <c r="N10" s="0" t="n">
        <v>5085</v>
      </c>
      <c r="O10" s="0" t="n">
        <v>19531</v>
      </c>
      <c r="P10" s="0" t="n">
        <v>30060</v>
      </c>
      <c r="Q10" s="0" t="n">
        <v>10529</v>
      </c>
      <c r="R10" s="0" t="n">
        <v>5400</v>
      </c>
      <c r="S10" s="0" t="n">
        <v>4903</v>
      </c>
      <c r="T10" s="0" t="n">
        <v>3075.951886</v>
      </c>
      <c r="U10" s="0" t="n">
        <v>156</v>
      </c>
      <c r="AA10" s="0" t="s">
        <v>18</v>
      </c>
      <c r="AB10" s="0" t="s">
        <v>14</v>
      </c>
      <c r="AC10" s="0" t="n">
        <v>10708</v>
      </c>
    </row>
    <row r="11" customFormat="false" ht="15" hidden="false" customHeight="false" outlineLevel="0" collapsed="false">
      <c r="A11" s="0" t="s">
        <v>74</v>
      </c>
      <c r="B11" s="0" t="n">
        <v>15541</v>
      </c>
      <c r="C11" s="0" t="n">
        <v>-9102</v>
      </c>
      <c r="D11" s="0" t="n">
        <v>6439</v>
      </c>
      <c r="E11" s="0" t="n">
        <v>41.4</v>
      </c>
      <c r="F11" s="0" t="n">
        <v>5208</v>
      </c>
      <c r="G11" s="0" t="n">
        <v>33.5</v>
      </c>
      <c r="H11" s="0" t="n">
        <v>7714</v>
      </c>
      <c r="I11" s="0" t="n">
        <v>3366</v>
      </c>
      <c r="J11" s="0" t="n">
        <v>21.7</v>
      </c>
      <c r="K11" s="0" t="n">
        <v>1.097</v>
      </c>
      <c r="L11" s="0" t="n">
        <v>6474</v>
      </c>
      <c r="M11" s="0" t="n">
        <v>-3263</v>
      </c>
      <c r="N11" s="0" t="n">
        <v>3211</v>
      </c>
      <c r="O11" s="0" t="n">
        <v>19956</v>
      </c>
      <c r="P11" s="0" t="n">
        <v>30515</v>
      </c>
      <c r="Q11" s="0" t="n">
        <v>10559</v>
      </c>
      <c r="R11" s="0" t="n">
        <v>5439</v>
      </c>
      <c r="S11" s="0" t="n">
        <v>4328</v>
      </c>
      <c r="T11" s="0" t="n">
        <v>3074.807097</v>
      </c>
      <c r="U11" s="0" t="n">
        <v>184</v>
      </c>
      <c r="AA11" s="0" t="s">
        <v>18</v>
      </c>
      <c r="AB11" s="0" t="s">
        <v>14</v>
      </c>
      <c r="AC11" s="0" t="n">
        <v>7941</v>
      </c>
    </row>
    <row r="12" customFormat="false" ht="15" hidden="false" customHeight="false" outlineLevel="0" collapsed="false">
      <c r="A12" s="0" t="s">
        <v>75</v>
      </c>
      <c r="B12" s="0" t="n">
        <v>16966</v>
      </c>
      <c r="C12" s="0" t="n">
        <v>-10155</v>
      </c>
      <c r="D12" s="0" t="n">
        <v>6811</v>
      </c>
      <c r="E12" s="0" t="n">
        <v>40.1</v>
      </c>
      <c r="F12" s="0" t="n">
        <v>4512</v>
      </c>
      <c r="G12" s="0" t="n">
        <v>26.6</v>
      </c>
      <c r="H12" s="0" t="n">
        <v>7384</v>
      </c>
      <c r="I12" s="0" t="n">
        <v>2860</v>
      </c>
      <c r="J12" s="0" t="n">
        <v>16.9</v>
      </c>
      <c r="K12" s="0" t="n">
        <v>0.933</v>
      </c>
      <c r="L12" s="0" t="n">
        <v>6836</v>
      </c>
      <c r="M12" s="0" t="n">
        <v>-3181</v>
      </c>
      <c r="N12" s="0" t="n">
        <v>3655</v>
      </c>
      <c r="O12" s="0" t="n">
        <v>20245</v>
      </c>
      <c r="P12" s="0" t="n">
        <v>31579</v>
      </c>
      <c r="Q12" s="0" t="n">
        <v>11334</v>
      </c>
      <c r="R12" s="0" t="n">
        <v>5931</v>
      </c>
      <c r="S12" s="0" t="n">
        <v>5074</v>
      </c>
      <c r="T12" s="0" t="n">
        <v>3076.300671</v>
      </c>
      <c r="U12" s="0" t="n">
        <v>195</v>
      </c>
      <c r="AA12" s="0" t="s">
        <v>18</v>
      </c>
      <c r="AB12" s="0" t="s">
        <v>14</v>
      </c>
      <c r="AC12" s="0" t="n">
        <v>8635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16.75</v>
      </c>
    </row>
    <row r="3" customFormat="false" ht="15" hidden="false" customHeight="false" outlineLevel="0" collapsed="false">
      <c r="A3" s="0" t="s">
        <v>79</v>
      </c>
      <c r="B3" s="3" t="n">
        <v>3082.1</v>
      </c>
    </row>
    <row r="4" customFormat="false" ht="15" hidden="false" customHeight="false" outlineLevel="0" collapsed="false">
      <c r="A4" s="0" t="s">
        <v>80</v>
      </c>
      <c r="B4" s="3" t="n">
        <v>857</v>
      </c>
    </row>
    <row r="5" customFormat="false" ht="15" hidden="false" customHeight="false" outlineLevel="0" collapsed="false">
      <c r="A5" s="0" t="s">
        <v>81</v>
      </c>
      <c r="B5" s="3" t="n">
        <v>0</v>
      </c>
    </row>
    <row r="6" customFormat="false" ht="15" hidden="false" customHeight="false" outlineLevel="0" collapsed="false">
      <c r="A6" s="0" t="s">
        <v>82</v>
      </c>
      <c r="B6" s="3" t="n">
        <v>15</v>
      </c>
    </row>
    <row r="7" customFormat="false" ht="15" hidden="false" customHeight="false" outlineLevel="0" collapsed="false">
      <c r="A7" s="0" t="s">
        <v>83</v>
      </c>
      <c r="B7" s="3" t="n">
        <v>16966</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1.4055</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-3</v>
      </c>
      <c r="D13" s="3" t="n">
        <v>-12</v>
      </c>
      <c r="E13" s="3" t="n">
        <v>-8</v>
      </c>
      <c r="F13" s="3" t="n">
        <v>1</v>
      </c>
      <c r="G13" s="3" t="n">
        <v>1.5</v>
      </c>
      <c r="H13" s="3" t="n">
        <v>1.5</v>
      </c>
      <c r="I13" s="3" t="n">
        <v>1.5</v>
      </c>
      <c r="J13" s="3" t="n">
        <v>1.5</v>
      </c>
      <c r="K13" s="3" t="n">
        <v>1.5</v>
      </c>
      <c r="L13" s="3" t="n">
        <v>1.5</v>
      </c>
    </row>
    <row r="14" customFormat="false" ht="15" hidden="false" customHeight="false" outlineLevel="0" collapsed="false">
      <c r="A14" s="0" t="s">
        <v>100</v>
      </c>
      <c r="C14" s="3" t="n">
        <v>47</v>
      </c>
      <c r="D14" s="3" t="n">
        <v>40</v>
      </c>
      <c r="E14" s="3" t="n">
        <v>36</v>
      </c>
      <c r="F14" s="3" t="n">
        <v>36</v>
      </c>
      <c r="G14" s="3" t="n">
        <v>36</v>
      </c>
      <c r="H14" s="3" t="n">
        <v>36</v>
      </c>
      <c r="I14" s="3" t="n">
        <v>36</v>
      </c>
      <c r="J14" s="3" t="n">
        <v>36</v>
      </c>
      <c r="K14" s="3" t="n">
        <v>36</v>
      </c>
      <c r="L14" s="3" t="n">
        <v>36</v>
      </c>
    </row>
    <row r="15" customFormat="false" ht="15" hidden="false" customHeight="false" outlineLevel="0" collapsed="false">
      <c r="A15" s="0" t="s">
        <v>101</v>
      </c>
      <c r="C15" s="3" t="n">
        <v>1.15</v>
      </c>
      <c r="D15" s="3" t="n">
        <v>1.15</v>
      </c>
      <c r="E15" s="3" t="n">
        <v>1.15</v>
      </c>
      <c r="F15" s="3" t="n">
        <v>1.15</v>
      </c>
      <c r="G15" s="3" t="n">
        <v>1.15</v>
      </c>
      <c r="H15" s="3" t="n">
        <v>1.15</v>
      </c>
      <c r="I15" s="3" t="n">
        <v>1.15</v>
      </c>
      <c r="J15" s="3" t="n">
        <v>1.15</v>
      </c>
      <c r="K15" s="3" t="n">
        <v>1.15</v>
      </c>
      <c r="L15" s="3" t="n">
        <v>1.15</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17</v>
      </c>
      <c r="D17" s="3" t="n">
        <v>19</v>
      </c>
      <c r="E17" s="3" t="n">
        <v>21</v>
      </c>
      <c r="F17" s="3" t="n">
        <v>21</v>
      </c>
      <c r="G17" s="3" t="n">
        <v>21</v>
      </c>
      <c r="H17" s="3" t="n">
        <v>21</v>
      </c>
      <c r="I17" s="3" t="n">
        <v>21</v>
      </c>
      <c r="J17" s="3" t="n">
        <v>21</v>
      </c>
      <c r="K17" s="3" t="n">
        <v>21</v>
      </c>
      <c r="L17" s="3" t="n">
        <v>21</v>
      </c>
    </row>
    <row r="18" customFormat="false" ht="15" hidden="false" customHeight="false" outlineLevel="0" collapsed="false">
      <c r="A18" s="0" t="s">
        <v>104</v>
      </c>
      <c r="C18" s="3" t="n">
        <v>27</v>
      </c>
      <c r="D18" s="3" t="n">
        <v>27</v>
      </c>
      <c r="E18" s="3" t="n">
        <v>26</v>
      </c>
      <c r="F18" s="3" t="n">
        <v>24</v>
      </c>
      <c r="G18" s="3" t="n">
        <v>22</v>
      </c>
      <c r="H18" s="3" t="n">
        <v>22</v>
      </c>
      <c r="I18" s="3" t="n">
        <v>22</v>
      </c>
      <c r="J18" s="3" t="n">
        <v>22</v>
      </c>
      <c r="K18" s="3" t="n">
        <v>22</v>
      </c>
      <c r="L18" s="3" t="n">
        <v>22</v>
      </c>
    </row>
    <row r="19" customFormat="false" ht="15" hidden="false" customHeight="false" outlineLevel="0" collapsed="false">
      <c r="A19" s="0" t="s">
        <v>105</v>
      </c>
      <c r="C19" s="3" t="n">
        <v>31</v>
      </c>
      <c r="D19" s="3" t="n">
        <v>31</v>
      </c>
      <c r="E19" s="3" t="n">
        <v>31</v>
      </c>
      <c r="F19" s="3" t="n">
        <v>31</v>
      </c>
      <c r="G19" s="3" t="n">
        <v>31</v>
      </c>
      <c r="H19" s="3" t="n">
        <v>31</v>
      </c>
      <c r="I19" s="3" t="n">
        <v>31</v>
      </c>
      <c r="J19" s="3" t="n">
        <v>31</v>
      </c>
      <c r="K19" s="3" t="n">
        <v>31</v>
      </c>
      <c r="L19" s="3" t="n">
        <v>31</v>
      </c>
    </row>
    <row r="20" customFormat="false" ht="15" hidden="false" customHeight="false" outlineLevel="0" collapsed="false">
      <c r="A20" s="0" t="s">
        <v>106</v>
      </c>
      <c r="B20" s="3" t="n">
        <v>9.5</v>
      </c>
    </row>
    <row r="21" customFormat="false" ht="15" hidden="false" customHeight="false" outlineLevel="0" collapsed="false">
      <c r="A21" s="0" t="s">
        <v>107</v>
      </c>
      <c r="B21" s="3" t="n">
        <v>2</v>
      </c>
    </row>
    <row r="22" customFormat="false" ht="15" hidden="false" customHeight="false" outlineLevel="0" collapsed="false">
      <c r="A22" s="0" t="s">
        <v>108</v>
      </c>
      <c r="B22" s="3" t="n">
        <v>10</v>
      </c>
    </row>
    <row r="23" customFormat="false" ht="15" hidden="false" customHeight="false" outlineLevel="0" collapsed="false">
      <c r="A23" s="0" t="s">
        <v>109</v>
      </c>
      <c r="B23" s="3" t="n">
        <v>-5</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0</v>
      </c>
      <c r="D27" s="3" t="n">
        <v>-5</v>
      </c>
      <c r="E27" s="3" t="n">
        <v>-4</v>
      </c>
      <c r="F27" s="3" t="n">
        <v>2</v>
      </c>
      <c r="G27" s="3" t="n">
        <v>2</v>
      </c>
      <c r="H27" s="3" t="n">
        <v>2</v>
      </c>
      <c r="I27" s="3" t="n">
        <v>2</v>
      </c>
      <c r="J27" s="3" t="n">
        <v>2</v>
      </c>
      <c r="K27" s="3" t="n">
        <v>2</v>
      </c>
      <c r="L27" s="3" t="n">
        <v>2</v>
      </c>
    </row>
    <row r="28" customFormat="false" ht="15" hidden="false" customHeight="false" outlineLevel="0" collapsed="false">
      <c r="A28" s="0" t="s">
        <v>100</v>
      </c>
      <c r="C28" s="3" t="n">
        <v>50</v>
      </c>
      <c r="D28" s="3" t="n">
        <v>47.5</v>
      </c>
      <c r="E28" s="3" t="n">
        <v>46</v>
      </c>
      <c r="F28" s="3" t="n">
        <v>46</v>
      </c>
      <c r="G28" s="3" t="n">
        <v>46</v>
      </c>
      <c r="H28" s="3" t="n">
        <v>46</v>
      </c>
      <c r="I28" s="3" t="n">
        <v>46</v>
      </c>
      <c r="J28" s="3" t="n">
        <v>46</v>
      </c>
      <c r="K28" s="3" t="n">
        <v>46</v>
      </c>
      <c r="L28" s="3" t="n">
        <v>46</v>
      </c>
    </row>
    <row r="29" customFormat="false" ht="15" hidden="false" customHeight="false" outlineLevel="0" collapsed="false">
      <c r="A29" s="0" t="s">
        <v>101</v>
      </c>
      <c r="C29" s="3" t="n">
        <v>1.15</v>
      </c>
      <c r="D29" s="3" t="n">
        <v>1.15</v>
      </c>
      <c r="E29" s="3" t="n">
        <v>1.15</v>
      </c>
      <c r="F29" s="3" t="n">
        <v>1.15</v>
      </c>
      <c r="G29" s="3" t="n">
        <v>1.15</v>
      </c>
      <c r="H29" s="3" t="n">
        <v>1.15</v>
      </c>
      <c r="I29" s="3" t="n">
        <v>1.15</v>
      </c>
      <c r="J29" s="3" t="n">
        <v>1.15</v>
      </c>
      <c r="K29" s="3" t="n">
        <v>1.15</v>
      </c>
      <c r="L29" s="3" t="n">
        <v>1.15</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17</v>
      </c>
      <c r="D31" s="3" t="n">
        <v>18</v>
      </c>
      <c r="E31" s="3" t="n">
        <v>18.5</v>
      </c>
      <c r="F31" s="3" t="n">
        <v>18.5</v>
      </c>
      <c r="G31" s="3" t="n">
        <v>18.5</v>
      </c>
      <c r="H31" s="3" t="n">
        <v>18.5</v>
      </c>
      <c r="I31" s="3" t="n">
        <v>18.5</v>
      </c>
      <c r="J31" s="3" t="n">
        <v>18.5</v>
      </c>
      <c r="K31" s="3" t="n">
        <v>18.5</v>
      </c>
      <c r="L31" s="3" t="n">
        <v>18.5</v>
      </c>
    </row>
    <row r="32" customFormat="false" ht="15" hidden="false" customHeight="false" outlineLevel="0" collapsed="false">
      <c r="A32" s="0" t="s">
        <v>104</v>
      </c>
      <c r="C32" s="3" t="n">
        <v>26.5</v>
      </c>
      <c r="D32" s="3" t="n">
        <v>25.5</v>
      </c>
      <c r="E32" s="3" t="n">
        <v>24</v>
      </c>
      <c r="F32" s="3" t="n">
        <v>22</v>
      </c>
      <c r="G32" s="3" t="n">
        <v>20.5</v>
      </c>
      <c r="H32" s="3" t="n">
        <v>20</v>
      </c>
      <c r="I32" s="3" t="n">
        <v>20</v>
      </c>
      <c r="J32" s="3" t="n">
        <v>20</v>
      </c>
      <c r="K32" s="3" t="n">
        <v>20</v>
      </c>
      <c r="L32" s="3" t="n">
        <v>20</v>
      </c>
    </row>
    <row r="33" customFormat="false" ht="15" hidden="false" customHeight="false" outlineLevel="0" collapsed="false">
      <c r="A33" s="0" t="s">
        <v>105</v>
      </c>
      <c r="C33" s="3" t="n">
        <v>31</v>
      </c>
      <c r="D33" s="3" t="n">
        <v>31</v>
      </c>
      <c r="E33" s="3" t="n">
        <v>31</v>
      </c>
      <c r="F33" s="3" t="n">
        <v>31</v>
      </c>
      <c r="G33" s="3" t="n">
        <v>31</v>
      </c>
      <c r="H33" s="3" t="n">
        <v>31</v>
      </c>
      <c r="I33" s="3" t="n">
        <v>31</v>
      </c>
      <c r="J33" s="3" t="n">
        <v>31</v>
      </c>
      <c r="K33" s="3" t="n">
        <v>31</v>
      </c>
      <c r="L33" s="3" t="n">
        <v>31</v>
      </c>
    </row>
    <row r="34" customFormat="false" ht="15" hidden="false" customHeight="false" outlineLevel="0" collapsed="false">
      <c r="A34" s="0" t="s">
        <v>106</v>
      </c>
      <c r="B34" s="3" t="n">
        <v>9.5</v>
      </c>
    </row>
    <row r="35" customFormat="false" ht="15" hidden="false" customHeight="false" outlineLevel="0" collapsed="false">
      <c r="A35" s="0" t="s">
        <v>107</v>
      </c>
      <c r="B35" s="3" t="n">
        <v>2</v>
      </c>
    </row>
    <row r="36" customFormat="false" ht="15" hidden="false" customHeight="false" outlineLevel="0" collapsed="false">
      <c r="A36" s="0" t="s">
        <v>108</v>
      </c>
      <c r="B36" s="3" t="n">
        <v>10</v>
      </c>
    </row>
    <row r="37" customFormat="false" ht="15" hidden="false" customHeight="false" outlineLevel="0" collapsed="false">
      <c r="A37" s="0" t="s">
        <v>109</v>
      </c>
      <c r="B37" s="3" t="n">
        <v>-5</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3</v>
      </c>
      <c r="D41" s="3" t="n">
        <v>0</v>
      </c>
      <c r="E41" s="3" t="n">
        <v>1</v>
      </c>
      <c r="F41" s="3" t="n">
        <v>3</v>
      </c>
      <c r="G41" s="3" t="n">
        <v>3</v>
      </c>
      <c r="H41" s="3" t="n">
        <v>2.5</v>
      </c>
      <c r="I41" s="3" t="n">
        <v>2.5</v>
      </c>
      <c r="J41" s="3" t="n">
        <v>2.5</v>
      </c>
      <c r="K41" s="3" t="n">
        <v>2.5</v>
      </c>
      <c r="L41" s="3" t="n">
        <v>2.5</v>
      </c>
    </row>
    <row r="42" customFormat="false" ht="15" hidden="false" customHeight="false" outlineLevel="0" collapsed="false">
      <c r="A42" s="0" t="s">
        <v>100</v>
      </c>
      <c r="C42" s="3" t="n">
        <v>52</v>
      </c>
      <c r="D42" s="3" t="n">
        <v>51</v>
      </c>
      <c r="E42" s="3" t="n">
        <v>51</v>
      </c>
      <c r="F42" s="3" t="n">
        <v>52</v>
      </c>
      <c r="G42" s="3" t="n">
        <v>52</v>
      </c>
      <c r="H42" s="3" t="n">
        <v>52</v>
      </c>
      <c r="I42" s="3" t="n">
        <v>52</v>
      </c>
      <c r="J42" s="3" t="n">
        <v>52</v>
      </c>
      <c r="K42" s="3" t="n">
        <v>52</v>
      </c>
      <c r="L42" s="3" t="n">
        <v>52</v>
      </c>
    </row>
    <row r="43" customFormat="false" ht="15" hidden="false" customHeight="false" outlineLevel="0" collapsed="false">
      <c r="A43" s="0" t="s">
        <v>101</v>
      </c>
      <c r="C43" s="3" t="n">
        <v>1.15</v>
      </c>
      <c r="D43" s="3" t="n">
        <v>1.15</v>
      </c>
      <c r="E43" s="3" t="n">
        <v>1.15</v>
      </c>
      <c r="F43" s="3" t="n">
        <v>1.15</v>
      </c>
      <c r="G43" s="3" t="n">
        <v>1.15</v>
      </c>
      <c r="H43" s="3" t="n">
        <v>1.15</v>
      </c>
      <c r="I43" s="3" t="n">
        <v>1.15</v>
      </c>
      <c r="J43" s="3" t="n">
        <v>1.15</v>
      </c>
      <c r="K43" s="3" t="n">
        <v>1.15</v>
      </c>
      <c r="L43" s="3" t="n">
        <v>1.15</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17</v>
      </c>
      <c r="D45" s="3" t="n">
        <v>17.5</v>
      </c>
      <c r="E45" s="3" t="n">
        <v>18</v>
      </c>
      <c r="F45" s="3" t="n">
        <v>18</v>
      </c>
      <c r="G45" s="3" t="n">
        <v>18</v>
      </c>
      <c r="H45" s="3" t="n">
        <v>18</v>
      </c>
      <c r="I45" s="3" t="n">
        <v>18</v>
      </c>
      <c r="J45" s="3" t="n">
        <v>18</v>
      </c>
      <c r="K45" s="3" t="n">
        <v>18</v>
      </c>
      <c r="L45" s="3" t="n">
        <v>18</v>
      </c>
    </row>
    <row r="46" customFormat="false" ht="15" hidden="false" customHeight="false" outlineLevel="0" collapsed="false">
      <c r="A46" s="0" t="s">
        <v>104</v>
      </c>
      <c r="C46" s="3" t="n">
        <v>26</v>
      </c>
      <c r="D46" s="3" t="n">
        <v>24</v>
      </c>
      <c r="E46" s="3" t="n">
        <v>21.5</v>
      </c>
      <c r="F46" s="3" t="n">
        <v>19.5</v>
      </c>
      <c r="G46" s="3" t="n">
        <v>18.5</v>
      </c>
      <c r="H46" s="3" t="n">
        <v>18</v>
      </c>
      <c r="I46" s="3" t="n">
        <v>18</v>
      </c>
      <c r="J46" s="3" t="n">
        <v>18</v>
      </c>
      <c r="K46" s="3" t="n">
        <v>18</v>
      </c>
      <c r="L46" s="3" t="n">
        <v>18</v>
      </c>
    </row>
    <row r="47" customFormat="false" ht="15" hidden="false" customHeight="false" outlineLevel="0" collapsed="false">
      <c r="A47" s="0" t="s">
        <v>105</v>
      </c>
      <c r="C47" s="3" t="n">
        <v>30.5</v>
      </c>
      <c r="D47" s="3" t="n">
        <v>30.5</v>
      </c>
      <c r="E47" s="3" t="n">
        <v>30.5</v>
      </c>
      <c r="F47" s="3" t="n">
        <v>30.5</v>
      </c>
      <c r="G47" s="3" t="n">
        <v>30.5</v>
      </c>
      <c r="H47" s="3" t="n">
        <v>30.5</v>
      </c>
      <c r="I47" s="3" t="n">
        <v>30.5</v>
      </c>
      <c r="J47" s="3" t="n">
        <v>30.5</v>
      </c>
      <c r="K47" s="3" t="n">
        <v>30.5</v>
      </c>
      <c r="L47" s="3" t="n">
        <v>30.5</v>
      </c>
    </row>
    <row r="48" customFormat="false" ht="15" hidden="false" customHeight="false" outlineLevel="0" collapsed="false">
      <c r="A48" s="0" t="s">
        <v>106</v>
      </c>
      <c r="B48" s="3" t="n">
        <v>9.5</v>
      </c>
    </row>
    <row r="49" customFormat="false" ht="15" hidden="false" customHeight="false" outlineLevel="0" collapsed="false">
      <c r="A49" s="0" t="s">
        <v>107</v>
      </c>
      <c r="B49" s="3" t="n">
        <v>2</v>
      </c>
    </row>
    <row r="50" customFormat="false" ht="15" hidden="false" customHeight="false" outlineLevel="0" collapsed="false">
      <c r="A50" s="0" t="s">
        <v>108</v>
      </c>
      <c r="B50" s="3" t="n">
        <v>10</v>
      </c>
    </row>
    <row r="51" customFormat="false" ht="15" hidden="false" customHeight="false" outlineLevel="0" collapsed="false">
      <c r="A51" s="0" t="s">
        <v>109</v>
      </c>
      <c r="B51" s="3" t="n">
        <v>-5</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-3</v>
      </c>
      <c r="D5" s="4" t="n">
        <f aca="false">Assumptions!D13</f>
        <v>-12</v>
      </c>
      <c r="E5" s="4" t="n">
        <f aca="false">Assumptions!E13</f>
        <v>-8</v>
      </c>
      <c r="F5" s="4" t="n">
        <f aca="false">Assumptions!F13</f>
        <v>1</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16966</v>
      </c>
      <c r="C6" s="0" t="n">
        <f aca="false">B6*(1+C5/100)</f>
        <v>16457.02</v>
      </c>
      <c r="D6" s="0" t="n">
        <f aca="false">C6*(1+D5/100)</f>
        <v>14482.1776</v>
      </c>
      <c r="E6" s="0" t="n">
        <f aca="false">D6*(1+E5/100)</f>
        <v>13323.603392</v>
      </c>
      <c r="F6" s="0" t="n">
        <f aca="false">E6*(1+F5/100)</f>
        <v>13456.83942592</v>
      </c>
      <c r="G6" s="0" t="n">
        <f aca="false">F6*(1+G5/100)</f>
        <v>13658.6920173088</v>
      </c>
      <c r="H6" s="0" t="n">
        <f aca="false">G6*(1+H5/100)</f>
        <v>13863.5723975684</v>
      </c>
      <c r="I6" s="0" t="n">
        <f aca="false">H6*(1+I5/100)</f>
        <v>14071.525983532</v>
      </c>
      <c r="J6" s="0" t="n">
        <f aca="false">I6*(1+J5/100)</f>
        <v>14282.5988732849</v>
      </c>
      <c r="K6" s="0" t="n">
        <f aca="false">J6*(1+K5/100)</f>
        <v>14496.8378563842</v>
      </c>
      <c r="L6" s="0" t="n">
        <f aca="false">K6*(1+L5/100)</f>
        <v>14714.29042423</v>
      </c>
    </row>
    <row r="7" customFormat="false" ht="15" hidden="false" customHeight="false" outlineLevel="0" collapsed="false">
      <c r="A7" s="0" t="s">
        <v>100</v>
      </c>
      <c r="C7" s="4" t="n">
        <f aca="false">Assumptions!C14</f>
        <v>47</v>
      </c>
      <c r="D7" s="4" t="n">
        <f aca="false">Assumptions!D14</f>
        <v>40</v>
      </c>
      <c r="E7" s="4" t="n">
        <f aca="false">Assumptions!E14</f>
        <v>36</v>
      </c>
      <c r="F7" s="4" t="n">
        <f aca="false">Assumptions!F14</f>
        <v>36</v>
      </c>
      <c r="G7" s="4" t="n">
        <f aca="false">Assumptions!G14</f>
        <v>36</v>
      </c>
      <c r="H7" s="4" t="n">
        <f aca="false">Assumptions!H14</f>
        <v>36</v>
      </c>
      <c r="I7" s="4" t="n">
        <f aca="false">Assumptions!I14</f>
        <v>36</v>
      </c>
      <c r="J7" s="4" t="n">
        <f aca="false">Assumptions!J14</f>
        <v>36</v>
      </c>
      <c r="K7" s="4" t="n">
        <f aca="false">Assumptions!K14</f>
        <v>36</v>
      </c>
      <c r="L7" s="4" t="n">
        <f aca="false">Assumptions!L14</f>
        <v>36</v>
      </c>
    </row>
    <row r="8" customFormat="false" ht="15" hidden="false" customHeight="false" outlineLevel="0" collapsed="false">
      <c r="A8" s="0" t="s">
        <v>44</v>
      </c>
      <c r="C8" s="0" t="n">
        <f aca="false">C6*C7/100</f>
        <v>7734.7994</v>
      </c>
      <c r="D8" s="0" t="n">
        <f aca="false">D6*D7/100</f>
        <v>5792.87104</v>
      </c>
      <c r="E8" s="0" t="n">
        <f aca="false">E6*E7/100</f>
        <v>4796.49722112</v>
      </c>
      <c r="F8" s="0" t="n">
        <f aca="false">F6*F7/100</f>
        <v>4844.4621933312</v>
      </c>
      <c r="G8" s="0" t="n">
        <f aca="false">G6*G7/100</f>
        <v>4917.12912623117</v>
      </c>
      <c r="H8" s="0" t="n">
        <f aca="false">H6*H7/100</f>
        <v>4990.88606312464</v>
      </c>
      <c r="I8" s="0" t="n">
        <f aca="false">I6*I7/100</f>
        <v>5065.7493540715</v>
      </c>
      <c r="J8" s="0" t="n">
        <f aca="false">J6*J7/100</f>
        <v>5141.73559438258</v>
      </c>
      <c r="K8" s="0" t="n">
        <f aca="false">K6*K7/100</f>
        <v>5218.86162829831</v>
      </c>
      <c r="L8" s="0" t="n">
        <f aca="false">L6*L7/100</f>
        <v>5297.14455272279</v>
      </c>
    </row>
    <row r="9" customFormat="false" ht="15" hidden="false" customHeight="false" outlineLevel="0" collapsed="false">
      <c r="A9" s="0" t="s">
        <v>101</v>
      </c>
      <c r="C9" s="4" t="n">
        <f aca="false">Assumptions!C15</f>
        <v>1.15</v>
      </c>
      <c r="D9" s="4" t="n">
        <f aca="false">Assumptions!D15</f>
        <v>1.15</v>
      </c>
      <c r="E9" s="4" t="n">
        <f aca="false">Assumptions!E15</f>
        <v>1.15</v>
      </c>
      <c r="F9" s="4" t="n">
        <f aca="false">Assumptions!F15</f>
        <v>1.15</v>
      </c>
      <c r="G9" s="4" t="n">
        <f aca="false">Assumptions!G15</f>
        <v>1.15</v>
      </c>
      <c r="H9" s="4" t="n">
        <f aca="false">Assumptions!H15</f>
        <v>1.15</v>
      </c>
      <c r="I9" s="4" t="n">
        <f aca="false">Assumptions!I15</f>
        <v>1.15</v>
      </c>
      <c r="J9" s="4" t="n">
        <f aca="false">Assumptions!J15</f>
        <v>1.15</v>
      </c>
      <c r="K9" s="4" t="n">
        <f aca="false">Assumptions!K15</f>
        <v>1.15</v>
      </c>
      <c r="L9" s="4" t="n">
        <f aca="false">Assumptions!L15</f>
        <v>1.15</v>
      </c>
    </row>
    <row r="10" customFormat="false" ht="15" hidden="false" customHeight="false" outlineLevel="0" collapsed="false">
      <c r="A10" s="0" t="s">
        <v>116</v>
      </c>
      <c r="C10" s="0" t="n">
        <f aca="false">-C6*C9/100</f>
        <v>-189.25573</v>
      </c>
      <c r="D10" s="0" t="n">
        <f aca="false">-D6*D9/100</f>
        <v>-166.5450424</v>
      </c>
      <c r="E10" s="0" t="n">
        <f aca="false">-E6*E9/100</f>
        <v>-153.221439008</v>
      </c>
      <c r="F10" s="0" t="n">
        <f aca="false">-F6*F9/100</f>
        <v>-154.75365339808</v>
      </c>
      <c r="G10" s="0" t="n">
        <f aca="false">-G6*G9/100</f>
        <v>-157.074958199051</v>
      </c>
      <c r="H10" s="0" t="n">
        <f aca="false">-H6*H9/100</f>
        <v>-159.431082572037</v>
      </c>
      <c r="I10" s="0" t="n">
        <f aca="false">-I6*I9/100</f>
        <v>-161.822548810618</v>
      </c>
      <c r="J10" s="0" t="n">
        <f aca="false">-J6*J9/100</f>
        <v>-164.249887042777</v>
      </c>
      <c r="K10" s="0" t="n">
        <f aca="false">-K6*K9/100</f>
        <v>-166.713635348418</v>
      </c>
      <c r="L10" s="0" t="n">
        <f aca="false">-L6*L9/100</f>
        <v>-169.214339878645</v>
      </c>
    </row>
    <row r="11" customFormat="false" ht="15" hidden="false" customHeight="false" outlineLevel="0" collapsed="false">
      <c r="A11" s="0" t="s">
        <v>117</v>
      </c>
      <c r="C11" s="0" t="n">
        <f aca="false">C8+C10+C24</f>
        <v>7545.54367</v>
      </c>
      <c r="D11" s="0" t="n">
        <f aca="false">D8+D10+D24</f>
        <v>5626.3259976</v>
      </c>
      <c r="E11" s="0" t="n">
        <f aca="false">E8+E10+E24</f>
        <v>4643.275782112</v>
      </c>
      <c r="F11" s="0" t="n">
        <f aca="false">F8+F10+F24</f>
        <v>4689.70853993312</v>
      </c>
      <c r="G11" s="0" t="n">
        <f aca="false">G8+G10+G24</f>
        <v>4760.05416803212</v>
      </c>
      <c r="H11" s="0" t="n">
        <f aca="false">H8+H10+H24</f>
        <v>4831.4549805526</v>
      </c>
      <c r="I11" s="0" t="n">
        <f aca="false">I8+I10+I24</f>
        <v>4903.92680526089</v>
      </c>
      <c r="J11" s="0" t="n">
        <f aca="false">J8+J10+J24</f>
        <v>4977.4857073398</v>
      </c>
      <c r="K11" s="0" t="n">
        <f aca="false">K8+K10+K24</f>
        <v>5052.1479929499</v>
      </c>
      <c r="L11" s="0" t="n">
        <f aca="false">L8+L10+L24</f>
        <v>5127.93021284414</v>
      </c>
    </row>
    <row r="12" customFormat="false" ht="15" hidden="false" customHeight="false" outlineLevel="0" collapsed="false">
      <c r="A12" s="0" t="s">
        <v>118</v>
      </c>
      <c r="C12" s="4" t="n">
        <f aca="false">-C6*Assumptions!C17/100</f>
        <v>-2797.6934</v>
      </c>
      <c r="D12" s="4" t="n">
        <f aca="false">-D6*Assumptions!D17/100</f>
        <v>-2751.613744</v>
      </c>
      <c r="E12" s="4" t="n">
        <f aca="false">-E6*Assumptions!E17/100</f>
        <v>-2797.95671232</v>
      </c>
      <c r="F12" s="4" t="n">
        <f aca="false">-F6*Assumptions!F17/100</f>
        <v>-2825.9362794432</v>
      </c>
      <c r="G12" s="4" t="n">
        <f aca="false">-G6*Assumptions!G17/100</f>
        <v>-2868.32532363485</v>
      </c>
      <c r="H12" s="4" t="n">
        <f aca="false">-H6*Assumptions!H17/100</f>
        <v>-2911.35020348937</v>
      </c>
      <c r="I12" s="4" t="n">
        <f aca="false">-I6*Assumptions!I17/100</f>
        <v>-2955.02045654171</v>
      </c>
      <c r="J12" s="4" t="n">
        <f aca="false">-J6*Assumptions!J17/100</f>
        <v>-2999.34576338984</v>
      </c>
      <c r="K12" s="4" t="n">
        <f aca="false">-K6*Assumptions!K17/100</f>
        <v>-3044.33594984068</v>
      </c>
      <c r="L12" s="4" t="n">
        <f aca="false">-L6*Assumptions!L17/100</f>
        <v>-3090.00098908829</v>
      </c>
    </row>
    <row r="13" customFormat="false" ht="15" hidden="false" customHeight="false" outlineLevel="0" collapsed="false">
      <c r="A13" s="0" t="s">
        <v>119</v>
      </c>
      <c r="C13" s="0" t="n">
        <f aca="false">C11+C12</f>
        <v>4747.85027</v>
      </c>
      <c r="D13" s="0" t="n">
        <f aca="false">D11+D12</f>
        <v>2874.7122536</v>
      </c>
      <c r="E13" s="0" t="n">
        <f aca="false">E11+E12</f>
        <v>1845.319069792</v>
      </c>
      <c r="F13" s="0" t="n">
        <f aca="false">F11+F12</f>
        <v>1863.77226048992</v>
      </c>
      <c r="G13" s="0" t="n">
        <f aca="false">G11+G12</f>
        <v>1891.72884439727</v>
      </c>
      <c r="H13" s="0" t="n">
        <f aca="false">H11+H12</f>
        <v>1920.10477706323</v>
      </c>
      <c r="I13" s="0" t="n">
        <f aca="false">I11+I12</f>
        <v>1948.90634871918</v>
      </c>
      <c r="J13" s="0" t="n">
        <f aca="false">J11+J12</f>
        <v>1978.13994394996</v>
      </c>
      <c r="K13" s="0" t="n">
        <f aca="false">K11+K12</f>
        <v>2007.81204310921</v>
      </c>
      <c r="L13" s="0" t="n">
        <f aca="false">L11+L12</f>
        <v>2037.92922375585</v>
      </c>
    </row>
    <row r="14" customFormat="false" ht="15" hidden="false" customHeight="false" outlineLevel="0" collapsed="false">
      <c r="A14" s="0" t="s">
        <v>105</v>
      </c>
      <c r="C14" s="4" t="n">
        <f aca="false">Assumptions!C19</f>
        <v>31</v>
      </c>
      <c r="D14" s="4" t="n">
        <f aca="false">Assumptions!D19</f>
        <v>31</v>
      </c>
      <c r="E14" s="4" t="n">
        <f aca="false">Assumptions!E19</f>
        <v>31</v>
      </c>
      <c r="F14" s="4" t="n">
        <f aca="false">Assumptions!F19</f>
        <v>31</v>
      </c>
      <c r="G14" s="4" t="n">
        <f aca="false">Assumptions!G19</f>
        <v>31</v>
      </c>
      <c r="H14" s="4" t="n">
        <f aca="false">Assumptions!H19</f>
        <v>31</v>
      </c>
      <c r="I14" s="4" t="n">
        <f aca="false">Assumptions!I19</f>
        <v>31</v>
      </c>
      <c r="J14" s="4" t="n">
        <f aca="false">Assumptions!J19</f>
        <v>31</v>
      </c>
      <c r="K14" s="4" t="n">
        <f aca="false">Assumptions!K19</f>
        <v>31</v>
      </c>
      <c r="L14" s="4" t="n">
        <f aca="false">Assumptions!L19</f>
        <v>31</v>
      </c>
    </row>
    <row r="15" customFormat="false" ht="15" hidden="false" customHeight="false" outlineLevel="0" collapsed="false">
      <c r="A15" s="0" t="s">
        <v>120</v>
      </c>
      <c r="C15" s="0" t="n">
        <f aca="false">C13-MAX(0,C13)*C14/100</f>
        <v>3276.0166863</v>
      </c>
      <c r="D15" s="0" t="n">
        <f aca="false">D13-MAX(0,D13)*D14/100</f>
        <v>1983.551454984</v>
      </c>
      <c r="E15" s="0" t="n">
        <f aca="false">E13-MAX(0,E13)*E14/100</f>
        <v>1273.27015815648</v>
      </c>
      <c r="F15" s="0" t="n">
        <f aca="false">F13-MAX(0,F13)*F14/100</f>
        <v>1286.00285973804</v>
      </c>
      <c r="G15" s="0" t="n">
        <f aca="false">G13-MAX(0,G13)*G14/100</f>
        <v>1305.29290263412</v>
      </c>
      <c r="H15" s="0" t="n">
        <f aca="false">H13-MAX(0,H13)*H14/100</f>
        <v>1324.87229617363</v>
      </c>
      <c r="I15" s="0" t="n">
        <f aca="false">I13-MAX(0,I13)*I14/100</f>
        <v>1344.74538061623</v>
      </c>
      <c r="J15" s="0" t="n">
        <f aca="false">J13-MAX(0,J13)*J14/100</f>
        <v>1364.91656132547</v>
      </c>
      <c r="K15" s="0" t="n">
        <f aca="false">K13-MAX(0,K13)*K14/100</f>
        <v>1385.39030974536</v>
      </c>
      <c r="L15" s="0" t="n">
        <f aca="false">L13-MAX(0,L13)*L14/100</f>
        <v>1406.17116439154</v>
      </c>
    </row>
    <row r="16" customFormat="false" ht="15" hidden="false" customHeight="false" outlineLevel="0" collapsed="false">
      <c r="A16" s="0" t="s">
        <v>121</v>
      </c>
      <c r="C16" s="0" t="n">
        <f aca="false">-C12</f>
        <v>2797.6934</v>
      </c>
      <c r="D16" s="0" t="n">
        <f aca="false">-D12</f>
        <v>2751.613744</v>
      </c>
      <c r="E16" s="0" t="n">
        <f aca="false">-E12</f>
        <v>2797.95671232</v>
      </c>
      <c r="F16" s="0" t="n">
        <f aca="false">-F12</f>
        <v>2825.9362794432</v>
      </c>
      <c r="G16" s="0" t="n">
        <f aca="false">-G12</f>
        <v>2868.32532363485</v>
      </c>
      <c r="H16" s="0" t="n">
        <f aca="false">-H12</f>
        <v>2911.35020348937</v>
      </c>
      <c r="I16" s="0" t="n">
        <f aca="false">-I12</f>
        <v>2955.02045654171</v>
      </c>
      <c r="J16" s="0" t="n">
        <f aca="false">-J12</f>
        <v>2999.34576338984</v>
      </c>
      <c r="K16" s="0" t="n">
        <f aca="false">-K12</f>
        <v>3044.33594984068</v>
      </c>
      <c r="L16" s="0" t="n">
        <f aca="false">-L12</f>
        <v>3090.00098908829</v>
      </c>
    </row>
    <row r="17" customFormat="false" ht="15" hidden="false" customHeight="false" outlineLevel="0" collapsed="false">
      <c r="A17" s="0" t="s">
        <v>122</v>
      </c>
      <c r="C17" s="4" t="n">
        <f aca="false">-C6*Assumptions!C18/100</f>
        <v>-4443.3954</v>
      </c>
      <c r="D17" s="4" t="n">
        <f aca="false">-D6*Assumptions!D18/100</f>
        <v>-3910.187952</v>
      </c>
      <c r="E17" s="4" t="n">
        <f aca="false">-E6*Assumptions!E18/100</f>
        <v>-3464.13688192</v>
      </c>
      <c r="F17" s="4" t="n">
        <f aca="false">-F6*Assumptions!F18/100</f>
        <v>-3229.6414622208</v>
      </c>
      <c r="G17" s="4" t="n">
        <f aca="false">-G6*Assumptions!G18/100</f>
        <v>-3004.91224380794</v>
      </c>
      <c r="H17" s="4" t="n">
        <f aca="false">-H6*Assumptions!H18/100</f>
        <v>-3049.98592746505</v>
      </c>
      <c r="I17" s="4" t="n">
        <f aca="false">-I6*Assumptions!I18/100</f>
        <v>-3095.73571637703</v>
      </c>
      <c r="J17" s="4" t="n">
        <f aca="false">-J6*Assumptions!J18/100</f>
        <v>-3142.17175212269</v>
      </c>
      <c r="K17" s="4" t="n">
        <f aca="false">-K6*Assumptions!K18/100</f>
        <v>-3189.30432840453</v>
      </c>
      <c r="L17" s="4" t="n">
        <f aca="false">-L6*Assumptions!L18/100</f>
        <v>-3237.14389333059</v>
      </c>
    </row>
    <row r="18" customFormat="false" ht="15" hidden="false" customHeight="false" outlineLevel="0" collapsed="false">
      <c r="A18" s="0" t="s">
        <v>123</v>
      </c>
      <c r="C18" s="4" t="n">
        <f aca="false">(C6-B6)*Assumptions!$B$23/100</f>
        <v>25.449</v>
      </c>
      <c r="D18" s="4" t="n">
        <f aca="false">(D6-C6)*Assumptions!$B$23/100</f>
        <v>98.74212</v>
      </c>
      <c r="E18" s="4" t="n">
        <f aca="false">(E6-D6)*Assumptions!$B$23/100</f>
        <v>57.9287104</v>
      </c>
      <c r="F18" s="4" t="n">
        <f aca="false">(F6-E6)*Assumptions!$B$23/100</f>
        <v>-6.66180169600002</v>
      </c>
      <c r="G18" s="4" t="n">
        <f aca="false">(G6-F6)*Assumptions!$B$23/100</f>
        <v>-10.0926295694399</v>
      </c>
      <c r="H18" s="4" t="n">
        <f aca="false">(H6-G6)*Assumptions!$B$23/100</f>
        <v>-10.2440190129815</v>
      </c>
      <c r="I18" s="4" t="n">
        <f aca="false">(I6-H6)*Assumptions!$B$23/100</f>
        <v>-10.3976792981763</v>
      </c>
      <c r="J18" s="4" t="n">
        <f aca="false">(J6-I6)*Assumptions!$B$23/100</f>
        <v>-10.5536444876489</v>
      </c>
      <c r="K18" s="4" t="n">
        <f aca="false">(K6-J6)*Assumptions!$B$23/100</f>
        <v>-10.7119491549636</v>
      </c>
      <c r="L18" s="4" t="n">
        <f aca="false">(L6-K6)*Assumptions!$B$23/100</f>
        <v>-10.8726283922881</v>
      </c>
    </row>
    <row r="19" customFormat="false" ht="15" hidden="false" customHeight="false" outlineLevel="0" collapsed="false">
      <c r="A19" s="0" t="s">
        <v>124</v>
      </c>
      <c r="C19" s="0" t="n">
        <f aca="false">C15+C16+C17+C18</f>
        <v>1655.7636863</v>
      </c>
      <c r="D19" s="0" t="n">
        <f aca="false">D15+D16+D17+D18</f>
        <v>923.719366984</v>
      </c>
      <c r="E19" s="0" t="n">
        <f aca="false">E15+E16+E17+E18</f>
        <v>665.01869895648</v>
      </c>
      <c r="F19" s="0" t="n">
        <f aca="false">F15+F16+F17+F18</f>
        <v>875.635875264445</v>
      </c>
      <c r="G19" s="0" t="n">
        <f aca="false">G15+G16+G17+G18</f>
        <v>1158.61335289159</v>
      </c>
      <c r="H19" s="0" t="n">
        <f aca="false">H15+H16+H17+H18</f>
        <v>1175.99255318496</v>
      </c>
      <c r="I19" s="0" t="n">
        <f aca="false">I15+I16+I17+I18</f>
        <v>1193.63244148274</v>
      </c>
      <c r="J19" s="0" t="n">
        <f aca="false">J15+J16+J17+J18</f>
        <v>1211.53692810498</v>
      </c>
      <c r="K19" s="0" t="n">
        <f aca="false">K15+K16+K17+K18</f>
        <v>1229.70998202655</v>
      </c>
      <c r="L19" s="0" t="n">
        <f aca="false">L15+L16+L17+L18</f>
        <v>1248.15563175695</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1512.11295552511</v>
      </c>
      <c r="D21" s="0" t="n">
        <f aca="false">D19*D20</f>
        <v>770.392082720544</v>
      </c>
      <c r="E21" s="0" t="n">
        <f aca="false">E19*E20</f>
        <v>506.514053289668</v>
      </c>
      <c r="F21" s="0" t="n">
        <f aca="false">F19*F20</f>
        <v>609.069805285993</v>
      </c>
      <c r="G21" s="0" t="n">
        <f aca="false">G19*G20</f>
        <v>735.983255121713</v>
      </c>
      <c r="H21" s="0" t="n">
        <f aca="false">H19*H20</f>
        <v>682.212788994099</v>
      </c>
      <c r="I21" s="0" t="n">
        <f aca="false">I19*I20</f>
        <v>632.370758747955</v>
      </c>
      <c r="J21" s="0" t="n">
        <f aca="false">J19*J20</f>
        <v>586.170155369108</v>
      </c>
      <c r="K21" s="0" t="n">
        <f aca="false">K19*K20</f>
        <v>543.344938538489</v>
      </c>
      <c r="L21" s="0" t="n">
        <f aca="false">L19*L20</f>
        <v>503.648504672663</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9.5</v>
      </c>
    </row>
    <row r="28" customFormat="false" ht="15" hidden="false" customHeight="false" outlineLevel="0" collapsed="false">
      <c r="A28" s="0" t="s">
        <v>107</v>
      </c>
      <c r="B28" s="4" t="n">
        <f aca="false">Assumptions!$B$21</f>
        <v>2</v>
      </c>
    </row>
    <row r="29" customFormat="false" ht="15" hidden="false" customHeight="false" outlineLevel="0" collapsed="false">
      <c r="A29" s="0" t="s">
        <v>108</v>
      </c>
      <c r="B29" s="4" t="n">
        <f aca="false">Assumptions!$B$22</f>
        <v>10</v>
      </c>
    </row>
    <row r="30" customFormat="false" ht="15" hidden="false" customHeight="false" outlineLevel="0" collapsed="false">
      <c r="A30" s="0" t="s">
        <v>129</v>
      </c>
      <c r="B30" s="0" t="n">
        <f aca="false">SUM(C21:L21)</f>
        <v>7081.81929826535</v>
      </c>
    </row>
    <row r="31" customFormat="false" ht="15" hidden="false" customHeight="false" outlineLevel="0" collapsed="false">
      <c r="A31" s="0" t="s">
        <v>130</v>
      </c>
      <c r="B31" s="0" t="n">
        <f aca="false">L19</f>
        <v>1248.15563175695</v>
      </c>
    </row>
    <row r="32" customFormat="false" ht="15" hidden="false" customHeight="false" outlineLevel="0" collapsed="false">
      <c r="A32" s="0" t="s">
        <v>131</v>
      </c>
      <c r="B32" s="0" t="n">
        <f aca="false">IF(B27&gt;B28,B31*(1+B28/100)/((B27-B28)/100),B31*B29)</f>
        <v>16974.9165918945</v>
      </c>
    </row>
    <row r="33" customFormat="false" ht="15" hidden="false" customHeight="false" outlineLevel="0" collapsed="false">
      <c r="A33" s="0" t="s">
        <v>132</v>
      </c>
      <c r="B33" s="0" t="n">
        <f aca="false">B31*B29</f>
        <v>12481.5563175695</v>
      </c>
    </row>
    <row r="34" customFormat="false" ht="15" hidden="false" customHeight="false" outlineLevel="0" collapsed="false">
      <c r="A34" s="0" t="s">
        <v>133</v>
      </c>
      <c r="B34" s="0" t="n">
        <f aca="false">MAX(0,MIN(B32,B33))</f>
        <v>12481.5563175695</v>
      </c>
    </row>
    <row r="35" customFormat="false" ht="15" hidden="false" customHeight="false" outlineLevel="0" collapsed="false">
      <c r="A35" s="0" t="s">
        <v>134</v>
      </c>
      <c r="B35" s="0" t="n">
        <f aca="false">B34/(1+B27/100)^L4</f>
        <v>5036.48504672663</v>
      </c>
    </row>
    <row r="36" customFormat="false" ht="15" hidden="false" customHeight="false" outlineLevel="0" collapsed="false">
      <c r="A36" s="0" t="s">
        <v>135</v>
      </c>
      <c r="B36" s="0" t="n">
        <f aca="false">B30+B35</f>
        <v>12118.304344992</v>
      </c>
    </row>
    <row r="37" customFormat="false" ht="15" hidden="false" customHeight="false" outlineLevel="0" collapsed="false">
      <c r="A37" s="0" t="s">
        <v>136</v>
      </c>
      <c r="B37" s="0" t="n">
        <f aca="false">B36+Assumptions!$B$5-Assumptions!$B$4</f>
        <v>11261.304344992</v>
      </c>
    </row>
    <row r="38" customFormat="false" ht="15" hidden="false" customHeight="false" outlineLevel="0" collapsed="false">
      <c r="A38" s="0" t="s">
        <v>137</v>
      </c>
      <c r="B38" s="0" t="n">
        <f aca="false">B37/Assumptions!$B$3*Assumptions!$B$10</f>
        <v>5.13538277696578</v>
      </c>
    </row>
    <row r="39" customFormat="false" ht="15" hidden="false" customHeight="false" outlineLevel="0" collapsed="false">
      <c r="A39" s="0" t="s">
        <v>138</v>
      </c>
      <c r="B39" s="4" t="n">
        <f aca="false">B38/Assumptions!$B$2-1</f>
        <v>-0.69340998346473</v>
      </c>
    </row>
    <row r="41" customFormat="false" ht="15" hidden="false" customHeight="false" outlineLevel="0" collapsed="false">
      <c r="A41" s="0" t="s">
        <v>139</v>
      </c>
      <c r="B41" s="0" t="n">
        <f aca="false">SUMPRODUCT(-C10:L10/(1+$B$27/100)^C4:L4)</f>
        <v>1035.4899189075</v>
      </c>
    </row>
    <row r="42" customFormat="false" ht="15" hidden="false" customHeight="false" outlineLevel="0" collapsed="false">
      <c r="A42" s="0" t="s">
        <v>140</v>
      </c>
      <c r="B42" s="0" t="n">
        <f aca="false">IF(B27&gt;B28,-L10*(1+B28/100)/((B27-B28)/100),-L10*20)/(1+B27/100)^L4</f>
        <v>928.613259674652</v>
      </c>
    </row>
    <row r="43" customFormat="false" ht="15" hidden="false" customHeight="false" outlineLevel="0" collapsed="false">
      <c r="A43" s="0" t="s">
        <v>141</v>
      </c>
      <c r="B43" s="0" t="n">
        <f aca="false">(B37+B41+B42)/Assumptions!$B$3*Assumptions!$B$10</f>
        <v>6.03105359150691</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9793.22111070836</v>
      </c>
    </row>
    <row r="47" customFormat="false" ht="15" hidden="false" customHeight="false" outlineLevel="0" collapsed="false">
      <c r="A47" s="0" t="s">
        <v>143</v>
      </c>
      <c r="B47" s="0" t="n">
        <f aca="false">(SUMPRODUCT(C19:L19/(1+B45/100)^C4:L4)+B46/(1+B45/100)^L4+Assumptions!$B$5-Assumptions!$B$4)/Assumptions!$B$3*Assumptions!$B$10</f>
        <v>3.29575907448428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0</v>
      </c>
      <c r="D5" s="4" t="n">
        <f aca="false">Assumptions!D27</f>
        <v>-5</v>
      </c>
      <c r="E5" s="4" t="n">
        <f aca="false">Assumptions!E27</f>
        <v>-4</v>
      </c>
      <c r="F5" s="4" t="n">
        <f aca="false">Assumptions!F27</f>
        <v>2</v>
      </c>
      <c r="G5" s="4" t="n">
        <f aca="false">Assumptions!G27</f>
        <v>2</v>
      </c>
      <c r="H5" s="4" t="n">
        <f aca="false">Assumptions!H27</f>
        <v>2</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38</v>
      </c>
      <c r="B6" s="3" t="n">
        <v>16966</v>
      </c>
      <c r="C6" s="0" t="n">
        <f aca="false">B6*(1+C5/100)</f>
        <v>16966</v>
      </c>
      <c r="D6" s="0" t="n">
        <f aca="false">C6*(1+D5/100)</f>
        <v>16117.7</v>
      </c>
      <c r="E6" s="0" t="n">
        <f aca="false">D6*(1+E5/100)</f>
        <v>15472.992</v>
      </c>
      <c r="F6" s="0" t="n">
        <f aca="false">E6*(1+F5/100)</f>
        <v>15782.45184</v>
      </c>
      <c r="G6" s="0" t="n">
        <f aca="false">F6*(1+G5/100)</f>
        <v>16098.1008768</v>
      </c>
      <c r="H6" s="0" t="n">
        <f aca="false">G6*(1+H5/100)</f>
        <v>16420.062894336</v>
      </c>
      <c r="I6" s="0" t="n">
        <f aca="false">H6*(1+I5/100)</f>
        <v>16748.4641522227</v>
      </c>
      <c r="J6" s="0" t="n">
        <f aca="false">I6*(1+J5/100)</f>
        <v>17083.4334352672</v>
      </c>
      <c r="K6" s="0" t="n">
        <f aca="false">J6*(1+K5/100)</f>
        <v>17425.1021039725</v>
      </c>
      <c r="L6" s="0" t="n">
        <f aca="false">K6*(1+L5/100)</f>
        <v>17773.604146052</v>
      </c>
    </row>
    <row r="7" customFormat="false" ht="15" hidden="false" customHeight="false" outlineLevel="0" collapsed="false">
      <c r="A7" s="0" t="s">
        <v>100</v>
      </c>
      <c r="C7" s="4" t="n">
        <f aca="false">Assumptions!C28</f>
        <v>50</v>
      </c>
      <c r="D7" s="4" t="n">
        <f aca="false">Assumptions!D28</f>
        <v>47.5</v>
      </c>
      <c r="E7" s="4" t="n">
        <f aca="false">Assumptions!E28</f>
        <v>46</v>
      </c>
      <c r="F7" s="4" t="n">
        <f aca="false">Assumptions!F28</f>
        <v>46</v>
      </c>
      <c r="G7" s="4" t="n">
        <f aca="false">Assumptions!G28</f>
        <v>46</v>
      </c>
      <c r="H7" s="4" t="n">
        <f aca="false">Assumptions!H28</f>
        <v>46</v>
      </c>
      <c r="I7" s="4" t="n">
        <f aca="false">Assumptions!I28</f>
        <v>46</v>
      </c>
      <c r="J7" s="4" t="n">
        <f aca="false">Assumptions!J28</f>
        <v>46</v>
      </c>
      <c r="K7" s="4" t="n">
        <f aca="false">Assumptions!K28</f>
        <v>46</v>
      </c>
      <c r="L7" s="4" t="n">
        <f aca="false">Assumptions!L28</f>
        <v>46</v>
      </c>
    </row>
    <row r="8" customFormat="false" ht="15" hidden="false" customHeight="false" outlineLevel="0" collapsed="false">
      <c r="A8" s="0" t="s">
        <v>44</v>
      </c>
      <c r="C8" s="0" t="n">
        <f aca="false">C6*C7/100</f>
        <v>8483</v>
      </c>
      <c r="D8" s="0" t="n">
        <f aca="false">D6*D7/100</f>
        <v>7655.9075</v>
      </c>
      <c r="E8" s="0" t="n">
        <f aca="false">E6*E7/100</f>
        <v>7117.57632</v>
      </c>
      <c r="F8" s="0" t="n">
        <f aca="false">F6*F7/100</f>
        <v>7259.9278464</v>
      </c>
      <c r="G8" s="0" t="n">
        <f aca="false">G6*G7/100</f>
        <v>7405.126403328</v>
      </c>
      <c r="H8" s="0" t="n">
        <f aca="false">H6*H7/100</f>
        <v>7553.22893139456</v>
      </c>
      <c r="I8" s="0" t="n">
        <f aca="false">I6*I7/100</f>
        <v>7704.29351002245</v>
      </c>
      <c r="J8" s="0" t="n">
        <f aca="false">J6*J7/100</f>
        <v>7858.3793802229</v>
      </c>
      <c r="K8" s="0" t="n">
        <f aca="false">K6*K7/100</f>
        <v>8015.54696782736</v>
      </c>
      <c r="L8" s="0" t="n">
        <f aca="false">L6*L7/100</f>
        <v>8175.85790718391</v>
      </c>
    </row>
    <row r="9" customFormat="false" ht="15" hidden="false" customHeight="false" outlineLevel="0" collapsed="false">
      <c r="A9" s="0" t="s">
        <v>101</v>
      </c>
      <c r="C9" s="4" t="n">
        <f aca="false">Assumptions!C29</f>
        <v>1.15</v>
      </c>
      <c r="D9" s="4" t="n">
        <f aca="false">Assumptions!D29</f>
        <v>1.15</v>
      </c>
      <c r="E9" s="4" t="n">
        <f aca="false">Assumptions!E29</f>
        <v>1.15</v>
      </c>
      <c r="F9" s="4" t="n">
        <f aca="false">Assumptions!F29</f>
        <v>1.15</v>
      </c>
      <c r="G9" s="4" t="n">
        <f aca="false">Assumptions!G29</f>
        <v>1.15</v>
      </c>
      <c r="H9" s="4" t="n">
        <f aca="false">Assumptions!H29</f>
        <v>1.15</v>
      </c>
      <c r="I9" s="4" t="n">
        <f aca="false">Assumptions!I29</f>
        <v>1.15</v>
      </c>
      <c r="J9" s="4" t="n">
        <f aca="false">Assumptions!J29</f>
        <v>1.15</v>
      </c>
      <c r="K9" s="4" t="n">
        <f aca="false">Assumptions!K29</f>
        <v>1.15</v>
      </c>
      <c r="L9" s="4" t="n">
        <f aca="false">Assumptions!L29</f>
        <v>1.15</v>
      </c>
    </row>
    <row r="10" customFormat="false" ht="15" hidden="false" customHeight="false" outlineLevel="0" collapsed="false">
      <c r="A10" s="0" t="s">
        <v>116</v>
      </c>
      <c r="C10" s="0" t="n">
        <f aca="false">-C6*C9/100</f>
        <v>-195.109</v>
      </c>
      <c r="D10" s="0" t="n">
        <f aca="false">-D6*D9/100</f>
        <v>-185.35355</v>
      </c>
      <c r="E10" s="0" t="n">
        <f aca="false">-E6*E9/100</f>
        <v>-177.939408</v>
      </c>
      <c r="F10" s="0" t="n">
        <f aca="false">-F6*F9/100</f>
        <v>-181.49819616</v>
      </c>
      <c r="G10" s="0" t="n">
        <f aca="false">-G6*G9/100</f>
        <v>-185.1281600832</v>
      </c>
      <c r="H10" s="0" t="n">
        <f aca="false">-H6*H9/100</f>
        <v>-188.830723284864</v>
      </c>
      <c r="I10" s="0" t="n">
        <f aca="false">-I6*I9/100</f>
        <v>-192.607337750561</v>
      </c>
      <c r="J10" s="0" t="n">
        <f aca="false">-J6*J9/100</f>
        <v>-196.459484505572</v>
      </c>
      <c r="K10" s="0" t="n">
        <f aca="false">-K6*K9/100</f>
        <v>-200.388674195684</v>
      </c>
      <c r="L10" s="0" t="n">
        <f aca="false">-L6*L9/100</f>
        <v>-204.396447679598</v>
      </c>
    </row>
    <row r="11" customFormat="false" ht="15" hidden="false" customHeight="false" outlineLevel="0" collapsed="false">
      <c r="A11" s="0" t="s">
        <v>117</v>
      </c>
      <c r="C11" s="0" t="n">
        <f aca="false">C8+C10+C24</f>
        <v>8287.891</v>
      </c>
      <c r="D11" s="0" t="n">
        <f aca="false">D8+D10+D24</f>
        <v>7470.55395</v>
      </c>
      <c r="E11" s="0" t="n">
        <f aca="false">E8+E10+E24</f>
        <v>6939.636912</v>
      </c>
      <c r="F11" s="0" t="n">
        <f aca="false">F8+F10+F24</f>
        <v>7078.42965024</v>
      </c>
      <c r="G11" s="0" t="n">
        <f aca="false">G8+G10+G24</f>
        <v>7219.9982432448</v>
      </c>
      <c r="H11" s="0" t="n">
        <f aca="false">H8+H10+H24</f>
        <v>7364.3982081097</v>
      </c>
      <c r="I11" s="0" t="n">
        <f aca="false">I8+I10+I24</f>
        <v>7511.68617227189</v>
      </c>
      <c r="J11" s="0" t="n">
        <f aca="false">J8+J10+J24</f>
        <v>7661.91989571733</v>
      </c>
      <c r="K11" s="0" t="n">
        <f aca="false">K8+K10+K24</f>
        <v>7815.15829363167</v>
      </c>
      <c r="L11" s="0" t="n">
        <f aca="false">L8+L10+L24</f>
        <v>7971.46145950431</v>
      </c>
    </row>
    <row r="12" customFormat="false" ht="15" hidden="false" customHeight="false" outlineLevel="0" collapsed="false">
      <c r="A12" s="0" t="s">
        <v>118</v>
      </c>
      <c r="C12" s="4" t="n">
        <f aca="false">-C6*Assumptions!C31/100</f>
        <v>-2884.22</v>
      </c>
      <c r="D12" s="4" t="n">
        <f aca="false">-D6*Assumptions!D31/100</f>
        <v>-2901.186</v>
      </c>
      <c r="E12" s="4" t="n">
        <f aca="false">-E6*Assumptions!E31/100</f>
        <v>-2862.50352</v>
      </c>
      <c r="F12" s="4" t="n">
        <f aca="false">-F6*Assumptions!F31/100</f>
        <v>-2919.7535904</v>
      </c>
      <c r="G12" s="4" t="n">
        <f aca="false">-G6*Assumptions!G31/100</f>
        <v>-2978.148662208</v>
      </c>
      <c r="H12" s="4" t="n">
        <f aca="false">-H6*Assumptions!H31/100</f>
        <v>-3037.71163545216</v>
      </c>
      <c r="I12" s="4" t="n">
        <f aca="false">-I6*Assumptions!I31/100</f>
        <v>-3098.4658681612</v>
      </c>
      <c r="J12" s="4" t="n">
        <f aca="false">-J6*Assumptions!J31/100</f>
        <v>-3160.43518552443</v>
      </c>
      <c r="K12" s="4" t="n">
        <f aca="false">-K6*Assumptions!K31/100</f>
        <v>-3223.64388923492</v>
      </c>
      <c r="L12" s="4" t="n">
        <f aca="false">-L6*Assumptions!L31/100</f>
        <v>-3288.11676701961</v>
      </c>
    </row>
    <row r="13" customFormat="false" ht="15" hidden="false" customHeight="false" outlineLevel="0" collapsed="false">
      <c r="A13" s="0" t="s">
        <v>119</v>
      </c>
      <c r="C13" s="0" t="n">
        <f aca="false">C11+C12</f>
        <v>5403.671</v>
      </c>
      <c r="D13" s="0" t="n">
        <f aca="false">D11+D12</f>
        <v>4569.36795</v>
      </c>
      <c r="E13" s="0" t="n">
        <f aca="false">E11+E12</f>
        <v>4077.133392</v>
      </c>
      <c r="F13" s="0" t="n">
        <f aca="false">F11+F12</f>
        <v>4158.67605984</v>
      </c>
      <c r="G13" s="0" t="n">
        <f aca="false">G11+G12</f>
        <v>4241.8495810368</v>
      </c>
      <c r="H13" s="0" t="n">
        <f aca="false">H11+H12</f>
        <v>4326.68657265754</v>
      </c>
      <c r="I13" s="0" t="n">
        <f aca="false">I11+I12</f>
        <v>4413.22030411069</v>
      </c>
      <c r="J13" s="0" t="n">
        <f aca="false">J11+J12</f>
        <v>4501.4847101929</v>
      </c>
      <c r="K13" s="0" t="n">
        <f aca="false">K11+K12</f>
        <v>4591.51440439676</v>
      </c>
      <c r="L13" s="0" t="n">
        <f aca="false">L11+L12</f>
        <v>4683.34469248469</v>
      </c>
    </row>
    <row r="14" customFormat="false" ht="15" hidden="false" customHeight="false" outlineLevel="0" collapsed="false">
      <c r="A14" s="0" t="s">
        <v>105</v>
      </c>
      <c r="C14" s="4" t="n">
        <f aca="false">Assumptions!C33</f>
        <v>31</v>
      </c>
      <c r="D14" s="4" t="n">
        <f aca="false">Assumptions!D33</f>
        <v>31</v>
      </c>
      <c r="E14" s="4" t="n">
        <f aca="false">Assumptions!E33</f>
        <v>31</v>
      </c>
      <c r="F14" s="4" t="n">
        <f aca="false">Assumptions!F33</f>
        <v>31</v>
      </c>
      <c r="G14" s="4" t="n">
        <f aca="false">Assumptions!G33</f>
        <v>31</v>
      </c>
      <c r="H14" s="4" t="n">
        <f aca="false">Assumptions!H33</f>
        <v>31</v>
      </c>
      <c r="I14" s="4" t="n">
        <f aca="false">Assumptions!I33</f>
        <v>31</v>
      </c>
      <c r="J14" s="4" t="n">
        <f aca="false">Assumptions!J33</f>
        <v>31</v>
      </c>
      <c r="K14" s="4" t="n">
        <f aca="false">Assumptions!K33</f>
        <v>31</v>
      </c>
      <c r="L14" s="4" t="n">
        <f aca="false">Assumptions!L33</f>
        <v>31</v>
      </c>
    </row>
    <row r="15" customFormat="false" ht="15" hidden="false" customHeight="false" outlineLevel="0" collapsed="false">
      <c r="A15" s="0" t="s">
        <v>120</v>
      </c>
      <c r="C15" s="0" t="n">
        <f aca="false">C13-MAX(0,C13)*C14/100</f>
        <v>3728.53299</v>
      </c>
      <c r="D15" s="0" t="n">
        <f aca="false">D13-MAX(0,D13)*D14/100</f>
        <v>3152.8638855</v>
      </c>
      <c r="E15" s="0" t="n">
        <f aca="false">E13-MAX(0,E13)*E14/100</f>
        <v>2813.22204048</v>
      </c>
      <c r="F15" s="0" t="n">
        <f aca="false">F13-MAX(0,F13)*F14/100</f>
        <v>2869.4864812896</v>
      </c>
      <c r="G15" s="0" t="n">
        <f aca="false">G13-MAX(0,G13)*G14/100</f>
        <v>2926.87621091539</v>
      </c>
      <c r="H15" s="0" t="n">
        <f aca="false">H13-MAX(0,H13)*H14/100</f>
        <v>2985.4137351337</v>
      </c>
      <c r="I15" s="0" t="n">
        <f aca="false">I13-MAX(0,I13)*I14/100</f>
        <v>3045.12200983637</v>
      </c>
      <c r="J15" s="0" t="n">
        <f aca="false">J13-MAX(0,J13)*J14/100</f>
        <v>3106.0244500331</v>
      </c>
      <c r="K15" s="0" t="n">
        <f aca="false">K13-MAX(0,K13)*K14/100</f>
        <v>3168.14493903376</v>
      </c>
      <c r="L15" s="0" t="n">
        <f aca="false">L13-MAX(0,L13)*L14/100</f>
        <v>3231.50783781444</v>
      </c>
    </row>
    <row r="16" customFormat="false" ht="15" hidden="false" customHeight="false" outlineLevel="0" collapsed="false">
      <c r="A16" s="0" t="s">
        <v>121</v>
      </c>
      <c r="C16" s="0" t="n">
        <f aca="false">-C12</f>
        <v>2884.22</v>
      </c>
      <c r="D16" s="0" t="n">
        <f aca="false">-D12</f>
        <v>2901.186</v>
      </c>
      <c r="E16" s="0" t="n">
        <f aca="false">-E12</f>
        <v>2862.50352</v>
      </c>
      <c r="F16" s="0" t="n">
        <f aca="false">-F12</f>
        <v>2919.7535904</v>
      </c>
      <c r="G16" s="0" t="n">
        <f aca="false">-G12</f>
        <v>2978.148662208</v>
      </c>
      <c r="H16" s="0" t="n">
        <f aca="false">-H12</f>
        <v>3037.71163545216</v>
      </c>
      <c r="I16" s="0" t="n">
        <f aca="false">-I12</f>
        <v>3098.4658681612</v>
      </c>
      <c r="J16" s="0" t="n">
        <f aca="false">-J12</f>
        <v>3160.43518552443</v>
      </c>
      <c r="K16" s="0" t="n">
        <f aca="false">-K12</f>
        <v>3223.64388923492</v>
      </c>
      <c r="L16" s="0" t="n">
        <f aca="false">-L12</f>
        <v>3288.11676701961</v>
      </c>
    </row>
    <row r="17" customFormat="false" ht="15" hidden="false" customHeight="false" outlineLevel="0" collapsed="false">
      <c r="A17" s="0" t="s">
        <v>122</v>
      </c>
      <c r="C17" s="4" t="n">
        <f aca="false">-C6*Assumptions!C32/100</f>
        <v>-4495.99</v>
      </c>
      <c r="D17" s="4" t="n">
        <f aca="false">-D6*Assumptions!D32/100</f>
        <v>-4110.0135</v>
      </c>
      <c r="E17" s="4" t="n">
        <f aca="false">-E6*Assumptions!E32/100</f>
        <v>-3713.51808</v>
      </c>
      <c r="F17" s="4" t="n">
        <f aca="false">-F6*Assumptions!F32/100</f>
        <v>-3472.1394048</v>
      </c>
      <c r="G17" s="4" t="n">
        <f aca="false">-G6*Assumptions!G32/100</f>
        <v>-3300.110679744</v>
      </c>
      <c r="H17" s="4" t="n">
        <f aca="false">-H6*Assumptions!H32/100</f>
        <v>-3284.0125788672</v>
      </c>
      <c r="I17" s="4" t="n">
        <f aca="false">-I6*Assumptions!I32/100</f>
        <v>-3349.69283044454</v>
      </c>
      <c r="J17" s="4" t="n">
        <f aca="false">-J6*Assumptions!J32/100</f>
        <v>-3416.68668705343</v>
      </c>
      <c r="K17" s="4" t="n">
        <f aca="false">-K6*Assumptions!K32/100</f>
        <v>-3485.0204207945</v>
      </c>
      <c r="L17" s="4" t="n">
        <f aca="false">-L6*Assumptions!L32/100</f>
        <v>-3554.72082921039</v>
      </c>
    </row>
    <row r="18" customFormat="false" ht="15" hidden="false" customHeight="false" outlineLevel="0" collapsed="false">
      <c r="A18" s="0" t="s">
        <v>123</v>
      </c>
      <c r="C18" s="4" t="n">
        <f aca="false">(C6-B6)*Assumptions!$B$37/100</f>
        <v>-0</v>
      </c>
      <c r="D18" s="4" t="n">
        <f aca="false">(D6-C6)*Assumptions!$B$37/100</f>
        <v>42.4150000000001</v>
      </c>
      <c r="E18" s="4" t="n">
        <f aca="false">(E6-D6)*Assumptions!$B$37/100</f>
        <v>32.2354</v>
      </c>
      <c r="F18" s="4" t="n">
        <f aca="false">(F6-E6)*Assumptions!$B$37/100</f>
        <v>-15.472992</v>
      </c>
      <c r="G18" s="4" t="n">
        <f aca="false">(G6-F6)*Assumptions!$B$37/100</f>
        <v>-15.78245184</v>
      </c>
      <c r="H18" s="4" t="n">
        <f aca="false">(H6-G6)*Assumptions!$B$37/100</f>
        <v>-16.0981008768001</v>
      </c>
      <c r="I18" s="4" t="n">
        <f aca="false">(I6-H6)*Assumptions!$B$37/100</f>
        <v>-16.4200628943359</v>
      </c>
      <c r="J18" s="4" t="n">
        <f aca="false">(J6-I6)*Assumptions!$B$37/100</f>
        <v>-16.7484641522227</v>
      </c>
      <c r="K18" s="4" t="n">
        <f aca="false">(K6-J6)*Assumptions!$B$37/100</f>
        <v>-17.0834334352672</v>
      </c>
      <c r="L18" s="4" t="n">
        <f aca="false">(L6-K6)*Assumptions!$B$37/100</f>
        <v>-17.4251021039725</v>
      </c>
    </row>
    <row r="19" customFormat="false" ht="15" hidden="false" customHeight="false" outlineLevel="0" collapsed="false">
      <c r="A19" s="0" t="s">
        <v>124</v>
      </c>
      <c r="C19" s="0" t="n">
        <f aca="false">C15+C16+C17+C18</f>
        <v>2116.76299</v>
      </c>
      <c r="D19" s="0" t="n">
        <f aca="false">D15+D16+D17+D18</f>
        <v>1986.4513855</v>
      </c>
      <c r="E19" s="0" t="n">
        <f aca="false">E15+E16+E17+E18</f>
        <v>1994.44288048</v>
      </c>
      <c r="F19" s="0" t="n">
        <f aca="false">F15+F16+F17+F18</f>
        <v>2301.6276748896</v>
      </c>
      <c r="G19" s="0" t="n">
        <f aca="false">G15+G16+G17+G18</f>
        <v>2589.13174153939</v>
      </c>
      <c r="H19" s="0" t="n">
        <f aca="false">H15+H16+H17+H18</f>
        <v>2723.01469084186</v>
      </c>
      <c r="I19" s="0" t="n">
        <f aca="false">I15+I16+I17+I18</f>
        <v>2777.4749846587</v>
      </c>
      <c r="J19" s="0" t="n">
        <f aca="false">J15+J16+J17+J18</f>
        <v>2833.02448435187</v>
      </c>
      <c r="K19" s="0" t="n">
        <f aca="false">K15+K16+K17+K18</f>
        <v>2889.68497403891</v>
      </c>
      <c r="L19" s="0" t="n">
        <f aca="false">L15+L16+L17+L18</f>
        <v>2947.47867351969</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1933.11688584475</v>
      </c>
      <c r="D21" s="0" t="n">
        <f aca="false">D19*D20</f>
        <v>1656.72224140448</v>
      </c>
      <c r="E21" s="0" t="n">
        <f aca="false">E19*E20</f>
        <v>1519.07510124427</v>
      </c>
      <c r="F21" s="0" t="n">
        <f aca="false">F19*F20</f>
        <v>1600.95304382372</v>
      </c>
      <c r="G21" s="0" t="n">
        <f aca="false">G19*G20</f>
        <v>1644.68811128523</v>
      </c>
      <c r="H21" s="0" t="n">
        <f aca="false">H19*H20</f>
        <v>1579.6659950609</v>
      </c>
      <c r="I21" s="0" t="n">
        <f aca="false">I19*I20</f>
        <v>1471.46969402933</v>
      </c>
      <c r="J21" s="0" t="n">
        <f aca="false">J19*J20</f>
        <v>1370.68409854787</v>
      </c>
      <c r="K21" s="0" t="n">
        <f aca="false">K19*K20</f>
        <v>1276.80162604459</v>
      </c>
      <c r="L21" s="0" t="n">
        <f aca="false">L19*L20</f>
        <v>1189.34945987715</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9.5</v>
      </c>
    </row>
    <row r="28" customFormat="false" ht="15" hidden="false" customHeight="false" outlineLevel="0" collapsed="false">
      <c r="A28" s="0" t="s">
        <v>107</v>
      </c>
      <c r="B28" s="4" t="n">
        <f aca="false">Assumptions!$B$35</f>
        <v>2</v>
      </c>
    </row>
    <row r="29" customFormat="false" ht="15" hidden="false" customHeight="false" outlineLevel="0" collapsed="false">
      <c r="A29" s="0" t="s">
        <v>108</v>
      </c>
      <c r="B29" s="4" t="n">
        <f aca="false">Assumptions!$B$36</f>
        <v>10</v>
      </c>
    </row>
    <row r="30" customFormat="false" ht="15" hidden="false" customHeight="false" outlineLevel="0" collapsed="false">
      <c r="A30" s="0" t="s">
        <v>129</v>
      </c>
      <c r="B30" s="0" t="n">
        <f aca="false">SUM(C21:L21)</f>
        <v>15242.5262571623</v>
      </c>
    </row>
    <row r="31" customFormat="false" ht="15" hidden="false" customHeight="false" outlineLevel="0" collapsed="false">
      <c r="A31" s="0" t="s">
        <v>130</v>
      </c>
      <c r="B31" s="0" t="n">
        <f aca="false">L19</f>
        <v>2947.47867351969</v>
      </c>
    </row>
    <row r="32" customFormat="false" ht="15" hidden="false" customHeight="false" outlineLevel="0" collapsed="false">
      <c r="A32" s="0" t="s">
        <v>131</v>
      </c>
      <c r="B32" s="0" t="n">
        <f aca="false">IF(B27&gt;B28,B31*(1+B28/100)/((B27-B28)/100),B31*B29)</f>
        <v>40085.7099598677</v>
      </c>
    </row>
    <row r="33" customFormat="false" ht="15" hidden="false" customHeight="false" outlineLevel="0" collapsed="false">
      <c r="A33" s="0" t="s">
        <v>132</v>
      </c>
      <c r="B33" s="0" t="n">
        <f aca="false">B31*B29</f>
        <v>29474.7867351969</v>
      </c>
    </row>
    <row r="34" customFormat="false" ht="15" hidden="false" customHeight="false" outlineLevel="0" collapsed="false">
      <c r="A34" s="0" t="s">
        <v>133</v>
      </c>
      <c r="B34" s="0" t="n">
        <f aca="false">MAX(0,MIN(B32,B33))</f>
        <v>29474.7867351969</v>
      </c>
    </row>
    <row r="35" customFormat="false" ht="15" hidden="false" customHeight="false" outlineLevel="0" collapsed="false">
      <c r="A35" s="0" t="s">
        <v>134</v>
      </c>
      <c r="B35" s="0" t="n">
        <f aca="false">B34/(1+B27/100)^L4</f>
        <v>11893.4945987715</v>
      </c>
    </row>
    <row r="36" customFormat="false" ht="15" hidden="false" customHeight="false" outlineLevel="0" collapsed="false">
      <c r="A36" s="0" t="s">
        <v>135</v>
      </c>
      <c r="B36" s="0" t="n">
        <f aca="false">B30+B35</f>
        <v>27136.0208559338</v>
      </c>
    </row>
    <row r="37" customFormat="false" ht="15" hidden="false" customHeight="false" outlineLevel="0" collapsed="false">
      <c r="A37" s="0" t="s">
        <v>136</v>
      </c>
      <c r="B37" s="0" t="n">
        <f aca="false">B36+Assumptions!$B$5-Assumptions!$B$4</f>
        <v>26279.0208559338</v>
      </c>
    </row>
    <row r="38" customFormat="false" ht="15" hidden="false" customHeight="false" outlineLevel="0" collapsed="false">
      <c r="A38" s="0" t="s">
        <v>137</v>
      </c>
      <c r="B38" s="0" t="n">
        <f aca="false">B37/Assumptions!$B$3*Assumptions!$B$10</f>
        <v>11.9837655536858</v>
      </c>
    </row>
    <row r="39" customFormat="false" ht="15" hidden="false" customHeight="false" outlineLevel="0" collapsed="false">
      <c r="A39" s="0" t="s">
        <v>138</v>
      </c>
      <c r="B39" s="4" t="n">
        <f aca="false">B38/Assumptions!$B$2-1</f>
        <v>-0.284551310227714</v>
      </c>
    </row>
    <row r="41" customFormat="false" ht="15" hidden="false" customHeight="false" outlineLevel="0" collapsed="false">
      <c r="A41" s="0" t="s">
        <v>139</v>
      </c>
      <c r="B41" s="0" t="n">
        <f aca="false">SUMPRODUCT(-C10:L10/(1+$B$27/100)^C4:L4)</f>
        <v>1189.79548323643</v>
      </c>
    </row>
    <row r="42" customFormat="false" ht="15" hidden="false" customHeight="false" outlineLevel="0" collapsed="false">
      <c r="A42" s="0" t="s">
        <v>140</v>
      </c>
      <c r="B42" s="0" t="n">
        <f aca="false">IF(B27&gt;B28,-L10*(1+B28/100)/((B27-B28)/100),-L10*20)/(1+B27/100)^L4</f>
        <v>1121.68538246695</v>
      </c>
    </row>
    <row r="43" customFormat="false" ht="15" hidden="false" customHeight="false" outlineLevel="0" collapsed="false">
      <c r="A43" s="0" t="s">
        <v>141</v>
      </c>
      <c r="B43" s="0" t="n">
        <f aca="false">(B37+B41+B42)/Assumptions!$B$3*Assumptions!$B$10</f>
        <v>13.0378476265407</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23126.3711306929</v>
      </c>
    </row>
    <row r="47" customFormat="false" ht="15" hidden="false" customHeight="false" outlineLevel="0" collapsed="false">
      <c r="A47" s="0" t="s">
        <v>143</v>
      </c>
      <c r="B47" s="0" t="n">
        <f aca="false">(SUMPRODUCT(C19:L19/(1+B45/100)^C4:L4)+B46/(1+B45/100)^L4+Assumptions!$B$5-Assumptions!$B$4)/Assumptions!$B$3*Assumptions!$B$10</f>
        <v>7.66766140544816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3</v>
      </c>
      <c r="D5" s="4" t="n">
        <f aca="false">Assumptions!D41</f>
        <v>0</v>
      </c>
      <c r="E5" s="4" t="n">
        <f aca="false">Assumptions!E41</f>
        <v>1</v>
      </c>
      <c r="F5" s="4" t="n">
        <f aca="false">Assumptions!F41</f>
        <v>3</v>
      </c>
      <c r="G5" s="4" t="n">
        <f aca="false">Assumptions!G41</f>
        <v>3</v>
      </c>
      <c r="H5" s="4" t="n">
        <f aca="false">Assumptions!H41</f>
        <v>2.5</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38</v>
      </c>
      <c r="B6" s="3" t="n">
        <v>16966</v>
      </c>
      <c r="C6" s="0" t="n">
        <f aca="false">B6*(1+C5/100)</f>
        <v>17474.98</v>
      </c>
      <c r="D6" s="0" t="n">
        <f aca="false">C6*(1+D5/100)</f>
        <v>17474.98</v>
      </c>
      <c r="E6" s="0" t="n">
        <f aca="false">D6*(1+E5/100)</f>
        <v>17649.7298</v>
      </c>
      <c r="F6" s="0" t="n">
        <f aca="false">E6*(1+F5/100)</f>
        <v>18179.221694</v>
      </c>
      <c r="G6" s="0" t="n">
        <f aca="false">F6*(1+G5/100)</f>
        <v>18724.59834482</v>
      </c>
      <c r="H6" s="0" t="n">
        <f aca="false">G6*(1+H5/100)</f>
        <v>19192.7133034405</v>
      </c>
      <c r="I6" s="0" t="n">
        <f aca="false">H6*(1+I5/100)</f>
        <v>19672.5311360265</v>
      </c>
      <c r="J6" s="0" t="n">
        <f aca="false">I6*(1+J5/100)</f>
        <v>20164.3444144272</v>
      </c>
      <c r="K6" s="0" t="n">
        <f aca="false">J6*(1+K5/100)</f>
        <v>20668.4530247878</v>
      </c>
      <c r="L6" s="0" t="n">
        <f aca="false">K6*(1+L5/100)</f>
        <v>21185.1643504075</v>
      </c>
    </row>
    <row r="7" customFormat="false" ht="15" hidden="false" customHeight="false" outlineLevel="0" collapsed="false">
      <c r="A7" s="0" t="s">
        <v>100</v>
      </c>
      <c r="C7" s="4" t="n">
        <f aca="false">Assumptions!C42</f>
        <v>52</v>
      </c>
      <c r="D7" s="4" t="n">
        <f aca="false">Assumptions!D42</f>
        <v>51</v>
      </c>
      <c r="E7" s="4" t="n">
        <f aca="false">Assumptions!E42</f>
        <v>51</v>
      </c>
      <c r="F7" s="4" t="n">
        <f aca="false">Assumptions!F42</f>
        <v>52</v>
      </c>
      <c r="G7" s="4" t="n">
        <f aca="false">Assumptions!G42</f>
        <v>52</v>
      </c>
      <c r="H7" s="4" t="n">
        <f aca="false">Assumptions!H42</f>
        <v>52</v>
      </c>
      <c r="I7" s="4" t="n">
        <f aca="false">Assumptions!I42</f>
        <v>52</v>
      </c>
      <c r="J7" s="4" t="n">
        <f aca="false">Assumptions!J42</f>
        <v>52</v>
      </c>
      <c r="K7" s="4" t="n">
        <f aca="false">Assumptions!K42</f>
        <v>52</v>
      </c>
      <c r="L7" s="4" t="n">
        <f aca="false">Assumptions!L42</f>
        <v>52</v>
      </c>
    </row>
    <row r="8" customFormat="false" ht="15" hidden="false" customHeight="false" outlineLevel="0" collapsed="false">
      <c r="A8" s="0" t="s">
        <v>44</v>
      </c>
      <c r="C8" s="0" t="n">
        <f aca="false">C6*C7/100</f>
        <v>9086.9896</v>
      </c>
      <c r="D8" s="0" t="n">
        <f aca="false">D6*D7/100</f>
        <v>8912.2398</v>
      </c>
      <c r="E8" s="0" t="n">
        <f aca="false">E6*E7/100</f>
        <v>9001.362198</v>
      </c>
      <c r="F8" s="0" t="n">
        <f aca="false">F6*F7/100</f>
        <v>9453.19528088</v>
      </c>
      <c r="G8" s="0" t="n">
        <f aca="false">G6*G7/100</f>
        <v>9736.7911393064</v>
      </c>
      <c r="H8" s="0" t="n">
        <f aca="false">H6*H7/100</f>
        <v>9980.21091778906</v>
      </c>
      <c r="I8" s="0" t="n">
        <f aca="false">I6*I7/100</f>
        <v>10229.7161907338</v>
      </c>
      <c r="J8" s="0" t="n">
        <f aca="false">J6*J7/100</f>
        <v>10485.4590955021</v>
      </c>
      <c r="K8" s="0" t="n">
        <f aca="false">K6*K7/100</f>
        <v>10747.5955728897</v>
      </c>
      <c r="L8" s="0" t="n">
        <f aca="false">L6*L7/100</f>
        <v>11016.2854622119</v>
      </c>
    </row>
    <row r="9" customFormat="false" ht="15" hidden="false" customHeight="false" outlineLevel="0" collapsed="false">
      <c r="A9" s="0" t="s">
        <v>101</v>
      </c>
      <c r="C9" s="4" t="n">
        <f aca="false">Assumptions!C43</f>
        <v>1.15</v>
      </c>
      <c r="D9" s="4" t="n">
        <f aca="false">Assumptions!D43</f>
        <v>1.15</v>
      </c>
      <c r="E9" s="4" t="n">
        <f aca="false">Assumptions!E43</f>
        <v>1.15</v>
      </c>
      <c r="F9" s="4" t="n">
        <f aca="false">Assumptions!F43</f>
        <v>1.15</v>
      </c>
      <c r="G9" s="4" t="n">
        <f aca="false">Assumptions!G43</f>
        <v>1.15</v>
      </c>
      <c r="H9" s="4" t="n">
        <f aca="false">Assumptions!H43</f>
        <v>1.15</v>
      </c>
      <c r="I9" s="4" t="n">
        <f aca="false">Assumptions!I43</f>
        <v>1.15</v>
      </c>
      <c r="J9" s="4" t="n">
        <f aca="false">Assumptions!J43</f>
        <v>1.15</v>
      </c>
      <c r="K9" s="4" t="n">
        <f aca="false">Assumptions!K43</f>
        <v>1.15</v>
      </c>
      <c r="L9" s="4" t="n">
        <f aca="false">Assumptions!L43</f>
        <v>1.15</v>
      </c>
    </row>
    <row r="10" customFormat="false" ht="15" hidden="false" customHeight="false" outlineLevel="0" collapsed="false">
      <c r="A10" s="0" t="s">
        <v>116</v>
      </c>
      <c r="C10" s="0" t="n">
        <f aca="false">-C6*C9/100</f>
        <v>-200.96227</v>
      </c>
      <c r="D10" s="0" t="n">
        <f aca="false">-D6*D9/100</f>
        <v>-200.96227</v>
      </c>
      <c r="E10" s="0" t="n">
        <f aca="false">-E6*E9/100</f>
        <v>-202.9718927</v>
      </c>
      <c r="F10" s="0" t="n">
        <f aca="false">-F6*F9/100</f>
        <v>-209.061049481</v>
      </c>
      <c r="G10" s="0" t="n">
        <f aca="false">-G6*G9/100</f>
        <v>-215.33288096543</v>
      </c>
      <c r="H10" s="0" t="n">
        <f aca="false">-H6*H9/100</f>
        <v>-220.716202989566</v>
      </c>
      <c r="I10" s="0" t="n">
        <f aca="false">-I6*I9/100</f>
        <v>-226.234108064305</v>
      </c>
      <c r="J10" s="0" t="n">
        <f aca="false">-J6*J9/100</f>
        <v>-231.889960765912</v>
      </c>
      <c r="K10" s="0" t="n">
        <f aca="false">-K6*K9/100</f>
        <v>-237.68720978506</v>
      </c>
      <c r="L10" s="0" t="n">
        <f aca="false">-L6*L9/100</f>
        <v>-243.629390029687</v>
      </c>
    </row>
    <row r="11" customFormat="false" ht="15" hidden="false" customHeight="false" outlineLevel="0" collapsed="false">
      <c r="A11" s="0" t="s">
        <v>117</v>
      </c>
      <c r="C11" s="0" t="n">
        <f aca="false">C8+C10+C24</f>
        <v>8886.02733</v>
      </c>
      <c r="D11" s="0" t="n">
        <f aca="false">D8+D10+D24</f>
        <v>8711.27753</v>
      </c>
      <c r="E11" s="0" t="n">
        <f aca="false">E8+E10+E24</f>
        <v>8798.3903053</v>
      </c>
      <c r="F11" s="0" t="n">
        <f aca="false">F8+F10+F24</f>
        <v>9244.134231399</v>
      </c>
      <c r="G11" s="0" t="n">
        <f aca="false">G8+G10+G24</f>
        <v>9521.45825834097</v>
      </c>
      <c r="H11" s="0" t="n">
        <f aca="false">H8+H10+H24</f>
        <v>9759.49471479949</v>
      </c>
      <c r="I11" s="0" t="n">
        <f aca="false">I8+I10+I24</f>
        <v>10003.4820826695</v>
      </c>
      <c r="J11" s="0" t="n">
        <f aca="false">J8+J10+J24</f>
        <v>10253.5691347362</v>
      </c>
      <c r="K11" s="0" t="n">
        <f aca="false">K8+K10+K24</f>
        <v>10509.9083631046</v>
      </c>
      <c r="L11" s="0" t="n">
        <f aca="false">L8+L10+L24</f>
        <v>10772.6560721822</v>
      </c>
    </row>
    <row r="12" customFormat="false" ht="15" hidden="false" customHeight="false" outlineLevel="0" collapsed="false">
      <c r="A12" s="0" t="s">
        <v>118</v>
      </c>
      <c r="C12" s="4" t="n">
        <f aca="false">-C6*Assumptions!C45/100</f>
        <v>-2970.7466</v>
      </c>
      <c r="D12" s="4" t="n">
        <f aca="false">-D6*Assumptions!D45/100</f>
        <v>-3058.1215</v>
      </c>
      <c r="E12" s="4" t="n">
        <f aca="false">-E6*Assumptions!E45/100</f>
        <v>-3176.951364</v>
      </c>
      <c r="F12" s="4" t="n">
        <f aca="false">-F6*Assumptions!F45/100</f>
        <v>-3272.25990492</v>
      </c>
      <c r="G12" s="4" t="n">
        <f aca="false">-G6*Assumptions!G45/100</f>
        <v>-3370.4277020676</v>
      </c>
      <c r="H12" s="4" t="n">
        <f aca="false">-H6*Assumptions!H45/100</f>
        <v>-3454.68839461929</v>
      </c>
      <c r="I12" s="4" t="n">
        <f aca="false">-I6*Assumptions!I45/100</f>
        <v>-3541.05560448477</v>
      </c>
      <c r="J12" s="4" t="n">
        <f aca="false">-J6*Assumptions!J45/100</f>
        <v>-3629.58199459689</v>
      </c>
      <c r="K12" s="4" t="n">
        <f aca="false">-K6*Assumptions!K45/100</f>
        <v>-3720.32154446181</v>
      </c>
      <c r="L12" s="4" t="n">
        <f aca="false">-L6*Assumptions!L45/100</f>
        <v>-3813.32958307336</v>
      </c>
    </row>
    <row r="13" customFormat="false" ht="15" hidden="false" customHeight="false" outlineLevel="0" collapsed="false">
      <c r="A13" s="0" t="s">
        <v>119</v>
      </c>
      <c r="C13" s="0" t="n">
        <f aca="false">C11+C12</f>
        <v>5915.28073</v>
      </c>
      <c r="D13" s="0" t="n">
        <f aca="false">D11+D12</f>
        <v>5653.15603</v>
      </c>
      <c r="E13" s="0" t="n">
        <f aca="false">E11+E12</f>
        <v>5621.4389413</v>
      </c>
      <c r="F13" s="0" t="n">
        <f aca="false">F11+F12</f>
        <v>5971.874326479</v>
      </c>
      <c r="G13" s="0" t="n">
        <f aca="false">G11+G12</f>
        <v>6151.03055627337</v>
      </c>
      <c r="H13" s="0" t="n">
        <f aca="false">H11+H12</f>
        <v>6304.8063201802</v>
      </c>
      <c r="I13" s="0" t="n">
        <f aca="false">I11+I12</f>
        <v>6462.42647818471</v>
      </c>
      <c r="J13" s="0" t="n">
        <f aca="false">J11+J12</f>
        <v>6623.98714013932</v>
      </c>
      <c r="K13" s="0" t="n">
        <f aca="false">K11+K12</f>
        <v>6789.58681864281</v>
      </c>
      <c r="L13" s="0" t="n">
        <f aca="false">L11+L12</f>
        <v>6959.32648910888</v>
      </c>
    </row>
    <row r="14" customFormat="false" ht="15" hidden="false" customHeight="false" outlineLevel="0" collapsed="false">
      <c r="A14" s="0" t="s">
        <v>105</v>
      </c>
      <c r="C14" s="4" t="n">
        <f aca="false">Assumptions!C47</f>
        <v>30.5</v>
      </c>
      <c r="D14" s="4" t="n">
        <f aca="false">Assumptions!D47</f>
        <v>30.5</v>
      </c>
      <c r="E14" s="4" t="n">
        <f aca="false">Assumptions!E47</f>
        <v>30.5</v>
      </c>
      <c r="F14" s="4" t="n">
        <f aca="false">Assumptions!F47</f>
        <v>30.5</v>
      </c>
      <c r="G14" s="4" t="n">
        <f aca="false">Assumptions!G47</f>
        <v>30.5</v>
      </c>
      <c r="H14" s="4" t="n">
        <f aca="false">Assumptions!H47</f>
        <v>30.5</v>
      </c>
      <c r="I14" s="4" t="n">
        <f aca="false">Assumptions!I47</f>
        <v>30.5</v>
      </c>
      <c r="J14" s="4" t="n">
        <f aca="false">Assumptions!J47</f>
        <v>30.5</v>
      </c>
      <c r="K14" s="4" t="n">
        <f aca="false">Assumptions!K47</f>
        <v>30.5</v>
      </c>
      <c r="L14" s="4" t="n">
        <f aca="false">Assumptions!L47</f>
        <v>30.5</v>
      </c>
    </row>
    <row r="15" customFormat="false" ht="15" hidden="false" customHeight="false" outlineLevel="0" collapsed="false">
      <c r="A15" s="0" t="s">
        <v>120</v>
      </c>
      <c r="C15" s="0" t="n">
        <f aca="false">C13-MAX(0,C13)*C14/100</f>
        <v>4111.12010735</v>
      </c>
      <c r="D15" s="0" t="n">
        <f aca="false">D13-MAX(0,D13)*D14/100</f>
        <v>3928.94344085</v>
      </c>
      <c r="E15" s="0" t="n">
        <f aca="false">E13-MAX(0,E13)*E14/100</f>
        <v>3906.9000642035</v>
      </c>
      <c r="F15" s="0" t="n">
        <f aca="false">F13-MAX(0,F13)*F14/100</f>
        <v>4150.4526569029</v>
      </c>
      <c r="G15" s="0" t="n">
        <f aca="false">G13-MAX(0,G13)*G14/100</f>
        <v>4274.96623660999</v>
      </c>
      <c r="H15" s="0" t="n">
        <f aca="false">H13-MAX(0,H13)*H14/100</f>
        <v>4381.84039252524</v>
      </c>
      <c r="I15" s="0" t="n">
        <f aca="false">I13-MAX(0,I13)*I14/100</f>
        <v>4491.38640233837</v>
      </c>
      <c r="J15" s="0" t="n">
        <f aca="false">J13-MAX(0,J13)*J14/100</f>
        <v>4603.67106239683</v>
      </c>
      <c r="K15" s="0" t="n">
        <f aca="false">K13-MAX(0,K13)*K14/100</f>
        <v>4718.76283895675</v>
      </c>
      <c r="L15" s="0" t="n">
        <f aca="false">L13-MAX(0,L13)*L14/100</f>
        <v>4836.73190993067</v>
      </c>
    </row>
    <row r="16" customFormat="false" ht="15" hidden="false" customHeight="false" outlineLevel="0" collapsed="false">
      <c r="A16" s="0" t="s">
        <v>121</v>
      </c>
      <c r="C16" s="0" t="n">
        <f aca="false">-C12</f>
        <v>2970.7466</v>
      </c>
      <c r="D16" s="0" t="n">
        <f aca="false">-D12</f>
        <v>3058.1215</v>
      </c>
      <c r="E16" s="0" t="n">
        <f aca="false">-E12</f>
        <v>3176.951364</v>
      </c>
      <c r="F16" s="0" t="n">
        <f aca="false">-F12</f>
        <v>3272.25990492</v>
      </c>
      <c r="G16" s="0" t="n">
        <f aca="false">-G12</f>
        <v>3370.4277020676</v>
      </c>
      <c r="H16" s="0" t="n">
        <f aca="false">-H12</f>
        <v>3454.68839461929</v>
      </c>
      <c r="I16" s="0" t="n">
        <f aca="false">-I12</f>
        <v>3541.05560448477</v>
      </c>
      <c r="J16" s="0" t="n">
        <f aca="false">-J12</f>
        <v>3629.58199459689</v>
      </c>
      <c r="K16" s="0" t="n">
        <f aca="false">-K12</f>
        <v>3720.32154446181</v>
      </c>
      <c r="L16" s="0" t="n">
        <f aca="false">-L12</f>
        <v>3813.32958307336</v>
      </c>
    </row>
    <row r="17" customFormat="false" ht="15" hidden="false" customHeight="false" outlineLevel="0" collapsed="false">
      <c r="A17" s="0" t="s">
        <v>122</v>
      </c>
      <c r="C17" s="4" t="n">
        <f aca="false">-C6*Assumptions!C46/100</f>
        <v>-4543.4948</v>
      </c>
      <c r="D17" s="4" t="n">
        <f aca="false">-D6*Assumptions!D46/100</f>
        <v>-4193.9952</v>
      </c>
      <c r="E17" s="4" t="n">
        <f aca="false">-E6*Assumptions!E46/100</f>
        <v>-3794.691907</v>
      </c>
      <c r="F17" s="4" t="n">
        <f aca="false">-F6*Assumptions!F46/100</f>
        <v>-3544.94823033</v>
      </c>
      <c r="G17" s="4" t="n">
        <f aca="false">-G6*Assumptions!G46/100</f>
        <v>-3464.0506937917</v>
      </c>
      <c r="H17" s="4" t="n">
        <f aca="false">-H6*Assumptions!H46/100</f>
        <v>-3454.68839461929</v>
      </c>
      <c r="I17" s="4" t="n">
        <f aca="false">-I6*Assumptions!I46/100</f>
        <v>-3541.05560448477</v>
      </c>
      <c r="J17" s="4" t="n">
        <f aca="false">-J6*Assumptions!J46/100</f>
        <v>-3629.58199459689</v>
      </c>
      <c r="K17" s="4" t="n">
        <f aca="false">-K6*Assumptions!K46/100</f>
        <v>-3720.32154446181</v>
      </c>
      <c r="L17" s="4" t="n">
        <f aca="false">-L6*Assumptions!L46/100</f>
        <v>-3813.32958307336</v>
      </c>
    </row>
    <row r="18" customFormat="false" ht="15" hidden="false" customHeight="false" outlineLevel="0" collapsed="false">
      <c r="A18" s="0" t="s">
        <v>123</v>
      </c>
      <c r="C18" s="4" t="n">
        <f aca="false">(C6-B6)*Assumptions!$B$51/100</f>
        <v>-25.449</v>
      </c>
      <c r="D18" s="4" t="n">
        <f aca="false">(D6-C6)*Assumptions!$B$51/100</f>
        <v>-0</v>
      </c>
      <c r="E18" s="4" t="n">
        <f aca="false">(E6-D6)*Assumptions!$B$51/100</f>
        <v>-8.73749000000007</v>
      </c>
      <c r="F18" s="4" t="n">
        <f aca="false">(F6-E6)*Assumptions!$B$51/100</f>
        <v>-26.4745946999999</v>
      </c>
      <c r="G18" s="4" t="n">
        <f aca="false">(G6-F6)*Assumptions!$B$51/100</f>
        <v>-27.2688325409999</v>
      </c>
      <c r="H18" s="4" t="n">
        <f aca="false">(H6-G6)*Assumptions!$B$51/100</f>
        <v>-23.405747931025</v>
      </c>
      <c r="I18" s="4" t="n">
        <f aca="false">(I6-H6)*Assumptions!$B$51/100</f>
        <v>-23.9908916293005</v>
      </c>
      <c r="J18" s="4" t="n">
        <f aca="false">(J6-I6)*Assumptions!$B$51/100</f>
        <v>-24.590663920033</v>
      </c>
      <c r="K18" s="4" t="n">
        <f aca="false">(K6-J6)*Assumptions!$B$51/100</f>
        <v>-25.2054305180338</v>
      </c>
      <c r="L18" s="4" t="n">
        <f aca="false">(L6-K6)*Assumptions!$B$51/100</f>
        <v>-25.8355662809847</v>
      </c>
    </row>
    <row r="19" customFormat="false" ht="15" hidden="false" customHeight="false" outlineLevel="0" collapsed="false">
      <c r="A19" s="0" t="s">
        <v>124</v>
      </c>
      <c r="C19" s="0" t="n">
        <f aca="false">C15+C16+C17+C18</f>
        <v>2512.92290735</v>
      </c>
      <c r="D19" s="0" t="n">
        <f aca="false">D15+D16+D17+D18</f>
        <v>2793.06974085</v>
      </c>
      <c r="E19" s="0" t="n">
        <f aca="false">E15+E16+E17+E18</f>
        <v>3280.4220312035</v>
      </c>
      <c r="F19" s="0" t="n">
        <f aca="false">F15+F16+F17+F18</f>
        <v>3851.2897367929</v>
      </c>
      <c r="G19" s="0" t="n">
        <f aca="false">G15+G16+G17+G18</f>
        <v>4154.07441234489</v>
      </c>
      <c r="H19" s="0" t="n">
        <f aca="false">H15+H16+H17+H18</f>
        <v>4358.43464459422</v>
      </c>
      <c r="I19" s="0" t="n">
        <f aca="false">I15+I16+I17+I18</f>
        <v>4467.39551070907</v>
      </c>
      <c r="J19" s="0" t="n">
        <f aca="false">J15+J16+J17+J18</f>
        <v>4579.0803984768</v>
      </c>
      <c r="K19" s="0" t="n">
        <f aca="false">K15+K16+K17+K18</f>
        <v>4693.55740843872</v>
      </c>
      <c r="L19" s="0" t="n">
        <f aca="false">L15+L16+L17+L18</f>
        <v>4810.89634364969</v>
      </c>
    </row>
    <row r="20" customFormat="false" ht="15" hidden="false" customHeight="false" outlineLevel="0" collapsed="false">
      <c r="A20" s="0" t="s">
        <v>125</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126</v>
      </c>
      <c r="C21" s="0" t="n">
        <f aca="false">C19*C20</f>
        <v>2294.9067647032</v>
      </c>
      <c r="D21" s="0" t="n">
        <f aca="false">D19*D20</f>
        <v>2329.45079614687</v>
      </c>
      <c r="E21" s="0" t="n">
        <f aca="false">E19*E20</f>
        <v>2498.54607416738</v>
      </c>
      <c r="F21" s="0" t="n">
        <f aca="false">F19*F20</f>
        <v>2678.85813767051</v>
      </c>
      <c r="G21" s="0" t="n">
        <f aca="false">G19*G20</f>
        <v>2638.78299036097</v>
      </c>
      <c r="H21" s="0" t="n">
        <f aca="false">H19*H20</f>
        <v>2528.40024070243</v>
      </c>
      <c r="I21" s="0" t="n">
        <f aca="false">I19*I20</f>
        <v>2366.76734860273</v>
      </c>
      <c r="J21" s="0" t="n">
        <f aca="false">J19*J20</f>
        <v>2215.46715280164</v>
      </c>
      <c r="K21" s="0" t="n">
        <f aca="false">K19*K20</f>
        <v>2073.83911563624</v>
      </c>
      <c r="L21" s="0" t="n">
        <f aca="false">L19*L20</f>
        <v>1941.26492559557</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9.5</v>
      </c>
    </row>
    <row r="28" customFormat="false" ht="15" hidden="false" customHeight="false" outlineLevel="0" collapsed="false">
      <c r="A28" s="0" t="s">
        <v>107</v>
      </c>
      <c r="B28" s="4" t="n">
        <f aca="false">Assumptions!$B$49</f>
        <v>2</v>
      </c>
    </row>
    <row r="29" customFormat="false" ht="15" hidden="false" customHeight="false" outlineLevel="0" collapsed="false">
      <c r="A29" s="0" t="s">
        <v>108</v>
      </c>
      <c r="B29" s="4" t="n">
        <f aca="false">Assumptions!$B$50</f>
        <v>10</v>
      </c>
    </row>
    <row r="30" customFormat="false" ht="15" hidden="false" customHeight="false" outlineLevel="0" collapsed="false">
      <c r="A30" s="0" t="s">
        <v>129</v>
      </c>
      <c r="B30" s="0" t="n">
        <f aca="false">SUM(C21:L21)</f>
        <v>23566.2835463875</v>
      </c>
    </row>
    <row r="31" customFormat="false" ht="15" hidden="false" customHeight="false" outlineLevel="0" collapsed="false">
      <c r="A31" s="0" t="s">
        <v>130</v>
      </c>
      <c r="B31" s="0" t="n">
        <f aca="false">L19</f>
        <v>4810.89634364969</v>
      </c>
    </row>
    <row r="32" customFormat="false" ht="15" hidden="false" customHeight="false" outlineLevel="0" collapsed="false">
      <c r="A32" s="0" t="s">
        <v>131</v>
      </c>
      <c r="B32" s="0" t="n">
        <f aca="false">IF(B27&gt;B28,B31*(1+B28/100)/((B27-B28)/100),B31*B29)</f>
        <v>65428.1902736357</v>
      </c>
    </row>
    <row r="33" customFormat="false" ht="15" hidden="false" customHeight="false" outlineLevel="0" collapsed="false">
      <c r="A33" s="0" t="s">
        <v>132</v>
      </c>
      <c r="B33" s="0" t="n">
        <f aca="false">B31*B29</f>
        <v>48108.9634364969</v>
      </c>
    </row>
    <row r="34" customFormat="false" ht="15" hidden="false" customHeight="false" outlineLevel="0" collapsed="false">
      <c r="A34" s="0" t="s">
        <v>133</v>
      </c>
      <c r="B34" s="0" t="n">
        <f aca="false">MAX(0,MIN(B32,B33))</f>
        <v>48108.9634364969</v>
      </c>
    </row>
    <row r="35" customFormat="false" ht="15" hidden="false" customHeight="false" outlineLevel="0" collapsed="false">
      <c r="A35" s="0" t="s">
        <v>134</v>
      </c>
      <c r="B35" s="0" t="n">
        <f aca="false">B34/(1+B27/100)^L4</f>
        <v>19412.6492559557</v>
      </c>
    </row>
    <row r="36" customFormat="false" ht="15" hidden="false" customHeight="false" outlineLevel="0" collapsed="false">
      <c r="A36" s="0" t="s">
        <v>135</v>
      </c>
      <c r="B36" s="0" t="n">
        <f aca="false">B30+B35</f>
        <v>42978.9328023432</v>
      </c>
    </row>
    <row r="37" customFormat="false" ht="15" hidden="false" customHeight="false" outlineLevel="0" collapsed="false">
      <c r="A37" s="0" t="s">
        <v>136</v>
      </c>
      <c r="B37" s="0" t="n">
        <f aca="false">B36+Assumptions!$B$5-Assumptions!$B$4</f>
        <v>42121.9328023432</v>
      </c>
    </row>
    <row r="38" customFormat="false" ht="15" hidden="false" customHeight="false" outlineLevel="0" collapsed="false">
      <c r="A38" s="0" t="s">
        <v>137</v>
      </c>
      <c r="B38" s="0" t="n">
        <f aca="false">B37/Assumptions!$B$3*Assumptions!$B$10</f>
        <v>19.2084541558332</v>
      </c>
    </row>
    <row r="39" customFormat="false" ht="15" hidden="false" customHeight="false" outlineLevel="0" collapsed="false">
      <c r="A39" s="0" t="s">
        <v>138</v>
      </c>
      <c r="B39" s="4" t="n">
        <f aca="false">B38/Assumptions!$B$2-1</f>
        <v>0.146773382437801</v>
      </c>
    </row>
    <row r="41" customFormat="false" ht="15" hidden="false" customHeight="false" outlineLevel="0" collapsed="false">
      <c r="A41" s="0" t="s">
        <v>139</v>
      </c>
      <c r="B41" s="0" t="n">
        <f aca="false">SUMPRODUCT(-C10:L10/(1+$B$27/100)^C4:L4)</f>
        <v>1351.34950395086</v>
      </c>
    </row>
    <row r="42" customFormat="false" ht="15" hidden="false" customHeight="false" outlineLevel="0" collapsed="false">
      <c r="A42" s="0" t="s">
        <v>140</v>
      </c>
      <c r="B42" s="0" t="n">
        <f aca="false">IF(B27&gt;B28,-L10*(1+B28/100)/((B27-B28)/100),-L10*20)/(1+B27/100)^L4</f>
        <v>1336.98764649772</v>
      </c>
    </row>
    <row r="43" customFormat="false" ht="15" hidden="false" customHeight="false" outlineLevel="0" collapsed="false">
      <c r="A43" s="0" t="s">
        <v>141</v>
      </c>
      <c r="B43" s="0" t="n">
        <f aca="false">(B37+B41+B42)/Assumptions!$B$3*Assumptions!$B$10</f>
        <v>20.4343903243402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37747.0328501745</v>
      </c>
    </row>
    <row r="47" customFormat="false" ht="15" hidden="false" customHeight="false" outlineLevel="0" collapsed="false">
      <c r="A47" s="0" t="s">
        <v>143</v>
      </c>
      <c r="B47" s="0" t="n">
        <f aca="false">(SUMPRODUCT(C19:L19/(1+B45/100)^C4:L4)+B46/(1+B45/100)^L4+Assumptions!$B$5-Assumptions!$B$4)/Assumptions!$B$3*Assumptions!$B$10</f>
        <v>12.2116983735524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5.13538277696578</v>
      </c>
      <c r="C4" s="0" t="n">
        <f aca="false">B4/Assumptions!$B$2-1</f>
        <v>-0.69340998346473</v>
      </c>
      <c r="D4" s="4" t="n">
        <f aca="false">Assumptions!$B$24</f>
        <v>0.3</v>
      </c>
      <c r="E4" s="4" t="n">
        <f aca="false">DCF_Bear!$B$43</f>
        <v>6.03105359150691</v>
      </c>
      <c r="F4" s="4" t="n">
        <f aca="false">DCF_Bear!$B$47</f>
        <v>3.29575907448428</v>
      </c>
    </row>
    <row r="5" customFormat="false" ht="15" hidden="false" customHeight="false" outlineLevel="0" collapsed="false">
      <c r="A5" s="0" t="s">
        <v>152</v>
      </c>
      <c r="B5" s="4" t="n">
        <f aca="false">DCF_Base!$B$38</f>
        <v>11.9837655536858</v>
      </c>
      <c r="C5" s="0" t="n">
        <f aca="false">B5/Assumptions!$B$2-1</f>
        <v>-0.284551310227714</v>
      </c>
      <c r="D5" s="4" t="n">
        <f aca="false">Assumptions!$B$38</f>
        <v>0.5</v>
      </c>
      <c r="E5" s="4" t="n">
        <f aca="false">DCF_Base!$B$43</f>
        <v>13.0378476265407</v>
      </c>
      <c r="F5" s="4" t="n">
        <f aca="false">DCF_Base!$B$47</f>
        <v>7.66766140544816</v>
      </c>
    </row>
    <row r="6" customFormat="false" ht="15" hidden="false" customHeight="false" outlineLevel="0" collapsed="false">
      <c r="A6" s="0" t="s">
        <v>153</v>
      </c>
      <c r="B6" s="4" t="n">
        <f aca="false">DCF_Bull!$B$38</f>
        <v>19.2084541558332</v>
      </c>
      <c r="C6" s="0" t="n">
        <f aca="false">B6/Assumptions!$B$2-1</f>
        <v>0.146773382437801</v>
      </c>
      <c r="D6" s="4" t="n">
        <f aca="false">Assumptions!$B$52</f>
        <v>0.2</v>
      </c>
      <c r="E6" s="4" t="n">
        <f aca="false">DCF_Bull!$B$43</f>
        <v>20.4343903243402</v>
      </c>
      <c r="F6" s="4" t="n">
        <f aca="false">DCF_Bull!$B$47</f>
        <v>12.2116983735524</v>
      </c>
    </row>
    <row r="8" customFormat="false" ht="15" hidden="false" customHeight="false" outlineLevel="0" collapsed="false">
      <c r="A8" s="0" t="s">
        <v>154</v>
      </c>
      <c r="B8" s="0" t="n">
        <f aca="false">SUMPRODUCT(B4:B6,D4:D6)</f>
        <v>11.3741884410993</v>
      </c>
    </row>
    <row r="9" customFormat="false" ht="15" hidden="false" customHeight="false" outlineLevel="0" collapsed="false">
      <c r="A9" s="0" t="s">
        <v>155</v>
      </c>
      <c r="B9" s="0" t="n">
        <f aca="false">SUMPRODUCT(E4:E6,D4:D6)</f>
        <v>12.4151179555905</v>
      </c>
    </row>
    <row r="10" customFormat="false" ht="15" hidden="false" customHeight="false" outlineLevel="0" collapsed="false">
      <c r="A10" s="0" t="s">
        <v>156</v>
      </c>
      <c r="B10" s="0" t="n">
        <f aca="false">1-Assumptions!$B$2/B8</f>
        <v>-0.472632538729171</v>
      </c>
    </row>
    <row r="11" customFormat="false" ht="15" hidden="false" customHeight="false" outlineLevel="0" collapsed="false">
      <c r="A11" s="0" t="s">
        <v>157</v>
      </c>
      <c r="B11" s="0" t="n">
        <f aca="false">IF(ABS(B9-B8)&gt;0.01*ABS(B8),(Assumptions!$B$2-B8)/(B9-B8)*100,"n/a")</f>
        <v>516.443379120481</v>
      </c>
    </row>
    <row r="12" customFormat="false" ht="15" hidden="false" customHeight="false" outlineLevel="0" collapsed="false">
      <c r="A12" s="0" t="s">
        <v>158</v>
      </c>
      <c r="B12" s="0" t="n">
        <f aca="false">SUMPRODUCT(F4:F6,D4:D6)</f>
        <v>7.26489809977984</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12.4042661243578</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11.9837655536858</v>
      </c>
      <c r="C16" s="3" t="n">
        <v>9.5</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11.581476153615</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10.8279546054831</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10.1370302599715</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7.66766140544816</v>
      </c>
      <c r="C20" s="3" t="n">
        <v>15</v>
      </c>
    </row>
    <row r="22" customFormat="false" ht="15" hidden="false" customHeight="false" outlineLevel="0" collapsed="false">
      <c r="A22" s="2" t="s">
        <v>167</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13.7849173455642</v>
      </c>
      <c r="C24" s="0" t="n">
        <f aca="false">(SUMPRODUCT(DCF_Base!$C$19:$L$19/(1+$A$24/100)^DCF_Base!$C$4:$L$4)+MAX(0,MIN(IF($A$24&gt;$C$23,DCF_Base!$L$19*(1+$C$23/100)/(($A$24-$C$23)/100),DCF_Base!$L$19*DCF_Base!$B$29),DCF_Base!$L$19*DCF_Base!$B$29))/(1+$A$24/100)^DCF_Base!$L$4+Assumptions!$B$5-Assumptions!$B$4)/Assumptions!$B$3*Assumptions!$B$10</f>
        <v>13.7849173455642</v>
      </c>
      <c r="D24" s="0" t="n">
        <f aca="false">(SUMPRODUCT(DCF_Base!$C$19:$L$19/(1+$A$24/100)^DCF_Base!$C$4:$L$4)+MAX(0,MIN(IF($A$24&gt;$D$23,DCF_Base!$L$19*(1+$D$23/100)/(($A$24-$D$23)/100),DCF_Base!$L$19*DCF_Base!$B$29),DCF_Base!$L$19*DCF_Base!$B$29))/(1+$A$24/100)^DCF_Base!$L$4+Assumptions!$B$5-Assumptions!$B$4)/Assumptions!$B$3*Assumptions!$B$10</f>
        <v>13.7849173455642</v>
      </c>
      <c r="E24" s="0" t="n">
        <f aca="false">(SUMPRODUCT(DCF_Base!$C$19:$L$19/(1+$A$24/100)^DCF_Base!$C$4:$L$4)+MAX(0,MIN(IF($A$24&gt;$E$23,DCF_Base!$L$19*(1+$E$23/100)/(($A$24-$E$23)/100),DCF_Base!$L$19*DCF_Base!$B$29),DCF_Base!$L$19*DCF_Base!$B$29))/(1+$A$24/100)^DCF_Base!$L$4+Assumptions!$B$5-Assumptions!$B$4)/Assumptions!$B$3*Assumptions!$B$10</f>
        <v>13.7849173455642</v>
      </c>
      <c r="F24" s="0" t="n">
        <f aca="false">(SUMPRODUCT(DCF_Base!$C$19:$L$19/(1+$A$24/100)^DCF_Base!$C$4:$L$4)+MAX(0,MIN(IF($A$24&gt;$F$23,DCF_Base!$L$19*(1+$F$23/100)/(($A$24-$F$23)/100),DCF_Base!$L$19*DCF_Base!$B$29),DCF_Base!$L$19*DCF_Base!$B$29))/(1+$A$24/100)^DCF_Base!$L$4+Assumptions!$B$5-Assumptions!$B$4)/Assumptions!$B$3*Assumptions!$B$10</f>
        <v>13.7849173455642</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12.8439374975432</v>
      </c>
      <c r="C25" s="0" t="n">
        <f aca="false">(SUMPRODUCT(DCF_Base!$C$19:$L$19/(1+$A$25/100)^DCF_Base!$C$4:$L$4)+MAX(0,MIN(IF($A$25&gt;$C$23,DCF_Base!$L$19*(1+$C$23/100)/(($A$25-$C$23)/100),DCF_Base!$L$19*DCF_Base!$B$29),DCF_Base!$L$19*DCF_Base!$B$29))/(1+$A$25/100)^DCF_Base!$L$4+Assumptions!$B$5-Assumptions!$B$4)/Assumptions!$B$3*Assumptions!$B$10</f>
        <v>12.8439374975432</v>
      </c>
      <c r="D25" s="0" t="n">
        <f aca="false">(SUMPRODUCT(DCF_Base!$C$19:$L$19/(1+$A$25/100)^DCF_Base!$C$4:$L$4)+MAX(0,MIN(IF($A$25&gt;$D$23,DCF_Base!$L$19*(1+$D$23/100)/(($A$25-$D$23)/100),DCF_Base!$L$19*DCF_Base!$B$29),DCF_Base!$L$19*DCF_Base!$B$29))/(1+$A$25/100)^DCF_Base!$L$4+Assumptions!$B$5-Assumptions!$B$4)/Assumptions!$B$3*Assumptions!$B$10</f>
        <v>12.8439374975432</v>
      </c>
      <c r="E25" s="0" t="n">
        <f aca="false">(SUMPRODUCT(DCF_Base!$C$19:$L$19/(1+$A$25/100)^DCF_Base!$C$4:$L$4)+MAX(0,MIN(IF($A$25&gt;$E$23,DCF_Base!$L$19*(1+$E$23/100)/(($A$25-$E$23)/100),DCF_Base!$L$19*DCF_Base!$B$29),DCF_Base!$L$19*DCF_Base!$B$29))/(1+$A$25/100)^DCF_Base!$L$4+Assumptions!$B$5-Assumptions!$B$4)/Assumptions!$B$3*Assumptions!$B$10</f>
        <v>12.8439374975432</v>
      </c>
      <c r="F25" s="0" t="n">
        <f aca="false">(SUMPRODUCT(DCF_Base!$C$19:$L$19/(1+$A$25/100)^DCF_Base!$C$4:$L$4)+MAX(0,MIN(IF($A$25&gt;$F$23,DCF_Base!$L$19*(1+$F$23/100)/(($A$25-$F$23)/100),DCF_Base!$L$19*DCF_Base!$B$29),DCF_Base!$L$19*DCF_Base!$B$29))/(1+$A$25/100)^DCF_Base!$L$4+Assumptions!$B$5-Assumptions!$B$4)/Assumptions!$B$3*Assumptions!$B$10</f>
        <v>12.8439374975432</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11.9837655536858</v>
      </c>
      <c r="C26" s="0" t="n">
        <f aca="false">(SUMPRODUCT(DCF_Base!$C$19:$L$19/(1+$A$26/100)^DCF_Base!$C$4:$L$4)+MAX(0,MIN(IF($A$26&gt;$C$23,DCF_Base!$L$19*(1+$C$23/100)/(($A$26-$C$23)/100),DCF_Base!$L$19*DCF_Base!$B$29),DCF_Base!$L$19*DCF_Base!$B$29))/(1+$A$26/100)^DCF_Base!$L$4+Assumptions!$B$5-Assumptions!$B$4)/Assumptions!$B$3*Assumptions!$B$10</f>
        <v>11.9837655536858</v>
      </c>
      <c r="D26" s="0" t="n">
        <f aca="false">(SUMPRODUCT(DCF_Base!$C$19:$L$19/(1+$A$26/100)^DCF_Base!$C$4:$L$4)+MAX(0,MIN(IF($A$26&gt;$D$23,DCF_Base!$L$19*(1+$D$23/100)/(($A$26-$D$23)/100),DCF_Base!$L$19*DCF_Base!$B$29),DCF_Base!$L$19*DCF_Base!$B$29))/(1+$A$26/100)^DCF_Base!$L$4+Assumptions!$B$5-Assumptions!$B$4)/Assumptions!$B$3*Assumptions!$B$10</f>
        <v>11.9837655536858</v>
      </c>
      <c r="E26" s="0" t="n">
        <f aca="false">(SUMPRODUCT(DCF_Base!$C$19:$L$19/(1+$A$26/100)^DCF_Base!$C$4:$L$4)+MAX(0,MIN(IF($A$26&gt;$E$23,DCF_Base!$L$19*(1+$E$23/100)/(($A$26-$E$23)/100),DCF_Base!$L$19*DCF_Base!$B$29),DCF_Base!$L$19*DCF_Base!$B$29))/(1+$A$26/100)^DCF_Base!$L$4+Assumptions!$B$5-Assumptions!$B$4)/Assumptions!$B$3*Assumptions!$B$10</f>
        <v>11.9837655536858</v>
      </c>
      <c r="F26" s="0" t="n">
        <f aca="false">(SUMPRODUCT(DCF_Base!$C$19:$L$19/(1+$A$26/100)^DCF_Base!$C$4:$L$4)+MAX(0,MIN(IF($A$26&gt;$F$23,DCF_Base!$L$19*(1+$F$23/100)/(($A$26-$F$23)/100),DCF_Base!$L$19*DCF_Base!$B$29),DCF_Base!$L$19*DCF_Base!$B$29))/(1+$A$26/100)^DCF_Base!$L$4+Assumptions!$B$5-Assumptions!$B$4)/Assumptions!$B$3*Assumptions!$B$10</f>
        <v>11.9837655536858</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11.1964913838673</v>
      </c>
      <c r="C27" s="0" t="n">
        <f aca="false">(SUMPRODUCT(DCF_Base!$C$19:$L$19/(1+$A$27/100)^DCF_Base!$C$4:$L$4)+MAX(0,MIN(IF($A$27&gt;$C$23,DCF_Base!$L$19*(1+$C$23/100)/(($A$27-$C$23)/100),DCF_Base!$L$19*DCF_Base!$B$29),DCF_Base!$L$19*DCF_Base!$B$29))/(1+$A$27/100)^DCF_Base!$L$4+Assumptions!$B$5-Assumptions!$B$4)/Assumptions!$B$3*Assumptions!$B$10</f>
        <v>11.1964913838673</v>
      </c>
      <c r="D27" s="0" t="n">
        <f aca="false">(SUMPRODUCT(DCF_Base!$C$19:$L$19/(1+$A$27/100)^DCF_Base!$C$4:$L$4)+MAX(0,MIN(IF($A$27&gt;$D$23,DCF_Base!$L$19*(1+$D$23/100)/(($A$27-$D$23)/100),DCF_Base!$L$19*DCF_Base!$B$29),DCF_Base!$L$19*DCF_Base!$B$29))/(1+$A$27/100)^DCF_Base!$L$4+Assumptions!$B$5-Assumptions!$B$4)/Assumptions!$B$3*Assumptions!$B$10</f>
        <v>11.1964913838673</v>
      </c>
      <c r="E27" s="0" t="n">
        <f aca="false">(SUMPRODUCT(DCF_Base!$C$19:$L$19/(1+$A$27/100)^DCF_Base!$C$4:$L$4)+MAX(0,MIN(IF($A$27&gt;$E$23,DCF_Base!$L$19*(1+$E$23/100)/(($A$27-$E$23)/100),DCF_Base!$L$19*DCF_Base!$B$29),DCF_Base!$L$19*DCF_Base!$B$29))/(1+$A$27/100)^DCF_Base!$L$4+Assumptions!$B$5-Assumptions!$B$4)/Assumptions!$B$3*Assumptions!$B$10</f>
        <v>11.1964913838673</v>
      </c>
      <c r="F27" s="0" t="n">
        <f aca="false">(SUMPRODUCT(DCF_Base!$C$19:$L$19/(1+$A$27/100)^DCF_Base!$C$4:$L$4)+MAX(0,MIN(IF($A$27&gt;$F$23,DCF_Base!$L$19*(1+$F$23/100)/(($A$27-$F$23)/100),DCF_Base!$L$19*DCF_Base!$B$29),DCF_Base!$L$19*DCF_Base!$B$29))/(1+$A$27/100)^DCF_Base!$L$4+Assumptions!$B$5-Assumptions!$B$4)/Assumptions!$B$3*Assumptions!$B$10</f>
        <v>11.1964913838673</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10.3026483345986</v>
      </c>
      <c r="C28" s="0" t="n">
        <f aca="false">(SUMPRODUCT(DCF_Base!$C$19:$L$19/(1+$A$28/100)^DCF_Base!$C$4:$L$4)+MAX(0,MIN(IF($A$28&gt;$C$23,DCF_Base!$L$19*(1+$C$23/100)/(($A$28-$C$23)/100),DCF_Base!$L$19*DCF_Base!$B$29),DCF_Base!$L$19*DCF_Base!$B$29))/(1+$A$28/100)^DCF_Base!$L$4+Assumptions!$B$5-Assumptions!$B$4)/Assumptions!$B$3*Assumptions!$B$10</f>
        <v>10.4750560965788</v>
      </c>
      <c r="D28" s="0" t="n">
        <f aca="false">(SUMPRODUCT(DCF_Base!$C$19:$L$19/(1+$A$28/100)^DCF_Base!$C$4:$L$4)+MAX(0,MIN(IF($A$28&gt;$D$23,DCF_Base!$L$19*(1+$D$23/100)/(($A$28-$D$23)/100),DCF_Base!$L$19*DCF_Base!$B$29),DCF_Base!$L$19*DCF_Base!$B$29))/(1+$A$28/100)^DCF_Base!$L$4+Assumptions!$B$5-Assumptions!$B$4)/Assumptions!$B$3*Assumptions!$B$10</f>
        <v>10.4750560965788</v>
      </c>
      <c r="E28" s="0" t="n">
        <f aca="false">(SUMPRODUCT(DCF_Base!$C$19:$L$19/(1+$A$28/100)^DCF_Base!$C$4:$L$4)+MAX(0,MIN(IF($A$28&gt;$E$23,DCF_Base!$L$19*(1+$E$23/100)/(($A$28-$E$23)/100),DCF_Base!$L$19*DCF_Base!$B$29),DCF_Base!$L$19*DCF_Base!$B$29))/(1+$A$28/100)^DCF_Base!$L$4+Assumptions!$B$5-Assumptions!$B$4)/Assumptions!$B$3*Assumptions!$B$10</f>
        <v>10.4750560965788</v>
      </c>
      <c r="F28" s="0" t="n">
        <f aca="false">(SUMPRODUCT(DCF_Base!$C$19:$L$19/(1+$A$28/100)^DCF_Base!$C$4:$L$4)+MAX(0,MIN(IF($A$28&gt;$F$23,DCF_Base!$L$19*(1+$F$23/100)/(($A$28-$F$23)/100),DCF_Base!$L$19*DCF_Base!$B$29),DCF_Base!$L$19*DCF_Base!$B$29))/(1+$A$28/100)^DCF_Base!$L$4+Assumptions!$B$5-Assumptions!$B$4)/Assumptions!$B$3*Assumptions!$B$10</f>
        <v>10.4750560965788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2026-09-22T11:35:00Z</dcterms:created>
  <dc:creator>openpyxl</dc:creator>
  <dc:description/>
  <dc:language>en-NZ</dc:language>
  <cp:lastModifiedBy/>
  <dcterms:modified xsi:type="dcterms:W3CDTF">2026-09-22T11:35:00Z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