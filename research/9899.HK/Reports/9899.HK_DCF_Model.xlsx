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<sst xmlns="http://schemas.openxmlformats.org/spreadsheetml/2006/main" count="358" uniqueCount="172">
  <si>
    <t xml:space="preserve">Ticker</t>
  </si>
  <si>
    <t xml:space="preserve">9899.HK</t>
  </si>
  <si>
    <t xml:space="preserve">Company</t>
  </si>
  <si>
    <t xml:space="preserve">NetEase Cloud Music Inc.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</si>
  <si>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</si>
  <si>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</si>
  <si>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</si>
  <si>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</si>
  <si>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(HKEX regular close, 16:08 HKT)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</si>
  <si>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</si>
  <si>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</si>
  <si>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</si>
  <si>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</si>
  <si>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</si>
  <si>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</si>
  <si>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</si>
  <si>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</si>
  <si>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</si>
  <si>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</si>
  <si>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</si>
  <si>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</si>
  <si>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</si>
  <si>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2026-10-23T20:42:26Z</t>
  </si>
  <si>
    <t xml:space="preserve">Drivers file</t>
  </si>
  <si>
    <t xml:space="preserve">9899.HK_Drivers.json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</si>
  <si>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</si>
  <si>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</si>
  <si>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</si>
  <si>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the operating business plus RMB 13.1bn of cash, deposits and wealth-management products at face, with SBC fully expensed, the share count held flat, interest income kept out of the flows (it is already outside OCF by presentation) and the cash-tax rate ramped off the loss-carryforward shelter. The FY2025 headline profit is ignored: the model builds from operating profit, so the 678m one-off deferred-tax credit never enters the base. Net cash is roughly RMB 62 per share (~HK$73), i.e. the market is paying only a small fraction of one year's owner FCF for the operating business -- or, equivalently, applying a steep discount to onshore cash controlled by a 61% holder. The house method takes cash at face and leaves that discount to the reader; the sensitivity to it is stated below rather than buried in the WACC.
key_risks_to_valuation: Trapped-cash / governance discount: ~80% of the market cap is cash and deposits held largely in PRC subsidiaries under 61% founder/NetEase control with no dividend. A 10% dividend-withholding haircut on repatriation would be ~RMB 1.3bn (~HK$7/share); a market that refuses to credit the cash at all would value the shares near the operating-business-only figure (weighted IV less ~HK$73). The H1 FY2026 buyback of RMB 856m is evidence the cash does come back; the flat FY2025 buyback is evidence it comes back at management's pace.; Competitive share loss to ByteDance's Qishui Music and Tencent Music's scale: the bear path cuts revenue ~8% and EBITDA margin to 17%; a faster or deeper loss than that is not modelled.; Content cost inflation at label renewals (top-5 suppliers 29.3% of cost of revenue); each 1pp of gross margin is ~RMB 80m of EBITDA, ~RMB 5/share capitalised.; Cash-tax normalisation: the model ramps to 16%; if the HNTE 15% rate lapses or Pillar Two top-up grows, 20-25% applies (the bear case). Conversely the DTA shelter could last longer than the ~5-6 years assumed.; FX: value is built in CNY and quoted in HKD at 1.1754; a 5% CNY depreciation is ~5% off every HKD figure. The rate is dated and must be refreshed with the price.; Discount-rate judgment: 10% WACC embeds ~1.8pp of structural China/VIE premium over pure CAPM. Each 1pp of WACC is worth roughly HK$10-12/share in the base case (see sensitivity grid); the required-return table shows what IRR today's price implies.; Fiscal-period overlap: the growth path compounds from FY2025 while the balance sheet is 30 June 2026, so roughly one half-year of owner FCF (~RMB 400m, ~HK$2/share) is in both the cash pile and Y1 -- partly offset by end-of-year discounting of a FY2026 flow that is mostly already earned.</t>
  </si>
  <si>
    <t xml:space="preserve">Data sources</t>
  </si>
  <si>
    <t xml:space="preserve">price: Yahoo Finance chart API (9899.HK) at inputs.price_as_of; 52-week range 80.55-261.2 HKD. FX from Yahoo CNYHKD=X, USDCNY=X, USDHKD=X, 2026-10-23.
financials: research/9899.HK/Reports/9899.HK_Metrics.csv and core_metrics/kpis (financial-parser, 2026-10-24); 9899.HK_Annual_FY2025.txt (P&amp;L p.5562-5569, tax note 7597-7645, D&amp;A 8615-8616, cash flow 5820-5841, SBC 603); 9899.HK_HalfYear_H1-2026.txt (P&amp;L 1125-1154, balance sheet 1200-1267, cash flow 1367-1399, EPS note 1825-1856, treasury shares 2132, FVTPL note 1589-1630).
qualitative: research/9899.HK/Reports/9899.HK_Analysis.json (qualitative-analyst, 2026-10-24): QuestMobile MAU data (Mar-2026), label renewals, buyback mandate, broker target dispersion.</t>
  </si>
  <si>
    <t xml:space="preserve">Scenario narrative: bear</t>
  </si>
  <si>
    <t xml:space="preserve">ByteDance does to music what it did to short video: Qishui, already ahead on MAU, uses Douyin's distribution to pull younger listeners and then paying users; NetEase's subscription growth stalls and ARPPU keeps diluting while the live-streaming book resumes declining. Labels, now 29% of COGS and consolidating their leverage, extract higher royalties at renewals; marketing spend stays high; pre-SBC EBITDA compresses to 17%. Revenue falls ~8% over FY2027-30 and then grows 1-2%. The business still generates over RMB 1bn of owner FCF a year, so most of the bear value is the RMB 13bn of cash and deposits -- and the live question is whether minority holders ever see it (61% founder control, onshore cash, no dividend).</t>
  </si>
  <si>
    <t xml:space="preserve">Scenario narrative: base</t>
  </si>
  <si>
    <t xml:space="preserve">NetEase Cloud Music settles into its new place as China's #3 music app by MAU but keeps the most engaged, most music-centric user base (DAU/MAU &gt;30%, 1M+ independent artists). Subscription revenue compounds mid-single digits as the subscriber base widens and ARPPU dilutes; the social entertainment book, deliberately shrunk from 5.3bn to 1.8bn, stops falling. Gross margin keeps grinding up with mix while S&amp;M stays elevated to defend share against Qishui, so pre-SBC EBITDA margin expands roughly half a point a year from 20.5% to 24%. The cash-tax shelter from historical losses is consumed over five to six years and the cash rate normalises to ~16%. Buybacks continue; the count is held flat with SBC fully expensed. Group revenue grows 3-4.5% then fades to 2.5%.</t>
  </si>
  <si>
    <t xml:space="preserve">Scenario narrative: bull</t>
  </si>
  <si>
    <t xml:space="preserve">Paid-music penetration in China keeps rising and NetEase captures its share: subscriber growth re-accelerates, member-tier pricing (dress-up, artist offerings, hi-res content) ends the ARPPU dilution, and AI-driven recommendation lifts engagement enough that Qishui's traffic advantage does not translate into subscription share. Non-exclusive label economics post the 2021 antitrust remedy let gross margin reach ~45%; S&amp;M normalises once the entrant's growth slows; pre-SBC EBITDA matures at 27%. Revenue grows 6-7.5% through FY2030 and the market re-rates the operating business from the ~2x owner FCF it is paying today.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</si>
  <si>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</si>
  <si>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</si>
  <si>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</si>
  <si>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</si>
  <si>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</si>
  <si>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</si>
  <si>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</si>
  <si>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</si>
  <si>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</si>
  <si>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</si>
  <si>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</si>
  <si>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</si>
  <si>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</si>
  <si>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</si>
  <si>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</si>
  <si>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</si>
  <si>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</si>
  <si>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</si>
  <si>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</si>
  <si>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</si>
  <si>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</si>
  <si>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</si>
  <si>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</si>
  <si>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</si>
  <si>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</si>
  <si>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</si>
  <si>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</si>
  <si>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AdjustedNetProfit</t>
  </si>
  <si>
    <t xml:space="preserve">ConvertiblePreferredSharesLiability</t>
  </si>
  <si>
    <t xml:space="preserve">FVTPLFinancialAssets</t>
  </si>
  <si>
    <t xml:space="preserve">FairValueChangePreferredShares</t>
  </si>
  <si>
    <t xml:space="preserve">LongTermBankDeposits</t>
  </si>
  <si>
    <t xml:space="preserve">MAU</t>
  </si>
  <si>
    <t xml:space="preserve">OnlineMusicRevenue</t>
  </si>
  <si>
    <t xml:space="preserve">ShortTermDeposits</t>
  </si>
  <si>
    <t xml:space="preserve">SocialEntertainmentRevenue</t>
  </si>
  <si>
    <t xml:space="preserve">Subscribers</t>
  </si>
  <si>
    <t xml:space="preserve">SubscriptionRevenue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</si>
  <si>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</si>
  <si>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</si>
  <si>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</si>
  <si>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</si>
  <si>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</si>
  <si>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</si>
  <si>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</si>
  <si>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</si>
  <si>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</si>
  <si>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</si>
  <si>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</si>
  <si>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</si>
  <si>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</si>
  <si>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</si>
  <si>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</si>
  <si>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</si>
  <si>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</si>
  <si>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</si>
  <si>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</si>
  <si>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</si>
  <si>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</si>
  <si>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</si>
  <si>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</si>
  <si>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</si>
  <si>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</si>
  <si>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</si>
  <si>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</si>
  <si>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</si>
  <si>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</si>
  <si>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</si>
  <si>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</si>
  <si>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</si>
  <si>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</si>
  <si>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</si>
  <si>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</si>
  <si>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</si>
  <si>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</si>
  <si>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</si>
  <si>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</si>
  <si>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</si>
  <si>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</si>
  <si>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</si>
  <si>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</si>
  <si>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9899.HK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</si>
  <si>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</si>
  <si>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</si>
  <si>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</si>
  <si>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</si>
  <si>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</si>
  <si>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</si>
  <si>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</si>
  <si>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</si>
  <si>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</si>
  <si>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</si>
  <si>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</si>
  <si>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</si>
  <si>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</si>
  <si>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</si>
  <si>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</si>
  <si>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</si>
  <si>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</si>
  <si>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</si>
  <si>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</si>
  <si>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</si>
  <si>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</si>
  <si>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</si>
  <si>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</si>
  <si>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</si>
  <si>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</si>
  <si>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</si>
  <si>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</si>
  <si>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</si>
  <si>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</si>
  <si>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</si>
  <si>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9899.HK owner-FCF component DCF: base case (millions, CNY)</t>
  </si>
  <si>
    <t xml:space="preserve">9899.HK owner-FCF component DCF: bull case (millions, CNY)</t>
  </si>
  <si>
    <t xml:space="preserve">9899.HK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</si>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</sst>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91.5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  <c r="AL1" s="2" t="s">
        <v>73</v>
      </c>
      <c r="AM1" s="2" t="s">
        <v>74</v>
      </c>
    </row>
    <row r="2" customFormat="false" ht="15" hidden="false" customHeight="false" outlineLevel="0" collapsed="false">
      <c r="A2" s="0" t="s">
        <v>75</v>
      </c>
      <c r="B2" s="0" t="n">
        <v>4895.731</v>
      </c>
      <c r="C2" s="0" t="n">
        <v>5491.066</v>
      </c>
      <c r="D2" s="0" t="n">
        <v>-595.335</v>
      </c>
      <c r="E2" s="0" t="n">
        <v>-12.2</v>
      </c>
      <c r="F2" s="0" t="n">
        <v>-1524.79</v>
      </c>
      <c r="G2" s="0" t="n">
        <v>-31.1</v>
      </c>
      <c r="H2" s="0" t="n">
        <v>-1502.407</v>
      </c>
      <c r="I2" s="0" t="n">
        <v>-2951.463</v>
      </c>
      <c r="J2" s="0" t="n">
        <v>-60.3</v>
      </c>
      <c r="K2" s="0" t="n">
        <v>-24.22</v>
      </c>
      <c r="L2" s="0" t="n">
        <v>-969.458</v>
      </c>
      <c r="M2" s="0" t="n">
        <v>20.565</v>
      </c>
      <c r="N2" s="0" t="n">
        <v>-990.023</v>
      </c>
      <c r="O2" s="0" t="n">
        <v>-5306.766</v>
      </c>
      <c r="P2" s="0" t="n">
        <v>8057.402</v>
      </c>
      <c r="Q2" s="0" t="n">
        <v>13364.168</v>
      </c>
      <c r="R2" s="0" t="n">
        <v>0</v>
      </c>
      <c r="S2" s="0" t="n">
        <v>3006.206</v>
      </c>
      <c r="T2" s="0" t="n">
        <v>121.861</v>
      </c>
      <c r="U2" s="0" t="n">
        <v>21.893</v>
      </c>
      <c r="AA2" s="0" t="s">
        <v>18</v>
      </c>
      <c r="AB2" s="0" t="s">
        <v>14</v>
      </c>
      <c r="AC2" s="0" t="n">
        <v>-1567.989</v>
      </c>
      <c r="AD2" s="0" t="n">
        <v>11162.403</v>
      </c>
      <c r="AE2" s="0" t="n">
        <v>971.315</v>
      </c>
      <c r="AF2" s="0" t="n">
        <v>-1361.581</v>
      </c>
      <c r="AG2" s="0" t="n">
        <v>190</v>
      </c>
      <c r="AH2" s="0" t="n">
        <v>180.5</v>
      </c>
      <c r="AJ2" s="0" t="n">
        <v>816.917</v>
      </c>
      <c r="AL2" s="0" t="n">
        <v>15.9615</v>
      </c>
      <c r="AM2" s="0" t="n">
        <v>1603.9</v>
      </c>
    </row>
    <row r="3" customFormat="false" ht="15" hidden="false" customHeight="false" outlineLevel="0" collapsed="false">
      <c r="A3" s="0" t="s">
        <v>76</v>
      </c>
      <c r="B3" s="0" t="n">
        <v>6997.622</v>
      </c>
      <c r="C3" s="0" t="n">
        <v>6854.948</v>
      </c>
      <c r="D3" s="0" t="n">
        <v>142.674</v>
      </c>
      <c r="E3" s="0" t="n">
        <v>2</v>
      </c>
      <c r="F3" s="0" t="n">
        <v>-1346.935</v>
      </c>
      <c r="G3" s="0" t="n">
        <v>-19.2</v>
      </c>
      <c r="H3" s="0" t="n">
        <v>-1331.118</v>
      </c>
      <c r="I3" s="0" t="n">
        <v>-2056.092</v>
      </c>
      <c r="J3" s="0" t="n">
        <v>-29.4</v>
      </c>
      <c r="K3" s="0" t="n">
        <v>-15.92</v>
      </c>
      <c r="L3" s="0" t="n">
        <v>-908.412</v>
      </c>
      <c r="M3" s="0" t="n">
        <v>39.502</v>
      </c>
      <c r="N3" s="0" t="n">
        <v>-947.914</v>
      </c>
      <c r="O3" s="0" t="n">
        <v>7381.67</v>
      </c>
      <c r="P3" s="0" t="n">
        <v>9387.638</v>
      </c>
      <c r="Q3" s="0" t="n">
        <v>2005.968</v>
      </c>
      <c r="R3" s="0" t="n">
        <v>10.505</v>
      </c>
      <c r="S3" s="0" t="n">
        <v>853.454</v>
      </c>
      <c r="T3" s="0" t="n">
        <v>129.152</v>
      </c>
      <c r="U3" s="0" t="n">
        <v>257.142</v>
      </c>
      <c r="AA3" s="0" t="s">
        <v>18</v>
      </c>
      <c r="AB3" s="0" t="s">
        <v>14</v>
      </c>
      <c r="AC3" s="0" t="n">
        <v>-1043.712</v>
      </c>
      <c r="AD3" s="0" t="n">
        <v>0</v>
      </c>
      <c r="AE3" s="0" t="n">
        <v>240.772</v>
      </c>
      <c r="AF3" s="0" t="n">
        <v>-755.238</v>
      </c>
      <c r="AG3" s="0" t="n">
        <v>0</v>
      </c>
      <c r="AH3" s="0" t="n">
        <v>182.6</v>
      </c>
      <c r="AI3" s="0" t="n">
        <v>3290</v>
      </c>
      <c r="AJ3" s="0" t="n">
        <v>5527.732</v>
      </c>
      <c r="AK3" s="0" t="n">
        <v>3707.622</v>
      </c>
      <c r="AL3" s="0" t="n">
        <v>28.9404</v>
      </c>
      <c r="AM3" s="0" t="n">
        <v>2333.5</v>
      </c>
    </row>
    <row r="4" customFormat="false" ht="15" hidden="false" customHeight="false" outlineLevel="0" collapsed="false">
      <c r="A4" s="0" t="s">
        <v>77</v>
      </c>
      <c r="B4" s="0" t="n">
        <v>8992.221</v>
      </c>
      <c r="C4" s="0" t="n">
        <v>7699.103</v>
      </c>
      <c r="D4" s="0" t="n">
        <v>1293.118</v>
      </c>
      <c r="E4" s="0" t="n">
        <v>14.4</v>
      </c>
      <c r="F4" s="0" t="n">
        <v>-384.513</v>
      </c>
      <c r="G4" s="0" t="n">
        <v>-4.3</v>
      </c>
      <c r="H4" s="0" t="n">
        <v>-359.275</v>
      </c>
      <c r="I4" s="0" t="n">
        <v>-221.494</v>
      </c>
      <c r="J4" s="0" t="n">
        <v>-2.5</v>
      </c>
      <c r="K4" s="0" t="n">
        <v>-1.06</v>
      </c>
      <c r="L4" s="0" t="n">
        <v>1842.908</v>
      </c>
      <c r="M4" s="0" t="n">
        <v>26.092</v>
      </c>
      <c r="N4" s="0" t="n">
        <v>1816.816</v>
      </c>
      <c r="O4" s="0" t="n">
        <v>7820.059</v>
      </c>
      <c r="P4" s="0" t="n">
        <v>10891.392</v>
      </c>
      <c r="Q4" s="0" t="n">
        <v>3071.333</v>
      </c>
      <c r="R4" s="0" t="n">
        <v>8.399</v>
      </c>
      <c r="S4" s="0" t="n">
        <v>2916.534</v>
      </c>
      <c r="T4" s="0" t="n">
        <v>208.957</v>
      </c>
      <c r="U4" s="0" t="n">
        <v>106.921</v>
      </c>
      <c r="AA4" s="0" t="s">
        <v>18</v>
      </c>
      <c r="AB4" s="0" t="s">
        <v>14</v>
      </c>
      <c r="AC4" s="0" t="n">
        <v>-114.573</v>
      </c>
      <c r="AH4" s="0" t="n">
        <v>189.4</v>
      </c>
      <c r="AI4" s="0" t="n">
        <v>3698.8</v>
      </c>
      <c r="AJ4" s="0" t="n">
        <v>6191.529</v>
      </c>
      <c r="AK4" s="0" t="n">
        <v>5293.4</v>
      </c>
      <c r="AL4" s="0" t="n">
        <v>38.2671</v>
      </c>
      <c r="AM4" s="0" t="n">
        <v>3037.1</v>
      </c>
    </row>
    <row r="5" customFormat="false" ht="15" hidden="false" customHeight="false" outlineLevel="0" collapsed="false">
      <c r="A5" s="0" t="s">
        <v>78</v>
      </c>
      <c r="B5" s="0" t="n">
        <v>7866.992</v>
      </c>
      <c r="C5" s="0" t="n">
        <v>5764.322</v>
      </c>
      <c r="D5" s="0" t="n">
        <v>2102.67</v>
      </c>
      <c r="E5" s="0" t="n">
        <v>26.7</v>
      </c>
      <c r="F5" s="0" t="n">
        <v>330.18</v>
      </c>
      <c r="G5" s="0" t="n">
        <v>4.2</v>
      </c>
      <c r="H5" s="0" t="n">
        <v>349.55</v>
      </c>
      <c r="I5" s="0" t="n">
        <v>734.182</v>
      </c>
      <c r="J5" s="0" t="n">
        <v>9.3</v>
      </c>
      <c r="K5" s="0" t="n">
        <v>3.47</v>
      </c>
      <c r="L5" s="0" t="n">
        <v>189.053</v>
      </c>
      <c r="M5" s="0" t="n">
        <v>5.545</v>
      </c>
      <c r="N5" s="0" t="n">
        <v>183.508</v>
      </c>
      <c r="O5" s="0" t="n">
        <v>8440.902</v>
      </c>
      <c r="P5" s="0" t="n">
        <v>11610.551</v>
      </c>
      <c r="Q5" s="0" t="n">
        <v>3169.649</v>
      </c>
      <c r="R5" s="0" t="n">
        <v>6.359</v>
      </c>
      <c r="S5" s="0" t="n">
        <v>4020.4</v>
      </c>
      <c r="T5" s="0" t="n">
        <v>211.819</v>
      </c>
      <c r="U5" s="0" t="n">
        <v>84.318</v>
      </c>
      <c r="AA5" s="0" t="s">
        <v>18</v>
      </c>
      <c r="AB5" s="0" t="s">
        <v>14</v>
      </c>
      <c r="AC5" s="0" t="n">
        <v>818.5</v>
      </c>
      <c r="AG5" s="0" t="n">
        <v>0</v>
      </c>
      <c r="AH5" s="0" t="n">
        <v>205.9</v>
      </c>
      <c r="AI5" s="0" t="n">
        <v>4350.9</v>
      </c>
      <c r="AJ5" s="0" t="n">
        <v>5484.688</v>
      </c>
      <c r="AK5" s="0" t="n">
        <v>3516.1</v>
      </c>
      <c r="AL5" s="0" t="n">
        <v>44.12</v>
      </c>
      <c r="AM5" s="0" t="n">
        <v>3649.2</v>
      </c>
    </row>
    <row r="6" customFormat="false" ht="15" hidden="false" customHeight="false" outlineLevel="0" collapsed="false">
      <c r="A6" s="0" t="s">
        <v>79</v>
      </c>
      <c r="B6" s="0" t="n">
        <v>7950.146</v>
      </c>
      <c r="C6" s="0" t="n">
        <v>5268.634</v>
      </c>
      <c r="D6" s="0" t="n">
        <v>2681.512</v>
      </c>
      <c r="E6" s="0" t="n">
        <v>33.7</v>
      </c>
      <c r="F6" s="0" t="n">
        <v>1170.847</v>
      </c>
      <c r="G6" s="0" t="n">
        <v>14.7</v>
      </c>
      <c r="H6" s="0" t="n">
        <v>1188.066</v>
      </c>
      <c r="I6" s="0" t="n">
        <v>1561.507</v>
      </c>
      <c r="J6" s="0" t="n">
        <v>19.6</v>
      </c>
      <c r="K6" s="0" t="n">
        <v>7.4</v>
      </c>
      <c r="L6" s="0" t="n">
        <v>1774.62</v>
      </c>
      <c r="M6" s="0" t="n">
        <v>3.709</v>
      </c>
      <c r="N6" s="0" t="n">
        <v>1770.911</v>
      </c>
      <c r="O6" s="0" t="n">
        <v>10177.651</v>
      </c>
      <c r="P6" s="0" t="n">
        <v>13582.249</v>
      </c>
      <c r="Q6" s="0" t="n">
        <v>3400.736</v>
      </c>
      <c r="R6" s="0" t="n">
        <v>6.472</v>
      </c>
      <c r="S6" s="0" t="n">
        <v>3795.21</v>
      </c>
      <c r="T6" s="0" t="n">
        <v>211.051</v>
      </c>
      <c r="U6" s="0" t="n">
        <v>138.571</v>
      </c>
      <c r="AA6" s="0" t="s">
        <v>18</v>
      </c>
      <c r="AB6" s="0" t="s">
        <v>14</v>
      </c>
      <c r="AC6" s="0" t="n">
        <v>1700.078</v>
      </c>
      <c r="AE6" s="0" t="n">
        <v>6.515</v>
      </c>
      <c r="AG6" s="0" t="n">
        <v>1400</v>
      </c>
      <c r="AI6" s="0" t="n">
        <v>5354.5</v>
      </c>
      <c r="AJ6" s="0" t="n">
        <v>6420.669</v>
      </c>
      <c r="AK6" s="0" t="n">
        <v>2595.6</v>
      </c>
      <c r="AM6" s="0" t="n">
        <v>4459</v>
      </c>
    </row>
    <row r="7" customFormat="false" ht="15" hidden="false" customHeight="false" outlineLevel="0" collapsed="false">
      <c r="A7" s="0" t="s">
        <v>80</v>
      </c>
      <c r="B7" s="0" t="n">
        <v>7759.45</v>
      </c>
      <c r="C7" s="0" t="n">
        <v>4989.858</v>
      </c>
      <c r="D7" s="0" t="n">
        <v>2769.592</v>
      </c>
      <c r="E7" s="0" t="n">
        <v>35.7</v>
      </c>
      <c r="F7" s="0" t="n">
        <v>1621.952</v>
      </c>
      <c r="G7" s="0" t="n">
        <v>20.9</v>
      </c>
      <c r="H7" s="0" t="n">
        <v>1634.586</v>
      </c>
      <c r="I7" s="0" t="n">
        <v>2748.21</v>
      </c>
      <c r="J7" s="0" t="n">
        <v>35.4</v>
      </c>
      <c r="K7" s="0" t="n">
        <v>12.87</v>
      </c>
      <c r="L7" s="0" t="n">
        <v>1618.081</v>
      </c>
      <c r="M7" s="0" t="n">
        <v>11.203</v>
      </c>
      <c r="N7" s="0" t="n">
        <v>1606.878</v>
      </c>
      <c r="O7" s="0" t="n">
        <v>12869.434</v>
      </c>
      <c r="P7" s="0" t="n">
        <v>16461.489</v>
      </c>
      <c r="Q7" s="0" t="n">
        <v>3592.055</v>
      </c>
      <c r="R7" s="0" t="n">
        <v>6.196</v>
      </c>
      <c r="S7" s="0" t="n">
        <v>3117.624</v>
      </c>
      <c r="T7" s="0" t="n">
        <v>213.531</v>
      </c>
      <c r="U7" s="0" t="n">
        <v>111.797</v>
      </c>
      <c r="AA7" s="0" t="s">
        <v>18</v>
      </c>
      <c r="AB7" s="0" t="s">
        <v>14</v>
      </c>
      <c r="AC7" s="0" t="n">
        <v>2860.007</v>
      </c>
      <c r="AE7" s="0" t="n">
        <v>0</v>
      </c>
      <c r="AG7" s="0" t="n">
        <v>1400</v>
      </c>
      <c r="AI7" s="0" t="n">
        <v>5994.4</v>
      </c>
      <c r="AJ7" s="0" t="n">
        <v>9057.452</v>
      </c>
      <c r="AK7" s="0" t="n">
        <v>1765</v>
      </c>
      <c r="AM7" s="0" t="n">
        <v>5052.7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91.5</v>
      </c>
    </row>
    <row r="3" customFormat="false" ht="15" hidden="false" customHeight="false" outlineLevel="0" collapsed="false">
      <c r="A3" s="0" t="s">
        <v>84</v>
      </c>
      <c r="B3" s="3" t="n">
        <v>210.333</v>
      </c>
    </row>
    <row r="4" customFormat="false" ht="15" hidden="false" customHeight="false" outlineLevel="0" collapsed="false">
      <c r="A4" s="0" t="s">
        <v>85</v>
      </c>
      <c r="B4" s="3" t="n">
        <v>-13129.764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7759.45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1.1754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1.5</v>
      </c>
      <c r="D13" s="3" t="n">
        <v>-2</v>
      </c>
      <c r="E13" s="3" t="n">
        <v>-3</v>
      </c>
      <c r="F13" s="3" t="n">
        <v>-2</v>
      </c>
      <c r="G13" s="3" t="n">
        <v>-1</v>
      </c>
      <c r="H13" s="3" t="n">
        <v>0</v>
      </c>
      <c r="I13" s="3" t="n">
        <v>1</v>
      </c>
      <c r="J13" s="3" t="n">
        <v>1.5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105</v>
      </c>
      <c r="C14" s="3" t="n">
        <v>19.5</v>
      </c>
      <c r="D14" s="3" t="n">
        <v>18.5</v>
      </c>
      <c r="E14" s="3" t="n">
        <v>17.5</v>
      </c>
      <c r="F14" s="3" t="n">
        <v>17</v>
      </c>
      <c r="G14" s="3" t="n">
        <v>17</v>
      </c>
      <c r="H14" s="3" t="n">
        <v>17.5</v>
      </c>
      <c r="I14" s="3" t="n">
        <v>18</v>
      </c>
      <c r="J14" s="3" t="n">
        <v>18</v>
      </c>
      <c r="K14" s="3" t="n">
        <v>18</v>
      </c>
      <c r="L14" s="3" t="n">
        <v>18</v>
      </c>
    </row>
    <row r="15" customFormat="false" ht="15" hidden="false" customHeight="false" outlineLevel="0" collapsed="false">
      <c r="A15" s="0" t="s">
        <v>106</v>
      </c>
      <c r="C15" s="3" t="n">
        <v>1.3</v>
      </c>
      <c r="D15" s="3" t="n">
        <v>1.4</v>
      </c>
      <c r="E15" s="3" t="n">
        <v>1.4</v>
      </c>
      <c r="F15" s="3" t="n">
        <v>1.4</v>
      </c>
      <c r="G15" s="3" t="n">
        <v>1.3</v>
      </c>
      <c r="H15" s="3" t="n">
        <v>1.3</v>
      </c>
      <c r="I15" s="3" t="n">
        <v>1.2</v>
      </c>
      <c r="J15" s="3" t="n">
        <v>1.2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0.15</v>
      </c>
      <c r="D17" s="3" t="n">
        <v>0.15</v>
      </c>
      <c r="E17" s="3" t="n">
        <v>0.15</v>
      </c>
      <c r="F17" s="3" t="n">
        <v>0.15</v>
      </c>
      <c r="G17" s="3" t="n">
        <v>0.15</v>
      </c>
      <c r="H17" s="3" t="n">
        <v>0.15</v>
      </c>
      <c r="I17" s="3" t="n">
        <v>0.15</v>
      </c>
      <c r="J17" s="3" t="n">
        <v>0.15</v>
      </c>
      <c r="K17" s="3" t="n">
        <v>0.15</v>
      </c>
      <c r="L17" s="3" t="n">
        <v>0.15</v>
      </c>
    </row>
    <row r="18" customFormat="false" ht="15" hidden="false" customHeight="false" outlineLevel="0" collapsed="false">
      <c r="A18" s="0" t="s">
        <v>109</v>
      </c>
      <c r="C18" s="3" t="n">
        <v>0.15</v>
      </c>
      <c r="D18" s="3" t="n">
        <v>0.15</v>
      </c>
      <c r="E18" s="3" t="n">
        <v>0.15</v>
      </c>
      <c r="F18" s="3" t="n">
        <v>0.15</v>
      </c>
      <c r="G18" s="3" t="n">
        <v>0.15</v>
      </c>
      <c r="H18" s="3" t="n">
        <v>0.15</v>
      </c>
      <c r="I18" s="3" t="n">
        <v>0.15</v>
      </c>
      <c r="J18" s="3" t="n">
        <v>0.15</v>
      </c>
      <c r="K18" s="3" t="n">
        <v>0.15</v>
      </c>
      <c r="L18" s="3" t="n">
        <v>0.15</v>
      </c>
    </row>
    <row r="19" customFormat="false" ht="15" hidden="false" customHeight="false" outlineLevel="0" collapsed="false">
      <c r="A19" s="0" t="s">
        <v>110</v>
      </c>
      <c r="C19" s="3" t="n">
        <v>5</v>
      </c>
      <c r="D19" s="3" t="n">
        <v>9</v>
      </c>
      <c r="E19" s="3" t="n">
        <v>12</v>
      </c>
      <c r="F19" s="3" t="n">
        <v>15</v>
      </c>
      <c r="G19" s="3" t="n">
        <v>18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111</v>
      </c>
      <c r="B20" s="3" t="n">
        <v>10</v>
      </c>
    </row>
    <row r="21" customFormat="false" ht="15" hidden="false" customHeight="false" outlineLevel="0" collapsed="false">
      <c r="A21" s="0" t="s">
        <v>112</v>
      </c>
      <c r="B21" s="3" t="n">
        <v>1.5</v>
      </c>
    </row>
    <row r="22" customFormat="false" ht="15" hidden="false" customHeight="false" outlineLevel="0" collapsed="false">
      <c r="A22" s="0" t="s">
        <v>113</v>
      </c>
      <c r="B22" s="3" t="n">
        <v>12</v>
      </c>
    </row>
    <row r="23" customFormat="false" ht="15" hidden="false" customHeight="false" outlineLevel="0" collapsed="false">
      <c r="A23" s="0" t="s">
        <v>114</v>
      </c>
      <c r="B23" s="3" t="n">
        <v>0</v>
      </c>
    </row>
    <row r="24" customFormat="false" ht="15" hidden="false" customHeight="false" outlineLevel="0" collapsed="false">
      <c r="A24" s="0" t="s">
        <v>115</v>
      </c>
      <c r="B24" s="3" t="n">
        <v>0.3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3</v>
      </c>
      <c r="D27" s="3" t="n">
        <v>4</v>
      </c>
      <c r="E27" s="3" t="n">
        <v>4.5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105</v>
      </c>
      <c r="C28" s="3" t="n">
        <v>20.5</v>
      </c>
      <c r="D28" s="3" t="n">
        <v>21</v>
      </c>
      <c r="E28" s="3" t="n">
        <v>21.5</v>
      </c>
      <c r="F28" s="3" t="n">
        <v>22</v>
      </c>
      <c r="G28" s="3" t="n">
        <v>22.5</v>
      </c>
      <c r="H28" s="3" t="n">
        <v>23</v>
      </c>
      <c r="I28" s="3" t="n">
        <v>23.5</v>
      </c>
      <c r="J28" s="3" t="n">
        <v>24</v>
      </c>
      <c r="K28" s="3" t="n">
        <v>24</v>
      </c>
      <c r="L28" s="3" t="n">
        <v>24</v>
      </c>
    </row>
    <row r="29" customFormat="false" ht="15" hidden="false" customHeight="false" outlineLevel="0" collapsed="false">
      <c r="A29" s="0" t="s">
        <v>106</v>
      </c>
      <c r="C29" s="3" t="n">
        <v>1.3</v>
      </c>
      <c r="D29" s="3" t="n">
        <v>1.3</v>
      </c>
      <c r="E29" s="3" t="n">
        <v>1.25</v>
      </c>
      <c r="F29" s="3" t="n">
        <v>1.2</v>
      </c>
      <c r="G29" s="3" t="n">
        <v>1.2</v>
      </c>
      <c r="H29" s="3" t="n">
        <v>1.15</v>
      </c>
      <c r="I29" s="3" t="n">
        <v>1.1</v>
      </c>
      <c r="J29" s="3" t="n">
        <v>1.1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0.15</v>
      </c>
      <c r="D31" s="3" t="n">
        <v>0.15</v>
      </c>
      <c r="E31" s="3" t="n">
        <v>0.15</v>
      </c>
      <c r="F31" s="3" t="n">
        <v>0.15</v>
      </c>
      <c r="G31" s="3" t="n">
        <v>0.15</v>
      </c>
      <c r="H31" s="3" t="n">
        <v>0.15</v>
      </c>
      <c r="I31" s="3" t="n">
        <v>0.15</v>
      </c>
      <c r="J31" s="3" t="n">
        <v>0.15</v>
      </c>
      <c r="K31" s="3" t="n">
        <v>0.15</v>
      </c>
      <c r="L31" s="3" t="n">
        <v>0.15</v>
      </c>
    </row>
    <row r="32" customFormat="false" ht="15" hidden="false" customHeight="false" outlineLevel="0" collapsed="false">
      <c r="A32" s="0" t="s">
        <v>109</v>
      </c>
      <c r="C32" s="3" t="n">
        <v>0.15</v>
      </c>
      <c r="D32" s="3" t="n">
        <v>0.15</v>
      </c>
      <c r="E32" s="3" t="n">
        <v>0.15</v>
      </c>
      <c r="F32" s="3" t="n">
        <v>0.15</v>
      </c>
      <c r="G32" s="3" t="n">
        <v>0.15</v>
      </c>
      <c r="H32" s="3" t="n">
        <v>0.15</v>
      </c>
      <c r="I32" s="3" t="n">
        <v>0.15</v>
      </c>
      <c r="J32" s="3" t="n">
        <v>0.15</v>
      </c>
      <c r="K32" s="3" t="n">
        <v>0.15</v>
      </c>
      <c r="L32" s="3" t="n">
        <v>0.15</v>
      </c>
    </row>
    <row r="33" customFormat="false" ht="15" hidden="false" customHeight="false" outlineLevel="0" collapsed="false">
      <c r="A33" s="0" t="s">
        <v>110</v>
      </c>
      <c r="C33" s="3" t="n">
        <v>5</v>
      </c>
      <c r="D33" s="3" t="n">
        <v>8</v>
      </c>
      <c r="E33" s="3" t="n">
        <v>10</v>
      </c>
      <c r="F33" s="3" t="n">
        <v>12</v>
      </c>
      <c r="G33" s="3" t="n">
        <v>14</v>
      </c>
      <c r="H33" s="3" t="n">
        <v>15</v>
      </c>
      <c r="I33" s="3" t="n">
        <v>16</v>
      </c>
      <c r="J33" s="3" t="n">
        <v>16</v>
      </c>
      <c r="K33" s="3" t="n">
        <v>16</v>
      </c>
      <c r="L33" s="3" t="n">
        <v>16</v>
      </c>
    </row>
    <row r="34" customFormat="false" ht="15" hidden="false" customHeight="false" outlineLevel="0" collapsed="false">
      <c r="A34" s="0" t="s">
        <v>111</v>
      </c>
      <c r="B34" s="3" t="n">
        <v>10</v>
      </c>
    </row>
    <row r="35" customFormat="false" ht="15" hidden="false" customHeight="false" outlineLevel="0" collapsed="false">
      <c r="A35" s="0" t="s">
        <v>112</v>
      </c>
      <c r="B35" s="3" t="n">
        <v>2.5</v>
      </c>
    </row>
    <row r="36" customFormat="false" ht="15" hidden="false" customHeight="false" outlineLevel="0" collapsed="false">
      <c r="A36" s="0" t="s">
        <v>113</v>
      </c>
      <c r="B36" s="3" t="n">
        <v>15</v>
      </c>
    </row>
    <row r="37" customFormat="false" ht="15" hidden="false" customHeight="false" outlineLevel="0" collapsed="false">
      <c r="A37" s="0" t="s">
        <v>114</v>
      </c>
      <c r="B37" s="3" t="n">
        <v>10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4</v>
      </c>
      <c r="D41" s="3" t="n">
        <v>6</v>
      </c>
      <c r="E41" s="3" t="n">
        <v>7.5</v>
      </c>
      <c r="F41" s="3" t="n">
        <v>7.5</v>
      </c>
      <c r="G41" s="3" t="n">
        <v>7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105</v>
      </c>
      <c r="C42" s="3" t="n">
        <v>21</v>
      </c>
      <c r="D42" s="3" t="n">
        <v>22</v>
      </c>
      <c r="E42" s="3" t="n">
        <v>23</v>
      </c>
      <c r="F42" s="3" t="n">
        <v>24</v>
      </c>
      <c r="G42" s="3" t="n">
        <v>25</v>
      </c>
      <c r="H42" s="3" t="n">
        <v>26</v>
      </c>
      <c r="I42" s="3" t="n">
        <v>26.5</v>
      </c>
      <c r="J42" s="3" t="n">
        <v>27</v>
      </c>
      <c r="K42" s="3" t="n">
        <v>27</v>
      </c>
      <c r="L42" s="3" t="n">
        <v>27</v>
      </c>
    </row>
    <row r="43" customFormat="false" ht="15" hidden="false" customHeight="false" outlineLevel="0" collapsed="false">
      <c r="A43" s="0" t="s">
        <v>106</v>
      </c>
      <c r="C43" s="3" t="n">
        <v>1.3</v>
      </c>
      <c r="D43" s="3" t="n">
        <v>1.3</v>
      </c>
      <c r="E43" s="3" t="n">
        <v>1.25</v>
      </c>
      <c r="F43" s="3" t="n">
        <v>1.2</v>
      </c>
      <c r="G43" s="3" t="n">
        <v>1.2</v>
      </c>
      <c r="H43" s="3" t="n">
        <v>1.15</v>
      </c>
      <c r="I43" s="3" t="n">
        <v>1.1</v>
      </c>
      <c r="J43" s="3" t="n">
        <v>1.1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0.15</v>
      </c>
      <c r="D45" s="3" t="n">
        <v>0.15</v>
      </c>
      <c r="E45" s="3" t="n">
        <v>0.15</v>
      </c>
      <c r="F45" s="3" t="n">
        <v>0.15</v>
      </c>
      <c r="G45" s="3" t="n">
        <v>0.15</v>
      </c>
      <c r="H45" s="3" t="n">
        <v>0.15</v>
      </c>
      <c r="I45" s="3" t="n">
        <v>0.15</v>
      </c>
      <c r="J45" s="3" t="n">
        <v>0.15</v>
      </c>
      <c r="K45" s="3" t="n">
        <v>0.15</v>
      </c>
      <c r="L45" s="3" t="n">
        <v>0.15</v>
      </c>
    </row>
    <row r="46" customFormat="false" ht="15" hidden="false" customHeight="false" outlineLevel="0" collapsed="false">
      <c r="A46" s="0" t="s">
        <v>109</v>
      </c>
      <c r="C46" s="3" t="n">
        <v>0.15</v>
      </c>
      <c r="D46" s="3" t="n">
        <v>0.15</v>
      </c>
      <c r="E46" s="3" t="n">
        <v>0.15</v>
      </c>
      <c r="F46" s="3" t="n">
        <v>0.15</v>
      </c>
      <c r="G46" s="3" t="n">
        <v>0.15</v>
      </c>
      <c r="H46" s="3" t="n">
        <v>0.15</v>
      </c>
      <c r="I46" s="3" t="n">
        <v>0.15</v>
      </c>
      <c r="J46" s="3" t="n">
        <v>0.15</v>
      </c>
      <c r="K46" s="3" t="n">
        <v>0.15</v>
      </c>
      <c r="L46" s="3" t="n">
        <v>0.15</v>
      </c>
    </row>
    <row r="47" customFormat="false" ht="15" hidden="false" customHeight="false" outlineLevel="0" collapsed="false">
      <c r="A47" s="0" t="s">
        <v>110</v>
      </c>
      <c r="C47" s="3" t="n">
        <v>4</v>
      </c>
      <c r="D47" s="3" t="n">
        <v>7</v>
      </c>
      <c r="E47" s="3" t="n">
        <v>9</v>
      </c>
      <c r="F47" s="3" t="n">
        <v>11</v>
      </c>
      <c r="G47" s="3" t="n">
        <v>13</v>
      </c>
      <c r="H47" s="3" t="n">
        <v>15</v>
      </c>
      <c r="I47" s="3" t="n">
        <v>15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111</v>
      </c>
      <c r="B48" s="3" t="n">
        <v>10</v>
      </c>
    </row>
    <row r="49" customFormat="false" ht="15" hidden="false" customHeight="false" outlineLevel="0" collapsed="false">
      <c r="A49" s="0" t="s">
        <v>112</v>
      </c>
      <c r="B49" s="3" t="n">
        <v>3</v>
      </c>
    </row>
    <row r="50" customFormat="false" ht="15" hidden="false" customHeight="false" outlineLevel="0" collapsed="false">
      <c r="A50" s="0" t="s">
        <v>113</v>
      </c>
      <c r="B50" s="3" t="n">
        <v>18</v>
      </c>
    </row>
    <row r="51" customFormat="false" ht="15" hidden="false" customHeight="false" outlineLevel="0" collapsed="false">
      <c r="A51" s="0" t="s">
        <v>114</v>
      </c>
      <c r="B51" s="3" t="n">
        <v>15</v>
      </c>
    </row>
    <row r="52" customFormat="false" ht="15" hidden="false" customHeight="false" outlineLevel="0" collapsed="false">
      <c r="A52" s="0" t="s">
        <v>115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1.5</v>
      </c>
      <c r="D5" s="4" t="n">
        <f aca="false">Assumptions!D13</f>
        <v>-2</v>
      </c>
      <c r="E5" s="4" t="n">
        <f aca="false">Assumptions!E13</f>
        <v>-3</v>
      </c>
      <c r="F5" s="4" t="n">
        <f aca="false">Assumptions!F13</f>
        <v>-2</v>
      </c>
      <c r="G5" s="4" t="n">
        <f aca="false">Assumptions!G13</f>
        <v>-1</v>
      </c>
      <c r="H5" s="4" t="n">
        <f aca="false">Assumptions!H13</f>
        <v>0</v>
      </c>
      <c r="I5" s="4" t="n">
        <f aca="false">Assumptions!I13</f>
        <v>1</v>
      </c>
      <c r="J5" s="4" t="n">
        <f aca="false">Assumptions!J13</f>
        <v>1.5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7759.45</v>
      </c>
      <c r="C6" s="0" t="n">
        <f aca="false">B6*(1+C5/100)</f>
        <v>7875.84175</v>
      </c>
      <c r="D6" s="0" t="n">
        <f aca="false">C6*(1+D5/100)</f>
        <v>7718.324915</v>
      </c>
      <c r="E6" s="0" t="n">
        <f aca="false">D6*(1+E5/100)</f>
        <v>7486.77516755</v>
      </c>
      <c r="F6" s="0" t="n">
        <f aca="false">E6*(1+F5/100)</f>
        <v>7337.039664199</v>
      </c>
      <c r="G6" s="0" t="n">
        <f aca="false">F6*(1+G5/100)</f>
        <v>7263.66926755701</v>
      </c>
      <c r="H6" s="0" t="n">
        <f aca="false">G6*(1+H5/100)</f>
        <v>7263.66926755701</v>
      </c>
      <c r="I6" s="0" t="n">
        <f aca="false">H6*(1+I5/100)</f>
        <v>7336.30596023258</v>
      </c>
      <c r="J6" s="0" t="n">
        <f aca="false">I6*(1+J5/100)</f>
        <v>7446.35054963607</v>
      </c>
      <c r="K6" s="0" t="n">
        <f aca="false">J6*(1+K5/100)</f>
        <v>7595.27756062879</v>
      </c>
      <c r="L6" s="0" t="n">
        <f aca="false">K6*(1+L5/100)</f>
        <v>7747.18311184136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19.5</v>
      </c>
      <c r="D7" s="4" t="n">
        <f aca="false">Assumptions!D14</f>
        <v>18.5</v>
      </c>
      <c r="E7" s="4" t="n">
        <f aca="false">Assumptions!E14</f>
        <v>17.5</v>
      </c>
      <c r="F7" s="4" t="n">
        <f aca="false">Assumptions!F14</f>
        <v>17</v>
      </c>
      <c r="G7" s="4" t="n">
        <f aca="false">Assumptions!G14</f>
        <v>17</v>
      </c>
      <c r="H7" s="4" t="n">
        <f aca="false">Assumptions!H14</f>
        <v>17.5</v>
      </c>
      <c r="I7" s="4" t="n">
        <f aca="false">Assumptions!I14</f>
        <v>18</v>
      </c>
      <c r="J7" s="4" t="n">
        <f aca="false">Assumptions!J14</f>
        <v>18</v>
      </c>
      <c r="K7" s="4" t="n">
        <f aca="false">Assumptions!K14</f>
        <v>18</v>
      </c>
      <c r="L7" s="4" t="n">
        <f aca="false">Assumptions!L14</f>
        <v>18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1535.78914125</v>
      </c>
      <c r="D8" s="0" t="n">
        <f aca="false">D6*D7/100</f>
        <v>1427.890109275</v>
      </c>
      <c r="E8" s="0" t="n">
        <f aca="false">E6*E7/100</f>
        <v>1310.18565432125</v>
      </c>
      <c r="F8" s="0" t="n">
        <f aca="false">F6*F7/100</f>
        <v>1247.29674291383</v>
      </c>
      <c r="G8" s="0" t="n">
        <f aca="false">G6*G7/100</f>
        <v>1234.82377548469</v>
      </c>
      <c r="H8" s="0" t="n">
        <f aca="false">H6*H7/100</f>
        <v>1271.14212182248</v>
      </c>
      <c r="I8" s="0" t="n">
        <f aca="false">I6*I7/100</f>
        <v>1320.53507284186</v>
      </c>
      <c r="J8" s="0" t="n">
        <f aca="false">J6*J7/100</f>
        <v>1340.34309893449</v>
      </c>
      <c r="K8" s="0" t="n">
        <f aca="false">K6*K7/100</f>
        <v>1367.14996091318</v>
      </c>
      <c r="L8" s="0" t="n">
        <f aca="false">L6*L7/100</f>
        <v>1394.49296013145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1.3</v>
      </c>
      <c r="D9" s="4" t="n">
        <f aca="false">Assumptions!D15</f>
        <v>1.4</v>
      </c>
      <c r="E9" s="4" t="n">
        <f aca="false">Assumptions!E15</f>
        <v>1.4</v>
      </c>
      <c r="F9" s="4" t="n">
        <f aca="false">Assumptions!F15</f>
        <v>1.4</v>
      </c>
      <c r="G9" s="4" t="n">
        <f aca="false">Assumptions!G15</f>
        <v>1.3</v>
      </c>
      <c r="H9" s="4" t="n">
        <f aca="false">Assumptions!H15</f>
        <v>1.3</v>
      </c>
      <c r="I9" s="4" t="n">
        <f aca="false">Assumptions!I15</f>
        <v>1.2</v>
      </c>
      <c r="J9" s="4" t="n">
        <f aca="false">Assumptions!J15</f>
        <v>1.2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-102.38594275</v>
      </c>
      <c r="D10" s="0" t="n">
        <f aca="false">-D6*D9/100</f>
        <v>-108.05654881</v>
      </c>
      <c r="E10" s="0" t="n">
        <f aca="false">-E6*E9/100</f>
        <v>-104.8148523457</v>
      </c>
      <c r="F10" s="0" t="n">
        <f aca="false">-F6*F9/100</f>
        <v>-102.718555298786</v>
      </c>
      <c r="G10" s="0" t="n">
        <f aca="false">-G6*G9/100</f>
        <v>-94.4277004782411</v>
      </c>
      <c r="H10" s="0" t="n">
        <f aca="false">-H6*H9/100</f>
        <v>-94.4277004782411</v>
      </c>
      <c r="I10" s="0" t="n">
        <f aca="false">-I6*I9/100</f>
        <v>-88.035671522791</v>
      </c>
      <c r="J10" s="0" t="n">
        <f aca="false">-J6*J9/100</f>
        <v>-89.3562065956328</v>
      </c>
      <c r="K10" s="0" t="n">
        <f aca="false">-K6*K9/100</f>
        <v>-91.1433307275455</v>
      </c>
      <c r="L10" s="0" t="n">
        <f aca="false">-L6*L9/100</f>
        <v>-92.9661973420964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1433.4031985</v>
      </c>
      <c r="D11" s="0" t="n">
        <f aca="false">D8+D10+D24</f>
        <v>1319.833560465</v>
      </c>
      <c r="E11" s="0" t="n">
        <f aca="false">E8+E10+E24</f>
        <v>1205.37080197555</v>
      </c>
      <c r="F11" s="0" t="n">
        <f aca="false">F8+F10+F24</f>
        <v>1144.57818761504</v>
      </c>
      <c r="G11" s="0" t="n">
        <f aca="false">G8+G10+G24</f>
        <v>1140.39607500645</v>
      </c>
      <c r="H11" s="0" t="n">
        <f aca="false">H8+H10+H24</f>
        <v>1176.71442134424</v>
      </c>
      <c r="I11" s="0" t="n">
        <f aca="false">I8+I10+I24</f>
        <v>1232.49940131907</v>
      </c>
      <c r="J11" s="0" t="n">
        <f aca="false">J8+J10+J24</f>
        <v>1250.98689233886</v>
      </c>
      <c r="K11" s="0" t="n">
        <f aca="false">K8+K10+K24</f>
        <v>1276.00663018564</v>
      </c>
      <c r="L11" s="0" t="n">
        <f aca="false">L8+L10+L24</f>
        <v>1301.52676278935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-11.813762625</v>
      </c>
      <c r="D12" s="4" t="n">
        <f aca="false">-D6*Assumptions!D17/100</f>
        <v>-11.5774873725</v>
      </c>
      <c r="E12" s="4" t="n">
        <f aca="false">-E6*Assumptions!E17/100</f>
        <v>-11.230162751325</v>
      </c>
      <c r="F12" s="4" t="n">
        <f aca="false">-F6*Assumptions!F17/100</f>
        <v>-11.0055594962985</v>
      </c>
      <c r="G12" s="4" t="n">
        <f aca="false">-G6*Assumptions!G17/100</f>
        <v>-10.8955039013355</v>
      </c>
      <c r="H12" s="4" t="n">
        <f aca="false">-H6*Assumptions!H17/100</f>
        <v>-10.8955039013355</v>
      </c>
      <c r="I12" s="4" t="n">
        <f aca="false">-I6*Assumptions!I17/100</f>
        <v>-11.0044589403489</v>
      </c>
      <c r="J12" s="4" t="n">
        <f aca="false">-J6*Assumptions!J17/100</f>
        <v>-11.1695258244541</v>
      </c>
      <c r="K12" s="4" t="n">
        <f aca="false">-K6*Assumptions!K17/100</f>
        <v>-11.3929163409432</v>
      </c>
      <c r="L12" s="4" t="n">
        <f aca="false">-L6*Assumptions!L17/100</f>
        <v>-11.620774667762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1421.589435875</v>
      </c>
      <c r="D13" s="0" t="n">
        <f aca="false">D11+D12</f>
        <v>1308.2560730925</v>
      </c>
      <c r="E13" s="0" t="n">
        <f aca="false">E11+E12</f>
        <v>1194.14063922422</v>
      </c>
      <c r="F13" s="0" t="n">
        <f aca="false">F11+F12</f>
        <v>1133.57262811875</v>
      </c>
      <c r="G13" s="0" t="n">
        <f aca="false">G11+G12</f>
        <v>1129.50057110511</v>
      </c>
      <c r="H13" s="0" t="n">
        <f aca="false">H11+H12</f>
        <v>1165.8189174429</v>
      </c>
      <c r="I13" s="0" t="n">
        <f aca="false">I11+I12</f>
        <v>1221.49494237872</v>
      </c>
      <c r="J13" s="0" t="n">
        <f aca="false">J11+J12</f>
        <v>1239.81736651441</v>
      </c>
      <c r="K13" s="0" t="n">
        <f aca="false">K11+K12</f>
        <v>1264.61371384469</v>
      </c>
      <c r="L13" s="0" t="n">
        <f aca="false">L11+L12</f>
        <v>1289.90598812159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5</v>
      </c>
      <c r="D14" s="4" t="n">
        <f aca="false">Assumptions!D19</f>
        <v>9</v>
      </c>
      <c r="E14" s="4" t="n">
        <f aca="false">Assumptions!E19</f>
        <v>12</v>
      </c>
      <c r="F14" s="4" t="n">
        <f aca="false">Assumptions!F19</f>
        <v>15</v>
      </c>
      <c r="G14" s="4" t="n">
        <f aca="false">Assumptions!G19</f>
        <v>18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1350.50996408125</v>
      </c>
      <c r="D15" s="0" t="n">
        <f aca="false">D13-MAX(0,D13)*D14/100</f>
        <v>1190.51302651418</v>
      </c>
      <c r="E15" s="0" t="n">
        <f aca="false">E13-MAX(0,E13)*E14/100</f>
        <v>1050.84376251732</v>
      </c>
      <c r="F15" s="0" t="n">
        <f aca="false">F13-MAX(0,F13)*F14/100</f>
        <v>963.536733900933</v>
      </c>
      <c r="G15" s="0" t="n">
        <f aca="false">G13-MAX(0,G13)*G14/100</f>
        <v>926.190468306194</v>
      </c>
      <c r="H15" s="0" t="n">
        <f aca="false">H13-MAX(0,H13)*H14/100</f>
        <v>932.65513395432</v>
      </c>
      <c r="I15" s="0" t="n">
        <f aca="false">I13-MAX(0,I13)*I14/100</f>
        <v>977.195953902979</v>
      </c>
      <c r="J15" s="0" t="n">
        <f aca="false">J13-MAX(0,J13)*J14/100</f>
        <v>991.853893211524</v>
      </c>
      <c r="K15" s="0" t="n">
        <f aca="false">K13-MAX(0,K13)*K14/100</f>
        <v>1011.69097107575</v>
      </c>
      <c r="L15" s="0" t="n">
        <f aca="false">L13-MAX(0,L13)*L14/100</f>
        <v>1031.92479049727</v>
      </c>
    </row>
    <row r="16" customFormat="false" ht="15" hidden="false" customHeight="false" outlineLevel="0" collapsed="false">
      <c r="A16" s="0" t="s">
        <v>126</v>
      </c>
      <c r="C16" s="0" t="n">
        <f aca="false">-C12</f>
        <v>11.813762625</v>
      </c>
      <c r="D16" s="0" t="n">
        <f aca="false">-D12</f>
        <v>11.5774873725</v>
      </c>
      <c r="E16" s="0" t="n">
        <f aca="false">-E12</f>
        <v>11.230162751325</v>
      </c>
      <c r="F16" s="0" t="n">
        <f aca="false">-F12</f>
        <v>11.0055594962985</v>
      </c>
      <c r="G16" s="0" t="n">
        <f aca="false">-G12</f>
        <v>10.8955039013355</v>
      </c>
      <c r="H16" s="0" t="n">
        <f aca="false">-H12</f>
        <v>10.8955039013355</v>
      </c>
      <c r="I16" s="0" t="n">
        <f aca="false">-I12</f>
        <v>11.0044589403489</v>
      </c>
      <c r="J16" s="0" t="n">
        <f aca="false">-J12</f>
        <v>11.1695258244541</v>
      </c>
      <c r="K16" s="0" t="n">
        <f aca="false">-K12</f>
        <v>11.3929163409432</v>
      </c>
      <c r="L16" s="0" t="n">
        <f aca="false">-L12</f>
        <v>11.620774667762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-11.813762625</v>
      </c>
      <c r="D17" s="4" t="n">
        <f aca="false">-D6*Assumptions!D18/100</f>
        <v>-11.5774873725</v>
      </c>
      <c r="E17" s="4" t="n">
        <f aca="false">-E6*Assumptions!E18/100</f>
        <v>-11.230162751325</v>
      </c>
      <c r="F17" s="4" t="n">
        <f aca="false">-F6*Assumptions!F18/100</f>
        <v>-11.0055594962985</v>
      </c>
      <c r="G17" s="4" t="n">
        <f aca="false">-G6*Assumptions!G18/100</f>
        <v>-10.8955039013355</v>
      </c>
      <c r="H17" s="4" t="n">
        <f aca="false">-H6*Assumptions!H18/100</f>
        <v>-10.8955039013355</v>
      </c>
      <c r="I17" s="4" t="n">
        <f aca="false">-I6*Assumptions!I18/100</f>
        <v>-11.0044589403489</v>
      </c>
      <c r="J17" s="4" t="n">
        <f aca="false">-J6*Assumptions!J18/100</f>
        <v>-11.1695258244541</v>
      </c>
      <c r="K17" s="4" t="n">
        <f aca="false">-K6*Assumptions!K18/100</f>
        <v>-11.3929163409432</v>
      </c>
      <c r="L17" s="4" t="n">
        <f aca="false">-L6*Assumptions!L18/100</f>
        <v>-11.620774667762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1350.50996408125</v>
      </c>
      <c r="D19" s="0" t="n">
        <f aca="false">D15+D16+D17+D18</f>
        <v>1190.51302651418</v>
      </c>
      <c r="E19" s="0" t="n">
        <f aca="false">E15+E16+E17+E18</f>
        <v>1050.84376251732</v>
      </c>
      <c r="F19" s="0" t="n">
        <f aca="false">F15+F16+F17+F18</f>
        <v>963.536733900933</v>
      </c>
      <c r="G19" s="0" t="n">
        <f aca="false">G15+G16+G17+G18</f>
        <v>926.190468306194</v>
      </c>
      <c r="H19" s="0" t="n">
        <f aca="false">H15+H16+H17+H18</f>
        <v>932.65513395432</v>
      </c>
      <c r="I19" s="0" t="n">
        <f aca="false">I15+I16+I17+I18</f>
        <v>977.195953902979</v>
      </c>
      <c r="J19" s="0" t="n">
        <f aca="false">J15+J16+J17+J18</f>
        <v>991.853893211524</v>
      </c>
      <c r="K19" s="0" t="n">
        <f aca="false">K15+K16+K17+K18</f>
        <v>1011.69097107575</v>
      </c>
      <c r="L19" s="0" t="n">
        <f aca="false">L15+L16+L17+L18</f>
        <v>1031.92479049727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1227.73633098295</v>
      </c>
      <c r="D21" s="0" t="n">
        <f aca="false">D19*D20</f>
        <v>983.895063234855</v>
      </c>
      <c r="E21" s="0" t="n">
        <f aca="false">E19*E20</f>
        <v>789.514472214363</v>
      </c>
      <c r="F21" s="0" t="n">
        <f aca="false">F19*F20</f>
        <v>658.108553992851</v>
      </c>
      <c r="G21" s="0" t="n">
        <f aca="false">G19*G20</f>
        <v>575.09141098546</v>
      </c>
      <c r="H21" s="0" t="n">
        <f aca="false">H19*H20</f>
        <v>526.459508848027</v>
      </c>
      <c r="I21" s="0" t="n">
        <f aca="false">I19*I20</f>
        <v>501.456036847513</v>
      </c>
      <c r="J21" s="0" t="n">
        <f aca="false">J19*J20</f>
        <v>462.707161272932</v>
      </c>
      <c r="K21" s="0" t="n">
        <f aca="false">K19*K20</f>
        <v>429.055731362174</v>
      </c>
      <c r="L21" s="0" t="n">
        <f aca="false">L19*L20</f>
        <v>397.851678172197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6551.87594791333</v>
      </c>
    </row>
    <row r="31" customFormat="false" ht="15" hidden="false" customHeight="false" outlineLevel="0" collapsed="false">
      <c r="A31" s="0" t="s">
        <v>135</v>
      </c>
      <c r="B31" s="0" t="n">
        <f aca="false">L19</f>
        <v>1031.92479049727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12322.3960277027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12383.0974859672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12322.3960277027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4750.81709817389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11302.6930460872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24432.4570460872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136.535446230363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0.492190669184293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604.580028290535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428.001540376026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142.305802645242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7758.54564707206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114.346983883703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3</v>
      </c>
      <c r="D5" s="4" t="n">
        <f aca="false">Assumptions!D27</f>
        <v>4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7759.45</v>
      </c>
      <c r="C6" s="0" t="n">
        <f aca="false">B6*(1+C5/100)</f>
        <v>7992.2335</v>
      </c>
      <c r="D6" s="0" t="n">
        <f aca="false">C6*(1+D5/100)</f>
        <v>8311.92284</v>
      </c>
      <c r="E6" s="0" t="n">
        <f aca="false">D6*(1+E5/100)</f>
        <v>8685.9593678</v>
      </c>
      <c r="F6" s="0" t="n">
        <f aca="false">E6*(1+F5/100)</f>
        <v>9076.827539351</v>
      </c>
      <c r="G6" s="0" t="n">
        <f aca="false">F6*(1+G5/100)</f>
        <v>9439.90064092504</v>
      </c>
      <c r="H6" s="0" t="n">
        <f aca="false">G6*(1+H5/100)</f>
        <v>9770.29716335742</v>
      </c>
      <c r="I6" s="0" t="n">
        <f aca="false">H6*(1+I5/100)</f>
        <v>10063.4060782581</v>
      </c>
      <c r="J6" s="0" t="n">
        <f aca="false">I6*(1+J5/100)</f>
        <v>10365.3082606059</v>
      </c>
      <c r="K6" s="0" t="n">
        <f aca="false">J6*(1+K5/100)</f>
        <v>10624.440967121</v>
      </c>
      <c r="L6" s="0" t="n">
        <f aca="false">K6*(1+L5/100)</f>
        <v>10890.0519912991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20.5</v>
      </c>
      <c r="D7" s="4" t="n">
        <f aca="false">Assumptions!D28</f>
        <v>21</v>
      </c>
      <c r="E7" s="4" t="n">
        <f aca="false">Assumptions!E28</f>
        <v>21.5</v>
      </c>
      <c r="F7" s="4" t="n">
        <f aca="false">Assumptions!F28</f>
        <v>22</v>
      </c>
      <c r="G7" s="4" t="n">
        <f aca="false">Assumptions!G28</f>
        <v>22.5</v>
      </c>
      <c r="H7" s="4" t="n">
        <f aca="false">Assumptions!H28</f>
        <v>23</v>
      </c>
      <c r="I7" s="4" t="n">
        <f aca="false">Assumptions!I28</f>
        <v>23.5</v>
      </c>
      <c r="J7" s="4" t="n">
        <f aca="false">Assumptions!J28</f>
        <v>24</v>
      </c>
      <c r="K7" s="4" t="n">
        <f aca="false">Assumptions!K28</f>
        <v>24</v>
      </c>
      <c r="L7" s="4" t="n">
        <f aca="false">Assumptions!L28</f>
        <v>24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1638.4078675</v>
      </c>
      <c r="D8" s="0" t="n">
        <f aca="false">D6*D7/100</f>
        <v>1745.5037964</v>
      </c>
      <c r="E8" s="0" t="n">
        <f aca="false">E6*E7/100</f>
        <v>1867.481264077</v>
      </c>
      <c r="F8" s="0" t="n">
        <f aca="false">F6*F7/100</f>
        <v>1996.90205865722</v>
      </c>
      <c r="G8" s="0" t="n">
        <f aca="false">G6*G7/100</f>
        <v>2123.97764420813</v>
      </c>
      <c r="H8" s="0" t="n">
        <f aca="false">H6*H7/100</f>
        <v>2247.16834757221</v>
      </c>
      <c r="I8" s="0" t="n">
        <f aca="false">I6*I7/100</f>
        <v>2364.90042839066</v>
      </c>
      <c r="J8" s="0" t="n">
        <f aca="false">J6*J7/100</f>
        <v>2487.67398254541</v>
      </c>
      <c r="K8" s="0" t="n">
        <f aca="false">K6*K7/100</f>
        <v>2549.86583210905</v>
      </c>
      <c r="L8" s="0" t="n">
        <f aca="false">L6*L7/100</f>
        <v>2613.61247791177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1.3</v>
      </c>
      <c r="D9" s="4" t="n">
        <f aca="false">Assumptions!D29</f>
        <v>1.3</v>
      </c>
      <c r="E9" s="4" t="n">
        <f aca="false">Assumptions!E29</f>
        <v>1.25</v>
      </c>
      <c r="F9" s="4" t="n">
        <f aca="false">Assumptions!F29</f>
        <v>1.2</v>
      </c>
      <c r="G9" s="4" t="n">
        <f aca="false">Assumptions!G29</f>
        <v>1.2</v>
      </c>
      <c r="H9" s="4" t="n">
        <f aca="false">Assumptions!H29</f>
        <v>1.15</v>
      </c>
      <c r="I9" s="4" t="n">
        <f aca="false">Assumptions!I29</f>
        <v>1.1</v>
      </c>
      <c r="J9" s="4" t="n">
        <f aca="false">Assumptions!J29</f>
        <v>1.1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-103.8990355</v>
      </c>
      <c r="D10" s="0" t="n">
        <f aca="false">-D6*D9/100</f>
        <v>-108.05499692</v>
      </c>
      <c r="E10" s="0" t="n">
        <f aca="false">-E6*E9/100</f>
        <v>-108.5744920975</v>
      </c>
      <c r="F10" s="0" t="n">
        <f aca="false">-F6*F9/100</f>
        <v>-108.921930472212</v>
      </c>
      <c r="G10" s="0" t="n">
        <f aca="false">-G6*G9/100</f>
        <v>-113.2788076911</v>
      </c>
      <c r="H10" s="0" t="n">
        <f aca="false">-H6*H9/100</f>
        <v>-112.35841737861</v>
      </c>
      <c r="I10" s="0" t="n">
        <f aca="false">-I6*I9/100</f>
        <v>-110.69746686084</v>
      </c>
      <c r="J10" s="0" t="n">
        <f aca="false">-J6*J9/100</f>
        <v>-114.018390866665</v>
      </c>
      <c r="K10" s="0" t="n">
        <f aca="false">-K6*K9/100</f>
        <v>-106.24440967121</v>
      </c>
      <c r="L10" s="0" t="n">
        <f aca="false">-L6*L9/100</f>
        <v>-108.900519912991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1534.508832</v>
      </c>
      <c r="D11" s="0" t="n">
        <f aca="false">D8+D10+D24</f>
        <v>1637.44879948</v>
      </c>
      <c r="E11" s="0" t="n">
        <f aca="false">E8+E10+E24</f>
        <v>1758.9067719795</v>
      </c>
      <c r="F11" s="0" t="n">
        <f aca="false">F8+F10+F24</f>
        <v>1887.98012818501</v>
      </c>
      <c r="G11" s="0" t="n">
        <f aca="false">G8+G10+G24</f>
        <v>2010.69883651703</v>
      </c>
      <c r="H11" s="0" t="n">
        <f aca="false">H8+H10+H24</f>
        <v>2134.8099301936</v>
      </c>
      <c r="I11" s="0" t="n">
        <f aca="false">I8+I10+I24</f>
        <v>2254.20296152982</v>
      </c>
      <c r="J11" s="0" t="n">
        <f aca="false">J8+J10+J24</f>
        <v>2373.65559167875</v>
      </c>
      <c r="K11" s="0" t="n">
        <f aca="false">K8+K10+K24</f>
        <v>2443.62142243784</v>
      </c>
      <c r="L11" s="0" t="n">
        <f aca="false">L8+L10+L24</f>
        <v>2504.71195799878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-11.98835025</v>
      </c>
      <c r="D12" s="4" t="n">
        <f aca="false">-D6*Assumptions!D31/100</f>
        <v>-12.46788426</v>
      </c>
      <c r="E12" s="4" t="n">
        <f aca="false">-E6*Assumptions!E31/100</f>
        <v>-13.0289390517</v>
      </c>
      <c r="F12" s="4" t="n">
        <f aca="false">-F6*Assumptions!F31/100</f>
        <v>-13.6152413090265</v>
      </c>
      <c r="G12" s="4" t="n">
        <f aca="false">-G6*Assumptions!G31/100</f>
        <v>-14.1598509613876</v>
      </c>
      <c r="H12" s="4" t="n">
        <f aca="false">-H6*Assumptions!H31/100</f>
        <v>-14.6554457450361</v>
      </c>
      <c r="I12" s="4" t="n">
        <f aca="false">-I6*Assumptions!I31/100</f>
        <v>-15.0951091173872</v>
      </c>
      <c r="J12" s="4" t="n">
        <f aca="false">-J6*Assumptions!J31/100</f>
        <v>-15.5479623909088</v>
      </c>
      <c r="K12" s="4" t="n">
        <f aca="false">-K6*Assumptions!K31/100</f>
        <v>-15.9366614506815</v>
      </c>
      <c r="L12" s="4" t="n">
        <f aca="false">-L6*Assumptions!L31/100</f>
        <v>-16.3350779869486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1522.52048175</v>
      </c>
      <c r="D13" s="0" t="n">
        <f aca="false">D11+D12</f>
        <v>1624.98091522</v>
      </c>
      <c r="E13" s="0" t="n">
        <f aca="false">E11+E12</f>
        <v>1745.8778329278</v>
      </c>
      <c r="F13" s="0" t="n">
        <f aca="false">F11+F12</f>
        <v>1874.36488687598</v>
      </c>
      <c r="G13" s="0" t="n">
        <f aca="false">G11+G12</f>
        <v>1996.53898555565</v>
      </c>
      <c r="H13" s="0" t="n">
        <f aca="false">H11+H12</f>
        <v>2120.15448444856</v>
      </c>
      <c r="I13" s="0" t="n">
        <f aca="false">I11+I12</f>
        <v>2239.10785241244</v>
      </c>
      <c r="J13" s="0" t="n">
        <f aca="false">J11+J12</f>
        <v>2358.10762928784</v>
      </c>
      <c r="K13" s="0" t="n">
        <f aca="false">K11+K12</f>
        <v>2427.68476098715</v>
      </c>
      <c r="L13" s="0" t="n">
        <f aca="false">L11+L12</f>
        <v>2488.37688001183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5</v>
      </c>
      <c r="D14" s="4" t="n">
        <f aca="false">Assumptions!D33</f>
        <v>8</v>
      </c>
      <c r="E14" s="4" t="n">
        <f aca="false">Assumptions!E33</f>
        <v>10</v>
      </c>
      <c r="F14" s="4" t="n">
        <f aca="false">Assumptions!F33</f>
        <v>12</v>
      </c>
      <c r="G14" s="4" t="n">
        <f aca="false">Assumptions!G33</f>
        <v>14</v>
      </c>
      <c r="H14" s="4" t="n">
        <f aca="false">Assumptions!H33</f>
        <v>15</v>
      </c>
      <c r="I14" s="4" t="n">
        <f aca="false">Assumptions!I33</f>
        <v>16</v>
      </c>
      <c r="J14" s="4" t="n">
        <f aca="false">Assumptions!J33</f>
        <v>16</v>
      </c>
      <c r="K14" s="4" t="n">
        <f aca="false">Assumptions!K33</f>
        <v>16</v>
      </c>
      <c r="L14" s="4" t="n">
        <f aca="false">Assumptions!L33</f>
        <v>16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1446.3944576625</v>
      </c>
      <c r="D15" s="0" t="n">
        <f aca="false">D13-MAX(0,D13)*D14/100</f>
        <v>1494.9824420024</v>
      </c>
      <c r="E15" s="0" t="n">
        <f aca="false">E13-MAX(0,E13)*E14/100</f>
        <v>1571.29004963502</v>
      </c>
      <c r="F15" s="0" t="n">
        <f aca="false">F13-MAX(0,F13)*F14/100</f>
        <v>1649.44110045086</v>
      </c>
      <c r="G15" s="0" t="n">
        <f aca="false">G13-MAX(0,G13)*G14/100</f>
        <v>1717.02352757786</v>
      </c>
      <c r="H15" s="0" t="n">
        <f aca="false">H13-MAX(0,H13)*H14/100</f>
        <v>1802.13131178128</v>
      </c>
      <c r="I15" s="0" t="n">
        <f aca="false">I13-MAX(0,I13)*I14/100</f>
        <v>1880.85059602645</v>
      </c>
      <c r="J15" s="0" t="n">
        <f aca="false">J13-MAX(0,J13)*J14/100</f>
        <v>1980.81040860178</v>
      </c>
      <c r="K15" s="0" t="n">
        <f aca="false">K13-MAX(0,K13)*K14/100</f>
        <v>2039.25519922921</v>
      </c>
      <c r="L15" s="0" t="n">
        <f aca="false">L13-MAX(0,L13)*L14/100</f>
        <v>2090.23657920994</v>
      </c>
    </row>
    <row r="16" customFormat="false" ht="15" hidden="false" customHeight="false" outlineLevel="0" collapsed="false">
      <c r="A16" s="0" t="s">
        <v>126</v>
      </c>
      <c r="C16" s="0" t="n">
        <f aca="false">-C12</f>
        <v>11.98835025</v>
      </c>
      <c r="D16" s="0" t="n">
        <f aca="false">-D12</f>
        <v>12.46788426</v>
      </c>
      <c r="E16" s="0" t="n">
        <f aca="false">-E12</f>
        <v>13.0289390517</v>
      </c>
      <c r="F16" s="0" t="n">
        <f aca="false">-F12</f>
        <v>13.6152413090265</v>
      </c>
      <c r="G16" s="0" t="n">
        <f aca="false">-G12</f>
        <v>14.1598509613876</v>
      </c>
      <c r="H16" s="0" t="n">
        <f aca="false">-H12</f>
        <v>14.6554457450361</v>
      </c>
      <c r="I16" s="0" t="n">
        <f aca="false">-I12</f>
        <v>15.0951091173872</v>
      </c>
      <c r="J16" s="0" t="n">
        <f aca="false">-J12</f>
        <v>15.5479623909088</v>
      </c>
      <c r="K16" s="0" t="n">
        <f aca="false">-K12</f>
        <v>15.9366614506815</v>
      </c>
      <c r="L16" s="0" t="n">
        <f aca="false">-L12</f>
        <v>16.3350779869486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-11.98835025</v>
      </c>
      <c r="D17" s="4" t="n">
        <f aca="false">-D6*Assumptions!D32/100</f>
        <v>-12.46788426</v>
      </c>
      <c r="E17" s="4" t="n">
        <f aca="false">-E6*Assumptions!E32/100</f>
        <v>-13.0289390517</v>
      </c>
      <c r="F17" s="4" t="n">
        <f aca="false">-F6*Assumptions!F32/100</f>
        <v>-13.6152413090265</v>
      </c>
      <c r="G17" s="4" t="n">
        <f aca="false">-G6*Assumptions!G32/100</f>
        <v>-14.1598509613876</v>
      </c>
      <c r="H17" s="4" t="n">
        <f aca="false">-H6*Assumptions!H32/100</f>
        <v>-14.6554457450361</v>
      </c>
      <c r="I17" s="4" t="n">
        <f aca="false">-I6*Assumptions!I32/100</f>
        <v>-15.0951091173872</v>
      </c>
      <c r="J17" s="4" t="n">
        <f aca="false">-J6*Assumptions!J32/100</f>
        <v>-15.5479623909088</v>
      </c>
      <c r="K17" s="4" t="n">
        <f aca="false">-K6*Assumptions!K32/100</f>
        <v>-15.9366614506815</v>
      </c>
      <c r="L17" s="4" t="n">
        <f aca="false">-L6*Assumptions!L32/100</f>
        <v>-16.3350779869486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23.27835</v>
      </c>
      <c r="D18" s="4" t="n">
        <f aca="false">(D6-C6)*Assumptions!$B$37/100</f>
        <v>31.9689340000001</v>
      </c>
      <c r="E18" s="4" t="n">
        <f aca="false">(E6-D6)*Assumptions!$B$37/100</f>
        <v>37.4036527799999</v>
      </c>
      <c r="F18" s="4" t="n">
        <f aca="false">(F6-E6)*Assumptions!$B$37/100</f>
        <v>39.0868171550999</v>
      </c>
      <c r="G18" s="4" t="n">
        <f aca="false">(G6-F6)*Assumptions!$B$37/100</f>
        <v>36.307310157404</v>
      </c>
      <c r="H18" s="4" t="n">
        <f aca="false">(H6-G6)*Assumptions!$B$37/100</f>
        <v>33.0396522432377</v>
      </c>
      <c r="I18" s="4" t="n">
        <f aca="false">(I6-H6)*Assumptions!$B$37/100</f>
        <v>29.3108914900722</v>
      </c>
      <c r="J18" s="4" t="n">
        <f aca="false">(J6-I6)*Assumptions!$B$37/100</f>
        <v>30.1902182347745</v>
      </c>
      <c r="K18" s="4" t="n">
        <f aca="false">(K6-J6)*Assumptions!$B$37/100</f>
        <v>25.9132706515145</v>
      </c>
      <c r="L18" s="4" t="n">
        <f aca="false">(L6-K6)*Assumptions!$B$37/100</f>
        <v>26.5611024178024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1469.6728076625</v>
      </c>
      <c r="D19" s="0" t="n">
        <f aca="false">D15+D16+D17+D18</f>
        <v>1526.9513760024</v>
      </c>
      <c r="E19" s="0" t="n">
        <f aca="false">E15+E16+E17+E18</f>
        <v>1608.69370241502</v>
      </c>
      <c r="F19" s="0" t="n">
        <f aca="false">F15+F16+F17+F18</f>
        <v>1688.52791760596</v>
      </c>
      <c r="G19" s="0" t="n">
        <f aca="false">G15+G16+G17+G18</f>
        <v>1753.33083773526</v>
      </c>
      <c r="H19" s="0" t="n">
        <f aca="false">H15+H16+H17+H18</f>
        <v>1835.17096402451</v>
      </c>
      <c r="I19" s="0" t="n">
        <f aca="false">I15+I16+I17+I18</f>
        <v>1910.16148751652</v>
      </c>
      <c r="J19" s="0" t="n">
        <f aca="false">J15+J16+J17+J18</f>
        <v>2011.00062683656</v>
      </c>
      <c r="K19" s="0" t="n">
        <f aca="false">K15+K16+K17+K18</f>
        <v>2065.16846988072</v>
      </c>
      <c r="L19" s="0" t="n">
        <f aca="false">L15+L16+L17+L18</f>
        <v>2116.79768162774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1336.06618878409</v>
      </c>
      <c r="D21" s="0" t="n">
        <f aca="false">D19*D20</f>
        <v>1261.9432859524</v>
      </c>
      <c r="E21" s="0" t="n">
        <f aca="false">E19*E20</f>
        <v>1208.63538874156</v>
      </c>
      <c r="F21" s="0" t="n">
        <f aca="false">F19*F20</f>
        <v>1153.28728748444</v>
      </c>
      <c r="G21" s="0" t="n">
        <f aca="false">G19*G20</f>
        <v>1088.68050352699</v>
      </c>
      <c r="H21" s="0" t="n">
        <f aca="false">H19*H20</f>
        <v>1035.9061663835</v>
      </c>
      <c r="I21" s="0" t="n">
        <f aca="false">I19*I20</f>
        <v>980.214874450744</v>
      </c>
      <c r="J21" s="0" t="n">
        <f aca="false">J19*J20</f>
        <v>938.146634025654</v>
      </c>
      <c r="K21" s="0" t="n">
        <f aca="false">K19*K20</f>
        <v>875.833029614363</v>
      </c>
      <c r="L21" s="0" t="n">
        <f aca="false">L19*L20</f>
        <v>816.117141231566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10694.8305001953</v>
      </c>
    </row>
    <row r="31" customFormat="false" ht="15" hidden="false" customHeight="false" outlineLevel="0" collapsed="false">
      <c r="A31" s="0" t="s">
        <v>135</v>
      </c>
      <c r="B31" s="0" t="n">
        <f aca="false">L19</f>
        <v>2116.79768162774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28929.5683155792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31751.9652244161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28929.5683155792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11153.6009301647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21848.43143036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34978.19543036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195.468000308298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1.13626229845134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670.524300952945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573.806817127154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202.421672799972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17357.7409893475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145.446015919402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4</v>
      </c>
      <c r="D5" s="4" t="n">
        <f aca="false">Assumptions!D41</f>
        <v>6</v>
      </c>
      <c r="E5" s="4" t="n">
        <f aca="false">Assumptions!E41</f>
        <v>7.5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7759.45</v>
      </c>
      <c r="C6" s="0" t="n">
        <f aca="false">B6*(1+C5/100)</f>
        <v>8069.828</v>
      </c>
      <c r="D6" s="0" t="n">
        <f aca="false">C6*(1+D5/100)</f>
        <v>8554.01768</v>
      </c>
      <c r="E6" s="0" t="n">
        <f aca="false">D6*(1+E5/100)</f>
        <v>9195.569006</v>
      </c>
      <c r="F6" s="0" t="n">
        <f aca="false">E6*(1+F5/100)</f>
        <v>9885.23668145</v>
      </c>
      <c r="G6" s="0" t="n">
        <f aca="false">F6*(1+G5/100)</f>
        <v>10577.2032491515</v>
      </c>
      <c r="H6" s="0" t="n">
        <f aca="false">G6*(1+H5/100)</f>
        <v>11211.8354441006</v>
      </c>
      <c r="I6" s="0" t="n">
        <f aca="false">H6*(1+I5/100)</f>
        <v>11772.4272163056</v>
      </c>
      <c r="J6" s="0" t="n">
        <f aca="false">I6*(1+J5/100)</f>
        <v>12243.3243049578</v>
      </c>
      <c r="K6" s="0" t="n">
        <f aca="false">J6*(1+K5/100)</f>
        <v>12671.8406556314</v>
      </c>
      <c r="L6" s="0" t="n">
        <f aca="false">K6*(1+L5/100)</f>
        <v>13051.9958753003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21</v>
      </c>
      <c r="D7" s="4" t="n">
        <f aca="false">Assumptions!D42</f>
        <v>22</v>
      </c>
      <c r="E7" s="4" t="n">
        <f aca="false">Assumptions!E42</f>
        <v>23</v>
      </c>
      <c r="F7" s="4" t="n">
        <f aca="false">Assumptions!F42</f>
        <v>24</v>
      </c>
      <c r="G7" s="4" t="n">
        <f aca="false">Assumptions!G42</f>
        <v>25</v>
      </c>
      <c r="H7" s="4" t="n">
        <f aca="false">Assumptions!H42</f>
        <v>26</v>
      </c>
      <c r="I7" s="4" t="n">
        <f aca="false">Assumptions!I42</f>
        <v>26.5</v>
      </c>
      <c r="J7" s="4" t="n">
        <f aca="false">Assumptions!J42</f>
        <v>27</v>
      </c>
      <c r="K7" s="4" t="n">
        <f aca="false">Assumptions!K42</f>
        <v>27</v>
      </c>
      <c r="L7" s="4" t="n">
        <f aca="false">Assumptions!L42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1694.66388</v>
      </c>
      <c r="D8" s="0" t="n">
        <f aca="false">D6*D7/100</f>
        <v>1881.8838896</v>
      </c>
      <c r="E8" s="0" t="n">
        <f aca="false">E6*E7/100</f>
        <v>2114.98087138</v>
      </c>
      <c r="F8" s="0" t="n">
        <f aca="false">F6*F7/100</f>
        <v>2372.456803548</v>
      </c>
      <c r="G8" s="0" t="n">
        <f aca="false">G6*G7/100</f>
        <v>2644.30081228788</v>
      </c>
      <c r="H8" s="0" t="n">
        <f aca="false">H6*H7/100</f>
        <v>2915.07721546615</v>
      </c>
      <c r="I8" s="0" t="n">
        <f aca="false">I6*I7/100</f>
        <v>3119.69321232099</v>
      </c>
      <c r="J8" s="0" t="n">
        <f aca="false">J6*J7/100</f>
        <v>3305.69756233862</v>
      </c>
      <c r="K8" s="0" t="n">
        <f aca="false">K6*K7/100</f>
        <v>3421.39697702047</v>
      </c>
      <c r="L8" s="0" t="n">
        <f aca="false">L6*L7/100</f>
        <v>3524.03888633108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1.3</v>
      </c>
      <c r="D9" s="4" t="n">
        <f aca="false">Assumptions!D43</f>
        <v>1.3</v>
      </c>
      <c r="E9" s="4" t="n">
        <f aca="false">Assumptions!E43</f>
        <v>1.25</v>
      </c>
      <c r="F9" s="4" t="n">
        <f aca="false">Assumptions!F43</f>
        <v>1.2</v>
      </c>
      <c r="G9" s="4" t="n">
        <f aca="false">Assumptions!G43</f>
        <v>1.2</v>
      </c>
      <c r="H9" s="4" t="n">
        <f aca="false">Assumptions!H43</f>
        <v>1.15</v>
      </c>
      <c r="I9" s="4" t="n">
        <f aca="false">Assumptions!I43</f>
        <v>1.1</v>
      </c>
      <c r="J9" s="4" t="n">
        <f aca="false">Assumptions!J43</f>
        <v>1.1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-104.907764</v>
      </c>
      <c r="D10" s="0" t="n">
        <f aca="false">-D6*D9/100</f>
        <v>-111.20222984</v>
      </c>
      <c r="E10" s="0" t="n">
        <f aca="false">-E6*E9/100</f>
        <v>-114.944612575</v>
      </c>
      <c r="F10" s="0" t="n">
        <f aca="false">-F6*F9/100</f>
        <v>-118.6228401774</v>
      </c>
      <c r="G10" s="0" t="n">
        <f aca="false">-G6*G9/100</f>
        <v>-126.926438989818</v>
      </c>
      <c r="H10" s="0" t="n">
        <f aca="false">-H6*H9/100</f>
        <v>-128.936107607157</v>
      </c>
      <c r="I10" s="0" t="n">
        <f aca="false">-I6*I9/100</f>
        <v>-129.496699379362</v>
      </c>
      <c r="J10" s="0" t="n">
        <f aca="false">-J6*J9/100</f>
        <v>-134.676567354536</v>
      </c>
      <c r="K10" s="0" t="n">
        <f aca="false">-K6*K9/100</f>
        <v>-126.718406556314</v>
      </c>
      <c r="L10" s="0" t="n">
        <f aca="false">-L6*L9/100</f>
        <v>-130.519958753003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1589.756116</v>
      </c>
      <c r="D11" s="0" t="n">
        <f aca="false">D8+D10+D24</f>
        <v>1770.68165976</v>
      </c>
      <c r="E11" s="0" t="n">
        <f aca="false">E8+E10+E24</f>
        <v>2000.036258805</v>
      </c>
      <c r="F11" s="0" t="n">
        <f aca="false">F8+F10+F24</f>
        <v>2253.8339633706</v>
      </c>
      <c r="G11" s="0" t="n">
        <f aca="false">G8+G10+G24</f>
        <v>2517.37437329806</v>
      </c>
      <c r="H11" s="0" t="n">
        <f aca="false">H8+H10+H24</f>
        <v>2786.141107859</v>
      </c>
      <c r="I11" s="0" t="n">
        <f aca="false">I8+I10+I24</f>
        <v>2990.19651294163</v>
      </c>
      <c r="J11" s="0" t="n">
        <f aca="false">J8+J10+J24</f>
        <v>3171.02099498408</v>
      </c>
      <c r="K11" s="0" t="n">
        <f aca="false">K8+K10+K24</f>
        <v>3294.67857046416</v>
      </c>
      <c r="L11" s="0" t="n">
        <f aca="false">L8+L10+L24</f>
        <v>3393.51892757808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-12.104742</v>
      </c>
      <c r="D12" s="4" t="n">
        <f aca="false">-D6*Assumptions!D45/100</f>
        <v>-12.83102652</v>
      </c>
      <c r="E12" s="4" t="n">
        <f aca="false">-E6*Assumptions!E45/100</f>
        <v>-13.793353509</v>
      </c>
      <c r="F12" s="4" t="n">
        <f aca="false">-F6*Assumptions!F45/100</f>
        <v>-14.827855022175</v>
      </c>
      <c r="G12" s="4" t="n">
        <f aca="false">-G6*Assumptions!G45/100</f>
        <v>-15.8658048737273</v>
      </c>
      <c r="H12" s="4" t="n">
        <f aca="false">-H6*Assumptions!H45/100</f>
        <v>-16.8177531661509</v>
      </c>
      <c r="I12" s="4" t="n">
        <f aca="false">-I6*Assumptions!I45/100</f>
        <v>-17.6586408244584</v>
      </c>
      <c r="J12" s="4" t="n">
        <f aca="false">-J6*Assumptions!J45/100</f>
        <v>-18.3649864574368</v>
      </c>
      <c r="K12" s="4" t="n">
        <f aca="false">-K6*Assumptions!K45/100</f>
        <v>-19.0077609834471</v>
      </c>
      <c r="L12" s="4" t="n">
        <f aca="false">-L6*Assumptions!L45/100</f>
        <v>-19.5779938129505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1577.651374</v>
      </c>
      <c r="D13" s="0" t="n">
        <f aca="false">D11+D12</f>
        <v>1757.85063324</v>
      </c>
      <c r="E13" s="0" t="n">
        <f aca="false">E11+E12</f>
        <v>1986.242905296</v>
      </c>
      <c r="F13" s="0" t="n">
        <f aca="false">F11+F12</f>
        <v>2239.00610834843</v>
      </c>
      <c r="G13" s="0" t="n">
        <f aca="false">G11+G12</f>
        <v>2501.50856842433</v>
      </c>
      <c r="H13" s="0" t="n">
        <f aca="false">H11+H12</f>
        <v>2769.32335469285</v>
      </c>
      <c r="I13" s="0" t="n">
        <f aca="false">I11+I12</f>
        <v>2972.53787211717</v>
      </c>
      <c r="J13" s="0" t="n">
        <f aca="false">J11+J12</f>
        <v>3152.65600852665</v>
      </c>
      <c r="K13" s="0" t="n">
        <f aca="false">K11+K12</f>
        <v>3275.67080948071</v>
      </c>
      <c r="L13" s="0" t="n">
        <f aca="false">L11+L12</f>
        <v>3373.94093376513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4</v>
      </c>
      <c r="D14" s="4" t="n">
        <f aca="false">Assumptions!D47</f>
        <v>7</v>
      </c>
      <c r="E14" s="4" t="n">
        <f aca="false">Assumptions!E47</f>
        <v>9</v>
      </c>
      <c r="F14" s="4" t="n">
        <f aca="false">Assumptions!F47</f>
        <v>11</v>
      </c>
      <c r="G14" s="4" t="n">
        <f aca="false">Assumptions!G47</f>
        <v>13</v>
      </c>
      <c r="H14" s="4" t="n">
        <f aca="false">Assumptions!H47</f>
        <v>15</v>
      </c>
      <c r="I14" s="4" t="n">
        <f aca="false">Assumptions!I47</f>
        <v>15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1514.54531904</v>
      </c>
      <c r="D15" s="0" t="n">
        <f aca="false">D13-MAX(0,D13)*D14/100</f>
        <v>1634.8010889132</v>
      </c>
      <c r="E15" s="0" t="n">
        <f aca="false">E13-MAX(0,E13)*E14/100</f>
        <v>1807.48104381936</v>
      </c>
      <c r="F15" s="0" t="n">
        <f aca="false">F13-MAX(0,F13)*F14/100</f>
        <v>1992.7154364301</v>
      </c>
      <c r="G15" s="0" t="n">
        <f aca="false">G13-MAX(0,G13)*G14/100</f>
        <v>2176.31245452917</v>
      </c>
      <c r="H15" s="0" t="n">
        <f aca="false">H13-MAX(0,H13)*H14/100</f>
        <v>2353.92485148892</v>
      </c>
      <c r="I15" s="0" t="n">
        <f aca="false">I13-MAX(0,I13)*I14/100</f>
        <v>2526.65719129959</v>
      </c>
      <c r="J15" s="0" t="n">
        <f aca="false">J13-MAX(0,J13)*J14/100</f>
        <v>2679.75760724765</v>
      </c>
      <c r="K15" s="0" t="n">
        <f aca="false">K13-MAX(0,K13)*K14/100</f>
        <v>2784.3201880586</v>
      </c>
      <c r="L15" s="0" t="n">
        <f aca="false">L13-MAX(0,L13)*L14/100</f>
        <v>2867.84979370036</v>
      </c>
    </row>
    <row r="16" customFormat="false" ht="15" hidden="false" customHeight="false" outlineLevel="0" collapsed="false">
      <c r="A16" s="0" t="s">
        <v>126</v>
      </c>
      <c r="C16" s="0" t="n">
        <f aca="false">-C12</f>
        <v>12.104742</v>
      </c>
      <c r="D16" s="0" t="n">
        <f aca="false">-D12</f>
        <v>12.83102652</v>
      </c>
      <c r="E16" s="0" t="n">
        <f aca="false">-E12</f>
        <v>13.793353509</v>
      </c>
      <c r="F16" s="0" t="n">
        <f aca="false">-F12</f>
        <v>14.827855022175</v>
      </c>
      <c r="G16" s="0" t="n">
        <f aca="false">-G12</f>
        <v>15.8658048737273</v>
      </c>
      <c r="H16" s="0" t="n">
        <f aca="false">-H12</f>
        <v>16.8177531661509</v>
      </c>
      <c r="I16" s="0" t="n">
        <f aca="false">-I12</f>
        <v>17.6586408244584</v>
      </c>
      <c r="J16" s="0" t="n">
        <f aca="false">-J12</f>
        <v>18.3649864574368</v>
      </c>
      <c r="K16" s="0" t="n">
        <f aca="false">-K12</f>
        <v>19.0077609834471</v>
      </c>
      <c r="L16" s="0" t="n">
        <f aca="false">-L12</f>
        <v>19.5779938129505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-12.104742</v>
      </c>
      <c r="D17" s="4" t="n">
        <f aca="false">-D6*Assumptions!D46/100</f>
        <v>-12.83102652</v>
      </c>
      <c r="E17" s="4" t="n">
        <f aca="false">-E6*Assumptions!E46/100</f>
        <v>-13.793353509</v>
      </c>
      <c r="F17" s="4" t="n">
        <f aca="false">-F6*Assumptions!F46/100</f>
        <v>-14.827855022175</v>
      </c>
      <c r="G17" s="4" t="n">
        <f aca="false">-G6*Assumptions!G46/100</f>
        <v>-15.8658048737273</v>
      </c>
      <c r="H17" s="4" t="n">
        <f aca="false">-H6*Assumptions!H46/100</f>
        <v>-16.8177531661509</v>
      </c>
      <c r="I17" s="4" t="n">
        <f aca="false">-I6*Assumptions!I46/100</f>
        <v>-17.6586408244584</v>
      </c>
      <c r="J17" s="4" t="n">
        <f aca="false">-J6*Assumptions!J46/100</f>
        <v>-18.3649864574368</v>
      </c>
      <c r="K17" s="4" t="n">
        <f aca="false">-K6*Assumptions!K46/100</f>
        <v>-19.0077609834471</v>
      </c>
      <c r="L17" s="4" t="n">
        <f aca="false">-L6*Assumptions!L46/100</f>
        <v>-19.5779938129505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46.5567000000001</v>
      </c>
      <c r="D18" s="4" t="n">
        <f aca="false">(D6-C6)*Assumptions!$B$51/100</f>
        <v>72.6284520000001</v>
      </c>
      <c r="E18" s="4" t="n">
        <f aca="false">(E6-D6)*Assumptions!$B$51/100</f>
        <v>96.2326988999998</v>
      </c>
      <c r="F18" s="4" t="n">
        <f aca="false">(F6-E6)*Assumptions!$B$51/100</f>
        <v>103.4501513175</v>
      </c>
      <c r="G18" s="4" t="n">
        <f aca="false">(G6-F6)*Assumptions!$B$51/100</f>
        <v>103.794985155225</v>
      </c>
      <c r="H18" s="4" t="n">
        <f aca="false">(H6-G6)*Assumptions!$B$51/100</f>
        <v>95.1948292423635</v>
      </c>
      <c r="I18" s="4" t="n">
        <f aca="false">(I6-H6)*Assumptions!$B$51/100</f>
        <v>84.0887658307546</v>
      </c>
      <c r="J18" s="4" t="n">
        <f aca="false">(J6-I6)*Assumptions!$B$51/100</f>
        <v>70.6345632978339</v>
      </c>
      <c r="K18" s="4" t="n">
        <f aca="false">(K6-J6)*Assumptions!$B$51/100</f>
        <v>64.2774526010287</v>
      </c>
      <c r="L18" s="4" t="n">
        <f aca="false">(L6-K6)*Assumptions!$B$51/100</f>
        <v>57.0232829503411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1561.10201904</v>
      </c>
      <c r="D19" s="0" t="n">
        <f aca="false">D15+D16+D17+D18</f>
        <v>1707.4295409132</v>
      </c>
      <c r="E19" s="0" t="n">
        <f aca="false">E15+E16+E17+E18</f>
        <v>1903.71374271936</v>
      </c>
      <c r="F19" s="0" t="n">
        <f aca="false">F15+F16+F17+F18</f>
        <v>2096.1655877476</v>
      </c>
      <c r="G19" s="0" t="n">
        <f aca="false">G15+G16+G17+G18</f>
        <v>2280.10743968439</v>
      </c>
      <c r="H19" s="0" t="n">
        <f aca="false">H15+H16+H17+H18</f>
        <v>2449.11968073128</v>
      </c>
      <c r="I19" s="0" t="n">
        <f aca="false">I15+I16+I17+I18</f>
        <v>2610.74595713035</v>
      </c>
      <c r="J19" s="0" t="n">
        <f aca="false">J15+J16+J17+J18</f>
        <v>2750.39217054548</v>
      </c>
      <c r="K19" s="0" t="n">
        <f aca="false">K15+K16+K17+K18</f>
        <v>2848.59764065963</v>
      </c>
      <c r="L19" s="0" t="n">
        <f aca="false">L15+L16+L17+L18</f>
        <v>2924.8730766507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1419.18365367273</v>
      </c>
      <c r="D21" s="0" t="n">
        <f aca="false">D19*D20</f>
        <v>1411.09879414314</v>
      </c>
      <c r="E21" s="0" t="n">
        <f aca="false">E19*E20</f>
        <v>1430.28831158479</v>
      </c>
      <c r="F21" s="0" t="n">
        <f aca="false">F19*F20</f>
        <v>1431.70930110484</v>
      </c>
      <c r="G21" s="0" t="n">
        <f aca="false">G19*G20</f>
        <v>1415.76732816586</v>
      </c>
      <c r="H21" s="0" t="n">
        <f aca="false">H19*H20</f>
        <v>1382.46421135444</v>
      </c>
      <c r="I21" s="0" t="n">
        <f aca="false">I19*I20</f>
        <v>1339.72548253943</v>
      </c>
      <c r="J21" s="0" t="n">
        <f aca="false">J19*J20</f>
        <v>1283.07824603053</v>
      </c>
      <c r="K21" s="0" t="n">
        <f aca="false">K19*K20</f>
        <v>1208.08347510523</v>
      </c>
      <c r="L21" s="0" t="n">
        <f aca="false">L19*L20</f>
        <v>1127.66518713579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13449.0639908368</v>
      </c>
    </row>
    <row r="31" customFormat="false" ht="15" hidden="false" customHeight="false" outlineLevel="0" collapsed="false">
      <c r="A31" s="0" t="s">
        <v>135</v>
      </c>
      <c r="B31" s="0" t="n">
        <f aca="false">L19</f>
        <v>2924.8730766507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43037.4181278603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52647.7153797126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43037.4181278603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16592.7877535694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30041.8517444062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43171.6157444062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241.255138974745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1.63666818551634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739.588316157717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740.438958012211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249.525947920842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25105.1605745852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167.87133551635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136.535446230363</v>
      </c>
      <c r="C4" s="0" t="n">
        <f aca="false">B4/Assumptions!$B$2-1</f>
        <v>0.492190669184293</v>
      </c>
      <c r="D4" s="4" t="n">
        <f aca="false">Assumptions!$B$24</f>
        <v>0.3</v>
      </c>
      <c r="E4" s="4" t="n">
        <f aca="false">DCF_Bear!$B$43</f>
        <v>142.305802645242</v>
      </c>
      <c r="F4" s="4" t="n">
        <f aca="false">DCF_Bear!$B$47</f>
        <v>114.346983883703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195.468000308298</v>
      </c>
      <c r="C5" s="0" t="n">
        <f aca="false">B5/Assumptions!$B$2-1</f>
        <v>1.13626229845134</v>
      </c>
      <c r="D5" s="4" t="n">
        <f aca="false">Assumptions!$B$38</f>
        <v>0.5</v>
      </c>
      <c r="E5" s="4" t="n">
        <f aca="false">DCF_Base!$B$43</f>
        <v>202.421672799972</v>
      </c>
      <c r="F5" s="4" t="n">
        <f aca="false">DCF_Base!$B$47</f>
        <v>145.446015919402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241.255138974745</v>
      </c>
      <c r="C6" s="0" t="n">
        <f aca="false">B6/Assumptions!$B$2-1</f>
        <v>1.63666818551634</v>
      </c>
      <c r="D6" s="4" t="n">
        <f aca="false">Assumptions!$B$52</f>
        <v>0.2</v>
      </c>
      <c r="E6" s="4" t="n">
        <f aca="false">DCF_Bull!$B$43</f>
        <v>249.525947920842</v>
      </c>
      <c r="F6" s="4" t="n">
        <f aca="false">DCF_Bull!$B$47</f>
        <v>167.87133551635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186.945661818207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193.807766777727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0.510552964374332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-1390.90938394626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140.601370228082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210.941202201742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195.468000308298</v>
      </c>
      <c r="C16" s="3" t="n">
        <v>10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180.717853139898</v>
      </c>
      <c r="C17" s="3" t="n">
        <v>11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169.091046651958</v>
      </c>
      <c r="C18" s="3" t="n">
        <v>12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145.446015919402</v>
      </c>
      <c r="C19" s="3" t="n">
        <v>15</v>
      </c>
    </row>
    <row r="21" customFormat="false" ht="15" hidden="false" customHeight="false" outlineLevel="0" collapsed="false">
      <c r="A21" s="2" t="s">
        <v>171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221.237410420314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221.237410420314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221.237410420314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221.237410420314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221.237410420314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203.612550810912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208.799713158967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210.941202201742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210.941202201742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210.941202201742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187.598570504343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191.287365724947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195.468000308298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200.245868403556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201.548923338626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174.991102391834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177.695401356197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180.717853139898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184.118111396561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187.971737420779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164.814605373622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166.845914980832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169.091046651958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171.585637397655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174.373709407551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2026-10-23T20:42:26Z</dcterms:created>
  <dc:creator>openpyxl</dc:creator>
  <dc:description/>
  <dc:language>en-NZ</dc:language>
  <cp:lastModifiedBy/>
  <dcterms:modified xsi:type="dcterms:W3CDTF">2026-10-23T20:42:26Z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