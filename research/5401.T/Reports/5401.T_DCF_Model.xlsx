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<sst xmlns="http://schemas.openxmlformats.org/spreadsheetml/2006/main" count="382" uniqueCount="177">
  <si>
    <t xml:space="preserve">Ticker</t>
  </si>
  <si>
    <t xml:space="preserve">5401.T</t>
  </si>
  <si>
    <t xml:space="preserve">Company</t>
  </si>
  <si>
    <t xml:space="preserve">Nippon Steel Corporation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</si>
  <si>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</si>
  <si>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</si>
  <si>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</si>
  <si>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</si>
  <si>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regular close (TSE)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</si>
  <si>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</si>
  <si>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</si>
  <si>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</si>
  <si>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</si>
  <si>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</si>
  <si>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</si>
  <si>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</si>
  <si>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</si>
  <si>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</si>
  <si>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</si>
  <si>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</si>
  <si>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</si>
  <si>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2026-10-31T09:32:18Z</t>
  </si>
  <si>
    <t xml:space="preserve">Drivers file</t>
  </si>
  <si>
    <t xml:space="preserve">5401.T_Drivers.json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</si>
  <si>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</si>
  <si>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</si>
  <si>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</si>
  <si>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Nippon Steel is valued as a levered, cyclical, capital-intensive operating company on unlevered owner FCF with the balance sheet handled in the bridge: Y5.5tn of bonds, borrowings, leases, hybrids and the Y600bn CB as debt; Y1.49tn of equity-method investments and Y0.55tn of securities added at book under the matching-asset rule; NCI deducted at book. Mid-cycle normalisation is the whole argument -- FY2026 is an acquisition-year distortion (negative FCF, Y863bn capex, Y271bn reorganisation losses) and FY2022-FY2023 were a spread peak. The base case credits a margin a little above the IFRS-era mean and a capex bulge that runs three more years before normalising. Because equity is ~40% of enterprise value, the per-share value is extremely sensitive to the mature margin and to the capex normalisation level; the house 15x FCF terminal cap binds in every scenario (Gordon at 7%/1.5% would be ~18.5x) and keeps the model from paying for a re-rating.
key_risks_to_valuation: Mature EBITDA margin: each 1pp ex-associates is ~Y130-150/share; the base 12.0% is above the FY2018-FY2026 mean (10.7% ex-associates) and relies on U.S. tariff pricing and synergy delivery persisting; Capex normalisation: the model assumes cash capex falls from ~11.5% to 6.5% of revenue by FY2031; the NSA $10.8bn commitment, Nagoya hot-strip mill, Rajayapeta Phase 1 and EAF/decarbonisation spend could keep it at 8%+ (each 1pp of steady-state capex is ~Y300/share); Equity-method investments and securities taken at book Y2.04tn (~Y390/share); AM/NS India could be worth more, but the strategic shareholdings being sold could realise less than carrying value and the stripped associate income is being capitalised at ~15x; Convertible bond treatment: carried as Y600bn debt with basic shares; if the stock rallies through ~Y870, conversion adds ~690m shares (13%) and removes Y600bn of debt -- roughly neutral to IV at that price, dilutive above it; Cyclical timing: a down-cycle in FY2027-FY2029 while capex is locked would push the bear path, where DCF equity is zero, into the base; USD/JPY: ~25-30% of EBITDA and a large share of debt are now USD; the FY2027 guidance assumes Y160/$</t>
  </si>
  <si>
    <t xml:space="preserve">Data sources</t>
  </si>
  <si>
    <t xml:space="preserve">price: Yahoo Finance chart API at inputs.price_as_of; 52-week range 530.5-718.5 JPY
financials: 5401.T_Metrics.csv (core_metrics, IFRS from FY2018; J-GAAP FY2013-FY2017); FY2026 annual tanshin (year ended 2026-03-31) for income statement, cash flow, EPS/dilution note and CB/sub-loan financing; Q1 FY2027 tanshin (2026-06-30 balance sheet: cash, bonds/borrowings/leases, equity-method investments, other financial assets, NCI, shares) and its FY2027 forecast table (revenue, Business Profit, EBITDA, capex, D&amp;A)
qualitative: 5401.T_Analysis.json (2026-10-31): U.S. Steel integration and NSA/golden share, 2030 Medium- to Long-term Management Plan, S&amp;P BBB/negative, China overcapacity, Middle East cost impact</t>
  </si>
  <si>
    <t xml:space="preserve">Scenario narrative: bear</t>
  </si>
  <si>
    <t xml:space="preserve">Guidance miss on Middle East costs and USD/JPY, two flat years as Chinese overcapacity holds spreads at trough, margin settles at the full-cycle mean (10.5% ex-associates), NSA-locked capex cannot be cut. Enterprise value does not cover net debt plus NCI even with the Y2.0tn of associates and securities added back; equity value floors at zero. A further S&amp;P downgrade from BBB/negative is the signpost.</t>
  </si>
  <si>
    <t xml:space="preserve">Scenario narrative: base</t>
  </si>
  <si>
    <t xml:space="preserve">Full-year U.S. Steel consolidation and FY2027 guidance as the anchor, 3% fading to 2% nominal growth, ex-associates EBITDA margin maturing at 12.0% (just above the IFRS-era mid-cycle, partial synergy credit), three years of NSA-driven capex burn then 6.5% of revenue, 7.0% JPY WACC, 15x FCF terminal cap. Equity is a thin slice on Y5.0tn of net debt: every 1pp of mature EBITDA margin is roughly Y130-150/share.</t>
  </si>
  <si>
    <t xml:space="preserve">Scenario narrative: bull</t>
  </si>
  <si>
    <t xml:space="preserve">2030 plan delivered -- Y1tn underlying Business Profit, U.S. Steel $3bn structural EBITDA uplift, India growth, GX-steel premium; capex normalises to 6% by FY2031; 28% cash tax. The leverage that crushes the bear case works in reverse here.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</si>
  <si>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</si>
  <si>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</si>
  <si>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</si>
  <si>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</si>
  <si>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</si>
  <si>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</si>
  <si>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</si>
  <si>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</si>
  <si>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</si>
  <si>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</si>
  <si>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</si>
  <si>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</si>
  <si>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</si>
  <si>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</si>
  <si>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</si>
  <si>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</si>
  <si>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</si>
  <si>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</si>
  <si>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</si>
  <si>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</si>
  <si>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</si>
  <si>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</si>
  <si>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</si>
  <si>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</si>
  <si>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</si>
  <si>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</si>
  <si>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</si>
  <si>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BookValuePerShare</t>
  </si>
  <si>
    <t xml:space="preserve">BusinessProfit</t>
  </si>
  <si>
    <t xml:space="preserve">EPSBasic</t>
  </si>
  <si>
    <t xml:space="preserve">EPSDiluted</t>
  </si>
  <si>
    <t xml:space="preserve">OrdinaryProfit</t>
  </si>
  <si>
    <t xml:space="preserve">ProfitInclNCI</t>
  </si>
  <si>
    <t xml:space="preserve">TotalEquity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</si>
  <si>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</si>
  <si>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</si>
  <si>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</si>
  <si>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</si>
  <si>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</si>
  <si>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</si>
  <si>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</si>
  <si>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</si>
  <si>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</si>
  <si>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</si>
  <si>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</si>
  <si>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</si>
  <si>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</si>
  <si>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</si>
  <si>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</si>
  <si>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</si>
  <si>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</si>
  <si>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</si>
  <si>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</si>
  <si>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</si>
  <si>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</si>
  <si>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</si>
  <si>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</si>
  <si>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</si>
  <si>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</si>
  <si>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</si>
  <si>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</si>
  <si>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</si>
  <si>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</si>
  <si>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</si>
  <si>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</si>
  <si>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</si>
  <si>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</si>
  <si>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</si>
  <si>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</si>
  <si>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</si>
  <si>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</si>
  <si>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</si>
  <si>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</si>
  <si>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</si>
  <si>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</si>
  <si>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</si>
  <si>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</si>
  <si>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</si>
  <si>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</si>
  <si>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</si>
  <si>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</si>
  <si>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</si>
  <si>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</si>
  <si>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</si>
  <si>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</si>
  <si>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</si>
  <si>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5401.T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</si>
  <si>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</si>
  <si>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</si>
  <si>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</si>
  <si>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</si>
  <si>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</si>
  <si>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</si>
  <si>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</si>
  <si>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</si>
  <si>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</si>
  <si>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</si>
  <si>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</si>
  <si>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</si>
  <si>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</si>
  <si>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</si>
  <si>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</si>
  <si>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</si>
  <si>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</si>
  <si>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</si>
  <si>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</si>
  <si>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</si>
  <si>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</si>
  <si>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</si>
  <si>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</si>
  <si>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</si>
  <si>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</si>
  <si>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</si>
  <si>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</si>
  <si>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</si>
  <si>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</si>
  <si>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</si>
  <si>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5401.T owner-FCF component DCF: base case (millions, JPY)</t>
  </si>
  <si>
    <t xml:space="preserve">5401.T owner-FCF component DCF: bull case (millions, JPY)</t>
  </si>
  <si>
    <t xml:space="preserve">5401.T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</si>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</sst>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656.5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</row>
    <row r="2" customFormat="false" ht="15" hidden="false" customHeight="false" outlineLevel="0" collapsed="false">
      <c r="A2" s="0" t="s">
        <v>70</v>
      </c>
      <c r="B2" s="0" t="n">
        <v>4090936</v>
      </c>
      <c r="F2" s="0" t="n">
        <v>79364</v>
      </c>
      <c r="G2" s="0" t="n">
        <v>1.9</v>
      </c>
      <c r="I2" s="0" t="n">
        <v>58471</v>
      </c>
      <c r="J2" s="0" t="n">
        <v>1.4</v>
      </c>
      <c r="K2" s="0" t="n">
        <v>18.6</v>
      </c>
      <c r="L2" s="0" t="n">
        <v>237414</v>
      </c>
      <c r="O2" s="0" t="n">
        <v>1828902</v>
      </c>
      <c r="P2" s="0" t="n">
        <v>4924711</v>
      </c>
      <c r="Q2" s="0" t="n">
        <v>2577368</v>
      </c>
      <c r="S2" s="0" t="n">
        <v>55747</v>
      </c>
      <c r="AA2" s="0" t="s">
        <v>17</v>
      </c>
      <c r="AB2" s="0" t="s">
        <v>14</v>
      </c>
      <c r="AC2" s="0" t="n">
        <v>581.56</v>
      </c>
      <c r="AE2" s="0" t="n">
        <v>18.6</v>
      </c>
      <c r="AG2" s="0" t="n">
        <v>143006</v>
      </c>
      <c r="AI2" s="0" t="n">
        <v>2347343</v>
      </c>
    </row>
    <row r="3" customFormat="false" ht="15" hidden="false" customHeight="false" outlineLevel="0" collapsed="false">
      <c r="A3" s="0" t="s">
        <v>71</v>
      </c>
      <c r="B3" s="0" t="n">
        <v>4389922</v>
      </c>
      <c r="F3" s="0" t="n">
        <v>20110</v>
      </c>
      <c r="G3" s="0" t="n">
        <v>0.5</v>
      </c>
      <c r="I3" s="0" t="n">
        <v>-124567</v>
      </c>
      <c r="J3" s="0" t="n">
        <v>-2.8</v>
      </c>
      <c r="K3" s="0" t="n">
        <v>-32.46</v>
      </c>
      <c r="L3" s="0" t="n">
        <v>313317</v>
      </c>
      <c r="M3" s="0" t="n">
        <v>349817</v>
      </c>
      <c r="N3" s="0" t="n">
        <v>-36500</v>
      </c>
      <c r="O3" s="0" t="n">
        <v>2394069</v>
      </c>
      <c r="P3" s="0" t="n">
        <v>7089498</v>
      </c>
      <c r="Q3" s="0" t="n">
        <v>4151215</v>
      </c>
      <c r="S3" s="0" t="n">
        <v>90530</v>
      </c>
      <c r="T3" s="0" t="n">
        <v>4537.325</v>
      </c>
      <c r="V3" s="0" t="n">
        <v>2</v>
      </c>
      <c r="AA3" s="0" t="s">
        <v>17</v>
      </c>
      <c r="AB3" s="0" t="s">
        <v>14</v>
      </c>
      <c r="AC3" s="0" t="n">
        <v>527.64</v>
      </c>
      <c r="AE3" s="0" t="n">
        <v>-32.46</v>
      </c>
      <c r="AG3" s="0" t="n">
        <v>76931</v>
      </c>
      <c r="AI3" s="0" t="n">
        <v>2938283</v>
      </c>
    </row>
    <row r="4" customFormat="false" ht="15" hidden="false" customHeight="false" outlineLevel="0" collapsed="false">
      <c r="A4" s="0" t="s">
        <v>72</v>
      </c>
      <c r="B4" s="0" t="n">
        <v>5516180</v>
      </c>
      <c r="F4" s="0" t="n">
        <v>298390</v>
      </c>
      <c r="G4" s="0" t="n">
        <v>5.4</v>
      </c>
      <c r="I4" s="0" t="n">
        <v>242753</v>
      </c>
      <c r="J4" s="0" t="n">
        <v>4.4</v>
      </c>
      <c r="K4" s="0" t="n">
        <v>53.34</v>
      </c>
      <c r="L4" s="0" t="n">
        <v>574767</v>
      </c>
      <c r="M4" s="0" t="n">
        <v>319413</v>
      </c>
      <c r="N4" s="0" t="n">
        <v>255354</v>
      </c>
      <c r="O4" s="0" t="n">
        <v>2683659</v>
      </c>
      <c r="P4" s="0" t="n">
        <v>7082288</v>
      </c>
      <c r="Q4" s="0" t="n">
        <v>3844293</v>
      </c>
      <c r="S4" s="0" t="n">
        <v>105464</v>
      </c>
      <c r="T4" s="0" t="n">
        <v>4562.35</v>
      </c>
      <c r="V4" s="0" t="n">
        <v>10</v>
      </c>
      <c r="AA4" s="0" t="s">
        <v>17</v>
      </c>
      <c r="AB4" s="0" t="s">
        <v>14</v>
      </c>
      <c r="AC4" s="0" t="n">
        <v>588.22</v>
      </c>
      <c r="AE4" s="0" t="n">
        <v>53.34</v>
      </c>
      <c r="AG4" s="0" t="n">
        <v>361097</v>
      </c>
      <c r="AI4" s="0" t="n">
        <v>3237995</v>
      </c>
    </row>
    <row r="5" customFormat="false" ht="15" hidden="false" customHeight="false" outlineLevel="0" collapsed="false">
      <c r="A5" s="0" t="s">
        <v>73</v>
      </c>
      <c r="B5" s="0" t="n">
        <v>5610030</v>
      </c>
      <c r="F5" s="0" t="n">
        <v>349510</v>
      </c>
      <c r="G5" s="0" t="n">
        <v>6.2</v>
      </c>
      <c r="I5" s="0" t="n">
        <v>214293</v>
      </c>
      <c r="J5" s="0" t="n">
        <v>3.8</v>
      </c>
      <c r="K5" s="0" t="n">
        <v>46.97</v>
      </c>
      <c r="L5" s="0" t="n">
        <v>710998</v>
      </c>
      <c r="M5" s="0" t="n">
        <v>324074</v>
      </c>
      <c r="N5" s="0" t="n">
        <v>386924</v>
      </c>
      <c r="O5" s="0" t="n">
        <v>2978696</v>
      </c>
      <c r="P5" s="0" t="n">
        <v>7157929</v>
      </c>
      <c r="Q5" s="0" t="n">
        <v>3610870</v>
      </c>
      <c r="S5" s="0" t="n">
        <v>112994</v>
      </c>
      <c r="T5" s="0" t="n">
        <v>4564.307</v>
      </c>
      <c r="V5" s="0" t="n">
        <v>11</v>
      </c>
      <c r="AA5" s="0" t="s">
        <v>17</v>
      </c>
      <c r="AB5" s="0" t="s">
        <v>14</v>
      </c>
      <c r="AC5" s="0" t="n">
        <v>652.61</v>
      </c>
      <c r="AE5" s="0" t="n">
        <v>46.97</v>
      </c>
      <c r="AG5" s="0" t="n">
        <v>451747</v>
      </c>
      <c r="AI5" s="0" t="n">
        <v>3547059</v>
      </c>
    </row>
    <row r="6" customFormat="false" ht="15" hidden="false" customHeight="false" outlineLevel="0" collapsed="false">
      <c r="A6" s="0" t="s">
        <v>74</v>
      </c>
      <c r="B6" s="0" t="n">
        <v>4907429</v>
      </c>
      <c r="F6" s="0" t="n">
        <v>167731</v>
      </c>
      <c r="G6" s="0" t="n">
        <v>3.4</v>
      </c>
      <c r="I6" s="0" t="n">
        <v>145419</v>
      </c>
      <c r="J6" s="0" t="n">
        <v>3</v>
      </c>
      <c r="K6" s="0" t="n">
        <v>31.74</v>
      </c>
      <c r="L6" s="0" t="n">
        <v>562956</v>
      </c>
      <c r="M6" s="0" t="n">
        <v>298670</v>
      </c>
      <c r="N6" s="0" t="n">
        <v>264286</v>
      </c>
      <c r="O6" s="0" t="n">
        <v>2773822</v>
      </c>
      <c r="P6" s="0" t="n">
        <v>6425043</v>
      </c>
      <c r="Q6" s="0" t="n">
        <v>3415968</v>
      </c>
      <c r="S6" s="0" t="n">
        <v>85203</v>
      </c>
      <c r="T6" s="0" t="n">
        <v>4511.332</v>
      </c>
      <c r="V6" s="0" t="n">
        <v>9</v>
      </c>
      <c r="AA6" s="0" t="s">
        <v>17</v>
      </c>
      <c r="AB6" s="0" t="s">
        <v>14</v>
      </c>
      <c r="AC6" s="0" t="n">
        <v>614.86</v>
      </c>
      <c r="AE6" s="0" t="n">
        <v>31.74</v>
      </c>
      <c r="AG6" s="0" t="n">
        <v>200929</v>
      </c>
      <c r="AI6" s="0" t="n">
        <v>3009075</v>
      </c>
    </row>
    <row r="7" customFormat="false" ht="15" hidden="false" customHeight="false" outlineLevel="0" collapsed="false">
      <c r="A7" s="0" t="s">
        <v>75</v>
      </c>
      <c r="B7" s="0" t="n">
        <v>4632890</v>
      </c>
      <c r="F7" s="0" t="n">
        <v>114202</v>
      </c>
      <c r="G7" s="0" t="n">
        <v>2.5</v>
      </c>
      <c r="I7" s="0" t="n">
        <v>130946</v>
      </c>
      <c r="J7" s="0" t="n">
        <v>2.8</v>
      </c>
      <c r="K7" s="0" t="n">
        <v>29.59</v>
      </c>
      <c r="L7" s="0" t="n">
        <v>484288</v>
      </c>
      <c r="M7" s="0" t="n">
        <v>321879</v>
      </c>
      <c r="N7" s="0" t="n">
        <v>162409</v>
      </c>
      <c r="O7" s="0" t="n">
        <v>2948232</v>
      </c>
      <c r="P7" s="0" t="n">
        <v>7261923</v>
      </c>
      <c r="Q7" s="0" t="n">
        <v>3970908</v>
      </c>
      <c r="S7" s="0" t="n">
        <v>91391</v>
      </c>
      <c r="T7" s="0" t="n">
        <v>4413.237</v>
      </c>
      <c r="V7" s="0" t="n">
        <v>9</v>
      </c>
      <c r="AA7" s="0" t="s">
        <v>17</v>
      </c>
      <c r="AB7" s="0" t="s">
        <v>14</v>
      </c>
      <c r="AC7" s="0" t="n">
        <v>668.04</v>
      </c>
      <c r="AE7" s="0" t="n">
        <v>29.59</v>
      </c>
      <c r="AG7" s="0" t="n">
        <v>174531</v>
      </c>
      <c r="AI7" s="0" t="n">
        <v>3291015</v>
      </c>
    </row>
    <row r="8" customFormat="false" ht="15" hidden="false" customHeight="false" outlineLevel="0" collapsed="false">
      <c r="A8" s="0" t="s">
        <v>76</v>
      </c>
      <c r="B8" s="0" t="n">
        <v>5712965</v>
      </c>
      <c r="F8" s="0" t="n">
        <v>288700</v>
      </c>
      <c r="G8" s="0" t="n">
        <v>5.1</v>
      </c>
      <c r="I8" s="0" t="n">
        <v>180832</v>
      </c>
      <c r="J8" s="0" t="n">
        <v>3.2</v>
      </c>
      <c r="K8" s="0" t="n">
        <v>40.97</v>
      </c>
      <c r="L8" s="0" t="n">
        <v>485539</v>
      </c>
      <c r="M8" s="0" t="n">
        <v>411926</v>
      </c>
      <c r="N8" s="0" t="n">
        <v>73613</v>
      </c>
      <c r="O8" s="0" t="n">
        <v>3136991</v>
      </c>
      <c r="P8" s="0" t="n">
        <v>7756134</v>
      </c>
      <c r="Q8" s="0" t="n">
        <v>4231238</v>
      </c>
      <c r="R8" s="0" t="n">
        <v>2157755</v>
      </c>
      <c r="S8" s="0" t="n">
        <v>142869</v>
      </c>
      <c r="T8" s="0" t="n">
        <v>4413.052</v>
      </c>
      <c r="V8" s="0" t="n">
        <v>14</v>
      </c>
      <c r="AA8" s="0" t="s">
        <v>17</v>
      </c>
      <c r="AB8" s="0" t="s">
        <v>14</v>
      </c>
      <c r="AC8" s="0" t="n">
        <v>710.84</v>
      </c>
      <c r="AD8" s="0" t="n">
        <v>288700</v>
      </c>
      <c r="AE8" s="0" t="n">
        <v>40.97</v>
      </c>
      <c r="AG8" s="0" t="n">
        <v>297541</v>
      </c>
      <c r="AH8" s="0" t="n">
        <v>212210</v>
      </c>
      <c r="AI8" s="0" t="n">
        <v>3524896</v>
      </c>
    </row>
    <row r="9" customFormat="false" ht="15" hidden="false" customHeight="false" outlineLevel="0" collapsed="false">
      <c r="A9" s="0" t="s">
        <v>77</v>
      </c>
      <c r="B9" s="0" t="n">
        <v>6177947</v>
      </c>
      <c r="F9" s="0" t="n">
        <v>265111</v>
      </c>
      <c r="G9" s="0" t="n">
        <v>4.3</v>
      </c>
      <c r="I9" s="0" t="n">
        <v>251169</v>
      </c>
      <c r="J9" s="0" t="n">
        <v>4.1</v>
      </c>
      <c r="K9" s="0" t="n">
        <v>56.35</v>
      </c>
      <c r="L9" s="0" t="n">
        <v>452341</v>
      </c>
      <c r="M9" s="0" t="n">
        <v>438758</v>
      </c>
      <c r="N9" s="0" t="n">
        <v>13583</v>
      </c>
      <c r="O9" s="0" t="n">
        <v>3230788</v>
      </c>
      <c r="P9" s="0" t="n">
        <v>8049528</v>
      </c>
      <c r="Q9" s="0" t="n">
        <v>4442161</v>
      </c>
      <c r="R9" s="0" t="n">
        <v>2369231</v>
      </c>
      <c r="S9" s="0" t="n">
        <v>163176</v>
      </c>
      <c r="T9" s="0" t="n">
        <v>4602.617</v>
      </c>
      <c r="V9" s="0" t="n">
        <v>16</v>
      </c>
      <c r="AA9" s="0" t="s">
        <v>17</v>
      </c>
      <c r="AB9" s="0" t="s">
        <v>14</v>
      </c>
      <c r="AC9" s="0" t="n">
        <v>701.94</v>
      </c>
      <c r="AD9" s="0" t="n">
        <v>336941</v>
      </c>
      <c r="AE9" s="0" t="n">
        <v>56.35</v>
      </c>
      <c r="AH9" s="0" t="n">
        <v>257579</v>
      </c>
      <c r="AI9" s="0" t="n">
        <v>3607367</v>
      </c>
    </row>
    <row r="10" customFormat="false" ht="15" hidden="false" customHeight="false" outlineLevel="0" collapsed="false">
      <c r="A10" s="0" t="s">
        <v>78</v>
      </c>
      <c r="B10" s="0" t="n">
        <v>5921525</v>
      </c>
      <c r="F10" s="0" t="n">
        <v>-406119</v>
      </c>
      <c r="G10" s="0" t="n">
        <v>-6.9</v>
      </c>
      <c r="I10" s="0" t="n">
        <v>-431513</v>
      </c>
      <c r="J10" s="0" t="n">
        <v>-7.3</v>
      </c>
      <c r="K10" s="0" t="n">
        <v>-93.75</v>
      </c>
      <c r="L10" s="0" t="n">
        <v>494330</v>
      </c>
      <c r="M10" s="0" t="n">
        <v>460555</v>
      </c>
      <c r="N10" s="0" t="n">
        <v>33775</v>
      </c>
      <c r="O10" s="0" t="n">
        <v>2641618</v>
      </c>
      <c r="P10" s="0" t="n">
        <v>7444965</v>
      </c>
      <c r="Q10" s="0" t="n">
        <v>4448334</v>
      </c>
      <c r="R10" s="0" t="n">
        <v>2488741</v>
      </c>
      <c r="S10" s="0" t="n">
        <v>289459</v>
      </c>
      <c r="T10" s="0" t="n">
        <v>4603.415</v>
      </c>
      <c r="V10" s="0" t="n">
        <v>2</v>
      </c>
      <c r="AA10" s="0" t="s">
        <v>17</v>
      </c>
      <c r="AB10" s="0" t="s">
        <v>14</v>
      </c>
      <c r="AC10" s="0" t="n">
        <v>573.84</v>
      </c>
      <c r="AD10" s="0" t="n">
        <v>-284417</v>
      </c>
      <c r="AE10" s="0" t="n">
        <v>-93.75</v>
      </c>
      <c r="AH10" s="0" t="n">
        <v>-426120</v>
      </c>
      <c r="AI10" s="0" t="n">
        <v>2996631</v>
      </c>
    </row>
    <row r="11" customFormat="false" ht="15" hidden="false" customHeight="false" outlineLevel="0" collapsed="false">
      <c r="A11" s="0" t="s">
        <v>79</v>
      </c>
      <c r="B11" s="0" t="n">
        <v>4829272</v>
      </c>
      <c r="F11" s="0" t="n">
        <v>11381</v>
      </c>
      <c r="G11" s="0" t="n">
        <v>0.2</v>
      </c>
      <c r="I11" s="0" t="n">
        <v>-32432</v>
      </c>
      <c r="J11" s="0" t="n">
        <v>-0.7</v>
      </c>
      <c r="K11" s="0" t="n">
        <v>-7.04</v>
      </c>
      <c r="L11" s="0" t="n">
        <v>403185</v>
      </c>
      <c r="M11" s="0" t="n">
        <v>459811</v>
      </c>
      <c r="N11" s="0" t="n">
        <v>-56626</v>
      </c>
      <c r="O11" s="0" t="n">
        <v>2759996</v>
      </c>
      <c r="P11" s="0" t="n">
        <v>7573946</v>
      </c>
      <c r="Q11" s="0" t="n">
        <v>4442559</v>
      </c>
      <c r="R11" s="0" t="n">
        <v>2559231</v>
      </c>
      <c r="S11" s="0" t="n">
        <v>359465</v>
      </c>
      <c r="T11" s="0" t="n">
        <v>4603.784</v>
      </c>
      <c r="V11" s="0" t="n">
        <v>2</v>
      </c>
      <c r="AA11" s="0" t="s">
        <v>17</v>
      </c>
      <c r="AB11" s="0" t="s">
        <v>14</v>
      </c>
      <c r="AC11" s="0" t="n">
        <v>599.51</v>
      </c>
      <c r="AD11" s="0" t="n">
        <v>110046</v>
      </c>
      <c r="AE11" s="0" t="n">
        <v>-7.04</v>
      </c>
      <c r="AF11" s="0" t="n">
        <v>-7.04</v>
      </c>
      <c r="AH11" s="0" t="n">
        <v>-19327</v>
      </c>
      <c r="AI11" s="0" t="n">
        <v>3131387</v>
      </c>
    </row>
    <row r="12" customFormat="false" ht="15" hidden="false" customHeight="false" outlineLevel="0" collapsed="false">
      <c r="A12" s="0" t="s">
        <v>80</v>
      </c>
      <c r="B12" s="0" t="n">
        <v>6808890</v>
      </c>
      <c r="F12" s="0" t="n">
        <v>840901</v>
      </c>
      <c r="G12" s="0" t="n">
        <v>12.4</v>
      </c>
      <c r="I12" s="0" t="n">
        <v>637321</v>
      </c>
      <c r="J12" s="0" t="n">
        <v>9.4</v>
      </c>
      <c r="K12" s="0" t="n">
        <v>131.5</v>
      </c>
      <c r="L12" s="0" t="n">
        <v>615635</v>
      </c>
      <c r="M12" s="0" t="n">
        <v>466902</v>
      </c>
      <c r="N12" s="0" t="n">
        <v>148733</v>
      </c>
      <c r="O12" s="0" t="n">
        <v>3466799</v>
      </c>
      <c r="P12" s="0" t="n">
        <v>8752346</v>
      </c>
      <c r="Q12" s="0" t="n">
        <v>4855338</v>
      </c>
      <c r="R12" s="0" t="n">
        <v>2653395</v>
      </c>
      <c r="S12" s="0" t="n">
        <v>551049</v>
      </c>
      <c r="T12" s="0" t="n">
        <v>4604.358</v>
      </c>
      <c r="V12" s="0" t="n">
        <v>32</v>
      </c>
      <c r="AA12" s="0" t="s">
        <v>17</v>
      </c>
      <c r="AB12" s="0" t="s">
        <v>14</v>
      </c>
      <c r="AC12" s="0" t="n">
        <v>752.94</v>
      </c>
      <c r="AD12" s="0" t="n">
        <v>938130</v>
      </c>
      <c r="AE12" s="0" t="n">
        <v>138.43</v>
      </c>
      <c r="AF12" s="0" t="n">
        <v>131.5</v>
      </c>
      <c r="AH12" s="0" t="n">
        <v>667530</v>
      </c>
      <c r="AI12" s="0" t="n">
        <v>3897008</v>
      </c>
    </row>
    <row r="13" customFormat="false" ht="15" hidden="false" customHeight="false" outlineLevel="0" collapsed="false">
      <c r="A13" s="0" t="s">
        <v>81</v>
      </c>
      <c r="B13" s="0" t="n">
        <v>7975586</v>
      </c>
      <c r="F13" s="0" t="n">
        <v>883646</v>
      </c>
      <c r="G13" s="0" t="n">
        <v>11.1</v>
      </c>
      <c r="I13" s="0" t="n">
        <v>694016</v>
      </c>
      <c r="J13" s="0" t="n">
        <v>8.7</v>
      </c>
      <c r="K13" s="0" t="n">
        <v>134.38</v>
      </c>
      <c r="L13" s="0" t="n">
        <v>661274</v>
      </c>
      <c r="M13" s="0" t="n">
        <v>470018</v>
      </c>
      <c r="N13" s="0" t="n">
        <v>191256</v>
      </c>
      <c r="O13" s="0" t="n">
        <v>4181155</v>
      </c>
      <c r="P13" s="0" t="n">
        <v>9567099</v>
      </c>
      <c r="Q13" s="0" t="n">
        <v>4920682</v>
      </c>
      <c r="R13" s="0" t="n">
        <v>2699350</v>
      </c>
      <c r="S13" s="0" t="n">
        <v>670410</v>
      </c>
      <c r="T13" s="0" t="n">
        <v>4604.198</v>
      </c>
      <c r="V13" s="0" t="n">
        <v>36</v>
      </c>
      <c r="AA13" s="0" t="s">
        <v>17</v>
      </c>
      <c r="AB13" s="0" t="s">
        <v>14</v>
      </c>
      <c r="AC13" s="0" t="n">
        <v>908.12</v>
      </c>
      <c r="AD13" s="0" t="n">
        <v>916456</v>
      </c>
      <c r="AE13" s="0" t="n">
        <v>150.73</v>
      </c>
      <c r="AF13" s="0" t="n">
        <v>134.38</v>
      </c>
      <c r="AH13" s="0" t="n">
        <v>738732</v>
      </c>
      <c r="AI13" s="0" t="n">
        <v>4646417</v>
      </c>
    </row>
    <row r="14" customFormat="false" ht="15" hidden="false" customHeight="false" outlineLevel="0" collapsed="false">
      <c r="A14" s="0" t="s">
        <v>82</v>
      </c>
      <c r="B14" s="0" t="n">
        <v>8868097</v>
      </c>
      <c r="F14" s="0" t="n">
        <v>778662</v>
      </c>
      <c r="G14" s="0" t="n">
        <v>8.8</v>
      </c>
      <c r="I14" s="0" t="n">
        <v>549372</v>
      </c>
      <c r="J14" s="0" t="n">
        <v>6.2</v>
      </c>
      <c r="K14" s="0" t="n">
        <v>105.59</v>
      </c>
      <c r="L14" s="0" t="n">
        <v>1010159</v>
      </c>
      <c r="M14" s="0" t="n">
        <v>466345</v>
      </c>
      <c r="N14" s="0" t="n">
        <v>543814</v>
      </c>
      <c r="O14" s="0" t="n">
        <v>4777727</v>
      </c>
      <c r="P14" s="0" t="n">
        <v>10714627</v>
      </c>
      <c r="Q14" s="0" t="n">
        <v>5358749</v>
      </c>
      <c r="R14" s="0" t="n">
        <v>2711643</v>
      </c>
      <c r="S14" s="0" t="n">
        <v>448892</v>
      </c>
      <c r="T14" s="0" t="n">
        <v>4605.193</v>
      </c>
      <c r="V14" s="0" t="n">
        <v>32</v>
      </c>
      <c r="AA14" s="0" t="s">
        <v>17</v>
      </c>
      <c r="AB14" s="0" t="s">
        <v>14</v>
      </c>
      <c r="AC14" s="0" t="n">
        <v>1037.46</v>
      </c>
      <c r="AD14" s="0" t="n">
        <v>869657</v>
      </c>
      <c r="AE14" s="0" t="n">
        <v>119.32</v>
      </c>
      <c r="AF14" s="0" t="n">
        <v>105.59</v>
      </c>
      <c r="AH14" s="0" t="n">
        <v>587898</v>
      </c>
      <c r="AI14" s="0" t="n">
        <v>5355878</v>
      </c>
    </row>
    <row r="15" customFormat="false" ht="15" hidden="false" customHeight="false" outlineLevel="0" collapsed="false">
      <c r="A15" s="0" t="s">
        <v>83</v>
      </c>
      <c r="B15" s="0" t="n">
        <v>8695526</v>
      </c>
      <c r="F15" s="0" t="n">
        <v>547960</v>
      </c>
      <c r="G15" s="0" t="n">
        <v>6.3</v>
      </c>
      <c r="I15" s="0" t="n">
        <v>350227</v>
      </c>
      <c r="J15" s="0" t="n">
        <v>4</v>
      </c>
      <c r="K15" s="0" t="n">
        <v>67.03</v>
      </c>
      <c r="L15" s="0" t="n">
        <v>978593</v>
      </c>
      <c r="M15" s="0" t="n">
        <v>597938</v>
      </c>
      <c r="N15" s="0" t="n">
        <v>380655</v>
      </c>
      <c r="O15" s="0" t="n">
        <v>5383311</v>
      </c>
      <c r="P15" s="0" t="n">
        <v>10942458</v>
      </c>
      <c r="Q15" s="0" t="n">
        <v>5039078</v>
      </c>
      <c r="R15" s="0" t="n">
        <v>2507492</v>
      </c>
      <c r="S15" s="0" t="n">
        <v>672526</v>
      </c>
      <c r="T15" s="0" t="n">
        <v>5225.943</v>
      </c>
      <c r="V15" s="0" t="n">
        <v>32</v>
      </c>
      <c r="AA15" s="0" t="s">
        <v>17</v>
      </c>
      <c r="AB15" s="0" t="s">
        <v>14</v>
      </c>
      <c r="AC15" s="0" t="n">
        <v>1030.11</v>
      </c>
      <c r="AD15" s="0" t="n">
        <v>683237</v>
      </c>
      <c r="AE15" s="0" t="n">
        <v>70.18</v>
      </c>
      <c r="AF15" s="0" t="n">
        <v>67.03</v>
      </c>
      <c r="AH15" s="0" t="n">
        <v>382972</v>
      </c>
      <c r="AI15" s="0" t="n">
        <v>5903380</v>
      </c>
    </row>
    <row r="16" customFormat="false" ht="15" hidden="false" customHeight="false" outlineLevel="0" collapsed="false">
      <c r="A16" s="0" t="s">
        <v>84</v>
      </c>
      <c r="B16" s="0" t="n">
        <v>10063216</v>
      </c>
      <c r="F16" s="0" t="n">
        <v>242903</v>
      </c>
      <c r="G16" s="0" t="n">
        <v>2.4</v>
      </c>
      <c r="I16" s="0" t="n">
        <v>17158</v>
      </c>
      <c r="J16" s="0" t="n">
        <v>0.2</v>
      </c>
      <c r="K16" s="0" t="n">
        <v>3.28</v>
      </c>
      <c r="L16" s="0" t="n">
        <v>716939</v>
      </c>
      <c r="M16" s="0" t="n">
        <v>863176</v>
      </c>
      <c r="N16" s="0" t="n">
        <v>-146237</v>
      </c>
      <c r="O16" s="0" t="n">
        <v>5530448</v>
      </c>
      <c r="P16" s="0" t="n">
        <v>14660583</v>
      </c>
      <c r="Q16" s="0" t="n">
        <v>8636023</v>
      </c>
      <c r="R16" s="0" t="n">
        <v>5174253</v>
      </c>
      <c r="S16" s="0" t="n">
        <v>461262</v>
      </c>
      <c r="T16" s="0" t="n">
        <v>5226.294</v>
      </c>
      <c r="V16" s="0" t="n">
        <v>24</v>
      </c>
      <c r="AA16" s="0" t="s">
        <v>17</v>
      </c>
      <c r="AB16" s="0" t="s">
        <v>14</v>
      </c>
      <c r="AC16" s="0" t="n">
        <v>1058.19</v>
      </c>
      <c r="AD16" s="0" t="n">
        <v>514128</v>
      </c>
      <c r="AE16" s="0" t="n">
        <v>3.28</v>
      </c>
      <c r="AF16" s="0" t="n">
        <v>3.28</v>
      </c>
      <c r="AH16" s="0" t="n">
        <v>44754</v>
      </c>
      <c r="AI16" s="0" t="n">
        <v>6024560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85</v>
      </c>
      <c r="B1" s="2" t="s">
        <v>86</v>
      </c>
    </row>
    <row r="2" customFormat="false" ht="15" hidden="false" customHeight="false" outlineLevel="0" collapsed="false">
      <c r="A2" s="0" t="s">
        <v>87</v>
      </c>
      <c r="B2" s="3" t="n">
        <v>656.5</v>
      </c>
    </row>
    <row r="3" customFormat="false" ht="15" hidden="false" customHeight="false" outlineLevel="0" collapsed="false">
      <c r="A3" s="0" t="s">
        <v>88</v>
      </c>
      <c r="B3" s="3" t="n">
        <v>5226.287</v>
      </c>
    </row>
    <row r="4" customFormat="false" ht="15" hidden="false" customHeight="false" outlineLevel="0" collapsed="false">
      <c r="A4" s="0" t="s">
        <v>89</v>
      </c>
      <c r="B4" s="3" t="n">
        <v>5026013</v>
      </c>
    </row>
    <row r="5" customFormat="false" ht="15" hidden="false" customHeight="false" outlineLevel="0" collapsed="false">
      <c r="A5" s="0" t="s">
        <v>90</v>
      </c>
      <c r="B5" s="3" t="n">
        <v>1552950</v>
      </c>
    </row>
    <row r="6" customFormat="false" ht="15" hidden="false" customHeight="false" outlineLevel="0" collapsed="false">
      <c r="A6" s="0" t="s">
        <v>91</v>
      </c>
      <c r="B6" s="3" t="n">
        <v>15</v>
      </c>
    </row>
    <row r="7" customFormat="false" ht="15" hidden="false" customHeight="false" outlineLevel="0" collapsed="false">
      <c r="A7" s="0" t="s">
        <v>92</v>
      </c>
      <c r="B7" s="3" t="n">
        <v>10063216</v>
      </c>
    </row>
    <row r="8" customFormat="false" ht="15" hidden="false" customHeight="false" outlineLevel="0" collapsed="false">
      <c r="A8" s="0" t="s">
        <v>93</v>
      </c>
      <c r="B8" s="3" t="s">
        <v>84</v>
      </c>
    </row>
    <row r="9" customFormat="false" ht="15" hidden="false" customHeight="false" outlineLevel="0" collapsed="false">
      <c r="A9" s="0" t="s">
        <v>94</v>
      </c>
      <c r="B9" s="3" t="s">
        <v>95</v>
      </c>
    </row>
    <row r="10" customFormat="false" ht="15" hidden="false" customHeight="false" outlineLevel="0" collapsed="false">
      <c r="A10" s="0" t="s">
        <v>96</v>
      </c>
      <c r="B10" s="3" t="n">
        <v>1</v>
      </c>
    </row>
    <row r="12" customFormat="false" ht="15" hidden="false" customHeight="false" outlineLevel="0" collapsed="false">
      <c r="A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102</v>
      </c>
      <c r="H12" s="2" t="s">
        <v>103</v>
      </c>
      <c r="I12" s="2" t="s">
        <v>104</v>
      </c>
      <c r="J12" s="2" t="s">
        <v>105</v>
      </c>
      <c r="K12" s="2" t="s">
        <v>106</v>
      </c>
      <c r="L12" s="2" t="s">
        <v>107</v>
      </c>
    </row>
    <row r="13" customFormat="false" ht="15" hidden="false" customHeight="false" outlineLevel="0" collapsed="false">
      <c r="A13" s="0" t="s">
        <v>108</v>
      </c>
      <c r="C13" s="3" t="n">
        <v>8</v>
      </c>
      <c r="D13" s="3" t="n">
        <v>0</v>
      </c>
      <c r="E13" s="3" t="n">
        <v>0</v>
      </c>
      <c r="F13" s="3" t="n">
        <v>1</v>
      </c>
      <c r="G13" s="3" t="n">
        <v>1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109</v>
      </c>
      <c r="C14" s="3" t="n">
        <v>10</v>
      </c>
      <c r="D14" s="3" t="n">
        <v>9.5</v>
      </c>
      <c r="E14" s="3" t="n">
        <v>9.5</v>
      </c>
      <c r="F14" s="3" t="n">
        <v>10</v>
      </c>
      <c r="G14" s="3" t="n">
        <v>10.5</v>
      </c>
      <c r="H14" s="3" t="n">
        <v>10.5</v>
      </c>
      <c r="I14" s="3" t="n">
        <v>10.5</v>
      </c>
      <c r="J14" s="3" t="n">
        <v>10.5</v>
      </c>
      <c r="K14" s="3" t="n">
        <v>10.5</v>
      </c>
      <c r="L14" s="3" t="n">
        <v>10.5</v>
      </c>
    </row>
    <row r="15" customFormat="false" ht="15" hidden="false" customHeight="false" outlineLevel="0" collapsed="false">
      <c r="A15" s="0" t="s">
        <v>110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112</v>
      </c>
      <c r="C17" s="3" t="n">
        <v>6.3</v>
      </c>
      <c r="D17" s="3" t="n">
        <v>6.5</v>
      </c>
      <c r="E17" s="3" t="n">
        <v>6.6</v>
      </c>
      <c r="F17" s="3" t="n">
        <v>6.6</v>
      </c>
      <c r="G17" s="3" t="n">
        <v>6.6</v>
      </c>
      <c r="H17" s="3" t="n">
        <v>6.6</v>
      </c>
      <c r="I17" s="3" t="n">
        <v>6.6</v>
      </c>
      <c r="J17" s="3" t="n">
        <v>6.6</v>
      </c>
      <c r="K17" s="3" t="n">
        <v>6.6</v>
      </c>
      <c r="L17" s="3" t="n">
        <v>6.6</v>
      </c>
    </row>
    <row r="18" customFormat="false" ht="15" hidden="false" customHeight="false" outlineLevel="0" collapsed="false">
      <c r="A18" s="0" t="s">
        <v>113</v>
      </c>
      <c r="C18" s="3" t="n">
        <v>11.5</v>
      </c>
      <c r="D18" s="3" t="n">
        <v>11</v>
      </c>
      <c r="E18" s="3" t="n">
        <v>10</v>
      </c>
      <c r="F18" s="3" t="n">
        <v>9</v>
      </c>
      <c r="G18" s="3" t="n">
        <v>8</v>
      </c>
      <c r="H18" s="3" t="n">
        <v>7</v>
      </c>
      <c r="I18" s="3" t="n">
        <v>7</v>
      </c>
      <c r="J18" s="3" t="n">
        <v>7</v>
      </c>
      <c r="K18" s="3" t="n">
        <v>7</v>
      </c>
      <c r="L18" s="3" t="n">
        <v>7</v>
      </c>
    </row>
    <row r="19" customFormat="false" ht="15" hidden="false" customHeight="false" outlineLevel="0" collapsed="false">
      <c r="A19" s="0" t="s">
        <v>114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115</v>
      </c>
      <c r="B20" s="3" t="n">
        <v>7</v>
      </c>
    </row>
    <row r="21" customFormat="false" ht="15" hidden="false" customHeight="false" outlineLevel="0" collapsed="false">
      <c r="A21" s="0" t="s">
        <v>116</v>
      </c>
      <c r="B21" s="3" t="n">
        <v>1</v>
      </c>
    </row>
    <row r="22" customFormat="false" ht="15" hidden="false" customHeight="false" outlineLevel="0" collapsed="false">
      <c r="A22" s="0" t="s">
        <v>117</v>
      </c>
      <c r="B22" s="3" t="n">
        <v>15</v>
      </c>
    </row>
    <row r="23" customFormat="false" ht="15" hidden="false" customHeight="false" outlineLevel="0" collapsed="false">
      <c r="A23" s="0" t="s">
        <v>118</v>
      </c>
      <c r="B23" s="3" t="n">
        <v>-8</v>
      </c>
    </row>
    <row r="24" customFormat="false" ht="15" hidden="false" customHeight="false" outlineLevel="0" collapsed="false">
      <c r="A24" s="0" t="s">
        <v>119</v>
      </c>
      <c r="B24" s="3" t="n">
        <v>0.3</v>
      </c>
    </row>
    <row r="26" customFormat="false" ht="15" hidden="false" customHeight="false" outlineLevel="0" collapsed="false">
      <c r="A26" s="2" t="s">
        <v>120</v>
      </c>
      <c r="C26" s="2" t="s">
        <v>98</v>
      </c>
      <c r="D26" s="2" t="s">
        <v>99</v>
      </c>
      <c r="E26" s="2" t="s">
        <v>100</v>
      </c>
      <c r="F26" s="2" t="s">
        <v>101</v>
      </c>
      <c r="G26" s="2" t="s">
        <v>102</v>
      </c>
      <c r="H26" s="2" t="s">
        <v>103</v>
      </c>
      <c r="I26" s="2" t="s">
        <v>104</v>
      </c>
      <c r="J26" s="2" t="s">
        <v>105</v>
      </c>
      <c r="K26" s="2" t="s">
        <v>106</v>
      </c>
      <c r="L26" s="2" t="s">
        <v>107</v>
      </c>
    </row>
    <row r="27" customFormat="false" ht="15" hidden="false" customHeight="false" outlineLevel="0" collapsed="false">
      <c r="A27" s="0" t="s">
        <v>108</v>
      </c>
      <c r="C27" s="3" t="n">
        <v>11.3</v>
      </c>
      <c r="D27" s="3" t="n">
        <v>3</v>
      </c>
      <c r="E27" s="3" t="n">
        <v>3</v>
      </c>
      <c r="F27" s="3" t="n">
        <v>2.5</v>
      </c>
      <c r="G27" s="3" t="n">
        <v>2.5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109</v>
      </c>
      <c r="C28" s="3" t="n">
        <v>11</v>
      </c>
      <c r="D28" s="3" t="n">
        <v>11.2</v>
      </c>
      <c r="E28" s="3" t="n">
        <v>11.4</v>
      </c>
      <c r="F28" s="3" t="n">
        <v>11.6</v>
      </c>
      <c r="G28" s="3" t="n">
        <v>11.8</v>
      </c>
      <c r="H28" s="3" t="n">
        <v>12</v>
      </c>
      <c r="I28" s="3" t="n">
        <v>12</v>
      </c>
      <c r="J28" s="3" t="n">
        <v>12</v>
      </c>
      <c r="K28" s="3" t="n">
        <v>12</v>
      </c>
      <c r="L28" s="3" t="n">
        <v>12</v>
      </c>
    </row>
    <row r="29" customFormat="false" ht="15" hidden="false" customHeight="false" outlineLevel="0" collapsed="false">
      <c r="A29" s="0" t="s">
        <v>110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112</v>
      </c>
      <c r="C31" s="3" t="n">
        <v>6.25</v>
      </c>
      <c r="D31" s="3" t="n">
        <v>6.3</v>
      </c>
      <c r="E31" s="3" t="n">
        <v>6.3</v>
      </c>
      <c r="F31" s="3" t="n">
        <v>6.3</v>
      </c>
      <c r="G31" s="3" t="n">
        <v>6.3</v>
      </c>
      <c r="H31" s="3" t="n">
        <v>6.2</v>
      </c>
      <c r="I31" s="3" t="n">
        <v>6.2</v>
      </c>
      <c r="J31" s="3" t="n">
        <v>6.2</v>
      </c>
      <c r="K31" s="3" t="n">
        <v>6.2</v>
      </c>
      <c r="L31" s="3" t="n">
        <v>6.2</v>
      </c>
    </row>
    <row r="32" customFormat="false" ht="15" hidden="false" customHeight="false" outlineLevel="0" collapsed="false">
      <c r="A32" s="0" t="s">
        <v>113</v>
      </c>
      <c r="C32" s="3" t="n">
        <v>11.5</v>
      </c>
      <c r="D32" s="3" t="n">
        <v>10.5</v>
      </c>
      <c r="E32" s="3" t="n">
        <v>9.5</v>
      </c>
      <c r="F32" s="3" t="n">
        <v>8</v>
      </c>
      <c r="G32" s="3" t="n">
        <v>7</v>
      </c>
      <c r="H32" s="3" t="n">
        <v>6.5</v>
      </c>
      <c r="I32" s="3" t="n">
        <v>6.5</v>
      </c>
      <c r="J32" s="3" t="n">
        <v>6.5</v>
      </c>
      <c r="K32" s="3" t="n">
        <v>6.5</v>
      </c>
      <c r="L32" s="3" t="n">
        <v>6.5</v>
      </c>
    </row>
    <row r="33" customFormat="false" ht="15" hidden="false" customHeight="false" outlineLevel="0" collapsed="false">
      <c r="A33" s="0" t="s">
        <v>114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115</v>
      </c>
      <c r="B34" s="3" t="n">
        <v>7</v>
      </c>
    </row>
    <row r="35" customFormat="false" ht="15" hidden="false" customHeight="false" outlineLevel="0" collapsed="false">
      <c r="A35" s="0" t="s">
        <v>116</v>
      </c>
      <c r="B35" s="3" t="n">
        <v>1.5</v>
      </c>
    </row>
    <row r="36" customFormat="false" ht="15" hidden="false" customHeight="false" outlineLevel="0" collapsed="false">
      <c r="A36" s="0" t="s">
        <v>117</v>
      </c>
      <c r="B36" s="3" t="n">
        <v>15</v>
      </c>
    </row>
    <row r="37" customFormat="false" ht="15" hidden="false" customHeight="false" outlineLevel="0" collapsed="false">
      <c r="A37" s="0" t="s">
        <v>118</v>
      </c>
      <c r="B37" s="3" t="n">
        <v>-8</v>
      </c>
    </row>
    <row r="38" customFormat="false" ht="15" hidden="false" customHeight="false" outlineLevel="0" collapsed="false">
      <c r="A38" s="0" t="s">
        <v>119</v>
      </c>
      <c r="B38" s="3" t="n">
        <v>0.5</v>
      </c>
    </row>
    <row r="40" customFormat="false" ht="15" hidden="false" customHeight="false" outlineLevel="0" collapsed="false">
      <c r="A40" s="2" t="s">
        <v>121</v>
      </c>
      <c r="C40" s="2" t="s">
        <v>98</v>
      </c>
      <c r="D40" s="2" t="s">
        <v>99</v>
      </c>
      <c r="E40" s="2" t="s">
        <v>100</v>
      </c>
      <c r="F40" s="2" t="s">
        <v>101</v>
      </c>
      <c r="G40" s="2" t="s">
        <v>102</v>
      </c>
      <c r="H40" s="2" t="s">
        <v>103</v>
      </c>
      <c r="I40" s="2" t="s">
        <v>104</v>
      </c>
      <c r="J40" s="2" t="s">
        <v>105</v>
      </c>
      <c r="K40" s="2" t="s">
        <v>106</v>
      </c>
      <c r="L40" s="2" t="s">
        <v>107</v>
      </c>
    </row>
    <row r="41" customFormat="false" ht="15" hidden="false" customHeight="false" outlineLevel="0" collapsed="false">
      <c r="A41" s="0" t="s">
        <v>108</v>
      </c>
      <c r="C41" s="3" t="n">
        <v>11.3</v>
      </c>
      <c r="D41" s="3" t="n">
        <v>4.5</v>
      </c>
      <c r="E41" s="3" t="n">
        <v>4.5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109</v>
      </c>
      <c r="C42" s="3" t="n">
        <v>11.5</v>
      </c>
      <c r="D42" s="3" t="n">
        <v>12.2</v>
      </c>
      <c r="E42" s="3" t="n">
        <v>12.8</v>
      </c>
      <c r="F42" s="3" t="n">
        <v>13.3</v>
      </c>
      <c r="G42" s="3" t="n">
        <v>13.5</v>
      </c>
      <c r="H42" s="3" t="n">
        <v>13.5</v>
      </c>
      <c r="I42" s="3" t="n">
        <v>13.5</v>
      </c>
      <c r="J42" s="3" t="n">
        <v>13.5</v>
      </c>
      <c r="K42" s="3" t="n">
        <v>13.5</v>
      </c>
      <c r="L42" s="3" t="n">
        <v>13.5</v>
      </c>
    </row>
    <row r="43" customFormat="false" ht="15" hidden="false" customHeight="false" outlineLevel="0" collapsed="false">
      <c r="A43" s="0" t="s">
        <v>110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112</v>
      </c>
      <c r="C45" s="3" t="n">
        <v>6.25</v>
      </c>
      <c r="D45" s="3" t="n">
        <v>6.3</v>
      </c>
      <c r="E45" s="3" t="n">
        <v>6.2</v>
      </c>
      <c r="F45" s="3" t="n">
        <v>6.1</v>
      </c>
      <c r="G45" s="3" t="n">
        <v>6</v>
      </c>
      <c r="H45" s="3" t="n">
        <v>6</v>
      </c>
      <c r="I45" s="3" t="n">
        <v>6</v>
      </c>
      <c r="J45" s="3" t="n">
        <v>6</v>
      </c>
      <c r="K45" s="3" t="n">
        <v>6</v>
      </c>
      <c r="L45" s="3" t="n">
        <v>6</v>
      </c>
    </row>
    <row r="46" customFormat="false" ht="15" hidden="false" customHeight="false" outlineLevel="0" collapsed="false">
      <c r="A46" s="0" t="s">
        <v>113</v>
      </c>
      <c r="C46" s="3" t="n">
        <v>11.5</v>
      </c>
      <c r="D46" s="3" t="n">
        <v>10</v>
      </c>
      <c r="E46" s="3" t="n">
        <v>8.5</v>
      </c>
      <c r="F46" s="3" t="n">
        <v>7</v>
      </c>
      <c r="G46" s="3" t="n">
        <v>6.5</v>
      </c>
      <c r="H46" s="3" t="n">
        <v>6</v>
      </c>
      <c r="I46" s="3" t="n">
        <v>6</v>
      </c>
      <c r="J46" s="3" t="n">
        <v>6</v>
      </c>
      <c r="K46" s="3" t="n">
        <v>6</v>
      </c>
      <c r="L46" s="3" t="n">
        <v>6</v>
      </c>
    </row>
    <row r="47" customFormat="false" ht="15" hidden="false" customHeight="false" outlineLevel="0" collapsed="false">
      <c r="A47" s="0" t="s">
        <v>114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115</v>
      </c>
      <c r="B48" s="3" t="n">
        <v>7</v>
      </c>
    </row>
    <row r="49" customFormat="false" ht="15" hidden="false" customHeight="false" outlineLevel="0" collapsed="false">
      <c r="A49" s="0" t="s">
        <v>116</v>
      </c>
      <c r="B49" s="3" t="n">
        <v>2</v>
      </c>
    </row>
    <row r="50" customFormat="false" ht="15" hidden="false" customHeight="false" outlineLevel="0" collapsed="false">
      <c r="A50" s="0" t="s">
        <v>117</v>
      </c>
      <c r="B50" s="3" t="n">
        <v>15</v>
      </c>
    </row>
    <row r="51" customFormat="false" ht="15" hidden="false" customHeight="false" outlineLevel="0" collapsed="false">
      <c r="A51" s="0" t="s">
        <v>118</v>
      </c>
      <c r="B51" s="3" t="n">
        <v>-8</v>
      </c>
    </row>
    <row r="52" customFormat="false" ht="15" hidden="false" customHeight="false" outlineLevel="0" collapsed="false">
      <c r="A52" s="0" t="s">
        <v>119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122</v>
      </c>
    </row>
    <row r="3" customFormat="false" ht="15" hidden="false" customHeight="false" outlineLevel="0" collapsed="false">
      <c r="A3" s="0" t="s">
        <v>123</v>
      </c>
      <c r="B3" s="0" t="s">
        <v>84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Assumptions!C13</f>
        <v>8</v>
      </c>
      <c r="D5" s="4" t="n">
        <f aca="false">Assumptions!D13</f>
        <v>0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10063216</v>
      </c>
      <c r="C6" s="0" t="n">
        <f aca="false">B6*(1+C5/100)</f>
        <v>10868273.28</v>
      </c>
      <c r="D6" s="0" t="n">
        <f aca="false">C6*(1+D5/100)</f>
        <v>10868273.28</v>
      </c>
      <c r="E6" s="0" t="n">
        <f aca="false">D6*(1+E5/100)</f>
        <v>10868273.28</v>
      </c>
      <c r="F6" s="0" t="n">
        <f aca="false">E6*(1+F5/100)</f>
        <v>10976956.0128</v>
      </c>
      <c r="G6" s="0" t="n">
        <f aca="false">F6*(1+G5/100)</f>
        <v>11086725.572928</v>
      </c>
      <c r="H6" s="0" t="n">
        <f aca="false">G6*(1+H5/100)</f>
        <v>11253026.4565219</v>
      </c>
      <c r="I6" s="0" t="n">
        <f aca="false">H6*(1+I5/100)</f>
        <v>11421821.8533697</v>
      </c>
      <c r="J6" s="0" t="n">
        <f aca="false">I6*(1+J5/100)</f>
        <v>11593149.1811703</v>
      </c>
      <c r="K6" s="0" t="n">
        <f aca="false">J6*(1+K5/100)</f>
        <v>11767046.4188878</v>
      </c>
      <c r="L6" s="0" t="n">
        <f aca="false">K6*(1+L5/100)</f>
        <v>11943552.1151712</v>
      </c>
    </row>
    <row r="7" customFormat="false" ht="15" hidden="false" customHeight="false" outlineLevel="0" collapsed="false">
      <c r="A7" s="0" t="s">
        <v>109</v>
      </c>
      <c r="C7" s="4" t="n">
        <f aca="false">Assumptions!C14</f>
        <v>10</v>
      </c>
      <c r="D7" s="4" t="n">
        <f aca="false">Assumptions!D14</f>
        <v>9.5</v>
      </c>
      <c r="E7" s="4" t="n">
        <f aca="false">Assumptions!E14</f>
        <v>9.5</v>
      </c>
      <c r="F7" s="4" t="n">
        <f aca="false">Assumptions!F14</f>
        <v>10</v>
      </c>
      <c r="G7" s="4" t="n">
        <f aca="false">Assumptions!G14</f>
        <v>10.5</v>
      </c>
      <c r="H7" s="4" t="n">
        <f aca="false">Assumptions!H14</f>
        <v>10.5</v>
      </c>
      <c r="I7" s="4" t="n">
        <f aca="false">Assumptions!I14</f>
        <v>10.5</v>
      </c>
      <c r="J7" s="4" t="n">
        <f aca="false">Assumptions!J14</f>
        <v>10.5</v>
      </c>
      <c r="K7" s="4" t="n">
        <f aca="false">Assumptions!K14</f>
        <v>10.5</v>
      </c>
      <c r="L7" s="4" t="n">
        <f aca="false">Assumptions!L14</f>
        <v>10.5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1086827.328</v>
      </c>
      <c r="D8" s="0" t="n">
        <f aca="false">D6*D7/100</f>
        <v>1032485.9616</v>
      </c>
      <c r="E8" s="0" t="n">
        <f aca="false">E6*E7/100</f>
        <v>1032485.9616</v>
      </c>
      <c r="F8" s="0" t="n">
        <f aca="false">F6*F7/100</f>
        <v>1097695.60128</v>
      </c>
      <c r="G8" s="0" t="n">
        <f aca="false">G6*G7/100</f>
        <v>1164106.18515744</v>
      </c>
      <c r="H8" s="0" t="n">
        <f aca="false">H6*H7/100</f>
        <v>1181567.7779348</v>
      </c>
      <c r="I8" s="0" t="n">
        <f aca="false">I6*I7/100</f>
        <v>1199291.29460382</v>
      </c>
      <c r="J8" s="0" t="n">
        <f aca="false">J6*J7/100</f>
        <v>1217280.66402288</v>
      </c>
      <c r="K8" s="0" t="n">
        <f aca="false">K6*K7/100</f>
        <v>1235539.87398322</v>
      </c>
      <c r="L8" s="0" t="n">
        <f aca="false">L6*L7/100</f>
        <v>1254072.97209297</v>
      </c>
    </row>
    <row r="9" customFormat="false" ht="15" hidden="false" customHeight="false" outlineLevel="0" collapsed="false">
      <c r="A9" s="0" t="s">
        <v>110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1086827.328</v>
      </c>
      <c r="D11" s="0" t="n">
        <f aca="false">D8+D10+D24</f>
        <v>1032485.9616</v>
      </c>
      <c r="E11" s="0" t="n">
        <f aca="false">E8+E10+E24</f>
        <v>1032485.9616</v>
      </c>
      <c r="F11" s="0" t="n">
        <f aca="false">F8+F10+F24</f>
        <v>1097695.60128</v>
      </c>
      <c r="G11" s="0" t="n">
        <f aca="false">G8+G10+G24</f>
        <v>1164106.18515744</v>
      </c>
      <c r="H11" s="0" t="n">
        <f aca="false">H8+H10+H24</f>
        <v>1181567.7779348</v>
      </c>
      <c r="I11" s="0" t="n">
        <f aca="false">I8+I10+I24</f>
        <v>1199291.29460382</v>
      </c>
      <c r="J11" s="0" t="n">
        <f aca="false">J8+J10+J24</f>
        <v>1217280.66402288</v>
      </c>
      <c r="K11" s="0" t="n">
        <f aca="false">K8+K10+K24</f>
        <v>1235539.87398322</v>
      </c>
      <c r="L11" s="0" t="n">
        <f aca="false">L8+L10+L24</f>
        <v>1254072.97209297</v>
      </c>
    </row>
    <row r="12" customFormat="false" ht="15" hidden="false" customHeight="false" outlineLevel="0" collapsed="false">
      <c r="A12" s="0" t="s">
        <v>127</v>
      </c>
      <c r="C12" s="4" t="n">
        <f aca="false">-C6*Assumptions!C17/100</f>
        <v>-684701.21664</v>
      </c>
      <c r="D12" s="4" t="n">
        <f aca="false">-D6*Assumptions!D17/100</f>
        <v>-706437.7632</v>
      </c>
      <c r="E12" s="4" t="n">
        <f aca="false">-E6*Assumptions!E17/100</f>
        <v>-717306.03648</v>
      </c>
      <c r="F12" s="4" t="n">
        <f aca="false">-F6*Assumptions!F17/100</f>
        <v>-724479.0968448</v>
      </c>
      <c r="G12" s="4" t="n">
        <f aca="false">-G6*Assumptions!G17/100</f>
        <v>-731723.887813248</v>
      </c>
      <c r="H12" s="4" t="n">
        <f aca="false">-H6*Assumptions!H17/100</f>
        <v>-742699.746130447</v>
      </c>
      <c r="I12" s="4" t="n">
        <f aca="false">-I6*Assumptions!I17/100</f>
        <v>-753840.242322403</v>
      </c>
      <c r="J12" s="4" t="n">
        <f aca="false">-J6*Assumptions!J17/100</f>
        <v>-765147.845957239</v>
      </c>
      <c r="K12" s="4" t="n">
        <f aca="false">-K6*Assumptions!K17/100</f>
        <v>-776625.063646598</v>
      </c>
      <c r="L12" s="4" t="n">
        <f aca="false">-L6*Assumptions!L17/100</f>
        <v>-788274.439601297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402126.11136</v>
      </c>
      <c r="D13" s="0" t="n">
        <f aca="false">D11+D12</f>
        <v>326048.1984</v>
      </c>
      <c r="E13" s="0" t="n">
        <f aca="false">E11+E12</f>
        <v>315179.92512</v>
      </c>
      <c r="F13" s="0" t="n">
        <f aca="false">F11+F12</f>
        <v>373216.5044352</v>
      </c>
      <c r="G13" s="0" t="n">
        <f aca="false">G11+G12</f>
        <v>432382.297344192</v>
      </c>
      <c r="H13" s="0" t="n">
        <f aca="false">H11+H12</f>
        <v>438868.031804355</v>
      </c>
      <c r="I13" s="0" t="n">
        <f aca="false">I11+I12</f>
        <v>445451.05228142</v>
      </c>
      <c r="J13" s="0" t="n">
        <f aca="false">J11+J12</f>
        <v>452132.818065641</v>
      </c>
      <c r="K13" s="0" t="n">
        <f aca="false">K11+K12</f>
        <v>458914.810336626</v>
      </c>
      <c r="L13" s="0" t="n">
        <f aca="false">L11+L12</f>
        <v>465798.532491675</v>
      </c>
    </row>
    <row r="14" customFormat="false" ht="15" hidden="false" customHeight="false" outlineLevel="0" collapsed="false">
      <c r="A14" s="0" t="s">
        <v>114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281488.277952</v>
      </c>
      <c r="D15" s="0" t="n">
        <f aca="false">D13-MAX(0,D13)*D14/100</f>
        <v>228233.73888</v>
      </c>
      <c r="E15" s="0" t="n">
        <f aca="false">E13-MAX(0,E13)*E14/100</f>
        <v>220625.947584</v>
      </c>
      <c r="F15" s="0" t="n">
        <f aca="false">F13-MAX(0,F13)*F14/100</f>
        <v>261251.55310464</v>
      </c>
      <c r="G15" s="0" t="n">
        <f aca="false">G13-MAX(0,G13)*G14/100</f>
        <v>302667.608140934</v>
      </c>
      <c r="H15" s="0" t="n">
        <f aca="false">H13-MAX(0,H13)*H14/100</f>
        <v>307207.622263048</v>
      </c>
      <c r="I15" s="0" t="n">
        <f aca="false">I13-MAX(0,I13)*I14/100</f>
        <v>311815.736596994</v>
      </c>
      <c r="J15" s="0" t="n">
        <f aca="false">J13-MAX(0,J13)*J14/100</f>
        <v>316492.972645949</v>
      </c>
      <c r="K15" s="0" t="n">
        <f aca="false">K13-MAX(0,K13)*K14/100</f>
        <v>321240.367235638</v>
      </c>
      <c r="L15" s="0" t="n">
        <f aca="false">L13-MAX(0,L13)*L14/100</f>
        <v>326058.972744173</v>
      </c>
    </row>
    <row r="16" customFormat="false" ht="15" hidden="false" customHeight="false" outlineLevel="0" collapsed="false">
      <c r="A16" s="0" t="s">
        <v>130</v>
      </c>
      <c r="C16" s="0" t="n">
        <f aca="false">-C12</f>
        <v>684701.21664</v>
      </c>
      <c r="D16" s="0" t="n">
        <f aca="false">-D12</f>
        <v>706437.7632</v>
      </c>
      <c r="E16" s="0" t="n">
        <f aca="false">-E12</f>
        <v>717306.03648</v>
      </c>
      <c r="F16" s="0" t="n">
        <f aca="false">-F12</f>
        <v>724479.0968448</v>
      </c>
      <c r="G16" s="0" t="n">
        <f aca="false">-G12</f>
        <v>731723.887813248</v>
      </c>
      <c r="H16" s="0" t="n">
        <f aca="false">-H12</f>
        <v>742699.746130447</v>
      </c>
      <c r="I16" s="0" t="n">
        <f aca="false">-I12</f>
        <v>753840.242322403</v>
      </c>
      <c r="J16" s="0" t="n">
        <f aca="false">-J12</f>
        <v>765147.845957239</v>
      </c>
      <c r="K16" s="0" t="n">
        <f aca="false">-K12</f>
        <v>776625.063646598</v>
      </c>
      <c r="L16" s="0" t="n">
        <f aca="false">-L12</f>
        <v>788274.439601297</v>
      </c>
    </row>
    <row r="17" customFormat="false" ht="15" hidden="false" customHeight="false" outlineLevel="0" collapsed="false">
      <c r="A17" s="0" t="s">
        <v>131</v>
      </c>
      <c r="C17" s="4" t="n">
        <f aca="false">-C6*Assumptions!C18/100</f>
        <v>-1249851.4272</v>
      </c>
      <c r="D17" s="4" t="n">
        <f aca="false">-D6*Assumptions!D18/100</f>
        <v>-1195510.0608</v>
      </c>
      <c r="E17" s="4" t="n">
        <f aca="false">-E6*Assumptions!E18/100</f>
        <v>-1086827.328</v>
      </c>
      <c r="F17" s="4" t="n">
        <f aca="false">-F6*Assumptions!F18/100</f>
        <v>-987926.041152</v>
      </c>
      <c r="G17" s="4" t="n">
        <f aca="false">-G6*Assumptions!G18/100</f>
        <v>-886938.04583424</v>
      </c>
      <c r="H17" s="4" t="n">
        <f aca="false">-H6*Assumptions!H18/100</f>
        <v>-787711.851956534</v>
      </c>
      <c r="I17" s="4" t="n">
        <f aca="false">-I6*Assumptions!I18/100</f>
        <v>-799527.529735882</v>
      </c>
      <c r="J17" s="4" t="n">
        <f aca="false">-J6*Assumptions!J18/100</f>
        <v>-811520.442681921</v>
      </c>
      <c r="K17" s="4" t="n">
        <f aca="false">-K6*Assumptions!K18/100</f>
        <v>-823693.249322149</v>
      </c>
      <c r="L17" s="4" t="n">
        <f aca="false">-L6*Assumptions!L18/100</f>
        <v>-836048.648061981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(C6-B6)*Assumptions!$B$23/100</f>
        <v>-64404.5824000001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-8694.61862399995</v>
      </c>
      <c r="G18" s="4" t="n">
        <f aca="false">(G6-F6)*Assumptions!$B$23/100</f>
        <v>-8781.56481023997</v>
      </c>
      <c r="H18" s="4" t="n">
        <f aca="false">(H6-G6)*Assumptions!$B$23/100</f>
        <v>-13304.0706875135</v>
      </c>
      <c r="I18" s="4" t="n">
        <f aca="false">(I6-H6)*Assumptions!$B$23/100</f>
        <v>-13503.6317478262</v>
      </c>
      <c r="J18" s="4" t="n">
        <f aca="false">(J6-I6)*Assumptions!$B$23/100</f>
        <v>-13706.1862240437</v>
      </c>
      <c r="K18" s="4" t="n">
        <f aca="false">(K6-J6)*Assumptions!$B$23/100</f>
        <v>-13911.7790174043</v>
      </c>
      <c r="L18" s="4" t="n">
        <f aca="false">(L6-K6)*Assumptions!$B$23/100</f>
        <v>-14120.4557026653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-348066.515008</v>
      </c>
      <c r="D19" s="0" t="n">
        <f aca="false">D15+D16+D17+D18</f>
        <v>-260838.55872</v>
      </c>
      <c r="E19" s="0" t="n">
        <f aca="false">E15+E16+E17+E18</f>
        <v>-148895.343936</v>
      </c>
      <c r="F19" s="0" t="n">
        <f aca="false">F15+F16+F17+F18</f>
        <v>-10890.00982656</v>
      </c>
      <c r="G19" s="0" t="n">
        <f aca="false">G15+G16+G17+G18</f>
        <v>138671.885309702</v>
      </c>
      <c r="H19" s="0" t="n">
        <f aca="false">H15+H16+H17+H18</f>
        <v>248891.445749447</v>
      </c>
      <c r="I19" s="0" t="n">
        <f aca="false">I15+I16+I17+I18</f>
        <v>252624.817435689</v>
      </c>
      <c r="J19" s="0" t="n">
        <f aca="false">J15+J16+J17+J18</f>
        <v>256414.189697224</v>
      </c>
      <c r="K19" s="0" t="n">
        <f aca="false">K15+K16+K17+K18</f>
        <v>260260.402542682</v>
      </c>
      <c r="L19" s="0" t="n">
        <f aca="false">L15+L16+L17+L18</f>
        <v>264164.308580823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-325295.808418692</v>
      </c>
      <c r="D21" s="0" t="n">
        <f aca="false">D19*D20</f>
        <v>-227826.499013014</v>
      </c>
      <c r="E21" s="0" t="n">
        <f aca="false">E19*E20</f>
        <v>-121542.95313389</v>
      </c>
      <c r="F21" s="0" t="n">
        <f aca="false">F19*F20</f>
        <v>-8307.93635583312</v>
      </c>
      <c r="G21" s="0" t="n">
        <f aca="false">G19*G20</f>
        <v>98871.1377087621</v>
      </c>
      <c r="H21" s="0" t="n">
        <f aca="false">H19*H20</f>
        <v>165846.879449594</v>
      </c>
      <c r="I21" s="0" t="n">
        <f aca="false">I19*I20</f>
        <v>157322.039851717</v>
      </c>
      <c r="J21" s="0" t="n">
        <f aca="false">J19*J20</f>
        <v>149235.392943451</v>
      </c>
      <c r="K21" s="0" t="n">
        <f aca="false">K19*K20</f>
        <v>141564.414801498</v>
      </c>
      <c r="L21" s="0" t="n">
        <f aca="false">L19*L20</f>
        <v>134287.739274318</v>
      </c>
    </row>
    <row r="23" customFormat="false" ht="15" hidden="false" customHeight="false" outlineLevel="0" collapsed="false">
      <c r="A23" s="0" t="s">
        <v>111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116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117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164154.407107912</v>
      </c>
    </row>
    <row r="31" customFormat="false" ht="15" hidden="false" customHeight="false" outlineLevel="0" collapsed="false">
      <c r="A31" s="0" t="s">
        <v>139</v>
      </c>
      <c r="B31" s="0" t="n">
        <f aca="false">L19</f>
        <v>264164.308580823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4446765.86111052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3962464.62871234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3962464.62871234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2014316.08911478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2178470.49622269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-1294592.50377731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-247.707885880992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-1.37731589623914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-247.707885880992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1905756.79761879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-595.335569464318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123</v>
      </c>
      <c r="B3" s="0" t="s">
        <v>84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Assumptions!C27</f>
        <v>11.3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10063216</v>
      </c>
      <c r="C6" s="0" t="n">
        <f aca="false">B6*(1+C5/100)</f>
        <v>11200359.408</v>
      </c>
      <c r="D6" s="0" t="n">
        <f aca="false">C6*(1+D5/100)</f>
        <v>11536370.19024</v>
      </c>
      <c r="E6" s="0" t="n">
        <f aca="false">D6*(1+E5/100)</f>
        <v>11882461.2959472</v>
      </c>
      <c r="F6" s="0" t="n">
        <f aca="false">E6*(1+F5/100)</f>
        <v>12179522.8283459</v>
      </c>
      <c r="G6" s="0" t="n">
        <f aca="false">F6*(1+G5/100)</f>
        <v>12484010.8990545</v>
      </c>
      <c r="H6" s="0" t="n">
        <f aca="false">G6*(1+H5/100)</f>
        <v>12733691.1170356</v>
      </c>
      <c r="I6" s="0" t="n">
        <f aca="false">H6*(1+I5/100)</f>
        <v>12988364.9393763</v>
      </c>
      <c r="J6" s="0" t="n">
        <f aca="false">I6*(1+J5/100)</f>
        <v>13248132.2381639</v>
      </c>
      <c r="K6" s="0" t="n">
        <f aca="false">J6*(1+K5/100)</f>
        <v>13513094.8829271</v>
      </c>
      <c r="L6" s="0" t="n">
        <f aca="false">K6*(1+L5/100)</f>
        <v>13783356.7805857</v>
      </c>
    </row>
    <row r="7" customFormat="false" ht="15" hidden="false" customHeight="false" outlineLevel="0" collapsed="false">
      <c r="A7" s="0" t="s">
        <v>109</v>
      </c>
      <c r="C7" s="4" t="n">
        <f aca="false">Assumptions!C28</f>
        <v>11</v>
      </c>
      <c r="D7" s="4" t="n">
        <f aca="false">Assumptions!D28</f>
        <v>11.2</v>
      </c>
      <c r="E7" s="4" t="n">
        <f aca="false">Assumptions!E28</f>
        <v>11.4</v>
      </c>
      <c r="F7" s="4" t="n">
        <f aca="false">Assumptions!F28</f>
        <v>11.6</v>
      </c>
      <c r="G7" s="4" t="n">
        <f aca="false">Assumptions!G28</f>
        <v>11.8</v>
      </c>
      <c r="H7" s="4" t="n">
        <f aca="false">Assumptions!H28</f>
        <v>12</v>
      </c>
      <c r="I7" s="4" t="n">
        <f aca="false">Assumptions!I28</f>
        <v>12</v>
      </c>
      <c r="J7" s="4" t="n">
        <f aca="false">Assumptions!J28</f>
        <v>12</v>
      </c>
      <c r="K7" s="4" t="n">
        <f aca="false">Assumptions!K28</f>
        <v>12</v>
      </c>
      <c r="L7" s="4" t="n">
        <f aca="false">Assumptions!L28</f>
        <v>12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1232039.53488</v>
      </c>
      <c r="D8" s="0" t="n">
        <f aca="false">D6*D7/100</f>
        <v>1292073.46130688</v>
      </c>
      <c r="E8" s="0" t="n">
        <f aca="false">E6*E7/100</f>
        <v>1354600.58773798</v>
      </c>
      <c r="F8" s="0" t="n">
        <f aca="false">F6*F7/100</f>
        <v>1412824.64808812</v>
      </c>
      <c r="G8" s="0" t="n">
        <f aca="false">G6*G7/100</f>
        <v>1473113.28608843</v>
      </c>
      <c r="H8" s="0" t="n">
        <f aca="false">H6*H7/100</f>
        <v>1528042.93404427</v>
      </c>
      <c r="I8" s="0" t="n">
        <f aca="false">I6*I7/100</f>
        <v>1558603.79272516</v>
      </c>
      <c r="J8" s="0" t="n">
        <f aca="false">J6*J7/100</f>
        <v>1589775.86857966</v>
      </c>
      <c r="K8" s="0" t="n">
        <f aca="false">K6*K7/100</f>
        <v>1621571.38595126</v>
      </c>
      <c r="L8" s="0" t="n">
        <f aca="false">L6*L7/100</f>
        <v>1654002.81367028</v>
      </c>
    </row>
    <row r="9" customFormat="false" ht="15" hidden="false" customHeight="false" outlineLevel="0" collapsed="false">
      <c r="A9" s="0" t="s">
        <v>110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1232039.53488</v>
      </c>
      <c r="D11" s="0" t="n">
        <f aca="false">D8+D10+D24</f>
        <v>1292073.46130688</v>
      </c>
      <c r="E11" s="0" t="n">
        <f aca="false">E8+E10+E24</f>
        <v>1354600.58773798</v>
      </c>
      <c r="F11" s="0" t="n">
        <f aca="false">F8+F10+F24</f>
        <v>1412824.64808812</v>
      </c>
      <c r="G11" s="0" t="n">
        <f aca="false">G8+G10+G24</f>
        <v>1473113.28608843</v>
      </c>
      <c r="H11" s="0" t="n">
        <f aca="false">H8+H10+H24</f>
        <v>1528042.93404427</v>
      </c>
      <c r="I11" s="0" t="n">
        <f aca="false">I8+I10+I24</f>
        <v>1558603.79272516</v>
      </c>
      <c r="J11" s="0" t="n">
        <f aca="false">J8+J10+J24</f>
        <v>1589775.86857966</v>
      </c>
      <c r="K11" s="0" t="n">
        <f aca="false">K8+K10+K24</f>
        <v>1621571.38595126</v>
      </c>
      <c r="L11" s="0" t="n">
        <f aca="false">L8+L10+L24</f>
        <v>1654002.81367028</v>
      </c>
    </row>
    <row r="12" customFormat="false" ht="15" hidden="false" customHeight="false" outlineLevel="0" collapsed="false">
      <c r="A12" s="0" t="s">
        <v>127</v>
      </c>
      <c r="C12" s="4" t="n">
        <f aca="false">-C6*Assumptions!C31/100</f>
        <v>-700022.463</v>
      </c>
      <c r="D12" s="4" t="n">
        <f aca="false">-D6*Assumptions!D31/100</f>
        <v>-726791.32198512</v>
      </c>
      <c r="E12" s="4" t="n">
        <f aca="false">-E6*Assumptions!E31/100</f>
        <v>-748595.061644674</v>
      </c>
      <c r="F12" s="4" t="n">
        <f aca="false">-F6*Assumptions!F31/100</f>
        <v>-767309.93818579</v>
      </c>
      <c r="G12" s="4" t="n">
        <f aca="false">-G6*Assumptions!G31/100</f>
        <v>-786492.686640435</v>
      </c>
      <c r="H12" s="4" t="n">
        <f aca="false">-H6*Assumptions!H31/100</f>
        <v>-789488.849256208</v>
      </c>
      <c r="I12" s="4" t="n">
        <f aca="false">-I6*Assumptions!I31/100</f>
        <v>-805278.626241332</v>
      </c>
      <c r="J12" s="4" t="n">
        <f aca="false">-J6*Assumptions!J31/100</f>
        <v>-821384.198766159</v>
      </c>
      <c r="K12" s="4" t="n">
        <f aca="false">-K6*Assumptions!K31/100</f>
        <v>-837811.882741482</v>
      </c>
      <c r="L12" s="4" t="n">
        <f aca="false">-L6*Assumptions!L31/100</f>
        <v>-854568.120396312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532017.07188</v>
      </c>
      <c r="D13" s="0" t="n">
        <f aca="false">D11+D12</f>
        <v>565282.13932176</v>
      </c>
      <c r="E13" s="0" t="n">
        <f aca="false">E11+E12</f>
        <v>606005.526093307</v>
      </c>
      <c r="F13" s="0" t="n">
        <f aca="false">F11+F12</f>
        <v>645514.709902332</v>
      </c>
      <c r="G13" s="0" t="n">
        <f aca="false">G11+G12</f>
        <v>686620.599447999</v>
      </c>
      <c r="H13" s="0" t="n">
        <f aca="false">H11+H12</f>
        <v>738554.084788066</v>
      </c>
      <c r="I13" s="0" t="n">
        <f aca="false">I11+I12</f>
        <v>753325.166483827</v>
      </c>
      <c r="J13" s="0" t="n">
        <f aca="false">J11+J12</f>
        <v>768391.669813503</v>
      </c>
      <c r="K13" s="0" t="n">
        <f aca="false">K11+K12</f>
        <v>783759.503209773</v>
      </c>
      <c r="L13" s="0" t="n">
        <f aca="false">L11+L12</f>
        <v>799434.693273969</v>
      </c>
    </row>
    <row r="14" customFormat="false" ht="15" hidden="false" customHeight="false" outlineLevel="0" collapsed="false">
      <c r="A14" s="0" t="s">
        <v>114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372411.950316</v>
      </c>
      <c r="D15" s="0" t="n">
        <f aca="false">D13-MAX(0,D13)*D14/100</f>
        <v>395697.497525232</v>
      </c>
      <c r="E15" s="0" t="n">
        <f aca="false">E13-MAX(0,E13)*E14/100</f>
        <v>424203.868265315</v>
      </c>
      <c r="F15" s="0" t="n">
        <f aca="false">F13-MAX(0,F13)*F14/100</f>
        <v>451860.296931632</v>
      </c>
      <c r="G15" s="0" t="n">
        <f aca="false">G13-MAX(0,G13)*G14/100</f>
        <v>480634.419613599</v>
      </c>
      <c r="H15" s="0" t="n">
        <f aca="false">H13-MAX(0,H13)*H14/100</f>
        <v>516987.859351646</v>
      </c>
      <c r="I15" s="0" t="n">
        <f aca="false">I13-MAX(0,I13)*I14/100</f>
        <v>527327.616538679</v>
      </c>
      <c r="J15" s="0" t="n">
        <f aca="false">J13-MAX(0,J13)*J14/100</f>
        <v>537874.168869452</v>
      </c>
      <c r="K15" s="0" t="n">
        <f aca="false">K13-MAX(0,K13)*K14/100</f>
        <v>548631.652246841</v>
      </c>
      <c r="L15" s="0" t="n">
        <f aca="false">L13-MAX(0,L13)*L14/100</f>
        <v>559604.285291778</v>
      </c>
    </row>
    <row r="16" customFormat="false" ht="15" hidden="false" customHeight="false" outlineLevel="0" collapsed="false">
      <c r="A16" s="0" t="s">
        <v>130</v>
      </c>
      <c r="C16" s="0" t="n">
        <f aca="false">-C12</f>
        <v>700022.463</v>
      </c>
      <c r="D16" s="0" t="n">
        <f aca="false">-D12</f>
        <v>726791.32198512</v>
      </c>
      <c r="E16" s="0" t="n">
        <f aca="false">-E12</f>
        <v>748595.061644674</v>
      </c>
      <c r="F16" s="0" t="n">
        <f aca="false">-F12</f>
        <v>767309.93818579</v>
      </c>
      <c r="G16" s="0" t="n">
        <f aca="false">-G12</f>
        <v>786492.686640435</v>
      </c>
      <c r="H16" s="0" t="n">
        <f aca="false">-H12</f>
        <v>789488.849256208</v>
      </c>
      <c r="I16" s="0" t="n">
        <f aca="false">-I12</f>
        <v>805278.626241332</v>
      </c>
      <c r="J16" s="0" t="n">
        <f aca="false">-J12</f>
        <v>821384.198766159</v>
      </c>
      <c r="K16" s="0" t="n">
        <f aca="false">-K12</f>
        <v>837811.882741482</v>
      </c>
      <c r="L16" s="0" t="n">
        <f aca="false">-L12</f>
        <v>854568.120396312</v>
      </c>
    </row>
    <row r="17" customFormat="false" ht="15" hidden="false" customHeight="false" outlineLevel="0" collapsed="false">
      <c r="A17" s="0" t="s">
        <v>131</v>
      </c>
      <c r="C17" s="4" t="n">
        <f aca="false">-C6*Assumptions!C32/100</f>
        <v>-1288041.33192</v>
      </c>
      <c r="D17" s="4" t="n">
        <f aca="false">-D6*Assumptions!D32/100</f>
        <v>-1211318.8699752</v>
      </c>
      <c r="E17" s="4" t="n">
        <f aca="false">-E6*Assumptions!E32/100</f>
        <v>-1128833.82311498</v>
      </c>
      <c r="F17" s="4" t="n">
        <f aca="false">-F6*Assumptions!F32/100</f>
        <v>-974361.82626767</v>
      </c>
      <c r="G17" s="4" t="n">
        <f aca="false">-G6*Assumptions!G32/100</f>
        <v>-873880.762933817</v>
      </c>
      <c r="H17" s="4" t="n">
        <f aca="false">-H6*Assumptions!H32/100</f>
        <v>-827689.922607315</v>
      </c>
      <c r="I17" s="4" t="n">
        <f aca="false">-I6*Assumptions!I32/100</f>
        <v>-844243.721059461</v>
      </c>
      <c r="J17" s="4" t="n">
        <f aca="false">-J6*Assumptions!J32/100</f>
        <v>-861128.595480651</v>
      </c>
      <c r="K17" s="4" t="n">
        <f aca="false">-K6*Assumptions!K32/100</f>
        <v>-878351.167390264</v>
      </c>
      <c r="L17" s="4" t="n">
        <f aca="false">-L6*Assumptions!L32/100</f>
        <v>-895918.190738069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(C6-B6)*Assumptions!$B$37/100</f>
        <v>-90971.47264</v>
      </c>
      <c r="D18" s="4" t="n">
        <f aca="false">(D6-C6)*Assumptions!$B$37/100</f>
        <v>-26880.8625792</v>
      </c>
      <c r="E18" s="4" t="n">
        <f aca="false">(E6-D6)*Assumptions!$B$37/100</f>
        <v>-27687.288456576</v>
      </c>
      <c r="F18" s="4" t="n">
        <f aca="false">(F6-E6)*Assumptions!$B$37/100</f>
        <v>-23764.9225918943</v>
      </c>
      <c r="G18" s="4" t="n">
        <f aca="false">(G6-F6)*Assumptions!$B$37/100</f>
        <v>-24359.0456566916</v>
      </c>
      <c r="H18" s="4" t="n">
        <f aca="false">(H6-G6)*Assumptions!$B$37/100</f>
        <v>-19974.4174384873</v>
      </c>
      <c r="I18" s="4" t="n">
        <f aca="false">(I6-H6)*Assumptions!$B$37/100</f>
        <v>-20373.905787257</v>
      </c>
      <c r="J18" s="4" t="n">
        <f aca="false">(J6-I6)*Assumptions!$B$37/100</f>
        <v>-20781.3839030021</v>
      </c>
      <c r="K18" s="4" t="n">
        <f aca="false">(K6-J6)*Assumptions!$B$37/100</f>
        <v>-21197.0115810622</v>
      </c>
      <c r="L18" s="4" t="n">
        <f aca="false">(L6-K6)*Assumptions!$B$37/100</f>
        <v>-21620.9518126835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-306578.391244</v>
      </c>
      <c r="D19" s="0" t="n">
        <f aca="false">D15+D16+D17+D18</f>
        <v>-115710.913044048</v>
      </c>
      <c r="E19" s="0" t="n">
        <f aca="false">E15+E16+E17+E18</f>
        <v>16277.8183384286</v>
      </c>
      <c r="F19" s="0" t="n">
        <f aca="false">F15+F16+F17+F18</f>
        <v>221043.486257858</v>
      </c>
      <c r="G19" s="0" t="n">
        <f aca="false">G15+G16+G17+G18</f>
        <v>368887.297663526</v>
      </c>
      <c r="H19" s="0" t="n">
        <f aca="false">H15+H16+H17+H18</f>
        <v>458812.368562052</v>
      </c>
      <c r="I19" s="0" t="n">
        <f aca="false">I15+I16+I17+I18</f>
        <v>467988.615933293</v>
      </c>
      <c r="J19" s="0" t="n">
        <f aca="false">J15+J16+J17+J18</f>
        <v>477348.388251959</v>
      </c>
      <c r="K19" s="0" t="n">
        <f aca="false">K15+K16+K17+K18</f>
        <v>486895.356016998</v>
      </c>
      <c r="L19" s="0" t="n">
        <f aca="false">L15+L16+L17+L18</f>
        <v>496633.263137338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-286521.860975701</v>
      </c>
      <c r="D21" s="0" t="n">
        <f aca="false">D19*D20</f>
        <v>-101066.392736525</v>
      </c>
      <c r="E21" s="0" t="n">
        <f aca="false">E19*E20</f>
        <v>13287.5485500742</v>
      </c>
      <c r="F21" s="0" t="n">
        <f aca="false">F19*F20</f>
        <v>168633.017320413</v>
      </c>
      <c r="G21" s="0" t="n">
        <f aca="false">G19*G20</f>
        <v>263011.545021172</v>
      </c>
      <c r="H21" s="0" t="n">
        <f aca="false">H19*H20</f>
        <v>305726.053982159</v>
      </c>
      <c r="I21" s="0" t="n">
        <f aca="false">I19*I20</f>
        <v>291439.789777385</v>
      </c>
      <c r="J21" s="0" t="n">
        <f aca="false">J19*J20</f>
        <v>277821.108012087</v>
      </c>
      <c r="K21" s="0" t="n">
        <f aca="false">K19*K20</f>
        <v>264838.813245167</v>
      </c>
      <c r="L21" s="0" t="n">
        <f aca="false">L19*L20</f>
        <v>252463.167766421</v>
      </c>
    </row>
    <row r="23" customFormat="false" ht="15" hidden="false" customHeight="false" outlineLevel="0" collapsed="false">
      <c r="A23" s="0" t="s">
        <v>111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116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1449632.78996265</v>
      </c>
    </row>
    <row r="31" customFormat="false" ht="15" hidden="false" customHeight="false" outlineLevel="0" collapsed="false">
      <c r="A31" s="0" t="s">
        <v>139</v>
      </c>
      <c r="B31" s="0" t="n">
        <f aca="false">L19</f>
        <v>496633.263137338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9165141.12880724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7449498.94706007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7449498.94706007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3786947.51649631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5236580.30645896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1763517.30645896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337.432159094776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-0.486013466725398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337.432159094776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3733946.38581036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-342.916751999419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0" t="s">
        <v>123</v>
      </c>
      <c r="B3" s="0" t="s">
        <v>84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Assumptions!C41</f>
        <v>11.3</v>
      </c>
      <c r="D5" s="4" t="n">
        <f aca="false">Assumptions!D41</f>
        <v>4.5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10063216</v>
      </c>
      <c r="C6" s="0" t="n">
        <f aca="false">B6*(1+C5/100)</f>
        <v>11200359.408</v>
      </c>
      <c r="D6" s="0" t="n">
        <f aca="false">C6*(1+D5/100)</f>
        <v>11704375.58136</v>
      </c>
      <c r="E6" s="0" t="n">
        <f aca="false">D6*(1+E5/100)</f>
        <v>12231072.4825212</v>
      </c>
      <c r="F6" s="0" t="n">
        <f aca="false">E6*(1+F5/100)</f>
        <v>12720315.381822</v>
      </c>
      <c r="G6" s="0" t="n">
        <f aca="false">F6*(1+G5/100)</f>
        <v>13165526.4201858</v>
      </c>
      <c r="H6" s="0" t="n">
        <f aca="false">G6*(1+H5/100)</f>
        <v>13560492.2127914</v>
      </c>
      <c r="I6" s="0" t="n">
        <f aca="false">H6*(1+I5/100)</f>
        <v>13967306.9791751</v>
      </c>
      <c r="J6" s="0" t="n">
        <f aca="false">I6*(1+J5/100)</f>
        <v>14316489.6536545</v>
      </c>
      <c r="K6" s="0" t="n">
        <f aca="false">J6*(1+K5/100)</f>
        <v>14674401.8949959</v>
      </c>
      <c r="L6" s="0" t="n">
        <f aca="false">K6*(1+L5/100)</f>
        <v>15041261.9423708</v>
      </c>
    </row>
    <row r="7" customFormat="false" ht="15" hidden="false" customHeight="false" outlineLevel="0" collapsed="false">
      <c r="A7" s="0" t="s">
        <v>109</v>
      </c>
      <c r="C7" s="4" t="n">
        <f aca="false">Assumptions!C42</f>
        <v>11.5</v>
      </c>
      <c r="D7" s="4" t="n">
        <f aca="false">Assumptions!D42</f>
        <v>12.2</v>
      </c>
      <c r="E7" s="4" t="n">
        <f aca="false">Assumptions!E42</f>
        <v>12.8</v>
      </c>
      <c r="F7" s="4" t="n">
        <f aca="false">Assumptions!F42</f>
        <v>13.3</v>
      </c>
      <c r="G7" s="4" t="n">
        <f aca="false">Assumptions!G42</f>
        <v>13.5</v>
      </c>
      <c r="H7" s="4" t="n">
        <f aca="false">Assumptions!H42</f>
        <v>13.5</v>
      </c>
      <c r="I7" s="4" t="n">
        <f aca="false">Assumptions!I42</f>
        <v>13.5</v>
      </c>
      <c r="J7" s="4" t="n">
        <f aca="false">Assumptions!J42</f>
        <v>13.5</v>
      </c>
      <c r="K7" s="4" t="n">
        <f aca="false">Assumptions!K42</f>
        <v>13.5</v>
      </c>
      <c r="L7" s="4" t="n">
        <f aca="false">Assumptions!L42</f>
        <v>13.5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1288041.33192</v>
      </c>
      <c r="D8" s="0" t="n">
        <f aca="false">D6*D7/100</f>
        <v>1427933.82092592</v>
      </c>
      <c r="E8" s="0" t="n">
        <f aca="false">E6*E7/100</f>
        <v>1565577.27776271</v>
      </c>
      <c r="F8" s="0" t="n">
        <f aca="false">F6*F7/100</f>
        <v>1691801.94578233</v>
      </c>
      <c r="G8" s="0" t="n">
        <f aca="false">G6*G7/100</f>
        <v>1777346.06672509</v>
      </c>
      <c r="H8" s="0" t="n">
        <f aca="false">H6*H7/100</f>
        <v>1830666.44872684</v>
      </c>
      <c r="I8" s="0" t="n">
        <f aca="false">I6*I7/100</f>
        <v>1885586.44218864</v>
      </c>
      <c r="J8" s="0" t="n">
        <f aca="false">J6*J7/100</f>
        <v>1932726.10324336</v>
      </c>
      <c r="K8" s="0" t="n">
        <f aca="false">K6*K7/100</f>
        <v>1981044.25582444</v>
      </c>
      <c r="L8" s="0" t="n">
        <f aca="false">L6*L7/100</f>
        <v>2030570.36222005</v>
      </c>
    </row>
    <row r="9" customFormat="false" ht="15" hidden="false" customHeight="false" outlineLevel="0" collapsed="false">
      <c r="A9" s="0" t="s">
        <v>110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1288041.33192</v>
      </c>
      <c r="D11" s="0" t="n">
        <f aca="false">D8+D10+D24</f>
        <v>1427933.82092592</v>
      </c>
      <c r="E11" s="0" t="n">
        <f aca="false">E8+E10+E24</f>
        <v>1565577.27776271</v>
      </c>
      <c r="F11" s="0" t="n">
        <f aca="false">F8+F10+F24</f>
        <v>1691801.94578233</v>
      </c>
      <c r="G11" s="0" t="n">
        <f aca="false">G8+G10+G24</f>
        <v>1777346.06672509</v>
      </c>
      <c r="H11" s="0" t="n">
        <f aca="false">H8+H10+H24</f>
        <v>1830666.44872684</v>
      </c>
      <c r="I11" s="0" t="n">
        <f aca="false">I8+I10+I24</f>
        <v>1885586.44218864</v>
      </c>
      <c r="J11" s="0" t="n">
        <f aca="false">J8+J10+J24</f>
        <v>1932726.10324336</v>
      </c>
      <c r="K11" s="0" t="n">
        <f aca="false">K8+K10+K24</f>
        <v>1981044.25582444</v>
      </c>
      <c r="L11" s="0" t="n">
        <f aca="false">L8+L10+L24</f>
        <v>2030570.36222005</v>
      </c>
    </row>
    <row r="12" customFormat="false" ht="15" hidden="false" customHeight="false" outlineLevel="0" collapsed="false">
      <c r="A12" s="0" t="s">
        <v>127</v>
      </c>
      <c r="C12" s="4" t="n">
        <f aca="false">-C6*Assumptions!C45/100</f>
        <v>-700022.463</v>
      </c>
      <c r="D12" s="4" t="n">
        <f aca="false">-D6*Assumptions!D45/100</f>
        <v>-737375.66162568</v>
      </c>
      <c r="E12" s="4" t="n">
        <f aca="false">-E6*Assumptions!E45/100</f>
        <v>-758326.493916314</v>
      </c>
      <c r="F12" s="4" t="n">
        <f aca="false">-F6*Assumptions!F45/100</f>
        <v>-775939.238291145</v>
      </c>
      <c r="G12" s="4" t="n">
        <f aca="false">-G6*Assumptions!G45/100</f>
        <v>-789931.585211149</v>
      </c>
      <c r="H12" s="4" t="n">
        <f aca="false">-H6*Assumptions!H45/100</f>
        <v>-813629.532767484</v>
      </c>
      <c r="I12" s="4" t="n">
        <f aca="false">-I6*Assumptions!I45/100</f>
        <v>-838038.418750508</v>
      </c>
      <c r="J12" s="4" t="n">
        <f aca="false">-J6*Assumptions!J45/100</f>
        <v>-858989.379219271</v>
      </c>
      <c r="K12" s="4" t="n">
        <f aca="false">-K6*Assumptions!K45/100</f>
        <v>-880464.113699753</v>
      </c>
      <c r="L12" s="4" t="n">
        <f aca="false">-L6*Assumptions!L45/100</f>
        <v>-902475.716542246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588018.86892</v>
      </c>
      <c r="D13" s="0" t="n">
        <f aca="false">D11+D12</f>
        <v>690558.15930024</v>
      </c>
      <c r="E13" s="0" t="n">
        <f aca="false">E11+E12</f>
        <v>807250.783846399</v>
      </c>
      <c r="F13" s="0" t="n">
        <f aca="false">F11+F12</f>
        <v>915862.707491188</v>
      </c>
      <c r="G13" s="0" t="n">
        <f aca="false">G11+G12</f>
        <v>987414.481513937</v>
      </c>
      <c r="H13" s="0" t="n">
        <f aca="false">H11+H12</f>
        <v>1017036.91595935</v>
      </c>
      <c r="I13" s="0" t="n">
        <f aca="false">I11+I12</f>
        <v>1047548.02343814</v>
      </c>
      <c r="J13" s="0" t="n">
        <f aca="false">J11+J12</f>
        <v>1073736.72402409</v>
      </c>
      <c r="K13" s="0" t="n">
        <f aca="false">K11+K12</f>
        <v>1100580.14212469</v>
      </c>
      <c r="L13" s="0" t="n">
        <f aca="false">L11+L12</f>
        <v>1128094.64567781</v>
      </c>
    </row>
    <row r="14" customFormat="false" ht="15" hidden="false" customHeight="false" outlineLevel="0" collapsed="false">
      <c r="A14" s="0" t="s">
        <v>114</v>
      </c>
      <c r="C14" s="4" t="n">
        <f aca="false">Assumptions!C47</f>
        <v>28</v>
      </c>
      <c r="D14" s="4" t="n">
        <f aca="false">Assumptions!D47</f>
        <v>28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423373.5856224</v>
      </c>
      <c r="D15" s="0" t="n">
        <f aca="false">D13-MAX(0,D13)*D14/100</f>
        <v>497201.874696173</v>
      </c>
      <c r="E15" s="0" t="n">
        <f aca="false">E13-MAX(0,E13)*E14/100</f>
        <v>581220.564369407</v>
      </c>
      <c r="F15" s="0" t="n">
        <f aca="false">F13-MAX(0,F13)*F14/100</f>
        <v>659421.149393655</v>
      </c>
      <c r="G15" s="0" t="n">
        <f aca="false">G13-MAX(0,G13)*G14/100</f>
        <v>710938.426690034</v>
      </c>
      <c r="H15" s="0" t="n">
        <f aca="false">H13-MAX(0,H13)*H14/100</f>
        <v>732266.579490735</v>
      </c>
      <c r="I15" s="0" t="n">
        <f aca="false">I13-MAX(0,I13)*I14/100</f>
        <v>754234.576875458</v>
      </c>
      <c r="J15" s="0" t="n">
        <f aca="false">J13-MAX(0,J13)*J14/100</f>
        <v>773090.441297344</v>
      </c>
      <c r="K15" s="0" t="n">
        <f aca="false">K13-MAX(0,K13)*K14/100</f>
        <v>792417.702329777</v>
      </c>
      <c r="L15" s="0" t="n">
        <f aca="false">L13-MAX(0,L13)*L14/100</f>
        <v>812228.144888022</v>
      </c>
    </row>
    <row r="16" customFormat="false" ht="15" hidden="false" customHeight="false" outlineLevel="0" collapsed="false">
      <c r="A16" s="0" t="s">
        <v>130</v>
      </c>
      <c r="C16" s="0" t="n">
        <f aca="false">-C12</f>
        <v>700022.463</v>
      </c>
      <c r="D16" s="0" t="n">
        <f aca="false">-D12</f>
        <v>737375.66162568</v>
      </c>
      <c r="E16" s="0" t="n">
        <f aca="false">-E12</f>
        <v>758326.493916314</v>
      </c>
      <c r="F16" s="0" t="n">
        <f aca="false">-F12</f>
        <v>775939.238291145</v>
      </c>
      <c r="G16" s="0" t="n">
        <f aca="false">-G12</f>
        <v>789931.585211149</v>
      </c>
      <c r="H16" s="0" t="n">
        <f aca="false">-H12</f>
        <v>813629.532767484</v>
      </c>
      <c r="I16" s="0" t="n">
        <f aca="false">-I12</f>
        <v>838038.418750508</v>
      </c>
      <c r="J16" s="0" t="n">
        <f aca="false">-J12</f>
        <v>858989.379219271</v>
      </c>
      <c r="K16" s="0" t="n">
        <f aca="false">-K12</f>
        <v>880464.113699753</v>
      </c>
      <c r="L16" s="0" t="n">
        <f aca="false">-L12</f>
        <v>902475.716542246</v>
      </c>
    </row>
    <row r="17" customFormat="false" ht="15" hidden="false" customHeight="false" outlineLevel="0" collapsed="false">
      <c r="A17" s="0" t="s">
        <v>131</v>
      </c>
      <c r="C17" s="4" t="n">
        <f aca="false">-C6*Assumptions!C46/100</f>
        <v>-1288041.33192</v>
      </c>
      <c r="D17" s="4" t="n">
        <f aca="false">-D6*Assumptions!D46/100</f>
        <v>-1170437.558136</v>
      </c>
      <c r="E17" s="4" t="n">
        <f aca="false">-E6*Assumptions!E46/100</f>
        <v>-1039641.1610143</v>
      </c>
      <c r="F17" s="4" t="n">
        <f aca="false">-F6*Assumptions!F46/100</f>
        <v>-890422.076727543</v>
      </c>
      <c r="G17" s="4" t="n">
        <f aca="false">-G6*Assumptions!G46/100</f>
        <v>-855759.217312078</v>
      </c>
      <c r="H17" s="4" t="n">
        <f aca="false">-H6*Assumptions!H46/100</f>
        <v>-813629.532767484</v>
      </c>
      <c r="I17" s="4" t="n">
        <f aca="false">-I6*Assumptions!I46/100</f>
        <v>-838038.418750508</v>
      </c>
      <c r="J17" s="4" t="n">
        <f aca="false">-J6*Assumptions!J46/100</f>
        <v>-858989.379219271</v>
      </c>
      <c r="K17" s="4" t="n">
        <f aca="false">-K6*Assumptions!K46/100</f>
        <v>-880464.113699753</v>
      </c>
      <c r="L17" s="4" t="n">
        <f aca="false">-L6*Assumptions!L46/100</f>
        <v>-902475.716542246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(C6-B6)*Assumptions!$B$51/100</f>
        <v>-90971.47264</v>
      </c>
      <c r="D18" s="4" t="n">
        <f aca="false">(D6-C6)*Assumptions!$B$51/100</f>
        <v>-40321.2938688</v>
      </c>
      <c r="E18" s="4" t="n">
        <f aca="false">(E6-D6)*Assumptions!$B$51/100</f>
        <v>-42135.752092896</v>
      </c>
      <c r="F18" s="4" t="n">
        <f aca="false">(F6-E6)*Assumptions!$B$51/100</f>
        <v>-39139.4319440679</v>
      </c>
      <c r="G18" s="4" t="n">
        <f aca="false">(G6-F6)*Assumptions!$B$51/100</f>
        <v>-35616.8830691017</v>
      </c>
      <c r="H18" s="4" t="n">
        <f aca="false">(H6-G6)*Assumptions!$B$51/100</f>
        <v>-31597.263408446</v>
      </c>
      <c r="I18" s="4" t="n">
        <f aca="false">(I6-H6)*Assumptions!$B$51/100</f>
        <v>-32545.1813106994</v>
      </c>
      <c r="J18" s="4" t="n">
        <f aca="false">(J6-I6)*Assumptions!$B$51/100</f>
        <v>-27934.6139583501</v>
      </c>
      <c r="K18" s="4" t="n">
        <f aca="false">(K6-J6)*Assumptions!$B$51/100</f>
        <v>-28632.9793073089</v>
      </c>
      <c r="L18" s="4" t="n">
        <f aca="false">(L6-K6)*Assumptions!$B$51/100</f>
        <v>-29348.8037899916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-255616.7559376</v>
      </c>
      <c r="D19" s="0" t="n">
        <f aca="false">D15+D16+D17+D18</f>
        <v>23818.6843170528</v>
      </c>
      <c r="E19" s="0" t="n">
        <f aca="false">E15+E16+E17+E18</f>
        <v>257770.145178524</v>
      </c>
      <c r="F19" s="0" t="n">
        <f aca="false">F15+F16+F17+F18</f>
        <v>505798.879013189</v>
      </c>
      <c r="G19" s="0" t="n">
        <f aca="false">G15+G16+G17+G18</f>
        <v>609493.911520004</v>
      </c>
      <c r="H19" s="0" t="n">
        <f aca="false">H15+H16+H17+H18</f>
        <v>700669.316082289</v>
      </c>
      <c r="I19" s="0" t="n">
        <f aca="false">I15+I16+I17+I18</f>
        <v>721689.395564758</v>
      </c>
      <c r="J19" s="0" t="n">
        <f aca="false">J15+J16+J17+J18</f>
        <v>745155.827338994</v>
      </c>
      <c r="K19" s="0" t="n">
        <f aca="false">K15+K16+K17+K18</f>
        <v>763784.723022468</v>
      </c>
      <c r="L19" s="0" t="n">
        <f aca="false">L15+L16+L17+L18</f>
        <v>782879.34109803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-238894.164427664</v>
      </c>
      <c r="D21" s="0" t="n">
        <f aca="false">D19*D20</f>
        <v>20804.1613390277</v>
      </c>
      <c r="E21" s="0" t="n">
        <f aca="false">E19*E20</f>
        <v>210417.222235076</v>
      </c>
      <c r="F21" s="0" t="n">
        <f aca="false">F19*F20</f>
        <v>385871.543058167</v>
      </c>
      <c r="G21" s="0" t="n">
        <f aca="false">G19*G20</f>
        <v>434560.735393204</v>
      </c>
      <c r="H21" s="0" t="n">
        <f aca="false">H19*H20</f>
        <v>466885.550238267</v>
      </c>
      <c r="I21" s="0" t="n">
        <f aca="false">I19*I20</f>
        <v>449431.8848088</v>
      </c>
      <c r="J21" s="0" t="n">
        <f aca="false">J19*J20</f>
        <v>433687.475830988</v>
      </c>
      <c r="K21" s="0" t="n">
        <f aca="false">K19*K20</f>
        <v>415448.282922208</v>
      </c>
      <c r="L21" s="0" t="n">
        <f aca="false">L19*L20</f>
        <v>397976.158874078</v>
      </c>
    </row>
    <row r="23" customFormat="false" ht="15" hidden="false" customHeight="false" outlineLevel="0" collapsed="false">
      <c r="A23" s="0" t="s">
        <v>111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116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2976188.85027215</v>
      </c>
    </row>
    <row r="31" customFormat="false" ht="15" hidden="false" customHeight="false" outlineLevel="0" collapsed="false">
      <c r="A31" s="0" t="s">
        <v>139</v>
      </c>
      <c r="B31" s="0" t="n">
        <f aca="false">L19</f>
        <v>782879.34109803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15970738.5583998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11743190.1164705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11743190.1164705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5969642.38311117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8945831.23338332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5472768.23338332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1047.16182509367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0.595067517279008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1047.16182509367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6142591.7532307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-32.3010679422769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2" t="s">
        <v>156</v>
      </c>
      <c r="B3" s="2" t="s">
        <v>157</v>
      </c>
      <c r="C3" s="2" t="s">
        <v>147</v>
      </c>
      <c r="D3" s="2" t="s">
        <v>158</v>
      </c>
      <c r="E3" s="2" t="s">
        <v>150</v>
      </c>
      <c r="F3" s="2" t="s">
        <v>159</v>
      </c>
    </row>
    <row r="4" customFormat="false" ht="15" hidden="false" customHeight="false" outlineLevel="0" collapsed="false">
      <c r="A4" s="0" t="s">
        <v>160</v>
      </c>
      <c r="B4" s="4" t="n">
        <f aca="false">DCF_Bear!$B$38</f>
        <v>-247.707885880992</v>
      </c>
      <c r="C4" s="0" t="n">
        <f aca="false">B4/Assumptions!$B$2-1</f>
        <v>-1.37731589623914</v>
      </c>
      <c r="D4" s="4" t="n">
        <f aca="false">Assumptions!$B$24</f>
        <v>0.3</v>
      </c>
      <c r="E4" s="4" t="n">
        <f aca="false">DCF_Bear!$B$43</f>
        <v>-247.707885880992</v>
      </c>
      <c r="F4" s="4" t="n">
        <f aca="false">DCF_Bear!$B$47</f>
        <v>-595.335569464318</v>
      </c>
    </row>
    <row r="5" customFormat="false" ht="15" hidden="false" customHeight="false" outlineLevel="0" collapsed="false">
      <c r="A5" s="0" t="s">
        <v>161</v>
      </c>
      <c r="B5" s="4" t="n">
        <f aca="false">DCF_Base!$B$38</f>
        <v>337.432159094776</v>
      </c>
      <c r="C5" s="0" t="n">
        <f aca="false">B5/Assumptions!$B$2-1</f>
        <v>-0.486013466725398</v>
      </c>
      <c r="D5" s="4" t="n">
        <f aca="false">Assumptions!$B$38</f>
        <v>0.5</v>
      </c>
      <c r="E5" s="4" t="n">
        <f aca="false">DCF_Base!$B$43</f>
        <v>337.432159094776</v>
      </c>
      <c r="F5" s="4" t="n">
        <f aca="false">DCF_Base!$B$47</f>
        <v>-342.916751999419</v>
      </c>
    </row>
    <row r="6" customFormat="false" ht="15" hidden="false" customHeight="false" outlineLevel="0" collapsed="false">
      <c r="A6" s="0" t="s">
        <v>162</v>
      </c>
      <c r="B6" s="4" t="n">
        <f aca="false">DCF_Bull!$B$38</f>
        <v>1047.16182509367</v>
      </c>
      <c r="C6" s="0" t="n">
        <f aca="false">B6/Assumptions!$B$2-1</f>
        <v>0.595067517279008</v>
      </c>
      <c r="D6" s="4" t="n">
        <f aca="false">Assumptions!$B$52</f>
        <v>0.2</v>
      </c>
      <c r="E6" s="4" t="n">
        <f aca="false">DCF_Bull!$B$43</f>
        <v>1047.16182509367</v>
      </c>
      <c r="F6" s="4" t="n">
        <f aca="false">DCF_Bull!$B$47</f>
        <v>-32.3010679422769</v>
      </c>
    </row>
    <row r="8" customFormat="false" ht="15" hidden="false" customHeight="false" outlineLevel="0" collapsed="false">
      <c r="A8" s="0" t="s">
        <v>163</v>
      </c>
      <c r="B8" s="0" t="n">
        <f aca="false">SUMPRODUCT(B4:B6,D4:D6)</f>
        <v>303.836078801824</v>
      </c>
    </row>
    <row r="9" customFormat="false" ht="15" hidden="false" customHeight="false" outlineLevel="0" collapsed="false">
      <c r="A9" s="0" t="s">
        <v>164</v>
      </c>
      <c r="B9" s="0" t="n">
        <f aca="false">SUMPRODUCT(E4:E6,D4:D6)</f>
        <v>303.836078801824</v>
      </c>
    </row>
    <row r="10" customFormat="false" ht="15" hidden="false" customHeight="false" outlineLevel="0" collapsed="false">
      <c r="A10" s="0" t="s">
        <v>165</v>
      </c>
      <c r="B10" s="0" t="n">
        <f aca="false">1-Assumptions!$B$2/B8</f>
        <v>-1.16070455684165</v>
      </c>
    </row>
    <row r="11" customFormat="false" ht="15" hidden="false" customHeight="false" outlineLevel="0" collapsed="false">
      <c r="A11" s="0" t="s">
        <v>166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167</v>
      </c>
      <c r="B12" s="0" t="n">
        <f aca="false">SUMPRODUCT(F4:F6,D4:D6)</f>
        <v>-356.51926042746</v>
      </c>
    </row>
    <row r="14" customFormat="false" ht="15" hidden="false" customHeight="false" outlineLevel="0" collapsed="false">
      <c r="A14" s="2" t="s">
        <v>168</v>
      </c>
      <c r="C14" s="0" t="s">
        <v>169</v>
      </c>
    </row>
    <row r="15" customFormat="false" ht="15" hidden="false" customHeight="false" outlineLevel="0" collapsed="false">
      <c r="A15" s="0" t="s">
        <v>170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337.432159094776</v>
      </c>
      <c r="C15" s="3" t="n">
        <v>7</v>
      </c>
    </row>
    <row r="16" customFormat="false" ht="15" hidden="false" customHeight="false" outlineLevel="0" collapsed="false">
      <c r="A16" s="0" t="s">
        <v>171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114.68378462205</v>
      </c>
      <c r="C16" s="3" t="n">
        <v>9</v>
      </c>
    </row>
    <row r="17" customFormat="false" ht="15" hidden="false" customHeight="false" outlineLevel="0" collapsed="false">
      <c r="A17" s="0" t="s">
        <v>172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-9.36279162903358</v>
      </c>
      <c r="C17" s="3" t="n">
        <v>10</v>
      </c>
    </row>
    <row r="18" customFormat="false" ht="15" hidden="false" customHeight="false" outlineLevel="0" collapsed="false">
      <c r="A18" s="0" t="s">
        <v>173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-106.178160461023</v>
      </c>
      <c r="C18" s="3" t="n">
        <v>11</v>
      </c>
    </row>
    <row r="19" customFormat="false" ht="15" hidden="false" customHeight="false" outlineLevel="0" collapsed="false">
      <c r="A19" s="0" t="s">
        <v>174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-183.593939172021</v>
      </c>
      <c r="C19" s="3" t="n">
        <v>12</v>
      </c>
    </row>
    <row r="20" customFormat="false" ht="15" hidden="false" customHeight="false" outlineLevel="0" collapsed="false">
      <c r="A20" s="0" t="s">
        <v>175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-342.916751999419</v>
      </c>
      <c r="C20" s="3" t="n">
        <v>15</v>
      </c>
    </row>
    <row r="22" customFormat="false" ht="15" hidden="false" customHeight="false" outlineLevel="0" collapsed="false">
      <c r="A22" s="2" t="s">
        <v>176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536.728351453849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536.728351453849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536.728351453849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536.728351453849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536.728351453849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432.159113826438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432.159113826438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432.159113826438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432.159113826438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432.159113826438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337.432159094776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337.432159094776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337.432159094776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337.432159094776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337.432159094776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181.107058143398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226.38007655017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251.531753442822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251.531753442822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251.531753442822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46.0522234000337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78.2232677228538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114.68378462205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156.35294679256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173.555811908826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2026-10-31T09:32:18Z</dcterms:created>
  <dc:creator>openpyxl</dc:creator>
  <dc:description/>
  <dc:language>en-NZ</dc:language>
  <cp:lastModifiedBy/>
  <dcterms:modified xsi:type="dcterms:W3CDTF">2026-10-31T09:32:18Z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