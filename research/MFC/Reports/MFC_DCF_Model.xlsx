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<sst xmlns="http://schemas.openxmlformats.org/spreadsheetml/2006/main" count="359" uniqueCount="165">
  <si>
    <t xml:space="preserve">Ticker</t>
  </si>
  <si>
    <t xml:space="preserve">MFC</t>
  </si>
  <si>
    <t xml:space="preserve">Company</t>
  </si>
  <si>
    <t xml:space="preserve">Manulife Financial Corporation</t>
  </si>
  <si>
    <t xml:space="preserve">Valuation date</t>
  </si>
  <si>
    <t xml:space="preserve">2026-10-04</t>
  </si>
  <si>
    <t xml:space="preserve">Current price</t>
  </si>
  <si>
    <t xml:space="preserve">Price as of</t>
  </si>
  <si>
    <t xml:space="preserve">2026-10-02T20:00:02Z regular close (NYSE)</t>
  </si>
  <si>
    <t xml:space="preserve">Balance sheet date</t>
  </si>
  <si>
    <t xml:space="preserve">2025-12-31</t>
  </si>
  <si>
    <t xml:space="preserve">Model</t>
  </si>
  <si>
    <t xml:space="preserve">Life insurer FCFE at cost of equity on normalized core earnings (engine route)</t>
  </si>
  <si>
    <t xml:space="preserve">Currency (model)</t>
  </si>
  <si>
    <t xml:space="preserve">CAD</t>
  </si>
  <si>
    <t xml:space="preserve">Currency (quote)</t>
  </si>
  <si>
    <t xml:space="preserve">USD</t>
  </si>
  <si>
    <t xml:space="preserve">Units</t>
  </si>
  <si>
    <t xml:space="preserve">millions</t>
  </si>
  <si>
    <t xml:space="preserve">Engine</t>
  </si>
  <si>
    <t xml:space="preserve">dcf_engine v1</t>
  </si>
  <si>
    <t xml:space="preserve">Built at</t>
  </si>
  <si>
    <t xml:space="preserve">2026-10-03T23:19:50Z</t>
  </si>
  <si>
    <t xml:space="preserve">Drivers file</t>
  </si>
  <si>
    <t xml:space="preserve">MFC_Drivers.json</t>
  </si>
  <si>
    <t xml:space="preserve">Convention</t>
  </si>
  <si>
    <t xml:space="preserve">Percents stored as percents; formulas divide by 100. Blue = input, green = link, black = formula.</t>
  </si>
  <si>
    <t xml:space="preserve">Methodology</t>
  </si>
  <si>
    <t xml:space="preserve">summary: Value the distributable flow to common shareholders (core earnings available to common, haircut for recurring ALDA underperformance, less capital retained for growth) at a CAD cost of equity of 10%. Debt, preferreds/LRCNs and NCI are already charged inside the stream, so nothing is deducted afterwards. IFRS book value is not the compounding base because IFRS 17 broke the history in FY2022 and book excludes the CSM.
warning: Sanity check tripped on implied P/E (13.0x vs 10yr avg 6.3x) and P/B (1.44x vs 10yr max 0.87x). One fix pass applied: base and bull near-term growth trimmed (base 9% -&gt; 7% aggregate core earnings growth), because FY2025 aggregate core growth was only 4.8% and 8.45% EPS growth rests on two post-IFRS 17 years. Result: weighted IV US$40.95 -&gt; US$38.13 (C$58.34 -&gt; C$54.32); P/E cleared (13.0x -&gt; 11.8x, under 2x avg); P/B still trips (1.44x -&gt; 1.31x) and that residual is left unresolved on purpose. The check's history divides dividend-adjusted USD prices by CAD per-share figures, and its pre-2023 book is pre-IFRS 17. On that basis today's market price is itself ~14x, above the 13.9x 'max'. In CAD on unadjusted closes, MFC has traded at ~15-20x GAAP EPS and 1.7-2.4x IFRS 17 common book since FY2024. No exit P/B cap (0.43/0.59/0.87x) was imposed: on that basis it would value MFC at roughly US$13-19, 55-70% below a price the market has paid for two years. No CoE premium was added either: 10% CAD is already above the ~9.5% CAPM build, and the scenario weights charge the LTC/regulatory risk once (25% bear).
adjustments_made: Base growth path 9,9,8,8,7,6,5,4.5,4,3.5 -&gt; 7,7,6.5,6,5.5,5,4.5,4,3.5,3.5 (aggregate core earnings to common); Bull growth path 12,11,10,10,9,8,7,6,5,4 -&gt; 10,10,9,9,8,7,6,5,4.5,4; Unchanged: cost of equity 10.0%, terminal growth, ALDA haircuts, retention paths, weights 25/50/25, bear path
key_risks_to_valuation: Core earnings is a management non-GAAP measure: it has exceeded net income to common by C$1.8-1.9bn a year in FY2024-25. The normalization haircut (4-15% by scenario) is the single most consequential judgment here.; Retention rate: if growth requires more retained capital than ~25% of core (new-business strain, LICAT changes, M&amp;A), distributable FCFE falls one-for-one.; Legacy US LTC morbidity and longevity assumptions: a reserve strengthening hits book and buyback capacity.; FX: CAD-reported, with USD/HKD/JPY earnings; also, the USD quote moves with CAD/USD independently of the CAD value.; Share count is the 31-Dec-2025 figure; no Q2-2026 interim filing has been extracted, so balance-sheet anchors are about nine months old.</t>
  </si>
  <si>
    <t xml:space="preserve">Data sources</t>
  </si>
  <si>
    <t xml:space="preserve">price: Yahoo Finance chart API, NYSE MFC at inputs.price_as_of; 52-week range 31.41-45.33 USD. Cross-checked against TSX MFC.TO (52-week 44.16-63.58 CAD) and Yahoo CAD=X.
financials: MFC_Annual_FY2025_MDA.txt: core earnings 7,521 / core earnings available to common 7,200 (line ~10595), common shareholders' equity 43,461 and preferred/other equity 6,660 (line ~10631), 1,677m shares at 31-Dec-2025 (line ~1749), dividend C$1.76/share; MFC_Metrics.csv and core_metrics/kpis in MFC.duckdb (ShareRepurchases, DividendsPaid, IFRS 17 restated FY2022 equity and net income).
qualitative: MFC_Analysis.json (segment mix, medium-term targets, Q2-2026 results, Munich Re LTC transaction, 2026 NCIB).</t>
  </si>
  <si>
    <t xml:space="preserve">Scenario narrative: bear</t>
  </si>
  <si>
    <t xml:space="preserve">The legacy US LTC/VA book produces another reserve or experience hit (US core fell 30% in FY2025), ALDA marks stay ~C$1bn/yr below assumption, Hong Kong mainland-visitor sales and broader Asia slow on trade/geopolitical tension, and CAD strength cuts translated earnings. Core growth slows to ~4% and fades to 2.5%, 15% of core never reaches book, and more capital is retained to hold LICAT near 130%.</t>
  </si>
  <si>
    <t xml:space="preserve">Scenario narrative: base</t>
  </si>
  <si>
    <t xml:space="preserve">Manulife delivers close to its medium-term plan: Asia (38% of segment core earnings, +18% FY2025, +21% Q2-26) and Global WAM (+14%) carry growth while Canada grows low-single-digit and the US in-force book is flat-to-down. Core earnings to common grow ~7% for two years (FY2025 actual +4.8% aggregate; Q2-26 +12% CER) and fade to 3.5% by year 10. Recurring ALDA underperformance (~C$1bn/yr in FY2024 and FY2025) is treated as partly structural: 8% of core is haircut every year. About three-quarters of core is distributed through dividends (35-45% payout target) and the NCIB; retention fades as growth slows.</t>
  </si>
  <si>
    <t xml:space="preserve">Scenario narrative: bull</t>
  </si>
  <si>
    <t xml:space="preserve">The 18%+ core ROE target is hit and held: Asia bancassurance (DBS, Chinabank to 2039) and agency keep compounding at mid-to-high teens, India JV and Dubai HNW add optionality, WAM private credit scales, and the Munich Re LTC deal (closing Q4-2026; 24% cumulative LTC risk reduction) plus prior RGA/Global Atlantic deals free capital for larger buybacks. ALDA marks normalize so core converts more fully to earnings (4% haircut).</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</si>
  <si>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</si>
  <si>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</si>
  <si>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</si>
  <si>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</si>
  <si>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</si>
  <si>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</si>
  <si>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</si>
  <si>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</si>
  <si>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</si>
  <si>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</si>
  <si>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</si>
  <si>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</si>
  <si>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</si>
  <si>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</si>
  <si>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</si>
  <si>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</si>
  <si>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</si>
  <si>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</si>
  <si>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</si>
  <si>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</si>
  <si>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</si>
  <si>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</si>
  <si>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</si>
  <si>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</si>
  <si>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</si>
  <si>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</si>
  <si>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</si>
  <si>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</si>
  <si>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</si>
  <si>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</si>
  <si>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</si>
  <si>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</si>
  <si>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</si>
  <si>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</si>
  <si>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</si>
  <si>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</si>
  <si>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</si>
  <si>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</si>
  <si>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</si>
  <si>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</si>
  <si>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</si>
  <si>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</si>
  <si>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</si>
  <si>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</si>
  <si>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</si>
  <si>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</si>
  <si>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</si>
  <si>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CAD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</si>
  <si>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</si>
  <si>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</si>
  <si>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</si>
  <si>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</si>
  <si>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</si>
  <si>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</si>
  <si>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</si>
  <si>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</si>
  <si>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</si>
  <si>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</si>
  <si>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</si>
  <si>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</si>
  <si>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</si>
  <si>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</si>
  <si>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</si>
  <si>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</si>
  <si>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</si>
  <si>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</si>
  <si>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</si>
  <si>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</si>
  <si>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</si>
  <si>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</si>
  <si>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</si>
  <si>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</si>
  <si>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</si>
  <si>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</si>
  <si>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MFC owner-FCF component DCF: bear case (millions, CAD)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</si>
  <si>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</si>
  <si>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</si>
  <si>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</si>
  <si>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</si>
  <si>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</si>
  <si>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</si>
  <si>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</si>
  <si>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</si>
  <si>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</si>
  <si>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</si>
  <si>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</si>
  <si>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</si>
  <si>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</si>
  <si>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</si>
  <si>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</si>
  <si>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</si>
  <si>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</si>
  <si>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</si>
  <si>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</si>
  <si>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</si>
  <si>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</si>
  <si>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</si>
  <si>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</si>
  <si>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</si>
  <si>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</si>
  <si>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</si>
  <si>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</si>
  <si>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</si>
  <si>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</si>
  <si>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</si>
  <si>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MFC owner-FCF component DCF: base case (millions, CAD)</t>
  </si>
  <si>
    <t xml:space="preserve">MFC owner-FCF component DCF: bull case (millions, CAD)</t>
  </si>
  <si>
    <t xml:space="preserve">MFC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</si>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</sst>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42.93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46.2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53337</v>
      </c>
      <c r="I2" s="0" t="n">
        <v>2929</v>
      </c>
      <c r="K2" s="0" t="n">
        <v>1.41</v>
      </c>
      <c r="L2" s="0" t="n">
        <v>17017</v>
      </c>
      <c r="O2" s="0" t="n">
        <v>41832</v>
      </c>
      <c r="P2" s="0" t="n">
        <v>720681</v>
      </c>
      <c r="Q2" s="0" t="n">
        <v>677858</v>
      </c>
      <c r="R2" s="0" t="n">
        <v>12876</v>
      </c>
      <c r="S2" s="0" t="n">
        <v>15151</v>
      </c>
      <c r="T2" s="0" t="n">
        <v>1983</v>
      </c>
      <c r="U2" s="0" t="n">
        <v>19</v>
      </c>
      <c r="V2" s="0" t="n">
        <v>0.74</v>
      </c>
      <c r="AA2" s="0" t="s">
        <v>18</v>
      </c>
      <c r="AB2" s="0" t="s">
        <v>14</v>
      </c>
    </row>
    <row r="3" customFormat="false" ht="15" hidden="false" customHeight="false" outlineLevel="0" collapsed="false">
      <c r="A3" s="0" t="s">
        <v>65</v>
      </c>
      <c r="B3" s="0" t="n">
        <v>58323</v>
      </c>
      <c r="I3" s="0" t="n">
        <v>2104</v>
      </c>
      <c r="K3" s="0" t="n">
        <v>0.98</v>
      </c>
      <c r="L3" s="0" t="n">
        <v>17791</v>
      </c>
      <c r="O3" s="0" t="n">
        <v>41013</v>
      </c>
      <c r="P3" s="0" t="n">
        <v>729533</v>
      </c>
      <c r="Q3" s="0" t="n">
        <v>687370</v>
      </c>
      <c r="R3" s="0" t="n">
        <v>13172</v>
      </c>
      <c r="S3" s="0" t="n">
        <v>15965</v>
      </c>
      <c r="T3" s="0" t="n">
        <v>1984.7</v>
      </c>
      <c r="U3" s="0" t="n">
        <v>15</v>
      </c>
      <c r="V3" s="0" t="n">
        <v>0.82</v>
      </c>
      <c r="AA3" s="0" t="s">
        <v>18</v>
      </c>
      <c r="AB3" s="0" t="s">
        <v>14</v>
      </c>
    </row>
    <row r="4" customFormat="false" ht="15" hidden="false" customHeight="false" outlineLevel="0" collapsed="false">
      <c r="A4" s="0" t="s">
        <v>66</v>
      </c>
      <c r="B4" s="0" t="n">
        <v>38972</v>
      </c>
      <c r="I4" s="0" t="n">
        <v>4800</v>
      </c>
      <c r="K4" s="0" t="n">
        <v>2.33</v>
      </c>
      <c r="L4" s="0" t="n">
        <v>19188</v>
      </c>
      <c r="O4" s="0" t="n">
        <v>45964</v>
      </c>
      <c r="P4" s="0" t="n">
        <v>750271</v>
      </c>
      <c r="Q4" s="0" t="n">
        <v>703120</v>
      </c>
      <c r="R4" s="0" t="n">
        <v>13501</v>
      </c>
      <c r="S4" s="0" t="n">
        <v>16215</v>
      </c>
      <c r="T4" s="0" t="n">
        <v>1988</v>
      </c>
      <c r="U4" s="0" t="n">
        <v>10</v>
      </c>
      <c r="V4" s="0" t="n">
        <v>0.91</v>
      </c>
      <c r="AA4" s="0" t="s">
        <v>18</v>
      </c>
      <c r="AB4" s="0" t="s">
        <v>14</v>
      </c>
    </row>
    <row r="5" customFormat="false" ht="15" hidden="false" customHeight="false" outlineLevel="0" collapsed="false">
      <c r="A5" s="0" t="s">
        <v>67</v>
      </c>
      <c r="B5" s="0" t="n">
        <v>79570</v>
      </c>
      <c r="I5" s="0" t="n">
        <v>5602</v>
      </c>
      <c r="K5" s="0" t="n">
        <v>2.77</v>
      </c>
      <c r="L5" s="0" t="n">
        <v>20542</v>
      </c>
      <c r="O5" s="0" t="n">
        <v>49138</v>
      </c>
      <c r="P5" s="0" t="n">
        <v>809130</v>
      </c>
      <c r="Q5" s="0" t="n">
        <v>759024</v>
      </c>
      <c r="R5" s="0" t="n">
        <v>11663</v>
      </c>
      <c r="S5" s="0" t="n">
        <v>20300</v>
      </c>
      <c r="T5" s="0" t="n">
        <v>1960.3</v>
      </c>
      <c r="U5" s="0" t="n">
        <v>11</v>
      </c>
      <c r="V5" s="0" t="n">
        <v>1</v>
      </c>
      <c r="AA5" s="0" t="s">
        <v>18</v>
      </c>
      <c r="AB5" s="0" t="s">
        <v>14</v>
      </c>
    </row>
    <row r="6" customFormat="false" ht="15" hidden="false" customHeight="false" outlineLevel="0" collapsed="false">
      <c r="A6" s="0" t="s">
        <v>68</v>
      </c>
      <c r="B6" s="0" t="n">
        <v>78908</v>
      </c>
      <c r="I6" s="0" t="n">
        <v>5871</v>
      </c>
      <c r="K6" s="0" t="n">
        <v>2.93</v>
      </c>
      <c r="L6" s="0" t="n">
        <v>20048</v>
      </c>
      <c r="O6" s="0" t="n">
        <v>52335</v>
      </c>
      <c r="P6" s="0" t="n">
        <v>880349</v>
      </c>
      <c r="Q6" s="0" t="n">
        <v>827343</v>
      </c>
      <c r="R6" s="0" t="n">
        <v>13993</v>
      </c>
      <c r="S6" s="0" t="n">
        <v>26167</v>
      </c>
      <c r="T6" s="0" t="n">
        <v>1945.4</v>
      </c>
      <c r="U6" s="0" t="n">
        <v>14</v>
      </c>
      <c r="V6" s="0" t="n">
        <v>1.12</v>
      </c>
      <c r="AA6" s="0" t="s">
        <v>18</v>
      </c>
      <c r="AB6" s="0" t="s">
        <v>14</v>
      </c>
    </row>
    <row r="7" customFormat="false" ht="15" hidden="false" customHeight="false" outlineLevel="0" collapsed="false">
      <c r="A7" s="0" t="s">
        <v>69</v>
      </c>
      <c r="B7" s="0" t="n">
        <v>61821</v>
      </c>
      <c r="I7" s="0" t="n">
        <v>7105</v>
      </c>
      <c r="K7" s="0" t="n">
        <v>3.54</v>
      </c>
      <c r="L7" s="0" t="n">
        <v>23155</v>
      </c>
      <c r="O7" s="0" t="n">
        <v>58408</v>
      </c>
      <c r="P7" s="0" t="n">
        <v>917643</v>
      </c>
      <c r="Q7" s="0" t="n">
        <v>858774</v>
      </c>
      <c r="R7" s="0" t="n">
        <v>11862</v>
      </c>
      <c r="S7" s="0" t="n">
        <v>22594</v>
      </c>
      <c r="T7" s="0" t="n">
        <v>1946.3</v>
      </c>
      <c r="U7" s="0" t="n">
        <v>9</v>
      </c>
      <c r="V7" s="0" t="n">
        <v>1.17</v>
      </c>
      <c r="AA7" s="0" t="s">
        <v>18</v>
      </c>
      <c r="AB7" s="0" t="s">
        <v>14</v>
      </c>
    </row>
    <row r="8" customFormat="false" ht="15" hidden="false" customHeight="false" outlineLevel="0" collapsed="false">
      <c r="A8" s="0" t="s">
        <v>70</v>
      </c>
      <c r="B8" s="0" t="n">
        <v>17147</v>
      </c>
      <c r="I8" s="0" t="n">
        <v>7294</v>
      </c>
      <c r="K8" s="0" t="n">
        <v>3.68</v>
      </c>
      <c r="L8" s="0" t="n">
        <v>17735</v>
      </c>
      <c r="O8" s="0" t="n">
        <v>56061</v>
      </c>
      <c r="P8" s="0" t="n">
        <v>848941</v>
      </c>
      <c r="Q8" s="0" t="n">
        <v>792562</v>
      </c>
      <c r="R8" s="0" t="n">
        <v>12356</v>
      </c>
      <c r="S8" s="0" t="n">
        <v>19153</v>
      </c>
      <c r="T8" s="0" t="n">
        <v>1911.4</v>
      </c>
      <c r="U8" s="0" t="n">
        <v>5</v>
      </c>
      <c r="V8" s="0" t="n">
        <v>1.32</v>
      </c>
      <c r="AA8" s="0" t="s">
        <v>18</v>
      </c>
      <c r="AB8" s="0" t="s">
        <v>14</v>
      </c>
    </row>
    <row r="9" customFormat="false" ht="15" hidden="false" customHeight="false" outlineLevel="0" collapsed="false">
      <c r="A9" s="0" t="s">
        <v>71</v>
      </c>
      <c r="I9" s="0" t="n">
        <v>5103</v>
      </c>
      <c r="K9" s="0" t="n">
        <v>2.61</v>
      </c>
      <c r="L9" s="0" t="n">
        <v>20423</v>
      </c>
      <c r="O9" s="0" t="n">
        <v>47039</v>
      </c>
      <c r="P9" s="0" t="n">
        <v>875574</v>
      </c>
      <c r="Q9" s="0" t="n">
        <v>826847</v>
      </c>
      <c r="R9" s="0" t="n">
        <v>12738</v>
      </c>
      <c r="S9" s="0" t="n">
        <v>20338</v>
      </c>
      <c r="T9" s="0" t="n">
        <v>1839.1</v>
      </c>
      <c r="U9" s="0" t="n">
        <v>2</v>
      </c>
      <c r="V9" s="0" t="n">
        <v>1.46</v>
      </c>
      <c r="AA9" s="0" t="s">
        <v>18</v>
      </c>
      <c r="AB9" s="0" t="s">
        <v>14</v>
      </c>
    </row>
    <row r="10" customFormat="false" ht="15" hidden="false" customHeight="false" outlineLevel="0" collapsed="false">
      <c r="A10" s="0" t="s">
        <v>72</v>
      </c>
      <c r="I10" s="0" t="n">
        <v>5385</v>
      </c>
      <c r="K10" s="0" t="n">
        <v>2.84</v>
      </c>
      <c r="L10" s="0" t="n">
        <v>26494</v>
      </c>
      <c r="O10" s="0" t="n">
        <v>50972</v>
      </c>
      <c r="P10" s="0" t="n">
        <v>978818</v>
      </c>
      <c r="Q10" s="0" t="n">
        <v>925858</v>
      </c>
      <c r="R10" s="0" t="n">
        <v>14161</v>
      </c>
      <c r="S10" s="0" t="n">
        <v>25789</v>
      </c>
      <c r="T10" s="0" t="n">
        <v>1786.6</v>
      </c>
      <c r="U10" s="0" t="n">
        <v>0</v>
      </c>
      <c r="V10" s="0" t="n">
        <v>1.6</v>
      </c>
      <c r="AA10" s="0" t="s">
        <v>18</v>
      </c>
      <c r="AB10" s="0" t="s">
        <v>14</v>
      </c>
    </row>
    <row r="11" customFormat="false" ht="15" hidden="false" customHeight="false" outlineLevel="0" collapsed="false">
      <c r="A11" s="0" t="s">
        <v>73</v>
      </c>
      <c r="I11" s="0" t="n">
        <v>5572</v>
      </c>
      <c r="K11" s="0" t="n">
        <v>3.07</v>
      </c>
      <c r="L11" s="0" t="n">
        <v>32105</v>
      </c>
      <c r="O11" s="0" t="n">
        <v>50121</v>
      </c>
      <c r="P11" s="0" t="n">
        <v>1025433</v>
      </c>
      <c r="Q11" s="0" t="n">
        <v>972945</v>
      </c>
      <c r="R11" s="0" t="n">
        <v>14675</v>
      </c>
      <c r="S11" s="0" t="n">
        <v>26703</v>
      </c>
      <c r="T11" s="0" t="n">
        <v>1710.4</v>
      </c>
      <c r="U11" s="0" t="n">
        <v>0</v>
      </c>
      <c r="V11" s="0" t="n">
        <v>1.76</v>
      </c>
      <c r="AA11" s="0" t="s">
        <v>18</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74</v>
      </c>
      <c r="B1" s="2" t="s">
        <v>75</v>
      </c>
    </row>
    <row r="2" customFormat="false" ht="15" hidden="false" customHeight="false" outlineLevel="0" collapsed="false">
      <c r="A2" s="0" t="s">
        <v>76</v>
      </c>
      <c r="B2" s="3" t="n">
        <v>42.93</v>
      </c>
    </row>
    <row r="3" customFormat="false" ht="15" hidden="false" customHeight="false" outlineLevel="0" collapsed="false">
      <c r="A3" s="0" t="s">
        <v>77</v>
      </c>
      <c r="B3" s="3" t="n">
        <v>1680</v>
      </c>
    </row>
    <row r="4" customFormat="false" ht="15" hidden="false" customHeight="false" outlineLevel="0" collapsed="false">
      <c r="A4" s="0" t="s">
        <v>78</v>
      </c>
      <c r="B4" s="3" t="n">
        <v>0</v>
      </c>
    </row>
    <row r="5" customFormat="false" ht="15" hidden="false" customHeight="false" outlineLevel="0" collapsed="false">
      <c r="A5" s="0" t="s">
        <v>79</v>
      </c>
      <c r="B5" s="3" t="n">
        <v>0</v>
      </c>
    </row>
    <row r="6" customFormat="false" ht="15" hidden="false" customHeight="false" outlineLevel="0" collapsed="false">
      <c r="A6" s="0" t="s">
        <v>80</v>
      </c>
      <c r="B6" s="3" t="n">
        <v>15</v>
      </c>
    </row>
    <row r="7" customFormat="false" ht="15" hidden="false" customHeight="false" outlineLevel="0" collapsed="false">
      <c r="A7" s="0" t="s">
        <v>81</v>
      </c>
      <c r="B7" s="3" t="n">
        <v>7200</v>
      </c>
    </row>
    <row r="8" customFormat="false" ht="15" hidden="false" customHeight="false" outlineLevel="0" collapsed="false">
      <c r="A8" s="0" t="s">
        <v>82</v>
      </c>
      <c r="B8" s="3" t="s">
        <v>73</v>
      </c>
    </row>
    <row r="9" customFormat="false" ht="15" hidden="false" customHeight="false" outlineLevel="0" collapsed="false">
      <c r="A9" s="0" t="s">
        <v>83</v>
      </c>
      <c r="B9" s="3" t="s">
        <v>84</v>
      </c>
    </row>
    <row r="10" customFormat="false" ht="15" hidden="false" customHeight="false" outlineLevel="0" collapsed="false">
      <c r="A10" s="0" t="s">
        <v>85</v>
      </c>
      <c r="B10" s="3" t="n">
        <v>0.7019</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4</v>
      </c>
      <c r="D13" s="3" t="n">
        <v>4</v>
      </c>
      <c r="E13" s="3" t="n">
        <v>4</v>
      </c>
      <c r="F13" s="3" t="n">
        <v>3.5</v>
      </c>
      <c r="G13" s="3" t="n">
        <v>3.5</v>
      </c>
      <c r="H13" s="3" t="n">
        <v>3</v>
      </c>
      <c r="I13" s="3" t="n">
        <v>3</v>
      </c>
      <c r="J13" s="3" t="n">
        <v>2.5</v>
      </c>
      <c r="K13" s="3" t="n">
        <v>2.5</v>
      </c>
      <c r="L13" s="3" t="n">
        <v>2.5</v>
      </c>
    </row>
    <row r="14" customFormat="false" ht="15" hidden="false" customHeight="false" outlineLevel="0" collapsed="false">
      <c r="A14" s="0" t="s">
        <v>98</v>
      </c>
      <c r="C14" s="3" t="n">
        <v>85</v>
      </c>
      <c r="D14" s="3" t="n">
        <v>85</v>
      </c>
      <c r="E14" s="3" t="n">
        <v>85</v>
      </c>
      <c r="F14" s="3" t="n">
        <v>85</v>
      </c>
      <c r="G14" s="3" t="n">
        <v>85</v>
      </c>
      <c r="H14" s="3" t="n">
        <v>85</v>
      </c>
      <c r="I14" s="3" t="n">
        <v>85</v>
      </c>
      <c r="J14" s="3" t="n">
        <v>85</v>
      </c>
      <c r="K14" s="3" t="n">
        <v>85</v>
      </c>
      <c r="L14" s="3" t="n">
        <v>85</v>
      </c>
    </row>
    <row r="15" customFormat="false" ht="15" hidden="false" customHeight="false" outlineLevel="0" collapsed="false">
      <c r="A15" s="0" t="s">
        <v>99</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102</v>
      </c>
      <c r="C18" s="3" t="n">
        <v>28</v>
      </c>
      <c r="D18" s="3" t="n">
        <v>28</v>
      </c>
      <c r="E18" s="3" t="n">
        <v>27</v>
      </c>
      <c r="F18" s="3" t="n">
        <v>26</v>
      </c>
      <c r="G18" s="3" t="n">
        <v>25</v>
      </c>
      <c r="H18" s="3" t="n">
        <v>23</v>
      </c>
      <c r="I18" s="3" t="n">
        <v>22</v>
      </c>
      <c r="J18" s="3" t="n">
        <v>20</v>
      </c>
      <c r="K18" s="3" t="n">
        <v>19</v>
      </c>
      <c r="L18" s="3" t="n">
        <v>18</v>
      </c>
    </row>
    <row r="19" customFormat="false" ht="15" hidden="false" customHeight="false" outlineLevel="0" collapsed="false">
      <c r="A19" s="0" t="s">
        <v>103</v>
      </c>
      <c r="C19" s="3" t="n">
        <v>0</v>
      </c>
      <c r="D19" s="3" t="n">
        <v>0</v>
      </c>
      <c r="E19" s="3" t="n">
        <v>0</v>
      </c>
      <c r="F19" s="3" t="n">
        <v>0</v>
      </c>
      <c r="G19" s="3" t="n">
        <v>0</v>
      </c>
      <c r="H19" s="3" t="n">
        <v>0</v>
      </c>
      <c r="I19" s="3" t="n">
        <v>0</v>
      </c>
      <c r="J19" s="3" t="n">
        <v>0</v>
      </c>
      <c r="K19" s="3" t="n">
        <v>0</v>
      </c>
      <c r="L19" s="3" t="n">
        <v>0</v>
      </c>
    </row>
    <row r="20" customFormat="false" ht="15" hidden="false" customHeight="false" outlineLevel="0" collapsed="false">
      <c r="A20" s="0" t="s">
        <v>104</v>
      </c>
      <c r="B20" s="3" t="n">
        <v>10</v>
      </c>
    </row>
    <row r="21" customFormat="false" ht="15" hidden="false" customHeight="false" outlineLevel="0" collapsed="false">
      <c r="A21" s="0" t="s">
        <v>105</v>
      </c>
      <c r="B21" s="3" t="n">
        <v>2</v>
      </c>
    </row>
    <row r="22" customFormat="false" ht="15" hidden="false" customHeight="false" outlineLevel="0" collapsed="false">
      <c r="A22" s="0" t="s">
        <v>106</v>
      </c>
      <c r="B22" s="3" t="n">
        <v>15</v>
      </c>
    </row>
    <row r="23" customFormat="false" ht="15" hidden="false" customHeight="false" outlineLevel="0" collapsed="false">
      <c r="A23" s="0" t="s">
        <v>107</v>
      </c>
      <c r="B23" s="3" t="n">
        <v>0</v>
      </c>
    </row>
    <row r="24" customFormat="false" ht="15" hidden="false" customHeight="false" outlineLevel="0" collapsed="false">
      <c r="A24" s="0" t="s">
        <v>108</v>
      </c>
      <c r="B24" s="3" t="n">
        <v>0.25</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7</v>
      </c>
      <c r="D27" s="3" t="n">
        <v>7</v>
      </c>
      <c r="E27" s="3" t="n">
        <v>6.5</v>
      </c>
      <c r="F27" s="3" t="n">
        <v>6</v>
      </c>
      <c r="G27" s="3" t="n">
        <v>5.5</v>
      </c>
      <c r="H27" s="3" t="n">
        <v>5</v>
      </c>
      <c r="I27" s="3" t="n">
        <v>4.5</v>
      </c>
      <c r="J27" s="3" t="n">
        <v>4</v>
      </c>
      <c r="K27" s="3" t="n">
        <v>3.5</v>
      </c>
      <c r="L27" s="3" t="n">
        <v>3.5</v>
      </c>
    </row>
    <row r="28" customFormat="false" ht="15" hidden="false" customHeight="false" outlineLevel="0" collapsed="false">
      <c r="A28" s="0" t="s">
        <v>98</v>
      </c>
      <c r="C28" s="3" t="n">
        <v>92</v>
      </c>
      <c r="D28" s="3" t="n">
        <v>92</v>
      </c>
      <c r="E28" s="3" t="n">
        <v>92</v>
      </c>
      <c r="F28" s="3" t="n">
        <v>92</v>
      </c>
      <c r="G28" s="3" t="n">
        <v>92</v>
      </c>
      <c r="H28" s="3" t="n">
        <v>92</v>
      </c>
      <c r="I28" s="3" t="n">
        <v>92</v>
      </c>
      <c r="J28" s="3" t="n">
        <v>92</v>
      </c>
      <c r="K28" s="3" t="n">
        <v>92</v>
      </c>
      <c r="L28" s="3" t="n">
        <v>92</v>
      </c>
    </row>
    <row r="29" customFormat="false" ht="15" hidden="false" customHeight="false" outlineLevel="0" collapsed="false">
      <c r="A29" s="0" t="s">
        <v>99</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102</v>
      </c>
      <c r="C32" s="3" t="n">
        <v>26</v>
      </c>
      <c r="D32" s="3" t="n">
        <v>26</v>
      </c>
      <c r="E32" s="3" t="n">
        <v>25</v>
      </c>
      <c r="F32" s="3" t="n">
        <v>24</v>
      </c>
      <c r="G32" s="3" t="n">
        <v>23</v>
      </c>
      <c r="H32" s="3" t="n">
        <v>21</v>
      </c>
      <c r="I32" s="3" t="n">
        <v>20</v>
      </c>
      <c r="J32" s="3" t="n">
        <v>19</v>
      </c>
      <c r="K32" s="3" t="n">
        <v>18</v>
      </c>
      <c r="L32" s="3" t="n">
        <v>17</v>
      </c>
    </row>
    <row r="33" customFormat="false" ht="15" hidden="false" customHeight="false" outlineLevel="0" collapsed="false">
      <c r="A33" s="0" t="s">
        <v>103</v>
      </c>
      <c r="C33" s="3" t="n">
        <v>0</v>
      </c>
      <c r="D33" s="3" t="n">
        <v>0</v>
      </c>
      <c r="E33" s="3" t="n">
        <v>0</v>
      </c>
      <c r="F33" s="3" t="n">
        <v>0</v>
      </c>
      <c r="G33" s="3" t="n">
        <v>0</v>
      </c>
      <c r="H33" s="3" t="n">
        <v>0</v>
      </c>
      <c r="I33" s="3" t="n">
        <v>0</v>
      </c>
      <c r="J33" s="3" t="n">
        <v>0</v>
      </c>
      <c r="K33" s="3" t="n">
        <v>0</v>
      </c>
      <c r="L33" s="3" t="n">
        <v>0</v>
      </c>
    </row>
    <row r="34" customFormat="false" ht="15" hidden="false" customHeight="false" outlineLevel="0" collapsed="false">
      <c r="A34" s="0" t="s">
        <v>104</v>
      </c>
      <c r="B34" s="3" t="n">
        <v>10</v>
      </c>
    </row>
    <row r="35" customFormat="false" ht="15" hidden="false" customHeight="false" outlineLevel="0" collapsed="false">
      <c r="A35" s="0" t="s">
        <v>105</v>
      </c>
      <c r="B35" s="3" t="n">
        <v>3</v>
      </c>
    </row>
    <row r="36" customFormat="false" ht="15" hidden="false" customHeight="false" outlineLevel="0" collapsed="false">
      <c r="A36" s="0" t="s">
        <v>106</v>
      </c>
      <c r="B36" s="3" t="n">
        <v>15</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10</v>
      </c>
      <c r="D41" s="3" t="n">
        <v>10</v>
      </c>
      <c r="E41" s="3" t="n">
        <v>9</v>
      </c>
      <c r="F41" s="3" t="n">
        <v>9</v>
      </c>
      <c r="G41" s="3" t="n">
        <v>8</v>
      </c>
      <c r="H41" s="3" t="n">
        <v>7</v>
      </c>
      <c r="I41" s="3" t="n">
        <v>6</v>
      </c>
      <c r="J41" s="3" t="n">
        <v>5</v>
      </c>
      <c r="K41" s="3" t="n">
        <v>4.5</v>
      </c>
      <c r="L41" s="3" t="n">
        <v>4</v>
      </c>
    </row>
    <row r="42" customFormat="false" ht="15" hidden="false" customHeight="false" outlineLevel="0" collapsed="false">
      <c r="A42" s="0" t="s">
        <v>98</v>
      </c>
      <c r="C42" s="3" t="n">
        <v>96</v>
      </c>
      <c r="D42" s="3" t="n">
        <v>96</v>
      </c>
      <c r="E42" s="3" t="n">
        <v>96</v>
      </c>
      <c r="F42" s="3" t="n">
        <v>96</v>
      </c>
      <c r="G42" s="3" t="n">
        <v>96</v>
      </c>
      <c r="H42" s="3" t="n">
        <v>96</v>
      </c>
      <c r="I42" s="3" t="n">
        <v>96</v>
      </c>
      <c r="J42" s="3" t="n">
        <v>96</v>
      </c>
      <c r="K42" s="3" t="n">
        <v>96</v>
      </c>
      <c r="L42" s="3" t="n">
        <v>96</v>
      </c>
    </row>
    <row r="43" customFormat="false" ht="15" hidden="false" customHeight="false" outlineLevel="0" collapsed="false">
      <c r="A43" s="0" t="s">
        <v>99</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102</v>
      </c>
      <c r="C46" s="3" t="n">
        <v>24</v>
      </c>
      <c r="D46" s="3" t="n">
        <v>24</v>
      </c>
      <c r="E46" s="3" t="n">
        <v>23</v>
      </c>
      <c r="F46" s="3" t="n">
        <v>22</v>
      </c>
      <c r="G46" s="3" t="n">
        <v>21</v>
      </c>
      <c r="H46" s="3" t="n">
        <v>20</v>
      </c>
      <c r="I46" s="3" t="n">
        <v>19</v>
      </c>
      <c r="J46" s="3" t="n">
        <v>18</v>
      </c>
      <c r="K46" s="3" t="n">
        <v>17</v>
      </c>
      <c r="L46" s="3" t="n">
        <v>17</v>
      </c>
    </row>
    <row r="47" customFormat="false" ht="15" hidden="false" customHeight="false" outlineLevel="0" collapsed="false">
      <c r="A47" s="0" t="s">
        <v>103</v>
      </c>
      <c r="C47" s="3" t="n">
        <v>0</v>
      </c>
      <c r="D47" s="3" t="n">
        <v>0</v>
      </c>
      <c r="E47" s="3" t="n">
        <v>0</v>
      </c>
      <c r="F47" s="3" t="n">
        <v>0</v>
      </c>
      <c r="G47" s="3" t="n">
        <v>0</v>
      </c>
      <c r="H47" s="3" t="n">
        <v>0</v>
      </c>
      <c r="I47" s="3" t="n">
        <v>0</v>
      </c>
      <c r="J47" s="3" t="n">
        <v>0</v>
      </c>
      <c r="K47" s="3" t="n">
        <v>0</v>
      </c>
      <c r="L47" s="3" t="n">
        <v>0</v>
      </c>
    </row>
    <row r="48" customFormat="false" ht="15" hidden="false" customHeight="false" outlineLevel="0" collapsed="false">
      <c r="A48" s="0" t="s">
        <v>104</v>
      </c>
      <c r="B48" s="3" t="n">
        <v>10</v>
      </c>
    </row>
    <row r="49" customFormat="false" ht="15" hidden="false" customHeight="false" outlineLevel="0" collapsed="false">
      <c r="A49" s="0" t="s">
        <v>105</v>
      </c>
      <c r="B49" s="3" t="n">
        <v>3.5</v>
      </c>
    </row>
    <row r="50" customFormat="false" ht="15" hidden="false" customHeight="false" outlineLevel="0" collapsed="false">
      <c r="A50" s="0" t="s">
        <v>106</v>
      </c>
      <c r="B50" s="3" t="n">
        <v>15</v>
      </c>
    </row>
    <row r="51" customFormat="false" ht="15" hidden="false" customHeight="false" outlineLevel="0" collapsed="false">
      <c r="A51" s="0" t="s">
        <v>107</v>
      </c>
      <c r="B51" s="3" t="n">
        <v>0</v>
      </c>
    </row>
    <row r="52" customFormat="false" ht="15" hidden="false" customHeight="false" outlineLevel="0" collapsed="false">
      <c r="A52" s="0" t="s">
        <v>108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4</v>
      </c>
      <c r="D5" s="4" t="n">
        <f aca="false">Assumptions!D13</f>
        <v>4</v>
      </c>
      <c r="E5" s="4" t="n">
        <f aca="false">Assumptions!E13</f>
        <v>4</v>
      </c>
      <c r="F5" s="4" t="n">
        <f aca="false">Assumptions!F13</f>
        <v>3.5</v>
      </c>
      <c r="G5" s="4" t="n">
        <f aca="false">Assumptions!G13</f>
        <v>3.5</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38</v>
      </c>
      <c r="B6" s="3" t="n">
        <v>7200</v>
      </c>
      <c r="C6" s="0" t="n">
        <f aca="false">B6*(1+C5/100)</f>
        <v>7488</v>
      </c>
      <c r="D6" s="0" t="n">
        <f aca="false">C6*(1+D5/100)</f>
        <v>7787.52</v>
      </c>
      <c r="E6" s="0" t="n">
        <f aca="false">D6*(1+E5/100)</f>
        <v>8099.0208</v>
      </c>
      <c r="F6" s="0" t="n">
        <f aca="false">E6*(1+F5/100)</f>
        <v>8382.486528</v>
      </c>
      <c r="G6" s="0" t="n">
        <f aca="false">F6*(1+G5/100)</f>
        <v>8675.87355648</v>
      </c>
      <c r="H6" s="0" t="n">
        <f aca="false">G6*(1+H5/100)</f>
        <v>8936.1497631744</v>
      </c>
      <c r="I6" s="0" t="n">
        <f aca="false">H6*(1+I5/100)</f>
        <v>9204.23425606963</v>
      </c>
      <c r="J6" s="0" t="n">
        <f aca="false">I6*(1+J5/100)</f>
        <v>9434.34011247137</v>
      </c>
      <c r="K6" s="0" t="n">
        <f aca="false">J6*(1+K5/100)</f>
        <v>9670.19861528316</v>
      </c>
      <c r="L6" s="0" t="n">
        <f aca="false">K6*(1+L5/100)</f>
        <v>9911.95358066524</v>
      </c>
    </row>
    <row r="7" customFormat="false" ht="15" hidden="false" customHeight="false" outlineLevel="0" collapsed="false">
      <c r="A7" s="0" t="s">
        <v>98</v>
      </c>
      <c r="C7" s="4" t="n">
        <f aca="false">Assumptions!C14</f>
        <v>85</v>
      </c>
      <c r="D7" s="4" t="n">
        <f aca="false">Assumptions!D14</f>
        <v>85</v>
      </c>
      <c r="E7" s="4" t="n">
        <f aca="false">Assumptions!E14</f>
        <v>85</v>
      </c>
      <c r="F7" s="4" t="n">
        <f aca="false">Assumptions!F14</f>
        <v>85</v>
      </c>
      <c r="G7" s="4" t="n">
        <f aca="false">Assumptions!G14</f>
        <v>85</v>
      </c>
      <c r="H7" s="4" t="n">
        <f aca="false">Assumptions!H14</f>
        <v>85</v>
      </c>
      <c r="I7" s="4" t="n">
        <f aca="false">Assumptions!I14</f>
        <v>85</v>
      </c>
      <c r="J7" s="4" t="n">
        <f aca="false">Assumptions!J14</f>
        <v>85</v>
      </c>
      <c r="K7" s="4" t="n">
        <f aca="false">Assumptions!K14</f>
        <v>85</v>
      </c>
      <c r="L7" s="4" t="n">
        <f aca="false">Assumptions!L14</f>
        <v>85</v>
      </c>
    </row>
    <row r="8" customFormat="false" ht="15" hidden="false" customHeight="false" outlineLevel="0" collapsed="false">
      <c r="A8" s="0" t="s">
        <v>44</v>
      </c>
      <c r="C8" s="0" t="n">
        <f aca="false">C6*C7/100</f>
        <v>6364.8</v>
      </c>
      <c r="D8" s="0" t="n">
        <f aca="false">D6*D7/100</f>
        <v>6619.392</v>
      </c>
      <c r="E8" s="0" t="n">
        <f aca="false">E6*E7/100</f>
        <v>6884.16768</v>
      </c>
      <c r="F8" s="0" t="n">
        <f aca="false">F6*F7/100</f>
        <v>7125.1135488</v>
      </c>
      <c r="G8" s="0" t="n">
        <f aca="false">G6*G7/100</f>
        <v>7374.492523008</v>
      </c>
      <c r="H8" s="0" t="n">
        <f aca="false">H6*H7/100</f>
        <v>7595.72729869824</v>
      </c>
      <c r="I8" s="0" t="n">
        <f aca="false">I6*I7/100</f>
        <v>7823.59911765919</v>
      </c>
      <c r="J8" s="0" t="n">
        <f aca="false">J6*J7/100</f>
        <v>8019.18909560067</v>
      </c>
      <c r="K8" s="0" t="n">
        <f aca="false">K6*K7/100</f>
        <v>8219.66882299068</v>
      </c>
      <c r="L8" s="0" t="n">
        <f aca="false">L6*L7/100</f>
        <v>8425.16054356545</v>
      </c>
    </row>
    <row r="9" customFormat="false" ht="15" hidden="false" customHeight="false" outlineLevel="0" collapsed="false">
      <c r="A9" s="0" t="s">
        <v>99</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6364.8</v>
      </c>
      <c r="D11" s="0" t="n">
        <f aca="false">D8+D10+D24</f>
        <v>6619.392</v>
      </c>
      <c r="E11" s="0" t="n">
        <f aca="false">E8+E10+E24</f>
        <v>6884.16768</v>
      </c>
      <c r="F11" s="0" t="n">
        <f aca="false">F8+F10+F24</f>
        <v>7125.1135488</v>
      </c>
      <c r="G11" s="0" t="n">
        <f aca="false">G8+G10+G24</f>
        <v>7374.492523008</v>
      </c>
      <c r="H11" s="0" t="n">
        <f aca="false">H8+H10+H24</f>
        <v>7595.72729869824</v>
      </c>
      <c r="I11" s="0" t="n">
        <f aca="false">I8+I10+I24</f>
        <v>7823.59911765919</v>
      </c>
      <c r="J11" s="0" t="n">
        <f aca="false">J8+J10+J24</f>
        <v>8019.18909560067</v>
      </c>
      <c r="K11" s="0" t="n">
        <f aca="false">K8+K10+K24</f>
        <v>8219.66882299068</v>
      </c>
      <c r="L11" s="0" t="n">
        <f aca="false">L8+L10+L24</f>
        <v>8425.16054356545</v>
      </c>
    </row>
    <row r="12" customFormat="false" ht="15" hidden="false" customHeight="false" outlineLevel="0" collapsed="false">
      <c r="A12" s="0" t="s">
        <v>116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117</v>
      </c>
      <c r="C13" s="0" t="n">
        <f aca="false">C11+C12</f>
        <v>6364.8</v>
      </c>
      <c r="D13" s="0" t="n">
        <f aca="false">D11+D12</f>
        <v>6619.392</v>
      </c>
      <c r="E13" s="0" t="n">
        <f aca="false">E11+E12</f>
        <v>6884.16768</v>
      </c>
      <c r="F13" s="0" t="n">
        <f aca="false">F11+F12</f>
        <v>7125.1135488</v>
      </c>
      <c r="G13" s="0" t="n">
        <f aca="false">G11+G12</f>
        <v>7374.492523008</v>
      </c>
      <c r="H13" s="0" t="n">
        <f aca="false">H11+H12</f>
        <v>7595.72729869824</v>
      </c>
      <c r="I13" s="0" t="n">
        <f aca="false">I11+I12</f>
        <v>7823.59911765919</v>
      </c>
      <c r="J13" s="0" t="n">
        <f aca="false">J11+J12</f>
        <v>8019.18909560067</v>
      </c>
      <c r="K13" s="0" t="n">
        <f aca="false">K11+K12</f>
        <v>8219.66882299068</v>
      </c>
      <c r="L13" s="0" t="n">
        <f aca="false">L11+L12</f>
        <v>8425.16054356545</v>
      </c>
    </row>
    <row r="14" customFormat="false" ht="15" hidden="false" customHeight="false" outlineLevel="0" collapsed="false">
      <c r="A14" s="0" t="s">
        <v>103</v>
      </c>
      <c r="C14" s="4" t="n">
        <f aca="false">Assumptions!C19</f>
        <v>0</v>
      </c>
      <c r="D14" s="4" t="n">
        <f aca="false">Assumptions!D19</f>
        <v>0</v>
      </c>
      <c r="E14" s="4" t="n">
        <f aca="false">Assumptions!E19</f>
        <v>0</v>
      </c>
      <c r="F14" s="4" t="n">
        <f aca="false">Assumptions!F19</f>
        <v>0</v>
      </c>
      <c r="G14" s="4" t="n">
        <f aca="false">Assumptions!G19</f>
        <v>0</v>
      </c>
      <c r="H14" s="4" t="n">
        <f aca="false">Assumptions!H19</f>
        <v>0</v>
      </c>
      <c r="I14" s="4" t="n">
        <f aca="false">Assumptions!I19</f>
        <v>0</v>
      </c>
      <c r="J14" s="4" t="n">
        <f aca="false">Assumptions!J19</f>
        <v>0</v>
      </c>
      <c r="K14" s="4" t="n">
        <f aca="false">Assumptions!K19</f>
        <v>0</v>
      </c>
      <c r="L14" s="4" t="n">
        <f aca="false">Assumptions!L19</f>
        <v>0</v>
      </c>
    </row>
    <row r="15" customFormat="false" ht="15" hidden="false" customHeight="false" outlineLevel="0" collapsed="false">
      <c r="A15" s="0" t="s">
        <v>118</v>
      </c>
      <c r="C15" s="0" t="n">
        <f aca="false">C13-MAX(0,C13)*C14/100</f>
        <v>6364.8</v>
      </c>
      <c r="D15" s="0" t="n">
        <f aca="false">D13-MAX(0,D13)*D14/100</f>
        <v>6619.392</v>
      </c>
      <c r="E15" s="0" t="n">
        <f aca="false">E13-MAX(0,E13)*E14/100</f>
        <v>6884.16768</v>
      </c>
      <c r="F15" s="0" t="n">
        <f aca="false">F13-MAX(0,F13)*F14/100</f>
        <v>7125.1135488</v>
      </c>
      <c r="G15" s="0" t="n">
        <f aca="false">G13-MAX(0,G13)*G14/100</f>
        <v>7374.492523008</v>
      </c>
      <c r="H15" s="0" t="n">
        <f aca="false">H13-MAX(0,H13)*H14/100</f>
        <v>7595.72729869824</v>
      </c>
      <c r="I15" s="0" t="n">
        <f aca="false">I13-MAX(0,I13)*I14/100</f>
        <v>7823.59911765919</v>
      </c>
      <c r="J15" s="0" t="n">
        <f aca="false">J13-MAX(0,J13)*J14/100</f>
        <v>8019.18909560067</v>
      </c>
      <c r="K15" s="0" t="n">
        <f aca="false">K13-MAX(0,K13)*K14/100</f>
        <v>8219.66882299068</v>
      </c>
      <c r="L15" s="0" t="n">
        <f aca="false">L13-MAX(0,L13)*L14/100</f>
        <v>8425.16054356545</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-C6*Assumptions!C18/100</f>
        <v>-2096.64</v>
      </c>
      <c r="D17" s="4" t="n">
        <f aca="false">-D6*Assumptions!D18/100</f>
        <v>-2180.5056</v>
      </c>
      <c r="E17" s="4" t="n">
        <f aca="false">-E6*Assumptions!E18/100</f>
        <v>-2186.735616</v>
      </c>
      <c r="F17" s="4" t="n">
        <f aca="false">-F6*Assumptions!F18/100</f>
        <v>-2179.44649728</v>
      </c>
      <c r="G17" s="4" t="n">
        <f aca="false">-G6*Assumptions!G18/100</f>
        <v>-2168.96838912</v>
      </c>
      <c r="H17" s="4" t="n">
        <f aca="false">-H6*Assumptions!H18/100</f>
        <v>-2055.31444553011</v>
      </c>
      <c r="I17" s="4" t="n">
        <f aca="false">-I6*Assumptions!I18/100</f>
        <v>-2024.93153633532</v>
      </c>
      <c r="J17" s="4" t="n">
        <f aca="false">-J6*Assumptions!J18/100</f>
        <v>-1886.86802249427</v>
      </c>
      <c r="K17" s="4" t="n">
        <f aca="false">-K6*Assumptions!K18/100</f>
        <v>-1837.3377369038</v>
      </c>
      <c r="L17" s="4" t="n">
        <f aca="false">-L6*Assumptions!L18/100</f>
        <v>-1784.15164451974</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4268.16</v>
      </c>
      <c r="D19" s="0" t="n">
        <f aca="false">D15+D16+D17+D18</f>
        <v>4438.8864</v>
      </c>
      <c r="E19" s="0" t="n">
        <f aca="false">E15+E16+E17+E18</f>
        <v>4697.432064</v>
      </c>
      <c r="F19" s="0" t="n">
        <f aca="false">F15+F16+F17+F18</f>
        <v>4945.66705152</v>
      </c>
      <c r="G19" s="0" t="n">
        <f aca="false">G15+G16+G17+G18</f>
        <v>5205.524133888</v>
      </c>
      <c r="H19" s="0" t="n">
        <f aca="false">H15+H16+H17+H18</f>
        <v>5540.41285316813</v>
      </c>
      <c r="I19" s="0" t="n">
        <f aca="false">I15+I16+I17+I18</f>
        <v>5798.66758132387</v>
      </c>
      <c r="J19" s="0" t="n">
        <f aca="false">J15+J16+J17+J18</f>
        <v>6132.32107310639</v>
      </c>
      <c r="K19" s="0" t="n">
        <f aca="false">K15+K16+K17+K18</f>
        <v>6382.33108608688</v>
      </c>
      <c r="L19" s="0" t="n">
        <f aca="false">L15+L16+L17+L18</f>
        <v>6641.00889904571</v>
      </c>
    </row>
    <row r="20" customFormat="false" ht="15" hidden="false" customHeight="false" outlineLevel="0" collapsed="false">
      <c r="A20" s="0" t="s">
        <v>123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124</v>
      </c>
      <c r="C21" s="0" t="n">
        <f aca="false">C19*C20</f>
        <v>3880.14545454545</v>
      </c>
      <c r="D21" s="0" t="n">
        <f aca="false">D19*D20</f>
        <v>3668.50115702479</v>
      </c>
      <c r="E21" s="0" t="n">
        <f aca="false">E19*E20</f>
        <v>3529.25023591285</v>
      </c>
      <c r="F21" s="0" t="n">
        <f aca="false">F19*F20</f>
        <v>3377.95714194386</v>
      </c>
      <c r="G21" s="0" t="n">
        <f aca="false">G19*G20</f>
        <v>3232.2209324301</v>
      </c>
      <c r="H21" s="0" t="n">
        <f aca="false">H19*H20</f>
        <v>3127.41861734827</v>
      </c>
      <c r="I21" s="0" t="n">
        <f aca="false">I19*I20</f>
        <v>2975.63334427756</v>
      </c>
      <c r="J21" s="0" t="n">
        <f aca="false">J19*J20</f>
        <v>2860.7730384198</v>
      </c>
      <c r="K21" s="0" t="n">
        <f aca="false">K19*K20</f>
        <v>2706.73141327412</v>
      </c>
      <c r="L21" s="0" t="n">
        <f aca="false">L19*L20</f>
        <v>2560.39641606887</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10</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15</v>
      </c>
    </row>
    <row r="30" customFormat="false" ht="15" hidden="false" customHeight="false" outlineLevel="0" collapsed="false">
      <c r="A30" s="0" t="s">
        <v>127</v>
      </c>
      <c r="B30" s="0" t="n">
        <f aca="false">SUM(C21:L21)</f>
        <v>31919.0277512457</v>
      </c>
    </row>
    <row r="31" customFormat="false" ht="15" hidden="false" customHeight="false" outlineLevel="0" collapsed="false">
      <c r="A31" s="0" t="s">
        <v>128</v>
      </c>
      <c r="B31" s="0" t="n">
        <f aca="false">L19</f>
        <v>6641.00889904571</v>
      </c>
    </row>
    <row r="32" customFormat="false" ht="15" hidden="false" customHeight="false" outlineLevel="0" collapsed="false">
      <c r="A32" s="0" t="s">
        <v>129</v>
      </c>
      <c r="B32" s="0" t="n">
        <f aca="false">IF(B27&gt;B28,B31*(1+B28/100)/((B27-B28)/100),B31*B29)</f>
        <v>84672.8634628328</v>
      </c>
    </row>
    <row r="33" customFormat="false" ht="15" hidden="false" customHeight="false" outlineLevel="0" collapsed="false">
      <c r="A33" s="0" t="s">
        <v>130</v>
      </c>
      <c r="B33" s="0" t="n">
        <f aca="false">B31*B29</f>
        <v>99615.1334856856</v>
      </c>
    </row>
    <row r="34" customFormat="false" ht="15" hidden="false" customHeight="false" outlineLevel="0" collapsed="false">
      <c r="A34" s="0" t="s">
        <v>131</v>
      </c>
      <c r="B34" s="0" t="n">
        <f aca="false">MAX(0,MIN(B32,B33))</f>
        <v>84672.8634628328</v>
      </c>
    </row>
    <row r="35" customFormat="false" ht="15" hidden="false" customHeight="false" outlineLevel="0" collapsed="false">
      <c r="A35" s="0" t="s">
        <v>132</v>
      </c>
      <c r="B35" s="0" t="n">
        <f aca="false">B34/(1+B27/100)^L4</f>
        <v>32645.0543048781</v>
      </c>
    </row>
    <row r="36" customFormat="false" ht="15" hidden="false" customHeight="false" outlineLevel="0" collapsed="false">
      <c r="A36" s="0" t="s">
        <v>133</v>
      </c>
      <c r="B36" s="0" t="n">
        <f aca="false">B30+B35</f>
        <v>64564.0820561238</v>
      </c>
    </row>
    <row r="37" customFormat="false" ht="15" hidden="false" customHeight="false" outlineLevel="0" collapsed="false">
      <c r="A37" s="0" t="s">
        <v>134</v>
      </c>
      <c r="B37" s="0" t="n">
        <f aca="false">B36+Assumptions!$B$5-Assumptions!$B$4</f>
        <v>64564.0820561238</v>
      </c>
    </row>
    <row r="38" customFormat="false" ht="15" hidden="false" customHeight="false" outlineLevel="0" collapsed="false">
      <c r="A38" s="0" t="s">
        <v>135</v>
      </c>
      <c r="B38" s="0" t="n">
        <f aca="false">B37/Assumptions!$B$3*Assumptions!$B$10</f>
        <v>26.9747197590436</v>
      </c>
    </row>
    <row r="39" customFormat="false" ht="15" hidden="false" customHeight="false" outlineLevel="0" collapsed="false">
      <c r="A39" s="0" t="s">
        <v>136</v>
      </c>
      <c r="B39" s="4" t="n">
        <f aca="false">B38/Assumptions!$B$2-1</f>
        <v>-0.371658053597866</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26.9747197590436</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52106.3775155894</v>
      </c>
    </row>
    <row r="47" customFormat="false" ht="15" hidden="false" customHeight="false" outlineLevel="0" collapsed="false">
      <c r="A47" s="0" t="s">
        <v>141</v>
      </c>
      <c r="B47" s="0" t="n">
        <f aca="false">(SUMPRODUCT(C19:L19/(1+B45/100)^C4:L4)+B46/(1+B45/100)^L4+Assumptions!$B$5-Assumptions!$B$4)/Assumptions!$B$3*Assumptions!$B$10</f>
        <v>16.0801404658076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7</v>
      </c>
      <c r="D5" s="4" t="n">
        <f aca="false">Assumptions!D27</f>
        <v>7</v>
      </c>
      <c r="E5" s="4" t="n">
        <f aca="false">Assumptions!E27</f>
        <v>6.5</v>
      </c>
      <c r="F5" s="4" t="n">
        <f aca="false">Assumptions!F27</f>
        <v>6</v>
      </c>
      <c r="G5" s="4" t="n">
        <f aca="false">Assumptions!G27</f>
        <v>5.5</v>
      </c>
      <c r="H5" s="4" t="n">
        <f aca="false">Assumptions!H27</f>
        <v>5</v>
      </c>
      <c r="I5" s="4" t="n">
        <f aca="false">Assumptions!I27</f>
        <v>4.5</v>
      </c>
      <c r="J5" s="4" t="n">
        <f aca="false">Assumptions!J27</f>
        <v>4</v>
      </c>
      <c r="K5" s="4" t="n">
        <f aca="false">Assumptions!K27</f>
        <v>3.5</v>
      </c>
      <c r="L5" s="4" t="n">
        <f aca="false">Assumptions!L27</f>
        <v>3.5</v>
      </c>
    </row>
    <row r="6" customFormat="false" ht="15" hidden="false" customHeight="false" outlineLevel="0" collapsed="false">
      <c r="A6" s="0" t="s">
        <v>38</v>
      </c>
      <c r="B6" s="3" t="n">
        <v>7200</v>
      </c>
      <c r="C6" s="0" t="n">
        <f aca="false">B6*(1+C5/100)</f>
        <v>7704</v>
      </c>
      <c r="D6" s="0" t="n">
        <f aca="false">C6*(1+D5/100)</f>
        <v>8243.28</v>
      </c>
      <c r="E6" s="0" t="n">
        <f aca="false">D6*(1+E5/100)</f>
        <v>8779.0932</v>
      </c>
      <c r="F6" s="0" t="n">
        <f aca="false">E6*(1+F5/100)</f>
        <v>9305.838792</v>
      </c>
      <c r="G6" s="0" t="n">
        <f aca="false">F6*(1+G5/100)</f>
        <v>9817.65992556</v>
      </c>
      <c r="H6" s="0" t="n">
        <f aca="false">G6*(1+H5/100)</f>
        <v>10308.542921838</v>
      </c>
      <c r="I6" s="0" t="n">
        <f aca="false">H6*(1+I5/100)</f>
        <v>10772.4273533207</v>
      </c>
      <c r="J6" s="0" t="n">
        <f aca="false">I6*(1+J5/100)</f>
        <v>11203.3244474535</v>
      </c>
      <c r="K6" s="0" t="n">
        <f aca="false">J6*(1+K5/100)</f>
        <v>11595.4408031144</v>
      </c>
      <c r="L6" s="0" t="n">
        <f aca="false">K6*(1+L5/100)</f>
        <v>12001.2812312234</v>
      </c>
    </row>
    <row r="7" customFormat="false" ht="15" hidden="false" customHeight="false" outlineLevel="0" collapsed="false">
      <c r="A7" s="0" t="s">
        <v>98</v>
      </c>
      <c r="C7" s="4" t="n">
        <f aca="false">Assumptions!C28</f>
        <v>92</v>
      </c>
      <c r="D7" s="4" t="n">
        <f aca="false">Assumptions!D28</f>
        <v>92</v>
      </c>
      <c r="E7" s="4" t="n">
        <f aca="false">Assumptions!E28</f>
        <v>92</v>
      </c>
      <c r="F7" s="4" t="n">
        <f aca="false">Assumptions!F28</f>
        <v>92</v>
      </c>
      <c r="G7" s="4" t="n">
        <f aca="false">Assumptions!G28</f>
        <v>92</v>
      </c>
      <c r="H7" s="4" t="n">
        <f aca="false">Assumptions!H28</f>
        <v>92</v>
      </c>
      <c r="I7" s="4" t="n">
        <f aca="false">Assumptions!I28</f>
        <v>92</v>
      </c>
      <c r="J7" s="4" t="n">
        <f aca="false">Assumptions!J28</f>
        <v>92</v>
      </c>
      <c r="K7" s="4" t="n">
        <f aca="false">Assumptions!K28</f>
        <v>92</v>
      </c>
      <c r="L7" s="4" t="n">
        <f aca="false">Assumptions!L28</f>
        <v>92</v>
      </c>
    </row>
    <row r="8" customFormat="false" ht="15" hidden="false" customHeight="false" outlineLevel="0" collapsed="false">
      <c r="A8" s="0" t="s">
        <v>44</v>
      </c>
      <c r="C8" s="0" t="n">
        <f aca="false">C6*C7/100</f>
        <v>7087.68</v>
      </c>
      <c r="D8" s="0" t="n">
        <f aca="false">D6*D7/100</f>
        <v>7583.8176</v>
      </c>
      <c r="E8" s="0" t="n">
        <f aca="false">E6*E7/100</f>
        <v>8076.765744</v>
      </c>
      <c r="F8" s="0" t="n">
        <f aca="false">F6*F7/100</f>
        <v>8561.37168864</v>
      </c>
      <c r="G8" s="0" t="n">
        <f aca="false">G6*G7/100</f>
        <v>9032.2471315152</v>
      </c>
      <c r="H8" s="0" t="n">
        <f aca="false">H6*H7/100</f>
        <v>9483.85948809096</v>
      </c>
      <c r="I8" s="0" t="n">
        <f aca="false">I6*I7/100</f>
        <v>9910.63316505505</v>
      </c>
      <c r="J8" s="0" t="n">
        <f aca="false">J6*J7/100</f>
        <v>10307.0584916573</v>
      </c>
      <c r="K8" s="0" t="n">
        <f aca="false">K6*K7/100</f>
        <v>10667.8055388653</v>
      </c>
      <c r="L8" s="0" t="n">
        <f aca="false">L6*L7/100</f>
        <v>11041.1787327255</v>
      </c>
    </row>
    <row r="9" customFormat="false" ht="15" hidden="false" customHeight="false" outlineLevel="0" collapsed="false">
      <c r="A9" s="0" t="s">
        <v>99</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7087.68</v>
      </c>
      <c r="D11" s="0" t="n">
        <f aca="false">D8+D10+D24</f>
        <v>7583.8176</v>
      </c>
      <c r="E11" s="0" t="n">
        <f aca="false">E8+E10+E24</f>
        <v>8076.765744</v>
      </c>
      <c r="F11" s="0" t="n">
        <f aca="false">F8+F10+F24</f>
        <v>8561.37168864</v>
      </c>
      <c r="G11" s="0" t="n">
        <f aca="false">G8+G10+G24</f>
        <v>9032.2471315152</v>
      </c>
      <c r="H11" s="0" t="n">
        <f aca="false">H8+H10+H24</f>
        <v>9483.85948809096</v>
      </c>
      <c r="I11" s="0" t="n">
        <f aca="false">I8+I10+I24</f>
        <v>9910.63316505505</v>
      </c>
      <c r="J11" s="0" t="n">
        <f aca="false">J8+J10+J24</f>
        <v>10307.0584916573</v>
      </c>
      <c r="K11" s="0" t="n">
        <f aca="false">K8+K10+K24</f>
        <v>10667.8055388653</v>
      </c>
      <c r="L11" s="0" t="n">
        <f aca="false">L8+L10+L24</f>
        <v>11041.1787327255</v>
      </c>
    </row>
    <row r="12" customFormat="false" ht="15" hidden="false" customHeight="false" outlineLevel="0" collapsed="false">
      <c r="A12" s="0" t="s">
        <v>116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117</v>
      </c>
      <c r="C13" s="0" t="n">
        <f aca="false">C11+C12</f>
        <v>7087.68</v>
      </c>
      <c r="D13" s="0" t="n">
        <f aca="false">D11+D12</f>
        <v>7583.8176</v>
      </c>
      <c r="E13" s="0" t="n">
        <f aca="false">E11+E12</f>
        <v>8076.765744</v>
      </c>
      <c r="F13" s="0" t="n">
        <f aca="false">F11+F12</f>
        <v>8561.37168864</v>
      </c>
      <c r="G13" s="0" t="n">
        <f aca="false">G11+G12</f>
        <v>9032.2471315152</v>
      </c>
      <c r="H13" s="0" t="n">
        <f aca="false">H11+H12</f>
        <v>9483.85948809096</v>
      </c>
      <c r="I13" s="0" t="n">
        <f aca="false">I11+I12</f>
        <v>9910.63316505505</v>
      </c>
      <c r="J13" s="0" t="n">
        <f aca="false">J11+J12</f>
        <v>10307.0584916573</v>
      </c>
      <c r="K13" s="0" t="n">
        <f aca="false">K11+K12</f>
        <v>10667.8055388653</v>
      </c>
      <c r="L13" s="0" t="n">
        <f aca="false">L11+L12</f>
        <v>11041.1787327255</v>
      </c>
    </row>
    <row r="14" customFormat="false" ht="15" hidden="false" customHeight="false" outlineLevel="0" collapsed="false">
      <c r="A14" s="0" t="s">
        <v>103</v>
      </c>
      <c r="C14" s="4" t="n">
        <f aca="false">Assumptions!C33</f>
        <v>0</v>
      </c>
      <c r="D14" s="4" t="n">
        <f aca="false">Assumptions!D33</f>
        <v>0</v>
      </c>
      <c r="E14" s="4" t="n">
        <f aca="false">Assumptions!E33</f>
        <v>0</v>
      </c>
      <c r="F14" s="4" t="n">
        <f aca="false">Assumptions!F33</f>
        <v>0</v>
      </c>
      <c r="G14" s="4" t="n">
        <f aca="false">Assumptions!G33</f>
        <v>0</v>
      </c>
      <c r="H14" s="4" t="n">
        <f aca="false">Assumptions!H33</f>
        <v>0</v>
      </c>
      <c r="I14" s="4" t="n">
        <f aca="false">Assumptions!I33</f>
        <v>0</v>
      </c>
      <c r="J14" s="4" t="n">
        <f aca="false">Assumptions!J33</f>
        <v>0</v>
      </c>
      <c r="K14" s="4" t="n">
        <f aca="false">Assumptions!K33</f>
        <v>0</v>
      </c>
      <c r="L14" s="4" t="n">
        <f aca="false">Assumptions!L33</f>
        <v>0</v>
      </c>
    </row>
    <row r="15" customFormat="false" ht="15" hidden="false" customHeight="false" outlineLevel="0" collapsed="false">
      <c r="A15" s="0" t="s">
        <v>118</v>
      </c>
      <c r="C15" s="0" t="n">
        <f aca="false">C13-MAX(0,C13)*C14/100</f>
        <v>7087.68</v>
      </c>
      <c r="D15" s="0" t="n">
        <f aca="false">D13-MAX(0,D13)*D14/100</f>
        <v>7583.8176</v>
      </c>
      <c r="E15" s="0" t="n">
        <f aca="false">E13-MAX(0,E13)*E14/100</f>
        <v>8076.765744</v>
      </c>
      <c r="F15" s="0" t="n">
        <f aca="false">F13-MAX(0,F13)*F14/100</f>
        <v>8561.37168864</v>
      </c>
      <c r="G15" s="0" t="n">
        <f aca="false">G13-MAX(0,G13)*G14/100</f>
        <v>9032.2471315152</v>
      </c>
      <c r="H15" s="0" t="n">
        <f aca="false">H13-MAX(0,H13)*H14/100</f>
        <v>9483.85948809096</v>
      </c>
      <c r="I15" s="0" t="n">
        <f aca="false">I13-MAX(0,I13)*I14/100</f>
        <v>9910.63316505505</v>
      </c>
      <c r="J15" s="0" t="n">
        <f aca="false">J13-MAX(0,J13)*J14/100</f>
        <v>10307.0584916573</v>
      </c>
      <c r="K15" s="0" t="n">
        <f aca="false">K13-MAX(0,K13)*K14/100</f>
        <v>10667.8055388653</v>
      </c>
      <c r="L15" s="0" t="n">
        <f aca="false">L13-MAX(0,L13)*L14/100</f>
        <v>11041.1787327255</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-C6*Assumptions!C32/100</f>
        <v>-2003.04</v>
      </c>
      <c r="D17" s="4" t="n">
        <f aca="false">-D6*Assumptions!D32/100</f>
        <v>-2143.2528</v>
      </c>
      <c r="E17" s="4" t="n">
        <f aca="false">-E6*Assumptions!E32/100</f>
        <v>-2194.7733</v>
      </c>
      <c r="F17" s="4" t="n">
        <f aca="false">-F6*Assumptions!F32/100</f>
        <v>-2233.40131008</v>
      </c>
      <c r="G17" s="4" t="n">
        <f aca="false">-G6*Assumptions!G32/100</f>
        <v>-2258.0617828788</v>
      </c>
      <c r="H17" s="4" t="n">
        <f aca="false">-H6*Assumptions!H32/100</f>
        <v>-2164.79401358598</v>
      </c>
      <c r="I17" s="4" t="n">
        <f aca="false">-I6*Assumptions!I32/100</f>
        <v>-2154.48547066414</v>
      </c>
      <c r="J17" s="4" t="n">
        <f aca="false">-J6*Assumptions!J32/100</f>
        <v>-2128.63164501617</v>
      </c>
      <c r="K17" s="4" t="n">
        <f aca="false">-K6*Assumptions!K32/100</f>
        <v>-2087.17934456059</v>
      </c>
      <c r="L17" s="4" t="n">
        <f aca="false">-L6*Assumptions!L32/100</f>
        <v>-2040.21780930798</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5084.64</v>
      </c>
      <c r="D19" s="0" t="n">
        <f aca="false">D15+D16+D17+D18</f>
        <v>5440.5648</v>
      </c>
      <c r="E19" s="0" t="n">
        <f aca="false">E15+E16+E17+E18</f>
        <v>5881.992444</v>
      </c>
      <c r="F19" s="0" t="n">
        <f aca="false">F15+F16+F17+F18</f>
        <v>6327.97037856</v>
      </c>
      <c r="G19" s="0" t="n">
        <f aca="false">G15+G16+G17+G18</f>
        <v>6774.1853486364</v>
      </c>
      <c r="H19" s="0" t="n">
        <f aca="false">H15+H16+H17+H18</f>
        <v>7319.06547450498</v>
      </c>
      <c r="I19" s="0" t="n">
        <f aca="false">I15+I16+I17+I18</f>
        <v>7756.14769439091</v>
      </c>
      <c r="J19" s="0" t="n">
        <f aca="false">J15+J16+J17+J18</f>
        <v>8178.42684664108</v>
      </c>
      <c r="K19" s="0" t="n">
        <f aca="false">K15+K16+K17+K18</f>
        <v>8580.62619430466</v>
      </c>
      <c r="L19" s="0" t="n">
        <f aca="false">L15+L16+L17+L18</f>
        <v>9000.96092341756</v>
      </c>
    </row>
    <row r="20" customFormat="false" ht="15" hidden="false" customHeight="false" outlineLevel="0" collapsed="false">
      <c r="A20" s="0" t="s">
        <v>123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124</v>
      </c>
      <c r="C21" s="0" t="n">
        <f aca="false">C19*C20</f>
        <v>4622.4</v>
      </c>
      <c r="D21" s="0" t="n">
        <f aca="false">D19*D20</f>
        <v>4496.33454545455</v>
      </c>
      <c r="E21" s="0" t="n">
        <f aca="false">E19*E20</f>
        <v>4419.22798196844</v>
      </c>
      <c r="F21" s="0" t="n">
        <f aca="false">F19*F20</f>
        <v>4322.08891370808</v>
      </c>
      <c r="G21" s="0" t="n">
        <f aca="false">G19*G20</f>
        <v>4206.23612932326</v>
      </c>
      <c r="H21" s="0" t="n">
        <f aca="false">H19*H20</f>
        <v>4131.42165271474</v>
      </c>
      <c r="I21" s="0" t="n">
        <f aca="false">I19*I20</f>
        <v>3980.13015557307</v>
      </c>
      <c r="J21" s="0" t="n">
        <f aca="false">J19*J20</f>
        <v>3815.29648246348</v>
      </c>
      <c r="K21" s="0" t="n">
        <f aca="false">K19*K20</f>
        <v>3639.02313314916</v>
      </c>
      <c r="L21" s="0" t="n">
        <f aca="false">L19*L20</f>
        <v>3470.26008244108</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10</v>
      </c>
    </row>
    <row r="28" customFormat="false" ht="15" hidden="false" customHeight="false" outlineLevel="0" collapsed="false">
      <c r="A28" s="0" t="s">
        <v>105</v>
      </c>
      <c r="B28" s="4" t="n">
        <f aca="false">Assumptions!$B$35</f>
        <v>3</v>
      </c>
    </row>
    <row r="29" customFormat="false" ht="15" hidden="false" customHeight="false" outlineLevel="0" collapsed="false">
      <c r="A29" s="0" t="s">
        <v>106</v>
      </c>
      <c r="B29" s="4" t="n">
        <f aca="false">Assumptions!$B$36</f>
        <v>15</v>
      </c>
    </row>
    <row r="30" customFormat="false" ht="15" hidden="false" customHeight="false" outlineLevel="0" collapsed="false">
      <c r="A30" s="0" t="s">
        <v>127</v>
      </c>
      <c r="B30" s="0" t="n">
        <f aca="false">SUM(C21:L21)</f>
        <v>41102.4190767959</v>
      </c>
    </row>
    <row r="31" customFormat="false" ht="15" hidden="false" customHeight="false" outlineLevel="0" collapsed="false">
      <c r="A31" s="0" t="s">
        <v>128</v>
      </c>
      <c r="B31" s="0" t="n">
        <f aca="false">L19</f>
        <v>9000.96092341756</v>
      </c>
    </row>
    <row r="32" customFormat="false" ht="15" hidden="false" customHeight="false" outlineLevel="0" collapsed="false">
      <c r="A32" s="0" t="s">
        <v>129</v>
      </c>
      <c r="B32" s="0" t="n">
        <f aca="false">IF(B27&gt;B28,B31*(1+B28/100)/((B27-B28)/100),B31*B29)</f>
        <v>132442.710730287</v>
      </c>
    </row>
    <row r="33" customFormat="false" ht="15" hidden="false" customHeight="false" outlineLevel="0" collapsed="false">
      <c r="A33" s="0" t="s">
        <v>130</v>
      </c>
      <c r="B33" s="0" t="n">
        <f aca="false">B31*B29</f>
        <v>135014.413851263</v>
      </c>
    </row>
    <row r="34" customFormat="false" ht="15" hidden="false" customHeight="false" outlineLevel="0" collapsed="false">
      <c r="A34" s="0" t="s">
        <v>131</v>
      </c>
      <c r="B34" s="0" t="n">
        <f aca="false">MAX(0,MIN(B32,B33))</f>
        <v>132442.710730287</v>
      </c>
    </row>
    <row r="35" customFormat="false" ht="15" hidden="false" customHeight="false" outlineLevel="0" collapsed="false">
      <c r="A35" s="0" t="s">
        <v>132</v>
      </c>
      <c r="B35" s="0" t="n">
        <f aca="false">B34/(1+B27/100)^L4</f>
        <v>51062.3983559187</v>
      </c>
    </row>
    <row r="36" customFormat="false" ht="15" hidden="false" customHeight="false" outlineLevel="0" collapsed="false">
      <c r="A36" s="0" t="s">
        <v>133</v>
      </c>
      <c r="B36" s="0" t="n">
        <f aca="false">B30+B35</f>
        <v>92164.8174327146</v>
      </c>
    </row>
    <row r="37" customFormat="false" ht="15" hidden="false" customHeight="false" outlineLevel="0" collapsed="false">
      <c r="A37" s="0" t="s">
        <v>134</v>
      </c>
      <c r="B37" s="0" t="n">
        <f aca="false">B36+Assumptions!$B$5-Assumptions!$B$4</f>
        <v>92164.8174327146</v>
      </c>
    </row>
    <row r="38" customFormat="false" ht="15" hidden="false" customHeight="false" outlineLevel="0" collapsed="false">
      <c r="A38" s="0" t="s">
        <v>135</v>
      </c>
      <c r="B38" s="0" t="n">
        <f aca="false">B37/Assumptions!$B$3*Assumptions!$B$10</f>
        <v>38.5062412833467</v>
      </c>
    </row>
    <row r="39" customFormat="false" ht="15" hidden="false" customHeight="false" outlineLevel="0" collapsed="false">
      <c r="A39" s="0" t="s">
        <v>136</v>
      </c>
      <c r="B39" s="4" t="n">
        <f aca="false">B38/Assumptions!$B$2-1</f>
        <v>-0.103045858762016</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38.5062412833467</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77258.2479260007</v>
      </c>
    </row>
    <row r="47" customFormat="false" ht="15" hidden="false" customHeight="false" outlineLevel="0" collapsed="false">
      <c r="A47" s="0" t="s">
        <v>141</v>
      </c>
      <c r="B47" s="0" t="n">
        <f aca="false">(SUMPRODUCT(C19:L19/(1+B45/100)^C4:L4)+B46/(1+B45/100)^L4+Assumptions!$B$5-Assumptions!$B$4)/Assumptions!$B$3*Assumptions!$B$10</f>
        <v>21.6851550829786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73</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10</v>
      </c>
      <c r="D5" s="4" t="n">
        <f aca="false">Assumptions!D41</f>
        <v>10</v>
      </c>
      <c r="E5" s="4" t="n">
        <f aca="false">Assumptions!E41</f>
        <v>9</v>
      </c>
      <c r="F5" s="4" t="n">
        <f aca="false">Assumptions!F41</f>
        <v>9</v>
      </c>
      <c r="G5" s="4" t="n">
        <f aca="false">Assumptions!G41</f>
        <v>8</v>
      </c>
      <c r="H5" s="4" t="n">
        <f aca="false">Assumptions!H41</f>
        <v>7</v>
      </c>
      <c r="I5" s="4" t="n">
        <f aca="false">Assumptions!I41</f>
        <v>6</v>
      </c>
      <c r="J5" s="4" t="n">
        <f aca="false">Assumptions!J41</f>
        <v>5</v>
      </c>
      <c r="K5" s="4" t="n">
        <f aca="false">Assumptions!K41</f>
        <v>4.5</v>
      </c>
      <c r="L5" s="4" t="n">
        <f aca="false">Assumptions!L41</f>
        <v>4</v>
      </c>
    </row>
    <row r="6" customFormat="false" ht="15" hidden="false" customHeight="false" outlineLevel="0" collapsed="false">
      <c r="A6" s="0" t="s">
        <v>38</v>
      </c>
      <c r="B6" s="3" t="n">
        <v>7200</v>
      </c>
      <c r="C6" s="0" t="n">
        <f aca="false">B6*(1+C5/100)</f>
        <v>7920</v>
      </c>
      <c r="D6" s="0" t="n">
        <f aca="false">C6*(1+D5/100)</f>
        <v>8712</v>
      </c>
      <c r="E6" s="0" t="n">
        <f aca="false">D6*(1+E5/100)</f>
        <v>9496.08</v>
      </c>
      <c r="F6" s="0" t="n">
        <f aca="false">E6*(1+F5/100)</f>
        <v>10350.7272</v>
      </c>
      <c r="G6" s="0" t="n">
        <f aca="false">F6*(1+G5/100)</f>
        <v>11178.785376</v>
      </c>
      <c r="H6" s="0" t="n">
        <f aca="false">G6*(1+H5/100)</f>
        <v>11961.30035232</v>
      </c>
      <c r="I6" s="0" t="n">
        <f aca="false">H6*(1+I5/100)</f>
        <v>12678.9783734592</v>
      </c>
      <c r="J6" s="0" t="n">
        <f aca="false">I6*(1+J5/100)</f>
        <v>13312.9272921322</v>
      </c>
      <c r="K6" s="0" t="n">
        <f aca="false">J6*(1+K5/100)</f>
        <v>13912.0090202781</v>
      </c>
      <c r="L6" s="0" t="n">
        <f aca="false">K6*(1+L5/100)</f>
        <v>14468.4893810892</v>
      </c>
    </row>
    <row r="7" customFormat="false" ht="15" hidden="false" customHeight="false" outlineLevel="0" collapsed="false">
      <c r="A7" s="0" t="s">
        <v>98</v>
      </c>
      <c r="C7" s="4" t="n">
        <f aca="false">Assumptions!C42</f>
        <v>96</v>
      </c>
      <c r="D7" s="4" t="n">
        <f aca="false">Assumptions!D42</f>
        <v>96</v>
      </c>
      <c r="E7" s="4" t="n">
        <f aca="false">Assumptions!E42</f>
        <v>96</v>
      </c>
      <c r="F7" s="4" t="n">
        <f aca="false">Assumptions!F42</f>
        <v>96</v>
      </c>
      <c r="G7" s="4" t="n">
        <f aca="false">Assumptions!G42</f>
        <v>96</v>
      </c>
      <c r="H7" s="4" t="n">
        <f aca="false">Assumptions!H42</f>
        <v>96</v>
      </c>
      <c r="I7" s="4" t="n">
        <f aca="false">Assumptions!I42</f>
        <v>96</v>
      </c>
      <c r="J7" s="4" t="n">
        <f aca="false">Assumptions!J42</f>
        <v>96</v>
      </c>
      <c r="K7" s="4" t="n">
        <f aca="false">Assumptions!K42</f>
        <v>96</v>
      </c>
      <c r="L7" s="4" t="n">
        <f aca="false">Assumptions!L42</f>
        <v>96</v>
      </c>
    </row>
    <row r="8" customFormat="false" ht="15" hidden="false" customHeight="false" outlineLevel="0" collapsed="false">
      <c r="A8" s="0" t="s">
        <v>44</v>
      </c>
      <c r="C8" s="0" t="n">
        <f aca="false">C6*C7/100</f>
        <v>7603.2</v>
      </c>
      <c r="D8" s="0" t="n">
        <f aca="false">D6*D7/100</f>
        <v>8363.52</v>
      </c>
      <c r="E8" s="0" t="n">
        <f aca="false">E6*E7/100</f>
        <v>9116.2368</v>
      </c>
      <c r="F8" s="0" t="n">
        <f aca="false">F6*F7/100</f>
        <v>9936.69811200001</v>
      </c>
      <c r="G8" s="0" t="n">
        <f aca="false">G6*G7/100</f>
        <v>10731.63396096</v>
      </c>
      <c r="H8" s="0" t="n">
        <f aca="false">H6*H7/100</f>
        <v>11482.8483382272</v>
      </c>
      <c r="I8" s="0" t="n">
        <f aca="false">I6*I7/100</f>
        <v>12171.8192385208</v>
      </c>
      <c r="J8" s="0" t="n">
        <f aca="false">J6*J7/100</f>
        <v>12780.4102004469</v>
      </c>
      <c r="K8" s="0" t="n">
        <f aca="false">K6*K7/100</f>
        <v>13355.528659467</v>
      </c>
      <c r="L8" s="0" t="n">
        <f aca="false">L6*L7/100</f>
        <v>13889.7498058457</v>
      </c>
    </row>
    <row r="9" customFormat="false" ht="15" hidden="false" customHeight="false" outlineLevel="0" collapsed="false">
      <c r="A9" s="0" t="s">
        <v>99</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114</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115</v>
      </c>
      <c r="C11" s="0" t="n">
        <f aca="false">C8+C10+C24</f>
        <v>7603.2</v>
      </c>
      <c r="D11" s="0" t="n">
        <f aca="false">D8+D10+D24</f>
        <v>8363.52</v>
      </c>
      <c r="E11" s="0" t="n">
        <f aca="false">E8+E10+E24</f>
        <v>9116.2368</v>
      </c>
      <c r="F11" s="0" t="n">
        <f aca="false">F8+F10+F24</f>
        <v>9936.69811200001</v>
      </c>
      <c r="G11" s="0" t="n">
        <f aca="false">G8+G10+G24</f>
        <v>10731.63396096</v>
      </c>
      <c r="H11" s="0" t="n">
        <f aca="false">H8+H10+H24</f>
        <v>11482.8483382272</v>
      </c>
      <c r="I11" s="0" t="n">
        <f aca="false">I8+I10+I24</f>
        <v>12171.8192385208</v>
      </c>
      <c r="J11" s="0" t="n">
        <f aca="false">J8+J10+J24</f>
        <v>12780.4102004469</v>
      </c>
      <c r="K11" s="0" t="n">
        <f aca="false">K8+K10+K24</f>
        <v>13355.528659467</v>
      </c>
      <c r="L11" s="0" t="n">
        <f aca="false">L8+L10+L24</f>
        <v>13889.7498058457</v>
      </c>
    </row>
    <row r="12" customFormat="false" ht="15" hidden="false" customHeight="false" outlineLevel="0" collapsed="false">
      <c r="A12" s="0" t="s">
        <v>116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117</v>
      </c>
      <c r="C13" s="0" t="n">
        <f aca="false">C11+C12</f>
        <v>7603.2</v>
      </c>
      <c r="D13" s="0" t="n">
        <f aca="false">D11+D12</f>
        <v>8363.52</v>
      </c>
      <c r="E13" s="0" t="n">
        <f aca="false">E11+E12</f>
        <v>9116.2368</v>
      </c>
      <c r="F13" s="0" t="n">
        <f aca="false">F11+F12</f>
        <v>9936.69811200001</v>
      </c>
      <c r="G13" s="0" t="n">
        <f aca="false">G11+G12</f>
        <v>10731.63396096</v>
      </c>
      <c r="H13" s="0" t="n">
        <f aca="false">H11+H12</f>
        <v>11482.8483382272</v>
      </c>
      <c r="I13" s="0" t="n">
        <f aca="false">I11+I12</f>
        <v>12171.8192385208</v>
      </c>
      <c r="J13" s="0" t="n">
        <f aca="false">J11+J12</f>
        <v>12780.4102004469</v>
      </c>
      <c r="K13" s="0" t="n">
        <f aca="false">K11+K12</f>
        <v>13355.528659467</v>
      </c>
      <c r="L13" s="0" t="n">
        <f aca="false">L11+L12</f>
        <v>13889.7498058457</v>
      </c>
    </row>
    <row r="14" customFormat="false" ht="15" hidden="false" customHeight="false" outlineLevel="0" collapsed="false">
      <c r="A14" s="0" t="s">
        <v>103</v>
      </c>
      <c r="C14" s="4" t="n">
        <f aca="false">Assumptions!C47</f>
        <v>0</v>
      </c>
      <c r="D14" s="4" t="n">
        <f aca="false">Assumptions!D47</f>
        <v>0</v>
      </c>
      <c r="E14" s="4" t="n">
        <f aca="false">Assumptions!E47</f>
        <v>0</v>
      </c>
      <c r="F14" s="4" t="n">
        <f aca="false">Assumptions!F47</f>
        <v>0</v>
      </c>
      <c r="G14" s="4" t="n">
        <f aca="false">Assumptions!G47</f>
        <v>0</v>
      </c>
      <c r="H14" s="4" t="n">
        <f aca="false">Assumptions!H47</f>
        <v>0</v>
      </c>
      <c r="I14" s="4" t="n">
        <f aca="false">Assumptions!I47</f>
        <v>0</v>
      </c>
      <c r="J14" s="4" t="n">
        <f aca="false">Assumptions!J47</f>
        <v>0</v>
      </c>
      <c r="K14" s="4" t="n">
        <f aca="false">Assumptions!K47</f>
        <v>0</v>
      </c>
      <c r="L14" s="4" t="n">
        <f aca="false">Assumptions!L47</f>
        <v>0</v>
      </c>
    </row>
    <row r="15" customFormat="false" ht="15" hidden="false" customHeight="false" outlineLevel="0" collapsed="false">
      <c r="A15" s="0" t="s">
        <v>118</v>
      </c>
      <c r="C15" s="0" t="n">
        <f aca="false">C13-MAX(0,C13)*C14/100</f>
        <v>7603.2</v>
      </c>
      <c r="D15" s="0" t="n">
        <f aca="false">D13-MAX(0,D13)*D14/100</f>
        <v>8363.52</v>
      </c>
      <c r="E15" s="0" t="n">
        <f aca="false">E13-MAX(0,E13)*E14/100</f>
        <v>9116.2368</v>
      </c>
      <c r="F15" s="0" t="n">
        <f aca="false">F13-MAX(0,F13)*F14/100</f>
        <v>9936.69811200001</v>
      </c>
      <c r="G15" s="0" t="n">
        <f aca="false">G13-MAX(0,G13)*G14/100</f>
        <v>10731.63396096</v>
      </c>
      <c r="H15" s="0" t="n">
        <f aca="false">H13-MAX(0,H13)*H14/100</f>
        <v>11482.8483382272</v>
      </c>
      <c r="I15" s="0" t="n">
        <f aca="false">I13-MAX(0,I13)*I14/100</f>
        <v>12171.8192385208</v>
      </c>
      <c r="J15" s="0" t="n">
        <f aca="false">J13-MAX(0,J13)*J14/100</f>
        <v>12780.4102004469</v>
      </c>
      <c r="K15" s="0" t="n">
        <f aca="false">K13-MAX(0,K13)*K14/100</f>
        <v>13355.528659467</v>
      </c>
      <c r="L15" s="0" t="n">
        <f aca="false">L13-MAX(0,L13)*L14/100</f>
        <v>13889.7498058457</v>
      </c>
    </row>
    <row r="16" customFormat="false" ht="15" hidden="false" customHeight="false" outlineLevel="0" collapsed="false">
      <c r="A16" s="0" t="s">
        <v>119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120</v>
      </c>
      <c r="C17" s="4" t="n">
        <f aca="false">-C6*Assumptions!C46/100</f>
        <v>-1900.8</v>
      </c>
      <c r="D17" s="4" t="n">
        <f aca="false">-D6*Assumptions!D46/100</f>
        <v>-2090.88</v>
      </c>
      <c r="E17" s="4" t="n">
        <f aca="false">-E6*Assumptions!E46/100</f>
        <v>-2184.0984</v>
      </c>
      <c r="F17" s="4" t="n">
        <f aca="false">-F6*Assumptions!F46/100</f>
        <v>-2277.159984</v>
      </c>
      <c r="G17" s="4" t="n">
        <f aca="false">-G6*Assumptions!G46/100</f>
        <v>-2347.54492896</v>
      </c>
      <c r="H17" s="4" t="n">
        <f aca="false">-H6*Assumptions!H46/100</f>
        <v>-2392.260070464</v>
      </c>
      <c r="I17" s="4" t="n">
        <f aca="false">-I6*Assumptions!I46/100</f>
        <v>-2409.00589095725</v>
      </c>
      <c r="J17" s="4" t="n">
        <f aca="false">-J6*Assumptions!J46/100</f>
        <v>-2396.32691258379</v>
      </c>
      <c r="K17" s="4" t="n">
        <f aca="false">-K6*Assumptions!K46/100</f>
        <v>-2365.04153344728</v>
      </c>
      <c r="L17" s="4" t="n">
        <f aca="false">-L6*Assumptions!L46/100</f>
        <v>-2459.64319478517</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5702.4</v>
      </c>
      <c r="D19" s="0" t="n">
        <f aca="false">D15+D16+D17+D18</f>
        <v>6272.64</v>
      </c>
      <c r="E19" s="0" t="n">
        <f aca="false">E15+E16+E17+E18</f>
        <v>6932.1384</v>
      </c>
      <c r="F19" s="0" t="n">
        <f aca="false">F15+F16+F17+F18</f>
        <v>7659.53812800001</v>
      </c>
      <c r="G19" s="0" t="n">
        <f aca="false">G15+G16+G17+G18</f>
        <v>8384.089032</v>
      </c>
      <c r="H19" s="0" t="n">
        <f aca="false">H15+H16+H17+H18</f>
        <v>9090.58826776321</v>
      </c>
      <c r="I19" s="0" t="n">
        <f aca="false">I15+I16+I17+I18</f>
        <v>9762.81334756359</v>
      </c>
      <c r="J19" s="0" t="n">
        <f aca="false">J15+J16+J17+J18</f>
        <v>10384.0832878631</v>
      </c>
      <c r="K19" s="0" t="n">
        <f aca="false">K15+K16+K17+K18</f>
        <v>10990.4871260197</v>
      </c>
      <c r="L19" s="0" t="n">
        <f aca="false">L15+L16+L17+L18</f>
        <v>11430.1066110605</v>
      </c>
    </row>
    <row r="20" customFormat="false" ht="15" hidden="false" customHeight="false" outlineLevel="0" collapsed="false">
      <c r="A20" s="0" t="s">
        <v>123</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124</v>
      </c>
      <c r="C21" s="0" t="n">
        <f aca="false">C19*C20</f>
        <v>5184</v>
      </c>
      <c r="D21" s="0" t="n">
        <f aca="false">D19*D20</f>
        <v>5184</v>
      </c>
      <c r="E21" s="0" t="n">
        <f aca="false">E19*E20</f>
        <v>5208.21818181818</v>
      </c>
      <c r="F21" s="0" t="n">
        <f aca="false">F19*F20</f>
        <v>5231.56760330579</v>
      </c>
      <c r="G21" s="0" t="n">
        <f aca="false">G19*G20</f>
        <v>5205.85965439519</v>
      </c>
      <c r="H21" s="0" t="n">
        <f aca="false">H19*H20</f>
        <v>5131.40008600506</v>
      </c>
      <c r="I21" s="0" t="n">
        <f aca="false">I19*I20</f>
        <v>5009.86692607336</v>
      </c>
      <c r="J21" s="0" t="n">
        <f aca="false">J19*J20</f>
        <v>4844.25149050068</v>
      </c>
      <c r="K21" s="0" t="n">
        <f aca="false">K19*K20</f>
        <v>4661.03941489841</v>
      </c>
      <c r="L21" s="0" t="n">
        <f aca="false">L19*L20</f>
        <v>4406.8009013585</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10</v>
      </c>
    </row>
    <row r="28" customFormat="false" ht="15" hidden="false" customHeight="false" outlineLevel="0" collapsed="false">
      <c r="A28" s="0" t="s">
        <v>105</v>
      </c>
      <c r="B28" s="4" t="n">
        <f aca="false">Assumptions!$B$49</f>
        <v>3.5</v>
      </c>
    </row>
    <row r="29" customFormat="false" ht="15" hidden="false" customHeight="false" outlineLevel="0" collapsed="false">
      <c r="A29" s="0" t="s">
        <v>106</v>
      </c>
      <c r="B29" s="4" t="n">
        <f aca="false">Assumptions!$B$50</f>
        <v>15</v>
      </c>
    </row>
    <row r="30" customFormat="false" ht="15" hidden="false" customHeight="false" outlineLevel="0" collapsed="false">
      <c r="A30" s="0" t="s">
        <v>127</v>
      </c>
      <c r="B30" s="0" t="n">
        <f aca="false">SUM(C21:L21)</f>
        <v>50067.0042583552</v>
      </c>
    </row>
    <row r="31" customFormat="false" ht="15" hidden="false" customHeight="false" outlineLevel="0" collapsed="false">
      <c r="A31" s="0" t="s">
        <v>128</v>
      </c>
      <c r="B31" s="0" t="n">
        <f aca="false">L19</f>
        <v>11430.1066110605</v>
      </c>
    </row>
    <row r="32" customFormat="false" ht="15" hidden="false" customHeight="false" outlineLevel="0" collapsed="false">
      <c r="A32" s="0" t="s">
        <v>129</v>
      </c>
      <c r="B32" s="0" t="n">
        <f aca="false">IF(B27&gt;B28,B31*(1+B28/100)/((B27-B28)/100),B31*B29)</f>
        <v>182002.466806886</v>
      </c>
    </row>
    <row r="33" customFormat="false" ht="15" hidden="false" customHeight="false" outlineLevel="0" collapsed="false">
      <c r="A33" s="0" t="s">
        <v>130</v>
      </c>
      <c r="B33" s="0" t="n">
        <f aca="false">B31*B29</f>
        <v>171451.599165907</v>
      </c>
    </row>
    <row r="34" customFormat="false" ht="15" hidden="false" customHeight="false" outlineLevel="0" collapsed="false">
      <c r="A34" s="0" t="s">
        <v>131</v>
      </c>
      <c r="B34" s="0" t="n">
        <f aca="false">MAX(0,MIN(B32,B33))</f>
        <v>171451.599165907</v>
      </c>
    </row>
    <row r="35" customFormat="false" ht="15" hidden="false" customHeight="false" outlineLevel="0" collapsed="false">
      <c r="A35" s="0" t="s">
        <v>132</v>
      </c>
      <c r="B35" s="0" t="n">
        <f aca="false">B34/(1+B27/100)^L4</f>
        <v>66102.0135203775</v>
      </c>
    </row>
    <row r="36" customFormat="false" ht="15" hidden="false" customHeight="false" outlineLevel="0" collapsed="false">
      <c r="A36" s="0" t="s">
        <v>133</v>
      </c>
      <c r="B36" s="0" t="n">
        <f aca="false">B30+B35</f>
        <v>116169.017778733</v>
      </c>
    </row>
    <row r="37" customFormat="false" ht="15" hidden="false" customHeight="false" outlineLevel="0" collapsed="false">
      <c r="A37" s="0" t="s">
        <v>134</v>
      </c>
      <c r="B37" s="0" t="n">
        <f aca="false">B36+Assumptions!$B$5-Assumptions!$B$4</f>
        <v>116169.017778733</v>
      </c>
    </row>
    <row r="38" customFormat="false" ht="15" hidden="false" customHeight="false" outlineLevel="0" collapsed="false">
      <c r="A38" s="0" t="s">
        <v>135</v>
      </c>
      <c r="B38" s="0" t="n">
        <f aca="false">B37/Assumptions!$B$3*Assumptions!$B$10</f>
        <v>48.535139035055</v>
      </c>
    </row>
    <row r="39" customFormat="false" ht="15" hidden="false" customHeight="false" outlineLevel="0" collapsed="false">
      <c r="A39" s="0" t="s">
        <v>136</v>
      </c>
      <c r="B39" s="4" t="n">
        <f aca="false">B38/Assumptions!$B$2-1</f>
        <v>0.130564617634638</v>
      </c>
    </row>
    <row r="41" customFormat="false" ht="15" hidden="false" customHeight="false" outlineLevel="0" collapsed="false">
      <c r="A41" s="0" t="s">
        <v>137</v>
      </c>
      <c r="B41" s="0" t="n">
        <f aca="false">SUMPRODUCT(-C10:L10/(1+$B$27/100)^C4:L4)</f>
        <v>0</v>
      </c>
    </row>
    <row r="42" customFormat="false" ht="15" hidden="false" customHeight="false" outlineLevel="0" collapsed="false">
      <c r="A42" s="0" t="s">
        <v>138</v>
      </c>
      <c r="B42" s="0" t="n">
        <f aca="false">IF(B27&gt;B28,-L10*(1+B28/100)/((B27-B28)/100),-L10*20)/(1+B27/100)^L4</f>
        <v>0</v>
      </c>
    </row>
    <row r="43" customFormat="false" ht="15" hidden="false" customHeight="false" outlineLevel="0" collapsed="false">
      <c r="A43" s="0" t="s">
        <v>139</v>
      </c>
      <c r="B43" s="0" t="n">
        <f aca="false">(B37+B41+B42)/Assumptions!$B$3*Assumptions!$B$10</f>
        <v>48.535139035055</v>
      </c>
    </row>
    <row r="45" customFormat="false" ht="15" hidden="false" customHeight="false" outlineLevel="0" collapsed="false">
      <c r="A45" s="0" t="s">
        <v>80</v>
      </c>
      <c r="B45" s="4" t="n">
        <f aca="false">Assumptions!$B$6</f>
        <v>15</v>
      </c>
    </row>
    <row r="46" customFormat="false" ht="15" hidden="false" customHeight="false" outlineLevel="0" collapsed="false">
      <c r="A46" s="0" t="s">
        <v>140</v>
      </c>
      <c r="B46" s="0" t="n">
        <f aca="false">MAX(0,MIN(IF(B45&gt;B28,B31*(1+B28/100)/((B45-B28)/100),B31*B29),B31*B29))</f>
        <v>102870.959499544</v>
      </c>
    </row>
    <row r="47" customFormat="false" ht="15" hidden="false" customHeight="false" outlineLevel="0" collapsed="false">
      <c r="A47" s="0" t="s">
        <v>141</v>
      </c>
      <c r="B47" s="0" t="n">
        <f aca="false">(SUMPRODUCT(C19:L19/(1+B45/100)^C4:L4)+B46/(1+B45/100)^L4+Assumptions!$B$5-Assumptions!$B$4)/Assumptions!$B$3*Assumptions!$B$10</f>
        <v>27.2320101277559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26.9747197590436</v>
      </c>
      <c r="C4" s="0" t="n">
        <f aca="false">B4/Assumptions!$B$2-1</f>
        <v>-0.371658053597866</v>
      </c>
      <c r="D4" s="4" t="n">
        <f aca="false">Assumptions!$B$24</f>
        <v>0.25</v>
      </c>
      <c r="E4" s="4" t="n">
        <f aca="false">DCF_Bear!$B$43</f>
        <v>26.9747197590436</v>
      </c>
      <c r="F4" s="4" t="n">
        <f aca="false">DCF_Bear!$B$47</f>
        <v>16.0801404658076</v>
      </c>
    </row>
    <row r="5" customFormat="false" ht="15" hidden="false" customHeight="false" outlineLevel="0" collapsed="false">
      <c r="A5" s="0" t="s">
        <v>150</v>
      </c>
      <c r="B5" s="4" t="n">
        <f aca="false">DCF_Base!$B$38</f>
        <v>38.5062412833467</v>
      </c>
      <c r="C5" s="0" t="n">
        <f aca="false">B5/Assumptions!$B$2-1</f>
        <v>-0.103045858762016</v>
      </c>
      <c r="D5" s="4" t="n">
        <f aca="false">Assumptions!$B$38</f>
        <v>0.5</v>
      </c>
      <c r="E5" s="4" t="n">
        <f aca="false">DCF_Base!$B$43</f>
        <v>38.5062412833467</v>
      </c>
      <c r="F5" s="4" t="n">
        <f aca="false">DCF_Base!$B$47</f>
        <v>21.6851550829786</v>
      </c>
    </row>
    <row r="6" customFormat="false" ht="15" hidden="false" customHeight="false" outlineLevel="0" collapsed="false">
      <c r="A6" s="0" t="s">
        <v>151</v>
      </c>
      <c r="B6" s="4" t="n">
        <f aca="false">DCF_Bull!$B$38</f>
        <v>48.535139035055</v>
      </c>
      <c r="C6" s="0" t="n">
        <f aca="false">B6/Assumptions!$B$2-1</f>
        <v>0.130564617634638</v>
      </c>
      <c r="D6" s="4" t="n">
        <f aca="false">Assumptions!$B$52</f>
        <v>0.25</v>
      </c>
      <c r="E6" s="4" t="n">
        <f aca="false">DCF_Bull!$B$43</f>
        <v>48.535139035055</v>
      </c>
      <c r="F6" s="4" t="n">
        <f aca="false">DCF_Bull!$B$47</f>
        <v>27.2320101277559</v>
      </c>
    </row>
    <row r="8" customFormat="false" ht="15" hidden="false" customHeight="false" outlineLevel="0" collapsed="false">
      <c r="A8" s="0" t="s">
        <v>152</v>
      </c>
      <c r="B8" s="0" t="n">
        <f aca="false">SUMPRODUCT(B4:B6,D4:D6)</f>
        <v>38.130585340198</v>
      </c>
    </row>
    <row r="9" customFormat="false" ht="15" hidden="false" customHeight="false" outlineLevel="0" collapsed="false">
      <c r="A9" s="0" t="s">
        <v>153</v>
      </c>
      <c r="B9" s="0" t="n">
        <f aca="false">SUMPRODUCT(E4:E6,D4:D6)</f>
        <v>38.130585340198</v>
      </c>
    </row>
    <row r="10" customFormat="false" ht="15" hidden="false" customHeight="false" outlineLevel="0" collapsed="false">
      <c r="A10" s="0" t="s">
        <v>154</v>
      </c>
      <c r="B10" s="0" t="n">
        <f aca="false">1-Assumptions!$B$2/B8</f>
        <v>-0.125867846427796</v>
      </c>
    </row>
    <row r="11" customFormat="false" ht="15" hidden="false" customHeight="false" outlineLevel="0" collapsed="false">
      <c r="A11" s="0" t="s">
        <v>155</v>
      </c>
      <c r="B11" s="0" t="str">
        <f aca="false">IF(ABS(B9-B8)&gt;0.01*ABS(B8),(Assumptions!$B$2-B8)/(B9-B8)*100,"n/a")</f>
        <v>n/a</v>
      </c>
    </row>
    <row r="12" customFormat="false" ht="15" hidden="false" customHeight="false" outlineLevel="0" collapsed="false">
      <c r="A12" s="0" t="s">
        <v>156</v>
      </c>
      <c r="B12" s="0" t="n">
        <f aca="false">SUMPRODUCT(F4:F6,D4:D6)</f>
        <v>21.6706151898802</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41.8497566644667</v>
      </c>
      <c r="C15" s="3" t="n">
        <v>9</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38.5062412833467</v>
      </c>
      <c r="C16" s="3" t="n">
        <v>10</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33.432882273322</v>
      </c>
      <c r="C17" s="3" t="n">
        <v>11</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29.499820041231</v>
      </c>
      <c r="C18" s="3" t="n">
        <v>12</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21.6851550829786</v>
      </c>
      <c r="C19" s="3" t="n">
        <v>15</v>
      </c>
    </row>
    <row r="21" customFormat="false" ht="15" hidden="false" customHeight="false" outlineLevel="0" collapsed="false">
      <c r="A21" s="2" t="s">
        <v>164</v>
      </c>
    </row>
    <row r="22" customFormat="false" ht="15" hidden="false" customHeight="false" outlineLevel="0" collapsed="false">
      <c r="B22" s="3" t="n">
        <v>2</v>
      </c>
      <c r="C22" s="3" t="n">
        <v>2.5</v>
      </c>
      <c r="D22" s="3" t="n">
        <v>3</v>
      </c>
      <c r="E22" s="3" t="n">
        <v>3.5</v>
      </c>
      <c r="F22" s="3" t="n">
        <v>4</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45.0633335272054</v>
      </c>
      <c r="C23" s="0" t="n">
        <f aca="false">(SUMPRODUCT(DCF_Base!$C$19:$L$19/(1+$A$23/100)^DCF_Base!$C$4:$L$4)+MAX(0,MIN(IF($A$23&gt;$C$22,DCF_Base!$L$19*(1+$C$22/100)/(($A$23-$C$22)/100),DCF_Base!$L$19*DCF_Base!$B$29),DCF_Base!$L$19*DCF_Base!$B$29))/(1+$A$23/100)^DCF_Base!$L$4+Assumptions!$B$5-Assumptions!$B$4)/Assumptions!$B$3*Assumptions!$B$10</f>
        <v>45.0633335272054</v>
      </c>
      <c r="D23" s="0" t="n">
        <f aca="false">(SUMPRODUCT(DCF_Base!$C$19:$L$19/(1+$A$23/100)^DCF_Base!$C$4:$L$4)+MAX(0,MIN(IF($A$23&gt;$D$22,DCF_Base!$L$19*(1+$D$22/100)/(($A$23-$D$22)/100),DCF_Base!$L$19*DCF_Base!$B$29),DCF_Base!$L$19*DCF_Base!$B$29))/(1+$A$23/100)^DCF_Base!$L$4+Assumptions!$B$5-Assumptions!$B$4)/Assumptions!$B$3*Assumptions!$B$10</f>
        <v>45.0633335272054</v>
      </c>
      <c r="E23" s="0" t="n">
        <f aca="false">(SUMPRODUCT(DCF_Base!$C$19:$L$19/(1+$A$23/100)^DCF_Base!$C$4:$L$4)+MAX(0,MIN(IF($A$23&gt;$E$22,DCF_Base!$L$19*(1+$E$22/100)/(($A$23-$E$22)/100),DCF_Base!$L$19*DCF_Base!$B$29),DCF_Base!$L$19*DCF_Base!$B$29))/(1+$A$23/100)^DCF_Base!$L$4+Assumptions!$B$5-Assumptions!$B$4)/Assumptions!$B$3*Assumptions!$B$10</f>
        <v>45.0633335272054</v>
      </c>
      <c r="F23" s="0" t="n">
        <f aca="false">(SUMPRODUCT(DCF_Base!$C$19:$L$19/(1+$A$23/100)^DCF_Base!$C$4:$L$4)+MAX(0,MIN(IF($A$23&gt;$F$22,DCF_Base!$L$19*(1+$F$22/100)/(($A$23-$F$22)/100),DCF_Base!$L$19*DCF_Base!$B$29),DCF_Base!$L$19*DCF_Base!$B$29))/(1+$A$23/100)^DCF_Base!$L$4+Assumptions!$B$5-Assumptions!$B$4)/Assumptions!$B$3*Assumptions!$B$10</f>
        <v>45.0633335272054</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41.1689668143227</v>
      </c>
      <c r="C24" s="0" t="n">
        <f aca="false">(SUMPRODUCT(DCF_Base!$C$19:$L$19/(1+$A$24/100)^DCF_Base!$C$4:$L$4)+MAX(0,MIN(IF($A$24&gt;$C$22,DCF_Base!$L$19*(1+$C$22/100)/(($A$24-$C$22)/100),DCF_Base!$L$19*DCF_Base!$B$29),DCF_Base!$L$19*DCF_Base!$B$29))/(1+$A$24/100)^DCF_Base!$L$4+Assumptions!$B$5-Assumptions!$B$4)/Assumptions!$B$3*Assumptions!$B$10</f>
        <v>41.8497566644667</v>
      </c>
      <c r="D24" s="0" t="n">
        <f aca="false">(SUMPRODUCT(DCF_Base!$C$19:$L$19/(1+$A$24/100)^DCF_Base!$C$4:$L$4)+MAX(0,MIN(IF($A$24&gt;$D$22,DCF_Base!$L$19*(1+$D$22/100)/(($A$24-$D$22)/100),DCF_Base!$L$19*DCF_Base!$B$29),DCF_Base!$L$19*DCF_Base!$B$29))/(1+$A$24/100)^DCF_Base!$L$4+Assumptions!$B$5-Assumptions!$B$4)/Assumptions!$B$3*Assumptions!$B$10</f>
        <v>41.8497566644667</v>
      </c>
      <c r="E24" s="0" t="n">
        <f aca="false">(SUMPRODUCT(DCF_Base!$C$19:$L$19/(1+$A$24/100)^DCF_Base!$C$4:$L$4)+MAX(0,MIN(IF($A$24&gt;$E$22,DCF_Base!$L$19*(1+$E$22/100)/(($A$24-$E$22)/100),DCF_Base!$L$19*DCF_Base!$B$29),DCF_Base!$L$19*DCF_Base!$B$29))/(1+$A$24/100)^DCF_Base!$L$4+Assumptions!$B$5-Assumptions!$B$4)/Assumptions!$B$3*Assumptions!$B$10</f>
        <v>41.8497566644667</v>
      </c>
      <c r="F24" s="0" t="n">
        <f aca="false">(SUMPRODUCT(DCF_Base!$C$19:$L$19/(1+$A$24/100)^DCF_Base!$C$4:$L$4)+MAX(0,MIN(IF($A$24&gt;$F$22,DCF_Base!$L$19*(1+$F$22/100)/(($A$24-$F$22)/100),DCF_Base!$L$19*DCF_Base!$B$29),DCF_Base!$L$19*DCF_Base!$B$29))/(1+$A$24/100)^DCF_Base!$L$4+Assumptions!$B$5-Assumptions!$B$4)/Assumptions!$B$3*Assumptions!$B$10</f>
        <v>41.8497566644667</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35.6582894263612</v>
      </c>
      <c r="C25" s="0" t="n">
        <f aca="false">(SUMPRODUCT(DCF_Base!$C$19:$L$19/(1+$A$25/100)^DCF_Base!$C$4:$L$4)+MAX(0,MIN(IF($A$25&gt;$C$22,DCF_Base!$L$19*(1+$C$22/100)/(($A$25-$C$22)/100),DCF_Base!$L$19*DCF_Base!$B$29),DCF_Base!$L$19*DCF_Base!$B$29))/(1+$A$25/100)^DCF_Base!$L$4+Assumptions!$B$5-Assumptions!$B$4)/Assumptions!$B$3*Assumptions!$B$10</f>
        <v>36.9873336262877</v>
      </c>
      <c r="D25" s="0" t="n">
        <f aca="false">(SUMPRODUCT(DCF_Base!$C$19:$L$19/(1+$A$25/100)^DCF_Base!$C$4:$L$4)+MAX(0,MIN(IF($A$25&gt;$D$22,DCF_Base!$L$19*(1+$D$22/100)/(($A$25-$D$22)/100),DCF_Base!$L$19*DCF_Base!$B$29),DCF_Base!$L$19*DCF_Base!$B$29))/(1+$A$25/100)^DCF_Base!$L$4+Assumptions!$B$5-Assumptions!$B$4)/Assumptions!$B$3*Assumptions!$B$10</f>
        <v>38.5062412833467</v>
      </c>
      <c r="E25" s="0" t="n">
        <f aca="false">(SUMPRODUCT(DCF_Base!$C$19:$L$19/(1+$A$25/100)^DCF_Base!$C$4:$L$4)+MAX(0,MIN(IF($A$25&gt;$E$22,DCF_Base!$L$19*(1+$E$22/100)/(($A$25-$E$22)/100),DCF_Base!$L$19*DCF_Base!$B$29),DCF_Base!$L$19*DCF_Base!$B$29))/(1+$A$25/100)^DCF_Base!$L$4+Assumptions!$B$5-Assumptions!$B$4)/Assumptions!$B$3*Assumptions!$B$10</f>
        <v>38.9204888261809</v>
      </c>
      <c r="F25" s="0" t="n">
        <f aca="false">(SUMPRODUCT(DCF_Base!$C$19:$L$19/(1+$A$25/100)^DCF_Base!$C$4:$L$4)+MAX(0,MIN(IF($A$25&gt;$F$22,DCF_Base!$L$19*(1+$F$22/100)/(($A$25-$F$22)/100),DCF_Base!$L$19*DCF_Base!$B$29),DCF_Base!$L$19*DCF_Base!$B$29))/(1+$A$25/100)^DCF_Base!$L$4+Assumptions!$B$5-Assumptions!$B$4)/Assumptions!$B$3*Assumptions!$B$10</f>
        <v>38.9204888261809</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31.3910713097545</v>
      </c>
      <c r="C26" s="0" t="n">
        <f aca="false">(SUMPRODUCT(DCF_Base!$C$19:$L$19/(1+$A$26/100)^DCF_Base!$C$4:$L$4)+MAX(0,MIN(IF($A$26&gt;$C$22,DCF_Base!$L$19*(1+$C$22/100)/(($A$26-$C$22)/100),DCF_Base!$L$19*DCF_Base!$B$29),DCF_Base!$L$19*DCF_Base!$B$29))/(1+$A$26/100)^DCF_Base!$L$4+Assumptions!$B$5-Assumptions!$B$4)/Assumptions!$B$3*Assumptions!$B$10</f>
        <v>32.3519235279039</v>
      </c>
      <c r="D26" s="0" t="n">
        <f aca="false">(SUMPRODUCT(DCF_Base!$C$19:$L$19/(1+$A$26/100)^DCF_Base!$C$4:$L$4)+MAX(0,MIN(IF($A$26&gt;$D$22,DCF_Base!$L$19*(1+$D$22/100)/(($A$26-$D$22)/100),DCF_Base!$L$19*DCF_Base!$B$29),DCF_Base!$L$19*DCF_Base!$B$29))/(1+$A$26/100)^DCF_Base!$L$4+Assumptions!$B$5-Assumptions!$B$4)/Assumptions!$B$3*Assumptions!$B$10</f>
        <v>33.432882273322</v>
      </c>
      <c r="E26" s="0" t="n">
        <f aca="false">(SUMPRODUCT(DCF_Base!$C$19:$L$19/(1+$A$26/100)^DCF_Base!$C$4:$L$4)+MAX(0,MIN(IF($A$26&gt;$E$22,DCF_Base!$L$19*(1+$E$22/100)/(($A$26-$E$22)/100),DCF_Base!$L$19*DCF_Base!$B$29),DCF_Base!$L$19*DCF_Base!$B$29))/(1+$A$26/100)^DCF_Base!$L$4+Assumptions!$B$5-Assumptions!$B$4)/Assumptions!$B$3*Assumptions!$B$10</f>
        <v>34.6579688514626</v>
      </c>
      <c r="F26" s="0" t="n">
        <f aca="false">(SUMPRODUCT(DCF_Base!$C$19:$L$19/(1+$A$26/100)^DCF_Base!$C$4:$L$4)+MAX(0,MIN(IF($A$26&gt;$F$22,DCF_Base!$L$19*(1+$F$22/100)/(($A$26-$F$22)/100),DCF_Base!$L$19*DCF_Base!$B$29),DCF_Base!$L$19*DCF_Base!$B$29))/(1+$A$26/100)^DCF_Base!$L$4+Assumptions!$B$5-Assumptions!$B$4)/Assumptions!$B$3*Assumptions!$B$10</f>
        <v>36.0580677979089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27.993039082085</v>
      </c>
      <c r="C27" s="0" t="n">
        <f aca="false">(SUMPRODUCT(DCF_Base!$C$19:$L$19/(1+$A$27/100)^DCF_Base!$C$4:$L$4)+MAX(0,MIN(IF($A$27&gt;$C$22,DCF_Base!$L$19*(1+$C$22/100)/(($A$27-$C$22)/100),DCF_Base!$L$19*DCF_Base!$B$29),DCF_Base!$L$19*DCF_Base!$B$29))/(1+$A$27/100)^DCF_Base!$L$4+Assumptions!$B$5-Assumptions!$B$4)/Assumptions!$B$3*Assumptions!$B$10</f>
        <v>28.7067774311541</v>
      </c>
      <c r="D27" s="0" t="n">
        <f aca="false">(SUMPRODUCT(DCF_Base!$C$19:$L$19/(1+$A$27/100)^DCF_Base!$C$4:$L$4)+MAX(0,MIN(IF($A$27&gt;$D$22,DCF_Base!$L$19*(1+$D$22/100)/(($A$27-$D$22)/100),DCF_Base!$L$19*DCF_Base!$B$29),DCF_Base!$L$19*DCF_Base!$B$29))/(1+$A$27/100)^DCF_Base!$L$4+Assumptions!$B$5-Assumptions!$B$4)/Assumptions!$B$3*Assumptions!$B$10</f>
        <v>29.499820041231</v>
      </c>
      <c r="E27" s="0" t="n">
        <f aca="false">(SUMPRODUCT(DCF_Base!$C$19:$L$19/(1+$A$27/100)^DCF_Base!$C$4:$L$4)+MAX(0,MIN(IF($A$27&gt;$E$22,DCF_Base!$L$19*(1+$E$22/100)/(($A$27-$E$22)/100),DCF_Base!$L$19*DCF_Base!$B$29),DCF_Base!$L$19*DCF_Base!$B$29))/(1+$A$27/100)^DCF_Base!$L$4+Assumptions!$B$5-Assumptions!$B$4)/Assumptions!$B$3*Assumptions!$B$10</f>
        <v>30.3861617819052</v>
      </c>
      <c r="F27" s="0" t="n">
        <f aca="false">(SUMPRODUCT(DCF_Base!$C$19:$L$19/(1+$A$27/100)^DCF_Base!$C$4:$L$4)+MAX(0,MIN(IF($A$27&gt;$F$22,DCF_Base!$L$19*(1+$F$22/100)/(($A$27-$F$22)/100),DCF_Base!$L$19*DCF_Base!$B$29),DCF_Base!$L$19*DCF_Base!$B$29))/(1+$A$27/100)^DCF_Base!$L$4+Assumptions!$B$5-Assumptions!$B$4)/Assumptions!$B$3*Assumptions!$B$10</f>
        <v>31.3832962401636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2026-10-03T23:19:50Z</dcterms:created>
  <dc:creator>openpyxl</dc:creator>
  <dc:description/>
  <dc:language>en-NZ</dc:language>
  <cp:lastModifiedBy/>
  <dcterms:modified xsi:type="dcterms:W3CDTF">2026-10-03T23:19:50Z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