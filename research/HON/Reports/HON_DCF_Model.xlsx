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<sst xmlns="http://schemas.openxmlformats.org/spreadsheetml/2006/main" count="390" uniqueCount="176">
  <si>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</si>
  <si>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HON</t>
  </si>
  <si>
    <t xml:space="preserve">Company</t>
  </si>
  <si>
    <t xml:space="preserve">Honeywell Technologies (formerly Honeywell International Inc.)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</si>
  <si>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</si>
  <si>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</si>
  <si>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</si>
  <si>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</si>
  <si>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2026-09-28T20:00:01Z regular close (Yahoo chart API); 52-week range 195.87-260.28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</si>
  <si>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</si>
  <si>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</si>
  <si>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</si>
  <si>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</si>
  <si>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</si>
  <si>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</si>
  <si>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</si>
  <si>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</si>
  <si>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</si>
  <si>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</si>
  <si>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</si>
  <si>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</si>
  <si>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2026-09-28T21:23:39Z</t>
  </si>
  <si>
    <t xml:space="preserve">Drivers file</t>
  </si>
  <si>
    <t xml:space="preserve">HON_Drivers.json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</si>
  <si>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</si>
  <si>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</si>
  <si>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</si>
  <si>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component DCF on the STANDALONE automation business that exists after the June-2026 Aerospace spin, built from FY2026 guidance and the Q2-2026 standalone disclosures (revenue ~$19.9B all-in / ~$17.5B continuing after the PSS/WWS sales, segment margin ~20.3%, ~318M diluted post-reverse-split shares, ~$11.7B standalone net debt incl. JM). The historical CSV describes the pre-separation conglomerate and is used only as qualitative evidence of execution; do not 'correct' base_revenue back to the CSV's $37.4B FY2025 or $9.7B Q2-2026, and do not read the CSV's ~320M/~640M share rows as dilution. SBC expensed, count flat, interest in the WACC not the flows, risk charged once (flows and weights, WACC 8.5% unchanged across scenarios). Non-operating value bridged explicitly: 48% Quantinuum stake at a haircut to its quoted mark, PSS/WWS sale proceeds, NCI. The result is compared with a share price that embeds ~26x FY2026 adjusted EPS and ~18x continuing EV/EBITDA - a pure-play multiple the DCF only reproduces in the bull case.
key_risks_to_valuation: Base-year construction risk: FY2026 is a guidance year three months from completion and the standalone historical restatement (first in the Q3-2026 10-Q) may reset the revenue/margin base; the ~$2.4B PSS/WWS revenue and ~8% margin removed from base_revenue are estimates.; Quantinuum: $6.5B (~$20/share) of bridge value rests on a level-1 mark of a newly listed, loss-making quantum-computing company; the stake carries a 48% block, lock-up and tax leakage. Zero it and weighted IV falls ~$20/share.; Process Automation &amp; Technology: -1% organic and -180bps margin in Q2-26; if the UOP aftermarket/catalyst cycle rolls over, the 4% base growth is too high.; Standalone cost structure: Corporate &amp; Other of -$186M/qtr and JM integration dis-synergies could absorb the guided 250-290bps of margin expansion.; Legacy liabilities (asbestos settlement, Flexjet litigation) and the tax-free-spin compliance obligations are outside the flows.; Market multiple: the price implies a Rockwell-like multiple; the model's 16x FCF terminal cap (base) is the single most value-sensitive judgment.</t>
  </si>
  <si>
    <t xml:space="preserve">Data sources</t>
  </si>
  <si>
    <t xml:space="preserve">price: Yahoo Finance chart API regular close at inputs.price_as_of; 52-week range 195.87-260.28.
financials: SEC EDGAR: Q2-2026 10-Q (0000773840-26-000124, filed 23-Jul-2026: pre-spin consolidated balance sheet, debt note, Quantinuum Note 3/12, held-for-sale note, JM consideration); 8-K 23-Jul-2026 Ex. 99 Q2-2026 earnings release (standalone Honeywell Technologies table, segment results, FY2026 guidance, cash flow); 8-K 29-Jun-2026 Ex. 99.3 unaudited pro forma (standalone balance sheet 31-Mar-2026, standalone P&amp;L FY2023-FY2025 and Q1-2026); SEC XBRL companyfacts for share counts and SBC; HON_Metrics.csv (pre-separation consolidated history, context only).
qualitative: research/HON/Reports/HON_Analysis.json (2026-09-29): separation timeline, segment mix, JM acquisition, guidance, leadership changes, bull/bear cases.</t>
  </si>
  <si>
    <t xml:space="preserve">Scenario narrative: bear</t>
  </si>
  <si>
    <t xml:space="preserve">The company is what its standalone history says it was (FY2023-25 revenue CAGR 1.4%): PA&amp;T keeps contracting as the aftermarket comp becomes a cycle, JM integration and stranded corporate costs (standalone Corporate &amp; Other ran -$186M in Q2-26 vs -$57M allocated pre-spin) eat the guided margin expansion, and an industrial-capex downturn hits IA. Growth 1-2.5%, EBITDA margin settles ~21.8%, 14x terminal cap. Legacy liabilities (asbestos settlement, Flexjet litigation) and the Quantinuum mark are further downside not in the flows.</t>
  </si>
  <si>
    <t xml:space="preserve">Scenario narrative: base</t>
  </si>
  <si>
    <t xml:space="preserve">FY2026 guidance is delivered (revenue $19.8-20.0B all-in, segment margin 20.1-20.5%) and the standalone business then grows ~4% organically with Building Automation (+9% organic in Q2-26, 27% margin) carrying Industrial Automation (+4%) and a stabilising Process Automation &amp; Technology (-1% in Q2-26). The JM Catalyst Technologies acquisition annualises in FY2027 and is margin-accretive; PSS/WWS leave in Q3-2026. Segment margin rises ~30bps/yr to ~23% by FY2030, well short of Rockwell but at Emerson's level. Terminal FCF multiple capped at 16x.</t>
  </si>
  <si>
    <t xml:space="preserve">Scenario narrative: bull</t>
  </si>
  <si>
    <t xml:space="preserve">The pure-play thesis is proven: BA compounds high-single-digit on data-centre, healthcare and fire demand; PA&amp;T turns as refining, petrochemical and renewable-fuels catalyst cycles recover and JM cross-sell lands; Forge software attach shifts mix to recurring aftermarket. Segment margin approaches 25% and the business earns an 18x terminal FCF multiple; growth 8% in FY2027 fading to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</si>
  <si>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</si>
  <si>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</si>
  <si>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</si>
  <si>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</si>
  <si>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</si>
  <si>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</si>
  <si>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</si>
  <si>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</si>
  <si>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</si>
  <si>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</si>
  <si>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</si>
  <si>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</si>
  <si>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</si>
  <si>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</si>
  <si>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</si>
  <si>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</si>
  <si>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</si>
  <si>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</si>
  <si>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</si>
  <si>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</si>
  <si>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</si>
  <si>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</si>
  <si>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</si>
  <si>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</si>
  <si>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</si>
  <si>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</si>
  <si>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</si>
  <si>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</si>
  <si>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</si>
  <si>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</si>
  <si>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</si>
  <si>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</si>
  <si>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</si>
  <si>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</si>
  <si>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</si>
  <si>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</si>
  <si>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</si>
  <si>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</si>
  <si>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</si>
  <si>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</si>
  <si>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</si>
  <si>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</si>
  <si>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</si>
  <si>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</si>
  <si>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</si>
  <si>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</si>
  <si>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</si>
  <si>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</si>
  <si>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</si>
  <si>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</si>
  <si>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</si>
  <si>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</si>
  <si>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</si>
  <si>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</si>
  <si>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</si>
  <si>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</si>
  <si>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</si>
  <si>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</si>
  <si>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</si>
  <si>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</si>
  <si>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</si>
  <si>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</si>
  <si>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</si>
  <si>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</si>
  <si>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</si>
  <si>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</si>
  <si>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</si>
  <si>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</si>
  <si>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</si>
  <si>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</si>
  <si>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</si>
  <si>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</si>
  <si>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</si>
  <si>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</si>
  <si>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</si>
  <si>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</si>
  <si>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</si>
  <si>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</si>
  <si>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</si>
  <si>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</si>
  <si>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</si>
  <si>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</si>
  <si>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</si>
  <si>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</si>
  <si>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</si>
  <si>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HON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</si>
  <si>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</si>
  <si>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</si>
  <si>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</si>
  <si>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</si>
  <si>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</si>
  <si>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</si>
  <si>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</si>
  <si>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</si>
  <si>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</si>
  <si>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</si>
  <si>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</si>
  <si>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</si>
  <si>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</si>
  <si>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</si>
  <si>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</si>
  <si>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</si>
  <si>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</si>
  <si>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</si>
  <si>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</si>
  <si>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</si>
  <si>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</si>
  <si>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</si>
  <si>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</si>
  <si>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</si>
  <si>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</si>
  <si>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</si>
  <si>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</si>
  <si>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</si>
  <si>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</si>
  <si>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</si>
  <si>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HON owner-FCF component DCF: base case (millions, USD)</t>
  </si>
  <si>
    <t xml:space="preserve">HON owner-FCF component DCF: bull case (millions, USD)</t>
  </si>
  <si>
    <t xml:space="preserve">HON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</si>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</sst>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211.52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1224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34589</v>
      </c>
      <c r="C3" s="0" t="n">
        <v>26300</v>
      </c>
      <c r="I3" s="0" t="n">
        <v>2444</v>
      </c>
      <c r="J3" s="0" t="n">
        <v>7.06583017722397</v>
      </c>
      <c r="K3" s="0" t="n">
        <v>3.2</v>
      </c>
      <c r="L3" s="0" t="n">
        <v>3911</v>
      </c>
      <c r="M3" s="0" t="n">
        <v>-767</v>
      </c>
      <c r="N3" s="0" t="n">
        <v>3144</v>
      </c>
      <c r="O3" s="0" t="n">
        <v>9293</v>
      </c>
      <c r="S3" s="0" t="n">
        <v>1829</v>
      </c>
      <c r="U3" s="0" t="n">
        <v>112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36556</v>
      </c>
      <c r="C4" s="0" t="n">
        <v>31118</v>
      </c>
      <c r="I4" s="0" t="n">
        <v>826</v>
      </c>
      <c r="J4" s="0" t="n">
        <v>2.2595469963891</v>
      </c>
      <c r="K4" s="0" t="n">
        <v>1.09</v>
      </c>
      <c r="L4" s="0" t="n">
        <v>3791</v>
      </c>
      <c r="M4" s="0" t="n">
        <v>884</v>
      </c>
      <c r="N4" s="0" t="n">
        <v>2907</v>
      </c>
      <c r="O4" s="0" t="n">
        <v>7269</v>
      </c>
      <c r="P4" s="0" t="n">
        <v>35490</v>
      </c>
      <c r="R4" s="0" t="n">
        <v>6888</v>
      </c>
      <c r="S4" s="0" t="n">
        <v>2065</v>
      </c>
      <c r="T4" s="0" t="n">
        <v>743.6</v>
      </c>
      <c r="U4" s="0" t="n">
        <v>128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29951</v>
      </c>
      <c r="C5" s="0" t="n">
        <v>23260</v>
      </c>
      <c r="D5" s="0" t="n">
        <v>6896</v>
      </c>
      <c r="E5" s="0" t="n">
        <v>23.0242729791994</v>
      </c>
      <c r="I5" s="0" t="n">
        <v>1584</v>
      </c>
      <c r="J5" s="0" t="n">
        <v>5.28863810891122</v>
      </c>
      <c r="K5" s="0" t="n">
        <v>2.06</v>
      </c>
      <c r="L5" s="0" t="n">
        <v>3946</v>
      </c>
      <c r="M5" s="0" t="n">
        <v>605</v>
      </c>
      <c r="N5" s="0" t="n">
        <v>3341</v>
      </c>
      <c r="O5" s="0" t="n">
        <v>8971</v>
      </c>
      <c r="P5" s="0" t="n">
        <v>35993</v>
      </c>
      <c r="R5" s="0" t="n">
        <v>8282</v>
      </c>
      <c r="S5" s="0" t="n">
        <v>2801</v>
      </c>
      <c r="T5" s="0" t="n">
        <v>755.7</v>
      </c>
      <c r="U5" s="0" t="n">
        <v>118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32350</v>
      </c>
      <c r="C6" s="0" t="n">
        <v>24721</v>
      </c>
      <c r="D6" s="0" t="n">
        <v>7629</v>
      </c>
      <c r="E6" s="0" t="n">
        <v>23.5826893353941</v>
      </c>
      <c r="I6" s="0" t="n">
        <v>2035</v>
      </c>
      <c r="J6" s="0" t="n">
        <v>6.29057187017002</v>
      </c>
      <c r="K6" s="0" t="n">
        <v>2.61</v>
      </c>
      <c r="L6" s="0" t="n">
        <v>4203</v>
      </c>
      <c r="M6" s="0" t="n">
        <v>644</v>
      </c>
      <c r="N6" s="0" t="n">
        <v>3559</v>
      </c>
      <c r="O6" s="0" t="n">
        <v>10787</v>
      </c>
      <c r="P6" s="0" t="n">
        <v>37834</v>
      </c>
      <c r="R6" s="0" t="n">
        <v>6801</v>
      </c>
      <c r="S6" s="0" t="n">
        <v>2650</v>
      </c>
      <c r="T6" s="0" t="n">
        <v>783</v>
      </c>
      <c r="U6" s="0" t="n">
        <v>164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36529</v>
      </c>
      <c r="C7" s="0" t="n">
        <v>28556</v>
      </c>
      <c r="D7" s="0" t="n">
        <v>7973</v>
      </c>
      <c r="E7" s="0" t="n">
        <v>21.8264940184511</v>
      </c>
      <c r="I7" s="0" t="n">
        <v>2074</v>
      </c>
      <c r="J7" s="0" t="n">
        <v>5.67768074680391</v>
      </c>
      <c r="K7" s="0" t="n">
        <v>2.65</v>
      </c>
      <c r="L7" s="0" t="n">
        <v>2833</v>
      </c>
      <c r="M7" s="0" t="n">
        <v>790</v>
      </c>
      <c r="N7" s="0" t="n">
        <v>2043</v>
      </c>
      <c r="O7" s="0" t="n">
        <v>10902</v>
      </c>
      <c r="P7" s="0" t="n">
        <v>39808</v>
      </c>
      <c r="R7" s="0" t="n">
        <v>6911</v>
      </c>
      <c r="S7" s="0" t="n">
        <v>3698</v>
      </c>
      <c r="T7" s="0" t="n">
        <v>791.6</v>
      </c>
      <c r="U7" s="0" t="n">
        <v>168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37665</v>
      </c>
      <c r="C8" s="0" t="n">
        <v>28291</v>
      </c>
      <c r="D8" s="0" t="n">
        <v>9374</v>
      </c>
      <c r="E8" s="0" t="n">
        <v>24.8878268949954</v>
      </c>
      <c r="I8" s="0" t="n">
        <v>2931</v>
      </c>
      <c r="J8" s="0" t="n">
        <v>7.78176025487854</v>
      </c>
      <c r="K8" s="0" t="n">
        <v>3.74</v>
      </c>
      <c r="L8" s="0" t="n">
        <v>3517</v>
      </c>
      <c r="M8" s="0" t="n">
        <v>884</v>
      </c>
      <c r="N8" s="0" t="n">
        <v>2633</v>
      </c>
      <c r="O8" s="0" t="n">
        <v>13065</v>
      </c>
      <c r="P8" s="0" t="n">
        <v>41853</v>
      </c>
      <c r="R8" s="0" t="n">
        <v>7645</v>
      </c>
      <c r="S8" s="0" t="n">
        <v>4634</v>
      </c>
      <c r="T8" s="0" t="n">
        <v>791.9</v>
      </c>
      <c r="U8" s="0" t="n">
        <v>170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39055</v>
      </c>
      <c r="C9" s="0" t="n">
        <v>28364</v>
      </c>
      <c r="D9" s="0" t="n">
        <v>10691</v>
      </c>
      <c r="E9" s="0" t="n">
        <v>27.3742158494431</v>
      </c>
      <c r="I9" s="0" t="n">
        <v>3962</v>
      </c>
      <c r="J9" s="0" t="n">
        <v>10.144667776213</v>
      </c>
      <c r="K9" s="0" t="n">
        <v>4.99</v>
      </c>
      <c r="M9" s="0" t="n">
        <v>947</v>
      </c>
      <c r="O9" s="0" t="n">
        <v>17579</v>
      </c>
      <c r="P9" s="0" t="n">
        <v>45435</v>
      </c>
      <c r="R9" s="0" t="n">
        <v>8065</v>
      </c>
      <c r="S9" s="0" t="n">
        <v>6422</v>
      </c>
      <c r="T9" s="0" t="n">
        <v>797.3</v>
      </c>
      <c r="U9" s="0" t="n">
        <v>170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40306</v>
      </c>
      <c r="C10" s="0" t="n">
        <v>28957</v>
      </c>
      <c r="D10" s="0" t="n">
        <v>11349</v>
      </c>
      <c r="E10" s="0" t="n">
        <v>28.1570981987793</v>
      </c>
      <c r="I10" s="0" t="n">
        <v>4329</v>
      </c>
      <c r="J10" s="0" t="n">
        <v>10.7403364263385</v>
      </c>
      <c r="K10" s="0" t="n">
        <v>5.4</v>
      </c>
      <c r="M10" s="0" t="n">
        <v>1094</v>
      </c>
      <c r="O10" s="0" t="n">
        <v>17784</v>
      </c>
      <c r="P10" s="0" t="n">
        <v>45451</v>
      </c>
      <c r="R10" s="0" t="n">
        <v>7924</v>
      </c>
      <c r="S10" s="0" t="n">
        <v>6959</v>
      </c>
      <c r="T10" s="0" t="n">
        <v>795.2</v>
      </c>
      <c r="U10" s="0" t="n">
        <v>187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38581</v>
      </c>
      <c r="C11" s="0" t="n">
        <v>26747</v>
      </c>
      <c r="D11" s="0" t="n">
        <v>11834</v>
      </c>
      <c r="E11" s="0" t="n">
        <v>30.6731292605168</v>
      </c>
      <c r="I11" s="0" t="n">
        <v>4847</v>
      </c>
      <c r="J11" s="0" t="n">
        <v>12.5631787667505</v>
      </c>
      <c r="K11" s="0" t="n">
        <v>6.11</v>
      </c>
      <c r="L11" s="0" t="n">
        <v>5519</v>
      </c>
      <c r="M11" s="0" t="n">
        <v>1073</v>
      </c>
      <c r="N11" s="0" t="n">
        <v>4446</v>
      </c>
      <c r="O11" s="0" t="n">
        <v>18418</v>
      </c>
      <c r="P11" s="0" t="n">
        <v>49316</v>
      </c>
      <c r="R11" s="0" t="n">
        <v>6708</v>
      </c>
      <c r="S11" s="0" t="n">
        <v>5455</v>
      </c>
      <c r="T11" s="0" t="n">
        <v>789.3</v>
      </c>
      <c r="U11" s="0" t="n">
        <v>175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39302</v>
      </c>
      <c r="C12" s="0" t="n">
        <v>27677</v>
      </c>
      <c r="D12" s="0" t="n">
        <v>12152</v>
      </c>
      <c r="E12" s="0" t="n">
        <v>30.91954607908</v>
      </c>
      <c r="I12" s="0" t="n">
        <v>4849</v>
      </c>
      <c r="J12" s="0" t="n">
        <v>12.3377945142741</v>
      </c>
      <c r="K12" s="0" t="n">
        <v>6.3</v>
      </c>
      <c r="L12" s="0" t="n">
        <v>5498</v>
      </c>
      <c r="M12" s="0" t="n">
        <v>1095</v>
      </c>
      <c r="N12" s="0" t="n">
        <v>4403</v>
      </c>
      <c r="O12" s="0" t="n">
        <v>18883</v>
      </c>
      <c r="P12" s="0" t="n">
        <v>54566</v>
      </c>
      <c r="R12" s="0" t="n">
        <v>12636</v>
      </c>
      <c r="S12" s="0" t="n">
        <v>7843</v>
      </c>
      <c r="T12" s="0" t="n">
        <v>775.3</v>
      </c>
      <c r="U12" s="0" t="n">
        <v>184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40534</v>
      </c>
      <c r="C13" s="0" t="n">
        <v>28144</v>
      </c>
      <c r="D13" s="0" t="n">
        <v>12390</v>
      </c>
      <c r="E13" s="0" t="n">
        <v>30.566931464943</v>
      </c>
      <c r="I13" s="0" t="n">
        <v>1588</v>
      </c>
      <c r="J13" s="0" t="n">
        <v>3.91769872206049</v>
      </c>
      <c r="K13" s="0" t="n">
        <v>2.03</v>
      </c>
      <c r="L13" s="0" t="n">
        <v>5966</v>
      </c>
      <c r="M13" s="0" t="n">
        <v>1031</v>
      </c>
      <c r="N13" s="0" t="n">
        <v>4935</v>
      </c>
      <c r="O13" s="0" t="n">
        <v>16665</v>
      </c>
      <c r="P13" s="0" t="n">
        <v>59470</v>
      </c>
      <c r="R13" s="0" t="n">
        <v>15275</v>
      </c>
      <c r="S13" s="0" t="n">
        <v>7059</v>
      </c>
      <c r="T13" s="0" t="n">
        <v>772.1</v>
      </c>
      <c r="U13" s="0" t="n">
        <v>176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41802</v>
      </c>
      <c r="C14" s="0" t="n">
        <v>29046</v>
      </c>
      <c r="D14" s="0" t="n">
        <v>12756</v>
      </c>
      <c r="E14" s="0" t="n">
        <v>30.5152863499354</v>
      </c>
      <c r="I14" s="0" t="n">
        <v>6828</v>
      </c>
      <c r="J14" s="0" t="n">
        <v>16.3341466915459</v>
      </c>
      <c r="K14" s="0" t="n">
        <v>9.1</v>
      </c>
      <c r="L14" s="0" t="n">
        <v>6434</v>
      </c>
      <c r="M14" s="0" t="n">
        <v>828</v>
      </c>
      <c r="N14" s="0" t="n">
        <v>5606</v>
      </c>
      <c r="O14" s="0" t="n">
        <v>18358</v>
      </c>
      <c r="P14" s="0" t="n">
        <v>57773</v>
      </c>
      <c r="R14" s="0" t="n">
        <v>15500</v>
      </c>
      <c r="S14" s="0" t="n">
        <v>9287</v>
      </c>
      <c r="T14" s="0" t="n">
        <v>753</v>
      </c>
      <c r="U14" s="0" t="n">
        <v>175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36709</v>
      </c>
      <c r="C15" s="0" t="n">
        <v>24339</v>
      </c>
      <c r="D15" s="0" t="n">
        <v>12370</v>
      </c>
      <c r="E15" s="0" t="n">
        <v>33.6974583889509</v>
      </c>
      <c r="I15" s="0" t="n">
        <v>6230</v>
      </c>
      <c r="J15" s="0" t="n">
        <v>16.9713149363916</v>
      </c>
      <c r="K15" s="0" t="n">
        <v>8.52</v>
      </c>
      <c r="L15" s="0" t="n">
        <v>6897</v>
      </c>
      <c r="M15" s="0" t="n">
        <v>839</v>
      </c>
      <c r="N15" s="0" t="n">
        <v>6058</v>
      </c>
      <c r="O15" s="0" t="n">
        <v>18706</v>
      </c>
      <c r="P15" s="0" t="n">
        <v>58679</v>
      </c>
      <c r="R15" s="0" t="n">
        <v>13862</v>
      </c>
      <c r="S15" s="0" t="n">
        <v>9067</v>
      </c>
      <c r="T15" s="0" t="n">
        <v>730.3</v>
      </c>
      <c r="U15" s="0" t="n">
        <v>153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32637</v>
      </c>
      <c r="C16" s="0" t="n">
        <v>22169</v>
      </c>
      <c r="D16" s="0" t="n">
        <v>10468</v>
      </c>
      <c r="E16" s="0" t="n">
        <v>32.0740264117413</v>
      </c>
      <c r="I16" s="0" t="n">
        <v>4865</v>
      </c>
      <c r="J16" s="0" t="n">
        <v>14.9063945828354</v>
      </c>
      <c r="K16" s="0" t="n">
        <v>6.79</v>
      </c>
      <c r="L16" s="0" t="n">
        <v>6208</v>
      </c>
      <c r="M16" s="0" t="n">
        <v>906</v>
      </c>
      <c r="N16" s="0" t="n">
        <v>5302</v>
      </c>
      <c r="O16" s="0" t="n">
        <v>17790</v>
      </c>
      <c r="P16" s="0" t="n">
        <v>64586</v>
      </c>
      <c r="R16" s="0" t="n">
        <v>21232</v>
      </c>
      <c r="S16" s="0" t="n">
        <v>14275</v>
      </c>
      <c r="T16" s="0" t="n">
        <v>711.2</v>
      </c>
      <c r="U16" s="0" t="n">
        <v>168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34392</v>
      </c>
      <c r="C17" s="0" t="n">
        <v>22061</v>
      </c>
      <c r="I17" s="0" t="n">
        <v>5610</v>
      </c>
      <c r="J17" s="0" t="n">
        <v>16.3119330076762</v>
      </c>
      <c r="K17" s="0" t="n">
        <v>8.01</v>
      </c>
      <c r="L17" s="0" t="n">
        <v>6038</v>
      </c>
      <c r="M17" s="0" t="n">
        <v>895</v>
      </c>
      <c r="N17" s="0" t="n">
        <v>5143</v>
      </c>
      <c r="O17" s="0" t="n">
        <v>19242</v>
      </c>
      <c r="P17" s="0" t="n">
        <v>64470</v>
      </c>
      <c r="R17" s="0" t="n">
        <v>17860</v>
      </c>
      <c r="S17" s="0" t="n">
        <v>10959</v>
      </c>
      <c r="T17" s="0" t="n">
        <v>700.4</v>
      </c>
      <c r="U17" s="0" t="n">
        <v>217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35466</v>
      </c>
      <c r="C18" s="0" t="n">
        <v>22347</v>
      </c>
      <c r="F18" s="0" t="n">
        <v>8022</v>
      </c>
      <c r="G18" s="0" t="n">
        <v>22.6188462189139</v>
      </c>
      <c r="H18" s="0" t="n">
        <v>9226</v>
      </c>
      <c r="I18" s="0" t="n">
        <v>4967</v>
      </c>
      <c r="J18" s="0" t="n">
        <v>14.0049624992951</v>
      </c>
      <c r="K18" s="0" t="n">
        <v>7.33</v>
      </c>
      <c r="L18" s="0" t="n">
        <v>5274</v>
      </c>
      <c r="M18" s="0" t="n">
        <v>766</v>
      </c>
      <c r="N18" s="0" t="n">
        <v>4508</v>
      </c>
      <c r="O18" s="0" t="n">
        <v>17319</v>
      </c>
      <c r="P18" s="0" t="n">
        <v>62275</v>
      </c>
      <c r="R18" s="0" t="n">
        <v>18583</v>
      </c>
      <c r="S18" s="0" t="n">
        <v>9627</v>
      </c>
      <c r="T18" s="0" t="n">
        <v>683.1</v>
      </c>
      <c r="U18" s="0" t="n">
        <v>188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33009</v>
      </c>
      <c r="C19" s="0" t="n">
        <v>20637</v>
      </c>
      <c r="F19" s="0" t="n">
        <v>7563</v>
      </c>
      <c r="G19" s="0" t="n">
        <v>22.9119331091521</v>
      </c>
      <c r="H19" s="0" t="n">
        <v>8567</v>
      </c>
      <c r="I19" s="0" t="n">
        <v>5672</v>
      </c>
      <c r="J19" s="0" t="n">
        <v>17.1831924626617</v>
      </c>
      <c r="K19" s="0" t="n">
        <v>8.53</v>
      </c>
      <c r="L19" s="0" t="n">
        <v>5340</v>
      </c>
      <c r="M19" s="0" t="n">
        <v>741</v>
      </c>
      <c r="N19" s="0" t="n">
        <v>4599</v>
      </c>
      <c r="O19" s="0" t="n">
        <v>16434</v>
      </c>
      <c r="P19" s="0" t="n">
        <v>61525</v>
      </c>
      <c r="R19" s="0" t="n">
        <v>18358</v>
      </c>
      <c r="S19" s="0" t="n">
        <v>7925</v>
      </c>
      <c r="T19" s="0" t="n">
        <v>668.2</v>
      </c>
      <c r="U19" s="0" t="n">
        <v>197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34717</v>
      </c>
      <c r="C20" s="0" t="n">
        <v>21360</v>
      </c>
      <c r="F20" s="0" t="n">
        <v>7667</v>
      </c>
      <c r="G20" s="0" t="n">
        <v>22.084281475934</v>
      </c>
      <c r="H20" s="0" t="n">
        <v>8820</v>
      </c>
      <c r="I20" s="0" t="n">
        <v>5740</v>
      </c>
      <c r="J20" s="0" t="n">
        <v>16.5336866664746</v>
      </c>
      <c r="K20" s="0" t="n">
        <v>8.76</v>
      </c>
      <c r="L20" s="0" t="n">
        <v>6097</v>
      </c>
      <c r="M20" s="0" t="n">
        <v>871</v>
      </c>
      <c r="N20" s="0" t="n">
        <v>5226</v>
      </c>
      <c r="O20" s="0" t="n">
        <v>19154</v>
      </c>
      <c r="P20" s="0" t="n">
        <v>75196</v>
      </c>
      <c r="R20" s="0" t="n">
        <v>26765</v>
      </c>
      <c r="S20" s="0" t="n">
        <v>9906</v>
      </c>
      <c r="T20" s="0" t="n">
        <v>655.3</v>
      </c>
      <c r="U20" s="0" t="n">
        <v>189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37442</v>
      </c>
      <c r="C21" s="0" t="n">
        <v>23613</v>
      </c>
      <c r="F21" s="0" t="n">
        <v>8127</v>
      </c>
      <c r="G21" s="0" t="n">
        <v>21.7055712835853</v>
      </c>
      <c r="H21" s="0" t="n">
        <v>9515</v>
      </c>
      <c r="I21" s="0" t="n">
        <v>4772</v>
      </c>
      <c r="J21" s="0" t="n">
        <v>12.7450456706373</v>
      </c>
      <c r="K21" s="0" t="n">
        <v>7.4</v>
      </c>
      <c r="L21" s="0" t="n">
        <v>6408</v>
      </c>
      <c r="M21" s="0" t="n">
        <v>986</v>
      </c>
      <c r="N21" s="0" t="n">
        <v>5422</v>
      </c>
      <c r="O21" s="0" t="n">
        <v>15030</v>
      </c>
      <c r="P21" s="0" t="n">
        <v>73681</v>
      </c>
      <c r="R21" s="0" t="n">
        <v>30592</v>
      </c>
      <c r="S21" s="0" t="n">
        <v>12487</v>
      </c>
      <c r="T21" s="0" t="n">
        <v>642.8</v>
      </c>
      <c r="U21" s="0" t="n">
        <v>196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211.52</v>
      </c>
    </row>
    <row r="3" customFormat="false" ht="15" hidden="false" customHeight="false" outlineLevel="0" collapsed="false">
      <c r="A3" s="0" t="s">
        <v>86</v>
      </c>
      <c r="B3" s="3" t="n">
        <v>318.4</v>
      </c>
    </row>
    <row r="4" customFormat="false" ht="15" hidden="false" customHeight="false" outlineLevel="0" collapsed="false">
      <c r="A4" s="0" t="s">
        <v>87</v>
      </c>
      <c r="B4" s="3" t="n">
        <v>11680</v>
      </c>
    </row>
    <row r="5" customFormat="false" ht="15" hidden="false" customHeight="false" outlineLevel="0" collapsed="false">
      <c r="A5" s="0" t="s">
        <v>88</v>
      </c>
      <c r="B5" s="3" t="n">
        <v>7271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17500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3.5</v>
      </c>
      <c r="D13" s="3" t="n">
        <v>1</v>
      </c>
      <c r="E13" s="3" t="n">
        <v>1.5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108</v>
      </c>
      <c r="C14" s="3" t="n">
        <v>21.8</v>
      </c>
      <c r="D14" s="3" t="n">
        <v>21.3</v>
      </c>
      <c r="E14" s="3" t="n">
        <v>21.3</v>
      </c>
      <c r="F14" s="3" t="n">
        <v>21.5</v>
      </c>
      <c r="G14" s="3" t="n">
        <v>21.7</v>
      </c>
      <c r="H14" s="3" t="n">
        <v>21.8</v>
      </c>
      <c r="I14" s="3" t="n">
        <v>21.8</v>
      </c>
      <c r="J14" s="3" t="n">
        <v>21.8</v>
      </c>
      <c r="K14" s="3" t="n">
        <v>21.8</v>
      </c>
      <c r="L14" s="3" t="n">
        <v>21.8</v>
      </c>
    </row>
    <row r="15" customFormat="false" ht="15" hidden="false" customHeight="false" outlineLevel="0" collapsed="false">
      <c r="A15" s="0" t="s">
        <v>109</v>
      </c>
      <c r="C15" s="3" t="n">
        <v>0.8</v>
      </c>
      <c r="D15" s="3" t="n">
        <v>0.8</v>
      </c>
      <c r="E15" s="3" t="n">
        <v>0.8</v>
      </c>
      <c r="F15" s="3" t="n">
        <v>0.8</v>
      </c>
      <c r="G15" s="3" t="n">
        <v>0.8</v>
      </c>
      <c r="H15" s="3" t="n">
        <v>0.8</v>
      </c>
      <c r="I15" s="3" t="n">
        <v>0.8</v>
      </c>
      <c r="J15" s="3" t="n">
        <v>0.8</v>
      </c>
      <c r="K15" s="3" t="n">
        <v>0.8</v>
      </c>
      <c r="L15" s="3" t="n">
        <v>0.8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1.65</v>
      </c>
      <c r="D17" s="3" t="n">
        <v>1.65</v>
      </c>
      <c r="E17" s="3" t="n">
        <v>1.65</v>
      </c>
      <c r="F17" s="3" t="n">
        <v>1.65</v>
      </c>
      <c r="G17" s="3" t="n">
        <v>1.65</v>
      </c>
      <c r="H17" s="3" t="n">
        <v>1.65</v>
      </c>
      <c r="I17" s="3" t="n">
        <v>1.65</v>
      </c>
      <c r="J17" s="3" t="n">
        <v>1.65</v>
      </c>
      <c r="K17" s="3" t="n">
        <v>1.65</v>
      </c>
      <c r="L17" s="3" t="n">
        <v>1.65</v>
      </c>
    </row>
    <row r="18" customFormat="false" ht="15" hidden="false" customHeight="false" outlineLevel="0" collapsed="false">
      <c r="A18" s="0" t="s">
        <v>112</v>
      </c>
      <c r="C18" s="3" t="n">
        <v>2.6</v>
      </c>
      <c r="D18" s="3" t="n">
        <v>2.6</v>
      </c>
      <c r="E18" s="3" t="n">
        <v>2.6</v>
      </c>
      <c r="F18" s="3" t="n">
        <v>2.6</v>
      </c>
      <c r="G18" s="3" t="n">
        <v>2.6</v>
      </c>
      <c r="H18" s="3" t="n">
        <v>2.6</v>
      </c>
      <c r="I18" s="3" t="n">
        <v>2.6</v>
      </c>
      <c r="J18" s="3" t="n">
        <v>2.6</v>
      </c>
      <c r="K18" s="3" t="n">
        <v>2.6</v>
      </c>
      <c r="L18" s="3" t="n">
        <v>2.6</v>
      </c>
    </row>
    <row r="19" customFormat="false" ht="15" hidden="false" customHeight="false" outlineLevel="0" collapsed="false">
      <c r="A19" s="0" t="s">
        <v>113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114</v>
      </c>
      <c r="B20" s="3" t="n">
        <v>8.5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14</v>
      </c>
    </row>
    <row r="23" customFormat="false" ht="15" hidden="false" customHeight="false" outlineLevel="0" collapsed="false">
      <c r="A23" s="0" t="s">
        <v>117</v>
      </c>
      <c r="B23" s="3" t="n">
        <v>-15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6.5</v>
      </c>
      <c r="D27" s="3" t="n">
        <v>4.5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22.8</v>
      </c>
      <c r="D28" s="3" t="n">
        <v>23.1</v>
      </c>
      <c r="E28" s="3" t="n">
        <v>23.4</v>
      </c>
      <c r="F28" s="3" t="n">
        <v>23.7</v>
      </c>
      <c r="G28" s="3" t="n">
        <v>23.9</v>
      </c>
      <c r="H28" s="3" t="n">
        <v>24</v>
      </c>
      <c r="I28" s="3" t="n">
        <v>24</v>
      </c>
      <c r="J28" s="3" t="n">
        <v>24</v>
      </c>
      <c r="K28" s="3" t="n">
        <v>24</v>
      </c>
      <c r="L28" s="3" t="n">
        <v>24</v>
      </c>
    </row>
    <row r="29" customFormat="false" ht="15" hidden="false" customHeight="false" outlineLevel="0" collapsed="false">
      <c r="A29" s="0" t="s">
        <v>109</v>
      </c>
      <c r="C29" s="3" t="n">
        <v>0.8</v>
      </c>
      <c r="D29" s="3" t="n">
        <v>0.8</v>
      </c>
      <c r="E29" s="3" t="n">
        <v>0.8</v>
      </c>
      <c r="F29" s="3" t="n">
        <v>0.8</v>
      </c>
      <c r="G29" s="3" t="n">
        <v>0.8</v>
      </c>
      <c r="H29" s="3" t="n">
        <v>0.8</v>
      </c>
      <c r="I29" s="3" t="n">
        <v>0.8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1.65</v>
      </c>
      <c r="D31" s="3" t="n">
        <v>1.65</v>
      </c>
      <c r="E31" s="3" t="n">
        <v>1.65</v>
      </c>
      <c r="F31" s="3" t="n">
        <v>1.65</v>
      </c>
      <c r="G31" s="3" t="n">
        <v>1.65</v>
      </c>
      <c r="H31" s="3" t="n">
        <v>1.65</v>
      </c>
      <c r="I31" s="3" t="n">
        <v>1.65</v>
      </c>
      <c r="J31" s="3" t="n">
        <v>1.65</v>
      </c>
      <c r="K31" s="3" t="n">
        <v>1.65</v>
      </c>
      <c r="L31" s="3" t="n">
        <v>1.65</v>
      </c>
    </row>
    <row r="32" customFormat="false" ht="15" hidden="false" customHeight="false" outlineLevel="0" collapsed="false">
      <c r="A32" s="0" t="s">
        <v>112</v>
      </c>
      <c r="C32" s="3" t="n">
        <v>2.6</v>
      </c>
      <c r="D32" s="3" t="n">
        <v>2.6</v>
      </c>
      <c r="E32" s="3" t="n">
        <v>2.6</v>
      </c>
      <c r="F32" s="3" t="n">
        <v>2.6</v>
      </c>
      <c r="G32" s="3" t="n">
        <v>2.6</v>
      </c>
      <c r="H32" s="3" t="n">
        <v>2.6</v>
      </c>
      <c r="I32" s="3" t="n">
        <v>2.6</v>
      </c>
      <c r="J32" s="3" t="n">
        <v>2.6</v>
      </c>
      <c r="K32" s="3" t="n">
        <v>2.6</v>
      </c>
      <c r="L32" s="3" t="n">
        <v>2.6</v>
      </c>
    </row>
    <row r="33" customFormat="false" ht="15" hidden="false" customHeight="false" outlineLevel="0" collapsed="false">
      <c r="A33" s="0" t="s">
        <v>113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114</v>
      </c>
      <c r="B34" s="3" t="n">
        <v>8.5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16</v>
      </c>
    </row>
    <row r="37" customFormat="false" ht="15" hidden="false" customHeight="false" outlineLevel="0" collapsed="false">
      <c r="A37" s="0" t="s">
        <v>117</v>
      </c>
      <c r="B37" s="3" t="n">
        <v>-15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8</v>
      </c>
      <c r="D41" s="3" t="n">
        <v>6.5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108</v>
      </c>
      <c r="C42" s="3" t="n">
        <v>23.2</v>
      </c>
      <c r="D42" s="3" t="n">
        <v>23.9</v>
      </c>
      <c r="E42" s="3" t="n">
        <v>24.6</v>
      </c>
      <c r="F42" s="3" t="n">
        <v>25.2</v>
      </c>
      <c r="G42" s="3" t="n">
        <v>25.7</v>
      </c>
      <c r="H42" s="3" t="n">
        <v>26</v>
      </c>
      <c r="I42" s="3" t="n">
        <v>26.2</v>
      </c>
      <c r="J42" s="3" t="n">
        <v>26.3</v>
      </c>
      <c r="K42" s="3" t="n">
        <v>26.3</v>
      </c>
      <c r="L42" s="3" t="n">
        <v>26.3</v>
      </c>
    </row>
    <row r="43" customFormat="false" ht="15" hidden="false" customHeight="false" outlineLevel="0" collapsed="false">
      <c r="A43" s="0" t="s">
        <v>109</v>
      </c>
      <c r="C43" s="3" t="n">
        <v>0.8</v>
      </c>
      <c r="D43" s="3" t="n">
        <v>0.8</v>
      </c>
      <c r="E43" s="3" t="n">
        <v>0.8</v>
      </c>
      <c r="F43" s="3" t="n">
        <v>0.8</v>
      </c>
      <c r="G43" s="3" t="n">
        <v>0.8</v>
      </c>
      <c r="H43" s="3" t="n">
        <v>0.8</v>
      </c>
      <c r="I43" s="3" t="n">
        <v>0.8</v>
      </c>
      <c r="J43" s="3" t="n">
        <v>0.8</v>
      </c>
      <c r="K43" s="3" t="n">
        <v>0.8</v>
      </c>
      <c r="L43" s="3" t="n">
        <v>0.8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1.65</v>
      </c>
      <c r="D45" s="3" t="n">
        <v>1.65</v>
      </c>
      <c r="E45" s="3" t="n">
        <v>1.65</v>
      </c>
      <c r="F45" s="3" t="n">
        <v>1.65</v>
      </c>
      <c r="G45" s="3" t="n">
        <v>1.65</v>
      </c>
      <c r="H45" s="3" t="n">
        <v>1.65</v>
      </c>
      <c r="I45" s="3" t="n">
        <v>1.65</v>
      </c>
      <c r="J45" s="3" t="n">
        <v>1.65</v>
      </c>
      <c r="K45" s="3" t="n">
        <v>1.65</v>
      </c>
      <c r="L45" s="3" t="n">
        <v>1.65</v>
      </c>
    </row>
    <row r="46" customFormat="false" ht="15" hidden="false" customHeight="false" outlineLevel="0" collapsed="false">
      <c r="A46" s="0" t="s">
        <v>112</v>
      </c>
      <c r="C46" s="3" t="n">
        <v>2.7</v>
      </c>
      <c r="D46" s="3" t="n">
        <v>2.7</v>
      </c>
      <c r="E46" s="3" t="n">
        <v>2.7</v>
      </c>
      <c r="F46" s="3" t="n">
        <v>2.7</v>
      </c>
      <c r="G46" s="3" t="n">
        <v>2.7</v>
      </c>
      <c r="H46" s="3" t="n">
        <v>2.7</v>
      </c>
      <c r="I46" s="3" t="n">
        <v>2.7</v>
      </c>
      <c r="J46" s="3" t="n">
        <v>2.7</v>
      </c>
      <c r="K46" s="3" t="n">
        <v>2.7</v>
      </c>
      <c r="L46" s="3" t="n">
        <v>2.7</v>
      </c>
    </row>
    <row r="47" customFormat="false" ht="15" hidden="false" customHeight="false" outlineLevel="0" collapsed="false">
      <c r="A47" s="0" t="s">
        <v>113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114</v>
      </c>
      <c r="B48" s="3" t="n">
        <v>8.5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18</v>
      </c>
    </row>
    <row r="51" customFormat="false" ht="15" hidden="false" customHeight="false" outlineLevel="0" collapsed="false">
      <c r="A51" s="0" t="s">
        <v>117</v>
      </c>
      <c r="B51" s="3" t="n">
        <v>-15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3.5</v>
      </c>
      <c r="D5" s="4" t="n">
        <f aca="false">Assumptions!D13</f>
        <v>1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17500</v>
      </c>
      <c r="C6" s="0" t="n">
        <f aca="false">B6*(1+C5/100)</f>
        <v>18112.5</v>
      </c>
      <c r="D6" s="0" t="n">
        <f aca="false">C6*(1+D5/100)</f>
        <v>18293.625</v>
      </c>
      <c r="E6" s="0" t="n">
        <f aca="false">D6*(1+E5/100)</f>
        <v>18568.029375</v>
      </c>
      <c r="F6" s="0" t="n">
        <f aca="false">E6*(1+F5/100)</f>
        <v>18939.3899625</v>
      </c>
      <c r="G6" s="0" t="n">
        <f aca="false">F6*(1+G5/100)</f>
        <v>19412.8747115625</v>
      </c>
      <c r="H6" s="0" t="n">
        <f aca="false">G6*(1+H5/100)</f>
        <v>19898.1965793516</v>
      </c>
      <c r="I6" s="0" t="n">
        <f aca="false">H6*(1+I5/100)</f>
        <v>20395.6514938353</v>
      </c>
      <c r="J6" s="0" t="n">
        <f aca="false">I6*(1+J5/100)</f>
        <v>20905.5427811812</v>
      </c>
      <c r="K6" s="0" t="n">
        <f aca="false">J6*(1+K5/100)</f>
        <v>21428.1813507108</v>
      </c>
      <c r="L6" s="0" t="n">
        <f aca="false">K6*(1+L5/100)</f>
        <v>21963.8858844785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21.8</v>
      </c>
      <c r="D7" s="4" t="n">
        <f aca="false">Assumptions!D14</f>
        <v>21.3</v>
      </c>
      <c r="E7" s="4" t="n">
        <f aca="false">Assumptions!E14</f>
        <v>21.3</v>
      </c>
      <c r="F7" s="4" t="n">
        <f aca="false">Assumptions!F14</f>
        <v>21.5</v>
      </c>
      <c r="G7" s="4" t="n">
        <f aca="false">Assumptions!G14</f>
        <v>21.7</v>
      </c>
      <c r="H7" s="4" t="n">
        <f aca="false">Assumptions!H14</f>
        <v>21.8</v>
      </c>
      <c r="I7" s="4" t="n">
        <f aca="false">Assumptions!I14</f>
        <v>21.8</v>
      </c>
      <c r="J7" s="4" t="n">
        <f aca="false">Assumptions!J14</f>
        <v>21.8</v>
      </c>
      <c r="K7" s="4" t="n">
        <f aca="false">Assumptions!K14</f>
        <v>21.8</v>
      </c>
      <c r="L7" s="4" t="n">
        <f aca="false">Assumptions!L14</f>
        <v>21.8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3948.525</v>
      </c>
      <c r="D8" s="0" t="n">
        <f aca="false">D6*D7/100</f>
        <v>3896.542125</v>
      </c>
      <c r="E8" s="0" t="n">
        <f aca="false">E6*E7/100</f>
        <v>3954.990256875</v>
      </c>
      <c r="F8" s="0" t="n">
        <f aca="false">F6*F7/100</f>
        <v>4071.9688419375</v>
      </c>
      <c r="G8" s="0" t="n">
        <f aca="false">G6*G7/100</f>
        <v>4212.59381240906</v>
      </c>
      <c r="H8" s="0" t="n">
        <f aca="false">H6*H7/100</f>
        <v>4337.80685429864</v>
      </c>
      <c r="I8" s="0" t="n">
        <f aca="false">I6*I7/100</f>
        <v>4446.25202565611</v>
      </c>
      <c r="J8" s="0" t="n">
        <f aca="false">J6*J7/100</f>
        <v>4557.40832629751</v>
      </c>
      <c r="K8" s="0" t="n">
        <f aca="false">K6*K7/100</f>
        <v>4671.34353445495</v>
      </c>
      <c r="L8" s="0" t="n">
        <f aca="false">L6*L7/100</f>
        <v>4788.12712281632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0.8</v>
      </c>
      <c r="D9" s="4" t="n">
        <f aca="false">Assumptions!D15</f>
        <v>0.8</v>
      </c>
      <c r="E9" s="4" t="n">
        <f aca="false">Assumptions!E15</f>
        <v>0.8</v>
      </c>
      <c r="F9" s="4" t="n">
        <f aca="false">Assumptions!F15</f>
        <v>0.8</v>
      </c>
      <c r="G9" s="4" t="n">
        <f aca="false">Assumptions!G15</f>
        <v>0.8</v>
      </c>
      <c r="H9" s="4" t="n">
        <f aca="false">Assumptions!H15</f>
        <v>0.8</v>
      </c>
      <c r="I9" s="4" t="n">
        <f aca="false">Assumptions!I15</f>
        <v>0.8</v>
      </c>
      <c r="J9" s="4" t="n">
        <f aca="false">Assumptions!J15</f>
        <v>0.8</v>
      </c>
      <c r="K9" s="4" t="n">
        <f aca="false">Assumptions!K15</f>
        <v>0.8</v>
      </c>
      <c r="L9" s="4" t="n">
        <f aca="false">Assumptions!L15</f>
        <v>0.8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-144.9</v>
      </c>
      <c r="D10" s="0" t="n">
        <f aca="false">-D6*D9/100</f>
        <v>-146.349</v>
      </c>
      <c r="E10" s="0" t="n">
        <f aca="false">-E6*E9/100</f>
        <v>-148.544235</v>
      </c>
      <c r="F10" s="0" t="n">
        <f aca="false">-F6*F9/100</f>
        <v>-151.5151197</v>
      </c>
      <c r="G10" s="0" t="n">
        <f aca="false">-G6*G9/100</f>
        <v>-155.3029976925</v>
      </c>
      <c r="H10" s="0" t="n">
        <f aca="false">-H6*H9/100</f>
        <v>-159.185572634813</v>
      </c>
      <c r="I10" s="0" t="n">
        <f aca="false">-I6*I9/100</f>
        <v>-163.165211950683</v>
      </c>
      <c r="J10" s="0" t="n">
        <f aca="false">-J6*J9/100</f>
        <v>-167.24434224945</v>
      </c>
      <c r="K10" s="0" t="n">
        <f aca="false">-K6*K9/100</f>
        <v>-171.425450805686</v>
      </c>
      <c r="L10" s="0" t="n">
        <f aca="false">-L6*L9/100</f>
        <v>-175.711087075828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3803.625</v>
      </c>
      <c r="D11" s="0" t="n">
        <f aca="false">D8+D10+D24</f>
        <v>3750.193125</v>
      </c>
      <c r="E11" s="0" t="n">
        <f aca="false">E8+E10+E24</f>
        <v>3806.446021875</v>
      </c>
      <c r="F11" s="0" t="n">
        <f aca="false">F8+F10+F24</f>
        <v>3920.4537222375</v>
      </c>
      <c r="G11" s="0" t="n">
        <f aca="false">G8+G10+G24</f>
        <v>4057.29081471656</v>
      </c>
      <c r="H11" s="0" t="n">
        <f aca="false">H8+H10+H24</f>
        <v>4178.62128166383</v>
      </c>
      <c r="I11" s="0" t="n">
        <f aca="false">I8+I10+I24</f>
        <v>4283.08681370542</v>
      </c>
      <c r="J11" s="0" t="n">
        <f aca="false">J8+J10+J24</f>
        <v>4390.16398404806</v>
      </c>
      <c r="K11" s="0" t="n">
        <f aca="false">K8+K10+K24</f>
        <v>4499.91808364926</v>
      </c>
      <c r="L11" s="0" t="n">
        <f aca="false">L8+L10+L24</f>
        <v>4612.41603574049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-298.85625</v>
      </c>
      <c r="D12" s="4" t="n">
        <f aca="false">-D6*Assumptions!D17/100</f>
        <v>-301.8448125</v>
      </c>
      <c r="E12" s="4" t="n">
        <f aca="false">-E6*Assumptions!E17/100</f>
        <v>-306.3724846875</v>
      </c>
      <c r="F12" s="4" t="n">
        <f aca="false">-F6*Assumptions!F17/100</f>
        <v>-312.49993438125</v>
      </c>
      <c r="G12" s="4" t="n">
        <f aca="false">-G6*Assumptions!G17/100</f>
        <v>-320.312432740781</v>
      </c>
      <c r="H12" s="4" t="n">
        <f aca="false">-H6*Assumptions!H17/100</f>
        <v>-328.320243559301</v>
      </c>
      <c r="I12" s="4" t="n">
        <f aca="false">-I6*Assumptions!I17/100</f>
        <v>-336.528249648283</v>
      </c>
      <c r="J12" s="4" t="n">
        <f aca="false">-J6*Assumptions!J17/100</f>
        <v>-344.94145588949</v>
      </c>
      <c r="K12" s="4" t="n">
        <f aca="false">-K6*Assumptions!K17/100</f>
        <v>-353.564992286728</v>
      </c>
      <c r="L12" s="4" t="n">
        <f aca="false">-L6*Assumptions!L17/100</f>
        <v>-362.404117093896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3504.76875</v>
      </c>
      <c r="D13" s="0" t="n">
        <f aca="false">D11+D12</f>
        <v>3448.3483125</v>
      </c>
      <c r="E13" s="0" t="n">
        <f aca="false">E11+E12</f>
        <v>3500.0735371875</v>
      </c>
      <c r="F13" s="0" t="n">
        <f aca="false">F11+F12</f>
        <v>3607.95378785625</v>
      </c>
      <c r="G13" s="0" t="n">
        <f aca="false">G11+G12</f>
        <v>3736.97838197578</v>
      </c>
      <c r="H13" s="0" t="n">
        <f aca="false">H11+H12</f>
        <v>3850.30103810453</v>
      </c>
      <c r="I13" s="0" t="n">
        <f aca="false">I11+I12</f>
        <v>3946.55856405714</v>
      </c>
      <c r="J13" s="0" t="n">
        <f aca="false">J11+J12</f>
        <v>4045.22252815857</v>
      </c>
      <c r="K13" s="0" t="n">
        <f aca="false">K11+K12</f>
        <v>4146.35309136253</v>
      </c>
      <c r="L13" s="0" t="n">
        <f aca="false">L11+L12</f>
        <v>4250.0119186466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2593.528875</v>
      </c>
      <c r="D15" s="0" t="n">
        <f aca="false">D13-MAX(0,D13)*D14/100</f>
        <v>2551.77775125</v>
      </c>
      <c r="E15" s="0" t="n">
        <f aca="false">E13-MAX(0,E13)*E14/100</f>
        <v>2590.05441751875</v>
      </c>
      <c r="F15" s="0" t="n">
        <f aca="false">F13-MAX(0,F13)*F14/100</f>
        <v>2669.88580301362</v>
      </c>
      <c r="G15" s="0" t="n">
        <f aca="false">G13-MAX(0,G13)*G14/100</f>
        <v>2765.36400266208</v>
      </c>
      <c r="H15" s="0" t="n">
        <f aca="false">H13-MAX(0,H13)*H14/100</f>
        <v>2849.22276819735</v>
      </c>
      <c r="I15" s="0" t="n">
        <f aca="false">I13-MAX(0,I13)*I14/100</f>
        <v>2920.45333740228</v>
      </c>
      <c r="J15" s="0" t="n">
        <f aca="false">J13-MAX(0,J13)*J14/100</f>
        <v>2993.46467083734</v>
      </c>
      <c r="K15" s="0" t="n">
        <f aca="false">K13-MAX(0,K13)*K14/100</f>
        <v>3068.30128760827</v>
      </c>
      <c r="L15" s="0" t="n">
        <f aca="false">L13-MAX(0,L13)*L14/100</f>
        <v>3145.00881979848</v>
      </c>
    </row>
    <row r="16" customFormat="false" ht="15" hidden="false" customHeight="false" outlineLevel="0" collapsed="false">
      <c r="A16" s="0" t="s">
        <v>129</v>
      </c>
      <c r="C16" s="0" t="n">
        <f aca="false">-C12</f>
        <v>298.85625</v>
      </c>
      <c r="D16" s="0" t="n">
        <f aca="false">-D12</f>
        <v>301.8448125</v>
      </c>
      <c r="E16" s="0" t="n">
        <f aca="false">-E12</f>
        <v>306.3724846875</v>
      </c>
      <c r="F16" s="0" t="n">
        <f aca="false">-F12</f>
        <v>312.49993438125</v>
      </c>
      <c r="G16" s="0" t="n">
        <f aca="false">-G12</f>
        <v>320.312432740781</v>
      </c>
      <c r="H16" s="0" t="n">
        <f aca="false">-H12</f>
        <v>328.320243559301</v>
      </c>
      <c r="I16" s="0" t="n">
        <f aca="false">-I12</f>
        <v>336.528249648283</v>
      </c>
      <c r="J16" s="0" t="n">
        <f aca="false">-J12</f>
        <v>344.94145588949</v>
      </c>
      <c r="K16" s="0" t="n">
        <f aca="false">-K12</f>
        <v>353.564992286728</v>
      </c>
      <c r="L16" s="0" t="n">
        <f aca="false">-L12</f>
        <v>362.404117093896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-470.925</v>
      </c>
      <c r="D17" s="4" t="n">
        <f aca="false">-D6*Assumptions!D18/100</f>
        <v>-475.63425</v>
      </c>
      <c r="E17" s="4" t="n">
        <f aca="false">-E6*Assumptions!E18/100</f>
        <v>-482.76876375</v>
      </c>
      <c r="F17" s="4" t="n">
        <f aca="false">-F6*Assumptions!F18/100</f>
        <v>-492.424139025</v>
      </c>
      <c r="G17" s="4" t="n">
        <f aca="false">-G6*Assumptions!G18/100</f>
        <v>-504.734742500625</v>
      </c>
      <c r="H17" s="4" t="n">
        <f aca="false">-H6*Assumptions!H18/100</f>
        <v>-517.353111063141</v>
      </c>
      <c r="I17" s="4" t="n">
        <f aca="false">-I6*Assumptions!I18/100</f>
        <v>-530.286938839719</v>
      </c>
      <c r="J17" s="4" t="n">
        <f aca="false">-J6*Assumptions!J18/100</f>
        <v>-543.544112310712</v>
      </c>
      <c r="K17" s="4" t="n">
        <f aca="false">-K6*Assumptions!K18/100</f>
        <v>-557.13271511848</v>
      </c>
      <c r="L17" s="4" t="n">
        <f aca="false">-L6*Assumptions!L18/100</f>
        <v>-571.061032996442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-91.875</v>
      </c>
      <c r="D18" s="4" t="n">
        <f aca="false">(D6-C6)*Assumptions!$B$23/100</f>
        <v>-27.16875</v>
      </c>
      <c r="E18" s="4" t="n">
        <f aca="false">(E6-D6)*Assumptions!$B$23/100</f>
        <v>-41.1606562499997</v>
      </c>
      <c r="F18" s="4" t="n">
        <f aca="false">(F6-E6)*Assumptions!$B$23/100</f>
        <v>-55.7040881249999</v>
      </c>
      <c r="G18" s="4" t="n">
        <f aca="false">(G6-F6)*Assumptions!$B$23/100</f>
        <v>-71.022712359375</v>
      </c>
      <c r="H18" s="4" t="n">
        <f aca="false">(H6-G6)*Assumptions!$B$23/100</f>
        <v>-72.7982801683593</v>
      </c>
      <c r="I18" s="4" t="n">
        <f aca="false">(I6-H6)*Assumptions!$B$23/100</f>
        <v>-74.6182371725681</v>
      </c>
      <c r="J18" s="4" t="n">
        <f aca="false">(J6-I6)*Assumptions!$B$23/100</f>
        <v>-76.4836931018825</v>
      </c>
      <c r="K18" s="4" t="n">
        <f aca="false">(K6-J6)*Assumptions!$B$23/100</f>
        <v>-78.3957854294293</v>
      </c>
      <c r="L18" s="4" t="n">
        <f aca="false">(L6-K6)*Assumptions!$B$23/100</f>
        <v>-80.355680065165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2329.585125</v>
      </c>
      <c r="D19" s="0" t="n">
        <f aca="false">D15+D16+D17+D18</f>
        <v>2350.81956375</v>
      </c>
      <c r="E19" s="0" t="n">
        <f aca="false">E15+E16+E17+E18</f>
        <v>2372.49748220625</v>
      </c>
      <c r="F19" s="0" t="n">
        <f aca="false">F15+F16+F17+F18</f>
        <v>2434.25751024487</v>
      </c>
      <c r="G19" s="0" t="n">
        <f aca="false">G15+G16+G17+G18</f>
        <v>2509.91898054286</v>
      </c>
      <c r="H19" s="0" t="n">
        <f aca="false">H15+H16+H17+H18</f>
        <v>2587.39162052515</v>
      </c>
      <c r="I19" s="0" t="n">
        <f aca="false">I15+I16+I17+I18</f>
        <v>2652.07641103828</v>
      </c>
      <c r="J19" s="0" t="n">
        <f aca="false">J15+J16+J17+J18</f>
        <v>2718.37832131424</v>
      </c>
      <c r="K19" s="0" t="n">
        <f aca="false">K15+K16+K17+K18</f>
        <v>2786.33777934709</v>
      </c>
      <c r="L19" s="0" t="n">
        <f aca="false">L15+L16+L17+L18</f>
        <v>2855.99622383077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2147.08306451613</v>
      </c>
      <c r="D21" s="0" t="n">
        <f aca="false">D19*D20</f>
        <v>1996.91610673406</v>
      </c>
      <c r="E21" s="0" t="n">
        <f aca="false">E19*E20</f>
        <v>1857.44749232579</v>
      </c>
      <c r="F21" s="0" t="n">
        <f aca="false">F19*F20</f>
        <v>1756.49762067884</v>
      </c>
      <c r="G21" s="0" t="n">
        <f aca="false">G19*G20</f>
        <v>1669.21013083481</v>
      </c>
      <c r="H21" s="0" t="n">
        <f aca="false">H19*H20</f>
        <v>1585.92899123051</v>
      </c>
      <c r="I21" s="0" t="n">
        <f aca="false">I19*I20</f>
        <v>1498.22784885831</v>
      </c>
      <c r="J21" s="0" t="n">
        <f aca="false">J19*J20</f>
        <v>1415.37653924403</v>
      </c>
      <c r="K21" s="0" t="n">
        <f aca="false">K19*K20</f>
        <v>1337.10686887109</v>
      </c>
      <c r="L21" s="0" t="n">
        <f aca="false">L19*L20</f>
        <v>1263.1654752008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16526.9601384944</v>
      </c>
    </row>
    <row r="31" customFormat="false" ht="15" hidden="false" customHeight="false" outlineLevel="0" collapsed="false">
      <c r="A31" s="0" t="s">
        <v>138</v>
      </c>
      <c r="B31" s="0" t="n">
        <f aca="false">L19</f>
        <v>2855.99622383077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44817.1715124213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39983.9471336308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39983.9471336308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17684.3166528112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34211.2767913055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29802.2767913055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93.6001155505827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-0.557488107268425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1023.58016837209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1219.51907839069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100.645025245189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22408.5857562107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42.824226457791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6.5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17500</v>
      </c>
      <c r="C6" s="0" t="n">
        <f aca="false">B6*(1+C5/100)</f>
        <v>18637.5</v>
      </c>
      <c r="D6" s="0" t="n">
        <f aca="false">C6*(1+D5/100)</f>
        <v>19476.1875</v>
      </c>
      <c r="E6" s="0" t="n">
        <f aca="false">D6*(1+E5/100)</f>
        <v>20352.6159375</v>
      </c>
      <c r="F6" s="0" t="n">
        <f aca="false">E6*(1+F5/100)</f>
        <v>21166.720575</v>
      </c>
      <c r="G6" s="0" t="n">
        <f aca="false">F6*(1+G5/100)</f>
        <v>22013.389398</v>
      </c>
      <c r="H6" s="0" t="n">
        <f aca="false">G6*(1+H5/100)</f>
        <v>22783.85802693</v>
      </c>
      <c r="I6" s="0" t="n">
        <f aca="false">H6*(1+I5/100)</f>
        <v>23581.2930578725</v>
      </c>
      <c r="J6" s="0" t="n">
        <f aca="false">I6*(1+J5/100)</f>
        <v>24288.7318496087</v>
      </c>
      <c r="K6" s="0" t="n">
        <f aca="false">J6*(1+K5/100)</f>
        <v>25017.393805097</v>
      </c>
      <c r="L6" s="0" t="n">
        <f aca="false">K6*(1+L5/100)</f>
        <v>25767.9156192499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22.8</v>
      </c>
      <c r="D7" s="4" t="n">
        <f aca="false">Assumptions!D28</f>
        <v>23.1</v>
      </c>
      <c r="E7" s="4" t="n">
        <f aca="false">Assumptions!E28</f>
        <v>23.4</v>
      </c>
      <c r="F7" s="4" t="n">
        <f aca="false">Assumptions!F28</f>
        <v>23.7</v>
      </c>
      <c r="G7" s="4" t="n">
        <f aca="false">Assumptions!G28</f>
        <v>23.9</v>
      </c>
      <c r="H7" s="4" t="n">
        <f aca="false">Assumptions!H28</f>
        <v>24</v>
      </c>
      <c r="I7" s="4" t="n">
        <f aca="false">Assumptions!I28</f>
        <v>24</v>
      </c>
      <c r="J7" s="4" t="n">
        <f aca="false">Assumptions!J28</f>
        <v>24</v>
      </c>
      <c r="K7" s="4" t="n">
        <f aca="false">Assumptions!K28</f>
        <v>24</v>
      </c>
      <c r="L7" s="4" t="n">
        <f aca="false">Assumptions!L28</f>
        <v>24</v>
      </c>
    </row>
    <row r="8" customFormat="false" ht="15" hidden="false" customHeight="false" outlineLevel="0" collapsed="false">
      <c r="A8" s="0" t="s">
        <v>43</v>
      </c>
      <c r="C8" s="0" t="n">
        <f aca="false">C6*C7/100</f>
        <v>4249.35</v>
      </c>
      <c r="D8" s="0" t="n">
        <f aca="false">D6*D7/100</f>
        <v>4498.9993125</v>
      </c>
      <c r="E8" s="0" t="n">
        <f aca="false">E6*E7/100</f>
        <v>4762.512129375</v>
      </c>
      <c r="F8" s="0" t="n">
        <f aca="false">F6*F7/100</f>
        <v>5016.512776275</v>
      </c>
      <c r="G8" s="0" t="n">
        <f aca="false">G6*G7/100</f>
        <v>5261.200066122</v>
      </c>
      <c r="H8" s="0" t="n">
        <f aca="false">H6*H7/100</f>
        <v>5468.1259264632</v>
      </c>
      <c r="I8" s="0" t="n">
        <f aca="false">I6*I7/100</f>
        <v>5659.51033388941</v>
      </c>
      <c r="J8" s="0" t="n">
        <f aca="false">J6*J7/100</f>
        <v>5829.29564390609</v>
      </c>
      <c r="K8" s="0" t="n">
        <f aca="false">K6*K7/100</f>
        <v>6004.17451322328</v>
      </c>
      <c r="L8" s="0" t="n">
        <f aca="false">L6*L7/100</f>
        <v>6184.29974861998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0.8</v>
      </c>
      <c r="D9" s="4" t="n">
        <f aca="false">Assumptions!D29</f>
        <v>0.8</v>
      </c>
      <c r="E9" s="4" t="n">
        <f aca="false">Assumptions!E29</f>
        <v>0.8</v>
      </c>
      <c r="F9" s="4" t="n">
        <f aca="false">Assumptions!F29</f>
        <v>0.8</v>
      </c>
      <c r="G9" s="4" t="n">
        <f aca="false">Assumptions!G29</f>
        <v>0.8</v>
      </c>
      <c r="H9" s="4" t="n">
        <f aca="false">Assumptions!H29</f>
        <v>0.8</v>
      </c>
      <c r="I9" s="4" t="n">
        <f aca="false">Assumptions!I29</f>
        <v>0.8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-149.1</v>
      </c>
      <c r="D10" s="0" t="n">
        <f aca="false">-D6*D9/100</f>
        <v>-155.8095</v>
      </c>
      <c r="E10" s="0" t="n">
        <f aca="false">-E6*E9/100</f>
        <v>-162.8209275</v>
      </c>
      <c r="F10" s="0" t="n">
        <f aca="false">-F6*F9/100</f>
        <v>-169.3337646</v>
      </c>
      <c r="G10" s="0" t="n">
        <f aca="false">-G6*G9/100</f>
        <v>-176.107115184</v>
      </c>
      <c r="H10" s="0" t="n">
        <f aca="false">-H6*H9/100</f>
        <v>-182.27086421544</v>
      </c>
      <c r="I10" s="0" t="n">
        <f aca="false">-I6*I9/100</f>
        <v>-188.65034446298</v>
      </c>
      <c r="J10" s="0" t="n">
        <f aca="false">-J6*J9/100</f>
        <v>-194.30985479687</v>
      </c>
      <c r="K10" s="0" t="n">
        <f aca="false">-K6*K9/100</f>
        <v>-200.139150440776</v>
      </c>
      <c r="L10" s="0" t="n">
        <f aca="false">-L6*L9/100</f>
        <v>-206.143324953999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4100.25</v>
      </c>
      <c r="D11" s="0" t="n">
        <f aca="false">D8+D10+D24</f>
        <v>4343.1898125</v>
      </c>
      <c r="E11" s="0" t="n">
        <f aca="false">E8+E10+E24</f>
        <v>4599.691201875</v>
      </c>
      <c r="F11" s="0" t="n">
        <f aca="false">F8+F10+F24</f>
        <v>4847.179011675</v>
      </c>
      <c r="G11" s="0" t="n">
        <f aca="false">G8+G10+G24</f>
        <v>5085.092950938</v>
      </c>
      <c r="H11" s="0" t="n">
        <f aca="false">H8+H10+H24</f>
        <v>5285.85506224776</v>
      </c>
      <c r="I11" s="0" t="n">
        <f aca="false">I8+I10+I24</f>
        <v>5470.85998942643</v>
      </c>
      <c r="J11" s="0" t="n">
        <f aca="false">J8+J10+J24</f>
        <v>5634.98578910922</v>
      </c>
      <c r="K11" s="0" t="n">
        <f aca="false">K8+K10+K24</f>
        <v>5804.0353627825</v>
      </c>
      <c r="L11" s="0" t="n">
        <f aca="false">L8+L10+L24</f>
        <v>5978.15642366598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-307.51875</v>
      </c>
      <c r="D12" s="4" t="n">
        <f aca="false">-D6*Assumptions!D31/100</f>
        <v>-321.35709375</v>
      </c>
      <c r="E12" s="4" t="n">
        <f aca="false">-E6*Assumptions!E31/100</f>
        <v>-335.81816296875</v>
      </c>
      <c r="F12" s="4" t="n">
        <f aca="false">-F6*Assumptions!F31/100</f>
        <v>-349.2508894875</v>
      </c>
      <c r="G12" s="4" t="n">
        <f aca="false">-G6*Assumptions!G31/100</f>
        <v>-363.220925067</v>
      </c>
      <c r="H12" s="4" t="n">
        <f aca="false">-H6*Assumptions!H31/100</f>
        <v>-375.933657444345</v>
      </c>
      <c r="I12" s="4" t="n">
        <f aca="false">-I6*Assumptions!I31/100</f>
        <v>-389.091335454897</v>
      </c>
      <c r="J12" s="4" t="n">
        <f aca="false">-J6*Assumptions!J31/100</f>
        <v>-400.764075518544</v>
      </c>
      <c r="K12" s="4" t="n">
        <f aca="false">-K6*Assumptions!K31/100</f>
        <v>-412.7869977841</v>
      </c>
      <c r="L12" s="4" t="n">
        <f aca="false">-L6*Assumptions!L31/100</f>
        <v>-425.170607717623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3792.73125</v>
      </c>
      <c r="D13" s="0" t="n">
        <f aca="false">D11+D12</f>
        <v>4021.83271875</v>
      </c>
      <c r="E13" s="0" t="n">
        <f aca="false">E11+E12</f>
        <v>4263.87303890625</v>
      </c>
      <c r="F13" s="0" t="n">
        <f aca="false">F11+F12</f>
        <v>4497.9281221875</v>
      </c>
      <c r="G13" s="0" t="n">
        <f aca="false">G11+G12</f>
        <v>4721.872025871</v>
      </c>
      <c r="H13" s="0" t="n">
        <f aca="false">H11+H12</f>
        <v>4909.92140480341</v>
      </c>
      <c r="I13" s="0" t="n">
        <f aca="false">I11+I12</f>
        <v>5081.76865397153</v>
      </c>
      <c r="J13" s="0" t="n">
        <f aca="false">J11+J12</f>
        <v>5234.22171359068</v>
      </c>
      <c r="K13" s="0" t="n">
        <f aca="false">K11+K12</f>
        <v>5391.2483649984</v>
      </c>
      <c r="L13" s="0" t="n">
        <f aca="false">L11+L12</f>
        <v>5552.98581594835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2806.621125</v>
      </c>
      <c r="D15" s="0" t="n">
        <f aca="false">D13-MAX(0,D13)*D14/100</f>
        <v>2976.156211875</v>
      </c>
      <c r="E15" s="0" t="n">
        <f aca="false">E13-MAX(0,E13)*E14/100</f>
        <v>3155.26604879062</v>
      </c>
      <c r="F15" s="0" t="n">
        <f aca="false">F13-MAX(0,F13)*F14/100</f>
        <v>3328.46681041875</v>
      </c>
      <c r="G15" s="0" t="n">
        <f aca="false">G13-MAX(0,G13)*G14/100</f>
        <v>3494.18529914454</v>
      </c>
      <c r="H15" s="0" t="n">
        <f aca="false">H13-MAX(0,H13)*H14/100</f>
        <v>3633.34183955453</v>
      </c>
      <c r="I15" s="0" t="n">
        <f aca="false">I13-MAX(0,I13)*I14/100</f>
        <v>3760.50880393893</v>
      </c>
      <c r="J15" s="0" t="n">
        <f aca="false">J13-MAX(0,J13)*J14/100</f>
        <v>3873.3240680571</v>
      </c>
      <c r="K15" s="0" t="n">
        <f aca="false">K13-MAX(0,K13)*K14/100</f>
        <v>3989.52379009882</v>
      </c>
      <c r="L15" s="0" t="n">
        <f aca="false">L13-MAX(0,L13)*L14/100</f>
        <v>4109.20950380178</v>
      </c>
    </row>
    <row r="16" customFormat="false" ht="15" hidden="false" customHeight="false" outlineLevel="0" collapsed="false">
      <c r="A16" s="0" t="s">
        <v>129</v>
      </c>
      <c r="C16" s="0" t="n">
        <f aca="false">-C12</f>
        <v>307.51875</v>
      </c>
      <c r="D16" s="0" t="n">
        <f aca="false">-D12</f>
        <v>321.35709375</v>
      </c>
      <c r="E16" s="0" t="n">
        <f aca="false">-E12</f>
        <v>335.81816296875</v>
      </c>
      <c r="F16" s="0" t="n">
        <f aca="false">-F12</f>
        <v>349.2508894875</v>
      </c>
      <c r="G16" s="0" t="n">
        <f aca="false">-G12</f>
        <v>363.220925067</v>
      </c>
      <c r="H16" s="0" t="n">
        <f aca="false">-H12</f>
        <v>375.933657444345</v>
      </c>
      <c r="I16" s="0" t="n">
        <f aca="false">-I12</f>
        <v>389.091335454897</v>
      </c>
      <c r="J16" s="0" t="n">
        <f aca="false">-J12</f>
        <v>400.764075518544</v>
      </c>
      <c r="K16" s="0" t="n">
        <f aca="false">-K12</f>
        <v>412.7869977841</v>
      </c>
      <c r="L16" s="0" t="n">
        <f aca="false">-L12</f>
        <v>425.170607717623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-484.575</v>
      </c>
      <c r="D17" s="4" t="n">
        <f aca="false">-D6*Assumptions!D32/100</f>
        <v>-506.380875</v>
      </c>
      <c r="E17" s="4" t="n">
        <f aca="false">-E6*Assumptions!E32/100</f>
        <v>-529.168014375</v>
      </c>
      <c r="F17" s="4" t="n">
        <f aca="false">-F6*Assumptions!F32/100</f>
        <v>-550.33473495</v>
      </c>
      <c r="G17" s="4" t="n">
        <f aca="false">-G6*Assumptions!G32/100</f>
        <v>-572.348124348</v>
      </c>
      <c r="H17" s="4" t="n">
        <f aca="false">-H6*Assumptions!H32/100</f>
        <v>-592.38030870018</v>
      </c>
      <c r="I17" s="4" t="n">
        <f aca="false">-I6*Assumptions!I32/100</f>
        <v>-613.113619504686</v>
      </c>
      <c r="J17" s="4" t="n">
        <f aca="false">-J6*Assumptions!J32/100</f>
        <v>-631.507028089827</v>
      </c>
      <c r="K17" s="4" t="n">
        <f aca="false">-K6*Assumptions!K32/100</f>
        <v>-650.452238932522</v>
      </c>
      <c r="L17" s="4" t="n">
        <f aca="false">-L6*Assumptions!L32/100</f>
        <v>-669.965806100497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-170.625</v>
      </c>
      <c r="D18" s="4" t="n">
        <f aca="false">(D6-C6)*Assumptions!$B$37/100</f>
        <v>-125.803125</v>
      </c>
      <c r="E18" s="4" t="n">
        <f aca="false">(E6-D6)*Assumptions!$B$37/100</f>
        <v>-131.464265625</v>
      </c>
      <c r="F18" s="4" t="n">
        <f aca="false">(F6-E6)*Assumptions!$B$37/100</f>
        <v>-122.115695625</v>
      </c>
      <c r="G18" s="4" t="n">
        <f aca="false">(G6-F6)*Assumptions!$B$37/100</f>
        <v>-127.00032345</v>
      </c>
      <c r="H18" s="4" t="n">
        <f aca="false">(H6-G6)*Assumptions!$B$37/100</f>
        <v>-115.5702943395</v>
      </c>
      <c r="I18" s="4" t="n">
        <f aca="false">(I6-H6)*Assumptions!$B$37/100</f>
        <v>-119.615254641382</v>
      </c>
      <c r="J18" s="4" t="n">
        <f aca="false">(J6-I6)*Assumptions!$B$37/100</f>
        <v>-106.115818760427</v>
      </c>
      <c r="K18" s="4" t="n">
        <f aca="false">(K6-J6)*Assumptions!$B$37/100</f>
        <v>-109.29929332324</v>
      </c>
      <c r="L18" s="4" t="n">
        <f aca="false">(L6-K6)*Assumptions!$B$37/100</f>
        <v>-112.578272122937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2458.939875</v>
      </c>
      <c r="D19" s="0" t="n">
        <f aca="false">D15+D16+D17+D18</f>
        <v>2665.329305625</v>
      </c>
      <c r="E19" s="0" t="n">
        <f aca="false">E15+E16+E17+E18</f>
        <v>2830.45193175938</v>
      </c>
      <c r="F19" s="0" t="n">
        <f aca="false">F15+F16+F17+F18</f>
        <v>3005.26726933125</v>
      </c>
      <c r="G19" s="0" t="n">
        <f aca="false">G15+G16+G17+G18</f>
        <v>3158.05777641354</v>
      </c>
      <c r="H19" s="0" t="n">
        <f aca="false">H15+H16+H17+H18</f>
        <v>3301.32489395919</v>
      </c>
      <c r="I19" s="0" t="n">
        <f aca="false">I15+I16+I17+I18</f>
        <v>3416.87126524776</v>
      </c>
      <c r="J19" s="0" t="n">
        <f aca="false">J15+J16+J17+J18</f>
        <v>3536.46529672539</v>
      </c>
      <c r="K19" s="0" t="n">
        <f aca="false">K15+K16+K17+K18</f>
        <v>3642.55925562716</v>
      </c>
      <c r="L19" s="0" t="n">
        <f aca="false">L15+L16+L17+L18</f>
        <v>3751.83603329597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2266.30403225806</v>
      </c>
      <c r="D21" s="0" t="n">
        <f aca="false">D19*D20</f>
        <v>2264.07806971904</v>
      </c>
      <c r="E21" s="0" t="n">
        <f aca="false">E19*E20</f>
        <v>2215.98373959332</v>
      </c>
      <c r="F21" s="0" t="n">
        <f aca="false">F19*F20</f>
        <v>2168.5235789016</v>
      </c>
      <c r="G21" s="0" t="n">
        <f aca="false">G19*G20</f>
        <v>2100.25187068428</v>
      </c>
      <c r="H21" s="0" t="n">
        <f aca="false">H19*H20</f>
        <v>2023.53088618962</v>
      </c>
      <c r="I21" s="0" t="n">
        <f aca="false">I19*I20</f>
        <v>1930.28061493665</v>
      </c>
      <c r="J21" s="0" t="n">
        <f aca="false">J19*J20</f>
        <v>1841.32943291567</v>
      </c>
      <c r="K21" s="0" t="n">
        <f aca="false">K19*K20</f>
        <v>1747.99015290612</v>
      </c>
      <c r="L21" s="0" t="n">
        <f aca="false">L19*L20</f>
        <v>1659.38235713669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20217.6547352411</v>
      </c>
    </row>
    <row r="31" customFormat="false" ht="15" hidden="false" customHeight="false" outlineLevel="0" collapsed="false">
      <c r="A31" s="0" t="s">
        <v>138</v>
      </c>
      <c r="B31" s="0" t="n">
        <f aca="false">L19</f>
        <v>3751.83603329597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64093.8655688062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60029.3765327355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60029.3765327355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26550.117714187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46767.7724494281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42358.7724494281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133.036345632626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-0.371046021025786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1143.23618543239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1557.5590114204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141.518742607666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30765.055473027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57.5671551163766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8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17500</v>
      </c>
      <c r="C6" s="0" t="n">
        <f aca="false">B6*(1+C5/100)</f>
        <v>18900</v>
      </c>
      <c r="D6" s="0" t="n">
        <f aca="false">C6*(1+D5/100)</f>
        <v>20128.5</v>
      </c>
      <c r="E6" s="0" t="n">
        <f aca="false">D6*(1+E5/100)</f>
        <v>21336.21</v>
      </c>
      <c r="F6" s="0" t="n">
        <f aca="false">E6*(1+F5/100)</f>
        <v>22509.70155</v>
      </c>
      <c r="G6" s="0" t="n">
        <f aca="false">F6*(1+G5/100)</f>
        <v>23635.1866275</v>
      </c>
      <c r="H6" s="0" t="n">
        <f aca="false">G6*(1+H5/100)</f>
        <v>24698.7700257375</v>
      </c>
      <c r="I6" s="0" t="n">
        <f aca="false">H6*(1+I5/100)</f>
        <v>25686.720826767</v>
      </c>
      <c r="J6" s="0" t="n">
        <f aca="false">I6*(1+J5/100)</f>
        <v>26585.7560557038</v>
      </c>
      <c r="K6" s="0" t="n">
        <f aca="false">J6*(1+K5/100)</f>
        <v>27516.2575176535</v>
      </c>
      <c r="L6" s="0" t="n">
        <f aca="false">K6*(1+L5/100)</f>
        <v>28341.7452431831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23.2</v>
      </c>
      <c r="D7" s="4" t="n">
        <f aca="false">Assumptions!D42</f>
        <v>23.9</v>
      </c>
      <c r="E7" s="4" t="n">
        <f aca="false">Assumptions!E42</f>
        <v>24.6</v>
      </c>
      <c r="F7" s="4" t="n">
        <f aca="false">Assumptions!F42</f>
        <v>25.2</v>
      </c>
      <c r="G7" s="4" t="n">
        <f aca="false">Assumptions!G42</f>
        <v>25.7</v>
      </c>
      <c r="H7" s="4" t="n">
        <f aca="false">Assumptions!H42</f>
        <v>26</v>
      </c>
      <c r="I7" s="4" t="n">
        <f aca="false">Assumptions!I42</f>
        <v>26.2</v>
      </c>
      <c r="J7" s="4" t="n">
        <f aca="false">Assumptions!J42</f>
        <v>26.3</v>
      </c>
      <c r="K7" s="4" t="n">
        <f aca="false">Assumptions!K42</f>
        <v>26.3</v>
      </c>
      <c r="L7" s="4" t="n">
        <f aca="false">Assumptions!L42</f>
        <v>26.3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4384.8</v>
      </c>
      <c r="D8" s="0" t="n">
        <f aca="false">D6*D7/100</f>
        <v>4810.7115</v>
      </c>
      <c r="E8" s="0" t="n">
        <f aca="false">E6*E7/100</f>
        <v>5248.70766</v>
      </c>
      <c r="F8" s="0" t="n">
        <f aca="false">F6*F7/100</f>
        <v>5672.4447906</v>
      </c>
      <c r="G8" s="0" t="n">
        <f aca="false">G6*G7/100</f>
        <v>6074.2429632675</v>
      </c>
      <c r="H8" s="0" t="n">
        <f aca="false">H6*H7/100</f>
        <v>6421.68020669175</v>
      </c>
      <c r="I8" s="0" t="n">
        <f aca="false">I6*I7/100</f>
        <v>6729.92085661295</v>
      </c>
      <c r="J8" s="0" t="n">
        <f aca="false">J6*J7/100</f>
        <v>6992.05384265011</v>
      </c>
      <c r="K8" s="0" t="n">
        <f aca="false">K6*K7/100</f>
        <v>7236.77572714286</v>
      </c>
      <c r="L8" s="0" t="n">
        <f aca="false">L6*L7/100</f>
        <v>7453.87899895715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0.8</v>
      </c>
      <c r="D9" s="4" t="n">
        <f aca="false">Assumptions!D43</f>
        <v>0.8</v>
      </c>
      <c r="E9" s="4" t="n">
        <f aca="false">Assumptions!E43</f>
        <v>0.8</v>
      </c>
      <c r="F9" s="4" t="n">
        <f aca="false">Assumptions!F43</f>
        <v>0.8</v>
      </c>
      <c r="G9" s="4" t="n">
        <f aca="false">Assumptions!G43</f>
        <v>0.8</v>
      </c>
      <c r="H9" s="4" t="n">
        <f aca="false">Assumptions!H43</f>
        <v>0.8</v>
      </c>
      <c r="I9" s="4" t="n">
        <f aca="false">Assumptions!I43</f>
        <v>0.8</v>
      </c>
      <c r="J9" s="4" t="n">
        <f aca="false">Assumptions!J43</f>
        <v>0.8</v>
      </c>
      <c r="K9" s="4" t="n">
        <f aca="false">Assumptions!K43</f>
        <v>0.8</v>
      </c>
      <c r="L9" s="4" t="n">
        <f aca="false">Assumptions!L43</f>
        <v>0.8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-151.2</v>
      </c>
      <c r="D10" s="0" t="n">
        <f aca="false">-D6*D9/100</f>
        <v>-161.028</v>
      </c>
      <c r="E10" s="0" t="n">
        <f aca="false">-E6*E9/100</f>
        <v>-170.68968</v>
      </c>
      <c r="F10" s="0" t="n">
        <f aca="false">-F6*F9/100</f>
        <v>-180.0776124</v>
      </c>
      <c r="G10" s="0" t="n">
        <f aca="false">-G6*G9/100</f>
        <v>-189.08149302</v>
      </c>
      <c r="H10" s="0" t="n">
        <f aca="false">-H6*H9/100</f>
        <v>-197.5901602059</v>
      </c>
      <c r="I10" s="0" t="n">
        <f aca="false">-I6*I9/100</f>
        <v>-205.493766614136</v>
      </c>
      <c r="J10" s="0" t="n">
        <f aca="false">-J6*J9/100</f>
        <v>-212.686048445631</v>
      </c>
      <c r="K10" s="0" t="n">
        <f aca="false">-K6*K9/100</f>
        <v>-220.130060141228</v>
      </c>
      <c r="L10" s="0" t="n">
        <f aca="false">-L6*L9/100</f>
        <v>-226.733961945465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4233.6</v>
      </c>
      <c r="D11" s="0" t="n">
        <f aca="false">D8+D10+D24</f>
        <v>4649.6835</v>
      </c>
      <c r="E11" s="0" t="n">
        <f aca="false">E8+E10+E24</f>
        <v>5078.01798</v>
      </c>
      <c r="F11" s="0" t="n">
        <f aca="false">F8+F10+F24</f>
        <v>5492.3671782</v>
      </c>
      <c r="G11" s="0" t="n">
        <f aca="false">G8+G10+G24</f>
        <v>5885.1614702475</v>
      </c>
      <c r="H11" s="0" t="n">
        <f aca="false">H8+H10+H24</f>
        <v>6224.09004648585</v>
      </c>
      <c r="I11" s="0" t="n">
        <f aca="false">I8+I10+I24</f>
        <v>6524.42708999882</v>
      </c>
      <c r="J11" s="0" t="n">
        <f aca="false">J8+J10+J24</f>
        <v>6779.36779420448</v>
      </c>
      <c r="K11" s="0" t="n">
        <f aca="false">K8+K10+K24</f>
        <v>7016.64566700164</v>
      </c>
      <c r="L11" s="0" t="n">
        <f aca="false">L8+L10+L24</f>
        <v>7227.14503701169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-311.85</v>
      </c>
      <c r="D12" s="4" t="n">
        <f aca="false">-D6*Assumptions!D45/100</f>
        <v>-332.12025</v>
      </c>
      <c r="E12" s="4" t="n">
        <f aca="false">-E6*Assumptions!E45/100</f>
        <v>-352.047465</v>
      </c>
      <c r="F12" s="4" t="n">
        <f aca="false">-F6*Assumptions!F45/100</f>
        <v>-371.410075575</v>
      </c>
      <c r="G12" s="4" t="n">
        <f aca="false">-G6*Assumptions!G45/100</f>
        <v>-389.98057935375</v>
      </c>
      <c r="H12" s="4" t="n">
        <f aca="false">-H6*Assumptions!H45/100</f>
        <v>-407.529705424669</v>
      </c>
      <c r="I12" s="4" t="n">
        <f aca="false">-I6*Assumptions!I45/100</f>
        <v>-423.830893641656</v>
      </c>
      <c r="J12" s="4" t="n">
        <f aca="false">-J6*Assumptions!J45/100</f>
        <v>-438.664974919113</v>
      </c>
      <c r="K12" s="4" t="n">
        <f aca="false">-K6*Assumptions!K45/100</f>
        <v>-454.018249041282</v>
      </c>
      <c r="L12" s="4" t="n">
        <f aca="false">-L6*Assumptions!L45/100</f>
        <v>-467.638796512521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3921.75</v>
      </c>
      <c r="D13" s="0" t="n">
        <f aca="false">D11+D12</f>
        <v>4317.56325</v>
      </c>
      <c r="E13" s="0" t="n">
        <f aca="false">E11+E12</f>
        <v>4725.970515</v>
      </c>
      <c r="F13" s="0" t="n">
        <f aca="false">F11+F12</f>
        <v>5120.957102625</v>
      </c>
      <c r="G13" s="0" t="n">
        <f aca="false">G11+G12</f>
        <v>5495.18089089375</v>
      </c>
      <c r="H13" s="0" t="n">
        <f aca="false">H11+H12</f>
        <v>5816.56034106118</v>
      </c>
      <c r="I13" s="0" t="n">
        <f aca="false">I11+I12</f>
        <v>6100.59619635716</v>
      </c>
      <c r="J13" s="0" t="n">
        <f aca="false">J11+J12</f>
        <v>6340.70281928537</v>
      </c>
      <c r="K13" s="0" t="n">
        <f aca="false">K11+K12</f>
        <v>6562.62741796035</v>
      </c>
      <c r="L13" s="0" t="n">
        <f aca="false">L11+L12</f>
        <v>6759.50624049917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2902.095</v>
      </c>
      <c r="D15" s="0" t="n">
        <f aca="false">D13-MAX(0,D13)*D14/100</f>
        <v>3194.996805</v>
      </c>
      <c r="E15" s="0" t="n">
        <f aca="false">E13-MAX(0,E13)*E14/100</f>
        <v>3497.2181811</v>
      </c>
      <c r="F15" s="0" t="n">
        <f aca="false">F13-MAX(0,F13)*F14/100</f>
        <v>3789.5082559425</v>
      </c>
      <c r="G15" s="0" t="n">
        <f aca="false">G13-MAX(0,G13)*G14/100</f>
        <v>4066.43385926138</v>
      </c>
      <c r="H15" s="0" t="n">
        <f aca="false">H13-MAX(0,H13)*H14/100</f>
        <v>4304.25465238527</v>
      </c>
      <c r="I15" s="0" t="n">
        <f aca="false">I13-MAX(0,I13)*I14/100</f>
        <v>4514.4411853043</v>
      </c>
      <c r="J15" s="0" t="n">
        <f aca="false">J13-MAX(0,J13)*J14/100</f>
        <v>4692.12008627117</v>
      </c>
      <c r="K15" s="0" t="n">
        <f aca="false">K13-MAX(0,K13)*K14/100</f>
        <v>4856.34428929066</v>
      </c>
      <c r="L15" s="0" t="n">
        <f aca="false">L13-MAX(0,L13)*L14/100</f>
        <v>5002.03461796938</v>
      </c>
    </row>
    <row r="16" customFormat="false" ht="15" hidden="false" customHeight="false" outlineLevel="0" collapsed="false">
      <c r="A16" s="0" t="s">
        <v>129</v>
      </c>
      <c r="C16" s="0" t="n">
        <f aca="false">-C12</f>
        <v>311.85</v>
      </c>
      <c r="D16" s="0" t="n">
        <f aca="false">-D12</f>
        <v>332.12025</v>
      </c>
      <c r="E16" s="0" t="n">
        <f aca="false">-E12</f>
        <v>352.047465</v>
      </c>
      <c r="F16" s="0" t="n">
        <f aca="false">-F12</f>
        <v>371.410075575</v>
      </c>
      <c r="G16" s="0" t="n">
        <f aca="false">-G12</f>
        <v>389.98057935375</v>
      </c>
      <c r="H16" s="0" t="n">
        <f aca="false">-H12</f>
        <v>407.529705424669</v>
      </c>
      <c r="I16" s="0" t="n">
        <f aca="false">-I12</f>
        <v>423.830893641656</v>
      </c>
      <c r="J16" s="0" t="n">
        <f aca="false">-J12</f>
        <v>438.664974919113</v>
      </c>
      <c r="K16" s="0" t="n">
        <f aca="false">-K12</f>
        <v>454.018249041282</v>
      </c>
      <c r="L16" s="0" t="n">
        <f aca="false">-L12</f>
        <v>467.638796512521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-510.3</v>
      </c>
      <c r="D17" s="4" t="n">
        <f aca="false">-D6*Assumptions!D46/100</f>
        <v>-543.4695</v>
      </c>
      <c r="E17" s="4" t="n">
        <f aca="false">-E6*Assumptions!E46/100</f>
        <v>-576.07767</v>
      </c>
      <c r="F17" s="4" t="n">
        <f aca="false">-F6*Assumptions!F46/100</f>
        <v>-607.76194185</v>
      </c>
      <c r="G17" s="4" t="n">
        <f aca="false">-G6*Assumptions!G46/100</f>
        <v>-638.1500389425</v>
      </c>
      <c r="H17" s="4" t="n">
        <f aca="false">-H6*Assumptions!H46/100</f>
        <v>-666.866790694913</v>
      </c>
      <c r="I17" s="4" t="n">
        <f aca="false">-I6*Assumptions!I46/100</f>
        <v>-693.541462322709</v>
      </c>
      <c r="J17" s="4" t="n">
        <f aca="false">-J6*Assumptions!J46/100</f>
        <v>-717.815413504004</v>
      </c>
      <c r="K17" s="4" t="n">
        <f aca="false">-K6*Assumptions!K46/100</f>
        <v>-742.938952976644</v>
      </c>
      <c r="L17" s="4" t="n">
        <f aca="false">-L6*Assumptions!L46/100</f>
        <v>-765.227121565943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-210</v>
      </c>
      <c r="D18" s="4" t="n">
        <f aca="false">(D6-C6)*Assumptions!$B$51/100</f>
        <v>-184.275</v>
      </c>
      <c r="E18" s="4" t="n">
        <f aca="false">(E6-D6)*Assumptions!$B$51/100</f>
        <v>-181.1565</v>
      </c>
      <c r="F18" s="4" t="n">
        <f aca="false">(F6-E6)*Assumptions!$B$51/100</f>
        <v>-176.0237325</v>
      </c>
      <c r="G18" s="4" t="n">
        <f aca="false">(G6-F6)*Assumptions!$B$51/100</f>
        <v>-168.822761625</v>
      </c>
      <c r="H18" s="4" t="n">
        <f aca="false">(H6-G6)*Assumptions!$B$51/100</f>
        <v>-159.537509735625</v>
      </c>
      <c r="I18" s="4" t="n">
        <f aca="false">(I6-H6)*Assumptions!$B$51/100</f>
        <v>-148.192620154425</v>
      </c>
      <c r="J18" s="4" t="n">
        <f aca="false">(J6-I6)*Assumptions!$B$51/100</f>
        <v>-134.855284340526</v>
      </c>
      <c r="K18" s="4" t="n">
        <f aca="false">(K6-J6)*Assumptions!$B$51/100</f>
        <v>-139.575219292445</v>
      </c>
      <c r="L18" s="4" t="n">
        <f aca="false">(L6-K6)*Assumptions!$B$51/100</f>
        <v>-123.823158829441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2493.645</v>
      </c>
      <c r="D19" s="0" t="n">
        <f aca="false">D15+D16+D17+D18</f>
        <v>2799.372555</v>
      </c>
      <c r="E19" s="0" t="n">
        <f aca="false">E15+E16+E17+E18</f>
        <v>3092.0314761</v>
      </c>
      <c r="F19" s="0" t="n">
        <f aca="false">F15+F16+F17+F18</f>
        <v>3377.1326571675</v>
      </c>
      <c r="G19" s="0" t="n">
        <f aca="false">G15+G16+G17+G18</f>
        <v>3649.44163804763</v>
      </c>
      <c r="H19" s="0" t="n">
        <f aca="false">H15+H16+H17+H18</f>
        <v>3885.38005737941</v>
      </c>
      <c r="I19" s="0" t="n">
        <f aca="false">I15+I16+I17+I18</f>
        <v>4096.53799646882</v>
      </c>
      <c r="J19" s="0" t="n">
        <f aca="false">J15+J16+J17+J18</f>
        <v>4278.11436334575</v>
      </c>
      <c r="K19" s="0" t="n">
        <f aca="false">K15+K16+K17+K18</f>
        <v>4427.84836606286</v>
      </c>
      <c r="L19" s="0" t="n">
        <f aca="false">L15+L16+L17+L18</f>
        <v>4580.62313408652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2298.29032258065</v>
      </c>
      <c r="D21" s="0" t="n">
        <f aca="false">D19*D20</f>
        <v>2377.94181656013</v>
      </c>
      <c r="E21" s="0" t="n">
        <f aca="false">E19*E20</f>
        <v>2420.77648324141</v>
      </c>
      <c r="F21" s="0" t="n">
        <f aca="false">F19*F20</f>
        <v>2436.85207997357</v>
      </c>
      <c r="G21" s="0" t="n">
        <f aca="false">G19*G20</f>
        <v>2427.04445894183</v>
      </c>
      <c r="H21" s="0" t="n">
        <f aca="false">H19*H20</f>
        <v>2381.52463124086</v>
      </c>
      <c r="I21" s="0" t="n">
        <f aca="false">I19*I20</f>
        <v>2314.24226114699</v>
      </c>
      <c r="J21" s="0" t="n">
        <f aca="false">J19*J20</f>
        <v>2227.48344283258</v>
      </c>
      <c r="K21" s="0" t="n">
        <f aca="false">K19*K20</f>
        <v>2124.83443625044</v>
      </c>
      <c r="L21" s="0" t="n">
        <f aca="false">L19*L20</f>
        <v>2025.94280398706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23034.9327367555</v>
      </c>
    </row>
    <row r="31" customFormat="false" ht="15" hidden="false" customHeight="false" outlineLevel="0" collapsed="false">
      <c r="A31" s="0" t="s">
        <v>138</v>
      </c>
      <c r="B31" s="0" t="n">
        <f aca="false">L19</f>
        <v>4580.62313408652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85782.578692893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82451.2164135573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82451.2164135573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36466.9704717671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59501.9032085226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55092.9032085226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173.030474901139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-0.181966362986295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1219.31936922191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1877.99196719763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182.758211510497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39317.0152342426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70.2961556782322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93.6001155505827</v>
      </c>
      <c r="C4" s="0" t="n">
        <f aca="false">B4/Assumptions!$B$2-1</f>
        <v>-0.557488107268425</v>
      </c>
      <c r="D4" s="4" t="n">
        <f aca="false">Assumptions!$B$24</f>
        <v>0.25</v>
      </c>
      <c r="E4" s="4" t="n">
        <f aca="false">DCF_Bear!$B$43</f>
        <v>100.645025245189</v>
      </c>
      <c r="F4" s="4" t="n">
        <f aca="false">DCF_Bear!$B$47</f>
        <v>42.824226457791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133.036345632626</v>
      </c>
      <c r="C5" s="0" t="n">
        <f aca="false">B5/Assumptions!$B$2-1</f>
        <v>-0.371046021025786</v>
      </c>
      <c r="D5" s="4" t="n">
        <f aca="false">Assumptions!$B$38</f>
        <v>0.5</v>
      </c>
      <c r="E5" s="4" t="n">
        <f aca="false">DCF_Base!$B$43</f>
        <v>141.518742607666</v>
      </c>
      <c r="F5" s="4" t="n">
        <f aca="false">DCF_Base!$B$47</f>
        <v>57.5671551163766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173.030474901139</v>
      </c>
      <c r="C6" s="0" t="n">
        <f aca="false">B6/Assumptions!$B$2-1</f>
        <v>-0.181966362986295</v>
      </c>
      <c r="D6" s="4" t="n">
        <f aca="false">Assumptions!$B$52</f>
        <v>0.25</v>
      </c>
      <c r="E6" s="4" t="n">
        <f aca="false">DCF_Bull!$B$43</f>
        <v>182.758211510497</v>
      </c>
      <c r="F6" s="4" t="n">
        <f aca="false">DCF_Bull!$B$47</f>
        <v>70.2961556782322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133.175820429243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141.610180492755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-0.588276305099853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928.869279717968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57.0636730921941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133.036345632626</v>
      </c>
      <c r="C15" s="3" t="n">
        <v>8.5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126.643063047763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107.399538792066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92.7052959377252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81.1225047046993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57.5671551163766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156.647908234588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156.647908234588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156.647908234588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156.647908234588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156.647908234588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144.287153877504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144.287153877504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144.287153877504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144.287153877504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144.287153877504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125.218903623502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131.4327677846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133.036345632626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133.036345632626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133.036345632626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107.033401364107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111.372129842441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116.330676674823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122.052076866032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122.783580086826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92.9273514271327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96.0629384476243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99.5904738456775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103.588347296804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108.157345526664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2026-09-28T21:23:39Z</dcterms:created>
  <dc:creator>openpyxl</dc:creator>
  <dc:description/>
  <dc:language>en-NZ</dc:language>
  <cp:lastModifiedBy/>
  <dcterms:modified xsi:type="dcterms:W3CDTF">2026-09-28T21:23:39Z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