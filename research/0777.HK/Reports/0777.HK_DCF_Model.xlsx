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<sst xmlns="http://schemas.openxmlformats.org/spreadsheetml/2006/main" count="356" uniqueCount="164">
  <si>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</si>
  <si>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0777.HK</t>
  </si>
  <si>
    <t xml:space="preserve">Company</t>
  </si>
  <si>
    <t xml:space="preserve">NetDragon Websoft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</si>
  <si>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</si>
  <si>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</si>
  <si>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</si>
  <si>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</si>
  <si>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(HKEX regular close, Friday; valuation written on a Sunday, no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</si>
  <si>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</si>
  <si>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</si>
  <si>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</si>
  <si>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</si>
  <si>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</si>
  <si>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</si>
  <si>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</si>
  <si>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</si>
  <si>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</si>
  <si>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</si>
  <si>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</si>
  <si>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</si>
  <si>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</si>
  <si>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2026-10-11T07:35:21Z</t>
  </si>
  <si>
    <t xml:space="preserve">Drivers file</t>
  </si>
  <si>
    <t xml:space="preserve">0777.HK_Drivers.json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</si>
  <si>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</si>
  <si>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</si>
  <si>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</si>
  <si>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cheap stock on a shrinking business: at the current price the market capitalisation (~RMB3.6bn) is about half covered by net cash, deposits and liquid investments (~RMB1.9bn after haircuts), and the remaining ~RMB1.7bn of enterprise value is ~2x normalised EBITDA. The house model values the cash because the company demonstrably pays it out (HKD1.00/share FY2025, HKD600m committed for the next twelve months) and values the business on contraction-first drivers with a 12x terminal cap. The value is therefore in the bridge and the first five years of flows, not the terminal: the thesis is 'the decline slows and the cash reaches shareholders', not growth. SANITY CHECK: the multiples check tripped on implied P/E because FY2025 EPS (RMB0.286) is a trough carrying ~RMB0.6-0.8/share of redundancy, ETH-impairment and intangible-impairment charges; on normalised EPS (~RMB0.9-1.0) the weighted IV is ~13-14x. EV/EBITDA, P/B and P/S all sat within their 10-year bands. One fix pass was applied (WACC 10% -&gt; 11% cyclicality premium, base margin -1pp in years 1-3); the P/E rule remains outside its band because the denominator is the trough year, not because the model assumes a re-rating: the base terminal value is 12x year-10 FCF, which is ~6x year-10 EBITDA, inside the stock's own FY2020-24 range of 5-6x.
key_risks_to_valuation: The revenue decline does not decelerate: every -5pp on FY2026-28 growth is roughly RMB-1/share; ETH treasury: ~12,000 ETH held as intangibles, impaired RMB92m and RMB130m in consecutive first halves; excluded from the bridge but a signal that capital allocation is not purely shareholder-driven; Cash tax wedge: PRC tax on gaming profit with Mynd.ai losses unrelieved; if Mynd.ai never reaches breakeven the 25% terminal rate is too low; Working-capital seasonality: H1 operating cash flow has been negative three years running; the model assumes the FY2025 RMB300m drain was restructuring-related and does not repeat; Back-to-back financing: RMB2.1bn of bank borrowings secured by RMB1.7bn of pledged deposits; net cash is real but gross leverage limits flexibility if the RMB/HKD spread trade unwinds; Illiquid FVTPL (unlisted funds with crypto exposure, unlisted equity that jumped 29-&gt;216 in one half) haircut 50% but still RMB217m of bridge value; Currency: RMB flows against an HKD quote; the CNY/HKD rate is dated 2026-10-10 and refresh_price.py does not move it</t>
  </si>
  <si>
    <t xml:space="preserve">Data sources</t>
  </si>
  <si>
    <t xml:space="preserve">price: Yahoo Finance chart API at inputs.price_as_of; 52-week range HKD 6.81-13.38
financials: 0777.HK_Metrics.csv (FY2017-FY2025, H1 FY2023-H1 FY2026, RMB millions) from the duckdb core_metrics; kpis table for interest income, cash taxes, D&amp;A, buybacks, dividends; H1 FY2026 interim report (30 June 2026 balance sheet, notes 11, 16, 18, 19) and FY2025 annual report (segment highlights, redundancy payments, NCI table) read directly for the anchors
qualitative: 0777.HK_Analysis.json (2026-10-11): business model, guidance (HKD600m payout commitment, AI workload 50% target, FY2026 full cost-saving realisation), bull/bear cases
fx: Yahoo Finance CNYHKD=X 1.1721 at 2026-10-10T03:38:28Z</t>
  </si>
  <si>
    <t xml:space="preserve">Scenario narrative: bear</t>
  </si>
  <si>
    <t xml:space="preserve">The FY2022-25 revenue decline continues at a decelerating pace through the whole decade: 15-20-year-old IPs lose engagement, no replacement title ships, Mynd.ai stays loss-making in a commoditised panel market, redundancy charges recur and the cash tax rate stays above 35%. Owner FCF falls from ~RMB280m toward ~RMB150m and the terminal value is capped at 10x on zero growth. The shareholder-return commitment is then funded from the deposits and the ETH holdings become the swing asset.</t>
  </si>
  <si>
    <t xml:space="preserve">Scenario narrative: base</t>
  </si>
  <si>
    <t xml:space="preserve">Revenue contracts a further 6% in FY2026 and 2% in FY2027 then flattens; the gaming line has already stabilised half-on-half (+3.1% HoH in H1 FY2026) while Mynd.ai hardware keeps shrinking. The FY2025 cost programme (opex -22%, RMB221m redundancy cash) is fully in the FY2026 run rate, so the normalised pre-SBC EBITDA margin holds ~21.5% and edges to 23.5% as Mynd.ai's loss halves. The cash tax wedge (PRC tax on gaming, unrelieved Mynd.ai losses) ramps down from 42% to 25%. Owner FCF runs ~RMB350-450m, 8-10% of revenue, below the ~RMB510m/yr (HKD600m) payout commitment, so the RMB1.9bn bridge is partly distributed rather than reinvested.</t>
  </si>
  <si>
    <t xml:space="preserve">Scenario narrative: bull</t>
  </si>
  <si>
    <t xml:space="preserve">Gaming returns to low-single-digit growth as AI cuts development cost and the Eudemons/Conquer communities keep monetising; Mynd.ai reaches breakeven by FY2029 on SaaS mix and the AI-employee cost base; moyu AI and government education-AI contracts (Thailand, Cameroon, Volcengine) add a few points of growth from FY2028. Margin reaches 27% and cash tax normalises at 25% as the loss drag disappears.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</si>
  <si>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</si>
  <si>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</si>
  <si>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</si>
  <si>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</si>
  <si>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</si>
  <si>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</si>
  <si>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</si>
  <si>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</si>
  <si>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</si>
  <si>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</si>
  <si>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</si>
  <si>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</si>
  <si>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</si>
  <si>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</si>
  <si>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</si>
  <si>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</si>
  <si>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</si>
  <si>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</si>
  <si>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</si>
  <si>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</si>
  <si>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</si>
  <si>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</si>
  <si>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</si>
  <si>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</si>
  <si>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</si>
  <si>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</si>
  <si>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</si>
  <si>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</si>
  <si>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</si>
  <si>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</si>
  <si>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</si>
  <si>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</si>
  <si>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</si>
  <si>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</si>
  <si>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</si>
  <si>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</si>
  <si>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</si>
  <si>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</si>
  <si>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</si>
  <si>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</si>
  <si>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</si>
  <si>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</si>
  <si>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</si>
  <si>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</si>
  <si>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</si>
  <si>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</si>
  <si>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</si>
  <si>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</si>
  <si>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</si>
  <si>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</si>
  <si>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</si>
  <si>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</si>
  <si>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</si>
  <si>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</si>
  <si>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</si>
  <si>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</si>
  <si>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</si>
  <si>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</si>
  <si>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</si>
  <si>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</si>
  <si>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</si>
  <si>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</si>
  <si>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</si>
  <si>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</si>
  <si>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</si>
  <si>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</si>
  <si>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</si>
  <si>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</si>
  <si>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</si>
  <si>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</si>
  <si>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</si>
  <si>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</si>
  <si>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</si>
  <si>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0777.HK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</si>
  <si>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</si>
  <si>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</si>
  <si>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</si>
  <si>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</si>
  <si>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</si>
  <si>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</si>
  <si>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</si>
  <si>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</si>
  <si>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</si>
  <si>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</si>
  <si>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</si>
  <si>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</si>
  <si>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</si>
  <si>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</si>
  <si>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</si>
  <si>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</si>
  <si>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</si>
  <si>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</si>
  <si>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</si>
  <si>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</si>
  <si>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</si>
  <si>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</si>
  <si>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</si>
  <si>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</si>
  <si>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</si>
  <si>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</si>
  <si>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</si>
  <si>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</si>
  <si>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</si>
  <si>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</si>
  <si>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0777.HK owner-FCF component DCF: base case (millions, CNY)</t>
  </si>
  <si>
    <t xml:space="preserve">0777.HK owner-FCF component DCF: bull case (millions, CNY)</t>
  </si>
  <si>
    <t xml:space="preserve">0777.HK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</si>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</sst>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8.015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3867.6</v>
      </c>
      <c r="C2" s="0" t="n">
        <v>1687.9</v>
      </c>
      <c r="D2" s="0" t="n">
        <v>2179.8</v>
      </c>
      <c r="E2" s="0" t="n">
        <v>56.4</v>
      </c>
      <c r="F2" s="0" t="n">
        <v>-30</v>
      </c>
      <c r="G2" s="0" t="n">
        <v>-0.8</v>
      </c>
      <c r="H2" s="0" t="n">
        <v>226.4</v>
      </c>
      <c r="I2" s="0" t="n">
        <v>-20.8</v>
      </c>
      <c r="J2" s="0" t="n">
        <v>-0.5</v>
      </c>
      <c r="K2" s="0" t="n">
        <v>-0.0412</v>
      </c>
      <c r="L2" s="0" t="n">
        <v>337.1</v>
      </c>
      <c r="M2" s="0" t="n">
        <v>380.1</v>
      </c>
      <c r="N2" s="0" t="n">
        <v>-43</v>
      </c>
      <c r="O2" s="0" t="n">
        <v>4549.2</v>
      </c>
      <c r="P2" s="0" t="n">
        <v>5835.7</v>
      </c>
      <c r="Q2" s="0" t="n">
        <v>1351.6</v>
      </c>
      <c r="R2" s="0" t="n">
        <v>328</v>
      </c>
      <c r="S2" s="0" t="n">
        <v>1578.5</v>
      </c>
      <c r="T2" s="0" t="n">
        <v>506.1</v>
      </c>
      <c r="U2" s="0" t="n">
        <v>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5037.5</v>
      </c>
      <c r="C3" s="0" t="n">
        <v>1990.3</v>
      </c>
      <c r="D3" s="0" t="n">
        <v>3047.2</v>
      </c>
      <c r="E3" s="0" t="n">
        <v>60.5</v>
      </c>
      <c r="F3" s="0" t="n">
        <v>526.4</v>
      </c>
      <c r="G3" s="0" t="n">
        <v>10.4</v>
      </c>
      <c r="H3" s="0" t="n">
        <v>778.3</v>
      </c>
      <c r="I3" s="0" t="n">
        <v>545.6</v>
      </c>
      <c r="J3" s="0" t="n">
        <v>10.8</v>
      </c>
      <c r="K3" s="0" t="n">
        <v>1.0227</v>
      </c>
      <c r="L3" s="0" t="n">
        <v>694.1</v>
      </c>
      <c r="M3" s="0" t="n">
        <v>503</v>
      </c>
      <c r="N3" s="0" t="n">
        <v>191.1</v>
      </c>
      <c r="O3" s="0" t="n">
        <v>4932.8</v>
      </c>
      <c r="P3" s="0" t="n">
        <v>6745.9</v>
      </c>
      <c r="Q3" s="0" t="n">
        <v>1947</v>
      </c>
      <c r="R3" s="0" t="n">
        <v>433.7</v>
      </c>
      <c r="S3" s="0" t="n">
        <v>1483.4</v>
      </c>
      <c r="T3" s="0" t="n">
        <v>532.7</v>
      </c>
      <c r="U3" s="0" t="n">
        <v>21.7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5793.1</v>
      </c>
      <c r="C4" s="0" t="n">
        <v>1937.8</v>
      </c>
      <c r="D4" s="0" t="n">
        <v>3855.3</v>
      </c>
      <c r="E4" s="0" t="n">
        <v>66.5</v>
      </c>
      <c r="F4" s="0" t="n">
        <v>778.2</v>
      </c>
      <c r="G4" s="0" t="n">
        <v>13.4</v>
      </c>
      <c r="H4" s="0" t="n">
        <v>1132.4</v>
      </c>
      <c r="I4" s="0" t="n">
        <v>807.2</v>
      </c>
      <c r="J4" s="0" t="n">
        <v>13.9</v>
      </c>
      <c r="K4" s="0" t="n">
        <v>1.5217</v>
      </c>
      <c r="L4" s="0" t="n">
        <v>1175.8</v>
      </c>
      <c r="M4" s="0" t="n">
        <v>436.5</v>
      </c>
      <c r="N4" s="0" t="n">
        <v>739.3</v>
      </c>
      <c r="O4" s="0" t="n">
        <v>5596.3</v>
      </c>
      <c r="P4" s="0" t="n">
        <v>7756.9</v>
      </c>
      <c r="Q4" s="0" t="n">
        <v>2395.9</v>
      </c>
      <c r="R4" s="0" t="n">
        <v>407.2</v>
      </c>
      <c r="S4" s="0" t="n">
        <v>2125.6</v>
      </c>
      <c r="T4" s="0" t="n">
        <v>528.7</v>
      </c>
      <c r="U4" s="0" t="n">
        <v>11.5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6137.6</v>
      </c>
      <c r="C5" s="0" t="n">
        <v>1966.4</v>
      </c>
      <c r="D5" s="0" t="n">
        <v>4171.3</v>
      </c>
      <c r="E5" s="0" t="n">
        <v>68</v>
      </c>
      <c r="F5" s="0" t="n">
        <v>1087.5</v>
      </c>
      <c r="G5" s="0" t="n">
        <v>17.7</v>
      </c>
      <c r="H5" s="0" t="n">
        <v>1477.8</v>
      </c>
      <c r="I5" s="0" t="n">
        <v>953.5</v>
      </c>
      <c r="J5" s="0" t="n">
        <v>15.5</v>
      </c>
      <c r="K5" s="0" t="n">
        <v>1.7096</v>
      </c>
      <c r="L5" s="0" t="n">
        <v>1329.7</v>
      </c>
      <c r="M5" s="0" t="n">
        <v>317.3</v>
      </c>
      <c r="N5" s="0" t="n">
        <v>1012.4</v>
      </c>
      <c r="O5" s="0" t="n">
        <v>6807.3</v>
      </c>
      <c r="P5" s="0" t="n">
        <v>9993.2</v>
      </c>
      <c r="Q5" s="0" t="n">
        <v>3341.3</v>
      </c>
      <c r="R5" s="0" t="n">
        <v>1337.8</v>
      </c>
      <c r="S5" s="0" t="n">
        <v>4114.4</v>
      </c>
      <c r="T5" s="0" t="n">
        <v>557</v>
      </c>
      <c r="U5" s="0" t="n">
        <v>32.1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7035.5</v>
      </c>
      <c r="C6" s="0" t="n">
        <v>2512.9</v>
      </c>
      <c r="D6" s="0" t="n">
        <v>4522.6</v>
      </c>
      <c r="E6" s="0" t="n">
        <v>64.3</v>
      </c>
      <c r="F6" s="0" t="n">
        <v>1385.5</v>
      </c>
      <c r="G6" s="0" t="n">
        <v>19.7</v>
      </c>
      <c r="H6" s="0" t="n">
        <v>1792.6</v>
      </c>
      <c r="I6" s="0" t="n">
        <v>1062.1</v>
      </c>
      <c r="J6" s="0" t="n">
        <v>15.1</v>
      </c>
      <c r="K6" s="0" t="n">
        <v>1.9158</v>
      </c>
      <c r="L6" s="0" t="n">
        <v>1026.7</v>
      </c>
      <c r="M6" s="0" t="n">
        <v>430.8</v>
      </c>
      <c r="N6" s="0" t="n">
        <v>595.9</v>
      </c>
      <c r="O6" s="0" t="n">
        <v>7314.4</v>
      </c>
      <c r="P6" s="0" t="n">
        <v>10884.8</v>
      </c>
      <c r="Q6" s="0" t="n">
        <v>3810.2</v>
      </c>
      <c r="R6" s="0" t="n">
        <v>1487.8</v>
      </c>
      <c r="S6" s="0" t="n">
        <v>3717.2</v>
      </c>
      <c r="T6" s="0" t="n">
        <v>554.1</v>
      </c>
      <c r="U6" s="0" t="n">
        <v>13.9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7866</v>
      </c>
      <c r="C7" s="0" t="n">
        <v>3551</v>
      </c>
      <c r="D7" s="0" t="n">
        <v>4315</v>
      </c>
      <c r="E7" s="0" t="n">
        <v>54.9</v>
      </c>
      <c r="F7" s="0" t="n">
        <v>1150</v>
      </c>
      <c r="G7" s="0" t="n">
        <v>14.6</v>
      </c>
      <c r="H7" s="0" t="n">
        <v>1542</v>
      </c>
      <c r="I7" s="0" t="n">
        <v>834</v>
      </c>
      <c r="J7" s="0" t="n">
        <v>10.6</v>
      </c>
      <c r="K7" s="0" t="n">
        <v>1.5414</v>
      </c>
      <c r="L7" s="0" t="n">
        <v>1070</v>
      </c>
      <c r="M7" s="0" t="n">
        <v>294</v>
      </c>
      <c r="N7" s="0" t="n">
        <v>776</v>
      </c>
      <c r="O7" s="0" t="n">
        <v>6899</v>
      </c>
      <c r="P7" s="0" t="n">
        <v>11031</v>
      </c>
      <c r="Q7" s="0" t="n">
        <v>4432</v>
      </c>
      <c r="R7" s="0" t="n">
        <v>2072</v>
      </c>
      <c r="S7" s="0" t="n">
        <v>3701</v>
      </c>
      <c r="T7" s="0" t="n">
        <v>540.7</v>
      </c>
      <c r="U7" s="0" t="n">
        <v>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7101</v>
      </c>
      <c r="C8" s="0" t="n">
        <v>2703</v>
      </c>
      <c r="D8" s="0" t="n">
        <v>4398</v>
      </c>
      <c r="E8" s="0" t="n">
        <v>61.9</v>
      </c>
      <c r="F8" s="0" t="n">
        <v>821</v>
      </c>
      <c r="G8" s="0" t="n">
        <v>11.6</v>
      </c>
      <c r="H8" s="0" t="n">
        <v>1242</v>
      </c>
      <c r="I8" s="0" t="n">
        <v>550</v>
      </c>
      <c r="J8" s="0" t="n">
        <v>7.7</v>
      </c>
      <c r="K8" s="0" t="n">
        <v>1.03</v>
      </c>
      <c r="L8" s="0" t="n">
        <v>1115</v>
      </c>
      <c r="M8" s="0" t="n">
        <v>622</v>
      </c>
      <c r="N8" s="0" t="n">
        <v>493</v>
      </c>
      <c r="O8" s="0" t="n">
        <v>5895</v>
      </c>
      <c r="P8" s="0" t="n">
        <v>10382</v>
      </c>
      <c r="Q8" s="0" t="n">
        <v>4208</v>
      </c>
      <c r="R8" s="0" t="n">
        <v>1647</v>
      </c>
      <c r="S8" s="0" t="n">
        <v>2241</v>
      </c>
      <c r="T8" s="0" t="n">
        <v>534.1</v>
      </c>
      <c r="U8" s="0" t="n">
        <v>104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6047</v>
      </c>
      <c r="C9" s="0" t="n">
        <v>2105</v>
      </c>
      <c r="D9" s="0" t="n">
        <v>3942</v>
      </c>
      <c r="E9" s="0" t="n">
        <v>65.2</v>
      </c>
      <c r="F9" s="0" t="n">
        <v>745</v>
      </c>
      <c r="G9" s="0" t="n">
        <v>12.3</v>
      </c>
      <c r="H9" s="0" t="n">
        <v>1246</v>
      </c>
      <c r="I9" s="0" t="n">
        <v>311</v>
      </c>
      <c r="J9" s="0" t="n">
        <v>5.1</v>
      </c>
      <c r="K9" s="0" t="n">
        <v>0.586</v>
      </c>
      <c r="L9" s="0" t="n">
        <v>1052</v>
      </c>
      <c r="M9" s="0" t="n">
        <v>761</v>
      </c>
      <c r="N9" s="0" t="n">
        <v>291</v>
      </c>
      <c r="O9" s="0" t="n">
        <v>5827</v>
      </c>
      <c r="P9" s="0" t="n">
        <v>10432</v>
      </c>
      <c r="Q9" s="0" t="n">
        <v>4566</v>
      </c>
      <c r="R9" s="0" t="n">
        <v>2420</v>
      </c>
      <c r="S9" s="0" t="n">
        <v>2498</v>
      </c>
      <c r="T9" s="0" t="n">
        <v>531.1</v>
      </c>
      <c r="U9" s="0" t="n">
        <v>27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4475</v>
      </c>
      <c r="C10" s="0" t="n">
        <v>1329</v>
      </c>
      <c r="D10" s="0" t="n">
        <v>3146</v>
      </c>
      <c r="E10" s="0" t="n">
        <v>70.3</v>
      </c>
      <c r="F10" s="0" t="n">
        <v>280</v>
      </c>
      <c r="G10" s="0" t="n">
        <v>6.3</v>
      </c>
      <c r="H10" s="0" t="n">
        <v>722</v>
      </c>
      <c r="I10" s="0" t="n">
        <v>151</v>
      </c>
      <c r="J10" s="0" t="n">
        <v>3.4</v>
      </c>
      <c r="K10" s="0" t="n">
        <v>0.2858</v>
      </c>
      <c r="L10" s="0" t="n">
        <v>378</v>
      </c>
      <c r="M10" s="0" t="n">
        <v>524</v>
      </c>
      <c r="N10" s="0" t="n">
        <v>-146</v>
      </c>
      <c r="O10" s="0" t="n">
        <v>5433</v>
      </c>
      <c r="P10" s="0" t="n">
        <v>9933</v>
      </c>
      <c r="Q10" s="0" t="n">
        <v>4545</v>
      </c>
      <c r="R10" s="0" t="n">
        <v>2784</v>
      </c>
      <c r="S10" s="0" t="n">
        <v>1545</v>
      </c>
      <c r="T10" s="0" t="n">
        <v>530</v>
      </c>
      <c r="U10" s="0" t="n">
        <v>23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8.015</v>
      </c>
    </row>
    <row r="3" customFormat="false" ht="15" hidden="false" customHeight="false" outlineLevel="0" collapsed="false">
      <c r="A3" s="0" t="s">
        <v>76</v>
      </c>
      <c r="B3" s="3" t="n">
        <v>526.1</v>
      </c>
    </row>
    <row r="4" customFormat="false" ht="15" hidden="false" customHeight="false" outlineLevel="0" collapsed="false">
      <c r="A4" s="0" t="s">
        <v>77</v>
      </c>
      <c r="B4" s="3" t="n">
        <v>-976</v>
      </c>
    </row>
    <row r="5" customFormat="false" ht="15" hidden="false" customHeight="false" outlineLevel="0" collapsed="false">
      <c r="A5" s="0" t="s">
        <v>78</v>
      </c>
      <c r="B5" s="3" t="n">
        <v>619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4475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-10</v>
      </c>
      <c r="D13" s="3" t="n">
        <v>-8</v>
      </c>
      <c r="E13" s="3" t="n">
        <v>-6</v>
      </c>
      <c r="F13" s="3" t="n">
        <v>-5</v>
      </c>
      <c r="G13" s="3" t="n">
        <v>-4</v>
      </c>
      <c r="H13" s="3" t="n">
        <v>-3</v>
      </c>
      <c r="I13" s="3" t="n">
        <v>-3</v>
      </c>
      <c r="J13" s="3" t="n">
        <v>-2</v>
      </c>
      <c r="K13" s="3" t="n">
        <v>-2</v>
      </c>
      <c r="L13" s="3" t="n">
        <v>-2</v>
      </c>
    </row>
    <row r="14" customFormat="false" ht="15" hidden="false" customHeight="false" outlineLevel="0" collapsed="false">
      <c r="A14" s="0" t="s">
        <v>97</v>
      </c>
      <c r="C14" s="3" t="n">
        <v>19.5</v>
      </c>
      <c r="D14" s="3" t="n">
        <v>18.5</v>
      </c>
      <c r="E14" s="3" t="n">
        <v>18</v>
      </c>
      <c r="F14" s="3" t="n">
        <v>17.5</v>
      </c>
      <c r="G14" s="3" t="n">
        <v>17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98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99</v>
      </c>
      <c r="C16" s="3" t="n">
        <v>1.2</v>
      </c>
      <c r="D16" s="3" t="n">
        <v>1.2</v>
      </c>
      <c r="E16" s="3" t="n">
        <v>1.2</v>
      </c>
      <c r="F16" s="3" t="n">
        <v>1.2</v>
      </c>
      <c r="G16" s="3" t="n">
        <v>1.2</v>
      </c>
      <c r="H16" s="3" t="n">
        <v>1.2</v>
      </c>
      <c r="I16" s="3" t="n">
        <v>1.2</v>
      </c>
      <c r="J16" s="3" t="n">
        <v>1.2</v>
      </c>
      <c r="K16" s="3" t="n">
        <v>1.2</v>
      </c>
      <c r="L16" s="3" t="n">
        <v>1.2</v>
      </c>
    </row>
    <row r="17" customFormat="false" ht="15" hidden="false" customHeight="false" outlineLevel="0" collapsed="false">
      <c r="A17" s="0" t="s">
        <v>100</v>
      </c>
      <c r="C17" s="3" t="n">
        <v>7.5</v>
      </c>
      <c r="D17" s="3" t="n">
        <v>7</v>
      </c>
      <c r="E17" s="3" t="n">
        <v>6.5</v>
      </c>
      <c r="F17" s="3" t="n">
        <v>6</v>
      </c>
      <c r="G17" s="3" t="n">
        <v>6</v>
      </c>
      <c r="H17" s="3" t="n">
        <v>6</v>
      </c>
      <c r="I17" s="3" t="n">
        <v>6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101</v>
      </c>
      <c r="C18" s="3" t="n">
        <v>4.5</v>
      </c>
      <c r="D18" s="3" t="n">
        <v>4.75</v>
      </c>
      <c r="E18" s="3" t="n">
        <v>5</v>
      </c>
      <c r="F18" s="3" t="n">
        <v>5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102</v>
      </c>
      <c r="C19" s="3" t="n">
        <v>45</v>
      </c>
      <c r="D19" s="3" t="n">
        <v>44</v>
      </c>
      <c r="E19" s="3" t="n">
        <v>42</v>
      </c>
      <c r="F19" s="3" t="n">
        <v>40</v>
      </c>
      <c r="G19" s="3" t="n">
        <v>38</v>
      </c>
      <c r="H19" s="3" t="n">
        <v>36</v>
      </c>
      <c r="I19" s="3" t="n">
        <v>35</v>
      </c>
      <c r="J19" s="3" t="n">
        <v>35</v>
      </c>
      <c r="K19" s="3" t="n">
        <v>35</v>
      </c>
      <c r="L19" s="3" t="n">
        <v>35</v>
      </c>
    </row>
    <row r="20" customFormat="false" ht="15" hidden="false" customHeight="false" outlineLevel="0" collapsed="false">
      <c r="A20" s="0" t="s">
        <v>103</v>
      </c>
      <c r="B20" s="3" t="n">
        <v>11</v>
      </c>
    </row>
    <row r="21" customFormat="false" ht="15" hidden="false" customHeight="false" outlineLevel="0" collapsed="false">
      <c r="A21" s="0" t="s">
        <v>104</v>
      </c>
      <c r="B21" s="3" t="n">
        <v>0</v>
      </c>
    </row>
    <row r="22" customFormat="false" ht="15" hidden="false" customHeight="false" outlineLevel="0" collapsed="false">
      <c r="A22" s="0" t="s">
        <v>105</v>
      </c>
      <c r="B22" s="3" t="n">
        <v>10</v>
      </c>
    </row>
    <row r="23" customFormat="false" ht="15" hidden="false" customHeight="false" outlineLevel="0" collapsed="false">
      <c r="A23" s="0" t="s">
        <v>106</v>
      </c>
      <c r="B23" s="3" t="n">
        <v>15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-6</v>
      </c>
      <c r="D27" s="3" t="n">
        <v>-2</v>
      </c>
      <c r="E27" s="3" t="n">
        <v>0</v>
      </c>
      <c r="F27" s="3" t="n">
        <v>1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20.5</v>
      </c>
      <c r="D28" s="3" t="n">
        <v>21</v>
      </c>
      <c r="E28" s="3" t="n">
        <v>21.5</v>
      </c>
      <c r="F28" s="3" t="n">
        <v>22.5</v>
      </c>
      <c r="G28" s="3" t="n">
        <v>23</v>
      </c>
      <c r="H28" s="3" t="n">
        <v>23.5</v>
      </c>
      <c r="I28" s="3" t="n">
        <v>23.5</v>
      </c>
      <c r="J28" s="3" t="n">
        <v>23.5</v>
      </c>
      <c r="K28" s="3" t="n">
        <v>23.5</v>
      </c>
      <c r="L28" s="3" t="n">
        <v>23.5</v>
      </c>
    </row>
    <row r="29" customFormat="false" ht="15" hidden="false" customHeight="false" outlineLevel="0" collapsed="false">
      <c r="A29" s="0" t="s">
        <v>98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99</v>
      </c>
      <c r="C30" s="3" t="n">
        <v>1.2</v>
      </c>
      <c r="D30" s="3" t="n">
        <v>1.2</v>
      </c>
      <c r="E30" s="3" t="n">
        <v>1.2</v>
      </c>
      <c r="F30" s="3" t="n">
        <v>1.2</v>
      </c>
      <c r="G30" s="3" t="n">
        <v>1.2</v>
      </c>
      <c r="H30" s="3" t="n">
        <v>1.2</v>
      </c>
      <c r="I30" s="3" t="n">
        <v>1.2</v>
      </c>
      <c r="J30" s="3" t="n">
        <v>1.2</v>
      </c>
      <c r="K30" s="3" t="n">
        <v>1.2</v>
      </c>
      <c r="L30" s="3" t="n">
        <v>1.2</v>
      </c>
    </row>
    <row r="31" customFormat="false" ht="15" hidden="false" customHeight="false" outlineLevel="0" collapsed="false">
      <c r="A31" s="0" t="s">
        <v>100</v>
      </c>
      <c r="C31" s="3" t="n">
        <v>7.5</v>
      </c>
      <c r="D31" s="3" t="n">
        <v>7</v>
      </c>
      <c r="E31" s="3" t="n">
        <v>6.5</v>
      </c>
      <c r="F31" s="3" t="n">
        <v>6</v>
      </c>
      <c r="G31" s="3" t="n">
        <v>6</v>
      </c>
      <c r="H31" s="3" t="n">
        <v>5.75</v>
      </c>
      <c r="I31" s="3" t="n">
        <v>5.5</v>
      </c>
      <c r="J31" s="3" t="n">
        <v>5.5</v>
      </c>
      <c r="K31" s="3" t="n">
        <v>5.5</v>
      </c>
      <c r="L31" s="3" t="n">
        <v>5.5</v>
      </c>
    </row>
    <row r="32" customFormat="false" ht="15" hidden="false" customHeight="false" outlineLevel="0" collapsed="false">
      <c r="A32" s="0" t="s">
        <v>101</v>
      </c>
      <c r="C32" s="3" t="n">
        <v>4.5</v>
      </c>
      <c r="D32" s="3" t="n">
        <v>4.75</v>
      </c>
      <c r="E32" s="3" t="n">
        <v>5</v>
      </c>
      <c r="F32" s="3" t="n">
        <v>5</v>
      </c>
      <c r="G32" s="3" t="n">
        <v>5.25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102</v>
      </c>
      <c r="C33" s="3" t="n">
        <v>42</v>
      </c>
      <c r="D33" s="3" t="n">
        <v>40</v>
      </c>
      <c r="E33" s="3" t="n">
        <v>37</v>
      </c>
      <c r="F33" s="3" t="n">
        <v>34</v>
      </c>
      <c r="G33" s="3" t="n">
        <v>32</v>
      </c>
      <c r="H33" s="3" t="n">
        <v>30</v>
      </c>
      <c r="I33" s="3" t="n">
        <v>28</v>
      </c>
      <c r="J33" s="3" t="n">
        <v>27</v>
      </c>
      <c r="K33" s="3" t="n">
        <v>26</v>
      </c>
      <c r="L33" s="3" t="n">
        <v>25</v>
      </c>
    </row>
    <row r="34" customFormat="false" ht="15" hidden="false" customHeight="false" outlineLevel="0" collapsed="false">
      <c r="A34" s="0" t="s">
        <v>103</v>
      </c>
      <c r="B34" s="3" t="n">
        <v>11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15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-4</v>
      </c>
      <c r="D41" s="3" t="n">
        <v>1</v>
      </c>
      <c r="E41" s="3" t="n">
        <v>4</v>
      </c>
      <c r="F41" s="3" t="n">
        <v>5</v>
      </c>
      <c r="G41" s="3" t="n">
        <v>5</v>
      </c>
      <c r="H41" s="3" t="n">
        <v>4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22.5</v>
      </c>
      <c r="D42" s="3" t="n">
        <v>23.5</v>
      </c>
      <c r="E42" s="3" t="n">
        <v>24.5</v>
      </c>
      <c r="F42" s="3" t="n">
        <v>25.5</v>
      </c>
      <c r="G42" s="3" t="n">
        <v>26.5</v>
      </c>
      <c r="H42" s="3" t="n">
        <v>27</v>
      </c>
      <c r="I42" s="3" t="n">
        <v>27</v>
      </c>
      <c r="J42" s="3" t="n">
        <v>27</v>
      </c>
      <c r="K42" s="3" t="n">
        <v>27</v>
      </c>
      <c r="L42" s="3" t="n">
        <v>27</v>
      </c>
    </row>
    <row r="43" customFormat="false" ht="15" hidden="false" customHeight="false" outlineLevel="0" collapsed="false">
      <c r="A43" s="0" t="s">
        <v>98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99</v>
      </c>
      <c r="C44" s="3" t="n">
        <v>1.2</v>
      </c>
      <c r="D44" s="3" t="n">
        <v>1.2</v>
      </c>
      <c r="E44" s="3" t="n">
        <v>1.2</v>
      </c>
      <c r="F44" s="3" t="n">
        <v>1.2</v>
      </c>
      <c r="G44" s="3" t="n">
        <v>1.2</v>
      </c>
      <c r="H44" s="3" t="n">
        <v>1.2</v>
      </c>
      <c r="I44" s="3" t="n">
        <v>1.2</v>
      </c>
      <c r="J44" s="3" t="n">
        <v>1.2</v>
      </c>
      <c r="K44" s="3" t="n">
        <v>1.2</v>
      </c>
      <c r="L44" s="3" t="n">
        <v>1.2</v>
      </c>
    </row>
    <row r="45" customFormat="false" ht="15" hidden="false" customHeight="false" outlineLevel="0" collapsed="false">
      <c r="A45" s="0" t="s">
        <v>100</v>
      </c>
      <c r="C45" s="3" t="n">
        <v>7.5</v>
      </c>
      <c r="D45" s="3" t="n">
        <v>7</v>
      </c>
      <c r="E45" s="3" t="n">
        <v>6.5</v>
      </c>
      <c r="F45" s="3" t="n">
        <v>6</v>
      </c>
      <c r="G45" s="3" t="n">
        <v>6</v>
      </c>
      <c r="H45" s="3" t="n">
        <v>5.75</v>
      </c>
      <c r="I45" s="3" t="n">
        <v>5.5</v>
      </c>
      <c r="J45" s="3" t="n">
        <v>5.5</v>
      </c>
      <c r="K45" s="3" t="n">
        <v>5.5</v>
      </c>
      <c r="L45" s="3" t="n">
        <v>5.5</v>
      </c>
    </row>
    <row r="46" customFormat="false" ht="15" hidden="false" customHeight="false" outlineLevel="0" collapsed="false">
      <c r="A46" s="0" t="s">
        <v>101</v>
      </c>
      <c r="C46" s="3" t="n">
        <v>4.5</v>
      </c>
      <c r="D46" s="3" t="n">
        <v>4.75</v>
      </c>
      <c r="E46" s="3" t="n">
        <v>5</v>
      </c>
      <c r="F46" s="3" t="n">
        <v>5</v>
      </c>
      <c r="G46" s="3" t="n">
        <v>5.25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102</v>
      </c>
      <c r="C47" s="3" t="n">
        <v>40</v>
      </c>
      <c r="D47" s="3" t="n">
        <v>37</v>
      </c>
      <c r="E47" s="3" t="n">
        <v>33</v>
      </c>
      <c r="F47" s="3" t="n">
        <v>30</v>
      </c>
      <c r="G47" s="3" t="n">
        <v>28</v>
      </c>
      <c r="H47" s="3" t="n">
        <v>26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103</v>
      </c>
      <c r="B48" s="3" t="n">
        <v>11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14</v>
      </c>
    </row>
    <row r="51" customFormat="false" ht="15" hidden="false" customHeight="false" outlineLevel="0" collapsed="false">
      <c r="A51" s="0" t="s">
        <v>106</v>
      </c>
      <c r="B51" s="3" t="n">
        <v>15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-10</v>
      </c>
      <c r="D5" s="4" t="n">
        <f aca="false">Assumptions!D13</f>
        <v>-8</v>
      </c>
      <c r="E5" s="4" t="n">
        <f aca="false">Assumptions!E13</f>
        <v>-6</v>
      </c>
      <c r="F5" s="4" t="n">
        <f aca="false">Assumptions!F13</f>
        <v>-5</v>
      </c>
      <c r="G5" s="4" t="n">
        <f aca="false">Assumptions!G13</f>
        <v>-4</v>
      </c>
      <c r="H5" s="4" t="n">
        <f aca="false">Assumptions!H13</f>
        <v>-3</v>
      </c>
      <c r="I5" s="4" t="n">
        <f aca="false">Assumptions!I13</f>
        <v>-3</v>
      </c>
      <c r="J5" s="4" t="n">
        <f aca="false">Assumptions!J13</f>
        <v>-2</v>
      </c>
      <c r="K5" s="4" t="n">
        <f aca="false">Assumptions!K13</f>
        <v>-2</v>
      </c>
      <c r="L5" s="4" t="n">
        <f aca="false">Assumptions!L13</f>
        <v>-2</v>
      </c>
    </row>
    <row r="6" customFormat="false" ht="15" hidden="false" customHeight="false" outlineLevel="0" collapsed="false">
      <c r="A6" s="0" t="s">
        <v>38</v>
      </c>
      <c r="B6" s="3" t="n">
        <v>4475</v>
      </c>
      <c r="C6" s="0" t="n">
        <f aca="false">B6*(1+C5/100)</f>
        <v>4027.5</v>
      </c>
      <c r="D6" s="0" t="n">
        <f aca="false">C6*(1+D5/100)</f>
        <v>3705.3</v>
      </c>
      <c r="E6" s="0" t="n">
        <f aca="false">D6*(1+E5/100)</f>
        <v>3482.982</v>
      </c>
      <c r="F6" s="0" t="n">
        <f aca="false">E6*(1+F5/100)</f>
        <v>3308.8329</v>
      </c>
      <c r="G6" s="0" t="n">
        <f aca="false">F6*(1+G5/100)</f>
        <v>3176.479584</v>
      </c>
      <c r="H6" s="0" t="n">
        <f aca="false">G6*(1+H5/100)</f>
        <v>3081.18519648</v>
      </c>
      <c r="I6" s="0" t="n">
        <f aca="false">H6*(1+I5/100)</f>
        <v>2988.7496405856</v>
      </c>
      <c r="J6" s="0" t="n">
        <f aca="false">I6*(1+J5/100)</f>
        <v>2928.97464777389</v>
      </c>
      <c r="K6" s="0" t="n">
        <f aca="false">J6*(1+K5/100)</f>
        <v>2870.39515481841</v>
      </c>
      <c r="L6" s="0" t="n">
        <f aca="false">K6*(1+L5/100)</f>
        <v>2812.98725172204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19.5</v>
      </c>
      <c r="D7" s="4" t="n">
        <f aca="false">Assumptions!D14</f>
        <v>18.5</v>
      </c>
      <c r="E7" s="4" t="n">
        <f aca="false">Assumptions!E14</f>
        <v>18</v>
      </c>
      <c r="F7" s="4" t="n">
        <f aca="false">Assumptions!F14</f>
        <v>17.5</v>
      </c>
      <c r="G7" s="4" t="n">
        <f aca="false">Assumptions!G14</f>
        <v>17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785.3625</v>
      </c>
      <c r="D8" s="0" t="n">
        <f aca="false">D6*D7/100</f>
        <v>685.4805</v>
      </c>
      <c r="E8" s="0" t="n">
        <f aca="false">E6*E7/100</f>
        <v>626.93676</v>
      </c>
      <c r="F8" s="0" t="n">
        <f aca="false">F6*F7/100</f>
        <v>579.0457575</v>
      </c>
      <c r="G8" s="0" t="n">
        <f aca="false">G6*G7/100</f>
        <v>540.00152928</v>
      </c>
      <c r="H8" s="0" t="n">
        <f aca="false">H6*H7/100</f>
        <v>523.8014834016</v>
      </c>
      <c r="I8" s="0" t="n">
        <f aca="false">I6*I7/100</f>
        <v>508.087438899552</v>
      </c>
      <c r="J8" s="0" t="n">
        <f aca="false">J6*J7/100</f>
        <v>497.925690121561</v>
      </c>
      <c r="K8" s="0" t="n">
        <f aca="false">K6*K7/100</f>
        <v>487.96717631913</v>
      </c>
      <c r="L8" s="0" t="n">
        <f aca="false">L6*L7/100</f>
        <v>478.207832792747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-20.1375</v>
      </c>
      <c r="D10" s="0" t="n">
        <f aca="false">-D6*D9/100</f>
        <v>-18.5265</v>
      </c>
      <c r="E10" s="0" t="n">
        <f aca="false">-E6*E9/100</f>
        <v>-17.41491</v>
      </c>
      <c r="F10" s="0" t="n">
        <f aca="false">-F6*F9/100</f>
        <v>-16.5441645</v>
      </c>
      <c r="G10" s="0" t="n">
        <f aca="false">-G6*G9/100</f>
        <v>-15.88239792</v>
      </c>
      <c r="H10" s="0" t="n">
        <f aca="false">-H6*H9/100</f>
        <v>-15.4059259824</v>
      </c>
      <c r="I10" s="0" t="n">
        <f aca="false">-I6*I9/100</f>
        <v>-14.943748202928</v>
      </c>
      <c r="J10" s="0" t="n">
        <f aca="false">-J6*J9/100</f>
        <v>-14.6448732388694</v>
      </c>
      <c r="K10" s="0" t="n">
        <f aca="false">-K6*K9/100</f>
        <v>-14.3519757740921</v>
      </c>
      <c r="L10" s="0" t="n">
        <f aca="false">-L6*L9/100</f>
        <v>-14.0649362586102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716.895</v>
      </c>
      <c r="D11" s="0" t="n">
        <f aca="false">D8+D10+D24</f>
        <v>622.4904</v>
      </c>
      <c r="E11" s="0" t="n">
        <f aca="false">E8+E10+E24</f>
        <v>567.726066</v>
      </c>
      <c r="F11" s="0" t="n">
        <f aca="false">F8+F10+F24</f>
        <v>522.7955982</v>
      </c>
      <c r="G11" s="0" t="n">
        <f aca="false">G8+G10+G24</f>
        <v>486.001376352</v>
      </c>
      <c r="H11" s="0" t="n">
        <f aca="false">H8+H10+H24</f>
        <v>471.42133506144</v>
      </c>
      <c r="I11" s="0" t="n">
        <f aca="false">I8+I10+I24</f>
        <v>457.278695009597</v>
      </c>
      <c r="J11" s="0" t="n">
        <f aca="false">J8+J10+J24</f>
        <v>448.133121109405</v>
      </c>
      <c r="K11" s="0" t="n">
        <f aca="false">K8+K10+K24</f>
        <v>439.170458687217</v>
      </c>
      <c r="L11" s="0" t="n">
        <f aca="false">L8+L10+L24</f>
        <v>430.387049513472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-302.0625</v>
      </c>
      <c r="D12" s="4" t="n">
        <f aca="false">-D6*Assumptions!D17/100</f>
        <v>-259.371</v>
      </c>
      <c r="E12" s="4" t="n">
        <f aca="false">-E6*Assumptions!E17/100</f>
        <v>-226.39383</v>
      </c>
      <c r="F12" s="4" t="n">
        <f aca="false">-F6*Assumptions!F17/100</f>
        <v>-198.529974</v>
      </c>
      <c r="G12" s="4" t="n">
        <f aca="false">-G6*Assumptions!G17/100</f>
        <v>-190.58877504</v>
      </c>
      <c r="H12" s="4" t="n">
        <f aca="false">-H6*Assumptions!H17/100</f>
        <v>-184.8711117888</v>
      </c>
      <c r="I12" s="4" t="n">
        <f aca="false">-I6*Assumptions!I17/100</f>
        <v>-179.324978435136</v>
      </c>
      <c r="J12" s="4" t="n">
        <f aca="false">-J6*Assumptions!J17/100</f>
        <v>-175.738478866433</v>
      </c>
      <c r="K12" s="4" t="n">
        <f aca="false">-K6*Assumptions!K17/100</f>
        <v>-172.223709289105</v>
      </c>
      <c r="L12" s="4" t="n">
        <f aca="false">-L6*Assumptions!L17/100</f>
        <v>-168.779235103323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414.8325</v>
      </c>
      <c r="D13" s="0" t="n">
        <f aca="false">D11+D12</f>
        <v>363.1194</v>
      </c>
      <c r="E13" s="0" t="n">
        <f aca="false">E11+E12</f>
        <v>341.332236</v>
      </c>
      <c r="F13" s="0" t="n">
        <f aca="false">F11+F12</f>
        <v>324.2656242</v>
      </c>
      <c r="G13" s="0" t="n">
        <f aca="false">G11+G12</f>
        <v>295.412601312</v>
      </c>
      <c r="H13" s="0" t="n">
        <f aca="false">H11+H12</f>
        <v>286.55022327264</v>
      </c>
      <c r="I13" s="0" t="n">
        <f aca="false">I11+I12</f>
        <v>277.953716574461</v>
      </c>
      <c r="J13" s="0" t="n">
        <f aca="false">J11+J12</f>
        <v>272.394642242972</v>
      </c>
      <c r="K13" s="0" t="n">
        <f aca="false">K11+K12</f>
        <v>266.946749398112</v>
      </c>
      <c r="L13" s="0" t="n">
        <f aca="false">L11+L12</f>
        <v>261.60781441015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45</v>
      </c>
      <c r="D14" s="4" t="n">
        <f aca="false">Assumptions!D19</f>
        <v>44</v>
      </c>
      <c r="E14" s="4" t="n">
        <f aca="false">Assumptions!E19</f>
        <v>42</v>
      </c>
      <c r="F14" s="4" t="n">
        <f aca="false">Assumptions!F19</f>
        <v>40</v>
      </c>
      <c r="G14" s="4" t="n">
        <f aca="false">Assumptions!G19</f>
        <v>38</v>
      </c>
      <c r="H14" s="4" t="n">
        <f aca="false">Assumptions!H19</f>
        <v>36</v>
      </c>
      <c r="I14" s="4" t="n">
        <f aca="false">Assumptions!I19</f>
        <v>35</v>
      </c>
      <c r="J14" s="4" t="n">
        <f aca="false">Assumptions!J19</f>
        <v>35</v>
      </c>
      <c r="K14" s="4" t="n">
        <f aca="false">Assumptions!K19</f>
        <v>35</v>
      </c>
      <c r="L14" s="4" t="n">
        <f aca="false">Assumptions!L19</f>
        <v>35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228.157875</v>
      </c>
      <c r="D15" s="0" t="n">
        <f aca="false">D13-MAX(0,D13)*D14/100</f>
        <v>203.346864</v>
      </c>
      <c r="E15" s="0" t="n">
        <f aca="false">E13-MAX(0,E13)*E14/100</f>
        <v>197.97269688</v>
      </c>
      <c r="F15" s="0" t="n">
        <f aca="false">F13-MAX(0,F13)*F14/100</f>
        <v>194.55937452</v>
      </c>
      <c r="G15" s="0" t="n">
        <f aca="false">G13-MAX(0,G13)*G14/100</f>
        <v>183.15581281344</v>
      </c>
      <c r="H15" s="0" t="n">
        <f aca="false">H13-MAX(0,H13)*H14/100</f>
        <v>183.39214289449</v>
      </c>
      <c r="I15" s="0" t="n">
        <f aca="false">I13-MAX(0,I13)*I14/100</f>
        <v>180.669915773399</v>
      </c>
      <c r="J15" s="0" t="n">
        <f aca="false">J13-MAX(0,J13)*J14/100</f>
        <v>177.056517457932</v>
      </c>
      <c r="K15" s="0" t="n">
        <f aca="false">K13-MAX(0,K13)*K14/100</f>
        <v>173.515387108773</v>
      </c>
      <c r="L15" s="0" t="n">
        <f aca="false">L13-MAX(0,L13)*L14/100</f>
        <v>170.045079366597</v>
      </c>
    </row>
    <row r="16" customFormat="false" ht="15" hidden="false" customHeight="false" outlineLevel="0" collapsed="false">
      <c r="A16" s="0" t="s">
        <v>118</v>
      </c>
      <c r="C16" s="0" t="n">
        <f aca="false">-C12</f>
        <v>302.0625</v>
      </c>
      <c r="D16" s="0" t="n">
        <f aca="false">-D12</f>
        <v>259.371</v>
      </c>
      <c r="E16" s="0" t="n">
        <f aca="false">-E12</f>
        <v>226.39383</v>
      </c>
      <c r="F16" s="0" t="n">
        <f aca="false">-F12</f>
        <v>198.529974</v>
      </c>
      <c r="G16" s="0" t="n">
        <f aca="false">-G12</f>
        <v>190.58877504</v>
      </c>
      <c r="H16" s="0" t="n">
        <f aca="false">-H12</f>
        <v>184.8711117888</v>
      </c>
      <c r="I16" s="0" t="n">
        <f aca="false">-I12</f>
        <v>179.324978435136</v>
      </c>
      <c r="J16" s="0" t="n">
        <f aca="false">-J12</f>
        <v>175.738478866433</v>
      </c>
      <c r="K16" s="0" t="n">
        <f aca="false">-K12</f>
        <v>172.223709289105</v>
      </c>
      <c r="L16" s="0" t="n">
        <f aca="false">-L12</f>
        <v>168.779235103323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-181.2375</v>
      </c>
      <c r="D17" s="4" t="n">
        <f aca="false">-D6*Assumptions!D18/100</f>
        <v>-176.00175</v>
      </c>
      <c r="E17" s="4" t="n">
        <f aca="false">-E6*Assumptions!E18/100</f>
        <v>-174.1491</v>
      </c>
      <c r="F17" s="4" t="n">
        <f aca="false">-F6*Assumptions!F18/100</f>
        <v>-165.441645</v>
      </c>
      <c r="G17" s="4" t="n">
        <f aca="false">-G6*Assumptions!G18/100</f>
        <v>-158.8239792</v>
      </c>
      <c r="H17" s="4" t="n">
        <f aca="false">-H6*Assumptions!H18/100</f>
        <v>-154.059259824</v>
      </c>
      <c r="I17" s="4" t="n">
        <f aca="false">-I6*Assumptions!I18/100</f>
        <v>-149.43748202928</v>
      </c>
      <c r="J17" s="4" t="n">
        <f aca="false">-J6*Assumptions!J18/100</f>
        <v>-146.448732388694</v>
      </c>
      <c r="K17" s="4" t="n">
        <f aca="false">-K6*Assumptions!K18/100</f>
        <v>-143.519757740921</v>
      </c>
      <c r="L17" s="4" t="n">
        <f aca="false">-L6*Assumptions!L18/100</f>
        <v>-140.649362586102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-67.125</v>
      </c>
      <c r="D18" s="4" t="n">
        <f aca="false">(D6-C6)*Assumptions!$B$23/100</f>
        <v>-48.33</v>
      </c>
      <c r="E18" s="4" t="n">
        <f aca="false">(E6-D6)*Assumptions!$B$23/100</f>
        <v>-33.3477</v>
      </c>
      <c r="F18" s="4" t="n">
        <f aca="false">(F6-E6)*Assumptions!$B$23/100</f>
        <v>-26.122365</v>
      </c>
      <c r="G18" s="4" t="n">
        <f aca="false">(G6-F6)*Assumptions!$B$23/100</f>
        <v>-19.8529974</v>
      </c>
      <c r="H18" s="4" t="n">
        <f aca="false">(H6-G6)*Assumptions!$B$23/100</f>
        <v>-14.294158128</v>
      </c>
      <c r="I18" s="4" t="n">
        <f aca="false">(I6-H6)*Assumptions!$B$23/100</f>
        <v>-13.86533338416</v>
      </c>
      <c r="J18" s="4" t="n">
        <f aca="false">(J6-I6)*Assumptions!$B$23/100</f>
        <v>-8.96624892175678</v>
      </c>
      <c r="K18" s="4" t="n">
        <f aca="false">(K6-J6)*Assumptions!$B$23/100</f>
        <v>-8.78692394332165</v>
      </c>
      <c r="L18" s="4" t="n">
        <f aca="false">(L6-K6)*Assumptions!$B$23/100</f>
        <v>-8.61118546445521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281.857875</v>
      </c>
      <c r="D19" s="0" t="n">
        <f aca="false">D15+D16+D17+D18</f>
        <v>238.386114</v>
      </c>
      <c r="E19" s="0" t="n">
        <f aca="false">E15+E16+E17+E18</f>
        <v>216.86972688</v>
      </c>
      <c r="F19" s="0" t="n">
        <f aca="false">F15+F16+F17+F18</f>
        <v>201.52533852</v>
      </c>
      <c r="G19" s="0" t="n">
        <f aca="false">G15+G16+G17+G18</f>
        <v>195.06761125344</v>
      </c>
      <c r="H19" s="0" t="n">
        <f aca="false">H15+H16+H17+H18</f>
        <v>199.90983673129</v>
      </c>
      <c r="I19" s="0" t="n">
        <f aca="false">I15+I16+I17+I18</f>
        <v>196.692078795095</v>
      </c>
      <c r="J19" s="0" t="n">
        <f aca="false">J15+J16+J17+J18</f>
        <v>197.380015013914</v>
      </c>
      <c r="K19" s="0" t="n">
        <f aca="false">K15+K16+K17+K18</f>
        <v>193.432414713635</v>
      </c>
      <c r="L19" s="0" t="n">
        <f aca="false">L15+L16+L17+L18</f>
        <v>189.563766419363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253.926013513513</v>
      </c>
      <c r="D21" s="0" t="n">
        <f aca="false">D19*D20</f>
        <v>193.479517896275</v>
      </c>
      <c r="E21" s="0" t="n">
        <f aca="false">E19*E20</f>
        <v>158.573275159747</v>
      </c>
      <c r="F21" s="0" t="n">
        <f aca="false">F19*F20</f>
        <v>132.750982558181</v>
      </c>
      <c r="G21" s="0" t="n">
        <f aca="false">G19*G20</f>
        <v>115.763132959565</v>
      </c>
      <c r="H21" s="0" t="n">
        <f aca="false">H19*H20</f>
        <v>106.87996225239</v>
      </c>
      <c r="I21" s="0" t="n">
        <f aca="false">I19*I20</f>
        <v>94.7383941072543</v>
      </c>
      <c r="J21" s="0" t="n">
        <f aca="false">J19*J20</f>
        <v>85.6484183542383</v>
      </c>
      <c r="K21" s="0" t="n">
        <f aca="false">K19*K20</f>
        <v>75.6175225109491</v>
      </c>
      <c r="L21" s="0" t="n">
        <f aca="false">L19*L20</f>
        <v>66.761416270928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1.2</v>
      </c>
      <c r="D23" s="4" t="n">
        <f aca="false">Assumptions!D16</f>
        <v>1.2</v>
      </c>
      <c r="E23" s="4" t="n">
        <f aca="false">Assumptions!E16</f>
        <v>1.2</v>
      </c>
      <c r="F23" s="4" t="n">
        <f aca="false">Assumptions!F16</f>
        <v>1.2</v>
      </c>
      <c r="G23" s="4" t="n">
        <f aca="false">Assumptions!G16</f>
        <v>1.2</v>
      </c>
      <c r="H23" s="4" t="n">
        <f aca="false">Assumptions!H16</f>
        <v>1.2</v>
      </c>
      <c r="I23" s="4" t="n">
        <f aca="false">Assumptions!I16</f>
        <v>1.2</v>
      </c>
      <c r="J23" s="4" t="n">
        <f aca="false">Assumptions!J16</f>
        <v>1.2</v>
      </c>
      <c r="K23" s="4" t="n">
        <f aca="false">Assumptions!K16</f>
        <v>1.2</v>
      </c>
      <c r="L23" s="4" t="n">
        <f aca="false">Assumptions!L16</f>
        <v>1.2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-48.33</v>
      </c>
      <c r="D24" s="0" t="n">
        <f aca="false">-D6*D23/100</f>
        <v>-44.4636</v>
      </c>
      <c r="E24" s="0" t="n">
        <f aca="false">-E6*E23/100</f>
        <v>-41.795784</v>
      </c>
      <c r="F24" s="0" t="n">
        <f aca="false">-F6*F23/100</f>
        <v>-39.7059948</v>
      </c>
      <c r="G24" s="0" t="n">
        <f aca="false">-G6*G23/100</f>
        <v>-38.117755008</v>
      </c>
      <c r="H24" s="0" t="n">
        <f aca="false">-H6*H23/100</f>
        <v>-36.97422235776</v>
      </c>
      <c r="I24" s="0" t="n">
        <f aca="false">-I6*I23/100</f>
        <v>-35.8649956870272</v>
      </c>
      <c r="J24" s="0" t="n">
        <f aca="false">-J6*J23/100</f>
        <v>-35.1476957732867</v>
      </c>
      <c r="K24" s="0" t="n">
        <f aca="false">-K6*K23/100</f>
        <v>-34.4447418578209</v>
      </c>
      <c r="L24" s="0" t="n">
        <f aca="false">-L6*L23/100</f>
        <v>-33.7558470206645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1284.13863558304</v>
      </c>
    </row>
    <row r="31" customFormat="false" ht="15" hidden="false" customHeight="false" outlineLevel="0" collapsed="false">
      <c r="A31" s="0" t="s">
        <v>127</v>
      </c>
      <c r="B31" s="0" t="n">
        <f aca="false">L19</f>
        <v>189.563766419363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1723.30696744875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1895.63766419363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1723.30696744875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606.921966099346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1891.06060168239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3486.06060168239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7.76660640796792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-0.0309910907089305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98.5888435232256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45.0313840475885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8.08657840708549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1263.75844279575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6.7154980632051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-6</v>
      </c>
      <c r="D5" s="4" t="n">
        <f aca="false">Assumptions!D27</f>
        <v>-2</v>
      </c>
      <c r="E5" s="4" t="n">
        <f aca="false">Assumptions!E27</f>
        <v>0</v>
      </c>
      <c r="F5" s="4" t="n">
        <f aca="false">Assumptions!F27</f>
        <v>1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4475</v>
      </c>
      <c r="C6" s="0" t="n">
        <f aca="false">B6*(1+C5/100)</f>
        <v>4206.5</v>
      </c>
      <c r="D6" s="0" t="n">
        <f aca="false">C6*(1+D5/100)</f>
        <v>4122.37</v>
      </c>
      <c r="E6" s="0" t="n">
        <f aca="false">D6*(1+E5/100)</f>
        <v>4122.37</v>
      </c>
      <c r="F6" s="0" t="n">
        <f aca="false">E6*(1+F5/100)</f>
        <v>4163.5937</v>
      </c>
      <c r="G6" s="0" t="n">
        <f aca="false">F6*(1+G5/100)</f>
        <v>4246.865574</v>
      </c>
      <c r="H6" s="0" t="n">
        <f aca="false">G6*(1+H5/100)</f>
        <v>4331.80288548</v>
      </c>
      <c r="I6" s="0" t="n">
        <f aca="false">H6*(1+I5/100)</f>
        <v>4418.4389431896</v>
      </c>
      <c r="J6" s="0" t="n">
        <f aca="false">I6*(1+J5/100)</f>
        <v>4506.80772205339</v>
      </c>
      <c r="K6" s="0" t="n">
        <f aca="false">J6*(1+K5/100)</f>
        <v>4596.94387649446</v>
      </c>
      <c r="L6" s="0" t="n">
        <f aca="false">K6*(1+L5/100)</f>
        <v>4688.88275402435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20.5</v>
      </c>
      <c r="D7" s="4" t="n">
        <f aca="false">Assumptions!D28</f>
        <v>21</v>
      </c>
      <c r="E7" s="4" t="n">
        <f aca="false">Assumptions!E28</f>
        <v>21.5</v>
      </c>
      <c r="F7" s="4" t="n">
        <f aca="false">Assumptions!F28</f>
        <v>22.5</v>
      </c>
      <c r="G7" s="4" t="n">
        <f aca="false">Assumptions!G28</f>
        <v>23</v>
      </c>
      <c r="H7" s="4" t="n">
        <f aca="false">Assumptions!H28</f>
        <v>23.5</v>
      </c>
      <c r="I7" s="4" t="n">
        <f aca="false">Assumptions!I28</f>
        <v>23.5</v>
      </c>
      <c r="J7" s="4" t="n">
        <f aca="false">Assumptions!J28</f>
        <v>23.5</v>
      </c>
      <c r="K7" s="4" t="n">
        <f aca="false">Assumptions!K28</f>
        <v>23.5</v>
      </c>
      <c r="L7" s="4" t="n">
        <f aca="false">Assumptions!L28</f>
        <v>23.5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862.3325</v>
      </c>
      <c r="D8" s="0" t="n">
        <f aca="false">D6*D7/100</f>
        <v>865.6977</v>
      </c>
      <c r="E8" s="0" t="n">
        <f aca="false">E6*E7/100</f>
        <v>886.30955</v>
      </c>
      <c r="F8" s="0" t="n">
        <f aca="false">F6*F7/100</f>
        <v>936.8085825</v>
      </c>
      <c r="G8" s="0" t="n">
        <f aca="false">G6*G7/100</f>
        <v>976.77908202</v>
      </c>
      <c r="H8" s="0" t="n">
        <f aca="false">H6*H7/100</f>
        <v>1017.9736780878</v>
      </c>
      <c r="I8" s="0" t="n">
        <f aca="false">I6*I7/100</f>
        <v>1038.33315164956</v>
      </c>
      <c r="J8" s="0" t="n">
        <f aca="false">J6*J7/100</f>
        <v>1059.09981468255</v>
      </c>
      <c r="K8" s="0" t="n">
        <f aca="false">K6*K7/100</f>
        <v>1080.2818109762</v>
      </c>
      <c r="L8" s="0" t="n">
        <f aca="false">L6*L7/100</f>
        <v>1101.88744719572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-21.0325</v>
      </c>
      <c r="D10" s="0" t="n">
        <f aca="false">-D6*D9/100</f>
        <v>-20.61185</v>
      </c>
      <c r="E10" s="0" t="n">
        <f aca="false">-E6*E9/100</f>
        <v>-20.61185</v>
      </c>
      <c r="F10" s="0" t="n">
        <f aca="false">-F6*F9/100</f>
        <v>-20.8179685</v>
      </c>
      <c r="G10" s="0" t="n">
        <f aca="false">-G6*G9/100</f>
        <v>-21.23432787</v>
      </c>
      <c r="H10" s="0" t="n">
        <f aca="false">-H6*H9/100</f>
        <v>-21.6590144274</v>
      </c>
      <c r="I10" s="0" t="n">
        <f aca="false">-I6*I9/100</f>
        <v>-22.092194715948</v>
      </c>
      <c r="J10" s="0" t="n">
        <f aca="false">-J6*J9/100</f>
        <v>-22.534038610267</v>
      </c>
      <c r="K10" s="0" t="n">
        <f aca="false">-K6*K9/100</f>
        <v>-22.9847193824723</v>
      </c>
      <c r="L10" s="0" t="n">
        <f aca="false">-L6*L9/100</f>
        <v>-23.4444137701218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790.822</v>
      </c>
      <c r="D11" s="0" t="n">
        <f aca="false">D8+D10+D24</f>
        <v>795.61741</v>
      </c>
      <c r="E11" s="0" t="n">
        <f aca="false">E8+E10+E24</f>
        <v>816.22926</v>
      </c>
      <c r="F11" s="0" t="n">
        <f aca="false">F8+F10+F24</f>
        <v>866.0274896</v>
      </c>
      <c r="G11" s="0" t="n">
        <f aca="false">G8+G10+G24</f>
        <v>904.582367262</v>
      </c>
      <c r="H11" s="0" t="n">
        <f aca="false">H8+H10+H24</f>
        <v>944.33302903464</v>
      </c>
      <c r="I11" s="0" t="n">
        <f aca="false">I8+I10+I24</f>
        <v>963.219689615333</v>
      </c>
      <c r="J11" s="0" t="n">
        <f aca="false">J8+J10+J24</f>
        <v>982.484083407639</v>
      </c>
      <c r="K11" s="0" t="n">
        <f aca="false">K8+K10+K24</f>
        <v>1002.13376507579</v>
      </c>
      <c r="L11" s="0" t="n">
        <f aca="false">L8+L10+L24</f>
        <v>1022.17644037731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-315.4875</v>
      </c>
      <c r="D12" s="4" t="n">
        <f aca="false">-D6*Assumptions!D31/100</f>
        <v>-288.5659</v>
      </c>
      <c r="E12" s="4" t="n">
        <f aca="false">-E6*Assumptions!E31/100</f>
        <v>-267.95405</v>
      </c>
      <c r="F12" s="4" t="n">
        <f aca="false">-F6*Assumptions!F31/100</f>
        <v>-249.815622</v>
      </c>
      <c r="G12" s="4" t="n">
        <f aca="false">-G6*Assumptions!G31/100</f>
        <v>-254.81193444</v>
      </c>
      <c r="H12" s="4" t="n">
        <f aca="false">-H6*Assumptions!H31/100</f>
        <v>-249.0786659151</v>
      </c>
      <c r="I12" s="4" t="n">
        <f aca="false">-I6*Assumptions!I31/100</f>
        <v>-243.014141875428</v>
      </c>
      <c r="J12" s="4" t="n">
        <f aca="false">-J6*Assumptions!J31/100</f>
        <v>-247.874424712937</v>
      </c>
      <c r="K12" s="4" t="n">
        <f aca="false">-K6*Assumptions!K31/100</f>
        <v>-252.831913207195</v>
      </c>
      <c r="L12" s="4" t="n">
        <f aca="false">-L6*Assumptions!L31/100</f>
        <v>-257.888551471339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475.3345</v>
      </c>
      <c r="D13" s="0" t="n">
        <f aca="false">D11+D12</f>
        <v>507.05151</v>
      </c>
      <c r="E13" s="0" t="n">
        <f aca="false">E11+E12</f>
        <v>548.27521</v>
      </c>
      <c r="F13" s="0" t="n">
        <f aca="false">F11+F12</f>
        <v>616.2118676</v>
      </c>
      <c r="G13" s="0" t="n">
        <f aca="false">G11+G12</f>
        <v>649.770432822</v>
      </c>
      <c r="H13" s="0" t="n">
        <f aca="false">H11+H12</f>
        <v>695.25436311954</v>
      </c>
      <c r="I13" s="0" t="n">
        <f aca="false">I11+I12</f>
        <v>720.205547739905</v>
      </c>
      <c r="J13" s="0" t="n">
        <f aca="false">J11+J12</f>
        <v>734.609658694703</v>
      </c>
      <c r="K13" s="0" t="n">
        <f aca="false">K11+K12</f>
        <v>749.301851868597</v>
      </c>
      <c r="L13" s="0" t="n">
        <f aca="false">L11+L12</f>
        <v>764.287888905969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42</v>
      </c>
      <c r="D14" s="4" t="n">
        <f aca="false">Assumptions!D33</f>
        <v>40</v>
      </c>
      <c r="E14" s="4" t="n">
        <f aca="false">Assumptions!E33</f>
        <v>37</v>
      </c>
      <c r="F14" s="4" t="n">
        <f aca="false">Assumptions!F33</f>
        <v>34</v>
      </c>
      <c r="G14" s="4" t="n">
        <f aca="false">Assumptions!G33</f>
        <v>32</v>
      </c>
      <c r="H14" s="4" t="n">
        <f aca="false">Assumptions!H33</f>
        <v>30</v>
      </c>
      <c r="I14" s="4" t="n">
        <f aca="false">Assumptions!I33</f>
        <v>28</v>
      </c>
      <c r="J14" s="4" t="n">
        <f aca="false">Assumptions!J33</f>
        <v>27</v>
      </c>
      <c r="K14" s="4" t="n">
        <f aca="false">Assumptions!K33</f>
        <v>26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275.69401</v>
      </c>
      <c r="D15" s="0" t="n">
        <f aca="false">D13-MAX(0,D13)*D14/100</f>
        <v>304.230906</v>
      </c>
      <c r="E15" s="0" t="n">
        <f aca="false">E13-MAX(0,E13)*E14/100</f>
        <v>345.4133823</v>
      </c>
      <c r="F15" s="0" t="n">
        <f aca="false">F13-MAX(0,F13)*F14/100</f>
        <v>406.699832616</v>
      </c>
      <c r="G15" s="0" t="n">
        <f aca="false">G13-MAX(0,G13)*G14/100</f>
        <v>441.84389431896</v>
      </c>
      <c r="H15" s="0" t="n">
        <f aca="false">H13-MAX(0,H13)*H14/100</f>
        <v>486.678054183678</v>
      </c>
      <c r="I15" s="0" t="n">
        <f aca="false">I13-MAX(0,I13)*I14/100</f>
        <v>518.547994372732</v>
      </c>
      <c r="J15" s="0" t="n">
        <f aca="false">J13-MAX(0,J13)*J14/100</f>
        <v>536.265050847133</v>
      </c>
      <c r="K15" s="0" t="n">
        <f aca="false">K13-MAX(0,K13)*K14/100</f>
        <v>554.483370382762</v>
      </c>
      <c r="L15" s="0" t="n">
        <f aca="false">L13-MAX(0,L13)*L14/100</f>
        <v>573.215916679477</v>
      </c>
    </row>
    <row r="16" customFormat="false" ht="15" hidden="false" customHeight="false" outlineLevel="0" collapsed="false">
      <c r="A16" s="0" t="s">
        <v>118</v>
      </c>
      <c r="C16" s="0" t="n">
        <f aca="false">-C12</f>
        <v>315.4875</v>
      </c>
      <c r="D16" s="0" t="n">
        <f aca="false">-D12</f>
        <v>288.5659</v>
      </c>
      <c r="E16" s="0" t="n">
        <f aca="false">-E12</f>
        <v>267.95405</v>
      </c>
      <c r="F16" s="0" t="n">
        <f aca="false">-F12</f>
        <v>249.815622</v>
      </c>
      <c r="G16" s="0" t="n">
        <f aca="false">-G12</f>
        <v>254.81193444</v>
      </c>
      <c r="H16" s="0" t="n">
        <f aca="false">-H12</f>
        <v>249.0786659151</v>
      </c>
      <c r="I16" s="0" t="n">
        <f aca="false">-I12</f>
        <v>243.014141875428</v>
      </c>
      <c r="J16" s="0" t="n">
        <f aca="false">-J12</f>
        <v>247.874424712937</v>
      </c>
      <c r="K16" s="0" t="n">
        <f aca="false">-K12</f>
        <v>252.831913207195</v>
      </c>
      <c r="L16" s="0" t="n">
        <f aca="false">-L12</f>
        <v>257.888551471339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-189.2925</v>
      </c>
      <c r="D17" s="4" t="n">
        <f aca="false">-D6*Assumptions!D32/100</f>
        <v>-195.812575</v>
      </c>
      <c r="E17" s="4" t="n">
        <f aca="false">-E6*Assumptions!E32/100</f>
        <v>-206.1185</v>
      </c>
      <c r="F17" s="4" t="n">
        <f aca="false">-F6*Assumptions!F32/100</f>
        <v>-208.179685</v>
      </c>
      <c r="G17" s="4" t="n">
        <f aca="false">-G6*Assumptions!G32/100</f>
        <v>-222.960442635</v>
      </c>
      <c r="H17" s="4" t="n">
        <f aca="false">-H6*Assumptions!H32/100</f>
        <v>-238.2491587014</v>
      </c>
      <c r="I17" s="4" t="n">
        <f aca="false">-I6*Assumptions!I32/100</f>
        <v>-243.014141875428</v>
      </c>
      <c r="J17" s="4" t="n">
        <f aca="false">-J6*Assumptions!J32/100</f>
        <v>-247.874424712937</v>
      </c>
      <c r="K17" s="4" t="n">
        <f aca="false">-K6*Assumptions!K32/100</f>
        <v>-252.831913207195</v>
      </c>
      <c r="L17" s="4" t="n">
        <f aca="false">-L6*Assumptions!L32/100</f>
        <v>-257.888551471339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-40.275</v>
      </c>
      <c r="D18" s="4" t="n">
        <f aca="false">(D6-C6)*Assumptions!$B$37/100</f>
        <v>-12.6195</v>
      </c>
      <c r="E18" s="4" t="n">
        <f aca="false">(E6-D6)*Assumptions!$B$37/100</f>
        <v>0</v>
      </c>
      <c r="F18" s="4" t="n">
        <f aca="false">(F6-E6)*Assumptions!$B$37/100</f>
        <v>6.18355500000007</v>
      </c>
      <c r="G18" s="4" t="n">
        <f aca="false">(G6-F6)*Assumptions!$B$37/100</f>
        <v>12.4907811</v>
      </c>
      <c r="H18" s="4" t="n">
        <f aca="false">(H6-G6)*Assumptions!$B$37/100</f>
        <v>12.740596722</v>
      </c>
      <c r="I18" s="4" t="n">
        <f aca="false">(I6-H6)*Assumptions!$B$37/100</f>
        <v>12.99540865644</v>
      </c>
      <c r="J18" s="4" t="n">
        <f aca="false">(J6-I6)*Assumptions!$B$37/100</f>
        <v>13.2553168295688</v>
      </c>
      <c r="K18" s="4" t="n">
        <f aca="false">(K6-J6)*Assumptions!$B$37/100</f>
        <v>13.5204231661603</v>
      </c>
      <c r="L18" s="4" t="n">
        <f aca="false">(L6-K6)*Assumptions!$B$37/100</f>
        <v>13.7908316294834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361.61401</v>
      </c>
      <c r="D19" s="0" t="n">
        <f aca="false">D15+D16+D17+D18</f>
        <v>384.364731</v>
      </c>
      <c r="E19" s="0" t="n">
        <f aca="false">E15+E16+E17+E18</f>
        <v>407.2489323</v>
      </c>
      <c r="F19" s="0" t="n">
        <f aca="false">F15+F16+F17+F18</f>
        <v>454.519324616</v>
      </c>
      <c r="G19" s="0" t="n">
        <f aca="false">G15+G16+G17+G18</f>
        <v>486.18616722396</v>
      </c>
      <c r="H19" s="0" t="n">
        <f aca="false">H15+H16+H17+H18</f>
        <v>510.248158119378</v>
      </c>
      <c r="I19" s="0" t="n">
        <f aca="false">I15+I16+I17+I18</f>
        <v>531.543403029172</v>
      </c>
      <c r="J19" s="0" t="n">
        <f aca="false">J15+J16+J17+J18</f>
        <v>549.520367676702</v>
      </c>
      <c r="K19" s="0" t="n">
        <f aca="false">K15+K16+K17+K18</f>
        <v>568.003793548922</v>
      </c>
      <c r="L19" s="0" t="n">
        <f aca="false">L15+L16+L17+L18</f>
        <v>587.00674830896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325.778387387387</v>
      </c>
      <c r="D21" s="0" t="n">
        <f aca="false">D19*D20</f>
        <v>311.959038227417</v>
      </c>
      <c r="E21" s="0" t="n">
        <f aca="false">E19*E20</f>
        <v>297.776909341774</v>
      </c>
      <c r="F21" s="0" t="n">
        <f aca="false">F19*F20</f>
        <v>299.405957472025</v>
      </c>
      <c r="G21" s="0" t="n">
        <f aca="false">G19*G20</f>
        <v>288.52782662276</v>
      </c>
      <c r="H21" s="0" t="n">
        <f aca="false">H19*H20</f>
        <v>272.79950186971</v>
      </c>
      <c r="I21" s="0" t="n">
        <f aca="false">I19*I20</f>
        <v>256.02235082252</v>
      </c>
      <c r="J21" s="0" t="n">
        <f aca="false">J19*J20</f>
        <v>238.451447790351</v>
      </c>
      <c r="K21" s="0" t="n">
        <f aca="false">K19*K20</f>
        <v>222.046753169971</v>
      </c>
      <c r="L21" s="0" t="n">
        <f aca="false">L19*L20</f>
        <v>206.734665690286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1.2</v>
      </c>
      <c r="D23" s="4" t="n">
        <f aca="false">Assumptions!D30</f>
        <v>1.2</v>
      </c>
      <c r="E23" s="4" t="n">
        <f aca="false">Assumptions!E30</f>
        <v>1.2</v>
      </c>
      <c r="F23" s="4" t="n">
        <f aca="false">Assumptions!F30</f>
        <v>1.2</v>
      </c>
      <c r="G23" s="4" t="n">
        <f aca="false">Assumptions!G30</f>
        <v>1.2</v>
      </c>
      <c r="H23" s="4" t="n">
        <f aca="false">Assumptions!H30</f>
        <v>1.2</v>
      </c>
      <c r="I23" s="4" t="n">
        <f aca="false">Assumptions!I30</f>
        <v>1.2</v>
      </c>
      <c r="J23" s="4" t="n">
        <f aca="false">Assumptions!J30</f>
        <v>1.2</v>
      </c>
      <c r="K23" s="4" t="n">
        <f aca="false">Assumptions!K30</f>
        <v>1.2</v>
      </c>
      <c r="L23" s="4" t="n">
        <f aca="false">Assumptions!L30</f>
        <v>1.2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-50.478</v>
      </c>
      <c r="D24" s="0" t="n">
        <f aca="false">-D6*D23/100</f>
        <v>-49.46844</v>
      </c>
      <c r="E24" s="0" t="n">
        <f aca="false">-E6*E23/100</f>
        <v>-49.46844</v>
      </c>
      <c r="F24" s="0" t="n">
        <f aca="false">-F6*F23/100</f>
        <v>-49.9631244</v>
      </c>
      <c r="G24" s="0" t="n">
        <f aca="false">-G6*G23/100</f>
        <v>-50.962386888</v>
      </c>
      <c r="H24" s="0" t="n">
        <f aca="false">-H6*H23/100</f>
        <v>-51.98163462576</v>
      </c>
      <c r="I24" s="0" t="n">
        <f aca="false">-I6*I23/100</f>
        <v>-53.0212673182752</v>
      </c>
      <c r="J24" s="0" t="n">
        <f aca="false">-J6*J23/100</f>
        <v>-54.0816926646407</v>
      </c>
      <c r="K24" s="0" t="n">
        <f aca="false">-K6*K23/100</f>
        <v>-55.1633265179335</v>
      </c>
      <c r="L24" s="0" t="n">
        <f aca="false">-L6*L23/100</f>
        <v>-56.2665930482922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2719.5028383942</v>
      </c>
    </row>
    <row r="31" customFormat="false" ht="15" hidden="false" customHeight="false" outlineLevel="0" collapsed="false">
      <c r="A31" s="0" t="s">
        <v>127</v>
      </c>
      <c r="B31" s="0" t="n">
        <f aca="false">L19</f>
        <v>587.00674830896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6652.74314750155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7044.08097970752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6652.74314750155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2342.99287782324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5062.49571621744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6657.49571621744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14.8322576106795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0.850562396840855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126.304282085031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93.5765979631037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15.3221309798192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4605.74525596261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11.1719097129322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-4</v>
      </c>
      <c r="D5" s="4" t="n">
        <f aca="false">Assumptions!D41</f>
        <v>1</v>
      </c>
      <c r="E5" s="4" t="n">
        <f aca="false">Assumptions!E41</f>
        <v>4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4475</v>
      </c>
      <c r="C6" s="0" t="n">
        <f aca="false">B6*(1+C5/100)</f>
        <v>4296</v>
      </c>
      <c r="D6" s="0" t="n">
        <f aca="false">C6*(1+D5/100)</f>
        <v>4338.96</v>
      </c>
      <c r="E6" s="0" t="n">
        <f aca="false">D6*(1+E5/100)</f>
        <v>4512.5184</v>
      </c>
      <c r="F6" s="0" t="n">
        <f aca="false">E6*(1+F5/100)</f>
        <v>4738.14432</v>
      </c>
      <c r="G6" s="0" t="n">
        <f aca="false">F6*(1+G5/100)</f>
        <v>4975.051536</v>
      </c>
      <c r="H6" s="0" t="n">
        <f aca="false">G6*(1+H5/100)</f>
        <v>5174.05359744</v>
      </c>
      <c r="I6" s="0" t="n">
        <f aca="false">H6*(1+I5/100)</f>
        <v>5329.2752053632</v>
      </c>
      <c r="J6" s="0" t="n">
        <f aca="false">I6*(1+J5/100)</f>
        <v>5489.1534615241</v>
      </c>
      <c r="K6" s="0" t="n">
        <f aca="false">J6*(1+K5/100)</f>
        <v>5653.82806536982</v>
      </c>
      <c r="L6" s="0" t="n">
        <f aca="false">K6*(1+L5/100)</f>
        <v>5823.44290733092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22.5</v>
      </c>
      <c r="D7" s="4" t="n">
        <f aca="false">Assumptions!D42</f>
        <v>23.5</v>
      </c>
      <c r="E7" s="4" t="n">
        <f aca="false">Assumptions!E42</f>
        <v>24.5</v>
      </c>
      <c r="F7" s="4" t="n">
        <f aca="false">Assumptions!F42</f>
        <v>25.5</v>
      </c>
      <c r="G7" s="4" t="n">
        <f aca="false">Assumptions!G42</f>
        <v>26.5</v>
      </c>
      <c r="H7" s="4" t="n">
        <f aca="false">Assumptions!H42</f>
        <v>27</v>
      </c>
      <c r="I7" s="4" t="n">
        <f aca="false">Assumptions!I42</f>
        <v>27</v>
      </c>
      <c r="J7" s="4" t="n">
        <f aca="false">Assumptions!J42</f>
        <v>27</v>
      </c>
      <c r="K7" s="4" t="n">
        <f aca="false">Assumptions!K42</f>
        <v>27</v>
      </c>
      <c r="L7" s="4" t="n">
        <f aca="false">Assumptions!L42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966.6</v>
      </c>
      <c r="D8" s="0" t="n">
        <f aca="false">D6*D7/100</f>
        <v>1019.6556</v>
      </c>
      <c r="E8" s="0" t="n">
        <f aca="false">E6*E7/100</f>
        <v>1105.567008</v>
      </c>
      <c r="F8" s="0" t="n">
        <f aca="false">F6*F7/100</f>
        <v>1208.2268016</v>
      </c>
      <c r="G8" s="0" t="n">
        <f aca="false">G6*G7/100</f>
        <v>1318.38865704</v>
      </c>
      <c r="H8" s="0" t="n">
        <f aca="false">H6*H7/100</f>
        <v>1396.9944713088</v>
      </c>
      <c r="I8" s="0" t="n">
        <f aca="false">I6*I7/100</f>
        <v>1438.90430544806</v>
      </c>
      <c r="J8" s="0" t="n">
        <f aca="false">J6*J7/100</f>
        <v>1482.07143461151</v>
      </c>
      <c r="K8" s="0" t="n">
        <f aca="false">K6*K7/100</f>
        <v>1526.53357764985</v>
      </c>
      <c r="L8" s="0" t="n">
        <f aca="false">L6*L7/100</f>
        <v>1572.32958497935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-21.48</v>
      </c>
      <c r="D10" s="0" t="n">
        <f aca="false">-D6*D9/100</f>
        <v>-21.6948</v>
      </c>
      <c r="E10" s="0" t="n">
        <f aca="false">-E6*E9/100</f>
        <v>-22.562592</v>
      </c>
      <c r="F10" s="0" t="n">
        <f aca="false">-F6*F9/100</f>
        <v>-23.6907216</v>
      </c>
      <c r="G10" s="0" t="n">
        <f aca="false">-G6*G9/100</f>
        <v>-24.87525768</v>
      </c>
      <c r="H10" s="0" t="n">
        <f aca="false">-H6*H9/100</f>
        <v>-25.8702679872</v>
      </c>
      <c r="I10" s="0" t="n">
        <f aca="false">-I6*I9/100</f>
        <v>-26.646376026816</v>
      </c>
      <c r="J10" s="0" t="n">
        <f aca="false">-J6*J9/100</f>
        <v>-27.4457673076205</v>
      </c>
      <c r="K10" s="0" t="n">
        <f aca="false">-K6*K9/100</f>
        <v>-28.2691403268491</v>
      </c>
      <c r="L10" s="0" t="n">
        <f aca="false">-L6*L9/100</f>
        <v>-29.1172145366546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893.568</v>
      </c>
      <c r="D11" s="0" t="n">
        <f aca="false">D8+D10+D24</f>
        <v>945.89328</v>
      </c>
      <c r="E11" s="0" t="n">
        <f aca="false">E8+E10+E24</f>
        <v>1028.8541952</v>
      </c>
      <c r="F11" s="0" t="n">
        <f aca="false">F8+F10+F24</f>
        <v>1127.67834816</v>
      </c>
      <c r="G11" s="0" t="n">
        <f aca="false">G8+G10+G24</f>
        <v>1233.812780928</v>
      </c>
      <c r="H11" s="0" t="n">
        <f aca="false">H8+H10+H24</f>
        <v>1309.03556015232</v>
      </c>
      <c r="I11" s="0" t="n">
        <f aca="false">I8+I10+I24</f>
        <v>1348.30662695689</v>
      </c>
      <c r="J11" s="0" t="n">
        <f aca="false">J8+J10+J24</f>
        <v>1388.7558257656</v>
      </c>
      <c r="K11" s="0" t="n">
        <f aca="false">K8+K10+K24</f>
        <v>1430.41850053856</v>
      </c>
      <c r="L11" s="0" t="n">
        <f aca="false">L8+L10+L24</f>
        <v>1473.33105555472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-322.2</v>
      </c>
      <c r="D12" s="4" t="n">
        <f aca="false">-D6*Assumptions!D45/100</f>
        <v>-303.7272</v>
      </c>
      <c r="E12" s="4" t="n">
        <f aca="false">-E6*Assumptions!E45/100</f>
        <v>-293.313696</v>
      </c>
      <c r="F12" s="4" t="n">
        <f aca="false">-F6*Assumptions!F45/100</f>
        <v>-284.2886592</v>
      </c>
      <c r="G12" s="4" t="n">
        <f aca="false">-G6*Assumptions!G45/100</f>
        <v>-298.50309216</v>
      </c>
      <c r="H12" s="4" t="n">
        <f aca="false">-H6*Assumptions!H45/100</f>
        <v>-297.5080818528</v>
      </c>
      <c r="I12" s="4" t="n">
        <f aca="false">-I6*Assumptions!I45/100</f>
        <v>-293.110136294976</v>
      </c>
      <c r="J12" s="4" t="n">
        <f aca="false">-J6*Assumptions!J45/100</f>
        <v>-301.903440383825</v>
      </c>
      <c r="K12" s="4" t="n">
        <f aca="false">-K6*Assumptions!K45/100</f>
        <v>-310.96054359534</v>
      </c>
      <c r="L12" s="4" t="n">
        <f aca="false">-L6*Assumptions!L45/100</f>
        <v>-320.2893599032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571.368</v>
      </c>
      <c r="D13" s="0" t="n">
        <f aca="false">D11+D12</f>
        <v>642.16608</v>
      </c>
      <c r="E13" s="0" t="n">
        <f aca="false">E11+E12</f>
        <v>735.5404992</v>
      </c>
      <c r="F13" s="0" t="n">
        <f aca="false">F11+F12</f>
        <v>843.38968896</v>
      </c>
      <c r="G13" s="0" t="n">
        <f aca="false">G11+G12</f>
        <v>935.309688768</v>
      </c>
      <c r="H13" s="0" t="n">
        <f aca="false">H11+H12</f>
        <v>1011.52747829952</v>
      </c>
      <c r="I13" s="0" t="n">
        <f aca="false">I11+I12</f>
        <v>1055.19649066191</v>
      </c>
      <c r="J13" s="0" t="n">
        <f aca="false">J11+J12</f>
        <v>1086.85238538177</v>
      </c>
      <c r="K13" s="0" t="n">
        <f aca="false">K11+K12</f>
        <v>1119.45795694322</v>
      </c>
      <c r="L13" s="0" t="n">
        <f aca="false">L11+L12</f>
        <v>1153.04169565152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40</v>
      </c>
      <c r="D14" s="4" t="n">
        <f aca="false">Assumptions!D47</f>
        <v>37</v>
      </c>
      <c r="E14" s="4" t="n">
        <f aca="false">Assumptions!E47</f>
        <v>33</v>
      </c>
      <c r="F14" s="4" t="n">
        <f aca="false">Assumptions!F47</f>
        <v>30</v>
      </c>
      <c r="G14" s="4" t="n">
        <f aca="false">Assumptions!G47</f>
        <v>28</v>
      </c>
      <c r="H14" s="4" t="n">
        <f aca="false">Assumptions!H47</f>
        <v>26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342.8208</v>
      </c>
      <c r="D15" s="0" t="n">
        <f aca="false">D13-MAX(0,D13)*D14/100</f>
        <v>404.5646304</v>
      </c>
      <c r="E15" s="0" t="n">
        <f aca="false">E13-MAX(0,E13)*E14/100</f>
        <v>492.812134464</v>
      </c>
      <c r="F15" s="0" t="n">
        <f aca="false">F13-MAX(0,F13)*F14/100</f>
        <v>590.372782272</v>
      </c>
      <c r="G15" s="0" t="n">
        <f aca="false">G13-MAX(0,G13)*G14/100</f>
        <v>673.42297591296</v>
      </c>
      <c r="H15" s="0" t="n">
        <f aca="false">H13-MAX(0,H13)*H14/100</f>
        <v>748.530333941645</v>
      </c>
      <c r="I15" s="0" t="n">
        <f aca="false">I13-MAX(0,I13)*I14/100</f>
        <v>791.397367996436</v>
      </c>
      <c r="J15" s="0" t="n">
        <f aca="false">J13-MAX(0,J13)*J14/100</f>
        <v>815.139289036328</v>
      </c>
      <c r="K15" s="0" t="n">
        <f aca="false">K13-MAX(0,K13)*K14/100</f>
        <v>839.593467707418</v>
      </c>
      <c r="L15" s="0" t="n">
        <f aca="false">L13-MAX(0,L13)*L14/100</f>
        <v>864.781271738641</v>
      </c>
    </row>
    <row r="16" customFormat="false" ht="15" hidden="false" customHeight="false" outlineLevel="0" collapsed="false">
      <c r="A16" s="0" t="s">
        <v>118</v>
      </c>
      <c r="C16" s="0" t="n">
        <f aca="false">-C12</f>
        <v>322.2</v>
      </c>
      <c r="D16" s="0" t="n">
        <f aca="false">-D12</f>
        <v>303.7272</v>
      </c>
      <c r="E16" s="0" t="n">
        <f aca="false">-E12</f>
        <v>293.313696</v>
      </c>
      <c r="F16" s="0" t="n">
        <f aca="false">-F12</f>
        <v>284.2886592</v>
      </c>
      <c r="G16" s="0" t="n">
        <f aca="false">-G12</f>
        <v>298.50309216</v>
      </c>
      <c r="H16" s="0" t="n">
        <f aca="false">-H12</f>
        <v>297.5080818528</v>
      </c>
      <c r="I16" s="0" t="n">
        <f aca="false">-I12</f>
        <v>293.110136294976</v>
      </c>
      <c r="J16" s="0" t="n">
        <f aca="false">-J12</f>
        <v>301.903440383825</v>
      </c>
      <c r="K16" s="0" t="n">
        <f aca="false">-K12</f>
        <v>310.96054359534</v>
      </c>
      <c r="L16" s="0" t="n">
        <f aca="false">-L12</f>
        <v>320.2893599032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-193.32</v>
      </c>
      <c r="D17" s="4" t="n">
        <f aca="false">-D6*Assumptions!D46/100</f>
        <v>-206.1006</v>
      </c>
      <c r="E17" s="4" t="n">
        <f aca="false">-E6*Assumptions!E46/100</f>
        <v>-225.62592</v>
      </c>
      <c r="F17" s="4" t="n">
        <f aca="false">-F6*Assumptions!F46/100</f>
        <v>-236.907216</v>
      </c>
      <c r="G17" s="4" t="n">
        <f aca="false">-G6*Assumptions!G46/100</f>
        <v>-261.19020564</v>
      </c>
      <c r="H17" s="4" t="n">
        <f aca="false">-H6*Assumptions!H46/100</f>
        <v>-284.5729478592</v>
      </c>
      <c r="I17" s="4" t="n">
        <f aca="false">-I6*Assumptions!I46/100</f>
        <v>-293.110136294976</v>
      </c>
      <c r="J17" s="4" t="n">
        <f aca="false">-J6*Assumptions!J46/100</f>
        <v>-301.903440383825</v>
      </c>
      <c r="K17" s="4" t="n">
        <f aca="false">-K6*Assumptions!K46/100</f>
        <v>-310.96054359534</v>
      </c>
      <c r="L17" s="4" t="n">
        <f aca="false">-L6*Assumptions!L46/100</f>
        <v>-320.2893599032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-26.85</v>
      </c>
      <c r="D18" s="4" t="n">
        <f aca="false">(D6-C6)*Assumptions!$B$51/100</f>
        <v>6.44400000000001</v>
      </c>
      <c r="E18" s="4" t="n">
        <f aca="false">(E6-D6)*Assumptions!$B$51/100</f>
        <v>26.03376</v>
      </c>
      <c r="F18" s="4" t="n">
        <f aca="false">(F6-E6)*Assumptions!$B$51/100</f>
        <v>33.8438880000001</v>
      </c>
      <c r="G18" s="4" t="n">
        <f aca="false">(G6-F6)*Assumptions!$B$51/100</f>
        <v>35.5360824000001</v>
      </c>
      <c r="H18" s="4" t="n">
        <f aca="false">(H6-G6)*Assumptions!$B$51/100</f>
        <v>29.850309216</v>
      </c>
      <c r="I18" s="4" t="n">
        <f aca="false">(I6-H6)*Assumptions!$B$51/100</f>
        <v>23.28324118848</v>
      </c>
      <c r="J18" s="4" t="n">
        <f aca="false">(J6-I6)*Assumptions!$B$51/100</f>
        <v>23.9817384241344</v>
      </c>
      <c r="K18" s="4" t="n">
        <f aca="false">(K6-J6)*Assumptions!$B$51/100</f>
        <v>24.7011905768585</v>
      </c>
      <c r="L18" s="4" t="n">
        <f aca="false">(L6-K6)*Assumptions!$B$51/100</f>
        <v>25.4422262941642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444.8508</v>
      </c>
      <c r="D19" s="0" t="n">
        <f aca="false">D15+D16+D17+D18</f>
        <v>508.6352304</v>
      </c>
      <c r="E19" s="0" t="n">
        <f aca="false">E15+E16+E17+E18</f>
        <v>586.533670464</v>
      </c>
      <c r="F19" s="0" t="n">
        <f aca="false">F15+F16+F17+F18</f>
        <v>671.598113472</v>
      </c>
      <c r="G19" s="0" t="n">
        <f aca="false">G15+G16+G17+G18</f>
        <v>746.27194483296</v>
      </c>
      <c r="H19" s="0" t="n">
        <f aca="false">H15+H16+H17+H18</f>
        <v>791.315777151245</v>
      </c>
      <c r="I19" s="0" t="n">
        <f aca="false">I15+I16+I17+I18</f>
        <v>814.680609184916</v>
      </c>
      <c r="J19" s="0" t="n">
        <f aca="false">J15+J16+J17+J18</f>
        <v>839.121027460463</v>
      </c>
      <c r="K19" s="0" t="n">
        <f aca="false">K15+K16+K17+K18</f>
        <v>864.294658284277</v>
      </c>
      <c r="L19" s="0" t="n">
        <f aca="false">L15+L16+L17+L18</f>
        <v>890.223498032805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400.766486486486</v>
      </c>
      <c r="D21" s="0" t="n">
        <f aca="false">D19*D20</f>
        <v>412.819763330898</v>
      </c>
      <c r="E21" s="0" t="n">
        <f aca="false">E19*E20</f>
        <v>428.868364686089</v>
      </c>
      <c r="F21" s="0" t="n">
        <f aca="false">F19*F20</f>
        <v>442.402479521355</v>
      </c>
      <c r="G21" s="0" t="n">
        <f aca="false">G19*G20</f>
        <v>442.876076753964</v>
      </c>
      <c r="H21" s="0" t="n">
        <f aca="false">H19*H20</f>
        <v>423.069728706393</v>
      </c>
      <c r="I21" s="0" t="n">
        <f aca="false">I19*I20</f>
        <v>392.397767603558</v>
      </c>
      <c r="J21" s="0" t="n">
        <f aca="false">J19*J20</f>
        <v>364.116847415914</v>
      </c>
      <c r="K21" s="0" t="n">
        <f aca="false">K19*K20</f>
        <v>337.874191746299</v>
      </c>
      <c r="L21" s="0" t="n">
        <f aca="false">L19*L20</f>
        <v>313.522898647466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1.2</v>
      </c>
      <c r="D23" s="4" t="n">
        <f aca="false">Assumptions!D44</f>
        <v>1.2</v>
      </c>
      <c r="E23" s="4" t="n">
        <f aca="false">Assumptions!E44</f>
        <v>1.2</v>
      </c>
      <c r="F23" s="4" t="n">
        <f aca="false">Assumptions!F44</f>
        <v>1.2</v>
      </c>
      <c r="G23" s="4" t="n">
        <f aca="false">Assumptions!G44</f>
        <v>1.2</v>
      </c>
      <c r="H23" s="4" t="n">
        <f aca="false">Assumptions!H44</f>
        <v>1.2</v>
      </c>
      <c r="I23" s="4" t="n">
        <f aca="false">Assumptions!I44</f>
        <v>1.2</v>
      </c>
      <c r="J23" s="4" t="n">
        <f aca="false">Assumptions!J44</f>
        <v>1.2</v>
      </c>
      <c r="K23" s="4" t="n">
        <f aca="false">Assumptions!K44</f>
        <v>1.2</v>
      </c>
      <c r="L23" s="4" t="n">
        <f aca="false">Assumptions!L44</f>
        <v>1.2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-51.552</v>
      </c>
      <c r="D24" s="0" t="n">
        <f aca="false">-D6*D23/100</f>
        <v>-52.06752</v>
      </c>
      <c r="E24" s="0" t="n">
        <f aca="false">-E6*E23/100</f>
        <v>-54.1502208</v>
      </c>
      <c r="F24" s="0" t="n">
        <f aca="false">-F6*F23/100</f>
        <v>-56.85773184</v>
      </c>
      <c r="G24" s="0" t="n">
        <f aca="false">-G6*G23/100</f>
        <v>-59.700618432</v>
      </c>
      <c r="H24" s="0" t="n">
        <f aca="false">-H6*H23/100</f>
        <v>-62.08864316928</v>
      </c>
      <c r="I24" s="0" t="n">
        <f aca="false">-I6*I23/100</f>
        <v>-63.9513024643584</v>
      </c>
      <c r="J24" s="0" t="n">
        <f aca="false">-J6*J23/100</f>
        <v>-65.8698415382892</v>
      </c>
      <c r="K24" s="0" t="n">
        <f aca="false">-K6*K23/100</f>
        <v>-67.8459367844378</v>
      </c>
      <c r="L24" s="0" t="n">
        <f aca="false">-L6*L23/100</f>
        <v>-69.881314887971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3958.71460489842</v>
      </c>
    </row>
    <row r="31" customFormat="false" ht="15" hidden="false" customHeight="false" outlineLevel="0" collapsed="false">
      <c r="A31" s="0" t="s">
        <v>127</v>
      </c>
      <c r="B31" s="0" t="n">
        <f aca="false">L19</f>
        <v>890.223498032805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10735.0480645132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12463.1289724593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10735.0480645132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3780.71730721944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7739.43191211786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9334.43191211786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20.7962129712856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1.59466163085285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143.705914081689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123.658785889176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21.391875706195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7299.832683869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14.9267981710015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7.76660640796792</v>
      </c>
      <c r="C4" s="0" t="n">
        <f aca="false">B4/Assumptions!$B$2-1</f>
        <v>-0.0309910907089305</v>
      </c>
      <c r="D4" s="4" t="n">
        <f aca="false">Assumptions!$B$24</f>
        <v>0.3</v>
      </c>
      <c r="E4" s="4" t="n">
        <f aca="false">DCF_Bear!$B$43</f>
        <v>8.08657840708549</v>
      </c>
      <c r="F4" s="4" t="n">
        <f aca="false">DCF_Bear!$B$47</f>
        <v>6.7154980632051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14.8322576106795</v>
      </c>
      <c r="C5" s="0" t="n">
        <f aca="false">B5/Assumptions!$B$2-1</f>
        <v>0.850562396840855</v>
      </c>
      <c r="D5" s="4" t="n">
        <f aca="false">Assumptions!$B$38</f>
        <v>0.5</v>
      </c>
      <c r="E5" s="4" t="n">
        <f aca="false">DCF_Base!$B$43</f>
        <v>15.3221309798192</v>
      </c>
      <c r="F5" s="4" t="n">
        <f aca="false">DCF_Base!$B$47</f>
        <v>11.1719097129322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20.7962129712856</v>
      </c>
      <c r="C6" s="0" t="n">
        <f aca="false">B6/Assumptions!$B$2-1</f>
        <v>1.59466163085285</v>
      </c>
      <c r="D6" s="4" t="n">
        <f aca="false">Assumptions!$B$52</f>
        <v>0.2</v>
      </c>
      <c r="E6" s="4" t="n">
        <f aca="false">DCF_Bull!$B$43</f>
        <v>21.391875706195</v>
      </c>
      <c r="F6" s="4" t="n">
        <f aca="false">DCF_Bull!$B$47</f>
        <v>14.9267981710015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13.9053533219872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14.3654141532743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0.42360328325303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-1280.34227680475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10.5859639096279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16.8396097464195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15.9514360855002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14.8322576106795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13.6379123720239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11.1719097129322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16.8396097464195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16.8396097464195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16.8396097464195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16.8396097464195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16.8396097464195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15.5592717121397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15.921776595078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15.9514360855002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15.9514360855002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15.9514360855002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14.2642029340491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14.5332814650845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14.8322576106795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15.1393141926418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15.1393141926418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13.2091816859299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13.4133391554984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13.6379123720239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13.8861248744993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14.1619165439165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12.333908334191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12.4916419956633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12.6637150809059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12.8521760790288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13.0594831769639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2026-10-11T07:35:21Z</dcterms:created>
  <dc:creator>openpyxl</dc:creator>
  <dc:description/>
  <dc:language>en-NZ</dc:language>
  <cp:lastModifiedBy/>
  <dcterms:modified xsi:type="dcterms:W3CDTF">2026-10-11T07:35:21Z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