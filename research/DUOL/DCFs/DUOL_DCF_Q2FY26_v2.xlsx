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Info" sheetId="1" state="visible" r:id="rId3"/>
    <sheet name="Reconciliation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<sst xmlns="http://schemas.openxmlformats.org/spreadsheetml/2006/main" count="259" uniqueCount="145">
  <si>
    <t xml:space="preserve">DUOLINGO (DUOL) - DCF, v2.0</t>
  </si>
  <si>
    <t xml:space="preserve">Lineage</t>
  </si>
  <si>
    <t xml:space="preserve">v2.0, 6 Aug 2026 NZT. Direct successor to DUOL_FCF_Model_Jul2026.xlsx v1.8 (29 Jul 2026): same engine, Q2 FY26 anchors. SUPERSEDES the interim 6-Aug rebuild (DUOL_DCF_Q2FY26.xlsx), which contained two methodology errors vs the July engine - see Reconciliation tab. Built by Claude (Fable 5) with Stephen via claude.ai; openpyxl; all formulas recalculated in LibreOffice, key outputs hand-checked.</t>
  </si>
  <si>
    <t xml:space="preserve">DATA VINTAGE</t>
  </si>
  <si>
    <t xml:space="preserve">Q2 FY26 actuals &amp; guidance</t>
  </si>
  <si>
    <t xml:space="preserve">Q2 2026 shareholder letter + press release, 5 Aug 2026, Form 8-K (SEC EDGAR accession 0001628280-26-053299). FY26 guide: revenue ~$1,207mm (+16.3%), bookings ~$1,285mm (+10.9%), Adj EBITDA ~$320mm (26.5%, raised ~1pt), SBC ~15% of revenue, GAAP tax rate 23-25% (cash taxes still DTA-sheltered).</t>
  </si>
  <si>
    <t xml:space="preserve">FY25 anchors</t>
  </si>
  <si>
    <t xml:space="preserve">Revenue $1,037.6mm, Adj EBITDA margin 29.5%, SBC 14.3% of revenue - carried from July file's Historical tab (Q4/FY25 shareholder letter, 8-K 26-Feb-26).</t>
  </si>
  <si>
    <t xml:space="preserve">Balance sheet / shares / price</t>
  </si>
  <si>
    <t xml:space="preserve">Net cash $1,313.9mm (cash $1,180.9 + ST inv $133.0, 30-Jun-26). Diluted shares 50.7mm (letter table; July's 49.8mm was the pre-Q2 count). Price $119.70 = user-supplied after-hours print ~9am 6-Aug NZT; session swung +7% to -11% post-release - replace with the next regular close.</t>
  </si>
  <si>
    <t xml:space="preserve">METHODOLOGY (unchanged from v1.8)</t>
  </si>
  <si>
    <t xml:space="preserve">Owner-FCF basis</t>
  </si>
  <si>
    <t xml:space="preserve">SBC (incl. equity-award taxes) fully expensed; INTEREST INCOME EXCLUDED from flows (the cash pile is added separately - including both double-counts); cash tax ramps from the guided ~6% 2026 benefit (DTA shelter) to a 21% normalized rate by 2029-30; D&amp;A 1.5% and capex 2.3% of revenue; deferred-revenue working-capital tailwind = 18% of the YoY revenue increase, fading as growth slows; diluted shares held FLAT (SBC expensed substitutes for grant dilution; buyback offsets). TV = Gordon, capped at 20x terminal owner FCF. End-of-year discounting. WACC 10.5%. Each DCF tab also shows the street-convention value (SBC as non-cash) - the house/street pair is the accounting-regime price band.</t>
  </si>
  <si>
    <t xml:space="preserve">Scenarios</t>
  </si>
  <si>
    <t xml:space="preserve">Bear/Base/Bull 15/50/35 (Stephen, 29-Jul-26). Terminal growth 1.5/3.0/3.5%. Driver rows (blue: 5, 7, 9, 14 on each DCF tab) carry the July judgment paths; only 2026 columns were updated to the post-Q2 guide, with two small documented tweaks (bear 2026 revenue/margin can no longer undo the H1 already banked; bull 2026 margin follows the beat). 2027+ paths deliberately NOT re-judged - the print's cross-currents (DAU +23% accel vs bookings +8%) argue in opposite directions; revisit after the call transcript.</t>
  </si>
  <si>
    <t xml:space="preserve">UPDATE INSTRUCTIONS</t>
  </si>
  <si>
    <t xml:space="preserve">Each quarter</t>
  </si>
  <si>
    <t xml:space="preserve">Refresh price (Assumptions B11), net cash (B9), shares (B10, check buyback pace vs $400mm - $71.9mm used through 1-Aug), 2026 driver columns vs guidance, and reassess blue rows 5/7/9/14 per scenario. Valuation, hurdle prices, and sensitivities recalculate.</t>
  </si>
  <si>
    <t xml:space="preserve">Conventions</t>
  </si>
  <si>
    <t xml:space="preserve">Blue = hardcoded input. Yellow = key levers. Black = formula. Green = cross-sheet link. Prefilled values are working examples of the expected format.</t>
  </si>
  <si>
    <t xml:space="preserve">RECONCILIATION - July v1.8 vs 6-Aug interim rebuild vs v2.0</t>
  </si>
  <si>
    <t xml:space="preserve">Per-share values (owner-FCF / house basis)</t>
  </si>
  <si>
    <t xml:space="preserve">Model</t>
  </si>
  <si>
    <t xml:space="preserve">Bear</t>
  </si>
  <si>
    <t xml:space="preserve">Base</t>
  </si>
  <si>
    <t xml:space="preserve">Bull</t>
  </si>
  <si>
    <t xml:space="preserve">Weighted</t>
  </si>
  <si>
    <t xml:space="preserve">Notes</t>
  </si>
  <si>
    <t xml:space="preserve">July v1.8 (29-Jul, at $140, pre-Q2 anchors)</t>
  </si>
  <si>
    <t xml:space="preserve">Weights 15/50/35; WACC 10.5%; net cash $1,140.5; shares 49.8; MoS at $140 was -19.5% (price above value).</t>
  </si>
  <si>
    <t xml:space="preserve">6-Aug interim rebuild (SUPERSEDED)</t>
  </si>
  <si>
    <t xml:space="preserve">Two errors vs the July engine: (1) valued reported FCF including ~$47mm/yr interest income AND added the cash pile - double count worth roughly $12-15/share; (2) no cash-tax normalization - perpetuated the temporary DTA shelter instead of ramping to 21%, inflating mature-year margins (22% vs ~16% base terminal owner margin). Also WACC 10.0% vs 10.5% and bear terminal 2.5% vs 1.5%. Revenue paths were NOT the driver - base CAGR ~10% in both.</t>
  </si>
  <si>
    <t xml:space="preserve">v2.0 (this file: July engine + Q2 anchors)</t>
  </si>
  <si>
    <t xml:space="preserve">Anchor updates vs v1.8: net cash +$173mm (30-Jun), shares 49.8 -&gt; 50.7, 2026 revenue growth 16.1% -&gt; 16.3%, 2026 EBITDA margin to the raised 26.5% guide (bear 26.0 / bull 27.0), price $119.70. 2027+ driver judgments unchanged from July pending the call transcript.</t>
  </si>
  <si>
    <t xml:space="preserve">Street basis (SBC as non-cash), v2.0</t>
  </si>
  <si>
    <t xml:space="preserve">Bridge, interim rebuild -&gt; v2.0 base case (approximate, $/share)</t>
  </si>
  <si>
    <t xml:space="preserve">Interim rebuild base</t>
  </si>
  <si>
    <t xml:space="preserve">As delivered this morning</t>
  </si>
  <si>
    <t xml:space="preserve">Exclude interest income from flows</t>
  </si>
  <si>
    <t xml:space="preserve">Ends the cash-pile double count (July methodology)</t>
  </si>
  <si>
    <t xml:space="preserve">Cash-tax ramp to 21% by 2029-30</t>
  </si>
  <si>
    <t xml:space="preserve">Ends the perpetual DTA shelter; hits mature-year flows and TV hardest</t>
  </si>
  <si>
    <t xml:space="preserve">WACC 10.0% -&gt; 10.5%</t>
  </si>
  <si>
    <t xml:space="preserve">Engine detail (WC tailwind, D&amp;A/capex split, TV cap)</t>
  </si>
  <si>
    <t xml:space="preserve">Net small</t>
  </si>
  <si>
    <t xml:space="preserve">v2.0 base case</t>
  </si>
  <si>
    <t xml:space="preserve">Ties to DCF_Base!B38 (live)</t>
  </si>
  <si>
    <t xml:space="preserve">Bridge figures are static estimates for orientation; the live numbers above are authoritative.</t>
  </si>
  <si>
    <t xml:space="preserve">DUOL - Global Assumptions &amp; Scenario Parameters (v2.0)</t>
  </si>
  <si>
    <t xml:space="preserve">Blue = hardcoded input. Yellow = key levers. All $ in millions unless stated.</t>
  </si>
  <si>
    <t xml:space="preserve">Global inputs</t>
  </si>
  <si>
    <t xml:space="preserve">WACC / discount rate</t>
  </si>
  <si>
    <t xml:space="preserve">July v1.8 value, unchanged</t>
  </si>
  <si>
    <t xml:space="preserve">D&amp;A (% of revenue)</t>
  </si>
  <si>
    <t xml:space="preserve">Capex + capitalized software (% of revenue)</t>
  </si>
  <si>
    <t xml:space="preserve">Working-capital capture (% of YoY revenue incr.)</t>
  </si>
  <si>
    <t xml:space="preserve">Deferred-revenue tailwind; fades as growth slows</t>
  </si>
  <si>
    <t xml:space="preserve">Net cash: cash + ST investments, 30-Jun-26 ($mm)</t>
  </si>
  <si>
    <t xml:space="preserve">Was $1,140.5 (31-Dec-25) in v1.8</t>
  </si>
  <si>
    <t xml:space="preserve">Fully diluted shares (mm)</t>
  </si>
  <si>
    <t xml:space="preserve">Q2 letter table; was 49.8 in v1.8</t>
  </si>
  <si>
    <t xml:space="preserve">Current share price (after-hours 5-Aug US ET)</t>
  </si>
  <si>
    <t xml:space="preserve">User-supplied; volatile tape - refresh at next close</t>
  </si>
  <si>
    <t xml:space="preserve">Terminal value cap (x terminal-year owner FCF)</t>
  </si>
  <si>
    <t xml:space="preserve">Scenario parameters</t>
  </si>
  <si>
    <t xml:space="preserve">Terminal growth rate</t>
  </si>
  <si>
    <t xml:space="preserve">Probability weight</t>
  </si>
  <si>
    <t xml:space="preserve">must sum to 100%</t>
  </si>
  <si>
    <t xml:space="preserve">Scenario narratives (post-Q2 print)</t>
  </si>
  <si>
    <t xml:space="preserve">AI erosion is real: assistants absorb casual practice; the user-growth pivot delivers DAUs but never bookings - Q2's users +23% / bookings +8% split becomes permanent. Revenue fades to ~1-2% by 2034-35; EBITDA ~23-24%; SBC stays 13-14.5%.</t>
  </si>
  <si>
    <t xml:space="preserve">Pivot partially works: ~20%+ DAU growth compounds (Q2 confirmed acceleration), monetization re-engages 2027-28 (free-trial cohorts convert, Video Call in Super, ads). Revenue ~10% CAGR to 2035; EBITDA 26.5% -&gt; 32%; SBC fades to 10%.</t>
  </si>
  <si>
    <t xml:space="preserve">100M DAU by 2028 on track (Q2's 23% = the required run-rate); ~20% bookings capability returns 2027-29; Chess/Math/Music second engines; EBITDA to 35%; SBC disciplined to 8%.</t>
  </si>
  <si>
    <t xml:space="preserve">DUOL DCF - Bear - AI erosion; DAUs without bookings</t>
  </si>
  <si>
    <t xml:space="preserve">Owner-FCF basis: SBC fully expensed, interest income excluded, share count flat. Blue rows = per-year drivers (edit).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</si>
  <si>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</si>
  <si>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</si>
  <si>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</si>
  <si>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</si>
  <si>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</si>
  <si>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</si>
  <si>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</si>
  <si>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</si>
  <si>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</si>
  <si>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</si>
  <si>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</si>
  <si>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Year index (for discounting)</t>
  </si>
  <si>
    <t xml:space="preserve">Revenue growth YoY</t>
  </si>
  <si>
    <t xml:space="preserve">Revenue</t>
  </si>
  <si>
    <t xml:space="preserve">Adj EBITDA margin</t>
  </si>
  <si>
    <t xml:space="preserve">Adjusted EBITDA</t>
  </si>
  <si>
    <t xml:space="preserve">SBC (% of revenue)</t>
  </si>
  <si>
    <t xml:space="preserve">SBC (incl. equity-award taxes)</t>
  </si>
  <si>
    <t xml:space="preserve">EBITDA less SBC ('owner EBITDA')</t>
  </si>
  <si>
    <t xml:space="preserve">D&amp;A</t>
  </si>
  <si>
    <t xml:space="preserve">EBIT (SBC expensed)</t>
  </si>
  <si>
    <t xml:space="preserve">Cash tax rate (neg = benefit)</t>
  </si>
  <si>
    <t xml:space="preserve">NOPAT</t>
  </si>
  <si>
    <t xml:space="preserve">add: D&amp;A</t>
  </si>
  <si>
    <t xml:space="preserve">less: capex + capitalized software</t>
  </si>
  <si>
    <t xml:space="preserve">add: working capital (deferred-rev tailwind)</t>
  </si>
  <si>
    <t xml:space="preserve">Unlevered owner FCF</t>
  </si>
  <si>
    <t xml:space="preserve">Discount factor</t>
  </si>
  <si>
    <t xml:space="preserve">PV of FCF</t>
  </si>
  <si>
    <t xml:space="preserve">Memo: FCF before SBC (company-style)</t>
  </si>
  <si>
    <t xml:space="preserve">Memo: implied owner FCF margin</t>
  </si>
  <si>
    <t xml:space="preserve">Valuation</t>
  </si>
  <si>
    <t xml:space="preserve">PV of FCF, 2026-2035</t>
  </si>
  <si>
    <t xml:space="preserve">Terminal-year owner FCF x (1+g)</t>
  </si>
  <si>
    <t xml:space="preserve">Terminal value - Gordon</t>
  </si>
  <si>
    <t xml:space="preserve">Terminal value - cap (20x terminal FCF)</t>
  </si>
  <si>
    <t xml:space="preserve">Terminal value used (lower of the two)</t>
  </si>
  <si>
    <t xml:space="preserve">Implied exit multiple</t>
  </si>
  <si>
    <t xml:space="preserve">PV of terminal value</t>
  </si>
  <si>
    <t xml:space="preserve">Enterprise value</t>
  </si>
  <si>
    <t xml:space="preserve">add: net cash</t>
  </si>
  <si>
    <t xml:space="preserve">Equity value</t>
  </si>
  <si>
    <t xml:space="preserve">Value per share</t>
  </si>
  <si>
    <t xml:space="preserve">Upside / (downside) vs current price</t>
  </si>
  <si>
    <t xml:space="preserve">Memo: value if SBC treated as non-cash (market convention)</t>
  </si>
  <si>
    <t xml:space="preserve">PV of 2026-35 SBC</t>
  </si>
  <si>
    <t xml:space="preserve">  plus PV of terminal SBC</t>
  </si>
  <si>
    <t xml:space="preserve">  Value per share, SBC as non-cash</t>
  </si>
  <si>
    <t xml:space="preserve">DUOL DCF - Base - pivot partially works</t>
  </si>
  <si>
    <t xml:space="preserve">DUOL DCF - Bull - 100M DAU by 2028; monetization converts</t>
  </si>
  <si>
    <t xml:space="preserve">DUOL - Valuation Summary &amp; Sensitivity (v2.0)</t>
  </si>
  <si>
    <t xml:space="preserve">All per-share values on the owner-FCF basis (SBC expensed) unless marked street. Green = links.</t>
  </si>
  <si>
    <t xml:space="preserve">Upside / (downside) vs price</t>
  </si>
  <si>
    <t xml:space="preserve">Probability</t>
  </si>
  <si>
    <t xml:space="preserve">Value per share, SBC as non-cash (street)</t>
  </si>
  <si>
    <t xml:space="preserve">Probability-weighted value per share</t>
  </si>
  <si>
    <t xml:space="preserve">Current price</t>
  </si>
  <si>
    <t xml:space="preserve">Margin of safety vs weighted value</t>
  </si>
  <si>
    <t xml:space="preserve">Weighted value, SBC as non-cash (street)</t>
  </si>
  <si>
    <t xml:space="preserve">House-street band vs price</t>
  </si>
  <si>
    <t xml:space="preserve">price sits at:</t>
  </si>
  <si>
    <t xml:space="preserve">0% = house floor, 100% = street ceiling</t>
  </si>
  <si>
    <t xml:space="preserve">Base case - value per share at different required returns</t>
  </si>
  <si>
    <t xml:space="preserve">Required return</t>
  </si>
  <si>
    <t xml:space="preserve">Value / share</t>
  </si>
  <si>
    <t xml:space="preserve">15% required-return entry price</t>
  </si>
  <si>
    <t xml:space="preserve">15%-hurdle entry: Bear / Base / Bull / weighted</t>
  </si>
  <si>
    <t xml:space="preserve">model buy-below price at a 15% hurdle</t>
  </si>
  <si>
    <t xml:space="preserve">  same, street basis (house + SBC PV)</t>
  </si>
  <si>
    <t xml:space="preserve">Base case - value per share: WACC x terminal growth</t>
  </si>
  <si>
    <t xml:space="preserve">WACC \ 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</si>
</sst>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"/>
    <numFmt numFmtId="167" formatCode="\$#,##0.0;&quot;($&quot;#,##0.0\);\-"/>
    <numFmt numFmtId="168" formatCode="#,##0.0"/>
    <numFmt numFmtId="169" formatCode="0\x"/>
    <numFmt numFmtId="170" formatCode="\$#,##0;&quot;($&quot;#,##0\);\-"/>
    <numFmt numFmtId="171" formatCode="0.000"/>
    <numFmt numFmtId="172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2"/>
  </cols>
  <sheetData>
    <row r="1" customFormat="false" ht="16.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32.8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/>
      <c r="B4" s="2"/>
    </row>
    <row r="5" customFormat="false" ht="15" hidden="false" customHeight="false" outlineLevel="0" collapsed="false">
      <c r="A5" s="5" t="s">
        <v>3</v>
      </c>
      <c r="B5" s="2"/>
    </row>
    <row r="6" customFormat="false" ht="32.8" hidden="false" customHeight="false" outlineLevel="0" collapsed="false">
      <c r="A6" s="3" t="s">
        <v>4</v>
      </c>
      <c r="B6" s="4" t="s">
        <v>5</v>
      </c>
    </row>
    <row r="7" customFormat="false" ht="22.35" hidden="false" customHeight="false" outlineLevel="0" collapsed="false">
      <c r="A7" s="3" t="s">
        <v>6</v>
      </c>
      <c r="B7" s="4" t="s">
        <v>7</v>
      </c>
    </row>
    <row r="8" customFormat="false" ht="22.3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/>
      <c r="B9" s="2"/>
    </row>
    <row r="10" customFormat="false" ht="15" hidden="false" customHeight="false" outlineLevel="0" collapsed="false">
      <c r="A10" s="5" t="s">
        <v>10</v>
      </c>
      <c r="B10" s="2"/>
    </row>
    <row r="11" customFormat="false" ht="53.7" hidden="false" customHeight="false" outlineLevel="0" collapsed="false">
      <c r="A11" s="3" t="s">
        <v>11</v>
      </c>
      <c r="B11" s="4" t="s">
        <v>12</v>
      </c>
    </row>
    <row r="12" customFormat="false" ht="43.25" hidden="false" customHeight="false" outlineLevel="0" collapsed="false">
      <c r="A12" s="3" t="s">
        <v>13</v>
      </c>
      <c r="B12" s="4" t="s">
        <v>14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5" t="s">
        <v>15</v>
      </c>
      <c r="B14" s="2"/>
    </row>
    <row r="15" customFormat="false" ht="22.35" hidden="false" customHeight="false" outlineLevel="0" collapsed="false">
      <c r="A15" s="3" t="s">
        <v>16</v>
      </c>
      <c r="B15" s="4" t="s">
        <v>17</v>
      </c>
    </row>
    <row r="16" customFormat="false" ht="15" hidden="false" customHeight="false" outlineLevel="0" collapsed="false">
      <c r="A16" s="3" t="s">
        <v>18</v>
      </c>
      <c r="B16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3"/>
    <col collapsed="false" customWidth="true" hidden="false" outlineLevel="0" max="6" min="6" style="0" width="74"/>
  </cols>
  <sheetData>
    <row r="1" customFormat="false" ht="16.15" hidden="false" customHeight="false" outlineLevel="0" collapsed="false">
      <c r="A1" s="1" t="s">
        <v>20</v>
      </c>
    </row>
    <row r="3" customFormat="false" ht="15" hidden="false" customHeight="false" outlineLevel="0" collapsed="false">
      <c r="A3" s="5" t="s">
        <v>21</v>
      </c>
    </row>
    <row r="4" customFormat="false" ht="15" hidden="false" customHeight="fals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</row>
    <row r="5" customFormat="false" ht="22.35" hidden="false" customHeight="false" outlineLevel="0" collapsed="false">
      <c r="A5" s="3" t="s">
        <v>28</v>
      </c>
      <c r="B5" s="7" t="n">
        <v>43.25</v>
      </c>
      <c r="C5" s="7" t="n">
        <v>100.61</v>
      </c>
      <c r="D5" s="7" t="n">
        <v>159.64</v>
      </c>
      <c r="E5" s="7" t="n">
        <v>112.67</v>
      </c>
      <c r="F5" s="4" t="s">
        <v>29</v>
      </c>
    </row>
    <row r="6" customFormat="false" ht="53.7" hidden="false" customHeight="false" outlineLevel="0" collapsed="false">
      <c r="A6" s="3" t="s">
        <v>30</v>
      </c>
      <c r="B6" s="7" t="n">
        <v>74.86</v>
      </c>
      <c r="C6" s="7" t="n">
        <v>140.82</v>
      </c>
      <c r="D6" s="7" t="n">
        <v>212.83</v>
      </c>
      <c r="E6" s="7" t="n">
        <v>156.13</v>
      </c>
      <c r="F6" s="4" t="s">
        <v>31</v>
      </c>
    </row>
    <row r="7" customFormat="false" ht="32.8" hidden="false" customHeight="false" outlineLevel="0" collapsed="false">
      <c r="A7" s="3" t="s">
        <v>32</v>
      </c>
      <c r="B7" s="8" t="n">
        <f aca="false">DCF_Bear!$B$38</f>
        <v>46.4445515002343</v>
      </c>
      <c r="C7" s="8" t="n">
        <f aca="false">DCF_Base!$B$38</f>
        <v>102.605048357528</v>
      </c>
      <c r="D7" s="8" t="n">
        <f aca="false">DCF_Bull!$B$38</f>
        <v>160.459778380257</v>
      </c>
      <c r="E7" s="9" t="n">
        <f aca="false">Valuation!$B$10</f>
        <v>114.430129336889</v>
      </c>
      <c r="F7" s="4" t="s">
        <v>33</v>
      </c>
    </row>
    <row r="9" customFormat="false" ht="15" hidden="false" customHeight="false" outlineLevel="0" collapsed="false">
      <c r="A9" s="3" t="s">
        <v>34</v>
      </c>
      <c r="B9" s="8" t="n">
        <f aca="false">DCF_Bear!$B$43</f>
        <v>86.3139846502947</v>
      </c>
      <c r="C9" s="8" t="n">
        <f aca="false">DCF_Base!$B$43</f>
        <v>158.509048025646</v>
      </c>
      <c r="D9" s="8" t="n">
        <f aca="false">DCF_Bull!$B$43</f>
        <v>222.34419711498</v>
      </c>
      <c r="E9" s="8" t="n">
        <f aca="false">Valuation!$B$13</f>
        <v>170.02209070061</v>
      </c>
    </row>
    <row r="11" customFormat="false" ht="15" hidden="false" customHeight="false" outlineLevel="0" collapsed="false">
      <c r="A11" s="5" t="s">
        <v>35</v>
      </c>
    </row>
    <row r="12" customFormat="false" ht="15" hidden="false" customHeight="false" outlineLevel="0" collapsed="false">
      <c r="A12" s="3" t="s">
        <v>36</v>
      </c>
      <c r="B12" s="7" t="n">
        <v>140.82</v>
      </c>
      <c r="F12" s="10" t="s">
        <v>37</v>
      </c>
    </row>
    <row r="13" customFormat="false" ht="15" hidden="false" customHeight="false" outlineLevel="0" collapsed="false">
      <c r="A13" s="11" t="s">
        <v>38</v>
      </c>
      <c r="B13" s="7" t="n">
        <v>-13.5</v>
      </c>
      <c r="F13" s="10" t="s">
        <v>39</v>
      </c>
    </row>
    <row r="14" customFormat="false" ht="15" hidden="false" customHeight="false" outlineLevel="0" collapsed="false">
      <c r="A14" s="11" t="s">
        <v>40</v>
      </c>
      <c r="B14" s="7" t="n">
        <v>-19</v>
      </c>
      <c r="F14" s="10" t="s">
        <v>41</v>
      </c>
    </row>
    <row r="15" customFormat="false" ht="15" hidden="false" customHeight="false" outlineLevel="0" collapsed="false">
      <c r="A15" s="11" t="s">
        <v>42</v>
      </c>
      <c r="B15" s="7" t="n">
        <v>-7.5</v>
      </c>
      <c r="F15" s="10"/>
    </row>
    <row r="16" customFormat="false" ht="15" hidden="false" customHeight="false" outlineLevel="0" collapsed="false">
      <c r="A16" s="11" t="s">
        <v>43</v>
      </c>
      <c r="B16" s="7" t="n">
        <v>1.5</v>
      </c>
      <c r="F16" s="10" t="s">
        <v>44</v>
      </c>
    </row>
    <row r="17" customFormat="false" ht="15" hidden="false" customHeight="false" outlineLevel="0" collapsed="false">
      <c r="A17" s="3" t="s">
        <v>45</v>
      </c>
      <c r="B17" s="7" t="n">
        <v>102.3</v>
      </c>
      <c r="F17" s="10" t="s">
        <v>46</v>
      </c>
    </row>
    <row r="19" customFormat="false" ht="15" hidden="false" customHeight="false" outlineLevel="0" collapsed="false">
      <c r="A19" s="1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8" min="8" style="0" width="62"/>
  </cols>
  <sheetData>
    <row r="1" customFormat="false" ht="16.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10" t="s">
        <v>49</v>
      </c>
    </row>
    <row r="4" customFormat="false" ht="15" hidden="false" customHeight="false" outlineLevel="0" collapsed="false">
      <c r="A4" s="5" t="s">
        <v>50</v>
      </c>
    </row>
    <row r="5" customFormat="false" ht="15" hidden="false" customHeight="false" outlineLevel="0" collapsed="false">
      <c r="A5" s="3" t="s">
        <v>51</v>
      </c>
      <c r="B5" s="13" t="n">
        <v>0.105</v>
      </c>
      <c r="H5" s="10" t="s">
        <v>52</v>
      </c>
    </row>
    <row r="6" customFormat="false" ht="15" hidden="false" customHeight="false" outlineLevel="0" collapsed="false">
      <c r="A6" s="3" t="s">
        <v>53</v>
      </c>
      <c r="B6" s="13" t="n">
        <v>0.015</v>
      </c>
      <c r="H6" s="10"/>
    </row>
    <row r="7" customFormat="false" ht="15" hidden="false" customHeight="false" outlineLevel="0" collapsed="false">
      <c r="A7" s="3" t="s">
        <v>54</v>
      </c>
      <c r="B7" s="13" t="n">
        <v>0.023</v>
      </c>
      <c r="H7" s="10"/>
    </row>
    <row r="8" customFormat="false" ht="15" hidden="false" customHeight="false" outlineLevel="0" collapsed="false">
      <c r="A8" s="3" t="s">
        <v>55</v>
      </c>
      <c r="B8" s="13" t="n">
        <v>0.18</v>
      </c>
      <c r="H8" s="10" t="s">
        <v>56</v>
      </c>
    </row>
    <row r="9" customFormat="false" ht="15" hidden="false" customHeight="false" outlineLevel="0" collapsed="false">
      <c r="A9" s="3" t="s">
        <v>57</v>
      </c>
      <c r="B9" s="14" t="n">
        <v>1313.9</v>
      </c>
      <c r="H9" s="10" t="s">
        <v>58</v>
      </c>
    </row>
    <row r="10" customFormat="false" ht="15" hidden="false" customHeight="false" outlineLevel="0" collapsed="false">
      <c r="A10" s="3" t="s">
        <v>59</v>
      </c>
      <c r="B10" s="15" t="n">
        <v>50.7</v>
      </c>
      <c r="H10" s="10" t="s">
        <v>60</v>
      </c>
    </row>
    <row r="11" customFormat="false" ht="15" hidden="false" customHeight="false" outlineLevel="0" collapsed="false">
      <c r="A11" s="3" t="s">
        <v>61</v>
      </c>
      <c r="B11" s="16" t="n">
        <v>119.7</v>
      </c>
      <c r="H11" s="10" t="s">
        <v>62</v>
      </c>
    </row>
    <row r="12" customFormat="false" ht="15" hidden="false" customHeight="false" outlineLevel="0" collapsed="false">
      <c r="A12" s="3" t="s">
        <v>63</v>
      </c>
      <c r="B12" s="17" t="n">
        <v>20</v>
      </c>
      <c r="H12" s="10"/>
    </row>
    <row r="14" customFormat="false" ht="15" hidden="false" customHeight="false" outlineLevel="0" collapsed="false">
      <c r="A14" s="5" t="s">
        <v>64</v>
      </c>
      <c r="C14" s="6" t="s">
        <v>23</v>
      </c>
      <c r="D14" s="6" t="s">
        <v>24</v>
      </c>
      <c r="E14" s="6" t="s">
        <v>25</v>
      </c>
    </row>
    <row r="15" customFormat="false" ht="15" hidden="false" customHeight="false" outlineLevel="0" collapsed="false">
      <c r="A15" s="3" t="s">
        <v>65</v>
      </c>
      <c r="C15" s="13" t="n">
        <v>0.015</v>
      </c>
      <c r="D15" s="13" t="n">
        <v>0.03</v>
      </c>
      <c r="E15" s="13" t="n">
        <v>0.035</v>
      </c>
    </row>
    <row r="16" customFormat="false" ht="15" hidden="false" customHeight="false" outlineLevel="0" collapsed="false">
      <c r="A16" s="3" t="s">
        <v>66</v>
      </c>
      <c r="C16" s="13" t="n">
        <v>0.15</v>
      </c>
      <c r="D16" s="13" t="n">
        <v>0.5</v>
      </c>
      <c r="E16" s="13" t="n">
        <v>0.35</v>
      </c>
      <c r="F16" s="18" t="n">
        <f aca="false">SUM(C16:E16)</f>
        <v>1</v>
      </c>
      <c r="G16" s="10" t="s">
        <v>67</v>
      </c>
    </row>
    <row r="18" customFormat="false" ht="15" hidden="false" customHeight="false" outlineLevel="0" collapsed="false">
      <c r="A18" s="5" t="s">
        <v>68</v>
      </c>
    </row>
    <row r="19" customFormat="false" ht="25.5" hidden="false" customHeight="true" outlineLevel="0" collapsed="false">
      <c r="A19" s="3" t="s">
        <v>23</v>
      </c>
      <c r="B19" s="19" t="s">
        <v>69</v>
      </c>
      <c r="C19" s="19"/>
      <c r="D19" s="19"/>
      <c r="E19" s="19"/>
      <c r="F19" s="19"/>
      <c r="G19" s="19"/>
      <c r="H19" s="19"/>
    </row>
    <row r="20" customFormat="false" ht="25.5" hidden="false" customHeight="true" outlineLevel="0" collapsed="false">
      <c r="A20" s="3" t="s">
        <v>24</v>
      </c>
      <c r="B20" s="19" t="s">
        <v>70</v>
      </c>
      <c r="C20" s="19"/>
      <c r="D20" s="19"/>
      <c r="E20" s="19"/>
      <c r="F20" s="19"/>
      <c r="G20" s="19"/>
      <c r="H20" s="19"/>
    </row>
    <row r="21" customFormat="false" ht="25.5" hidden="false" customHeight="true" outlineLevel="0" collapsed="false">
      <c r="A21" s="3" t="s">
        <v>25</v>
      </c>
      <c r="B21" s="19" t="s">
        <v>71</v>
      </c>
      <c r="C21" s="19"/>
      <c r="D21" s="19"/>
      <c r="E21" s="19"/>
      <c r="F21" s="19"/>
      <c r="G21" s="19"/>
      <c r="H21" s="19"/>
    </row>
  </sheetData>
  <mergeCells count="3"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72</v>
      </c>
    </row>
    <row r="2" customFormat="false" ht="15" hidden="false" customHeight="false" outlineLevel="0" collapsed="false">
      <c r="A2" s="10" t="s">
        <v>73</v>
      </c>
    </row>
    <row r="3" customFormat="false" ht="15" hidden="false" customHeight="false" outlineLevel="0" collapsed="false">
      <c r="B3" s="6" t="s">
        <v>74</v>
      </c>
      <c r="C3" s="6" t="s">
        <v>75</v>
      </c>
      <c r="D3" s="6" t="s">
        <v>76</v>
      </c>
      <c r="E3" s="6" t="s">
        <v>77</v>
      </c>
      <c r="F3" s="6" t="s">
        <v>78</v>
      </c>
      <c r="G3" s="6" t="s">
        <v>79</v>
      </c>
      <c r="H3" s="6" t="s">
        <v>80</v>
      </c>
      <c r="I3" s="6" t="s">
        <v>81</v>
      </c>
      <c r="J3" s="6" t="s">
        <v>82</v>
      </c>
      <c r="K3" s="6" t="s">
        <v>83</v>
      </c>
      <c r="L3" s="6" t="s">
        <v>84</v>
      </c>
    </row>
    <row r="4" customFormat="false" ht="15" hidden="false" customHeight="false" outlineLevel="0" collapsed="false">
      <c r="A4" s="12" t="s">
        <v>85</v>
      </c>
      <c r="B4" s="12" t="n">
        <v>0</v>
      </c>
      <c r="C4" s="12" t="n">
        <v>1</v>
      </c>
      <c r="D4" s="12" t="n">
        <v>2</v>
      </c>
      <c r="E4" s="12" t="n">
        <v>3</v>
      </c>
      <c r="F4" s="12" t="n">
        <v>4</v>
      </c>
      <c r="G4" s="12" t="n">
        <v>5</v>
      </c>
      <c r="H4" s="12" t="n">
        <v>6</v>
      </c>
      <c r="I4" s="12" t="n">
        <v>7</v>
      </c>
      <c r="J4" s="12" t="n">
        <v>8</v>
      </c>
      <c r="K4" s="12" t="n">
        <v>9</v>
      </c>
      <c r="L4" s="12" t="n">
        <v>10</v>
      </c>
    </row>
    <row r="5" customFormat="false" ht="15" hidden="false" customHeight="false" outlineLevel="0" collapsed="false">
      <c r="A5" s="3" t="s">
        <v>86</v>
      </c>
      <c r="C5" s="13" t="n">
        <v>0.16</v>
      </c>
      <c r="D5" s="13" t="n">
        <v>0.07</v>
      </c>
      <c r="E5" s="13" t="n">
        <v>0.05</v>
      </c>
      <c r="F5" s="13" t="n">
        <v>0.04</v>
      </c>
      <c r="G5" s="13" t="n">
        <v>0.03</v>
      </c>
      <c r="H5" s="13" t="n">
        <v>0.03</v>
      </c>
      <c r="I5" s="13" t="n">
        <v>0.02</v>
      </c>
      <c r="J5" s="13" t="n">
        <v>0.02</v>
      </c>
      <c r="K5" s="13" t="n">
        <v>0.01</v>
      </c>
      <c r="L5" s="13" t="n">
        <v>0.01</v>
      </c>
    </row>
    <row r="6" customFormat="false" ht="15" hidden="false" customHeight="false" outlineLevel="0" collapsed="false">
      <c r="A6" s="3" t="s">
        <v>87</v>
      </c>
      <c r="B6" s="20" t="n">
        <v>1037.6</v>
      </c>
      <c r="C6" s="21" t="n">
        <f aca="false">B6*(1+C5)</f>
        <v>1203.616</v>
      </c>
      <c r="D6" s="21" t="n">
        <f aca="false">C6*(1+D5)</f>
        <v>1287.86912</v>
      </c>
      <c r="E6" s="21" t="n">
        <f aca="false">D6*(1+E5)</f>
        <v>1352.262576</v>
      </c>
      <c r="F6" s="21" t="n">
        <f aca="false">E6*(1+F5)</f>
        <v>1406.35307904</v>
      </c>
      <c r="G6" s="21" t="n">
        <f aca="false">F6*(1+G5)</f>
        <v>1448.5436714112</v>
      </c>
      <c r="H6" s="21" t="n">
        <f aca="false">G6*(1+H5)</f>
        <v>1491.99998155354</v>
      </c>
      <c r="I6" s="21" t="n">
        <f aca="false">H6*(1+I5)</f>
        <v>1521.83998118461</v>
      </c>
      <c r="J6" s="21" t="n">
        <f aca="false">I6*(1+J5)</f>
        <v>1552.2767808083</v>
      </c>
      <c r="K6" s="21" t="n">
        <f aca="false">J6*(1+K5)</f>
        <v>1567.79954861638</v>
      </c>
      <c r="L6" s="21" t="n">
        <f aca="false">K6*(1+L5)</f>
        <v>1583.47754410255</v>
      </c>
    </row>
    <row r="7" customFormat="false" ht="15" hidden="false" customHeight="false" outlineLevel="0" collapsed="false">
      <c r="A7" s="3" t="s">
        <v>88</v>
      </c>
      <c r="B7" s="22" t="n">
        <v>0.295</v>
      </c>
      <c r="C7" s="13" t="n">
        <v>0.26</v>
      </c>
      <c r="D7" s="13" t="n">
        <v>0.24</v>
      </c>
      <c r="E7" s="13" t="n">
        <v>0.24</v>
      </c>
      <c r="F7" s="13" t="n">
        <v>0.24</v>
      </c>
      <c r="G7" s="13" t="n">
        <v>0.24</v>
      </c>
      <c r="H7" s="13" t="n">
        <v>0.24</v>
      </c>
      <c r="I7" s="13" t="n">
        <v>0.235</v>
      </c>
      <c r="J7" s="13" t="n">
        <v>0.235</v>
      </c>
      <c r="K7" s="13" t="n">
        <v>0.23</v>
      </c>
      <c r="L7" s="13" t="n">
        <v>0.23</v>
      </c>
    </row>
    <row r="8" customFormat="false" ht="15" hidden="false" customHeight="false" outlineLevel="0" collapsed="false">
      <c r="A8" s="3" t="s">
        <v>89</v>
      </c>
      <c r="C8" s="21" t="n">
        <f aca="false">C6*C7</f>
        <v>312.94016</v>
      </c>
      <c r="D8" s="21" t="n">
        <f aca="false">D6*D7</f>
        <v>309.0885888</v>
      </c>
      <c r="E8" s="21" t="n">
        <f aca="false">E6*E7</f>
        <v>324.54301824</v>
      </c>
      <c r="F8" s="21" t="n">
        <f aca="false">F6*F7</f>
        <v>337.5247389696</v>
      </c>
      <c r="G8" s="21" t="n">
        <f aca="false">G6*G7</f>
        <v>347.650481138688</v>
      </c>
      <c r="H8" s="21" t="n">
        <f aca="false">H6*H7</f>
        <v>358.079995572849</v>
      </c>
      <c r="I8" s="21" t="n">
        <f aca="false">I6*I7</f>
        <v>357.632395578383</v>
      </c>
      <c r="J8" s="21" t="n">
        <f aca="false">J6*J7</f>
        <v>364.78504348995</v>
      </c>
      <c r="K8" s="21" t="n">
        <f aca="false">K6*K7</f>
        <v>360.593896181768</v>
      </c>
      <c r="L8" s="21" t="n">
        <f aca="false">L6*L7</f>
        <v>364.199835143585</v>
      </c>
    </row>
    <row r="9" customFormat="false" ht="15" hidden="false" customHeight="false" outlineLevel="0" collapsed="false">
      <c r="A9" s="3" t="s">
        <v>90</v>
      </c>
      <c r="B9" s="22" t="n">
        <v>0.143</v>
      </c>
      <c r="C9" s="13" t="n">
        <v>0.15</v>
      </c>
      <c r="D9" s="13" t="n">
        <v>0.145</v>
      </c>
      <c r="E9" s="13" t="n">
        <v>0.14</v>
      </c>
      <c r="F9" s="13" t="n">
        <v>0.14</v>
      </c>
      <c r="G9" s="13" t="n">
        <v>0.135</v>
      </c>
      <c r="H9" s="13" t="n">
        <v>0.135</v>
      </c>
      <c r="I9" s="13" t="n">
        <v>0.13</v>
      </c>
      <c r="J9" s="13" t="n">
        <v>0.13</v>
      </c>
      <c r="K9" s="13" t="n">
        <v>0.13</v>
      </c>
      <c r="L9" s="13" t="n">
        <v>0.13</v>
      </c>
    </row>
    <row r="10" customFormat="false" ht="15" hidden="false" customHeight="false" outlineLevel="0" collapsed="false">
      <c r="A10" s="3" t="s">
        <v>91</v>
      </c>
      <c r="C10" s="21" t="n">
        <f aca="false">-C6*C9</f>
        <v>-180.5424</v>
      </c>
      <c r="D10" s="21" t="n">
        <f aca="false">-D6*D9</f>
        <v>-186.7410224</v>
      </c>
      <c r="E10" s="21" t="n">
        <f aca="false">-E6*E9</f>
        <v>-189.31676064</v>
      </c>
      <c r="F10" s="21" t="n">
        <f aca="false">-F6*F9</f>
        <v>-196.8894310656</v>
      </c>
      <c r="G10" s="21" t="n">
        <f aca="false">-G6*G9</f>
        <v>-195.553395640512</v>
      </c>
      <c r="H10" s="21" t="n">
        <f aca="false">-H6*H9</f>
        <v>-201.419997509727</v>
      </c>
      <c r="I10" s="21" t="n">
        <f aca="false">-I6*I9</f>
        <v>-197.839197553999</v>
      </c>
      <c r="J10" s="21" t="n">
        <f aca="false">-J6*J9</f>
        <v>-201.795981505079</v>
      </c>
      <c r="K10" s="21" t="n">
        <f aca="false">-K6*K9</f>
        <v>-203.81394132013</v>
      </c>
      <c r="L10" s="21" t="n">
        <f aca="false">-L6*L9</f>
        <v>-205.852080733331</v>
      </c>
    </row>
    <row r="11" customFormat="false" ht="15" hidden="false" customHeight="false" outlineLevel="0" collapsed="false">
      <c r="A11" s="3" t="s">
        <v>92</v>
      </c>
      <c r="C11" s="21" t="n">
        <f aca="false">C8+C10</f>
        <v>132.39776</v>
      </c>
      <c r="D11" s="21" t="n">
        <f aca="false">D8+D10</f>
        <v>122.3475664</v>
      </c>
      <c r="E11" s="21" t="n">
        <f aca="false">E8+E10</f>
        <v>135.2262576</v>
      </c>
      <c r="F11" s="21" t="n">
        <f aca="false">F8+F10</f>
        <v>140.635307904</v>
      </c>
      <c r="G11" s="21" t="n">
        <f aca="false">G8+G10</f>
        <v>152.097085498176</v>
      </c>
      <c r="H11" s="21" t="n">
        <f aca="false">H8+H10</f>
        <v>156.659998063121</v>
      </c>
      <c r="I11" s="21" t="n">
        <f aca="false">I8+I10</f>
        <v>159.793198024384</v>
      </c>
      <c r="J11" s="21" t="n">
        <f aca="false">J8+J10</f>
        <v>162.989061984871</v>
      </c>
      <c r="K11" s="21" t="n">
        <f aca="false">K8+K10</f>
        <v>156.779954861638</v>
      </c>
      <c r="L11" s="21" t="n">
        <f aca="false">L8+L10</f>
        <v>158.347754410255</v>
      </c>
    </row>
    <row r="12" customFormat="false" ht="15" hidden="false" customHeight="false" outlineLevel="0" collapsed="false">
      <c r="A12" s="3" t="s">
        <v>93</v>
      </c>
      <c r="C12" s="23" t="n">
        <f aca="false">-C6*Assumptions!$B$6</f>
        <v>-18.05424</v>
      </c>
      <c r="D12" s="23" t="n">
        <f aca="false">-D6*Assumptions!$B$6</f>
        <v>-19.3180368</v>
      </c>
      <c r="E12" s="23" t="n">
        <f aca="false">-E6*Assumptions!$B$6</f>
        <v>-20.28393864</v>
      </c>
      <c r="F12" s="23" t="n">
        <f aca="false">-F6*Assumptions!$B$6</f>
        <v>-21.0952961856</v>
      </c>
      <c r="G12" s="23" t="n">
        <f aca="false">-G6*Assumptions!$B$6</f>
        <v>-21.728155071168</v>
      </c>
      <c r="H12" s="23" t="n">
        <f aca="false">-H6*Assumptions!$B$6</f>
        <v>-22.379999723303</v>
      </c>
      <c r="I12" s="23" t="n">
        <f aca="false">-I6*Assumptions!$B$6</f>
        <v>-22.8275997177691</v>
      </c>
      <c r="J12" s="23" t="n">
        <f aca="false">-J6*Assumptions!$B$6</f>
        <v>-23.2841517121245</v>
      </c>
      <c r="K12" s="23" t="n">
        <f aca="false">-K6*Assumptions!$B$6</f>
        <v>-23.5169932292457</v>
      </c>
      <c r="L12" s="23" t="n">
        <f aca="false">-L6*Assumptions!$B$6</f>
        <v>-23.7521631615382</v>
      </c>
    </row>
    <row r="13" customFormat="false" ht="15" hidden="false" customHeight="false" outlineLevel="0" collapsed="false">
      <c r="A13" s="3" t="s">
        <v>94</v>
      </c>
      <c r="C13" s="21" t="n">
        <f aca="false">C11+C12</f>
        <v>114.34352</v>
      </c>
      <c r="D13" s="21" t="n">
        <f aca="false">D11+D12</f>
        <v>103.0295296</v>
      </c>
      <c r="E13" s="21" t="n">
        <f aca="false">E11+E12</f>
        <v>114.94231896</v>
      </c>
      <c r="F13" s="21" t="n">
        <f aca="false">F11+F12</f>
        <v>119.5400117184</v>
      </c>
      <c r="G13" s="21" t="n">
        <f aca="false">G11+G12</f>
        <v>130.368930427008</v>
      </c>
      <c r="H13" s="21" t="n">
        <f aca="false">H11+H12</f>
        <v>134.279998339818</v>
      </c>
      <c r="I13" s="21" t="n">
        <f aca="false">I11+I12</f>
        <v>136.965598306615</v>
      </c>
      <c r="J13" s="21" t="n">
        <f aca="false">J11+J12</f>
        <v>139.704910272747</v>
      </c>
      <c r="K13" s="21" t="n">
        <f aca="false">K11+K12</f>
        <v>133.262961632392</v>
      </c>
      <c r="L13" s="21" t="n">
        <f aca="false">L11+L12</f>
        <v>134.595591248716</v>
      </c>
    </row>
    <row r="14" customFormat="false" ht="15" hidden="false" customHeight="false" outlineLevel="0" collapsed="false">
      <c r="A14" s="3" t="s">
        <v>95</v>
      </c>
      <c r="C14" s="13" t="n">
        <v>-0.06</v>
      </c>
      <c r="D14" s="13" t="n">
        <v>0.05</v>
      </c>
      <c r="E14" s="13" t="n">
        <v>0.12</v>
      </c>
      <c r="F14" s="13" t="n">
        <v>0.18</v>
      </c>
      <c r="G14" s="13" t="n">
        <v>0.21</v>
      </c>
      <c r="H14" s="13" t="n">
        <v>0.21</v>
      </c>
      <c r="I14" s="13" t="n">
        <v>0.21</v>
      </c>
      <c r="J14" s="13" t="n">
        <v>0.21</v>
      </c>
      <c r="K14" s="13" t="n">
        <v>0.21</v>
      </c>
      <c r="L14" s="13" t="n">
        <v>0.21</v>
      </c>
    </row>
    <row r="15" customFormat="false" ht="15" hidden="false" customHeight="false" outlineLevel="0" collapsed="false">
      <c r="A15" s="3" t="s">
        <v>96</v>
      </c>
      <c r="C15" s="21" t="n">
        <f aca="false">C13*(1-C14)</f>
        <v>121.2041312</v>
      </c>
      <c r="D15" s="21" t="n">
        <f aca="false">D13*(1-D14)</f>
        <v>97.87805312</v>
      </c>
      <c r="E15" s="21" t="n">
        <f aca="false">E13*(1-E14)</f>
        <v>101.1492406848</v>
      </c>
      <c r="F15" s="21" t="n">
        <f aca="false">F13*(1-F14)</f>
        <v>98.022809609088</v>
      </c>
      <c r="G15" s="21" t="n">
        <f aca="false">G13*(1-G14)</f>
        <v>102.991455037336</v>
      </c>
      <c r="H15" s="21" t="n">
        <f aca="false">H13*(1-H14)</f>
        <v>106.081198688456</v>
      </c>
      <c r="I15" s="21" t="n">
        <f aca="false">I13*(1-I14)</f>
        <v>108.202822662226</v>
      </c>
      <c r="J15" s="21" t="n">
        <f aca="false">J13*(1-J14)</f>
        <v>110.36687911547</v>
      </c>
      <c r="K15" s="21" t="n">
        <f aca="false">K13*(1-K14)</f>
        <v>105.27773968959</v>
      </c>
      <c r="L15" s="21" t="n">
        <f aca="false">L13*(1-L14)</f>
        <v>106.330517086486</v>
      </c>
    </row>
    <row r="16" customFormat="false" ht="15" hidden="false" customHeight="false" outlineLevel="0" collapsed="false">
      <c r="A16" s="3" t="s">
        <v>97</v>
      </c>
      <c r="C16" s="21" t="n">
        <f aca="false">-C12</f>
        <v>18.05424</v>
      </c>
      <c r="D16" s="21" t="n">
        <f aca="false">-D12</f>
        <v>19.3180368</v>
      </c>
      <c r="E16" s="21" t="n">
        <f aca="false">-E12</f>
        <v>20.28393864</v>
      </c>
      <c r="F16" s="21" t="n">
        <f aca="false">-F12</f>
        <v>21.0952961856</v>
      </c>
      <c r="G16" s="21" t="n">
        <f aca="false">-G12</f>
        <v>21.728155071168</v>
      </c>
      <c r="H16" s="21" t="n">
        <f aca="false">-H12</f>
        <v>22.379999723303</v>
      </c>
      <c r="I16" s="21" t="n">
        <f aca="false">-I12</f>
        <v>22.8275997177691</v>
      </c>
      <c r="J16" s="21" t="n">
        <f aca="false">-J12</f>
        <v>23.2841517121245</v>
      </c>
      <c r="K16" s="21" t="n">
        <f aca="false">-K12</f>
        <v>23.5169932292457</v>
      </c>
      <c r="L16" s="21" t="n">
        <f aca="false">-L12</f>
        <v>23.7521631615382</v>
      </c>
    </row>
    <row r="17" customFormat="false" ht="15" hidden="false" customHeight="false" outlineLevel="0" collapsed="false">
      <c r="A17" s="3" t="s">
        <v>98</v>
      </c>
      <c r="C17" s="23" t="n">
        <f aca="false">-C6*Assumptions!$B$7</f>
        <v>-27.683168</v>
      </c>
      <c r="D17" s="23" t="n">
        <f aca="false">-D6*Assumptions!$B$7</f>
        <v>-29.62098976</v>
      </c>
      <c r="E17" s="23" t="n">
        <f aca="false">-E6*Assumptions!$B$7</f>
        <v>-31.102039248</v>
      </c>
      <c r="F17" s="23" t="n">
        <f aca="false">-F6*Assumptions!$B$7</f>
        <v>-32.34612081792</v>
      </c>
      <c r="G17" s="23" t="n">
        <f aca="false">-G6*Assumptions!$B$7</f>
        <v>-33.3165044424576</v>
      </c>
      <c r="H17" s="23" t="n">
        <f aca="false">-H6*Assumptions!$B$7</f>
        <v>-34.3159995757313</v>
      </c>
      <c r="I17" s="23" t="n">
        <f aca="false">-I6*Assumptions!$B$7</f>
        <v>-35.002319567246</v>
      </c>
      <c r="J17" s="23" t="n">
        <f aca="false">-J6*Assumptions!$B$7</f>
        <v>-35.7023659585909</v>
      </c>
      <c r="K17" s="23" t="n">
        <f aca="false">-K6*Assumptions!$B$7</f>
        <v>-36.0593896181768</v>
      </c>
      <c r="L17" s="23" t="n">
        <f aca="false">-L6*Assumptions!$B$7</f>
        <v>-36.4199835143585</v>
      </c>
    </row>
    <row r="18" customFormat="false" ht="15" hidden="false" customHeight="false" outlineLevel="0" collapsed="false">
      <c r="A18" s="3" t="s">
        <v>99</v>
      </c>
      <c r="C18" s="23" t="n">
        <f aca="false">Assumptions!$B$8*(C6-B6)</f>
        <v>29.88288</v>
      </c>
      <c r="D18" s="23" t="n">
        <f aca="false">Assumptions!$B$8*(D6-C6)</f>
        <v>15.1655616</v>
      </c>
      <c r="E18" s="23" t="n">
        <f aca="false">Assumptions!$B$8*(E6-D6)</f>
        <v>11.59082208</v>
      </c>
      <c r="F18" s="23" t="n">
        <f aca="false">Assumptions!$B$8*(F6-E6)</f>
        <v>9.73629054719999</v>
      </c>
      <c r="G18" s="23" t="n">
        <f aca="false">Assumptions!$B$8*(G6-F6)</f>
        <v>7.59430662681599</v>
      </c>
      <c r="H18" s="23" t="n">
        <f aca="false">Assumptions!$B$8*(H6-G6)</f>
        <v>7.82213582562047</v>
      </c>
      <c r="I18" s="23" t="n">
        <f aca="false">Assumptions!$B$8*(I6-H6)</f>
        <v>5.37119993359272</v>
      </c>
      <c r="J18" s="23" t="n">
        <f aca="false">Assumptions!$B$8*(J6-I6)</f>
        <v>5.4786239322646</v>
      </c>
      <c r="K18" s="23" t="n">
        <f aca="false">Assumptions!$B$8*(K6-J6)</f>
        <v>2.79409820545494</v>
      </c>
      <c r="L18" s="23" t="n">
        <f aca="false">Assumptions!$B$8*(L6-K6)</f>
        <v>2.82203918750949</v>
      </c>
    </row>
    <row r="19" customFormat="false" ht="15" hidden="false" customHeight="false" outlineLevel="0" collapsed="false">
      <c r="A19" s="3" t="s">
        <v>100</v>
      </c>
      <c r="C19" s="24" t="n">
        <f aca="false">C15+C16+C17+C18</f>
        <v>141.4580832</v>
      </c>
      <c r="D19" s="24" t="n">
        <f aca="false">D15+D16+D17+D18</f>
        <v>102.74066176</v>
      </c>
      <c r="E19" s="24" t="n">
        <f aca="false">E15+E16+E17+E18</f>
        <v>101.9219621568</v>
      </c>
      <c r="F19" s="24" t="n">
        <f aca="false">F15+F16+F17+F18</f>
        <v>96.508275523968</v>
      </c>
      <c r="G19" s="24" t="n">
        <f aca="false">G15+G16+G17+G18</f>
        <v>98.9974122928627</v>
      </c>
      <c r="H19" s="24" t="n">
        <f aca="false">H15+H16+H17+H18</f>
        <v>101.967334661649</v>
      </c>
      <c r="I19" s="24" t="n">
        <f aca="false">I15+I16+I17+I18</f>
        <v>101.399302746341</v>
      </c>
      <c r="J19" s="24" t="n">
        <f aca="false">J15+J16+J17+J18</f>
        <v>103.427288801268</v>
      </c>
      <c r="K19" s="24" t="n">
        <f aca="false">K15+K16+K17+K18</f>
        <v>95.5294415061139</v>
      </c>
      <c r="L19" s="24" t="n">
        <f aca="false">L15+L16+L17+L18</f>
        <v>96.4847359211751</v>
      </c>
    </row>
    <row r="20" customFormat="false" ht="15" hidden="false" customHeight="false" outlineLevel="0" collapsed="false">
      <c r="A20" s="3" t="s">
        <v>101</v>
      </c>
      <c r="C20" s="25" t="n">
        <f aca="false">1/(1+Assumptions!$B$5)^C4</f>
        <v>0.904977375565611</v>
      </c>
      <c r="D20" s="25" t="n">
        <f aca="false">1/(1+Assumptions!$B$5)^D4</f>
        <v>0.818984050285621</v>
      </c>
      <c r="E20" s="25" t="n">
        <f aca="false">1/(1+Assumptions!$B$5)^E4</f>
        <v>0.741162036457575</v>
      </c>
      <c r="F20" s="25" t="n">
        <f aca="false">1/(1+Assumptions!$B$5)^F4</f>
        <v>0.67073487462224</v>
      </c>
      <c r="G20" s="25" t="n">
        <f aca="false">1/(1+Assumptions!$B$5)^G4</f>
        <v>0.606999886535964</v>
      </c>
      <c r="H20" s="25" t="n">
        <f aca="false">1/(1+Assumptions!$B$5)^H4</f>
        <v>0.54932116428594</v>
      </c>
      <c r="I20" s="25" t="n">
        <f aca="false">1/(1+Assumptions!$B$5)^I4</f>
        <v>0.497123225598136</v>
      </c>
      <c r="J20" s="25" t="n">
        <f aca="false">1/(1+Assumptions!$B$5)^J4</f>
        <v>0.449885272034512</v>
      </c>
      <c r="K20" s="25" t="n">
        <f aca="false">1/(1+Assumptions!$B$5)^K4</f>
        <v>0.407135992791414</v>
      </c>
      <c r="L20" s="25" t="n">
        <f aca="false">1/(1+Assumptions!$B$5)^L4</f>
        <v>0.368448862254673</v>
      </c>
    </row>
    <row r="21" customFormat="false" ht="15" hidden="false" customHeight="false" outlineLevel="0" collapsed="false">
      <c r="A21" s="3" t="s">
        <v>102</v>
      </c>
      <c r="C21" s="21" t="n">
        <f aca="false">C19*C20</f>
        <v>128.016364886878</v>
      </c>
      <c r="D21" s="21" t="n">
        <f aca="false">D19*D20</f>
        <v>84.1429632972298</v>
      </c>
      <c r="E21" s="21" t="n">
        <f aca="false">E19*E20</f>
        <v>75.5406890318858</v>
      </c>
      <c r="F21" s="21" t="n">
        <f aca="false">F19*F20</f>
        <v>64.7314660835773</v>
      </c>
      <c r="G21" s="21" t="n">
        <f aca="false">G19*G20</f>
        <v>60.0914180291217</v>
      </c>
      <c r="H21" s="21" t="n">
        <f aca="false">H19*H20</f>
        <v>56.0128149954709</v>
      </c>
      <c r="I21" s="21" t="n">
        <f aca="false">I19*I20</f>
        <v>50.4079484546632</v>
      </c>
      <c r="J21" s="21" t="n">
        <f aca="false">J19*J20</f>
        <v>46.5304139581506</v>
      </c>
      <c r="K21" s="21" t="n">
        <f aca="false">K19*K20</f>
        <v>38.893474008401</v>
      </c>
      <c r="L21" s="21" t="n">
        <f aca="false">L19*L20</f>
        <v>35.5496911750996</v>
      </c>
    </row>
    <row r="23" customFormat="false" ht="15" hidden="false" customHeight="false" outlineLevel="0" collapsed="false">
      <c r="A23" s="3" t="s">
        <v>103</v>
      </c>
      <c r="C23" s="21" t="n">
        <f aca="false">C19-C10</f>
        <v>322.0004832</v>
      </c>
      <c r="D23" s="21" t="n">
        <f aca="false">D19-D10</f>
        <v>289.48168416</v>
      </c>
      <c r="E23" s="21" t="n">
        <f aca="false">E19-E10</f>
        <v>291.2387227968</v>
      </c>
      <c r="F23" s="21" t="n">
        <f aca="false">F19-F10</f>
        <v>293.397706589568</v>
      </c>
      <c r="G23" s="21" t="n">
        <f aca="false">G19-G10</f>
        <v>294.550807933375</v>
      </c>
      <c r="H23" s="21" t="n">
        <f aca="false">H19-H10</f>
        <v>303.387332171376</v>
      </c>
      <c r="I23" s="21" t="n">
        <f aca="false">I19-I10</f>
        <v>299.23850030034</v>
      </c>
      <c r="J23" s="21" t="n">
        <f aca="false">J19-J10</f>
        <v>305.223270306347</v>
      </c>
      <c r="K23" s="21" t="n">
        <f aca="false">K19-K10</f>
        <v>299.343382826244</v>
      </c>
      <c r="L23" s="21" t="n">
        <f aca="false">L19-L10</f>
        <v>302.336816654506</v>
      </c>
    </row>
    <row r="24" customFormat="false" ht="15" hidden="false" customHeight="false" outlineLevel="0" collapsed="false">
      <c r="A24" s="3" t="s">
        <v>104</v>
      </c>
      <c r="C24" s="18" t="n">
        <f aca="false">C19/C6</f>
        <v>0.117527586206897</v>
      </c>
      <c r="D24" s="18" t="n">
        <f aca="false">D19/D6</f>
        <v>0.0797757009345795</v>
      </c>
      <c r="E24" s="18" t="n">
        <f aca="false">E19/E6</f>
        <v>0.0753714285714286</v>
      </c>
      <c r="F24" s="18" t="n">
        <f aca="false">F19/F6</f>
        <v>0.0686230769230769</v>
      </c>
      <c r="G24" s="18" t="n">
        <f aca="false">G19/G6</f>
        <v>0.068342718446602</v>
      </c>
      <c r="H24" s="18" t="n">
        <f aca="false">H19/H6</f>
        <v>0.0683427184466019</v>
      </c>
      <c r="I24" s="18" t="n">
        <f aca="false">I19/I6</f>
        <v>0.0666294117647059</v>
      </c>
      <c r="J24" s="18" t="n">
        <f aca="false">J19/J6</f>
        <v>0.0666294117647059</v>
      </c>
      <c r="K24" s="18" t="n">
        <f aca="false">K19/K6</f>
        <v>0.0609321782178218</v>
      </c>
      <c r="L24" s="18" t="n">
        <f aca="false">L19/L6</f>
        <v>0.0609321782178218</v>
      </c>
    </row>
    <row r="25" customFormat="false" ht="15" hidden="false" customHeight="false" outlineLevel="0" collapsed="false">
      <c r="A25" s="5" t="s">
        <v>105</v>
      </c>
    </row>
    <row r="26" customFormat="false" ht="15" hidden="false" customHeight="false" outlineLevel="0" collapsed="false">
      <c r="A26" s="3" t="s">
        <v>106</v>
      </c>
      <c r="B26" s="21" t="n">
        <f aca="false">SUM(C21:L21)</f>
        <v>639.917243920478</v>
      </c>
    </row>
    <row r="27" customFormat="false" ht="15" hidden="false" customHeight="false" outlineLevel="0" collapsed="false">
      <c r="A27" s="3" t="s">
        <v>65</v>
      </c>
      <c r="B27" s="26" t="n">
        <f aca="false">Assumptions!$C$15</f>
        <v>0.015</v>
      </c>
    </row>
    <row r="28" customFormat="false" ht="15" hidden="false" customHeight="false" outlineLevel="0" collapsed="false">
      <c r="A28" s="3" t="s">
        <v>107</v>
      </c>
      <c r="B28" s="21" t="n">
        <f aca="false">L19*(1+B27)</f>
        <v>97.9320069599927</v>
      </c>
    </row>
    <row r="29" customFormat="false" ht="15" hidden="false" customHeight="false" outlineLevel="0" collapsed="false">
      <c r="A29" s="3" t="s">
        <v>108</v>
      </c>
      <c r="B29" s="21" t="n">
        <f aca="false">B28/(Assumptions!$B$5-B27)</f>
        <v>1088.13341066659</v>
      </c>
    </row>
    <row r="30" customFormat="false" ht="15" hidden="false" customHeight="false" outlineLevel="0" collapsed="false">
      <c r="A30" s="3" t="s">
        <v>109</v>
      </c>
      <c r="B30" s="23" t="n">
        <f aca="false">Assumptions!$B$12*L19</f>
        <v>1929.6947184235</v>
      </c>
    </row>
    <row r="31" customFormat="false" ht="15" hidden="false" customHeight="false" outlineLevel="0" collapsed="false">
      <c r="A31" s="3" t="s">
        <v>110</v>
      </c>
      <c r="B31" s="21" t="n">
        <f aca="false">MIN(B29,B30)</f>
        <v>1088.13341066659</v>
      </c>
    </row>
    <row r="32" customFormat="false" ht="15" hidden="false" customHeight="false" outlineLevel="0" collapsed="false">
      <c r="A32" s="3" t="s">
        <v>111</v>
      </c>
      <c r="B32" s="27" t="n">
        <f aca="false">B31/L19</f>
        <v>11.2777777777778</v>
      </c>
    </row>
    <row r="33" customFormat="false" ht="15" hidden="false" customHeight="false" outlineLevel="0" collapsed="false">
      <c r="A33" s="3" t="s">
        <v>112</v>
      </c>
      <c r="B33" s="21" t="n">
        <f aca="false">B31*L20</f>
        <v>400.9215171414</v>
      </c>
    </row>
    <row r="34" customFormat="false" ht="15" hidden="false" customHeight="false" outlineLevel="0" collapsed="false">
      <c r="A34" s="3" t="s">
        <v>113</v>
      </c>
      <c r="B34" s="21" t="n">
        <f aca="false">B26+B33</f>
        <v>1040.83876106188</v>
      </c>
    </row>
    <row r="35" customFormat="false" ht="15" hidden="false" customHeight="false" outlineLevel="0" collapsed="false">
      <c r="A35" s="3" t="s">
        <v>114</v>
      </c>
      <c r="B35" s="23" t="n">
        <f aca="false">Assumptions!$B$9</f>
        <v>1313.9</v>
      </c>
    </row>
    <row r="36" customFormat="false" ht="15" hidden="false" customHeight="false" outlineLevel="0" collapsed="false">
      <c r="A36" s="3" t="s">
        <v>115</v>
      </c>
      <c r="B36" s="21" t="n">
        <f aca="false">B34+B35</f>
        <v>2354.73876106188</v>
      </c>
    </row>
    <row r="37" customFormat="false" ht="15" hidden="false" customHeight="false" outlineLevel="0" collapsed="false">
      <c r="A37" s="3" t="s">
        <v>59</v>
      </c>
      <c r="B37" s="28" t="n">
        <f aca="false">Assumptions!$B$10</f>
        <v>50.7</v>
      </c>
    </row>
    <row r="38" customFormat="false" ht="15" hidden="false" customHeight="false" outlineLevel="0" collapsed="false">
      <c r="A38" s="3" t="s">
        <v>116</v>
      </c>
      <c r="B38" s="29" t="n">
        <f aca="false">B36/B37</f>
        <v>46.4445515002343</v>
      </c>
    </row>
    <row r="39" customFormat="false" ht="15" hidden="false" customHeight="false" outlineLevel="0" collapsed="false">
      <c r="A39" s="3" t="s">
        <v>117</v>
      </c>
      <c r="B39" s="18" t="n">
        <f aca="false">B38/Assumptions!$B$11-1</f>
        <v>-0.611992050958778</v>
      </c>
    </row>
    <row r="41" customFormat="false" ht="15" hidden="false" customHeight="false" outlineLevel="0" collapsed="false">
      <c r="A41" s="3" t="s">
        <v>118</v>
      </c>
      <c r="B41" s="21" t="n">
        <f aca="false">SUMPRODUCT(-C10:L10/(1+Assumptions!$B$5)^C4:L4)</f>
        <v>1166.00632278543</v>
      </c>
      <c r="C41" s="10" t="s">
        <v>119</v>
      </c>
    </row>
    <row r="42" customFormat="false" ht="15" hidden="false" customHeight="false" outlineLevel="0" collapsed="false">
      <c r="A42" s="3" t="s">
        <v>120</v>
      </c>
      <c r="B42" s="21" t="n">
        <f aca="false">(-L10*(1+B27)/(Assumptions!$B$5-B27))*L20</f>
        <v>855.373937922635</v>
      </c>
    </row>
    <row r="43" customFormat="false" ht="15" hidden="false" customHeight="false" outlineLevel="0" collapsed="false">
      <c r="A43" s="3" t="s">
        <v>121</v>
      </c>
      <c r="B43" s="30" t="n">
        <f aca="false">(B36+B41+B42)/B37</f>
        <v>86.3139846502947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10" t="s">
        <v>73</v>
      </c>
    </row>
    <row r="3" customFormat="false" ht="15" hidden="false" customHeight="false" outlineLevel="0" collapsed="false">
      <c r="B3" s="6" t="s">
        <v>74</v>
      </c>
      <c r="C3" s="6" t="s">
        <v>75</v>
      </c>
      <c r="D3" s="6" t="s">
        <v>76</v>
      </c>
      <c r="E3" s="6" t="s">
        <v>77</v>
      </c>
      <c r="F3" s="6" t="s">
        <v>78</v>
      </c>
      <c r="G3" s="6" t="s">
        <v>79</v>
      </c>
      <c r="H3" s="6" t="s">
        <v>80</v>
      </c>
      <c r="I3" s="6" t="s">
        <v>81</v>
      </c>
      <c r="J3" s="6" t="s">
        <v>82</v>
      </c>
      <c r="K3" s="6" t="s">
        <v>83</v>
      </c>
      <c r="L3" s="6" t="s">
        <v>84</v>
      </c>
    </row>
    <row r="4" customFormat="false" ht="15" hidden="false" customHeight="false" outlineLevel="0" collapsed="false">
      <c r="A4" s="12" t="s">
        <v>85</v>
      </c>
      <c r="B4" s="12" t="n">
        <v>0</v>
      </c>
      <c r="C4" s="12" t="n">
        <v>1</v>
      </c>
      <c r="D4" s="12" t="n">
        <v>2</v>
      </c>
      <c r="E4" s="12" t="n">
        <v>3</v>
      </c>
      <c r="F4" s="12" t="n">
        <v>4</v>
      </c>
      <c r="G4" s="12" t="n">
        <v>5</v>
      </c>
      <c r="H4" s="12" t="n">
        <v>6</v>
      </c>
      <c r="I4" s="12" t="n">
        <v>7</v>
      </c>
      <c r="J4" s="12" t="n">
        <v>8</v>
      </c>
      <c r="K4" s="12" t="n">
        <v>9</v>
      </c>
      <c r="L4" s="12" t="n">
        <v>10</v>
      </c>
    </row>
    <row r="5" customFormat="false" ht="15" hidden="false" customHeight="false" outlineLevel="0" collapsed="false">
      <c r="A5" s="3" t="s">
        <v>86</v>
      </c>
      <c r="C5" s="13" t="n">
        <v>0.163</v>
      </c>
      <c r="D5" s="13" t="n">
        <v>0.12</v>
      </c>
      <c r="E5" s="13" t="n">
        <v>0.14</v>
      </c>
      <c r="F5" s="13" t="n">
        <v>0.13</v>
      </c>
      <c r="G5" s="13" t="n">
        <v>0.11</v>
      </c>
      <c r="H5" s="13" t="n">
        <v>0.1</v>
      </c>
      <c r="I5" s="13" t="n">
        <v>0.09</v>
      </c>
      <c r="J5" s="13" t="n">
        <v>0.08</v>
      </c>
      <c r="K5" s="13" t="n">
        <v>0.07</v>
      </c>
      <c r="L5" s="13" t="n">
        <v>0.06</v>
      </c>
    </row>
    <row r="6" customFormat="false" ht="15" hidden="false" customHeight="false" outlineLevel="0" collapsed="false">
      <c r="A6" s="3" t="s">
        <v>87</v>
      </c>
      <c r="B6" s="20" t="n">
        <v>1037.6</v>
      </c>
      <c r="C6" s="21" t="n">
        <f aca="false">B6*(1+C5)</f>
        <v>1206.7288</v>
      </c>
      <c r="D6" s="21" t="n">
        <f aca="false">C6*(1+D5)</f>
        <v>1351.536256</v>
      </c>
      <c r="E6" s="21" t="n">
        <f aca="false">D6*(1+E5)</f>
        <v>1540.75133184</v>
      </c>
      <c r="F6" s="21" t="n">
        <f aca="false">E6*(1+F5)</f>
        <v>1741.0490049792</v>
      </c>
      <c r="G6" s="21" t="n">
        <f aca="false">F6*(1+G5)</f>
        <v>1932.56439552691</v>
      </c>
      <c r="H6" s="21" t="n">
        <f aca="false">G6*(1+H5)</f>
        <v>2125.8208350796</v>
      </c>
      <c r="I6" s="21" t="n">
        <f aca="false">H6*(1+I5)</f>
        <v>2317.14471023677</v>
      </c>
      <c r="J6" s="21" t="n">
        <f aca="false">I6*(1+J5)</f>
        <v>2502.51628705571</v>
      </c>
      <c r="K6" s="21" t="n">
        <f aca="false">J6*(1+K5)</f>
        <v>2677.69242714961</v>
      </c>
      <c r="L6" s="21" t="n">
        <f aca="false">K6*(1+L5)</f>
        <v>2838.35397277859</v>
      </c>
    </row>
    <row r="7" customFormat="false" ht="15" hidden="false" customHeight="false" outlineLevel="0" collapsed="false">
      <c r="A7" s="3" t="s">
        <v>88</v>
      </c>
      <c r="B7" s="22" t="n">
        <v>0.295</v>
      </c>
      <c r="C7" s="13" t="n">
        <v>0.265</v>
      </c>
      <c r="D7" s="13" t="n">
        <v>0.265</v>
      </c>
      <c r="E7" s="13" t="n">
        <v>0.275</v>
      </c>
      <c r="F7" s="13" t="n">
        <v>0.285</v>
      </c>
      <c r="G7" s="13" t="n">
        <v>0.295</v>
      </c>
      <c r="H7" s="13" t="n">
        <v>0.3</v>
      </c>
      <c r="I7" s="13" t="n">
        <v>0.305</v>
      </c>
      <c r="J7" s="13" t="n">
        <v>0.31</v>
      </c>
      <c r="K7" s="13" t="n">
        <v>0.315</v>
      </c>
      <c r="L7" s="13" t="n">
        <v>0.32</v>
      </c>
    </row>
    <row r="8" customFormat="false" ht="15" hidden="false" customHeight="false" outlineLevel="0" collapsed="false">
      <c r="A8" s="3" t="s">
        <v>89</v>
      </c>
      <c r="C8" s="21" t="n">
        <f aca="false">C6*C7</f>
        <v>319.783132</v>
      </c>
      <c r="D8" s="21" t="n">
        <f aca="false">D6*D7</f>
        <v>358.15710784</v>
      </c>
      <c r="E8" s="21" t="n">
        <f aca="false">E6*E7</f>
        <v>423.706616256</v>
      </c>
      <c r="F8" s="21" t="n">
        <f aca="false">F6*F7</f>
        <v>496.198966419072</v>
      </c>
      <c r="G8" s="21" t="n">
        <f aca="false">G6*G7</f>
        <v>570.106496680439</v>
      </c>
      <c r="H8" s="21" t="n">
        <f aca="false">H6*H7</f>
        <v>637.746250523881</v>
      </c>
      <c r="I8" s="21" t="n">
        <f aca="false">I6*I7</f>
        <v>706.729136622214</v>
      </c>
      <c r="J8" s="21" t="n">
        <f aca="false">J6*J7</f>
        <v>775.78004898727</v>
      </c>
      <c r="K8" s="21" t="n">
        <f aca="false">K6*K7</f>
        <v>843.473114552127</v>
      </c>
      <c r="L8" s="21" t="n">
        <f aca="false">L6*L7</f>
        <v>908.273271289148</v>
      </c>
    </row>
    <row r="9" customFormat="false" ht="15" hidden="false" customHeight="false" outlineLevel="0" collapsed="false">
      <c r="A9" s="3" t="s">
        <v>90</v>
      </c>
      <c r="B9" s="22" t="n">
        <v>0.143</v>
      </c>
      <c r="C9" s="13" t="n">
        <v>0.15</v>
      </c>
      <c r="D9" s="13" t="n">
        <v>0.145</v>
      </c>
      <c r="E9" s="13" t="n">
        <v>0.14</v>
      </c>
      <c r="F9" s="13" t="n">
        <v>0.13</v>
      </c>
      <c r="G9" s="13" t="n">
        <v>0.125</v>
      </c>
      <c r="H9" s="13" t="n">
        <v>0.12</v>
      </c>
      <c r="I9" s="13" t="n">
        <v>0.115</v>
      </c>
      <c r="J9" s="13" t="n">
        <v>0.11</v>
      </c>
      <c r="K9" s="13" t="n">
        <v>0.105</v>
      </c>
      <c r="L9" s="13" t="n">
        <v>0.1</v>
      </c>
    </row>
    <row r="10" customFormat="false" ht="15" hidden="false" customHeight="false" outlineLevel="0" collapsed="false">
      <c r="A10" s="3" t="s">
        <v>91</v>
      </c>
      <c r="C10" s="21" t="n">
        <f aca="false">-C6*C9</f>
        <v>-181.00932</v>
      </c>
      <c r="D10" s="21" t="n">
        <f aca="false">-D6*D9</f>
        <v>-195.97275712</v>
      </c>
      <c r="E10" s="21" t="n">
        <f aca="false">-E6*E9</f>
        <v>-215.7051864576</v>
      </c>
      <c r="F10" s="21" t="n">
        <f aca="false">-F6*F9</f>
        <v>-226.336370647296</v>
      </c>
      <c r="G10" s="21" t="n">
        <f aca="false">-G6*G9</f>
        <v>-241.570549440864</v>
      </c>
      <c r="H10" s="21" t="n">
        <f aca="false">-H6*H9</f>
        <v>-255.098500209552</v>
      </c>
      <c r="I10" s="21" t="n">
        <f aca="false">-I6*I9</f>
        <v>-266.471641677228</v>
      </c>
      <c r="J10" s="21" t="n">
        <f aca="false">-J6*J9</f>
        <v>-275.276791576128</v>
      </c>
      <c r="K10" s="21" t="n">
        <f aca="false">-K6*K9</f>
        <v>-281.157704850709</v>
      </c>
      <c r="L10" s="21" t="n">
        <f aca="false">-L6*L9</f>
        <v>-283.835397277859</v>
      </c>
    </row>
    <row r="11" customFormat="false" ht="15" hidden="false" customHeight="false" outlineLevel="0" collapsed="false">
      <c r="A11" s="3" t="s">
        <v>92</v>
      </c>
      <c r="C11" s="21" t="n">
        <f aca="false">C8+C10</f>
        <v>138.773812</v>
      </c>
      <c r="D11" s="21" t="n">
        <f aca="false">D8+D10</f>
        <v>162.18435072</v>
      </c>
      <c r="E11" s="21" t="n">
        <f aca="false">E8+E10</f>
        <v>208.0014297984</v>
      </c>
      <c r="F11" s="21" t="n">
        <f aca="false">F8+F10</f>
        <v>269.862595771776</v>
      </c>
      <c r="G11" s="21" t="n">
        <f aca="false">G8+G10</f>
        <v>328.535947239575</v>
      </c>
      <c r="H11" s="21" t="n">
        <f aca="false">H8+H10</f>
        <v>382.647750314329</v>
      </c>
      <c r="I11" s="21" t="n">
        <f aca="false">I8+I10</f>
        <v>440.257494944986</v>
      </c>
      <c r="J11" s="21" t="n">
        <f aca="false">J8+J10</f>
        <v>500.503257411142</v>
      </c>
      <c r="K11" s="21" t="n">
        <f aca="false">K8+K10</f>
        <v>562.315409701418</v>
      </c>
      <c r="L11" s="21" t="n">
        <f aca="false">L8+L10</f>
        <v>624.437874011289</v>
      </c>
    </row>
    <row r="12" customFormat="false" ht="15" hidden="false" customHeight="false" outlineLevel="0" collapsed="false">
      <c r="A12" s="3" t="s">
        <v>93</v>
      </c>
      <c r="C12" s="23" t="n">
        <f aca="false">-C6*Assumptions!$B$6</f>
        <v>-18.100932</v>
      </c>
      <c r="D12" s="23" t="n">
        <f aca="false">-D6*Assumptions!$B$6</f>
        <v>-20.27304384</v>
      </c>
      <c r="E12" s="23" t="n">
        <f aca="false">-E6*Assumptions!$B$6</f>
        <v>-23.1112699776</v>
      </c>
      <c r="F12" s="23" t="n">
        <f aca="false">-F6*Assumptions!$B$6</f>
        <v>-26.115735074688</v>
      </c>
      <c r="G12" s="23" t="n">
        <f aca="false">-G6*Assumptions!$B$6</f>
        <v>-28.9884659329037</v>
      </c>
      <c r="H12" s="23" t="n">
        <f aca="false">-H6*Assumptions!$B$6</f>
        <v>-31.887312526194</v>
      </c>
      <c r="I12" s="23" t="n">
        <f aca="false">-I6*Assumptions!$B$6</f>
        <v>-34.7571706535515</v>
      </c>
      <c r="J12" s="23" t="n">
        <f aca="false">-J6*Assumptions!$B$6</f>
        <v>-37.5377443058356</v>
      </c>
      <c r="K12" s="23" t="n">
        <f aca="false">-K6*Assumptions!$B$6</f>
        <v>-40.1653864072441</v>
      </c>
      <c r="L12" s="23" t="n">
        <f aca="false">-L6*Assumptions!$B$6</f>
        <v>-42.5753095916788</v>
      </c>
    </row>
    <row r="13" customFormat="false" ht="15" hidden="false" customHeight="false" outlineLevel="0" collapsed="false">
      <c r="A13" s="3" t="s">
        <v>94</v>
      </c>
      <c r="C13" s="21" t="n">
        <f aca="false">C11+C12</f>
        <v>120.67288</v>
      </c>
      <c r="D13" s="21" t="n">
        <f aca="false">D11+D12</f>
        <v>141.91130688</v>
      </c>
      <c r="E13" s="21" t="n">
        <f aca="false">E11+E12</f>
        <v>184.8901598208</v>
      </c>
      <c r="F13" s="21" t="n">
        <f aca="false">F11+F12</f>
        <v>243.746860697088</v>
      </c>
      <c r="G13" s="21" t="n">
        <f aca="false">G11+G12</f>
        <v>299.547481306671</v>
      </c>
      <c r="H13" s="21" t="n">
        <f aca="false">H11+H12</f>
        <v>350.760437788135</v>
      </c>
      <c r="I13" s="21" t="n">
        <f aca="false">I11+I12</f>
        <v>405.500324291434</v>
      </c>
      <c r="J13" s="21" t="n">
        <f aca="false">J11+J12</f>
        <v>462.965513105306</v>
      </c>
      <c r="K13" s="21" t="n">
        <f aca="false">K11+K12</f>
        <v>522.150023294174</v>
      </c>
      <c r="L13" s="21" t="n">
        <f aca="false">L11+L12</f>
        <v>581.86256441961</v>
      </c>
    </row>
    <row r="14" customFormat="false" ht="15" hidden="false" customHeight="false" outlineLevel="0" collapsed="false">
      <c r="A14" s="3" t="s">
        <v>95</v>
      </c>
      <c r="C14" s="13" t="n">
        <v>-0.06</v>
      </c>
      <c r="D14" s="13" t="n">
        <v>0.08</v>
      </c>
      <c r="E14" s="13" t="n">
        <v>0.15</v>
      </c>
      <c r="F14" s="13" t="n">
        <v>0.2</v>
      </c>
      <c r="G14" s="13" t="n">
        <v>0.21</v>
      </c>
      <c r="H14" s="13" t="n">
        <v>0.21</v>
      </c>
      <c r="I14" s="13" t="n">
        <v>0.21</v>
      </c>
      <c r="J14" s="13" t="n">
        <v>0.21</v>
      </c>
      <c r="K14" s="13" t="n">
        <v>0.21</v>
      </c>
      <c r="L14" s="13" t="n">
        <v>0.21</v>
      </c>
    </row>
    <row r="15" customFormat="false" ht="15" hidden="false" customHeight="false" outlineLevel="0" collapsed="false">
      <c r="A15" s="3" t="s">
        <v>96</v>
      </c>
      <c r="C15" s="21" t="n">
        <f aca="false">C13*(1-C14)</f>
        <v>127.9132528</v>
      </c>
      <c r="D15" s="21" t="n">
        <f aca="false">D13*(1-D14)</f>
        <v>130.5584023296</v>
      </c>
      <c r="E15" s="21" t="n">
        <f aca="false">E13*(1-E14)</f>
        <v>157.15663584768</v>
      </c>
      <c r="F15" s="21" t="n">
        <f aca="false">F13*(1-F14)</f>
        <v>194.99748855767</v>
      </c>
      <c r="G15" s="21" t="n">
        <f aca="false">G13*(1-G14)</f>
        <v>236.64251023227</v>
      </c>
      <c r="H15" s="21" t="n">
        <f aca="false">H13*(1-H14)</f>
        <v>277.100745852626</v>
      </c>
      <c r="I15" s="21" t="n">
        <f aca="false">I13*(1-I14)</f>
        <v>320.345256190233</v>
      </c>
      <c r="J15" s="21" t="n">
        <f aca="false">J13*(1-J14)</f>
        <v>365.742755353192</v>
      </c>
      <c r="K15" s="21" t="n">
        <f aca="false">K13*(1-K14)</f>
        <v>412.498518402397</v>
      </c>
      <c r="L15" s="21" t="n">
        <f aca="false">L13*(1-L14)</f>
        <v>459.671425891492</v>
      </c>
    </row>
    <row r="16" customFormat="false" ht="15" hidden="false" customHeight="false" outlineLevel="0" collapsed="false">
      <c r="A16" s="3" t="s">
        <v>97</v>
      </c>
      <c r="C16" s="21" t="n">
        <f aca="false">-C12</f>
        <v>18.100932</v>
      </c>
      <c r="D16" s="21" t="n">
        <f aca="false">-D12</f>
        <v>20.27304384</v>
      </c>
      <c r="E16" s="21" t="n">
        <f aca="false">-E12</f>
        <v>23.1112699776</v>
      </c>
      <c r="F16" s="21" t="n">
        <f aca="false">-F12</f>
        <v>26.115735074688</v>
      </c>
      <c r="G16" s="21" t="n">
        <f aca="false">-G12</f>
        <v>28.9884659329037</v>
      </c>
      <c r="H16" s="21" t="n">
        <f aca="false">-H12</f>
        <v>31.887312526194</v>
      </c>
      <c r="I16" s="21" t="n">
        <f aca="false">-I12</f>
        <v>34.7571706535515</v>
      </c>
      <c r="J16" s="21" t="n">
        <f aca="false">-J12</f>
        <v>37.5377443058356</v>
      </c>
      <c r="K16" s="21" t="n">
        <f aca="false">-K12</f>
        <v>40.1653864072441</v>
      </c>
      <c r="L16" s="21" t="n">
        <f aca="false">-L12</f>
        <v>42.5753095916788</v>
      </c>
    </row>
    <row r="17" customFormat="false" ht="15" hidden="false" customHeight="false" outlineLevel="0" collapsed="false">
      <c r="A17" s="3" t="s">
        <v>98</v>
      </c>
      <c r="C17" s="23" t="n">
        <f aca="false">-C6*Assumptions!$B$7</f>
        <v>-27.7547624</v>
      </c>
      <c r="D17" s="23" t="n">
        <f aca="false">-D6*Assumptions!$B$7</f>
        <v>-31.085333888</v>
      </c>
      <c r="E17" s="23" t="n">
        <f aca="false">-E6*Assumptions!$B$7</f>
        <v>-35.43728063232</v>
      </c>
      <c r="F17" s="23" t="n">
        <f aca="false">-F6*Assumptions!$B$7</f>
        <v>-40.0441271145216</v>
      </c>
      <c r="G17" s="23" t="n">
        <f aca="false">-G6*Assumptions!$B$7</f>
        <v>-44.448981097119</v>
      </c>
      <c r="H17" s="23" t="n">
        <f aca="false">-H6*Assumptions!$B$7</f>
        <v>-48.8938792068309</v>
      </c>
      <c r="I17" s="23" t="n">
        <f aca="false">-I6*Assumptions!$B$7</f>
        <v>-53.2943283354457</v>
      </c>
      <c r="J17" s="23" t="n">
        <f aca="false">-J6*Assumptions!$B$7</f>
        <v>-57.5578746022813</v>
      </c>
      <c r="K17" s="23" t="n">
        <f aca="false">-K6*Assumptions!$B$7</f>
        <v>-61.586925824441</v>
      </c>
      <c r="L17" s="23" t="n">
        <f aca="false">-L6*Assumptions!$B$7</f>
        <v>-65.2821413739075</v>
      </c>
    </row>
    <row r="18" customFormat="false" ht="15" hidden="false" customHeight="false" outlineLevel="0" collapsed="false">
      <c r="A18" s="3" t="s">
        <v>99</v>
      </c>
      <c r="C18" s="23" t="n">
        <f aca="false">Assumptions!$B$8*(C6-B6)</f>
        <v>30.443184</v>
      </c>
      <c r="D18" s="23" t="n">
        <f aca="false">Assumptions!$B$8*(D6-C6)</f>
        <v>26.06534208</v>
      </c>
      <c r="E18" s="23" t="n">
        <f aca="false">Assumptions!$B$8*(E6-D6)</f>
        <v>34.0587136512</v>
      </c>
      <c r="F18" s="23" t="n">
        <f aca="false">Assumptions!$B$8*(F6-E6)</f>
        <v>36.053581165056</v>
      </c>
      <c r="G18" s="23" t="n">
        <f aca="false">Assumptions!$B$8*(G6-F6)</f>
        <v>34.4727702985882</v>
      </c>
      <c r="H18" s="23" t="n">
        <f aca="false">Assumptions!$B$8*(H6-G6)</f>
        <v>34.7861591194844</v>
      </c>
      <c r="I18" s="23" t="n">
        <f aca="false">Assumptions!$B$8*(I6-H6)</f>
        <v>34.4382975282896</v>
      </c>
      <c r="J18" s="23" t="n">
        <f aca="false">Assumptions!$B$8*(J6-I6)</f>
        <v>33.3668838274095</v>
      </c>
      <c r="K18" s="23" t="n">
        <f aca="false">Assumptions!$B$8*(K6-J6)</f>
        <v>31.531705216902</v>
      </c>
      <c r="L18" s="23" t="n">
        <f aca="false">Assumptions!$B$8*(L6-K6)</f>
        <v>28.9190782132158</v>
      </c>
    </row>
    <row r="19" customFormat="false" ht="15" hidden="false" customHeight="false" outlineLevel="0" collapsed="false">
      <c r="A19" s="3" t="s">
        <v>100</v>
      </c>
      <c r="C19" s="24" t="n">
        <f aca="false">C15+C16+C17+C18</f>
        <v>148.7026064</v>
      </c>
      <c r="D19" s="24" t="n">
        <f aca="false">D15+D16+D17+D18</f>
        <v>145.8114543616</v>
      </c>
      <c r="E19" s="24" t="n">
        <f aca="false">E15+E16+E17+E18</f>
        <v>178.88933884416</v>
      </c>
      <c r="F19" s="24" t="n">
        <f aca="false">F15+F16+F17+F18</f>
        <v>217.122677682893</v>
      </c>
      <c r="G19" s="24" t="n">
        <f aca="false">G15+G16+G17+G18</f>
        <v>255.654765366643</v>
      </c>
      <c r="H19" s="24" t="n">
        <f aca="false">H15+H16+H17+H18</f>
        <v>294.880338291474</v>
      </c>
      <c r="I19" s="24" t="n">
        <f aca="false">I15+I16+I17+I18</f>
        <v>336.246396036629</v>
      </c>
      <c r="J19" s="24" t="n">
        <f aca="false">J15+J16+J17+J18</f>
        <v>379.089508884156</v>
      </c>
      <c r="K19" s="24" t="n">
        <f aca="false">K15+K16+K17+K18</f>
        <v>422.608684202102</v>
      </c>
      <c r="L19" s="24" t="n">
        <f aca="false">L15+L16+L17+L18</f>
        <v>465.883672322479</v>
      </c>
    </row>
    <row r="20" customFormat="false" ht="15" hidden="false" customHeight="false" outlineLevel="0" collapsed="false">
      <c r="A20" s="3" t="s">
        <v>101</v>
      </c>
      <c r="C20" s="25" t="n">
        <f aca="false">1/(1+Assumptions!$B$5)^C4</f>
        <v>0.904977375565611</v>
      </c>
      <c r="D20" s="25" t="n">
        <f aca="false">1/(1+Assumptions!$B$5)^D4</f>
        <v>0.818984050285621</v>
      </c>
      <c r="E20" s="25" t="n">
        <f aca="false">1/(1+Assumptions!$B$5)^E4</f>
        <v>0.741162036457575</v>
      </c>
      <c r="F20" s="25" t="n">
        <f aca="false">1/(1+Assumptions!$B$5)^F4</f>
        <v>0.67073487462224</v>
      </c>
      <c r="G20" s="25" t="n">
        <f aca="false">1/(1+Assumptions!$B$5)^G4</f>
        <v>0.606999886535964</v>
      </c>
      <c r="H20" s="25" t="n">
        <f aca="false">1/(1+Assumptions!$B$5)^H4</f>
        <v>0.54932116428594</v>
      </c>
      <c r="I20" s="25" t="n">
        <f aca="false">1/(1+Assumptions!$B$5)^I4</f>
        <v>0.497123225598136</v>
      </c>
      <c r="J20" s="25" t="n">
        <f aca="false">1/(1+Assumptions!$B$5)^J4</f>
        <v>0.449885272034512</v>
      </c>
      <c r="K20" s="25" t="n">
        <f aca="false">1/(1+Assumptions!$B$5)^K4</f>
        <v>0.407135992791414</v>
      </c>
      <c r="L20" s="25" t="n">
        <f aca="false">1/(1+Assumptions!$B$5)^L4</f>
        <v>0.368448862254673</v>
      </c>
    </row>
    <row r="21" customFormat="false" ht="15" hidden="false" customHeight="false" outlineLevel="0" collapsed="false">
      <c r="A21" s="3" t="s">
        <v>102</v>
      </c>
      <c r="C21" s="21" t="n">
        <f aca="false">C19*C20</f>
        <v>134.572494479638</v>
      </c>
      <c r="D21" s="21" t="n">
        <f aca="false">D19*D20</f>
        <v>119.4172554711</v>
      </c>
      <c r="E21" s="21" t="n">
        <f aca="false">E19*E20</f>
        <v>132.585986678287</v>
      </c>
      <c r="F21" s="21" t="n">
        <f aca="false">F19*F20</f>
        <v>145.63175199328</v>
      </c>
      <c r="G21" s="21" t="n">
        <f aca="false">G19*G20</f>
        <v>155.182413569931</v>
      </c>
      <c r="H21" s="21" t="n">
        <f aca="false">H19*H20</f>
        <v>161.984010755304</v>
      </c>
      <c r="I21" s="21" t="n">
        <f aca="false">I19*I20</f>
        <v>167.155892993477</v>
      </c>
      <c r="J21" s="21" t="n">
        <f aca="false">J19*J20</f>
        <v>170.546786829778</v>
      </c>
      <c r="K21" s="21" t="n">
        <f aca="false">K19*K20</f>
        <v>172.059206204896</v>
      </c>
      <c r="L21" s="21" t="n">
        <f aca="false">L19*L20</f>
        <v>171.654309010246</v>
      </c>
    </row>
    <row r="23" customFormat="false" ht="15" hidden="false" customHeight="false" outlineLevel="0" collapsed="false">
      <c r="A23" s="3" t="s">
        <v>103</v>
      </c>
      <c r="C23" s="21" t="n">
        <f aca="false">C19-C10</f>
        <v>329.7119264</v>
      </c>
      <c r="D23" s="21" t="n">
        <f aca="false">D19-D10</f>
        <v>341.7842114816</v>
      </c>
      <c r="E23" s="21" t="n">
        <f aca="false">E19-E10</f>
        <v>394.59452530176</v>
      </c>
      <c r="F23" s="21" t="n">
        <f aca="false">F19-F10</f>
        <v>443.459048330189</v>
      </c>
      <c r="G23" s="21" t="n">
        <f aca="false">G19-G10</f>
        <v>497.225314807507</v>
      </c>
      <c r="H23" s="21" t="n">
        <f aca="false">H19-H10</f>
        <v>549.978838501026</v>
      </c>
      <c r="I23" s="21" t="n">
        <f aca="false">I19-I10</f>
        <v>602.718037713857</v>
      </c>
      <c r="J23" s="21" t="n">
        <f aca="false">J19-J10</f>
        <v>654.366300460284</v>
      </c>
      <c r="K23" s="21" t="n">
        <f aca="false">K19-K10</f>
        <v>703.766389052811</v>
      </c>
      <c r="L23" s="21" t="n">
        <f aca="false">L19-L10</f>
        <v>749.719069600338</v>
      </c>
    </row>
    <row r="24" customFormat="false" ht="15" hidden="false" customHeight="false" outlineLevel="0" collapsed="false">
      <c r="A24" s="3" t="s">
        <v>104</v>
      </c>
      <c r="C24" s="18" t="n">
        <f aca="false">C19/C6</f>
        <v>0.123227858985383</v>
      </c>
      <c r="D24" s="18" t="n">
        <f aca="false">D19/D6</f>
        <v>0.107885714285714</v>
      </c>
      <c r="E24" s="18" t="n">
        <f aca="false">E19/E6</f>
        <v>0.116105263157895</v>
      </c>
      <c r="F24" s="18" t="n">
        <f aca="false">F19/F6</f>
        <v>0.12470796460177</v>
      </c>
      <c r="G24" s="18" t="n">
        <f aca="false">G19/G6</f>
        <v>0.132287837837838</v>
      </c>
      <c r="H24" s="18" t="n">
        <f aca="false">H19/H6</f>
        <v>0.138713636363636</v>
      </c>
      <c r="I24" s="18" t="n">
        <f aca="false">I19/I6</f>
        <v>0.145112385321101</v>
      </c>
      <c r="J24" s="18" t="n">
        <f aca="false">J19/J6</f>
        <v>0.151483333333333</v>
      </c>
      <c r="K24" s="18" t="n">
        <f aca="false">K19/K6</f>
        <v>0.157825700934579</v>
      </c>
      <c r="L24" s="18" t="n">
        <f aca="false">L19/L6</f>
        <v>0.164138679245283</v>
      </c>
    </row>
    <row r="25" customFormat="false" ht="15" hidden="false" customHeight="false" outlineLevel="0" collapsed="false">
      <c r="A25" s="5" t="s">
        <v>105</v>
      </c>
    </row>
    <row r="26" customFormat="false" ht="15" hidden="false" customHeight="false" outlineLevel="0" collapsed="false">
      <c r="A26" s="3" t="s">
        <v>106</v>
      </c>
      <c r="B26" s="21" t="n">
        <f aca="false">SUM(C21:L21)</f>
        <v>1530.79010798594</v>
      </c>
    </row>
    <row r="27" customFormat="false" ht="15" hidden="false" customHeight="false" outlineLevel="0" collapsed="false">
      <c r="A27" s="3" t="s">
        <v>65</v>
      </c>
      <c r="B27" s="26" t="n">
        <f aca="false">Assumptions!$D$15</f>
        <v>0.03</v>
      </c>
    </row>
    <row r="28" customFormat="false" ht="15" hidden="false" customHeight="false" outlineLevel="0" collapsed="false">
      <c r="A28" s="3" t="s">
        <v>107</v>
      </c>
      <c r="B28" s="21" t="n">
        <f aca="false">L19*(1+B27)</f>
        <v>479.860182492154</v>
      </c>
    </row>
    <row r="29" customFormat="false" ht="15" hidden="false" customHeight="false" outlineLevel="0" collapsed="false">
      <c r="A29" s="3" t="s">
        <v>108</v>
      </c>
      <c r="B29" s="21" t="n">
        <f aca="false">B28/(Assumptions!$B$5-B27)</f>
        <v>6398.13576656205</v>
      </c>
    </row>
    <row r="30" customFormat="false" ht="15" hidden="false" customHeight="false" outlineLevel="0" collapsed="false">
      <c r="A30" s="3" t="s">
        <v>109</v>
      </c>
      <c r="B30" s="23" t="n">
        <f aca="false">Assumptions!$B$12*L19</f>
        <v>9317.67344644958</v>
      </c>
    </row>
    <row r="31" customFormat="false" ht="15" hidden="false" customHeight="false" outlineLevel="0" collapsed="false">
      <c r="A31" s="3" t="s">
        <v>110</v>
      </c>
      <c r="B31" s="21" t="n">
        <f aca="false">MIN(B29,B30)</f>
        <v>6398.13576656205</v>
      </c>
    </row>
    <row r="32" customFormat="false" ht="15" hidden="false" customHeight="false" outlineLevel="0" collapsed="false">
      <c r="A32" s="3" t="s">
        <v>111</v>
      </c>
      <c r="B32" s="27" t="n">
        <f aca="false">B31/L19</f>
        <v>13.7333333333333</v>
      </c>
    </row>
    <row r="33" customFormat="false" ht="15" hidden="false" customHeight="false" outlineLevel="0" collapsed="false">
      <c r="A33" s="3" t="s">
        <v>112</v>
      </c>
      <c r="B33" s="21" t="n">
        <f aca="false">B31*L20</f>
        <v>2357.38584374072</v>
      </c>
    </row>
    <row r="34" customFormat="false" ht="15" hidden="false" customHeight="false" outlineLevel="0" collapsed="false">
      <c r="A34" s="3" t="s">
        <v>113</v>
      </c>
      <c r="B34" s="21" t="n">
        <f aca="false">B26+B33</f>
        <v>3888.17595172665</v>
      </c>
    </row>
    <row r="35" customFormat="false" ht="15" hidden="false" customHeight="false" outlineLevel="0" collapsed="false">
      <c r="A35" s="3" t="s">
        <v>114</v>
      </c>
      <c r="B35" s="23" t="n">
        <f aca="false">Assumptions!$B$9</f>
        <v>1313.9</v>
      </c>
    </row>
    <row r="36" customFormat="false" ht="15" hidden="false" customHeight="false" outlineLevel="0" collapsed="false">
      <c r="A36" s="3" t="s">
        <v>115</v>
      </c>
      <c r="B36" s="21" t="n">
        <f aca="false">B34+B35</f>
        <v>5202.07595172665</v>
      </c>
    </row>
    <row r="37" customFormat="false" ht="15" hidden="false" customHeight="false" outlineLevel="0" collapsed="false">
      <c r="A37" s="3" t="s">
        <v>59</v>
      </c>
      <c r="B37" s="28" t="n">
        <f aca="false">Assumptions!$B$10</f>
        <v>50.7</v>
      </c>
    </row>
    <row r="38" customFormat="false" ht="15" hidden="false" customHeight="false" outlineLevel="0" collapsed="false">
      <c r="A38" s="3" t="s">
        <v>116</v>
      </c>
      <c r="B38" s="29" t="n">
        <f aca="false">B36/B37</f>
        <v>102.605048357528</v>
      </c>
    </row>
    <row r="39" customFormat="false" ht="15" hidden="false" customHeight="false" outlineLevel="0" collapsed="false">
      <c r="A39" s="3" t="s">
        <v>117</v>
      </c>
      <c r="B39" s="18" t="n">
        <f aca="false">B38/Assumptions!$B$11-1</f>
        <v>-0.142814967773369</v>
      </c>
    </row>
    <row r="41" customFormat="false" ht="15" hidden="false" customHeight="false" outlineLevel="0" collapsed="false">
      <c r="A41" s="3" t="s">
        <v>118</v>
      </c>
      <c r="B41" s="21" t="n">
        <f aca="false">SUMPRODUCT(-C10:L10/(1+Assumptions!$B$5)^C4:L4)</f>
        <v>1398.11686223399</v>
      </c>
      <c r="C41" s="10" t="s">
        <v>119</v>
      </c>
    </row>
    <row r="42" customFormat="false" ht="15" hidden="false" customHeight="false" outlineLevel="0" collapsed="false">
      <c r="A42" s="3" t="s">
        <v>120</v>
      </c>
      <c r="B42" s="21" t="n">
        <f aca="false">(-L10*(1+B27)/(Assumptions!$B$5-B27))*L20</f>
        <v>1436.21592093959</v>
      </c>
    </row>
    <row r="43" customFormat="false" ht="15" hidden="false" customHeight="false" outlineLevel="0" collapsed="false">
      <c r="A43" s="3" t="s">
        <v>121</v>
      </c>
      <c r="B43" s="30" t="n">
        <f aca="false">(B36+B41+B42)/B37</f>
        <v>158.509048025646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10" t="s">
        <v>73</v>
      </c>
    </row>
    <row r="3" customFormat="false" ht="15" hidden="false" customHeight="false" outlineLevel="0" collapsed="false">
      <c r="B3" s="6" t="s">
        <v>74</v>
      </c>
      <c r="C3" s="6" t="s">
        <v>75</v>
      </c>
      <c r="D3" s="6" t="s">
        <v>76</v>
      </c>
      <c r="E3" s="6" t="s">
        <v>77</v>
      </c>
      <c r="F3" s="6" t="s">
        <v>78</v>
      </c>
      <c r="G3" s="6" t="s">
        <v>79</v>
      </c>
      <c r="H3" s="6" t="s">
        <v>80</v>
      </c>
      <c r="I3" s="6" t="s">
        <v>81</v>
      </c>
      <c r="J3" s="6" t="s">
        <v>82</v>
      </c>
      <c r="K3" s="6" t="s">
        <v>83</v>
      </c>
      <c r="L3" s="6" t="s">
        <v>84</v>
      </c>
    </row>
    <row r="4" customFormat="false" ht="15" hidden="false" customHeight="false" outlineLevel="0" collapsed="false">
      <c r="A4" s="12" t="s">
        <v>85</v>
      </c>
      <c r="B4" s="12" t="n">
        <v>0</v>
      </c>
      <c r="C4" s="12" t="n">
        <v>1</v>
      </c>
      <c r="D4" s="12" t="n">
        <v>2</v>
      </c>
      <c r="E4" s="12" t="n">
        <v>3</v>
      </c>
      <c r="F4" s="12" t="n">
        <v>4</v>
      </c>
      <c r="G4" s="12" t="n">
        <v>5</v>
      </c>
      <c r="H4" s="12" t="n">
        <v>6</v>
      </c>
      <c r="I4" s="12" t="n">
        <v>7</v>
      </c>
      <c r="J4" s="12" t="n">
        <v>8</v>
      </c>
      <c r="K4" s="12" t="n">
        <v>9</v>
      </c>
      <c r="L4" s="12" t="n">
        <v>10</v>
      </c>
    </row>
    <row r="5" customFormat="false" ht="15" hidden="false" customHeight="false" outlineLevel="0" collapsed="false">
      <c r="A5" s="3" t="s">
        <v>86</v>
      </c>
      <c r="C5" s="13" t="n">
        <v>0.165</v>
      </c>
      <c r="D5" s="13" t="n">
        <v>0.17</v>
      </c>
      <c r="E5" s="13" t="n">
        <v>0.19</v>
      </c>
      <c r="F5" s="13" t="n">
        <v>0.18</v>
      </c>
      <c r="G5" s="13" t="n">
        <v>0.16</v>
      </c>
      <c r="H5" s="13" t="n">
        <v>0.14</v>
      </c>
      <c r="I5" s="13" t="n">
        <v>0.12</v>
      </c>
      <c r="J5" s="13" t="n">
        <v>0.11</v>
      </c>
      <c r="K5" s="13" t="n">
        <v>0.1</v>
      </c>
      <c r="L5" s="13" t="n">
        <v>0.09</v>
      </c>
    </row>
    <row r="6" customFormat="false" ht="15" hidden="false" customHeight="false" outlineLevel="0" collapsed="false">
      <c r="A6" s="3" t="s">
        <v>87</v>
      </c>
      <c r="B6" s="20" t="n">
        <v>1037.6</v>
      </c>
      <c r="C6" s="21" t="n">
        <f aca="false">B6*(1+C5)</f>
        <v>1208.804</v>
      </c>
      <c r="D6" s="21" t="n">
        <f aca="false">C6*(1+D5)</f>
        <v>1414.30068</v>
      </c>
      <c r="E6" s="21" t="n">
        <f aca="false">D6*(1+E5)</f>
        <v>1683.0178092</v>
      </c>
      <c r="F6" s="21" t="n">
        <f aca="false">E6*(1+F5)</f>
        <v>1985.961014856</v>
      </c>
      <c r="G6" s="21" t="n">
        <f aca="false">F6*(1+G5)</f>
        <v>2303.71477723296</v>
      </c>
      <c r="H6" s="21" t="n">
        <f aca="false">G6*(1+H5)</f>
        <v>2626.23484604557</v>
      </c>
      <c r="I6" s="21" t="n">
        <f aca="false">H6*(1+I5)</f>
        <v>2941.38302757104</v>
      </c>
      <c r="J6" s="21" t="n">
        <f aca="false">I6*(1+J5)</f>
        <v>3264.93516060386</v>
      </c>
      <c r="K6" s="21" t="n">
        <f aca="false">J6*(1+K5)</f>
        <v>3591.42867666425</v>
      </c>
      <c r="L6" s="21" t="n">
        <f aca="false">K6*(1+L5)</f>
        <v>3914.65725756403</v>
      </c>
    </row>
    <row r="7" customFormat="false" ht="15" hidden="false" customHeight="false" outlineLevel="0" collapsed="false">
      <c r="A7" s="3" t="s">
        <v>88</v>
      </c>
      <c r="B7" s="22" t="n">
        <v>0.295</v>
      </c>
      <c r="C7" s="13" t="n">
        <v>0.27</v>
      </c>
      <c r="D7" s="13" t="n">
        <v>0.275</v>
      </c>
      <c r="E7" s="13" t="n">
        <v>0.29</v>
      </c>
      <c r="F7" s="13" t="n">
        <v>0.305</v>
      </c>
      <c r="G7" s="13" t="n">
        <v>0.32</v>
      </c>
      <c r="H7" s="13" t="n">
        <v>0.33</v>
      </c>
      <c r="I7" s="13" t="n">
        <v>0.34</v>
      </c>
      <c r="J7" s="13" t="n">
        <v>0.345</v>
      </c>
      <c r="K7" s="13" t="n">
        <v>0.35</v>
      </c>
      <c r="L7" s="13" t="n">
        <v>0.35</v>
      </c>
    </row>
    <row r="8" customFormat="false" ht="15" hidden="false" customHeight="false" outlineLevel="0" collapsed="false">
      <c r="A8" s="3" t="s">
        <v>89</v>
      </c>
      <c r="C8" s="21" t="n">
        <f aca="false">C6*C7</f>
        <v>326.37708</v>
      </c>
      <c r="D8" s="21" t="n">
        <f aca="false">D6*D7</f>
        <v>388.932687</v>
      </c>
      <c r="E8" s="21" t="n">
        <f aca="false">E6*E7</f>
        <v>488.075164668</v>
      </c>
      <c r="F8" s="21" t="n">
        <f aca="false">F6*F7</f>
        <v>605.71810953108</v>
      </c>
      <c r="G8" s="21" t="n">
        <f aca="false">G6*G7</f>
        <v>737.188728714547</v>
      </c>
      <c r="H8" s="21" t="n">
        <f aca="false">H6*H7</f>
        <v>866.65749919504</v>
      </c>
      <c r="I8" s="21" t="n">
        <f aca="false">I6*I7</f>
        <v>1000.07022937415</v>
      </c>
      <c r="J8" s="21" t="n">
        <f aca="false">J6*J7</f>
        <v>1126.40263040833</v>
      </c>
      <c r="K8" s="21" t="n">
        <f aca="false">K6*K7</f>
        <v>1257.00003683249</v>
      </c>
      <c r="L8" s="21" t="n">
        <f aca="false">L6*L7</f>
        <v>1370.13004014741</v>
      </c>
    </row>
    <row r="9" customFormat="false" ht="15" hidden="false" customHeight="false" outlineLevel="0" collapsed="false">
      <c r="A9" s="3" t="s">
        <v>90</v>
      </c>
      <c r="B9" s="22" t="n">
        <v>0.143</v>
      </c>
      <c r="C9" s="13" t="n">
        <v>0.15</v>
      </c>
      <c r="D9" s="13" t="n">
        <v>0.135</v>
      </c>
      <c r="E9" s="13" t="n">
        <v>0.125</v>
      </c>
      <c r="F9" s="13" t="n">
        <v>0.115</v>
      </c>
      <c r="G9" s="13" t="n">
        <v>0.105</v>
      </c>
      <c r="H9" s="13" t="n">
        <v>0.1</v>
      </c>
      <c r="I9" s="13" t="n">
        <v>0.095</v>
      </c>
      <c r="J9" s="13" t="n">
        <v>0.09</v>
      </c>
      <c r="K9" s="13" t="n">
        <v>0.085</v>
      </c>
      <c r="L9" s="13" t="n">
        <v>0.08</v>
      </c>
    </row>
    <row r="10" customFormat="false" ht="15" hidden="false" customHeight="false" outlineLevel="0" collapsed="false">
      <c r="A10" s="3" t="s">
        <v>91</v>
      </c>
      <c r="C10" s="21" t="n">
        <f aca="false">-C6*C9</f>
        <v>-181.3206</v>
      </c>
      <c r="D10" s="21" t="n">
        <f aca="false">-D6*D9</f>
        <v>-190.9305918</v>
      </c>
      <c r="E10" s="21" t="n">
        <f aca="false">-E6*E9</f>
        <v>-210.37722615</v>
      </c>
      <c r="F10" s="21" t="n">
        <f aca="false">-F6*F9</f>
        <v>-228.38551670844</v>
      </c>
      <c r="G10" s="21" t="n">
        <f aca="false">-G6*G9</f>
        <v>-241.890051609461</v>
      </c>
      <c r="H10" s="21" t="n">
        <f aca="false">-H6*H9</f>
        <v>-262.623484604557</v>
      </c>
      <c r="I10" s="21" t="n">
        <f aca="false">-I6*I9</f>
        <v>-279.431387619249</v>
      </c>
      <c r="J10" s="21" t="n">
        <f aca="false">-J6*J9</f>
        <v>-293.844164454347</v>
      </c>
      <c r="K10" s="21" t="n">
        <f aca="false">-K6*K9</f>
        <v>-305.271437516461</v>
      </c>
      <c r="L10" s="21" t="n">
        <f aca="false">-L6*L9</f>
        <v>-313.172580605122</v>
      </c>
    </row>
    <row r="11" customFormat="false" ht="15" hidden="false" customHeight="false" outlineLevel="0" collapsed="false">
      <c r="A11" s="3" t="s">
        <v>92</v>
      </c>
      <c r="C11" s="21" t="n">
        <f aca="false">C8+C10</f>
        <v>145.05648</v>
      </c>
      <c r="D11" s="21" t="n">
        <f aca="false">D8+D10</f>
        <v>198.0020952</v>
      </c>
      <c r="E11" s="21" t="n">
        <f aca="false">E8+E10</f>
        <v>277.697938518</v>
      </c>
      <c r="F11" s="21" t="n">
        <f aca="false">F8+F10</f>
        <v>377.33259282264</v>
      </c>
      <c r="G11" s="21" t="n">
        <f aca="false">G8+G10</f>
        <v>495.298677105086</v>
      </c>
      <c r="H11" s="21" t="n">
        <f aca="false">H8+H10</f>
        <v>604.034014590482</v>
      </c>
      <c r="I11" s="21" t="n">
        <f aca="false">I8+I10</f>
        <v>720.638841754906</v>
      </c>
      <c r="J11" s="21" t="n">
        <f aca="false">J8+J10</f>
        <v>832.558465953984</v>
      </c>
      <c r="K11" s="21" t="n">
        <f aca="false">K8+K10</f>
        <v>951.728599316025</v>
      </c>
      <c r="L11" s="21" t="n">
        <f aca="false">L8+L10</f>
        <v>1056.95745954229</v>
      </c>
    </row>
    <row r="12" customFormat="false" ht="15" hidden="false" customHeight="false" outlineLevel="0" collapsed="false">
      <c r="A12" s="3" t="s">
        <v>93</v>
      </c>
      <c r="C12" s="23" t="n">
        <f aca="false">-C6*Assumptions!$B$6</f>
        <v>-18.13206</v>
      </c>
      <c r="D12" s="23" t="n">
        <f aca="false">-D6*Assumptions!$B$6</f>
        <v>-21.2145102</v>
      </c>
      <c r="E12" s="23" t="n">
        <f aca="false">-E6*Assumptions!$B$6</f>
        <v>-25.245267138</v>
      </c>
      <c r="F12" s="23" t="n">
        <f aca="false">-F6*Assumptions!$B$6</f>
        <v>-29.78941522284</v>
      </c>
      <c r="G12" s="23" t="n">
        <f aca="false">-G6*Assumptions!$B$6</f>
        <v>-34.5557216584944</v>
      </c>
      <c r="H12" s="23" t="n">
        <f aca="false">-H6*Assumptions!$B$6</f>
        <v>-39.3935226906836</v>
      </c>
      <c r="I12" s="23" t="n">
        <f aca="false">-I6*Assumptions!$B$6</f>
        <v>-44.1207454135657</v>
      </c>
      <c r="J12" s="23" t="n">
        <f aca="false">-J6*Assumptions!$B$6</f>
        <v>-48.9740274090579</v>
      </c>
      <c r="K12" s="23" t="n">
        <f aca="false">-K6*Assumptions!$B$6</f>
        <v>-53.8714301499637</v>
      </c>
      <c r="L12" s="23" t="n">
        <f aca="false">-L6*Assumptions!$B$6</f>
        <v>-58.7198588634604</v>
      </c>
    </row>
    <row r="13" customFormat="false" ht="15" hidden="false" customHeight="false" outlineLevel="0" collapsed="false">
      <c r="A13" s="3" t="s">
        <v>94</v>
      </c>
      <c r="C13" s="21" t="n">
        <f aca="false">C11+C12</f>
        <v>126.92442</v>
      </c>
      <c r="D13" s="21" t="n">
        <f aca="false">D11+D12</f>
        <v>176.787585</v>
      </c>
      <c r="E13" s="21" t="n">
        <f aca="false">E11+E12</f>
        <v>252.45267138</v>
      </c>
      <c r="F13" s="21" t="n">
        <f aca="false">F11+F12</f>
        <v>347.5431775998</v>
      </c>
      <c r="G13" s="21" t="n">
        <f aca="false">G11+G12</f>
        <v>460.742955446592</v>
      </c>
      <c r="H13" s="21" t="n">
        <f aca="false">H11+H12</f>
        <v>564.640491899798</v>
      </c>
      <c r="I13" s="21" t="n">
        <f aca="false">I11+I12</f>
        <v>676.51809634134</v>
      </c>
      <c r="J13" s="21" t="n">
        <f aca="false">J11+J12</f>
        <v>783.584438544926</v>
      </c>
      <c r="K13" s="21" t="n">
        <f aca="false">K11+K12</f>
        <v>897.857169166061</v>
      </c>
      <c r="L13" s="21" t="n">
        <f aca="false">L11+L12</f>
        <v>998.237600678827</v>
      </c>
    </row>
    <row r="14" customFormat="false" ht="15" hidden="false" customHeight="false" outlineLevel="0" collapsed="false">
      <c r="A14" s="3" t="s">
        <v>95</v>
      </c>
      <c r="C14" s="13" t="n">
        <v>-0.06</v>
      </c>
      <c r="D14" s="13" t="n">
        <v>0.08</v>
      </c>
      <c r="E14" s="13" t="n">
        <v>0.15</v>
      </c>
      <c r="F14" s="13" t="n">
        <v>0.2</v>
      </c>
      <c r="G14" s="13" t="n">
        <v>0.21</v>
      </c>
      <c r="H14" s="13" t="n">
        <v>0.21</v>
      </c>
      <c r="I14" s="13" t="n">
        <v>0.21</v>
      </c>
      <c r="J14" s="13" t="n">
        <v>0.21</v>
      </c>
      <c r="K14" s="13" t="n">
        <v>0.21</v>
      </c>
      <c r="L14" s="13" t="n">
        <v>0.21</v>
      </c>
    </row>
    <row r="15" customFormat="false" ht="15" hidden="false" customHeight="false" outlineLevel="0" collapsed="false">
      <c r="A15" s="3" t="s">
        <v>96</v>
      </c>
      <c r="C15" s="21" t="n">
        <f aca="false">C13*(1-C14)</f>
        <v>134.5398852</v>
      </c>
      <c r="D15" s="21" t="n">
        <f aca="false">D13*(1-D14)</f>
        <v>162.6445782</v>
      </c>
      <c r="E15" s="21" t="n">
        <f aca="false">E13*(1-E14)</f>
        <v>214.584770673</v>
      </c>
      <c r="F15" s="21" t="n">
        <f aca="false">F13*(1-F14)</f>
        <v>278.03454207984</v>
      </c>
      <c r="G15" s="21" t="n">
        <f aca="false">G13*(1-G14)</f>
        <v>363.986934802808</v>
      </c>
      <c r="H15" s="21" t="n">
        <f aca="false">H13*(1-H14)</f>
        <v>446.065988600841</v>
      </c>
      <c r="I15" s="21" t="n">
        <f aca="false">I13*(1-I14)</f>
        <v>534.449296109659</v>
      </c>
      <c r="J15" s="21" t="n">
        <f aca="false">J13*(1-J14)</f>
        <v>619.031706450492</v>
      </c>
      <c r="K15" s="21" t="n">
        <f aca="false">K13*(1-K14)</f>
        <v>709.307163641188</v>
      </c>
      <c r="L15" s="21" t="n">
        <f aca="false">L13*(1-L14)</f>
        <v>788.607704536273</v>
      </c>
    </row>
    <row r="16" customFormat="false" ht="15" hidden="false" customHeight="false" outlineLevel="0" collapsed="false">
      <c r="A16" s="3" t="s">
        <v>97</v>
      </c>
      <c r="C16" s="21" t="n">
        <f aca="false">-C12</f>
        <v>18.13206</v>
      </c>
      <c r="D16" s="21" t="n">
        <f aca="false">-D12</f>
        <v>21.2145102</v>
      </c>
      <c r="E16" s="21" t="n">
        <f aca="false">-E12</f>
        <v>25.245267138</v>
      </c>
      <c r="F16" s="21" t="n">
        <f aca="false">-F12</f>
        <v>29.78941522284</v>
      </c>
      <c r="G16" s="21" t="n">
        <f aca="false">-G12</f>
        <v>34.5557216584944</v>
      </c>
      <c r="H16" s="21" t="n">
        <f aca="false">-H12</f>
        <v>39.3935226906836</v>
      </c>
      <c r="I16" s="21" t="n">
        <f aca="false">-I12</f>
        <v>44.1207454135657</v>
      </c>
      <c r="J16" s="21" t="n">
        <f aca="false">-J12</f>
        <v>48.9740274090579</v>
      </c>
      <c r="K16" s="21" t="n">
        <f aca="false">-K12</f>
        <v>53.8714301499637</v>
      </c>
      <c r="L16" s="21" t="n">
        <f aca="false">-L12</f>
        <v>58.7198588634604</v>
      </c>
    </row>
    <row r="17" customFormat="false" ht="15" hidden="false" customHeight="false" outlineLevel="0" collapsed="false">
      <c r="A17" s="3" t="s">
        <v>98</v>
      </c>
      <c r="C17" s="23" t="n">
        <f aca="false">-C6*Assumptions!$B$7</f>
        <v>-27.802492</v>
      </c>
      <c r="D17" s="23" t="n">
        <f aca="false">-D6*Assumptions!$B$7</f>
        <v>-32.52891564</v>
      </c>
      <c r="E17" s="23" t="n">
        <f aca="false">-E6*Assumptions!$B$7</f>
        <v>-38.7094096116</v>
      </c>
      <c r="F17" s="23" t="n">
        <f aca="false">-F6*Assumptions!$B$7</f>
        <v>-45.677103341688</v>
      </c>
      <c r="G17" s="23" t="n">
        <f aca="false">-G6*Assumptions!$B$7</f>
        <v>-52.9854398763581</v>
      </c>
      <c r="H17" s="23" t="n">
        <f aca="false">-H6*Assumptions!$B$7</f>
        <v>-60.4034014590482</v>
      </c>
      <c r="I17" s="23" t="n">
        <f aca="false">-I6*Assumptions!$B$7</f>
        <v>-67.651809634134</v>
      </c>
      <c r="J17" s="23" t="n">
        <f aca="false">-J6*Assumptions!$B$7</f>
        <v>-75.0935086938888</v>
      </c>
      <c r="K17" s="23" t="n">
        <f aca="false">-K6*Assumptions!$B$7</f>
        <v>-82.6028595632776</v>
      </c>
      <c r="L17" s="23" t="n">
        <f aca="false">-L6*Assumptions!$B$7</f>
        <v>-90.0371169239726</v>
      </c>
    </row>
    <row r="18" customFormat="false" ht="15" hidden="false" customHeight="false" outlineLevel="0" collapsed="false">
      <c r="A18" s="3" t="s">
        <v>99</v>
      </c>
      <c r="C18" s="23" t="n">
        <f aca="false">Assumptions!$B$8*(C6-B6)</f>
        <v>30.81672</v>
      </c>
      <c r="D18" s="23" t="n">
        <f aca="false">Assumptions!$B$8*(D6-C6)</f>
        <v>36.9894024</v>
      </c>
      <c r="E18" s="23" t="n">
        <f aca="false">Assumptions!$B$8*(E6-D6)</f>
        <v>48.369083256</v>
      </c>
      <c r="F18" s="23" t="n">
        <f aca="false">Assumptions!$B$8*(F6-E6)</f>
        <v>54.52977701808</v>
      </c>
      <c r="G18" s="23" t="n">
        <f aca="false">Assumptions!$B$8*(G6-F6)</f>
        <v>57.1956772278528</v>
      </c>
      <c r="H18" s="23" t="n">
        <f aca="false">Assumptions!$B$8*(H6-G6)</f>
        <v>58.0536123862706</v>
      </c>
      <c r="I18" s="23" t="n">
        <f aca="false">Assumptions!$B$8*(I6-H6)</f>
        <v>56.7266726745845</v>
      </c>
      <c r="J18" s="23" t="n">
        <f aca="false">Assumptions!$B$8*(J6-I6)</f>
        <v>58.2393839459067</v>
      </c>
      <c r="K18" s="23" t="n">
        <f aca="false">Assumptions!$B$8*(K6-J6)</f>
        <v>58.7688328908695</v>
      </c>
      <c r="L18" s="23" t="n">
        <f aca="false">Assumptions!$B$8*(L6-K6)</f>
        <v>58.1811445619608</v>
      </c>
    </row>
    <row r="19" customFormat="false" ht="15" hidden="false" customHeight="false" outlineLevel="0" collapsed="false">
      <c r="A19" s="3" t="s">
        <v>100</v>
      </c>
      <c r="C19" s="24" t="n">
        <f aca="false">C15+C16+C17+C18</f>
        <v>155.6861732</v>
      </c>
      <c r="D19" s="24" t="n">
        <f aca="false">D15+D16+D17+D18</f>
        <v>188.31957516</v>
      </c>
      <c r="E19" s="24" t="n">
        <f aca="false">E15+E16+E17+E18</f>
        <v>249.4897114554</v>
      </c>
      <c r="F19" s="24" t="n">
        <f aca="false">F15+F16+F17+F18</f>
        <v>316.676630979072</v>
      </c>
      <c r="G19" s="24" t="n">
        <f aca="false">G15+G16+G17+G18</f>
        <v>402.752893812797</v>
      </c>
      <c r="H19" s="24" t="n">
        <f aca="false">H15+H16+H17+H18</f>
        <v>483.109722218747</v>
      </c>
      <c r="I19" s="24" t="n">
        <f aca="false">I15+I16+I17+I18</f>
        <v>567.644904563675</v>
      </c>
      <c r="J19" s="24" t="n">
        <f aca="false">J15+J16+J17+J18</f>
        <v>651.151609111567</v>
      </c>
      <c r="K19" s="24" t="n">
        <f aca="false">K15+K16+K17+K18</f>
        <v>739.344567118744</v>
      </c>
      <c r="L19" s="24" t="n">
        <f aca="false">L15+L16+L17+L18</f>
        <v>815.471591037722</v>
      </c>
    </row>
    <row r="20" customFormat="false" ht="15" hidden="false" customHeight="false" outlineLevel="0" collapsed="false">
      <c r="A20" s="3" t="s">
        <v>101</v>
      </c>
      <c r="C20" s="25" t="n">
        <f aca="false">1/(1+Assumptions!$B$5)^C4</f>
        <v>0.904977375565611</v>
      </c>
      <c r="D20" s="25" t="n">
        <f aca="false">1/(1+Assumptions!$B$5)^D4</f>
        <v>0.818984050285621</v>
      </c>
      <c r="E20" s="25" t="n">
        <f aca="false">1/(1+Assumptions!$B$5)^E4</f>
        <v>0.741162036457575</v>
      </c>
      <c r="F20" s="25" t="n">
        <f aca="false">1/(1+Assumptions!$B$5)^F4</f>
        <v>0.67073487462224</v>
      </c>
      <c r="G20" s="25" t="n">
        <f aca="false">1/(1+Assumptions!$B$5)^G4</f>
        <v>0.606999886535964</v>
      </c>
      <c r="H20" s="25" t="n">
        <f aca="false">1/(1+Assumptions!$B$5)^H4</f>
        <v>0.54932116428594</v>
      </c>
      <c r="I20" s="25" t="n">
        <f aca="false">1/(1+Assumptions!$B$5)^I4</f>
        <v>0.497123225598136</v>
      </c>
      <c r="J20" s="25" t="n">
        <f aca="false">1/(1+Assumptions!$B$5)^J4</f>
        <v>0.449885272034512</v>
      </c>
      <c r="K20" s="25" t="n">
        <f aca="false">1/(1+Assumptions!$B$5)^K4</f>
        <v>0.407135992791414</v>
      </c>
      <c r="L20" s="25" t="n">
        <f aca="false">1/(1+Assumptions!$B$5)^L4</f>
        <v>0.368448862254673</v>
      </c>
    </row>
    <row r="21" customFormat="false" ht="15" hidden="false" customHeight="false" outlineLevel="0" collapsed="false">
      <c r="A21" s="3" t="s">
        <v>102</v>
      </c>
      <c r="C21" s="21" t="n">
        <f aca="false">C19*C20</f>
        <v>140.892464434389</v>
      </c>
      <c r="D21" s="21" t="n">
        <f aca="false">D19*D20</f>
        <v>154.230728412604</v>
      </c>
      <c r="E21" s="21" t="n">
        <f aca="false">E19*E20</f>
        <v>184.912302617497</v>
      </c>
      <c r="F21" s="21" t="n">
        <f aca="false">F19*F20</f>
        <v>212.406060375541</v>
      </c>
      <c r="G21" s="21" t="n">
        <f aca="false">G19*G20</f>
        <v>244.470960846399</v>
      </c>
      <c r="H21" s="21" t="n">
        <f aca="false">H19*H20</f>
        <v>265.382395087059</v>
      </c>
      <c r="I21" s="21" t="n">
        <f aca="false">I19*I20</f>
        <v>282.18946595104</v>
      </c>
      <c r="J21" s="21" t="n">
        <f aca="false">J19*J20</f>
        <v>292.943518800868</v>
      </c>
      <c r="K21" s="21" t="n">
        <f aca="false">K19*K20</f>
        <v>301.013784348828</v>
      </c>
      <c r="L21" s="21" t="n">
        <f aca="false">L19*L20</f>
        <v>300.459579918857</v>
      </c>
    </row>
    <row r="23" customFormat="false" ht="15" hidden="false" customHeight="false" outlineLevel="0" collapsed="false">
      <c r="A23" s="3" t="s">
        <v>103</v>
      </c>
      <c r="C23" s="21" t="n">
        <f aca="false">C19-C10</f>
        <v>337.0067732</v>
      </c>
      <c r="D23" s="21" t="n">
        <f aca="false">D19-D10</f>
        <v>379.25016696</v>
      </c>
      <c r="E23" s="21" t="n">
        <f aca="false">E19-E10</f>
        <v>459.8669376054</v>
      </c>
      <c r="F23" s="21" t="n">
        <f aca="false">F19-F10</f>
        <v>545.062147687512</v>
      </c>
      <c r="G23" s="21" t="n">
        <f aca="false">G19-G10</f>
        <v>644.642945422258</v>
      </c>
      <c r="H23" s="21" t="n">
        <f aca="false">H19-H10</f>
        <v>745.733206823304</v>
      </c>
      <c r="I23" s="21" t="n">
        <f aca="false">I19-I10</f>
        <v>847.076292182924</v>
      </c>
      <c r="J23" s="21" t="n">
        <f aca="false">J19-J10</f>
        <v>944.995773565915</v>
      </c>
      <c r="K23" s="21" t="n">
        <f aca="false">K19-K10</f>
        <v>1044.6160046352</v>
      </c>
      <c r="L23" s="21" t="n">
        <f aca="false">L19-L10</f>
        <v>1128.64417164284</v>
      </c>
    </row>
    <row r="24" customFormat="false" ht="15" hidden="false" customHeight="false" outlineLevel="0" collapsed="false">
      <c r="A24" s="3" t="s">
        <v>104</v>
      </c>
      <c r="C24" s="18" t="n">
        <f aca="false">C19/C6</f>
        <v>0.12879356223176</v>
      </c>
      <c r="D24" s="18" t="n">
        <f aca="false">D19/D6</f>
        <v>0.133153846153846</v>
      </c>
      <c r="E24" s="18" t="n">
        <f aca="false">E19/E6</f>
        <v>0.148239495798319</v>
      </c>
      <c r="F24" s="18" t="n">
        <f aca="false">F19/F6</f>
        <v>0.159457627118644</v>
      </c>
      <c r="G24" s="18" t="n">
        <f aca="false">G19/G6</f>
        <v>0.174827586206897</v>
      </c>
      <c r="H24" s="18" t="n">
        <f aca="false">H19/H6</f>
        <v>0.183955263157895</v>
      </c>
      <c r="I24" s="18" t="n">
        <f aca="false">I19/I6</f>
        <v>0.192985714285714</v>
      </c>
      <c r="J24" s="18" t="n">
        <f aca="false">J19/J6</f>
        <v>0.199437837837838</v>
      </c>
      <c r="K24" s="18" t="n">
        <f aca="false">K19/K6</f>
        <v>0.205863636363636</v>
      </c>
      <c r="L24" s="18" t="n">
        <f aca="false">L19/L6</f>
        <v>0.208312385321101</v>
      </c>
    </row>
    <row r="25" customFormat="false" ht="15" hidden="false" customHeight="false" outlineLevel="0" collapsed="false">
      <c r="A25" s="5" t="s">
        <v>105</v>
      </c>
    </row>
    <row r="26" customFormat="false" ht="15" hidden="false" customHeight="false" outlineLevel="0" collapsed="false">
      <c r="A26" s="3" t="s">
        <v>106</v>
      </c>
      <c r="B26" s="21" t="n">
        <f aca="false">SUM(C21:L21)</f>
        <v>2378.90126079308</v>
      </c>
    </row>
    <row r="27" customFormat="false" ht="15" hidden="false" customHeight="false" outlineLevel="0" collapsed="false">
      <c r="A27" s="3" t="s">
        <v>65</v>
      </c>
      <c r="B27" s="26" t="n">
        <f aca="false">Assumptions!$E$15</f>
        <v>0.035</v>
      </c>
    </row>
    <row r="28" customFormat="false" ht="15" hidden="false" customHeight="false" outlineLevel="0" collapsed="false">
      <c r="A28" s="3" t="s">
        <v>107</v>
      </c>
      <c r="B28" s="21" t="n">
        <f aca="false">L19*(1+B27)</f>
        <v>844.013096724042</v>
      </c>
    </row>
    <row r="29" customFormat="false" ht="15" hidden="false" customHeight="false" outlineLevel="0" collapsed="false">
      <c r="A29" s="3" t="s">
        <v>108</v>
      </c>
      <c r="B29" s="21" t="n">
        <f aca="false">B28/(Assumptions!$B$5-B27)</f>
        <v>12057.3299532006</v>
      </c>
    </row>
    <row r="30" customFormat="false" ht="15" hidden="false" customHeight="false" outlineLevel="0" collapsed="false">
      <c r="A30" s="3" t="s">
        <v>109</v>
      </c>
      <c r="B30" s="23" t="n">
        <f aca="false">Assumptions!$B$12*L19</f>
        <v>16309.4318207544</v>
      </c>
    </row>
    <row r="31" customFormat="false" ht="15" hidden="false" customHeight="false" outlineLevel="0" collapsed="false">
      <c r="A31" s="3" t="s">
        <v>110</v>
      </c>
      <c r="B31" s="21" t="n">
        <f aca="false">MIN(B29,B30)</f>
        <v>12057.3299532006</v>
      </c>
    </row>
    <row r="32" customFormat="false" ht="15" hidden="false" customHeight="false" outlineLevel="0" collapsed="false">
      <c r="A32" s="3" t="s">
        <v>111</v>
      </c>
      <c r="B32" s="27" t="n">
        <f aca="false">B31/L19</f>
        <v>14.7857142857143</v>
      </c>
    </row>
    <row r="33" customFormat="false" ht="15" hidden="false" customHeight="false" outlineLevel="0" collapsed="false">
      <c r="A33" s="3" t="s">
        <v>112</v>
      </c>
      <c r="B33" s="21" t="n">
        <f aca="false">B31*L20</f>
        <v>4442.50950308595</v>
      </c>
    </row>
    <row r="34" customFormat="false" ht="15" hidden="false" customHeight="false" outlineLevel="0" collapsed="false">
      <c r="A34" s="3" t="s">
        <v>113</v>
      </c>
      <c r="B34" s="21" t="n">
        <f aca="false">B26+B33</f>
        <v>6821.41076387903</v>
      </c>
    </row>
    <row r="35" customFormat="false" ht="15" hidden="false" customHeight="false" outlineLevel="0" collapsed="false">
      <c r="A35" s="3" t="s">
        <v>114</v>
      </c>
      <c r="B35" s="23" t="n">
        <f aca="false">Assumptions!$B$9</f>
        <v>1313.9</v>
      </c>
    </row>
    <row r="36" customFormat="false" ht="15" hidden="false" customHeight="false" outlineLevel="0" collapsed="false">
      <c r="A36" s="3" t="s">
        <v>115</v>
      </c>
      <c r="B36" s="21" t="n">
        <f aca="false">B34+B35</f>
        <v>8135.31076387903</v>
      </c>
    </row>
    <row r="37" customFormat="false" ht="15" hidden="false" customHeight="false" outlineLevel="0" collapsed="false">
      <c r="A37" s="3" t="s">
        <v>59</v>
      </c>
      <c r="B37" s="28" t="n">
        <f aca="false">Assumptions!$B$10</f>
        <v>50.7</v>
      </c>
    </row>
    <row r="38" customFormat="false" ht="15" hidden="false" customHeight="false" outlineLevel="0" collapsed="false">
      <c r="A38" s="3" t="s">
        <v>116</v>
      </c>
      <c r="B38" s="29" t="n">
        <f aca="false">B36/B37</f>
        <v>160.459778380257</v>
      </c>
    </row>
    <row r="39" customFormat="false" ht="15" hidden="false" customHeight="false" outlineLevel="0" collapsed="false">
      <c r="A39" s="3" t="s">
        <v>117</v>
      </c>
      <c r="B39" s="18" t="n">
        <f aca="false">B38/Assumptions!$B$11-1</f>
        <v>0.340516110110752</v>
      </c>
    </row>
    <row r="41" customFormat="false" ht="15" hidden="false" customHeight="false" outlineLevel="0" collapsed="false">
      <c r="A41" s="3" t="s">
        <v>118</v>
      </c>
      <c r="B41" s="21" t="n">
        <f aca="false">SUMPRODUCT(-C10:L10/(1+Assumptions!$B$5)^C4:L4)</f>
        <v>1431.44483201069</v>
      </c>
      <c r="C41" s="10" t="s">
        <v>119</v>
      </c>
    </row>
    <row r="42" customFormat="false" ht="15" hidden="false" customHeight="false" outlineLevel="0" collapsed="false">
      <c r="A42" s="3" t="s">
        <v>120</v>
      </c>
      <c r="B42" s="21" t="n">
        <f aca="false">(-L10*(1+B27)/(Assumptions!$B$5-B27))*L20</f>
        <v>1706.09519783976</v>
      </c>
    </row>
    <row r="43" customFormat="false" ht="15" hidden="false" customHeight="false" outlineLevel="0" collapsed="false">
      <c r="A43" s="3" t="s">
        <v>121</v>
      </c>
      <c r="B43" s="30" t="n">
        <f aca="false">(B36+B41+B42)/B37</f>
        <v>222.34419711498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10" t="s">
        <v>125</v>
      </c>
    </row>
    <row r="4" customFormat="false" ht="15" hidden="false" customHeight="false" outlineLevel="0" collapsed="false">
      <c r="B4" s="6" t="s">
        <v>23</v>
      </c>
      <c r="C4" s="6" t="s">
        <v>24</v>
      </c>
      <c r="D4" s="6" t="s">
        <v>25</v>
      </c>
    </row>
    <row r="5" customFormat="false" ht="15" hidden="false" customHeight="false" outlineLevel="0" collapsed="false">
      <c r="A5" s="3" t="s">
        <v>116</v>
      </c>
      <c r="B5" s="8" t="n">
        <f aca="false">DCF_Bear!$B$38</f>
        <v>46.4445515002343</v>
      </c>
      <c r="C5" s="8" t="n">
        <f aca="false">DCF_Base!$B$38</f>
        <v>102.605048357528</v>
      </c>
      <c r="D5" s="8" t="n">
        <f aca="false">DCF_Bull!$B$38</f>
        <v>160.459778380257</v>
      </c>
    </row>
    <row r="6" customFormat="false" ht="15" hidden="false" customHeight="false" outlineLevel="0" collapsed="false">
      <c r="A6" s="3" t="s">
        <v>126</v>
      </c>
      <c r="B6" s="26" t="n">
        <f aca="false">B5/Assumptions!$B$11-1</f>
        <v>-0.611992050958778</v>
      </c>
      <c r="C6" s="26" t="n">
        <f aca="false">C5/Assumptions!$B$11-1</f>
        <v>-0.142814967773369</v>
      </c>
      <c r="D6" s="26" t="n">
        <f aca="false">D5/Assumptions!$B$11-1</f>
        <v>0.340516110110752</v>
      </c>
    </row>
    <row r="7" customFormat="false" ht="15" hidden="false" customHeight="false" outlineLevel="0" collapsed="false">
      <c r="A7" s="3" t="s">
        <v>127</v>
      </c>
      <c r="B7" s="26" t="n">
        <f aca="false">Assumptions!$C$16</f>
        <v>0.15</v>
      </c>
      <c r="C7" s="26" t="n">
        <f aca="false">Assumptions!$D$16</f>
        <v>0.5</v>
      </c>
      <c r="D7" s="26" t="n">
        <f aca="false">Assumptions!$E$16</f>
        <v>0.35</v>
      </c>
    </row>
    <row r="8" customFormat="false" ht="15" hidden="false" customHeight="false" outlineLevel="0" collapsed="false">
      <c r="A8" s="3" t="s">
        <v>128</v>
      </c>
      <c r="B8" s="8" t="n">
        <f aca="false">DCF_Bear!$B$43</f>
        <v>86.3139846502947</v>
      </c>
      <c r="C8" s="8" t="n">
        <f aca="false">DCF_Base!$B$43</f>
        <v>158.509048025646</v>
      </c>
      <c r="D8" s="8" t="n">
        <f aca="false">DCF_Bull!$B$43</f>
        <v>222.34419711498</v>
      </c>
    </row>
    <row r="10" customFormat="false" ht="15" hidden="false" customHeight="false" outlineLevel="0" collapsed="false">
      <c r="A10" s="3" t="s">
        <v>129</v>
      </c>
      <c r="B10" s="29" t="n">
        <f aca="false">SUMPRODUCT(B5:D5,B7:D7)</f>
        <v>114.430129336889</v>
      </c>
    </row>
    <row r="11" customFormat="false" ht="15" hidden="false" customHeight="false" outlineLevel="0" collapsed="false">
      <c r="A11" s="3" t="s">
        <v>130</v>
      </c>
      <c r="B11" s="8" t="n">
        <f aca="false">Assumptions!$B$11</f>
        <v>119.7</v>
      </c>
    </row>
    <row r="12" customFormat="false" ht="15" hidden="false" customHeight="false" outlineLevel="0" collapsed="false">
      <c r="A12" s="3" t="s">
        <v>131</v>
      </c>
      <c r="B12" s="18" t="n">
        <f aca="false">1-B11/B10</f>
        <v>-0.0460531740517067</v>
      </c>
    </row>
    <row r="13" customFormat="false" ht="15" hidden="false" customHeight="false" outlineLevel="0" collapsed="false">
      <c r="A13" s="3" t="s">
        <v>132</v>
      </c>
      <c r="B13" s="30" t="n">
        <f aca="false">SUMPRODUCT(B8:D8,B7:D7)</f>
        <v>170.02209070061</v>
      </c>
    </row>
    <row r="14" customFormat="false" ht="15" hidden="false" customHeight="false" outlineLevel="0" collapsed="false">
      <c r="A14" s="3" t="s">
        <v>133</v>
      </c>
      <c r="B14" s="30" t="n">
        <f aca="false">B10</f>
        <v>114.430129336889</v>
      </c>
      <c r="C14" s="30" t="n">
        <f aca="false">B13</f>
        <v>170.02209070061</v>
      </c>
      <c r="D14" s="10" t="s">
        <v>134</v>
      </c>
      <c r="E14" s="18" t="n">
        <f aca="false">(Assumptions!$B$11-B10)/(B13-B10)</f>
        <v>0.0947955519797533</v>
      </c>
      <c r="G14" s="10" t="s">
        <v>135</v>
      </c>
    </row>
    <row r="17" customFormat="false" ht="15" hidden="false" customHeight="false" outlineLevel="0" collapsed="false">
      <c r="A17" s="5" t="s">
        <v>136</v>
      </c>
    </row>
    <row r="18" customFormat="false" ht="15" hidden="false" customHeight="false" outlineLevel="0" collapsed="false">
      <c r="A18" s="6" t="s">
        <v>137</v>
      </c>
      <c r="B18" s="6" t="s">
        <v>138</v>
      </c>
    </row>
    <row r="19" customFormat="false" ht="15" hidden="false" customHeight="false" outlineLevel="0" collapsed="false">
      <c r="A19" s="22" t="n">
        <v>0.09</v>
      </c>
      <c r="B19" s="30" t="n">
        <f aca="false">(SUMPRODUCT(DCF_Base!$C$19:$L$19/(1+$A19)^DCF_Base!$C$4:$L$4)+MIN(DCF_Base!$L$19*(1+Assumptions!$D$15)/($A19-Assumptions!$D$15),Assumptions!$B$12*DCF_Base!$L$19)/(1+$A19)^10+Assumptions!$B$9)/Assumptions!$B$10</f>
        <v>125.263409411125</v>
      </c>
    </row>
    <row r="20" customFormat="false" ht="15" hidden="false" customHeight="false" outlineLevel="0" collapsed="false">
      <c r="A20" s="22" t="n">
        <v>0.1</v>
      </c>
      <c r="B20" s="30" t="n">
        <f aca="false">(SUMPRODUCT(DCF_Base!$C$19:$L$19/(1+$A20)^DCF_Base!$C$4:$L$4)+MIN(DCF_Base!$L$19*(1+Assumptions!$D$15)/($A20-Assumptions!$D$15),Assumptions!$B$12*DCF_Base!$L$19)/(1+$A20)^10+Assumptions!$B$9)/Assumptions!$B$10</f>
        <v>109.046939093138</v>
      </c>
    </row>
    <row r="21" customFormat="false" ht="15" hidden="false" customHeight="false" outlineLevel="0" collapsed="false">
      <c r="A21" s="22" t="n">
        <v>0.105</v>
      </c>
      <c r="B21" s="30" t="n">
        <f aca="false">(SUMPRODUCT(DCF_Base!$C$19:$L$19/(1+$A21)^DCF_Base!$C$4:$L$4)+MIN(DCF_Base!$L$19*(1+Assumptions!$D$15)/($A21-Assumptions!$D$15),Assumptions!$B$12*DCF_Base!$L$19)/(1+$A21)^10+Assumptions!$B$9)/Assumptions!$B$10</f>
        <v>102.605048357528</v>
      </c>
    </row>
    <row r="22" customFormat="false" ht="15" hidden="false" customHeight="false" outlineLevel="0" collapsed="false">
      <c r="A22" s="22" t="n">
        <v>0.11</v>
      </c>
      <c r="B22" s="30" t="n">
        <f aca="false">(SUMPRODUCT(DCF_Base!$C$19:$L$19/(1+$A22)^DCF_Base!$C$4:$L$4)+MIN(DCF_Base!$L$19*(1+Assumptions!$D$15)/($A22-Assumptions!$D$15),Assumptions!$B$12*DCF_Base!$L$19)/(1+$A22)^10+Assumptions!$B$9)/Assumptions!$B$10</f>
        <v>96.9948936446551</v>
      </c>
    </row>
    <row r="23" customFormat="false" ht="15" hidden="false" customHeight="false" outlineLevel="0" collapsed="false">
      <c r="A23" s="22" t="n">
        <v>0.12</v>
      </c>
      <c r="B23" s="30" t="n">
        <f aca="false">(SUMPRODUCT(DCF_Base!$C$19:$L$19/(1+$A23)^DCF_Base!$C$4:$L$4)+MIN(DCF_Base!$L$19*(1+Assumptions!$D$15)/($A23-Assumptions!$D$15),Assumptions!$B$12*DCF_Base!$L$19)/(1+$A23)^10+Assumptions!$B$9)/Assumptions!$B$10</f>
        <v>87.7117257317447</v>
      </c>
    </row>
    <row r="24" customFormat="false" ht="15" hidden="false" customHeight="false" outlineLevel="0" collapsed="false">
      <c r="A24" s="22" t="n">
        <v>0.15</v>
      </c>
      <c r="B24" s="30" t="n">
        <f aca="false">(SUMPRODUCT(DCF_Base!$C$19:$L$19/(1+$A24)^DCF_Base!$C$4:$L$4)+MIN(DCF_Base!$L$19*(1+Assumptions!$D$15)/($A24-Assumptions!$D$15),Assumptions!$B$12*DCF_Base!$L$19)/(1+$A24)^10+Assumptions!$B$9)/Assumptions!$B$10</f>
        <v>69.5047175482888</v>
      </c>
      <c r="C24" s="10" t="s">
        <v>139</v>
      </c>
    </row>
    <row r="25" customFormat="false" ht="15" hidden="false" customHeight="false" outlineLevel="0" collapsed="false">
      <c r="A25" s="3" t="s">
        <v>140</v>
      </c>
      <c r="B25" s="30" t="n">
        <f aca="false">(SUMPRODUCT(DCF_Bear!$C$19:$L$19/(1+0.15)^DCF_Bear!$C$4:$L$4)+MIN(DCF_Bear!$L$19*(1+Assumptions!$C$15)/(0.15-Assumptions!$C$15),Assumptions!$B$12*DCF_Bear!$L$19)/(1+0.15)^10+Assumptions!$B$9)/Assumptions!$B$10</f>
        <v>40.0855835673744</v>
      </c>
      <c r="C25" s="30" t="n">
        <f aca="false">(SUMPRODUCT(DCF_Base!$C$19:$L$19/(1+0.15)^DCF_Base!$C$4:$L$4)+MIN(DCF_Base!$L$19*(1+Assumptions!$D$15)/(0.15-Assumptions!$D$15),Assumptions!$B$12*DCF_Base!$L$19)/(1+0.15)^10+Assumptions!$B$9)/Assumptions!$B$10</f>
        <v>69.5047175482888</v>
      </c>
      <c r="D25" s="30" t="n">
        <f aca="false">(SUMPRODUCT(DCF_Bull!$C$19:$L$19/(1+0.15)^DCF_Bull!$C$4:$L$4)+MIN(DCF_Bull!$L$19*(1+Assumptions!$E$15)/(0.15-Assumptions!$E$15),Assumptions!$B$12*DCF_Bull!$L$19)/(1+0.15)^10+Assumptions!$B$9)/Assumptions!$B$10</f>
        <v>98.5805065591637</v>
      </c>
      <c r="E25" s="29" t="n">
        <f aca="false">SUMPRODUCT(B25:D25,$B$7:$D$7)</f>
        <v>75.2683736049578</v>
      </c>
      <c r="G25" s="10" t="s">
        <v>141</v>
      </c>
    </row>
    <row r="26" customFormat="false" ht="15" hidden="false" customHeight="false" outlineLevel="0" collapsed="false">
      <c r="A26" s="3" t="s">
        <v>142</v>
      </c>
      <c r="B26" s="30" t="n">
        <f aca="false">B25+(SUMPRODUCT(-DCF_Bear!$C$10:$L$10/(1+0.15)^DCF_Bear!$C$4:$L$4)+(-DCF_Bear!$L$10*(1+Assumptions!$C$15)/(0.15-Assumptions!$C$15))/(1+0.15)^10)/Assumptions!$B$10</f>
        <v>66.7380998791415</v>
      </c>
      <c r="C26" s="30" t="n">
        <f aca="false">C25+(SUMPRODUCT(-DCF_Base!$C$10:$L$10/(1+0.15)^DCF_Base!$C$4:$L$4)+(-DCF_Base!$L$10*(1+Assumptions!$D$15)/(0.15-Assumptions!$D$15))/(1+0.15)^10)/Assumptions!$B$10</f>
        <v>104.014828334448</v>
      </c>
      <c r="D26" s="30" t="n">
        <f aca="false">D25+(SUMPRODUCT(-DCF_Bull!$C$10:$L$10/(1+0.15)^DCF_Bull!$C$4:$L$4)+(-DCF_Bull!$L$10*(1+Assumptions!$E$15)/(0.15-Assumptions!$E$15))/(1+0.15)^10)/Assumptions!$B$10</f>
        <v>135.399990538983</v>
      </c>
      <c r="E26" s="30" t="n">
        <f aca="false">SUMPRODUCT(B26:D26,$B$7:$D$7)</f>
        <v>109.408125837739</v>
      </c>
    </row>
    <row r="28" customFormat="false" ht="15" hidden="false" customHeight="false" outlineLevel="0" collapsed="false">
      <c r="A28" s="5" t="s">
        <v>143</v>
      </c>
    </row>
    <row r="29" customFormat="false" ht="15" hidden="false" customHeight="false" outlineLevel="0" collapsed="false">
      <c r="A29" s="6" t="s">
        <v>144</v>
      </c>
      <c r="B29" s="31" t="n">
        <v>0.02</v>
      </c>
      <c r="C29" s="31" t="n">
        <v>0.025</v>
      </c>
      <c r="D29" s="31" t="n">
        <v>0.03</v>
      </c>
      <c r="E29" s="31" t="n">
        <v>0.035</v>
      </c>
      <c r="F29" s="31" t="n">
        <v>0.04</v>
      </c>
    </row>
    <row r="30" customFormat="false" ht="15" hidden="false" customHeight="false" outlineLevel="0" collapsed="false">
      <c r="A30" s="31" t="n">
        <v>0.095</v>
      </c>
      <c r="B30" s="30" t="n">
        <f aca="false">IF($A30&gt;B$29,(SUMPRODUCT(DCF_Base!$C$19:$L$19/(1+$A30)^DCF_Base!$C$4:$L$4)+MIN(DCF_Base!$L$19*(1+B$29)/($A30-B$29),Assumptions!$B$12*DCF_Base!$L$19)/(1+$A30)^10+Assumptions!$B$9)/Assumptions!$B$10,"n/a")</f>
        <v>108.185295123992</v>
      </c>
      <c r="C30" s="30" t="n">
        <f aca="false">IF($A30&gt;C$29,(SUMPRODUCT(DCF_Base!$C$19:$L$19/(1+$A30)^DCF_Base!$C$4:$L$4)+MIN(DCF_Base!$L$19*(1+C$29)/($A30-C$29),Assumptions!$B$12*DCF_Base!$L$19)/(1+$A30)^10+Assumptions!$B$9)/Assumptions!$B$10,"n/a")</f>
        <v>112.052108027381</v>
      </c>
      <c r="D30" s="30" t="n">
        <f aca="false">IF($A30&gt;D$29,(SUMPRODUCT(DCF_Base!$C$19:$L$19/(1+$A30)^DCF_Base!$C$4:$L$4)+MIN(DCF_Base!$L$19*(1+D$29)/($A30-D$29),Assumptions!$B$12*DCF_Base!$L$19)/(1+$A30)^10+Assumptions!$B$9)/Assumptions!$B$10,"n/a")</f>
        <v>116.513815223598</v>
      </c>
      <c r="E30" s="30" t="n">
        <f aca="false">IF($A30&gt;E$29,(SUMPRODUCT(DCF_Base!$C$19:$L$19/(1+$A30)^DCF_Base!$C$4:$L$4)+MIN(DCF_Base!$L$19*(1+E$29)/($A30-E$29),Assumptions!$B$12*DCF_Base!$L$19)/(1+$A30)^10+Assumptions!$B$9)/Assumptions!$B$10,"n/a")</f>
        <v>121.719140285851</v>
      </c>
      <c r="F30" s="30" t="n">
        <f aca="false">IF($A30&gt;F$29,(SUMPRODUCT(DCF_Base!$C$19:$L$19/(1+$A30)^DCF_Base!$C$4:$L$4)+MIN(DCF_Base!$L$19*(1+F$29)/($A30-F$29),Assumptions!$B$12*DCF_Base!$L$19)/(1+$A30)^10+Assumptions!$B$9)/Assumptions!$B$10,"n/a")</f>
        <v>127.870888086696</v>
      </c>
    </row>
    <row r="31" customFormat="false" ht="15" hidden="false" customHeight="false" outlineLevel="0" collapsed="false">
      <c r="A31" s="31" t="n">
        <v>0.1</v>
      </c>
      <c r="B31" s="30" t="n">
        <f aca="false">IF($A31&gt;B$29,(SUMPRODUCT(DCF_Base!$C$19:$L$19/(1+$A31)^DCF_Base!$C$4:$L$4)+MIN(DCF_Base!$L$19*(1+B$29)/($A31-B$29),Assumptions!$B$12*DCF_Base!$L$19)/(1+$A31)^10+Assumptions!$B$9)/Assumptions!$B$10,"n/a")</f>
        <v>102.087931067265</v>
      </c>
      <c r="C31" s="30" t="n">
        <f aca="false">IF($A31&gt;C$29,(SUMPRODUCT(DCF_Base!$C$19:$L$19/(1+$A31)^DCF_Base!$C$4:$L$4)+MIN(DCF_Base!$L$19*(1+C$29)/($A31-C$29),Assumptions!$B$12*DCF_Base!$L$19)/(1+$A31)^10+Assumptions!$B$9)/Assumptions!$B$10,"n/a")</f>
        <v>105.335468146005</v>
      </c>
      <c r="D31" s="30" t="n">
        <f aca="false">IF($A31&gt;D$29,(SUMPRODUCT(DCF_Base!$C$19:$L$19/(1+$A31)^DCF_Base!$C$4:$L$4)+MIN(DCF_Base!$L$19*(1+D$29)/($A31-D$29),Assumptions!$B$12*DCF_Base!$L$19)/(1+$A31)^10+Assumptions!$B$9)/Assumptions!$B$10,"n/a")</f>
        <v>109.046939093138</v>
      </c>
      <c r="E31" s="30" t="n">
        <f aca="false">IF($A31&gt;E$29,(SUMPRODUCT(DCF_Base!$C$19:$L$19/(1+$A31)^DCF_Base!$C$4:$L$4)+MIN(DCF_Base!$L$19*(1+E$29)/($A31-E$29),Assumptions!$B$12*DCF_Base!$L$19)/(1+$A31)^10+Assumptions!$B$9)/Assumptions!$B$10,"n/a")</f>
        <v>113.329405570598</v>
      </c>
      <c r="F31" s="30" t="n">
        <f aca="false">IF($A31&gt;F$29,(SUMPRODUCT(DCF_Base!$C$19:$L$19/(1+$A31)^DCF_Base!$C$4:$L$4)+MIN(DCF_Base!$L$19*(1+F$29)/($A31-F$29),Assumptions!$B$12*DCF_Base!$L$19)/(1+$A31)^10+Assumptions!$B$9)/Assumptions!$B$10,"n/a")</f>
        <v>118.325616460969</v>
      </c>
    </row>
    <row r="32" customFormat="false" ht="15" hidden="false" customHeight="false" outlineLevel="0" collapsed="false">
      <c r="A32" s="31" t="n">
        <v>0.105</v>
      </c>
      <c r="B32" s="30" t="n">
        <f aca="false">IF($A32&gt;B$29,(SUMPRODUCT(DCF_Base!$C$19:$L$19/(1+$A32)^DCF_Base!$C$4:$L$4)+MIN(DCF_Base!$L$19*(1+B$29)/($A32-B$29),Assumptions!$B$12*DCF_Base!$L$19)/(1+$A32)^10+Assumptions!$B$9)/Assumptions!$B$10,"n/a")</f>
        <v>96.736524972562</v>
      </c>
      <c r="C32" s="30" t="n">
        <f aca="false">IF($A32&gt;C$29,(SUMPRODUCT(DCF_Base!$C$19:$L$19/(1+$A32)^DCF_Base!$C$4:$L$4)+MIN(DCF_Base!$L$19*(1+C$29)/($A32-C$29),Assumptions!$B$12*DCF_Base!$L$19)/(1+$A32)^10+Assumptions!$B$9)/Assumptions!$B$10,"n/a")</f>
        <v>99.4873953092647</v>
      </c>
      <c r="D32" s="29" t="n">
        <f aca="false">IF($A32&gt;D$29,(SUMPRODUCT(DCF_Base!$C$19:$L$19/(1+$A32)^DCF_Base!$C$4:$L$4)+MIN(DCF_Base!$L$19*(1+D$29)/($A32-D$29),Assumptions!$B$12*DCF_Base!$L$19)/(1+$A32)^10+Assumptions!$B$9)/Assumptions!$B$10,"n/a")</f>
        <v>102.605048357528</v>
      </c>
      <c r="E32" s="30" t="n">
        <f aca="false">IF($A32&gt;E$29,(SUMPRODUCT(DCF_Base!$C$19:$L$19/(1+$A32)^DCF_Base!$C$4:$L$4)+MIN(DCF_Base!$L$19*(1+E$29)/($A32-E$29),Assumptions!$B$12*DCF_Base!$L$19)/(1+$A32)^10+Assumptions!$B$9)/Assumptions!$B$10,"n/a")</f>
        <v>106.168080412685</v>
      </c>
      <c r="F32" s="30" t="n">
        <f aca="false">IF($A32&gt;F$29,(SUMPRODUCT(DCF_Base!$C$19:$L$19/(1+$A32)^DCF_Base!$C$4:$L$4)+MIN(DCF_Base!$L$19*(1+F$29)/($A32-F$29),Assumptions!$B$12*DCF_Base!$L$19)/(1+$A32)^10+Assumptions!$B$9)/Assumptions!$B$10,"n/a")</f>
        <v>110.27927124556</v>
      </c>
    </row>
    <row r="33" customFormat="false" ht="15" hidden="false" customHeight="false" outlineLevel="0" collapsed="false">
      <c r="A33" s="31" t="n">
        <v>0.11</v>
      </c>
      <c r="B33" s="30" t="n">
        <f aca="false">IF($A33&gt;B$29,(SUMPRODUCT(DCF_Base!$C$19:$L$19/(1+$A33)^DCF_Base!$C$4:$L$4)+MIN(DCF_Base!$L$19*(1+B$29)/($A33-B$29),Assumptions!$B$12*DCF_Base!$L$19)/(1+$A33)^10+Assumptions!$B$9)/Assumptions!$B$10,"n/a")</f>
        <v>92.0057015528259</v>
      </c>
      <c r="C33" s="30" t="n">
        <f aca="false">IF($A33&gt;C$29,(SUMPRODUCT(DCF_Base!$C$19:$L$19/(1+$A33)^DCF_Base!$C$4:$L$4)+MIN(DCF_Base!$L$19*(1+C$29)/($A33-C$29),Assumptions!$B$12*DCF_Base!$L$19)/(1+$A33)^10+Assumptions!$B$9)/Assumptions!$B$10,"n/a")</f>
        <v>94.3535566548632</v>
      </c>
      <c r="D33" s="30" t="n">
        <f aca="false">IF($A33&gt;D$29,(SUMPRODUCT(DCF_Base!$C$19:$L$19/(1+$A33)^DCF_Base!$C$4:$L$4)+MIN(DCF_Base!$L$19*(1+D$29)/($A33-D$29),Assumptions!$B$12*DCF_Base!$L$19)/(1+$A33)^10+Assumptions!$B$9)/Assumptions!$B$10,"n/a")</f>
        <v>96.9948936446551</v>
      </c>
      <c r="E33" s="30" t="n">
        <f aca="false">IF($A33&gt;E$29,(SUMPRODUCT(DCF_Base!$C$19:$L$19/(1+$A33)^DCF_Base!$C$4:$L$4)+MIN(DCF_Base!$L$19*(1+E$29)/($A33-E$29),Assumptions!$B$12*DCF_Base!$L$19)/(1+$A33)^10+Assumptions!$B$9)/Assumptions!$B$10,"n/a")</f>
        <v>99.9884088997527</v>
      </c>
      <c r="F33" s="30" t="n">
        <f aca="false">IF($A33&gt;F$29,(SUMPRODUCT(DCF_Base!$C$19:$L$19/(1+$A33)^DCF_Base!$C$4:$L$4)+MIN(DCF_Base!$L$19*(1+F$29)/($A33-F$29),Assumptions!$B$12*DCF_Base!$L$19)/(1+$A33)^10+Assumptions!$B$9)/Assumptions!$B$10,"n/a")</f>
        <v>103.409569191293</v>
      </c>
    </row>
    <row r="34" customFormat="false" ht="15" hidden="false" customHeight="false" outlineLevel="0" collapsed="false">
      <c r="A34" s="31" t="n">
        <v>0.115</v>
      </c>
      <c r="B34" s="30" t="n">
        <f aca="false">IF($A34&gt;B$29,(SUMPRODUCT(DCF_Base!$C$19:$L$19/(1+$A34)^DCF_Base!$C$4:$L$4)+MIN(DCF_Base!$L$19*(1+B$29)/($A34-B$29),Assumptions!$B$12*DCF_Base!$L$19)/(1+$A34)^10+Assumptions!$B$9)/Assumptions!$B$10,"n/a")</f>
        <v>87.7965249048799</v>
      </c>
      <c r="C34" s="30" t="n">
        <f aca="false">IF($A34&gt;C$29,(SUMPRODUCT(DCF_Base!$C$19:$L$19/(1+$A34)^DCF_Base!$C$4:$L$4)+MIN(DCF_Base!$L$19*(1+C$29)/($A34-C$29),Assumptions!$B$12*DCF_Base!$L$19)/(1+$A34)^10+Assumptions!$B$9)/Assumptions!$B$10,"n/a")</f>
        <v>89.8139601971696</v>
      </c>
      <c r="D34" s="30" t="n">
        <f aca="false">IF($A34&gt;D$29,(SUMPRODUCT(DCF_Base!$C$19:$L$19/(1+$A34)^DCF_Base!$C$4:$L$4)+MIN(DCF_Base!$L$19*(1+D$29)/($A34-D$29),Assumptions!$B$12*DCF_Base!$L$19)/(1+$A34)^10+Assumptions!$B$9)/Assumptions!$B$10,"n/a")</f>
        <v>92.0687408179641</v>
      </c>
      <c r="E34" s="30" t="n">
        <f aca="false">IF($A34&gt;E$29,(SUMPRODUCT(DCF_Base!$C$19:$L$19/(1+$A34)^DCF_Base!$C$4:$L$4)+MIN(DCF_Base!$L$19*(1+E$29)/($A34-E$29),Assumptions!$B$12*DCF_Base!$L$19)/(1+$A34)^10+Assumptions!$B$9)/Assumptions!$B$10,"n/a")</f>
        <v>94.6053690163578</v>
      </c>
      <c r="F34" s="30" t="n">
        <f aca="false">IF($A34&gt;F$29,(SUMPRODUCT(DCF_Base!$C$19:$L$19/(1+$A34)^DCF_Base!$C$4:$L$4)+MIN(DCF_Base!$L$19*(1+F$29)/($A34-F$29),Assumptions!$B$12*DCF_Base!$L$19)/(1+$A34)^10+Assumptions!$B$9)/Assumptions!$B$10,"n/a")</f>
        <v>97.4802143078707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2026-08-05T23:27:10Z</dcterms:created>
  <dc:creator>openpyxl</dc:creator>
  <dc:description/>
  <dc:language>en-US</dc:language>
  <cp:lastModifiedBy/>
  <dcterms:modified xsi:type="dcterms:W3CDTF">2026-08-05T23:27:10Z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