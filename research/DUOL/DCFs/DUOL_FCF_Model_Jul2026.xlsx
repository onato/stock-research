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" sheetId="2" state="visible" r:id="rId4"/>
    <sheet name="Quarterly_Data" sheetId="3" state="visible" r:id="rId5"/>
    <sheet name="FCF_Quality" sheetId="4" state="visible" r:id="rId6"/>
    <sheet name="Assumptions" sheetId="5" state="visible" r:id="rId7"/>
    <sheet name="DCF_Bear" sheetId="6" state="visible" r:id="rId8"/>
    <sheet name="DCF_Base" sheetId="7" state="visible" r:id="rId9"/>
    <sheet name="DCF_Bull" sheetId="8" state="visible" r:id="rId10"/>
    <sheet name="Valuation" sheetId="9" state="visible" r:id="rId11"/>
    <sheet name="Model_Inf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<sst xmlns="http://schemas.openxmlformats.org/spreadsheetml/2006/main" count="381" uniqueCount="254">
  <si>
    <t xml:space="preserve">Duolingo (NASDAQ: DUOL) — Owner-FCF DCF Model</t>
  </si>
  <si>
    <t xml:space="preserve">Prepared 29-Jul-26 · Q2 2026 results due 5-Aug-26 · Analysis, not investment advice</t>
  </si>
  <si>
    <t xml:space="preserve">Snapshot</t>
  </si>
  <si>
    <t xml:space="preserve">Valuation (owner-FCF basis)</t>
  </si>
  <si>
    <t xml:space="preserve">Share price (29-Jul-26)</t>
  </si>
  <si>
    <t xml:space="preserve">Bear (25%)</t>
  </si>
  <si>
    <t xml:space="preserve">52-week range</t>
  </si>
  <si>
    <t xml:space="preserve">$87.89 – $468.00</t>
  </si>
  <si>
    <t xml:space="preserve">Base (50%)</t>
  </si>
  <si>
    <t xml:space="preserve">All-time high (14-May-25)</t>
  </si>
  <si>
    <t xml:space="preserve">Bull (25%)</t>
  </si>
  <si>
    <t xml:space="preserve">Fully diluted shares (mm)</t>
  </si>
  <si>
    <t xml:space="preserve">Probability-weighted</t>
  </si>
  <si>
    <t xml:space="preserve">Market cap (diluted, $mm)</t>
  </si>
  <si>
    <t xml:space="preserve">Upside / (downside)</t>
  </si>
  <si>
    <t xml:space="preserve">Net cash ($mm)</t>
  </si>
  <si>
    <t xml:space="preserve">Weighted value, SBC as non-cash</t>
  </si>
  <si>
    <t xml:space="preserve">Enterprise value ($mm)</t>
  </si>
  <si>
    <t xml:space="preserve">15% required-return entry price</t>
  </si>
  <si>
    <t xml:space="preserve">EV / FY26E Adj EBITDA</t>
  </si>
  <si>
    <t xml:space="preserve">EV / FY26E reported FCF</t>
  </si>
  <si>
    <t xml:space="preserve">EV / FY26E owner FCF</t>
  </si>
  <si>
    <t xml:space="preserve">The setup</t>
  </si>
  <si>
    <t xml:space="preserve">• Down ~75% from the May-25 high. The Feb-26 pivot deliberately trades ~$50mm of bookings (~5pts of growth) for free-user experience to chase 100M DAUs by 2028; FY26 guide: bookings +10.5%, revenue +16.1%, EBITDA margin ~25.7% (from 29.5%), gross margin easing to ~69% on AI compute.</t>
  </si>
  <si>
    <t xml:space="preserve">• Q1-26 delivered: revenue +27%, DAUs +21% (56.5M), EBITDA margin 28.6%, FCF $148mm, buybacks running ahead of dilution. Q2 guide implies the bookings trough (+6%); management expects H2 reacceleration — that claim gets tested 5-Aug.</t>
  </si>
  <si>
    <t xml:space="preserve">• FCF quality is the crux: 2025 reported FCF $360mm becomes ~$167mm owner FCF after expensing $149mm SBC and removing $45mm interest income; the deferred-revenue tailwind (+$123mm in 2025) also fades as bookings growth slows.</t>
  </si>
  <si>
    <t xml:space="preserve">• At ~$133 the market roughly prices the BASE case with SBC treated as non-cash (~$160), or something between base and bull on strict owner FCF. On this model's conservative treatment, the weighted value sits below the price — the margin of safety appeared at the ~$88 lows, not here.</t>
  </si>
  <si>
    <t xml:space="preserve">• Watch: 5-Aug Q2 print (bookings vs +6% guide, H2 commentary, DAU trajectory), buyback pace vs $400mm authorization, Max/Video-Call-in-Super monetization data, Chess/Math traction, and any evidence on the AI-substitution bear case.</t>
  </si>
  <si>
    <t xml:space="preserve">Provenance, data vintage, and update instructions: see the Model_Info tab.</t>
  </si>
  <si>
    <t xml:space="preserve">DUOL — Historical Financials ($mm)</t>
  </si>
  <si>
    <t xml:space="preserve">Source: Q4/FY2025 shareholder letter (8-K, 26-Feb-26) and Q1 2026 shareholder letter. Blue = reported figures.</t>
  </si>
  <si>
    <t xml:space="preserve">FY2023</t>
  </si>
  <si>
    <t xml:space="preserve">FY2024</t>
  </si>
  <si>
    <t xml:space="preserve">FY2025</t>
  </si>
  <si>
    <t xml:space="preserve">Q1 2025</t>
  </si>
  <si>
    <t xml:space="preserve">Q1 2026</t>
  </si>
  <si>
    <t xml:space="preserve">FY2026 Guide</t>
  </si>
  <si>
    <t xml:space="preserve">Total bookings</t>
  </si>
  <si>
    <t xml:space="preserve">  Subscription bookings</t>
  </si>
  <si>
    <t xml:space="preserve">  Bookings growth YoY</t>
  </si>
  <si>
    <t xml:space="preserve">Revenue</t>
  </si>
  <si>
    <t xml:space="preserve">  Revenue growth YoY</t>
  </si>
  <si>
    <t xml:space="preserve">Gross profit</t>
  </si>
  <si>
    <t xml:space="preserve">  Gross margin</t>
  </si>
  <si>
    <t xml:space="preserve">R&amp;D</t>
  </si>
  <si>
    <t xml:space="preserve">S&amp;M</t>
  </si>
  <si>
    <t xml:space="preserve">G&amp;A</t>
  </si>
  <si>
    <t xml:space="preserve">Operating income (GAAP)</t>
  </si>
  <si>
    <t xml:space="preserve">Interest income</t>
  </si>
  <si>
    <t xml:space="preserve">Net income (GAAP)</t>
  </si>
  <si>
    <t xml:space="preserve">  2025 ex one-time $256.7mm tax benefit</t>
  </si>
  <si>
    <t xml:space="preserve">Adjusted EBITDA</t>
  </si>
  <si>
    <t xml:space="preserve">  Adj EBITDA margin</t>
  </si>
  <si>
    <t xml:space="preserve">SBC (incl. taxes paid on equity awards)</t>
  </si>
  <si>
    <t xml:space="preserve">  SBC % of revenue</t>
  </si>
  <si>
    <t xml:space="preserve">D&amp;A</t>
  </si>
  <si>
    <t xml:space="preserve">Operating cash flow</t>
  </si>
  <si>
    <t xml:space="preserve">Capex + capitalized software</t>
  </si>
  <si>
    <t xml:space="preserve">Free cash flow (company definition)</t>
  </si>
  <si>
    <t xml:space="preserve">  FCF margin</t>
  </si>
  <si>
    <t xml:space="preserve">Deferred revenue (balance)</t>
  </si>
  <si>
    <t xml:space="preserve">  YoY increase (cash tailwind)</t>
  </si>
  <si>
    <t xml:space="preserve">Cash + short-term investments</t>
  </si>
  <si>
    <t xml:space="preserve">Operating metrics</t>
  </si>
  <si>
    <t xml:space="preserve">DAUs, quarter avg (mm)</t>
  </si>
  <si>
    <t xml:space="preserve">  DAU growth YoY</t>
  </si>
  <si>
    <t xml:space="preserve">MAUs (mm)</t>
  </si>
  <si>
    <t xml:space="preserve">Paid subscribers, period end (mm)</t>
  </si>
  <si>
    <t xml:space="preserve">FY23 bookings derived from reported +40% FY24 growth; FY24/FY25 DAU rows are Q4 quarter averages. FY26 guide: revenue/bookings/EBITDA at May-26 point estimates; FCF shown at the '&gt;$350mm' guide.</t>
  </si>
  <si>
    <t xml:space="preserve">Guidance detail: Q2-26 rev $295.5mm, bookings $283.5mm (+6%), Adj EBITDA $71.0mm (24.0%). Gross margin ~71% Q1-26 easing to ~69% (AI feature costs). Q2 2026 results due 5-Aug-26.</t>
  </si>
  <si>
    <t xml:space="preserve">DUOL — Quarterly Metrics (source: Stephen's DUOL_Metrics.csv, uploaded 29-Jul-26)</t>
  </si>
  <si>
    <t xml:space="preserve">Blue = as supplied. Derived columns W-Z are formulas. FY rows shaded. See discrepancy notes below — the DCF &amp; Historical tabs retain 8-K figures where the two differ.</t>
  </si>
  <si>
    <t xml:space="preserve">Period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</si>
  <si>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</si>
  <si>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</si>
  <si>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</si>
  <si>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</si>
  <si>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</si>
  <si>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</si>
  <si>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</si>
  <si>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EPSDiluted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</si>
  <si>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</si>
  <si>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</si>
  <si>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</si>
  <si>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</si>
  <si>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TotalDebt</t>
  </si>
  <si>
    <t xml:space="preserve">CashAndEquivalents</t>
  </si>
  <si>
    <t xml:space="preserve">SharesOutstanding</t>
  </si>
  <si>
    <t xml:space="preserve">DAU</t>
  </si>
  <si>
    <t xml:space="preserve">MAU</t>
  </si>
  <si>
    <t xml:space="preserve">Bookings</t>
  </si>
  <si>
    <t xml:space="preserve">Subscribers</t>
  </si>
  <si>
    <t xml:space="preserve">SubscriptionBookings</t>
  </si>
  <si>
    <t xml:space="preserve">DAU/MAU</t>
  </si>
  <si>
    <t xml:space="preserve">Subs/MAU</t>
  </si>
  <si>
    <t xml:space="preserve">Bookings per DAU (annualized)</t>
  </si>
  <si>
    <t xml:space="preserve">Sub bookings per subscriber (annualized)</t>
  </si>
  <si>
    <t xml:space="preserve">Q1 2022</t>
  </si>
  <si>
    <t xml:space="preserve">Q2 2022</t>
  </si>
  <si>
    <t xml:space="preserve">Q3 2022</t>
  </si>
  <si>
    <t xml:space="preserve">Q4 2022</t>
  </si>
  <si>
    <t xml:space="preserve">FY2022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</si>
  <si>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</si>
  <si>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</si>
  <si>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</si>
  <si>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</si>
  <si>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</si>
  <si>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</si>
  <si>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</si>
  <si>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</si>
  <si>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Q2 2025</t>
  </si>
  <si>
    <t xml:space="preserve">Q3 2025</t>
  </si>
  <si>
    <t xml:space="preserve">Q4 2025</t>
  </si>
  <si>
    <t xml:space="preserve">Scenario cross-check: 2028E total bookings ($mm) = FY25 bookings x (1+DAU CAGR)^3 x (1+bookings-per-DAU drift)^3</t>
  </si>
  <si>
    <t xml:space="preserve">DAU CAGR \ per-DAU drift</t>
  </si>
  <si>
    <t xml:space="preserve">Compare with the DCF tabs' 2028 revenue paths: Bear ~$1,341mm / Base ~$1,538mm / Bull ~$1,683mm (bookings run ~5% above revenue while growing). Management's 100M-DAU-by-2028 goal = ~24% DAU CAGR; with the observed -5 to -6%/yr per-DAU drift that implies ~17-18% bookings growth — i.e., the bull case requires the target to be roughly hit. Base ~ mid-teens DAU growth with drift persisting; bear = DAU fading to low-teens.</t>
  </si>
  <si>
    <t xml:space="preserve">Data quality notes</t>
  </si>
  <si>
    <t xml:space="preserve">• FY2024 rows diverge from the 8-K: bookings $898.3 vs $870.6 reported (sub bookings $752.7 vs $730.7); OCF $207.6 vs $285.5; FCF $218.0 vs $264.4 recast; 'EBITDA' $215.3 vs $191.9 company Adj EBITDA. Q1-2024 OCF of $29.6 appears to be the Q1-2023 figure (Q1-2024 reported: $83.5).</t>
  </si>
  <si>
    <t xml:space="preserve">• The EBITDA column mixes definitions: 2023/2025/Q1-26 rows match company Adjusted EBITDA; 2024 rows follow a vendor calculation. FCF pre-2025 uses the old company definition (adds back equity-award taxes); 2025 onward uses the recast definition.</t>
  </si>
  <si>
    <t xml:space="preserve">• 2025 and Q1-2026 rows tie to the shareholder letters exactly. User-metric columns (DAU/MAU/subscribers) have no 8-K conflict and are the primary value of this data set.</t>
  </si>
  <si>
    <t xml:space="preserve">DUOL — FCF Quality: Reported FCF vs Owner FCF</t>
  </si>
  <si>
    <t xml:space="preserve">Headline FCF is flattered by SBC, interest on the cash pile, and the deferred-revenue tailwind. Owner FCF strips these out.</t>
  </si>
  <si>
    <t xml:space="preserve">FY2026E</t>
  </si>
  <si>
    <t xml:space="preserve">Free cash flow, company definition</t>
  </si>
  <si>
    <t xml:space="preserve">  less: SBC incl. equity-award taxes</t>
  </si>
  <si>
    <t xml:space="preserve">  less: interest income (belongs to the cash pile)</t>
  </si>
  <si>
    <t xml:space="preserve">Owner FCF</t>
  </si>
  <si>
    <t xml:space="preserve">  Reported FCF margin</t>
  </si>
  <si>
    <t xml:space="preserve">  Owner FCF margin</t>
  </si>
  <si>
    <t xml:space="preserve">Memo: deferred revenue increase inside OCF</t>
  </si>
  <si>
    <t xml:space="preserve">  = 34% of 2025 reported FCF. This cash is real but is a function of bookings growing faster than revenue; it fades as growth slows (2026 bookings-revenue gap narrows to ~$75mm).</t>
  </si>
  <si>
    <t xml:space="preserve">Memo: GAAP net income</t>
  </si>
  <si>
    <t xml:space="preserve">  ex one-time $256.7mm tax benefit (VA release)</t>
  </si>
  <si>
    <t xml:space="preserve">What you pay at the current price</t>
  </si>
  <si>
    <t xml:space="preserve">Market cap (diluted)</t>
  </si>
  <si>
    <t xml:space="preserve">less: net cash</t>
  </si>
  <si>
    <t xml:space="preserve">Enterprise value</t>
  </si>
  <si>
    <t xml:space="preserve">EV / FY26E Adj EBITDA (~$310mm)</t>
  </si>
  <si>
    <t xml:space="preserve">EV / FY26E reported FCF (&gt;$350mm)</t>
  </si>
  <si>
    <t xml:space="preserve">The multiple you quote depends entirely on SBC treatment: the same EV is ~16x headline FCF but ~40x+ owner FCF. The DCF sheets expense SBC in full and hold the share count flat; each sheet also shows the per-share value if you instead treat SBC as non-cash (market convention).</t>
  </si>
  <si>
    <t xml:space="preserve">DUOL — Global Assumptions &amp; Scenario Parameters</t>
  </si>
  <si>
    <t xml:space="preserve">Blue = hardcoded input (edit these). Yellow = key levers. All $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</si>
  <si>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</si>
  <si>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</si>
  <si>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</si>
  <si>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</si>
  <si>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increase)</t>
  </si>
  <si>
    <t xml:space="preserve">Net cash: cash + ST investments, Dec-31-25 ($mm)</t>
  </si>
  <si>
    <t xml:space="preserve">Current share price (29-Jul-26, user-supplied)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</si>
  <si>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</si>
  <si>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</si>
  <si>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</si>
  <si>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</si>
  <si>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</si>
  <si>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</si>
  <si>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</si>
  <si>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</si>
  <si>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</si>
  <si>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AI erosion is real: LLM assistants absorb casual language practice; the 2026 user-growth pivot fails to reignite bookings. Revenue growth fades to ~1-2% by 2034-35; EBITDA margin stuck ~23-24% on AI compute costs; SBC stays heavy (~13-15% of revenue).</t>
  </si>
  <si>
    <t xml:space="preserve">Pivot partially works: ~20% DAU growth compounds, monetization levers re-engage from 2027-28 (Video Call in Super, Max repricing, ads). Revenue ~10% CAGR to 2035; EBITDA margin recovers from 25.5% to 32%; SBC fades to 10% of revenue.</t>
  </si>
  <si>
    <t xml:space="preserve">100M DAU by 2028 achieved; management's stated ~20% bookings capability returns 2027-29; Chess/Math/Music add second engines; AI content leverage lifts EBITDA margin to 35%; SBC disciplined to 8%.</t>
  </si>
  <si>
    <t xml:space="preserve">Sources &amp; notes</t>
  </si>
  <si>
    <t xml:space="preserve">• FY24/FY25 financials: Duolingo Q4/FY2025 shareholder letter (8-K filed 26-Feb-26, SEC EDGAR). Q1-26: Q1 2026 shareholder letter (May-26).</t>
  </si>
  <si>
    <t xml:space="preserve">• FY26 guidance (May-26 reiteration): revenue ~$1,205mm (+16.1%), bookings ~$1,280mm (+10.5%), Adj EBITDA ~$310mm (25.7%), FCF &gt;$350mm, SBC ~15% of revenue, effective tax BENEFIT ~6%.</t>
  </si>
  <si>
    <t xml:space="preserve">• Net cash = $1,036.4mm cash + $104.1mm ST investments at 31-Dec-25; no debt. Q1-26 ended with ~$1.1bn cash after $50.6mm of buybacks ($400mm authorization outstanding).</t>
  </si>
  <si>
    <t xml:space="preserve">• Diluted shares held flat at 49.8mm: SBC is fully expensed in owner FCF, and the $400mm buyback has so far more than offset grant dilution (mgmt: 3-yr avg net dilution &lt;2%/yr). Do not also grow the share count — that would double-count.</t>
  </si>
  <si>
    <t xml:space="preserve">• Cash tax path: 2026 is a guided ~6% benefit; DTAs (valuation allowance released 2025, one-time $256.7mm GAAP benefit) shelter near-term cash taxes, ramping to a 21% normalized rate by 2029-30.</t>
  </si>
  <si>
    <t xml:space="preserve">• Working capital: deferred revenue grows while bookings &gt; revenue (deferred rev +$123.3mm in 2025). Modeled as 18% of the YoY revenue increase — this tailwind fades as growth slows.</t>
  </si>
  <si>
    <t xml:space="preserve">• Interest income (~$45mm/yr) is EXCLUDED from FCF because the cash generating it is added separately as net cash.</t>
  </si>
  <si>
    <t xml:space="preserve">DUOL DCF — Bear — AI erosion / pivot fails</t>
  </si>
  <si>
    <t xml:space="preserve">Owner-FCF basis: SBC fully expensed, interest income excluded, share count flat. Blue rows = per-year drivers (edit).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</si>
  <si>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</si>
  <si>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</si>
  <si>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</si>
  <si>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</si>
  <si>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</si>
  <si>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</si>
  <si>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</si>
  <si>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</si>
  <si>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</si>
  <si>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</si>
  <si>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</si>
  <si>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index (for discounting)</t>
  </si>
  <si>
    <t xml:space="preserve">Revenue growth YoY</t>
  </si>
  <si>
    <t xml:space="preserve">Adj EBITDA margin</t>
  </si>
  <si>
    <t xml:space="preserve">SBC (% of revenue)</t>
  </si>
  <si>
    <t xml:space="preserve">SBC (incl. equity-award taxes)</t>
  </si>
  <si>
    <t xml:space="preserve">EBITDA less SBC ('owner EBITDA')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</si>
  <si>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</si>
  <si>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</si>
  <si>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</si>
  <si>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</si>
  <si>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</si>
  <si>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 (deferred-rev tailwind)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</si>
  <si>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</si>
  <si>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</si>
  <si>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</si>
  <si>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</si>
  <si>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</si>
  <si>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</si>
  <si>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2026-2035</t>
  </si>
  <si>
    <t xml:space="preserve">Terminal-year owner FCF x (1+g)</t>
  </si>
  <si>
    <t xml:space="preserve">Terminal value — Gordon</t>
  </si>
  <si>
    <t xml:space="preserve">Terminal value — cap (20x terminal FCF)</t>
  </si>
  <si>
    <t xml:space="preserve">Terminal value used (lower of the two)</t>
  </si>
  <si>
    <t xml:space="preserve">Implied exit multiple</t>
  </si>
  <si>
    <t xml:space="preserve">PV of terminal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</si>
  <si>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</si>
  <si>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</si>
  <si>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</si>
  <si>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</si>
  <si>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 (market convention)</t>
  </si>
  <si>
    <t xml:space="preserve">PV of 2026-35 SBC</t>
  </si>
  <si>
    <t xml:space="preserve">  plus PV of terminal SBC</t>
  </si>
  <si>
    <t xml:space="preserve">  Value per share, SBC as non-cash</t>
  </si>
  <si>
    <t xml:space="preserve">DUOL DCF — Base — pivot partially works</t>
  </si>
  <si>
    <t xml:space="preserve">DUOL DCF — Bull — 100M DAUs by 2028, monetization returns</t>
  </si>
  <si>
    <t xml:space="preserve">DUOL — Valuation Summary &amp; Sensitivity</t>
  </si>
  <si>
    <t xml:space="preserve">All per-share values on the owner-FCF basis (SBC expensed). Green = links to scenario sheets.</t>
  </si>
  <si>
    <t xml:space="preserve">Upside / (downside) vs price</t>
  </si>
  <si>
    <t xml:space="preserve">Probability</t>
  </si>
  <si>
    <t xml:space="preserve">Value per share, SBC as non-cash</t>
  </si>
  <si>
    <t xml:space="preserve">Probability-weighted value per share</t>
  </si>
  <si>
    <t xml:space="preserve">Current price</t>
  </si>
  <si>
    <t xml:space="preserve">Margin of safety vs weighted value</t>
  </si>
  <si>
    <t xml:space="preserve">Base case — value per share at different required returns</t>
  </si>
  <si>
    <t xml:space="preserve">Required return</t>
  </si>
  <si>
    <t xml:space="preserve">Value / share</t>
  </si>
  <si>
    <t xml:space="preserve">Base case — value per share: WACC x terminal growth</t>
  </si>
  <si>
    <t xml:space="preserve">WACC \ g</t>
  </si>
  <si>
    <t xml:space="preserve">Base case — value per share: 2035 owner-FCF margin x WACC (terminal g = 3.0%)</t>
  </si>
  <si>
    <t xml:space="preserve">FCF mgn \ WACC</t>
  </si>
  <si>
    <t xml:space="preserve">Base case reaches a ~16% owner-FCF margin by 2035 (see DCF_Base row 24). The 2026 starting point is ~11%.</t>
  </si>
  <si>
    <t xml:space="preserve">Model Provenance &amp; Maintenance Notes</t>
  </si>
  <si>
    <t xml:space="preserve">Embedded so that a future session (human or AI) can pick this file up with full context.</t>
  </si>
  <si>
    <t xml:space="preserve">Who built this</t>
  </si>
  <si>
    <t xml:space="preserve">• Prepared by Claude Fable 5, an AI assistant made by Anthropic, via the claude.ai chat interface, on 29 July 2026, at Stephen's request.</t>
  </si>
  <si>
    <t xml:space="preserve">• Built programmatically in Python (openpyxl); all ~650 formulas recalculated in LibreOffice and verified error-free. Key outputs were cross-checked against independent hand calculations before delivery.</t>
  </si>
  <si>
    <t xml:space="preserve">• File version 1.3 (v1.0 initial build 29-Jul-26; v1.1 adds this tab; v1.2 refreshes the share price to $140.00 user-supplied; v1.3 adds the Quarterly_Data tab from Stephen's DUOL_Metrics.csv upload — includes a DAU-monetization decomposition and notes where the CSV's 2024 figures diverge from the 8-K).</t>
  </si>
  <si>
    <t xml:space="preserve">Data vintage — check before reusing</t>
  </si>
  <si>
    <t xml:space="preserve">• Share price $140.00 as of 29-Jul-26 (user-supplied; the original build used the $132.82 close of 27-Jul-26). FY2024/FY2025 financials: Duolingo Q4/FY2025 shareholder letter, 8-K filed 26-Feb-26 (SEC EDGAR). Q1-2026 actuals and FY26 guidance: Q1 2026 shareholder letter and earnings call (May-26).</t>
  </si>
  <si>
    <t xml:space="preserve">• FY26 guidance used: revenue ~$1,205mm (+16.1%), bookings ~$1,280mm (+10.5%), Adj EBITDA ~$310mm (25.7%), FCF &gt;$350mm, SBC ~15% of revenue, ~6% effective tax benefit.</t>
  </si>
  <si>
    <t xml:space="preserve">• All figures were sourced by live web search on 29-Jul-26. IMPORTANT: Q2 2026 results are due 5-Aug-26 and will partially supersede this file.</t>
  </si>
  <si>
    <t xml:space="preserve">Methodology choices (so you don't have to reverse-engineer them)</t>
  </si>
  <si>
    <t xml:space="preserve">• Owner-FCF basis: SBC (incl. equity-award taxes) fully expensed; interest income excluded (the cash pile is added separately); diluted shares held FLAT at 49.8mm because the $400mm buyback offsets grant dilution — do not also grow the share count, that double-counts.</t>
  </si>
  <si>
    <t xml:space="preserve">• Revenue-driven model (not bookings-driven); the deferred-revenue cash tailwind is captured as 18% of the YoY revenue increase and fades naturally as growth slows.</t>
  </si>
  <si>
    <t xml:space="preserve">• Cash tax ramp: -6% guided benefit in 2026 (post valuation-allowance release), normalizing to 21% by 2029-30. Terminal value = Gordon growth, capped at 20x terminal owner FCF. End-of-year discounting (slightly conservative vs mid-year).</t>
  </si>
  <si>
    <t xml:space="preserve">• Three scenarios weighted 25/50/25. Each DCF tab also shows the per-share value if SBC is instead treated as non-cash (market convention) — the single biggest swing factor in the valuation.</t>
  </si>
  <si>
    <t xml:space="preserve">How to update after the Q2 print (5-Aug-26)</t>
  </si>
  <si>
    <t xml:space="preserve">• Refresh: share price (Assumptions B11), net cash (B9), diluted shares (B10, check buyback pace vs the $400mm authorization), and Historical with Q2 actuals / any guidance change.</t>
  </si>
  <si>
    <t xml:space="preserve">• Reassess the blue driver rows (5, 7, 9, 14) on each DCF tab — especially 2026-27 revenue growth — against: Q2 bookings vs the +6% guide, H2 reacceleration language, DAU trajectory, Video-Call-in-Super and Max monetization data, and Chess/Math traction.</t>
  </si>
  <si>
    <t xml:space="preserve">• Cell conventions throughout: blue = hardcoded inputs (edit these), black = formulas, green = cross-sheet links, yellow = key levers.</t>
  </si>
  <si>
    <t xml:space="preserve">Note to future readers, including future Claude sessions</t>
  </si>
  <si>
    <t xml:space="preserve">• If this workbook is re-uploaded to a later conversation: treat everything above as a snapshot dated 29-Jul-26. Verify the price, latest quarter, guidance, and share count before drawing conclusions. The scenario drivers reflect judgment calls made with Stephen's value-investing framework (owner earnings, margin of safety, probability-weighted scenarios) — they are inputs to challenge, not facts.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</si>
</sst>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"/>
    <numFmt numFmtId="166" formatCode="#,##0.0"/>
    <numFmt numFmtId="167" formatCode="\$#,##0;&quot;($&quot;#,##0\);\-"/>
    <numFmt numFmtId="168" formatCode="0.0%;\(0.0%\);\-"/>
    <numFmt numFmtId="169" formatCode="0.0\x"/>
    <numFmt numFmtId="170" formatCode="\$#,##0.0;&quot;($&quot;#,##0.0\);\-"/>
    <numFmt numFmtId="171" formatCode="\$#,##0.0;&quot;($&quot;#,##0.0\);\-"/>
    <numFmt numFmtId="172" formatCode="0.0%"/>
    <numFmt numFmtId="173" formatCode="\$#,##0.0"/>
    <numFmt numFmtId="174" formatCode="\$0.00"/>
    <numFmt numFmtId="175" formatCode="\$#,##0"/>
    <numFmt numFmtId="176" formatCode="0"/>
    <numFmt numFmtId="177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99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30"/>
    <col collapsed="false" customWidth="true" hidden="false" outlineLevel="0" max="5" min="5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D4" s="4" t="s">
        <v>3</v>
      </c>
    </row>
    <row r="5" customFormat="false" ht="15" hidden="false" customHeight="true" outlineLevel="0" collapsed="false">
      <c r="A5" s="5" t="s">
        <v>4</v>
      </c>
      <c r="B5" s="6" t="n">
        <f aca="false">Assumptions!B11</f>
        <v>140</v>
      </c>
      <c r="D5" s="5" t="s">
        <v>5</v>
      </c>
      <c r="E5" s="7" t="n">
        <f aca="false">DCF_Bear!B38</f>
        <v>43.2477758915108</v>
      </c>
    </row>
    <row r="6" customFormat="false" ht="15" hidden="false" customHeight="true" outlineLevel="0" collapsed="false">
      <c r="A6" s="5" t="s">
        <v>6</v>
      </c>
      <c r="B6" s="8" t="s">
        <v>7</v>
      </c>
      <c r="D6" s="5" t="s">
        <v>8</v>
      </c>
      <c r="E6" s="7" t="n">
        <f aca="false">DCF_Base!B38</f>
        <v>100.605278636242</v>
      </c>
    </row>
    <row r="7" customFormat="false" ht="15" hidden="false" customHeight="true" outlineLevel="0" collapsed="false">
      <c r="A7" s="5" t="s">
        <v>9</v>
      </c>
      <c r="B7" s="9" t="n">
        <v>540.68</v>
      </c>
      <c r="D7" s="5" t="s">
        <v>10</v>
      </c>
      <c r="E7" s="7" t="n">
        <f aca="false">DCF_Bull!B38</f>
        <v>159.644879457856</v>
      </c>
    </row>
    <row r="8" customFormat="false" ht="15" hidden="false" customHeight="true" outlineLevel="0" collapsed="false">
      <c r="A8" s="5" t="s">
        <v>11</v>
      </c>
      <c r="B8" s="10" t="n">
        <f aca="false">Assumptions!B10</f>
        <v>49.8</v>
      </c>
      <c r="D8" s="4" t="s">
        <v>12</v>
      </c>
      <c r="E8" s="11" t="n">
        <f aca="false">Valuation!B10</f>
        <v>101.025803155463</v>
      </c>
    </row>
    <row r="9" customFormat="false" ht="15" hidden="false" customHeight="true" outlineLevel="0" collapsed="false">
      <c r="A9" s="5" t="s">
        <v>13</v>
      </c>
      <c r="B9" s="12" t="n">
        <f aca="false">Assumptions!B11*Assumptions!B10</f>
        <v>6972</v>
      </c>
      <c r="D9" s="4" t="s">
        <v>14</v>
      </c>
      <c r="E9" s="13" t="n">
        <f aca="false">Valuation!B12</f>
        <v>-0.278387120318123</v>
      </c>
    </row>
    <row r="10" customFormat="false" ht="15" hidden="false" customHeight="true" outlineLevel="0" collapsed="false">
      <c r="A10" s="5" t="s">
        <v>15</v>
      </c>
      <c r="B10" s="12" t="n">
        <f aca="false">Assumptions!B9</f>
        <v>1140.5</v>
      </c>
      <c r="D10" s="4" t="s">
        <v>16</v>
      </c>
      <c r="E10" s="7" t="n">
        <f aca="false">Valuation!B13</f>
        <v>155.244737969378</v>
      </c>
    </row>
    <row r="11" customFormat="false" ht="15" hidden="false" customHeight="true" outlineLevel="0" collapsed="false">
      <c r="A11" s="5" t="s">
        <v>17</v>
      </c>
      <c r="B11" s="12" t="n">
        <f aca="false">B9-B10</f>
        <v>5831.5</v>
      </c>
      <c r="D11" s="5" t="s">
        <v>18</v>
      </c>
      <c r="E11" s="7" t="n">
        <f aca="false">Valuation!B23</f>
        <v>66.9740086162291</v>
      </c>
    </row>
    <row r="12" customFormat="false" ht="15" hidden="false" customHeight="true" outlineLevel="0" collapsed="false">
      <c r="A12" s="5" t="s">
        <v>19</v>
      </c>
      <c r="B12" s="14" t="n">
        <f aca="false">B11/Historical!G19</f>
        <v>18.8112903225806</v>
      </c>
    </row>
    <row r="13" customFormat="false" ht="15" hidden="false" customHeight="true" outlineLevel="0" collapsed="false">
      <c r="A13" s="5" t="s">
        <v>20</v>
      </c>
      <c r="B13" s="14" t="n">
        <f aca="false">B11/Historical!G26</f>
        <v>16.4267605633803</v>
      </c>
    </row>
    <row r="14" customFormat="false" ht="15" hidden="false" customHeight="true" outlineLevel="0" collapsed="false">
      <c r="A14" s="5" t="s">
        <v>21</v>
      </c>
      <c r="B14" s="14" t="n">
        <f aca="false">B11/FCF_Quality!D8</f>
        <v>45.1179883945841</v>
      </c>
    </row>
    <row r="16" customFormat="false" ht="15" hidden="false" customHeight="true" outlineLevel="0" collapsed="false">
      <c r="A16" s="4" t="s">
        <v>22</v>
      </c>
    </row>
    <row r="17" customFormat="false" ht="42" hidden="false" customHeight="true" outlineLevel="0" collapsed="false">
      <c r="A17" s="15" t="s">
        <v>23</v>
      </c>
      <c r="B17" s="15"/>
      <c r="C17" s="15"/>
      <c r="D17" s="15"/>
      <c r="E17" s="15"/>
      <c r="F17" s="15"/>
      <c r="G17" s="15"/>
      <c r="H17" s="15"/>
    </row>
    <row r="18" customFormat="false" ht="42" hidden="false" customHeight="true" outlineLevel="0" collapsed="false">
      <c r="A18" s="15" t="s">
        <v>24</v>
      </c>
      <c r="B18" s="15"/>
      <c r="C18" s="15"/>
      <c r="D18" s="15"/>
      <c r="E18" s="15"/>
      <c r="F18" s="15"/>
      <c r="G18" s="15"/>
      <c r="H18" s="15"/>
    </row>
    <row r="19" customFormat="false" ht="42" hidden="false" customHeight="true" outlineLevel="0" collapsed="false">
      <c r="A19" s="15" t="s">
        <v>25</v>
      </c>
      <c r="B19" s="15"/>
      <c r="C19" s="15"/>
      <c r="D19" s="15"/>
      <c r="E19" s="15"/>
      <c r="F19" s="15"/>
      <c r="G19" s="15"/>
      <c r="H19" s="15"/>
    </row>
    <row r="20" customFormat="false" ht="42" hidden="false" customHeight="true" outlineLevel="0" collapsed="false">
      <c r="A20" s="15" t="s">
        <v>26</v>
      </c>
      <c r="B20" s="15"/>
      <c r="C20" s="15"/>
      <c r="D20" s="15"/>
      <c r="E20" s="15"/>
      <c r="F20" s="15"/>
      <c r="G20" s="15"/>
      <c r="H20" s="15"/>
    </row>
    <row r="21" customFormat="false" ht="42" hidden="false" customHeight="true" outlineLevel="0" collapsed="false">
      <c r="A21" s="15" t="s">
        <v>27</v>
      </c>
      <c r="B21" s="15"/>
      <c r="C21" s="15"/>
      <c r="D21" s="15"/>
      <c r="E21" s="15"/>
      <c r="F21" s="15"/>
      <c r="G21" s="15"/>
      <c r="H21" s="15"/>
    </row>
    <row r="23" customFormat="false" ht="15" hidden="false" customHeight="true" outlineLevel="0" collapsed="false">
      <c r="A23" s="3" t="s">
        <v>28</v>
      </c>
    </row>
  </sheetData>
  <mergeCells count="5">
    <mergeCell ref="A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4" customFormat="false" ht="15" hidden="false" customHeight="true" outlineLevel="0" collapsed="false">
      <c r="A4" s="16"/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</row>
    <row r="5" customFormat="false" ht="15" hidden="false" customHeight="true" outlineLevel="0" collapsed="false">
      <c r="A5" s="4" t="s">
        <v>37</v>
      </c>
      <c r="B5" s="17" t="n">
        <v>622</v>
      </c>
      <c r="C5" s="17" t="n">
        <v>870.6</v>
      </c>
      <c r="D5" s="17" t="n">
        <v>1158.4</v>
      </c>
      <c r="E5" s="17" t="n">
        <v>271.6</v>
      </c>
      <c r="F5" s="17" t="n">
        <v>308.5</v>
      </c>
      <c r="G5" s="17" t="n">
        <v>1280</v>
      </c>
    </row>
    <row r="6" customFormat="false" ht="15" hidden="false" customHeight="true" outlineLevel="0" collapsed="false">
      <c r="A6" s="5" t="s">
        <v>38</v>
      </c>
      <c r="C6" s="18" t="n">
        <v>730.7</v>
      </c>
      <c r="D6" s="18" t="n">
        <v>996.3</v>
      </c>
      <c r="F6" s="18" t="n">
        <v>268.1</v>
      </c>
    </row>
    <row r="7" customFormat="false" ht="15" hidden="false" customHeight="true" outlineLevel="0" collapsed="false">
      <c r="A7" s="5" t="s">
        <v>39</v>
      </c>
      <c r="C7" s="19" t="n">
        <f aca="false">C5/B5-1</f>
        <v>0.39967845659164</v>
      </c>
      <c r="D7" s="19" t="n">
        <f aca="false">D5/C5-1</f>
        <v>0.330576613829543</v>
      </c>
      <c r="F7" s="19" t="n">
        <f aca="false">F5/E5-1</f>
        <v>0.135861561119293</v>
      </c>
      <c r="G7" s="19" t="n">
        <f aca="false">G5/D5-1</f>
        <v>0.104972375690608</v>
      </c>
    </row>
    <row r="8" customFormat="false" ht="15" hidden="false" customHeight="true" outlineLevel="0" collapsed="false">
      <c r="A8" s="4" t="s">
        <v>40</v>
      </c>
      <c r="B8" s="17" t="n">
        <v>531.1</v>
      </c>
      <c r="C8" s="17" t="n">
        <v>748</v>
      </c>
      <c r="D8" s="17" t="n">
        <v>1037.6</v>
      </c>
      <c r="E8" s="17" t="n">
        <v>230.7</v>
      </c>
      <c r="F8" s="17" t="n">
        <v>292</v>
      </c>
      <c r="G8" s="17" t="n">
        <v>1205</v>
      </c>
    </row>
    <row r="9" customFormat="false" ht="15" hidden="false" customHeight="true" outlineLevel="0" collapsed="false">
      <c r="A9" s="5" t="s">
        <v>41</v>
      </c>
      <c r="C9" s="19" t="n">
        <f aca="false">C8/B8-1</f>
        <v>0.408397665223122</v>
      </c>
      <c r="D9" s="19" t="n">
        <f aca="false">D8/C8-1</f>
        <v>0.387165775401069</v>
      </c>
      <c r="F9" s="19" t="n">
        <f aca="false">F8/E8-1</f>
        <v>0.265713047247508</v>
      </c>
      <c r="G9" s="19" t="n">
        <f aca="false">G8/D8-1</f>
        <v>0.161333847340015</v>
      </c>
    </row>
    <row r="10" customFormat="false" ht="15" hidden="false" customHeight="true" outlineLevel="0" collapsed="false">
      <c r="A10" s="5" t="s">
        <v>42</v>
      </c>
      <c r="C10" s="18" t="n">
        <v>544.4</v>
      </c>
      <c r="D10" s="18" t="n">
        <v>749.5</v>
      </c>
    </row>
    <row r="11" customFormat="false" ht="15" hidden="false" customHeight="true" outlineLevel="0" collapsed="false">
      <c r="A11" s="5" t="s">
        <v>43</v>
      </c>
      <c r="C11" s="19" t="n">
        <f aca="false">C10/C8</f>
        <v>0.727807486631016</v>
      </c>
      <c r="D11" s="19" t="n">
        <f aca="false">D10/D8</f>
        <v>0.722340015420201</v>
      </c>
      <c r="F11" s="20" t="n">
        <v>0.73</v>
      </c>
      <c r="G11" s="20" t="n">
        <v>0.695</v>
      </c>
    </row>
    <row r="12" customFormat="false" ht="15" hidden="false" customHeight="true" outlineLevel="0" collapsed="false">
      <c r="A12" s="5" t="s">
        <v>44</v>
      </c>
      <c r="C12" s="18" t="n">
        <v>235.3</v>
      </c>
      <c r="D12" s="18" t="n">
        <v>306.3</v>
      </c>
    </row>
    <row r="13" customFormat="false" ht="15" hidden="false" customHeight="true" outlineLevel="0" collapsed="false">
      <c r="A13" s="5" t="s">
        <v>45</v>
      </c>
      <c r="C13" s="18" t="n">
        <v>90.5</v>
      </c>
      <c r="D13" s="18" t="n">
        <v>125.7</v>
      </c>
    </row>
    <row r="14" customFormat="false" ht="15" hidden="false" customHeight="true" outlineLevel="0" collapsed="false">
      <c r="A14" s="5" t="s">
        <v>46</v>
      </c>
      <c r="C14" s="18" t="n">
        <v>156</v>
      </c>
      <c r="D14" s="18" t="n">
        <v>181.9</v>
      </c>
    </row>
    <row r="15" customFormat="false" ht="15" hidden="false" customHeight="true" outlineLevel="0" collapsed="false">
      <c r="A15" s="4" t="s">
        <v>47</v>
      </c>
      <c r="C15" s="21" t="n">
        <f aca="false">C10-C12-C13-C14</f>
        <v>62.6</v>
      </c>
      <c r="D15" s="21" t="n">
        <f aca="false">D10-D12-D13-D14</f>
        <v>135.6</v>
      </c>
    </row>
    <row r="16" customFormat="false" ht="15" hidden="false" customHeight="true" outlineLevel="0" collapsed="false">
      <c r="A16" s="5" t="s">
        <v>48</v>
      </c>
      <c r="C16" s="18" t="n">
        <v>42.7</v>
      </c>
      <c r="D16" s="18" t="n">
        <v>45.2</v>
      </c>
    </row>
    <row r="17" customFormat="false" ht="15" hidden="false" customHeight="true" outlineLevel="0" collapsed="false">
      <c r="A17" s="5" t="s">
        <v>49</v>
      </c>
      <c r="C17" s="18" t="n">
        <v>88.6</v>
      </c>
      <c r="D17" s="18" t="n">
        <v>414.1</v>
      </c>
      <c r="E17" s="18" t="n">
        <v>35.1</v>
      </c>
      <c r="F17" s="18" t="n">
        <v>43.5</v>
      </c>
    </row>
    <row r="18" customFormat="false" ht="15" hidden="false" customHeight="true" outlineLevel="0" collapsed="false">
      <c r="A18" s="5" t="s">
        <v>50</v>
      </c>
      <c r="D18" s="22" t="n">
        <f aca="false">D17-256.7</f>
        <v>157.4</v>
      </c>
    </row>
    <row r="19" customFormat="false" ht="15" hidden="false" customHeight="true" outlineLevel="0" collapsed="false">
      <c r="A19" s="4" t="s">
        <v>51</v>
      </c>
      <c r="C19" s="17" t="n">
        <v>191.9</v>
      </c>
      <c r="D19" s="17" t="n">
        <v>305.9</v>
      </c>
      <c r="E19" s="17" t="n">
        <v>62.8</v>
      </c>
      <c r="F19" s="17" t="n">
        <v>83.4</v>
      </c>
      <c r="G19" s="17" t="n">
        <v>310</v>
      </c>
    </row>
    <row r="20" customFormat="false" ht="15" hidden="false" customHeight="true" outlineLevel="0" collapsed="false">
      <c r="A20" s="5" t="s">
        <v>52</v>
      </c>
      <c r="C20" s="19" t="n">
        <f aca="false">C19/C8</f>
        <v>0.256550802139037</v>
      </c>
      <c r="D20" s="19" t="n">
        <f aca="false">D19/D8</f>
        <v>0.294814957594449</v>
      </c>
      <c r="E20" s="19" t="n">
        <f aca="false">E19/E8</f>
        <v>0.272214997832683</v>
      </c>
      <c r="F20" s="19" t="n">
        <f aca="false">F19/F8</f>
        <v>0.285616438356164</v>
      </c>
      <c r="G20" s="19" t="n">
        <f aca="false">G19/G8</f>
        <v>0.257261410788382</v>
      </c>
    </row>
    <row r="21" customFormat="false" ht="15" hidden="false" customHeight="true" outlineLevel="0" collapsed="false">
      <c r="A21" s="5" t="s">
        <v>53</v>
      </c>
      <c r="C21" s="18" t="n">
        <v>120.3</v>
      </c>
      <c r="D21" s="18" t="n">
        <v>148.6</v>
      </c>
      <c r="G21" s="22" t="n">
        <f aca="false">0.15*G8</f>
        <v>180.75</v>
      </c>
    </row>
    <row r="22" customFormat="false" ht="15" hidden="false" customHeight="true" outlineLevel="0" collapsed="false">
      <c r="A22" s="5" t="s">
        <v>54</v>
      </c>
      <c r="C22" s="19" t="n">
        <f aca="false">C21/C8</f>
        <v>0.160828877005348</v>
      </c>
      <c r="D22" s="19" t="n">
        <f aca="false">D21/D8</f>
        <v>0.143215111796453</v>
      </c>
      <c r="G22" s="19" t="n">
        <f aca="false">G21/G8</f>
        <v>0.15</v>
      </c>
    </row>
    <row r="23" customFormat="false" ht="15" hidden="false" customHeight="true" outlineLevel="0" collapsed="false">
      <c r="A23" s="5" t="s">
        <v>55</v>
      </c>
      <c r="C23" s="18" t="n">
        <v>10.9</v>
      </c>
      <c r="D23" s="18" t="n">
        <v>14.4</v>
      </c>
    </row>
    <row r="24" customFormat="false" ht="15" hidden="false" customHeight="true" outlineLevel="0" collapsed="false">
      <c r="A24" s="5" t="s">
        <v>56</v>
      </c>
      <c r="C24" s="18" t="n">
        <v>285.5</v>
      </c>
      <c r="D24" s="18" t="n">
        <v>387.8</v>
      </c>
      <c r="E24" s="18" t="n">
        <v>105.6</v>
      </c>
      <c r="F24" s="18" t="n">
        <v>150.8</v>
      </c>
    </row>
    <row r="25" customFormat="false" ht="15" hidden="false" customHeight="true" outlineLevel="0" collapsed="false">
      <c r="A25" s="5" t="s">
        <v>57</v>
      </c>
      <c r="C25" s="18" t="n">
        <v>21.1</v>
      </c>
      <c r="D25" s="18" t="n">
        <v>27.4</v>
      </c>
    </row>
    <row r="26" customFormat="false" ht="15" hidden="false" customHeight="true" outlineLevel="0" collapsed="false">
      <c r="A26" s="4" t="s">
        <v>58</v>
      </c>
      <c r="C26" s="17" t="n">
        <v>264.4</v>
      </c>
      <c r="D26" s="17" t="n">
        <v>360.4</v>
      </c>
      <c r="E26" s="17" t="n">
        <v>103</v>
      </c>
      <c r="F26" s="17" t="n">
        <v>147.8</v>
      </c>
      <c r="G26" s="17" t="n">
        <v>355</v>
      </c>
    </row>
    <row r="27" customFormat="false" ht="15" hidden="false" customHeight="true" outlineLevel="0" collapsed="false">
      <c r="A27" s="5" t="s">
        <v>59</v>
      </c>
      <c r="C27" s="19" t="n">
        <f aca="false">C26/C8</f>
        <v>0.353475935828877</v>
      </c>
      <c r="D27" s="19" t="n">
        <f aca="false">D26/D8</f>
        <v>0.347340015420201</v>
      </c>
      <c r="E27" s="19" t="n">
        <f aca="false">E26/E8</f>
        <v>0.446467273515388</v>
      </c>
      <c r="F27" s="19" t="n">
        <f aca="false">F26/F8</f>
        <v>0.506164383561644</v>
      </c>
      <c r="G27" s="19" t="n">
        <f aca="false">G26/G8</f>
        <v>0.294605809128631</v>
      </c>
    </row>
    <row r="28" customFormat="false" ht="15" hidden="false" customHeight="true" outlineLevel="0" collapsed="false">
      <c r="A28" s="5" t="s">
        <v>60</v>
      </c>
      <c r="C28" s="18" t="n">
        <v>372.9</v>
      </c>
      <c r="D28" s="18" t="n">
        <v>496.2</v>
      </c>
    </row>
    <row r="29" customFormat="false" ht="15" hidden="false" customHeight="true" outlineLevel="0" collapsed="false">
      <c r="A29" s="5" t="s">
        <v>61</v>
      </c>
      <c r="D29" s="22" t="n">
        <f aca="false">D28-C28</f>
        <v>123.3</v>
      </c>
    </row>
    <row r="30" customFormat="false" ht="15" hidden="false" customHeight="true" outlineLevel="0" collapsed="false">
      <c r="A30" s="5" t="s">
        <v>62</v>
      </c>
      <c r="C30" s="18" t="n">
        <v>877.6</v>
      </c>
      <c r="D30" s="18" t="n">
        <v>1140.5</v>
      </c>
    </row>
    <row r="32" customFormat="false" ht="15" hidden="false" customHeight="true" outlineLevel="0" collapsed="false">
      <c r="A32" s="4" t="s">
        <v>63</v>
      </c>
    </row>
    <row r="33" customFormat="false" ht="15" hidden="false" customHeight="true" outlineLevel="0" collapsed="false">
      <c r="A33" s="5" t="s">
        <v>64</v>
      </c>
      <c r="C33" s="23" t="n">
        <v>40.5</v>
      </c>
      <c r="D33" s="23" t="n">
        <v>52.7</v>
      </c>
      <c r="E33" s="23" t="n">
        <v>46.6</v>
      </c>
      <c r="F33" s="23" t="n">
        <v>56.5</v>
      </c>
    </row>
    <row r="34" customFormat="false" ht="15" hidden="false" customHeight="true" outlineLevel="0" collapsed="false">
      <c r="A34" s="5" t="s">
        <v>65</v>
      </c>
      <c r="C34" s="20" t="n">
        <v>0.51</v>
      </c>
      <c r="D34" s="19" t="n">
        <f aca="false">D33/C33-1</f>
        <v>0.301234567901235</v>
      </c>
      <c r="E34" s="20" t="n">
        <v>0.49</v>
      </c>
      <c r="F34" s="19" t="n">
        <f aca="false">F33/E33-1</f>
        <v>0.21244635193133</v>
      </c>
    </row>
    <row r="35" customFormat="false" ht="15" hidden="false" customHeight="true" outlineLevel="0" collapsed="false">
      <c r="A35" s="5" t="s">
        <v>66</v>
      </c>
      <c r="C35" s="23" t="n">
        <v>116.7</v>
      </c>
      <c r="D35" s="23" t="n">
        <v>133.1</v>
      </c>
      <c r="E35" s="23" t="n">
        <v>130.2</v>
      </c>
    </row>
    <row r="36" customFormat="false" ht="15" hidden="false" customHeight="true" outlineLevel="0" collapsed="false">
      <c r="A36" s="5" t="s">
        <v>67</v>
      </c>
      <c r="C36" s="23" t="n">
        <v>9.5</v>
      </c>
      <c r="D36" s="23" t="n">
        <v>12.2</v>
      </c>
      <c r="E36" s="23" t="n">
        <v>10.3</v>
      </c>
      <c r="F36" s="23" t="n">
        <v>12.5</v>
      </c>
    </row>
    <row r="38" customFormat="false" ht="15" hidden="false" customHeight="true" outlineLevel="0" collapsed="false">
      <c r="A38" s="24" t="s">
        <v>68</v>
      </c>
      <c r="B38" s="24"/>
      <c r="C38" s="24"/>
      <c r="D38" s="24"/>
      <c r="E38" s="24"/>
      <c r="F38" s="24"/>
      <c r="G38" s="24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</row>
    <row r="41" customFormat="false" ht="15" hidden="false" customHeight="true" outlineLevel="0" collapsed="false">
      <c r="A41" s="24" t="s">
        <v>69</v>
      </c>
      <c r="B41" s="24"/>
      <c r="C41" s="24"/>
      <c r="D41" s="24"/>
      <c r="E41" s="24"/>
      <c r="F41" s="24"/>
      <c r="G41" s="24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</row>
  </sheetData>
  <mergeCells count="2">
    <mergeCell ref="A38:G39"/>
    <mergeCell ref="A41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2" min="2" style="0" width="10"/>
    <col collapsed="false" customWidth="true" hidden="false" outlineLevel="0" max="26" min="23" style="0" width="12"/>
  </cols>
  <sheetData>
    <row r="1" customFormat="false" ht="17.35" hidden="false" customHeight="false" outlineLevel="0" collapsed="false">
      <c r="A1" s="25" t="s">
        <v>70</v>
      </c>
    </row>
    <row r="2" customFormat="false" ht="15" hidden="false" customHeight="false" outlineLevel="0" collapsed="false">
      <c r="A2" s="26" t="s">
        <v>71</v>
      </c>
    </row>
    <row r="4" customFormat="false" ht="42" hidden="false" customHeight="true" outlineLevel="0" collapsed="false">
      <c r="A4" s="27" t="s">
        <v>72</v>
      </c>
      <c r="B4" s="27" t="s">
        <v>40</v>
      </c>
      <c r="C4" s="27" t="s">
        <v>73</v>
      </c>
      <c r="D4" s="27" t="s">
        <v>74</v>
      </c>
      <c r="E4" s="27" t="s">
        <v>75</v>
      </c>
      <c r="F4" s="27" t="s">
        <v>76</v>
      </c>
      <c r="G4" s="27" t="s">
        <v>77</v>
      </c>
      <c r="H4" s="27" t="s">
        <v>78</v>
      </c>
      <c r="I4" s="27" t="s">
        <v>79</v>
      </c>
      <c r="J4" s="27" t="s">
        <v>80</v>
      </c>
      <c r="K4" s="27" t="s">
        <v>81</v>
      </c>
      <c r="L4" s="27" t="s">
        <v>82</v>
      </c>
      <c r="M4" s="27" t="s">
        <v>83</v>
      </c>
      <c r="N4" s="27" t="s">
        <v>84</v>
      </c>
      <c r="O4" s="27" t="s">
        <v>85</v>
      </c>
      <c r="P4" s="27" t="s">
        <v>86</v>
      </c>
      <c r="Q4" s="27" t="s">
        <v>87</v>
      </c>
      <c r="R4" s="27" t="s">
        <v>88</v>
      </c>
      <c r="S4" s="27" t="s">
        <v>89</v>
      </c>
      <c r="T4" s="27" t="s">
        <v>90</v>
      </c>
      <c r="U4" s="27" t="s">
        <v>91</v>
      </c>
      <c r="V4" s="27" t="s">
        <v>92</v>
      </c>
      <c r="W4" s="27" t="s">
        <v>93</v>
      </c>
      <c r="X4" s="27" t="s">
        <v>94</v>
      </c>
      <c r="Y4" s="27" t="s">
        <v>95</v>
      </c>
      <c r="Z4" s="27" t="s">
        <v>96</v>
      </c>
    </row>
    <row r="5" customFormat="false" ht="15" hidden="false" customHeight="false" outlineLevel="0" collapsed="false">
      <c r="A5" s="28" t="s">
        <v>97</v>
      </c>
      <c r="B5" s="29" t="n">
        <v>81.3</v>
      </c>
      <c r="C5" s="29" t="n">
        <v>59.7</v>
      </c>
      <c r="D5" s="30" t="n">
        <v>0.735</v>
      </c>
      <c r="E5" s="29" t="n">
        <v>-8.3</v>
      </c>
      <c r="F5" s="30" t="n">
        <v>-0.102</v>
      </c>
      <c r="G5" s="29" t="n">
        <v>9.7</v>
      </c>
      <c r="H5" s="29" t="n">
        <v>1</v>
      </c>
      <c r="I5" s="30" t="n">
        <v>0.012</v>
      </c>
      <c r="K5" s="29" t="n">
        <v>-12.2</v>
      </c>
      <c r="M5" s="29" t="n">
        <v>16.9</v>
      </c>
      <c r="R5" s="31" t="n">
        <v>12.5</v>
      </c>
      <c r="S5" s="31" t="n">
        <v>49.2</v>
      </c>
      <c r="T5" s="29" t="n">
        <v>93.8</v>
      </c>
      <c r="U5" s="31" t="n">
        <v>2.9</v>
      </c>
      <c r="V5" s="29" t="n">
        <v>72.9</v>
      </c>
      <c r="W5" s="32" t="n">
        <f aca="false">R5/S5</f>
        <v>0.254065040650406</v>
      </c>
      <c r="X5" s="32" t="n">
        <f aca="false">U5/S5</f>
        <v>0.0589430894308943</v>
      </c>
      <c r="Y5" s="33" t="n">
        <f aca="false">T5*4/R5</f>
        <v>30.016</v>
      </c>
      <c r="Z5" s="33" t="n">
        <f aca="false">V5*4/U5</f>
        <v>100.551724137931</v>
      </c>
    </row>
    <row r="6" customFormat="false" ht="15" hidden="false" customHeight="false" outlineLevel="0" collapsed="false">
      <c r="A6" s="28" t="s">
        <v>98</v>
      </c>
      <c r="B6" s="29" t="n">
        <v>88.4</v>
      </c>
      <c r="C6" s="29" t="n">
        <v>65</v>
      </c>
      <c r="D6" s="30" t="n">
        <v>0.735</v>
      </c>
      <c r="E6" s="29" t="n">
        <v>-4.5</v>
      </c>
      <c r="F6" s="30" t="n">
        <v>-0.051</v>
      </c>
      <c r="G6" s="29" t="n">
        <v>9.9</v>
      </c>
      <c r="H6" s="29" t="n">
        <v>-4.4</v>
      </c>
      <c r="I6" s="30" t="n">
        <v>-0.05</v>
      </c>
      <c r="J6" s="34" t="n">
        <v>-0.1</v>
      </c>
      <c r="M6" s="29" t="n">
        <v>18.2</v>
      </c>
      <c r="R6" s="31" t="n">
        <v>13.3</v>
      </c>
      <c r="S6" s="31" t="n">
        <v>52.3</v>
      </c>
      <c r="T6" s="29" t="n">
        <v>104.8</v>
      </c>
      <c r="U6" s="31" t="n">
        <v>3.3</v>
      </c>
      <c r="V6" s="29" t="n">
        <v>82.4</v>
      </c>
      <c r="W6" s="32" t="n">
        <f aca="false">R6/S6</f>
        <v>0.254302103250478</v>
      </c>
      <c r="X6" s="32" t="n">
        <f aca="false">U6/S6</f>
        <v>0.0630975143403442</v>
      </c>
      <c r="Y6" s="33" t="n">
        <f aca="false">T6*4/R6</f>
        <v>31.5187969924812</v>
      </c>
      <c r="Z6" s="33" t="n">
        <f aca="false">V6*4/U6</f>
        <v>99.8787878787879</v>
      </c>
    </row>
    <row r="7" customFormat="false" ht="15" hidden="false" customHeight="false" outlineLevel="0" collapsed="false">
      <c r="A7" s="28" t="s">
        <v>99</v>
      </c>
      <c r="B7" s="29" t="n">
        <v>92.1</v>
      </c>
      <c r="C7" s="29" t="n">
        <v>67.8</v>
      </c>
      <c r="D7" s="30" t="n">
        <v>0.736</v>
      </c>
      <c r="E7" s="29" t="n">
        <v>-5.3</v>
      </c>
      <c r="F7" s="30" t="n">
        <v>-0.058</v>
      </c>
      <c r="G7" s="29" t="n">
        <v>8.9</v>
      </c>
      <c r="H7" s="29" t="n">
        <v>-5.3</v>
      </c>
      <c r="I7" s="30" t="n">
        <v>-0.058</v>
      </c>
      <c r="J7" s="34" t="n">
        <v>-0.12</v>
      </c>
      <c r="M7" s="29" t="n">
        <v>15.9</v>
      </c>
      <c r="R7" s="31" t="n">
        <v>14.9</v>
      </c>
      <c r="S7" s="31" t="n">
        <v>54.8</v>
      </c>
      <c r="T7" s="29" t="n">
        <v>106.1</v>
      </c>
      <c r="U7" s="31" t="n">
        <v>3.7</v>
      </c>
      <c r="V7" s="29" t="n">
        <v>90.8</v>
      </c>
      <c r="W7" s="32" t="n">
        <f aca="false">R7/S7</f>
        <v>0.271897810218978</v>
      </c>
      <c r="X7" s="32" t="n">
        <f aca="false">U7/S7</f>
        <v>0.0675182481751825</v>
      </c>
      <c r="Y7" s="33" t="n">
        <f aca="false">T7*4/R7</f>
        <v>28.4832214765101</v>
      </c>
      <c r="Z7" s="33" t="n">
        <f aca="false">V7*4/U7</f>
        <v>98.1621621621622</v>
      </c>
    </row>
    <row r="8" customFormat="false" ht="15" hidden="false" customHeight="false" outlineLevel="0" collapsed="false">
      <c r="A8" s="28" t="s">
        <v>100</v>
      </c>
      <c r="B8" s="29" t="n">
        <v>107.7</v>
      </c>
      <c r="C8" s="29" t="n">
        <v>78.8</v>
      </c>
      <c r="D8" s="30" t="n">
        <v>0.732</v>
      </c>
      <c r="E8" s="29" t="n">
        <v>8</v>
      </c>
      <c r="F8" s="30" t="n">
        <v>0.074</v>
      </c>
      <c r="G8" s="29" t="n">
        <v>15.9</v>
      </c>
      <c r="H8" s="29" t="n">
        <v>-5</v>
      </c>
      <c r="I8" s="30" t="n">
        <v>-0.046</v>
      </c>
      <c r="J8" s="34" t="n">
        <v>-0.11</v>
      </c>
      <c r="M8" s="29" t="n">
        <v>22.7</v>
      </c>
      <c r="R8" s="31" t="n">
        <v>16.3</v>
      </c>
      <c r="S8" s="31" t="n">
        <v>60.7</v>
      </c>
      <c r="T8" s="29" t="n">
        <v>133.3</v>
      </c>
      <c r="U8" s="31" t="n">
        <v>4.2</v>
      </c>
      <c r="V8" s="29" t="n">
        <v>103.9</v>
      </c>
      <c r="W8" s="32" t="n">
        <f aca="false">R8/S8</f>
        <v>0.268533772652389</v>
      </c>
      <c r="X8" s="32" t="n">
        <f aca="false">U8/S8</f>
        <v>0.0691927512355848</v>
      </c>
      <c r="Y8" s="33" t="n">
        <f aca="false">T8*4/R8</f>
        <v>32.7116564417178</v>
      </c>
      <c r="Z8" s="33" t="n">
        <f aca="false">V8*4/U8</f>
        <v>98.952380952381</v>
      </c>
    </row>
    <row r="9" customFormat="false" ht="15" hidden="false" customHeight="false" outlineLevel="0" collapsed="false">
      <c r="A9" s="35" t="s">
        <v>101</v>
      </c>
      <c r="B9" s="36" t="n">
        <v>369.5</v>
      </c>
      <c r="C9" s="36" t="n">
        <v>271.3</v>
      </c>
      <c r="D9" s="37" t="n">
        <v>0.734</v>
      </c>
      <c r="E9" s="36" t="n">
        <v>-10.1</v>
      </c>
      <c r="F9" s="37" t="n">
        <v>-0.027</v>
      </c>
      <c r="G9" s="36" t="n">
        <v>39.3</v>
      </c>
      <c r="H9" s="36" t="n">
        <v>1.6</v>
      </c>
      <c r="I9" s="37" t="n">
        <v>0.004</v>
      </c>
      <c r="J9" s="38" t="n">
        <v>-0.04</v>
      </c>
      <c r="K9" s="36" t="n">
        <v>60.8</v>
      </c>
      <c r="L9" s="36" t="n">
        <v>9.5</v>
      </c>
      <c r="M9" s="36" t="n">
        <v>73.3</v>
      </c>
      <c r="N9" s="39"/>
      <c r="O9" s="39"/>
      <c r="P9" s="39"/>
      <c r="Q9" s="39"/>
      <c r="R9" s="40" t="n">
        <v>14.9</v>
      </c>
      <c r="S9" s="40" t="n">
        <v>54.8</v>
      </c>
      <c r="T9" s="36" t="n">
        <v>438</v>
      </c>
      <c r="U9" s="40" t="n">
        <v>4.2</v>
      </c>
      <c r="V9" s="36" t="n">
        <v>350</v>
      </c>
      <c r="W9" s="41" t="n">
        <f aca="false">R9/S9</f>
        <v>0.271897810218978</v>
      </c>
      <c r="X9" s="41" t="n">
        <f aca="false">U9/S9</f>
        <v>0.0766423357664234</v>
      </c>
      <c r="Y9" s="42" t="n">
        <f aca="false">T9*1/R9</f>
        <v>29.3959731543624</v>
      </c>
      <c r="Z9" s="42" t="n">
        <f aca="false">V9*1/U9</f>
        <v>83.3333333333333</v>
      </c>
    </row>
    <row r="10" customFormat="false" ht="15" hidden="false" customHeight="false" outlineLevel="0" collapsed="false">
      <c r="A10" s="28" t="s">
        <v>102</v>
      </c>
      <c r="B10" s="29" t="n">
        <v>115.7</v>
      </c>
      <c r="C10" s="29" t="n">
        <v>84.2</v>
      </c>
      <c r="D10" s="30" t="n">
        <v>0.728</v>
      </c>
      <c r="E10" s="29" t="n">
        <v>-8.5</v>
      </c>
      <c r="F10" s="30" t="n">
        <v>-0.073</v>
      </c>
      <c r="G10" s="29" t="n">
        <v>21.5</v>
      </c>
      <c r="H10" s="29" t="n">
        <v>-2.6</v>
      </c>
      <c r="I10" s="30" t="n">
        <v>-0.022</v>
      </c>
      <c r="J10" s="34" t="n">
        <v>-0.06</v>
      </c>
      <c r="M10" s="29" t="n">
        <v>24.9</v>
      </c>
      <c r="R10" s="31" t="n">
        <v>20.3</v>
      </c>
      <c r="S10" s="31" t="n">
        <v>72.6</v>
      </c>
      <c r="T10" s="29" t="n">
        <v>138.5</v>
      </c>
      <c r="U10" s="31" t="n">
        <v>4.8</v>
      </c>
      <c r="V10" s="29" t="n">
        <v>114.7</v>
      </c>
      <c r="W10" s="32" t="n">
        <f aca="false">R10/S10</f>
        <v>0.279614325068871</v>
      </c>
      <c r="X10" s="32" t="n">
        <f aca="false">U10/S10</f>
        <v>0.0661157024793388</v>
      </c>
      <c r="Y10" s="33" t="n">
        <f aca="false">T10*4/R10</f>
        <v>27.2906403940887</v>
      </c>
      <c r="Z10" s="33" t="n">
        <f aca="false">V10*4/U10</f>
        <v>95.5833333333333</v>
      </c>
    </row>
    <row r="11" customFormat="false" ht="15" hidden="false" customHeight="false" outlineLevel="0" collapsed="false">
      <c r="A11" s="28" t="s">
        <v>103</v>
      </c>
      <c r="B11" s="29" t="n">
        <v>126.8</v>
      </c>
      <c r="C11" s="29" t="n">
        <v>93.1</v>
      </c>
      <c r="D11" s="30" t="n">
        <v>0.734</v>
      </c>
      <c r="E11" s="29" t="n">
        <v>-4.9</v>
      </c>
      <c r="F11" s="30" t="n">
        <v>-0.038</v>
      </c>
      <c r="G11" s="29" t="n">
        <v>24.9</v>
      </c>
      <c r="H11" s="29" t="n">
        <v>3.8</v>
      </c>
      <c r="I11" s="30" t="n">
        <v>0.03</v>
      </c>
      <c r="J11" s="34" t="n">
        <v>0.08</v>
      </c>
      <c r="M11" s="29" t="n">
        <v>31.3</v>
      </c>
      <c r="R11" s="31" t="n">
        <v>21.4</v>
      </c>
      <c r="S11" s="31" t="n">
        <v>74.1</v>
      </c>
      <c r="T11" s="29" t="n">
        <v>146.5</v>
      </c>
      <c r="U11" s="31" t="n">
        <v>5.2</v>
      </c>
      <c r="V11" s="29" t="n">
        <v>124.7</v>
      </c>
      <c r="W11" s="32" t="n">
        <f aca="false">R11/S11</f>
        <v>0.288798920377868</v>
      </c>
      <c r="X11" s="32" t="n">
        <f aca="false">U11/S11</f>
        <v>0.0701754385964912</v>
      </c>
      <c r="Y11" s="33" t="n">
        <f aca="false">T11*4/R11</f>
        <v>27.3831775700935</v>
      </c>
      <c r="Z11" s="33" t="n">
        <f aca="false">V11*4/U11</f>
        <v>95.9230769230769</v>
      </c>
    </row>
    <row r="12" customFormat="false" ht="15" hidden="false" customHeight="false" outlineLevel="0" collapsed="false">
      <c r="A12" s="28" t="s">
        <v>104</v>
      </c>
      <c r="B12" s="29" t="n">
        <v>137.6</v>
      </c>
      <c r="C12" s="29" t="n">
        <v>101.4</v>
      </c>
      <c r="D12" s="30" t="n">
        <v>0.737</v>
      </c>
      <c r="E12" s="29" t="n">
        <v>-4.7</v>
      </c>
      <c r="F12" s="30" t="n">
        <v>-0.034</v>
      </c>
      <c r="G12" s="29" t="n">
        <v>31.2</v>
      </c>
      <c r="H12" s="29" t="n">
        <v>2.8</v>
      </c>
      <c r="I12" s="30" t="n">
        <v>0.02</v>
      </c>
      <c r="J12" s="34" t="n">
        <v>0.06</v>
      </c>
      <c r="M12" s="29" t="n">
        <v>38.9</v>
      </c>
      <c r="R12" s="31" t="n">
        <v>24.2</v>
      </c>
      <c r="S12" s="31" t="n">
        <v>83.1</v>
      </c>
      <c r="T12" s="29" t="n">
        <v>159.8</v>
      </c>
      <c r="U12" s="31" t="n">
        <v>5.8</v>
      </c>
      <c r="V12" s="29" t="n">
        <v>133.9</v>
      </c>
      <c r="W12" s="32" t="n">
        <f aca="false">R12/S12</f>
        <v>0.291215403128761</v>
      </c>
      <c r="X12" s="32" t="n">
        <f aca="false">U12/S12</f>
        <v>0.0697954271961492</v>
      </c>
      <c r="Y12" s="33" t="n">
        <f aca="false">T12*4/R12</f>
        <v>26.4132231404959</v>
      </c>
      <c r="Z12" s="33" t="n">
        <f aca="false">V12*4/U12</f>
        <v>92.3448275862069</v>
      </c>
    </row>
    <row r="13" customFormat="false" ht="15" hidden="false" customHeight="false" outlineLevel="0" collapsed="false">
      <c r="A13" s="28" t="s">
        <v>105</v>
      </c>
      <c r="B13" s="29" t="n">
        <v>151</v>
      </c>
      <c r="C13" s="29" t="n">
        <v>110.4</v>
      </c>
      <c r="D13" s="30" t="n">
        <v>0.731</v>
      </c>
      <c r="E13" s="29" t="n">
        <v>4.8</v>
      </c>
      <c r="F13" s="30" t="n">
        <v>0.032</v>
      </c>
      <c r="G13" s="29" t="n">
        <v>42</v>
      </c>
      <c r="H13" s="29" t="n">
        <v>12.4</v>
      </c>
      <c r="I13" s="30" t="n">
        <v>0.082</v>
      </c>
      <c r="J13" s="34" t="n">
        <v>0.26</v>
      </c>
      <c r="K13" s="29" t="n">
        <v>49.2</v>
      </c>
      <c r="L13" s="29" t="n">
        <v>1.5</v>
      </c>
      <c r="M13" s="29" t="n">
        <v>57.9</v>
      </c>
      <c r="N13" s="29" t="n">
        <v>584.8</v>
      </c>
      <c r="P13" s="29" t="n">
        <v>747.6</v>
      </c>
      <c r="Q13" s="31" t="n">
        <v>44.8</v>
      </c>
      <c r="R13" s="31" t="n">
        <v>26.9</v>
      </c>
      <c r="S13" s="31" t="n">
        <v>88.4</v>
      </c>
      <c r="T13" s="29" t="n">
        <v>191</v>
      </c>
      <c r="U13" s="31" t="n">
        <v>6.6</v>
      </c>
      <c r="V13" s="29" t="n">
        <v>152.1</v>
      </c>
      <c r="W13" s="32" t="n">
        <f aca="false">R13/S13</f>
        <v>0.304298642533937</v>
      </c>
      <c r="X13" s="32" t="n">
        <f aca="false">U13/S13</f>
        <v>0.0746606334841629</v>
      </c>
      <c r="Y13" s="33" t="n">
        <f aca="false">T13*4/R13</f>
        <v>28.4014869888476</v>
      </c>
      <c r="Z13" s="33" t="n">
        <f aca="false">V13*4/U13</f>
        <v>92.1818181818182</v>
      </c>
    </row>
    <row r="14" customFormat="false" ht="15" hidden="false" customHeight="false" outlineLevel="0" collapsed="false">
      <c r="A14" s="35" t="s">
        <v>31</v>
      </c>
      <c r="B14" s="36" t="n">
        <v>531.1</v>
      </c>
      <c r="C14" s="36" t="n">
        <v>389</v>
      </c>
      <c r="D14" s="37" t="n">
        <v>0.733</v>
      </c>
      <c r="E14" s="36" t="n">
        <v>-13.3</v>
      </c>
      <c r="F14" s="37" t="n">
        <v>-0.025</v>
      </c>
      <c r="G14" s="36" t="n">
        <v>93.7</v>
      </c>
      <c r="H14" s="36" t="n">
        <v>16.1</v>
      </c>
      <c r="I14" s="37" t="n">
        <v>0.03</v>
      </c>
      <c r="J14" s="38" t="n">
        <v>0.35</v>
      </c>
      <c r="K14" s="36" t="n">
        <v>153.6</v>
      </c>
      <c r="L14" s="36" t="n">
        <v>13.6</v>
      </c>
      <c r="M14" s="36" t="n">
        <v>142.2</v>
      </c>
      <c r="N14" s="36" t="n">
        <v>584.8</v>
      </c>
      <c r="O14" s="39"/>
      <c r="P14" s="36" t="n">
        <v>747.6</v>
      </c>
      <c r="Q14" s="40" t="n">
        <v>44.8</v>
      </c>
      <c r="R14" s="40" t="n">
        <v>24.2</v>
      </c>
      <c r="S14" s="40" t="n">
        <v>83.1</v>
      </c>
      <c r="T14" s="36" t="n">
        <v>635.8</v>
      </c>
      <c r="U14" s="40" t="n">
        <v>6.6</v>
      </c>
      <c r="V14" s="36" t="n">
        <v>525.4</v>
      </c>
      <c r="W14" s="41" t="n">
        <f aca="false">R14/S14</f>
        <v>0.291215403128761</v>
      </c>
      <c r="X14" s="41" t="n">
        <f aca="false">U14/S14</f>
        <v>0.0794223826714802</v>
      </c>
      <c r="Y14" s="42" t="n">
        <f aca="false">T14*1/R14</f>
        <v>26.2727272727273</v>
      </c>
      <c r="Z14" s="42" t="n">
        <f aca="false">V14*1/U14</f>
        <v>79.6060606060606</v>
      </c>
    </row>
    <row r="15" customFormat="false" ht="15" hidden="false" customHeight="false" outlineLevel="0" collapsed="false">
      <c r="A15" s="28" t="s">
        <v>106</v>
      </c>
      <c r="B15" s="29" t="n">
        <v>167.6</v>
      </c>
      <c r="C15" s="29" t="n">
        <v>122.4</v>
      </c>
      <c r="D15" s="30" t="n">
        <v>0.73</v>
      </c>
      <c r="E15" s="29" t="n">
        <v>16.4</v>
      </c>
      <c r="F15" s="30" t="n">
        <v>0.098</v>
      </c>
      <c r="G15" s="29" t="n">
        <v>46.8</v>
      </c>
      <c r="H15" s="29" t="n">
        <v>27</v>
      </c>
      <c r="I15" s="30" t="n">
        <v>0.161</v>
      </c>
      <c r="J15" s="34" t="n">
        <v>0.59</v>
      </c>
      <c r="K15" s="29" t="n">
        <v>29.6</v>
      </c>
      <c r="L15" s="29" t="n">
        <v>3.3</v>
      </c>
      <c r="M15" s="29" t="n">
        <v>38.4</v>
      </c>
      <c r="N15" s="29" t="n">
        <v>711.1</v>
      </c>
      <c r="P15" s="29" t="n">
        <v>747.6</v>
      </c>
      <c r="Q15" s="31" t="n">
        <v>45.4</v>
      </c>
      <c r="R15" s="31" t="n">
        <v>31.4</v>
      </c>
      <c r="S15" s="31" t="n">
        <v>97.6</v>
      </c>
      <c r="T15" s="29" t="n">
        <v>196.8</v>
      </c>
      <c r="U15" s="31" t="n">
        <v>7.4</v>
      </c>
      <c r="V15" s="29" t="n">
        <v>168.6</v>
      </c>
      <c r="W15" s="32" t="n">
        <f aca="false">R15/S15</f>
        <v>0.32172131147541</v>
      </c>
      <c r="X15" s="32" t="n">
        <f aca="false">U15/S15</f>
        <v>0.0758196721311476</v>
      </c>
      <c r="Y15" s="33" t="n">
        <f aca="false">T15*4/R15</f>
        <v>25.0700636942675</v>
      </c>
      <c r="Z15" s="33" t="n">
        <f aca="false">V15*4/U15</f>
        <v>91.1351351351351</v>
      </c>
    </row>
    <row r="16" customFormat="false" ht="15" hidden="false" customHeight="false" outlineLevel="0" collapsed="false">
      <c r="A16" s="28" t="s">
        <v>107</v>
      </c>
      <c r="B16" s="29" t="n">
        <v>178.3</v>
      </c>
      <c r="C16" s="29" t="n">
        <v>131</v>
      </c>
      <c r="D16" s="30" t="n">
        <v>0.735</v>
      </c>
      <c r="E16" s="29" t="n">
        <v>18.7</v>
      </c>
      <c r="F16" s="30" t="n">
        <v>0.105</v>
      </c>
      <c r="G16" s="29" t="n">
        <v>49.1</v>
      </c>
      <c r="H16" s="29" t="n">
        <v>24.4</v>
      </c>
      <c r="I16" s="30" t="n">
        <v>0.137</v>
      </c>
      <c r="J16" s="34" t="n">
        <v>0.54</v>
      </c>
      <c r="K16" s="29" t="n">
        <v>38.4</v>
      </c>
      <c r="L16" s="29" t="n">
        <v>2.7</v>
      </c>
      <c r="M16" s="29" t="n">
        <v>40.5</v>
      </c>
      <c r="N16" s="29" t="n">
        <v>766.9</v>
      </c>
      <c r="P16" s="29" t="n">
        <v>747.6</v>
      </c>
      <c r="Q16" s="31" t="n">
        <v>45.4</v>
      </c>
      <c r="R16" s="31" t="n">
        <v>34.1</v>
      </c>
      <c r="S16" s="31" t="n">
        <v>103.6</v>
      </c>
      <c r="T16" s="29" t="n">
        <v>206.3</v>
      </c>
      <c r="U16" s="31" t="n">
        <v>8</v>
      </c>
      <c r="V16" s="29" t="n">
        <v>180.3</v>
      </c>
      <c r="W16" s="32" t="n">
        <f aca="false">R16/S16</f>
        <v>0.329150579150579</v>
      </c>
      <c r="X16" s="32" t="n">
        <f aca="false">U16/S16</f>
        <v>0.0772200772200772</v>
      </c>
      <c r="Y16" s="33" t="n">
        <f aca="false">T16*4/R16</f>
        <v>24.1994134897361</v>
      </c>
      <c r="Z16" s="33" t="n">
        <f aca="false">V16*4/U16</f>
        <v>90.15</v>
      </c>
    </row>
    <row r="17" customFormat="false" ht="15" hidden="false" customHeight="false" outlineLevel="0" collapsed="false">
      <c r="A17" s="28" t="s">
        <v>108</v>
      </c>
      <c r="B17" s="29" t="n">
        <v>192.6</v>
      </c>
      <c r="C17" s="29" t="n">
        <v>140.4</v>
      </c>
      <c r="D17" s="30" t="n">
        <v>0.729</v>
      </c>
      <c r="E17" s="29" t="n">
        <v>13.6</v>
      </c>
      <c r="F17" s="30" t="n">
        <v>0.071</v>
      </c>
      <c r="G17" s="29" t="n">
        <v>54.9</v>
      </c>
      <c r="H17" s="29" t="n">
        <v>23.4</v>
      </c>
      <c r="I17" s="30" t="n">
        <v>0.121</v>
      </c>
      <c r="J17" s="34" t="n">
        <v>0.49</v>
      </c>
      <c r="K17" s="29" t="n">
        <v>56.3</v>
      </c>
      <c r="L17" s="29" t="n">
        <v>5.1</v>
      </c>
      <c r="M17" s="29" t="n">
        <v>51.2</v>
      </c>
      <c r="N17" s="29" t="n">
        <v>791.6</v>
      </c>
      <c r="P17" s="29" t="n">
        <v>787.6</v>
      </c>
      <c r="Q17" s="31" t="n">
        <v>45.4</v>
      </c>
      <c r="R17" s="31" t="n">
        <v>37.2</v>
      </c>
      <c r="S17" s="31" t="n">
        <v>113.1</v>
      </c>
      <c r="T17" s="29" t="n">
        <v>223.6</v>
      </c>
      <c r="U17" s="31" t="n">
        <v>8.6</v>
      </c>
      <c r="V17" s="29" t="n">
        <v>189.9</v>
      </c>
      <c r="W17" s="32" t="n">
        <f aca="false">R17/S17</f>
        <v>0.328912466843501</v>
      </c>
      <c r="X17" s="32" t="n">
        <f aca="false">U17/S17</f>
        <v>0.0760389036251105</v>
      </c>
      <c r="Y17" s="33" t="n">
        <f aca="false">T17*4/R17</f>
        <v>24.0430107526882</v>
      </c>
      <c r="Z17" s="33" t="n">
        <f aca="false">V17*4/U17</f>
        <v>88.3255813953489</v>
      </c>
    </row>
    <row r="18" customFormat="false" ht="15" hidden="false" customHeight="false" outlineLevel="0" collapsed="false">
      <c r="A18" s="28" t="s">
        <v>109</v>
      </c>
      <c r="B18" s="29" t="n">
        <v>209.6</v>
      </c>
      <c r="C18" s="29" t="n">
        <v>150.6</v>
      </c>
      <c r="D18" s="30" t="n">
        <v>0.719</v>
      </c>
      <c r="E18" s="29" t="n">
        <v>13.9</v>
      </c>
      <c r="F18" s="30" t="n">
        <v>0.066</v>
      </c>
      <c r="G18" s="29" t="n">
        <v>64.5</v>
      </c>
      <c r="H18" s="29" t="n">
        <v>13.9</v>
      </c>
      <c r="I18" s="30" t="n">
        <v>0.066</v>
      </c>
      <c r="J18" s="34" t="n">
        <v>0.29</v>
      </c>
      <c r="K18" s="29" t="n">
        <v>83.3</v>
      </c>
      <c r="L18" s="29" t="n">
        <v>3.5</v>
      </c>
      <c r="M18" s="29" t="n">
        <v>87.8</v>
      </c>
      <c r="N18" s="29" t="n">
        <v>882</v>
      </c>
      <c r="P18" s="29" t="n">
        <v>838.6</v>
      </c>
      <c r="Q18" s="31" t="n">
        <v>46</v>
      </c>
      <c r="R18" s="31" t="n">
        <v>40.5</v>
      </c>
      <c r="S18" s="31" t="n">
        <v>116.7</v>
      </c>
      <c r="T18" s="29" t="n">
        <v>271.6</v>
      </c>
      <c r="U18" s="31" t="n">
        <v>9.5</v>
      </c>
      <c r="V18" s="29" t="n">
        <v>213.9</v>
      </c>
      <c r="W18" s="32" t="n">
        <f aca="false">R18/S18</f>
        <v>0.347043701799486</v>
      </c>
      <c r="X18" s="32" t="n">
        <f aca="false">U18/S18</f>
        <v>0.0814053127677806</v>
      </c>
      <c r="Y18" s="33" t="n">
        <f aca="false">T18*4/R18</f>
        <v>26.8246913580247</v>
      </c>
      <c r="Z18" s="33" t="n">
        <f aca="false">V18*4/U18</f>
        <v>90.0631578947369</v>
      </c>
    </row>
    <row r="19" customFormat="false" ht="15" hidden="false" customHeight="false" outlineLevel="0" collapsed="false">
      <c r="A19" s="35" t="s">
        <v>32</v>
      </c>
      <c r="B19" s="36" t="n">
        <v>748</v>
      </c>
      <c r="C19" s="36" t="n">
        <v>544.4</v>
      </c>
      <c r="D19" s="37" t="n">
        <v>0.728</v>
      </c>
      <c r="E19" s="36" t="n">
        <v>62.6</v>
      </c>
      <c r="F19" s="37" t="n">
        <v>0.084</v>
      </c>
      <c r="G19" s="36" t="n">
        <v>215.3</v>
      </c>
      <c r="H19" s="36" t="n">
        <v>88.6</v>
      </c>
      <c r="I19" s="37" t="n">
        <v>0.118</v>
      </c>
      <c r="J19" s="38" t="n">
        <v>1.91</v>
      </c>
      <c r="K19" s="36" t="n">
        <v>207.6</v>
      </c>
      <c r="L19" s="36" t="n">
        <v>14.6</v>
      </c>
      <c r="M19" s="36" t="n">
        <v>218</v>
      </c>
      <c r="N19" s="36" t="n">
        <v>882</v>
      </c>
      <c r="O19" s="39"/>
      <c r="P19" s="36" t="n">
        <v>838.6</v>
      </c>
      <c r="Q19" s="40" t="n">
        <v>46</v>
      </c>
      <c r="R19" s="40" t="n">
        <v>40.5</v>
      </c>
      <c r="S19" s="40" t="n">
        <v>116.7</v>
      </c>
      <c r="T19" s="36" t="n">
        <v>898.3</v>
      </c>
      <c r="U19" s="40" t="n">
        <v>9.5</v>
      </c>
      <c r="V19" s="36" t="n">
        <v>752.7</v>
      </c>
      <c r="W19" s="41" t="n">
        <f aca="false">R19/S19</f>
        <v>0.347043701799486</v>
      </c>
      <c r="X19" s="41" t="n">
        <f aca="false">U19/S19</f>
        <v>0.0814053127677806</v>
      </c>
      <c r="Y19" s="42" t="n">
        <f aca="false">T19*1/R19</f>
        <v>22.1802469135802</v>
      </c>
      <c r="Z19" s="42" t="n">
        <f aca="false">V19*1/U19</f>
        <v>79.2315789473684</v>
      </c>
    </row>
    <row r="20" customFormat="false" ht="15" hidden="false" customHeight="false" outlineLevel="0" collapsed="false">
      <c r="A20" s="28" t="s">
        <v>34</v>
      </c>
      <c r="B20" s="29" t="n">
        <v>230.7</v>
      </c>
      <c r="C20" s="29" t="n">
        <v>164.1</v>
      </c>
      <c r="D20" s="30" t="n">
        <v>0.711</v>
      </c>
      <c r="E20" s="29" t="n">
        <v>23.6</v>
      </c>
      <c r="F20" s="30" t="n">
        <v>0.102</v>
      </c>
      <c r="G20" s="29" t="n">
        <v>64.7</v>
      </c>
      <c r="H20" s="29" t="n">
        <v>35.1</v>
      </c>
      <c r="I20" s="30" t="n">
        <v>0.152</v>
      </c>
      <c r="J20" s="34" t="n">
        <v>0.74</v>
      </c>
      <c r="K20" s="29" t="n">
        <v>50.5</v>
      </c>
      <c r="L20" s="29" t="n">
        <v>3.5</v>
      </c>
      <c r="M20" s="29" t="n">
        <v>53.9</v>
      </c>
      <c r="N20" s="29" t="n">
        <v>893.8</v>
      </c>
      <c r="P20" s="29" t="n">
        <v>877.6</v>
      </c>
      <c r="Q20" s="31" t="n">
        <v>46</v>
      </c>
      <c r="R20" s="31" t="n">
        <v>46</v>
      </c>
      <c r="S20" s="31" t="n">
        <v>126.6</v>
      </c>
      <c r="T20" s="29" t="n">
        <v>267.7</v>
      </c>
      <c r="U20" s="31" t="n">
        <v>10.4</v>
      </c>
      <c r="V20" s="29" t="n">
        <v>232.7</v>
      </c>
      <c r="W20" s="32" t="n">
        <f aca="false">R20/S20</f>
        <v>0.363349131121643</v>
      </c>
      <c r="X20" s="32" t="n">
        <f aca="false">U20/S20</f>
        <v>0.0821484992101106</v>
      </c>
      <c r="Y20" s="33" t="n">
        <f aca="false">T20*4/R20</f>
        <v>23.2782608695652</v>
      </c>
      <c r="Z20" s="33" t="n">
        <f aca="false">V20*4/U20</f>
        <v>89.5</v>
      </c>
    </row>
    <row r="21" customFormat="false" ht="15" hidden="false" customHeight="false" outlineLevel="0" collapsed="false">
      <c r="A21" s="28" t="s">
        <v>110</v>
      </c>
      <c r="B21" s="29" t="n">
        <v>251.7</v>
      </c>
      <c r="C21" s="29" t="n">
        <v>182.6</v>
      </c>
      <c r="D21" s="30" t="n">
        <v>0.726</v>
      </c>
      <c r="E21" s="29" t="n">
        <v>33.4</v>
      </c>
      <c r="F21" s="30" t="n">
        <v>0.133</v>
      </c>
      <c r="G21" s="29" t="n">
        <v>72.1</v>
      </c>
      <c r="H21" s="29" t="n">
        <v>44.8</v>
      </c>
      <c r="I21" s="30" t="n">
        <v>0.178</v>
      </c>
      <c r="J21" s="34" t="n">
        <v>0.94</v>
      </c>
      <c r="K21" s="29" t="n">
        <v>67.6</v>
      </c>
      <c r="L21" s="29" t="n">
        <v>2.9</v>
      </c>
      <c r="M21" s="29" t="n">
        <v>70.5</v>
      </c>
      <c r="N21" s="29" t="n">
        <v>977</v>
      </c>
      <c r="P21" s="29" t="n">
        <v>1068.1</v>
      </c>
      <c r="Q21" s="31" t="n">
        <v>47.6</v>
      </c>
      <c r="R21" s="31" t="n">
        <v>49.5</v>
      </c>
      <c r="S21" s="31" t="n">
        <v>131.2</v>
      </c>
      <c r="T21" s="29" t="n">
        <v>289.1</v>
      </c>
      <c r="U21" s="31" t="n">
        <v>11</v>
      </c>
      <c r="V21" s="29" t="n">
        <v>251.6</v>
      </c>
      <c r="W21" s="32" t="n">
        <f aca="false">R21/S21</f>
        <v>0.377286585365854</v>
      </c>
      <c r="X21" s="32" t="n">
        <f aca="false">U21/S21</f>
        <v>0.0838414634146342</v>
      </c>
      <c r="Y21" s="33" t="n">
        <f aca="false">T21*4/R21</f>
        <v>23.3616161616162</v>
      </c>
      <c r="Z21" s="33" t="n">
        <f aca="false">V21*4/U21</f>
        <v>91.4909090909091</v>
      </c>
    </row>
    <row r="22" customFormat="false" ht="15" hidden="false" customHeight="false" outlineLevel="0" collapsed="false">
      <c r="A22" s="28" t="s">
        <v>111</v>
      </c>
      <c r="B22" s="29" t="n">
        <v>271.7</v>
      </c>
      <c r="C22" s="29" t="n">
        <v>196.9</v>
      </c>
      <c r="D22" s="30" t="n">
        <v>0.725</v>
      </c>
      <c r="E22" s="29" t="n">
        <v>35.2</v>
      </c>
      <c r="F22" s="30" t="n">
        <v>0.13</v>
      </c>
      <c r="G22" s="29" t="n">
        <v>80.3</v>
      </c>
      <c r="H22" s="29" t="n">
        <v>292.2</v>
      </c>
      <c r="I22" s="30" t="n">
        <v>1.075</v>
      </c>
      <c r="J22" s="34" t="n">
        <v>5.95</v>
      </c>
      <c r="K22" s="29" t="n">
        <v>84.2</v>
      </c>
      <c r="L22" s="29" t="n">
        <v>6.8</v>
      </c>
      <c r="M22" s="29" t="n">
        <v>77.4</v>
      </c>
      <c r="N22" s="29" t="n">
        <v>1307.5</v>
      </c>
      <c r="P22" s="29" t="n">
        <v>1121.5</v>
      </c>
      <c r="Q22" s="31" t="n">
        <v>49.1</v>
      </c>
      <c r="R22" s="31" t="n">
        <v>50.5</v>
      </c>
      <c r="S22" s="31" t="n">
        <v>135.3</v>
      </c>
      <c r="T22" s="29" t="n">
        <v>313.6</v>
      </c>
      <c r="U22" s="31" t="n">
        <v>11.5</v>
      </c>
      <c r="V22" s="29" t="n">
        <v>268.9</v>
      </c>
      <c r="W22" s="32" t="n">
        <f aca="false">R22/S22</f>
        <v>0.373244641537324</v>
      </c>
      <c r="X22" s="32" t="n">
        <f aca="false">U22/S22</f>
        <v>0.0849963045084996</v>
      </c>
      <c r="Y22" s="33" t="n">
        <f aca="false">T22*4/R22</f>
        <v>24.839603960396</v>
      </c>
      <c r="Z22" s="33" t="n">
        <f aca="false">V22*4/U22</f>
        <v>93.5304347826087</v>
      </c>
    </row>
    <row r="23" customFormat="false" ht="15" hidden="false" customHeight="false" outlineLevel="0" collapsed="false">
      <c r="A23" s="28" t="s">
        <v>112</v>
      </c>
      <c r="B23" s="29" t="n">
        <v>282.9</v>
      </c>
      <c r="C23" s="29" t="n">
        <v>205.9</v>
      </c>
      <c r="D23" s="30" t="n">
        <v>0.728</v>
      </c>
      <c r="E23" s="29" t="n">
        <v>43.5</v>
      </c>
      <c r="F23" s="30" t="n">
        <v>0.154</v>
      </c>
      <c r="G23" s="29" t="n">
        <v>84.3</v>
      </c>
      <c r="H23" s="29" t="n">
        <v>42</v>
      </c>
      <c r="I23" s="30" t="n">
        <v>0.148</v>
      </c>
      <c r="J23" s="34" t="n">
        <v>0.84</v>
      </c>
      <c r="K23" s="29" t="n">
        <v>107.3</v>
      </c>
      <c r="L23" s="29" t="n">
        <v>13.5</v>
      </c>
      <c r="M23" s="29" t="n">
        <v>93.7</v>
      </c>
      <c r="N23" s="29" t="n">
        <v>1347</v>
      </c>
      <c r="O23" s="29" t="n">
        <v>0</v>
      </c>
      <c r="P23" s="29" t="n">
        <v>1036.4</v>
      </c>
      <c r="Q23" s="31" t="n">
        <v>49.8</v>
      </c>
      <c r="R23" s="31" t="n">
        <v>52.7</v>
      </c>
      <c r="S23" s="31" t="n">
        <v>133.1</v>
      </c>
      <c r="T23" s="29" t="n">
        <v>336.8</v>
      </c>
      <c r="U23" s="31" t="n">
        <v>12.2</v>
      </c>
      <c r="V23" s="29" t="n">
        <v>296.6</v>
      </c>
      <c r="W23" s="32" t="n">
        <f aca="false">R23/S23</f>
        <v>0.395942900075132</v>
      </c>
      <c r="X23" s="32" t="n">
        <f aca="false">U23/S23</f>
        <v>0.0916604057099925</v>
      </c>
      <c r="Y23" s="33" t="n">
        <f aca="false">T23*4/R23</f>
        <v>25.5635673624288</v>
      </c>
      <c r="Z23" s="33" t="n">
        <f aca="false">V23*4/U23</f>
        <v>97.2459016393443</v>
      </c>
    </row>
    <row r="24" customFormat="false" ht="15" hidden="false" customHeight="false" outlineLevel="0" collapsed="false">
      <c r="A24" s="35" t="s">
        <v>33</v>
      </c>
      <c r="B24" s="36" t="n">
        <v>1037.6</v>
      </c>
      <c r="C24" s="36" t="n">
        <v>749.5</v>
      </c>
      <c r="D24" s="37" t="n">
        <v>0.722</v>
      </c>
      <c r="E24" s="36" t="n">
        <v>135.6</v>
      </c>
      <c r="F24" s="37" t="n">
        <v>0.131</v>
      </c>
      <c r="G24" s="36" t="n">
        <v>305.9</v>
      </c>
      <c r="H24" s="36" t="n">
        <v>414.1</v>
      </c>
      <c r="I24" s="37" t="n">
        <v>0.399</v>
      </c>
      <c r="J24" s="38" t="n">
        <v>8.38</v>
      </c>
      <c r="K24" s="36" t="n">
        <v>387.8</v>
      </c>
      <c r="L24" s="36" t="n">
        <v>27.4</v>
      </c>
      <c r="M24" s="36" t="n">
        <v>360.4</v>
      </c>
      <c r="N24" s="36" t="n">
        <v>1347</v>
      </c>
      <c r="O24" s="36" t="n">
        <v>0</v>
      </c>
      <c r="P24" s="36" t="n">
        <v>1036.4</v>
      </c>
      <c r="Q24" s="40" t="n">
        <v>49.8</v>
      </c>
      <c r="R24" s="40" t="n">
        <v>52.7</v>
      </c>
      <c r="S24" s="40" t="n">
        <v>133.1</v>
      </c>
      <c r="T24" s="36" t="n">
        <v>1158.4</v>
      </c>
      <c r="U24" s="40" t="n">
        <v>12.2</v>
      </c>
      <c r="V24" s="36" t="n">
        <v>996.3</v>
      </c>
      <c r="W24" s="41" t="n">
        <f aca="false">R24/S24</f>
        <v>0.395942900075132</v>
      </c>
      <c r="X24" s="41" t="n">
        <f aca="false">U24/S24</f>
        <v>0.0916604057099925</v>
      </c>
      <c r="Y24" s="42" t="n">
        <f aca="false">T24*1/R24</f>
        <v>21.9810246679317</v>
      </c>
      <c r="Z24" s="42" t="n">
        <f aca="false">V24*1/U24</f>
        <v>81.6639344262295</v>
      </c>
    </row>
    <row r="25" customFormat="false" ht="15" hidden="false" customHeight="false" outlineLevel="0" collapsed="false">
      <c r="A25" s="28" t="s">
        <v>35</v>
      </c>
      <c r="B25" s="29" t="n">
        <v>292</v>
      </c>
      <c r="C25" s="29" t="n">
        <v>213.1</v>
      </c>
      <c r="D25" s="30" t="n">
        <v>0.73</v>
      </c>
      <c r="E25" s="29" t="n">
        <v>44.5</v>
      </c>
      <c r="F25" s="30" t="n">
        <v>0.153</v>
      </c>
      <c r="G25" s="29" t="n">
        <v>83.4</v>
      </c>
      <c r="H25" s="29" t="n">
        <v>43.5</v>
      </c>
      <c r="I25" s="30" t="n">
        <v>0.149</v>
      </c>
      <c r="J25" s="34" t="n">
        <v>0.89</v>
      </c>
      <c r="K25" s="29" t="n">
        <v>150.8</v>
      </c>
      <c r="L25" s="29" t="n">
        <v>3</v>
      </c>
      <c r="M25" s="29" t="n">
        <v>147.8</v>
      </c>
      <c r="N25" s="29" t="n">
        <v>1391.8</v>
      </c>
      <c r="O25" s="29" t="n">
        <v>0</v>
      </c>
      <c r="P25" s="29" t="n">
        <v>1138.6</v>
      </c>
      <c r="Q25" s="31" t="n">
        <v>49</v>
      </c>
      <c r="R25" s="31" t="n">
        <v>56.5</v>
      </c>
      <c r="S25" s="31" t="n">
        <v>137.8</v>
      </c>
      <c r="T25" s="29" t="n">
        <v>308.5</v>
      </c>
      <c r="U25" s="31" t="n">
        <v>12.5</v>
      </c>
      <c r="V25" s="29" t="n">
        <v>268.1</v>
      </c>
      <c r="W25" s="32" t="n">
        <f aca="false">R25/S25</f>
        <v>0.410014513788099</v>
      </c>
      <c r="X25" s="32" t="n">
        <f aca="false">U25/S25</f>
        <v>0.090711175616836</v>
      </c>
      <c r="Y25" s="33" t="n">
        <f aca="false">T25*4/R25</f>
        <v>21.8407079646018</v>
      </c>
      <c r="Z25" s="33" t="n">
        <f aca="false">V25*4/U25</f>
        <v>85.792</v>
      </c>
    </row>
    <row r="27" customFormat="false" ht="15" hidden="false" customHeight="false" outlineLevel="0" collapsed="false">
      <c r="A27" s="43" t="s">
        <v>113</v>
      </c>
    </row>
    <row r="28" customFormat="false" ht="15" hidden="false" customHeight="false" outlineLevel="0" collapsed="false">
      <c r="A28" s="43" t="s">
        <v>114</v>
      </c>
      <c r="B28" s="44" t="n">
        <v>-0.08</v>
      </c>
      <c r="C28" s="44" t="n">
        <v>-0.06</v>
      </c>
      <c r="D28" s="44" t="n">
        <v>-0.04</v>
      </c>
      <c r="E28" s="44" t="n">
        <v>-0.02</v>
      </c>
      <c r="F28" s="44" t="n">
        <v>0</v>
      </c>
    </row>
    <row r="29" customFormat="false" ht="15" hidden="false" customHeight="false" outlineLevel="0" collapsed="false">
      <c r="A29" s="30" t="n">
        <v>0.12</v>
      </c>
      <c r="B29" s="45" t="n">
        <f aca="false">1158.4*(1+$A29)^3*(1+B28)^3</f>
        <v>1267.2902654591</v>
      </c>
      <c r="C29" s="45" t="n">
        <f aca="false">1158.4*(1+$A29)^3*(1+C28)^3</f>
        <v>1351.7493756756</v>
      </c>
      <c r="D29" s="45" t="n">
        <f aca="false">1158.4*(1+$A29)^3*(1+D28)^3</f>
        <v>1439.88005504287</v>
      </c>
      <c r="E29" s="45" t="n">
        <f aca="false">1158.4*(1+$A29)^3*(1+E28)^3</f>
        <v>1531.76042205348</v>
      </c>
      <c r="F29" s="45" t="n">
        <f aca="false">1158.4*(1+$A29)^3*(1+F28)^3</f>
        <v>1627.4685952</v>
      </c>
    </row>
    <row r="30" customFormat="false" ht="15" hidden="false" customHeight="false" outlineLevel="0" collapsed="false">
      <c r="A30" s="30" t="n">
        <v>0.16</v>
      </c>
      <c r="B30" s="45" t="n">
        <f aca="false">1158.4*(1+$A30)^3*(1+B28)^3</f>
        <v>1407.97842038456</v>
      </c>
      <c r="C30" s="45" t="n">
        <f aca="false">1158.4*(1+$A30)^3*(1+C28)^3</f>
        <v>1501.81375379702</v>
      </c>
      <c r="D30" s="45" t="n">
        <f aca="false">1158.4*(1+$A30)^3*(1+D28)^3</f>
        <v>1599.72825539543</v>
      </c>
      <c r="E30" s="45" t="n">
        <f aca="false">1158.4*(1+$A30)^3*(1+E28)^3</f>
        <v>1701.80871599227</v>
      </c>
      <c r="F30" s="45" t="n">
        <f aca="false">1158.4*(1+$A30)^3*(1+F28)^3</f>
        <v>1808.1419264</v>
      </c>
    </row>
    <row r="31" customFormat="false" ht="15" hidden="false" customHeight="false" outlineLevel="0" collapsed="false">
      <c r="A31" s="30" t="n">
        <v>0.2</v>
      </c>
      <c r="B31" s="45" t="n">
        <f aca="false">1158.4*(1+$A31)^3*(1+B28)^3</f>
        <v>1558.7116056576</v>
      </c>
      <c r="C31" s="45" t="n">
        <f aca="false">1158.4*(1+$A31)^3*(1+C28)^3</f>
        <v>1662.5926176768</v>
      </c>
      <c r="D31" s="45" t="n">
        <f aca="false">1158.4*(1+$A31)^3*(1+D28)^3</f>
        <v>1770.9894991872</v>
      </c>
      <c r="E31" s="45" t="n">
        <f aca="false">1158.4*(1+$A31)^3*(1+E28)^3</f>
        <v>1883.9983325184</v>
      </c>
      <c r="F31" s="45" t="n">
        <f aca="false">1158.4*(1+$A31)^3*(1+F28)^3</f>
        <v>2001.7152</v>
      </c>
    </row>
    <row r="32" customFormat="false" ht="15" hidden="false" customHeight="false" outlineLevel="0" collapsed="false">
      <c r="A32" s="30" t="n">
        <v>0.24</v>
      </c>
      <c r="B32" s="45" t="n">
        <f aca="false">1158.4*(1+$A32)^3*(1+B28)^3</f>
        <v>1719.83620163502</v>
      </c>
      <c r="C32" s="45" t="n">
        <f aca="false">1158.4*(1+$A32)^3*(1+C28)^3</f>
        <v>1834.45543234109</v>
      </c>
      <c r="D32" s="45" t="n">
        <f aca="false">1158.4*(1+$A32)^3*(1+D28)^3</f>
        <v>1954.05733964022</v>
      </c>
      <c r="E32" s="45" t="n">
        <f aca="false">1158.4*(1+$A32)^3*(1+E28)^3</f>
        <v>2078.74793792799</v>
      </c>
      <c r="F32" s="45" t="n">
        <f aca="false">1158.4*(1+$A32)^3*(1+F28)^3</f>
        <v>2208.6332416</v>
      </c>
    </row>
    <row r="34" customFormat="false" ht="15" hidden="false" customHeight="true" outlineLevel="0" collapsed="false">
      <c r="A34" s="24" t="s">
        <v>115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8" customFormat="false" ht="15" hidden="false" customHeight="false" outlineLevel="0" collapsed="false">
      <c r="A38" s="43" t="s">
        <v>116</v>
      </c>
    </row>
    <row r="39" customFormat="false" ht="15" hidden="false" customHeight="true" outlineLevel="0" collapsed="false">
      <c r="A39" s="24" t="s">
        <v>117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true" outlineLevel="0" collapsed="false">
      <c r="A41" s="24" t="s">
        <v>118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true" outlineLevel="0" collapsed="false">
      <c r="A43" s="24" t="s">
        <v>119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</sheetData>
  <mergeCells count="4">
    <mergeCell ref="A34:L36"/>
    <mergeCell ref="A39:L40"/>
    <mergeCell ref="A41:L42"/>
    <mergeCell ref="A43:L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3"/>
  </cols>
  <sheetData>
    <row r="1" customFormat="false" ht="17.25" hidden="false" customHeight="true" outlineLevel="0" collapsed="false">
      <c r="A1" s="2" t="s">
        <v>120</v>
      </c>
    </row>
    <row r="2" customFormat="false" ht="15" hidden="false" customHeight="true" outlineLevel="0" collapsed="false">
      <c r="A2" s="3" t="s">
        <v>121</v>
      </c>
    </row>
    <row r="4" customFormat="false" ht="15" hidden="false" customHeight="true" outlineLevel="0" collapsed="false">
      <c r="A4" s="16"/>
      <c r="B4" s="16" t="s">
        <v>32</v>
      </c>
      <c r="C4" s="16" t="s">
        <v>33</v>
      </c>
      <c r="D4" s="16" t="s">
        <v>122</v>
      </c>
    </row>
    <row r="5" customFormat="false" ht="15" hidden="false" customHeight="true" outlineLevel="0" collapsed="false">
      <c r="A5" s="4" t="s">
        <v>123</v>
      </c>
      <c r="B5" s="46" t="n">
        <f aca="false">Historical!C26</f>
        <v>264.4</v>
      </c>
      <c r="C5" s="46" t="n">
        <f aca="false">Historical!D26</f>
        <v>360.4</v>
      </c>
      <c r="D5" s="46" t="n">
        <f aca="false">Historical!G26</f>
        <v>355</v>
      </c>
    </row>
    <row r="6" customFormat="false" ht="15" hidden="false" customHeight="true" outlineLevel="0" collapsed="false">
      <c r="A6" s="5" t="s">
        <v>124</v>
      </c>
      <c r="B6" s="47" t="n">
        <f aca="false">-Historical!C21</f>
        <v>-120.3</v>
      </c>
      <c r="C6" s="47" t="n">
        <f aca="false">-Historical!D21</f>
        <v>-148.6</v>
      </c>
      <c r="D6" s="47" t="n">
        <f aca="false">-Historical!G21</f>
        <v>-180.75</v>
      </c>
    </row>
    <row r="7" customFormat="false" ht="15" hidden="false" customHeight="true" outlineLevel="0" collapsed="false">
      <c r="A7" s="5" t="s">
        <v>125</v>
      </c>
      <c r="B7" s="47" t="n">
        <f aca="false">-Historical!C16</f>
        <v>-42.7</v>
      </c>
      <c r="C7" s="47" t="n">
        <f aca="false">-Historical!D16</f>
        <v>-45.2</v>
      </c>
      <c r="D7" s="18" t="n">
        <v>-45</v>
      </c>
    </row>
    <row r="8" customFormat="false" ht="15" hidden="false" customHeight="true" outlineLevel="0" collapsed="false">
      <c r="A8" s="4" t="s">
        <v>126</v>
      </c>
      <c r="B8" s="48" t="n">
        <f aca="false">B5+B6+B7</f>
        <v>101.4</v>
      </c>
      <c r="C8" s="48" t="n">
        <f aca="false">C5+C6+C7</f>
        <v>166.6</v>
      </c>
      <c r="D8" s="48" t="n">
        <f aca="false">D5+D6+D7</f>
        <v>129.25</v>
      </c>
    </row>
    <row r="9" customFormat="false" ht="15" hidden="false" customHeight="true" outlineLevel="0" collapsed="false">
      <c r="A9" s="5" t="s">
        <v>127</v>
      </c>
      <c r="B9" s="49" t="n">
        <f aca="false">Historical!C27</f>
        <v>0.353475935828877</v>
      </c>
      <c r="C9" s="49" t="n">
        <f aca="false">Historical!D27</f>
        <v>0.347340015420201</v>
      </c>
      <c r="D9" s="49" t="n">
        <f aca="false">Historical!G27</f>
        <v>0.294605809128631</v>
      </c>
    </row>
    <row r="10" customFormat="false" ht="15" hidden="false" customHeight="true" outlineLevel="0" collapsed="false">
      <c r="A10" s="5" t="s">
        <v>128</v>
      </c>
      <c r="B10" s="19" t="n">
        <f aca="false">B8/Historical!C8</f>
        <v>0.135561497326203</v>
      </c>
      <c r="C10" s="19" t="n">
        <f aca="false">C8/Historical!D8</f>
        <v>0.160562837316885</v>
      </c>
      <c r="D10" s="19" t="n">
        <f aca="false">D8/Historical!G8</f>
        <v>0.107261410788382</v>
      </c>
    </row>
    <row r="12" customFormat="false" ht="15" hidden="false" customHeight="true" outlineLevel="0" collapsed="false">
      <c r="A12" s="5" t="s">
        <v>129</v>
      </c>
      <c r="C12" s="47" t="n">
        <f aca="false">Historical!D29</f>
        <v>123.3</v>
      </c>
    </row>
    <row r="13" customFormat="false" ht="15" hidden="false" customHeight="true" outlineLevel="0" collapsed="false">
      <c r="A13" s="24" t="s">
        <v>130</v>
      </c>
      <c r="B13" s="24"/>
      <c r="C13" s="24"/>
      <c r="D13" s="24"/>
      <c r="E13" s="24"/>
      <c r="F13" s="24"/>
    </row>
    <row r="14" customFormat="false" ht="15" hidden="false" customHeight="true" outlineLevel="0" collapsed="false">
      <c r="A14" s="24"/>
      <c r="B14" s="24"/>
      <c r="C14" s="24"/>
      <c r="D14" s="24"/>
      <c r="E14" s="24"/>
      <c r="F14" s="24"/>
    </row>
    <row r="15" customFormat="false" ht="15" hidden="false" customHeight="true" outlineLevel="0" collapsed="false">
      <c r="A15" s="5" t="s">
        <v>131</v>
      </c>
      <c r="C15" s="47" t="n">
        <f aca="false">Historical!D17</f>
        <v>414.1</v>
      </c>
    </row>
    <row r="16" customFormat="false" ht="15" hidden="false" customHeight="true" outlineLevel="0" collapsed="false">
      <c r="A16" s="5" t="s">
        <v>132</v>
      </c>
      <c r="C16" s="47" t="n">
        <f aca="false">Historical!D18</f>
        <v>157.4</v>
      </c>
    </row>
    <row r="19" customFormat="false" ht="15" hidden="false" customHeight="true" outlineLevel="0" collapsed="false">
      <c r="A19" s="4" t="s">
        <v>133</v>
      </c>
    </row>
    <row r="20" customFormat="false" ht="15" hidden="false" customHeight="true" outlineLevel="0" collapsed="false">
      <c r="A20" s="5" t="s">
        <v>134</v>
      </c>
      <c r="B20" s="12" t="n">
        <f aca="false">Assumptions!B11*Assumptions!B10</f>
        <v>6972</v>
      </c>
    </row>
    <row r="21" customFormat="false" ht="15" hidden="false" customHeight="true" outlineLevel="0" collapsed="false">
      <c r="A21" s="5" t="s">
        <v>135</v>
      </c>
      <c r="B21" s="12" t="n">
        <f aca="false">-Assumptions!B9</f>
        <v>-1140.5</v>
      </c>
    </row>
    <row r="22" customFormat="false" ht="15" hidden="false" customHeight="true" outlineLevel="0" collapsed="false">
      <c r="A22" s="4" t="s">
        <v>136</v>
      </c>
      <c r="B22" s="50" t="n">
        <f aca="false">B20+B21</f>
        <v>5831.5</v>
      </c>
    </row>
    <row r="23" customFormat="false" ht="15" hidden="false" customHeight="true" outlineLevel="0" collapsed="false">
      <c r="A23" s="5" t="s">
        <v>137</v>
      </c>
      <c r="B23" s="51" t="n">
        <f aca="false">B22/Historical!G19</f>
        <v>18.8112903225806</v>
      </c>
    </row>
    <row r="24" customFormat="false" ht="15" hidden="false" customHeight="true" outlineLevel="0" collapsed="false">
      <c r="A24" s="5" t="s">
        <v>138</v>
      </c>
      <c r="B24" s="51" t="n">
        <f aca="false">B22/D5</f>
        <v>16.4267605633803</v>
      </c>
    </row>
    <row r="25" customFormat="false" ht="15" hidden="false" customHeight="true" outlineLevel="0" collapsed="false">
      <c r="A25" s="5" t="s">
        <v>21</v>
      </c>
      <c r="B25" s="52" t="n">
        <f aca="false">B22/D8</f>
        <v>45.1179883945841</v>
      </c>
    </row>
    <row r="27" customFormat="false" ht="15" hidden="false" customHeight="true" outlineLevel="0" collapsed="false">
      <c r="A27" s="24" t="s">
        <v>139</v>
      </c>
      <c r="B27" s="24"/>
      <c r="C27" s="24"/>
      <c r="D27" s="24"/>
      <c r="E27" s="24"/>
      <c r="F27" s="24"/>
    </row>
    <row r="28" customFormat="false" ht="15" hidden="false" customHeight="true" outlineLevel="0" collapsed="false">
      <c r="A28" s="24"/>
      <c r="B28" s="24"/>
      <c r="C28" s="24"/>
      <c r="D28" s="24"/>
      <c r="E28" s="24"/>
      <c r="F28" s="24"/>
    </row>
    <row r="29" customFormat="false" ht="15" hidden="false" customHeight="true" outlineLevel="0" collapsed="false">
      <c r="A29" s="24"/>
      <c r="B29" s="24"/>
      <c r="C29" s="24"/>
      <c r="D29" s="24"/>
      <c r="E29" s="24"/>
      <c r="F29" s="24"/>
    </row>
  </sheetData>
  <mergeCells count="2">
    <mergeCell ref="A13:F14"/>
    <mergeCell ref="A27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140</v>
      </c>
    </row>
    <row r="2" customFormat="false" ht="15" hidden="false" customHeight="true" outlineLevel="0" collapsed="false">
      <c r="A2" s="3" t="s">
        <v>141</v>
      </c>
    </row>
    <row r="4" customFormat="false" ht="15" hidden="false" customHeight="true" outlineLevel="0" collapsed="false">
      <c r="A4" s="4" t="s">
        <v>142</v>
      </c>
    </row>
    <row r="5" customFormat="false" ht="15" hidden="false" customHeight="true" outlineLevel="0" collapsed="false">
      <c r="A5" s="5" t="s">
        <v>143</v>
      </c>
      <c r="B5" s="53" t="n">
        <v>0.105</v>
      </c>
    </row>
    <row r="6" customFormat="false" ht="15" hidden="false" customHeight="true" outlineLevel="0" collapsed="false">
      <c r="A6" s="5" t="s">
        <v>144</v>
      </c>
      <c r="B6" s="54" t="n">
        <v>0.015</v>
      </c>
    </row>
    <row r="7" customFormat="false" ht="15" hidden="false" customHeight="true" outlineLevel="0" collapsed="false">
      <c r="A7" s="5" t="s">
        <v>145</v>
      </c>
      <c r="B7" s="54" t="n">
        <v>0.023</v>
      </c>
    </row>
    <row r="8" customFormat="false" ht="15" hidden="false" customHeight="true" outlineLevel="0" collapsed="false">
      <c r="A8" s="5" t="s">
        <v>146</v>
      </c>
      <c r="B8" s="54" t="n">
        <v>0.18</v>
      </c>
    </row>
    <row r="9" customFormat="false" ht="15" hidden="false" customHeight="true" outlineLevel="0" collapsed="false">
      <c r="A9" s="5" t="s">
        <v>147</v>
      </c>
      <c r="B9" s="55" t="n">
        <v>1140.5</v>
      </c>
    </row>
    <row r="10" customFormat="false" ht="15" hidden="false" customHeight="true" outlineLevel="0" collapsed="false">
      <c r="A10" s="5" t="s">
        <v>11</v>
      </c>
      <c r="B10" s="56" t="n">
        <v>49.8</v>
      </c>
    </row>
    <row r="11" customFormat="false" ht="15" hidden="false" customHeight="true" outlineLevel="0" collapsed="false">
      <c r="A11" s="5" t="s">
        <v>148</v>
      </c>
      <c r="B11" s="57" t="n">
        <v>140</v>
      </c>
    </row>
    <row r="12" customFormat="false" ht="15" hidden="false" customHeight="true" outlineLevel="0" collapsed="false">
      <c r="A12" s="5" t="s">
        <v>149</v>
      </c>
      <c r="B12" s="58" t="n">
        <v>20</v>
      </c>
    </row>
    <row r="14" customFormat="false" ht="15" hidden="false" customHeight="true" outlineLevel="0" collapsed="false">
      <c r="A14" s="4" t="s">
        <v>150</v>
      </c>
      <c r="C14" s="59" t="s">
        <v>151</v>
      </c>
      <c r="D14" s="59" t="s">
        <v>152</v>
      </c>
      <c r="E14" s="59" t="s">
        <v>153</v>
      </c>
    </row>
    <row r="15" customFormat="false" ht="15" hidden="false" customHeight="true" outlineLevel="0" collapsed="false">
      <c r="A15" s="5" t="s">
        <v>154</v>
      </c>
      <c r="C15" s="53" t="n">
        <v>0.015</v>
      </c>
      <c r="D15" s="53" t="n">
        <v>0.03</v>
      </c>
      <c r="E15" s="53" t="n">
        <v>0.035</v>
      </c>
    </row>
    <row r="16" customFormat="false" ht="15" hidden="false" customHeight="true" outlineLevel="0" collapsed="false">
      <c r="A16" s="5" t="s">
        <v>155</v>
      </c>
      <c r="C16" s="53" t="n">
        <v>0.25</v>
      </c>
      <c r="D16" s="53" t="n">
        <v>0.5</v>
      </c>
      <c r="E16" s="53" t="n">
        <v>0.25</v>
      </c>
      <c r="F16" s="19" t="n">
        <f aca="false">SUM(C16:E16)</f>
        <v>1</v>
      </c>
      <c r="G16" s="3" t="s">
        <v>156</v>
      </c>
    </row>
    <row r="18" customFormat="false" ht="15" hidden="false" customHeight="true" outlineLevel="0" collapsed="false">
      <c r="A18" s="4" t="s">
        <v>157</v>
      </c>
    </row>
    <row r="19" customFormat="false" ht="25.5" hidden="false" customHeight="true" outlineLevel="0" collapsed="false">
      <c r="A19" s="4" t="s">
        <v>151</v>
      </c>
      <c r="B19" s="24" t="s">
        <v>158</v>
      </c>
      <c r="C19" s="24"/>
      <c r="D19" s="24"/>
      <c r="E19" s="24"/>
      <c r="F19" s="24"/>
      <c r="G19" s="24"/>
      <c r="H19" s="24"/>
      <c r="I19" s="24"/>
      <c r="J19" s="24"/>
    </row>
    <row r="20" customFormat="false" ht="25.5" hidden="false" customHeight="true" outlineLevel="0" collapsed="false">
      <c r="A20" s="4" t="s">
        <v>152</v>
      </c>
      <c r="B20" s="24" t="s">
        <v>159</v>
      </c>
      <c r="C20" s="24"/>
      <c r="D20" s="24"/>
      <c r="E20" s="24"/>
      <c r="F20" s="24"/>
      <c r="G20" s="24"/>
      <c r="H20" s="24"/>
      <c r="I20" s="24"/>
      <c r="J20" s="24"/>
    </row>
    <row r="21" customFormat="false" ht="25.5" hidden="false" customHeight="true" outlineLevel="0" collapsed="false">
      <c r="A21" s="4" t="s">
        <v>153</v>
      </c>
      <c r="B21" s="24" t="s">
        <v>160</v>
      </c>
      <c r="C21" s="24"/>
      <c r="D21" s="24"/>
      <c r="E21" s="24"/>
      <c r="F21" s="24"/>
      <c r="G21" s="24"/>
      <c r="H21" s="24"/>
      <c r="I21" s="24"/>
      <c r="J21" s="24"/>
    </row>
    <row r="23" customFormat="false" ht="15" hidden="false" customHeight="true" outlineLevel="0" collapsed="false">
      <c r="A23" s="4" t="s">
        <v>161</v>
      </c>
    </row>
    <row r="24" customFormat="false" ht="24" hidden="false" customHeight="true" outlineLevel="0" collapsed="false">
      <c r="A24" s="24" t="s">
        <v>162</v>
      </c>
      <c r="B24" s="24"/>
      <c r="C24" s="24"/>
      <c r="D24" s="24"/>
      <c r="E24" s="24"/>
      <c r="F24" s="24"/>
      <c r="G24" s="24"/>
      <c r="H24" s="24"/>
      <c r="I24" s="24"/>
      <c r="J24" s="24"/>
    </row>
    <row r="25" customFormat="false" ht="24" hidden="false" customHeight="true" outlineLevel="0" collapsed="false">
      <c r="A25" s="24" t="s">
        <v>163</v>
      </c>
      <c r="B25" s="24"/>
      <c r="C25" s="24"/>
      <c r="D25" s="24"/>
      <c r="E25" s="24"/>
      <c r="F25" s="24"/>
      <c r="G25" s="24"/>
      <c r="H25" s="24"/>
      <c r="I25" s="24"/>
      <c r="J25" s="24"/>
    </row>
    <row r="26" customFormat="false" ht="24" hidden="false" customHeight="true" outlineLevel="0" collapsed="false">
      <c r="A26" s="24" t="s">
        <v>164</v>
      </c>
      <c r="B26" s="24"/>
      <c r="C26" s="24"/>
      <c r="D26" s="24"/>
      <c r="E26" s="24"/>
      <c r="F26" s="24"/>
      <c r="G26" s="24"/>
      <c r="H26" s="24"/>
      <c r="I26" s="24"/>
      <c r="J26" s="24"/>
    </row>
    <row r="27" customFormat="false" ht="24" hidden="false" customHeight="true" outlineLevel="0" collapsed="false">
      <c r="A27" s="24" t="s">
        <v>165</v>
      </c>
      <c r="B27" s="24"/>
      <c r="C27" s="24"/>
      <c r="D27" s="24"/>
      <c r="E27" s="24"/>
      <c r="F27" s="24"/>
      <c r="G27" s="24"/>
      <c r="H27" s="24"/>
      <c r="I27" s="24"/>
      <c r="J27" s="24"/>
    </row>
    <row r="28" customFormat="false" ht="24" hidden="false" customHeight="true" outlineLevel="0" collapsed="false">
      <c r="A28" s="24" t="s">
        <v>166</v>
      </c>
      <c r="B28" s="24"/>
      <c r="C28" s="24"/>
      <c r="D28" s="24"/>
      <c r="E28" s="24"/>
      <c r="F28" s="24"/>
      <c r="G28" s="24"/>
      <c r="H28" s="24"/>
      <c r="I28" s="24"/>
      <c r="J28" s="24"/>
    </row>
    <row r="29" customFormat="false" ht="24" hidden="false" customHeight="true" outlineLevel="0" collapsed="false">
      <c r="A29" s="24" t="s">
        <v>167</v>
      </c>
      <c r="B29" s="24"/>
      <c r="C29" s="24"/>
      <c r="D29" s="24"/>
      <c r="E29" s="24"/>
      <c r="F29" s="24"/>
      <c r="G29" s="24"/>
      <c r="H29" s="24"/>
      <c r="I29" s="24"/>
      <c r="J29" s="24"/>
    </row>
    <row r="30" customFormat="false" ht="24" hidden="false" customHeight="true" outlineLevel="0" collapsed="false">
      <c r="A30" s="24" t="s">
        <v>168</v>
      </c>
      <c r="B30" s="24"/>
      <c r="C30" s="24"/>
      <c r="D30" s="24"/>
      <c r="E30" s="24"/>
      <c r="F30" s="24"/>
      <c r="G30" s="24"/>
      <c r="H30" s="24"/>
      <c r="I30" s="24"/>
      <c r="J30" s="24"/>
    </row>
  </sheetData>
  <mergeCells count="10">
    <mergeCell ref="B19:J19"/>
    <mergeCell ref="B20:J20"/>
    <mergeCell ref="B21:J21"/>
    <mergeCell ref="A24:J24"/>
    <mergeCell ref="A25:J25"/>
    <mergeCell ref="A26:J26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99"/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12" min="3" style="1" width="10"/>
  </cols>
  <sheetData>
    <row r="1" customFormat="false" ht="17.25" hidden="false" customHeight="true" outlineLevel="0" collapsed="false">
      <c r="A1" s="2" t="s">
        <v>169</v>
      </c>
    </row>
    <row r="2" customFormat="false" ht="15" hidden="false" customHeight="true" outlineLevel="0" collapsed="false">
      <c r="A2" s="3" t="s">
        <v>170</v>
      </c>
    </row>
    <row r="3" customFormat="false" ht="15" hidden="false" customHeight="true" outlineLevel="0" collapsed="false">
      <c r="B3" s="16" t="s">
        <v>171</v>
      </c>
      <c r="C3" s="16" t="s">
        <v>172</v>
      </c>
      <c r="D3" s="16" t="s">
        <v>173</v>
      </c>
      <c r="E3" s="16" t="s">
        <v>174</v>
      </c>
      <c r="F3" s="16" t="s">
        <v>175</v>
      </c>
      <c r="G3" s="16" t="s">
        <v>176</v>
      </c>
      <c r="H3" s="16" t="s">
        <v>177</v>
      </c>
      <c r="I3" s="16" t="s">
        <v>178</v>
      </c>
      <c r="J3" s="16" t="s">
        <v>179</v>
      </c>
      <c r="K3" s="16" t="s">
        <v>180</v>
      </c>
      <c r="L3" s="16" t="s">
        <v>181</v>
      </c>
    </row>
    <row r="4" customFormat="false" ht="15" hidden="false" customHeight="true" outlineLevel="0" collapsed="false">
      <c r="A4" s="3" t="s">
        <v>182</v>
      </c>
      <c r="B4" s="60" t="n">
        <v>0</v>
      </c>
      <c r="C4" s="60" t="n">
        <v>1</v>
      </c>
      <c r="D4" s="60" t="n">
        <v>2</v>
      </c>
      <c r="E4" s="60" t="n">
        <v>3</v>
      </c>
      <c r="F4" s="60" t="n">
        <v>4</v>
      </c>
      <c r="G4" s="60" t="n">
        <v>5</v>
      </c>
      <c r="H4" s="60" t="n">
        <v>6</v>
      </c>
      <c r="I4" s="60" t="n">
        <v>7</v>
      </c>
      <c r="J4" s="60" t="n">
        <v>8</v>
      </c>
      <c r="K4" s="60" t="n">
        <v>9</v>
      </c>
      <c r="L4" s="60" t="n">
        <v>10</v>
      </c>
    </row>
    <row r="5" customFormat="false" ht="15" hidden="false" customHeight="true" outlineLevel="0" collapsed="false">
      <c r="A5" s="5" t="s">
        <v>183</v>
      </c>
      <c r="C5" s="61" t="n">
        <v>0.15</v>
      </c>
      <c r="D5" s="61" t="n">
        <v>0.07</v>
      </c>
      <c r="E5" s="61" t="n">
        <v>0.05</v>
      </c>
      <c r="F5" s="61" t="n">
        <v>0.04</v>
      </c>
      <c r="G5" s="61" t="n">
        <v>0.03</v>
      </c>
      <c r="H5" s="61" t="n">
        <v>0.03</v>
      </c>
      <c r="I5" s="61" t="n">
        <v>0.02</v>
      </c>
      <c r="J5" s="61" t="n">
        <v>0.02</v>
      </c>
      <c r="K5" s="61" t="n">
        <v>0.01</v>
      </c>
      <c r="L5" s="61" t="n">
        <v>0.01</v>
      </c>
    </row>
    <row r="6" customFormat="false" ht="15" hidden="false" customHeight="true" outlineLevel="0" collapsed="false">
      <c r="A6" s="4" t="s">
        <v>40</v>
      </c>
      <c r="B6" s="46" t="n">
        <f aca="false">Historical!D8</f>
        <v>1037.6</v>
      </c>
      <c r="C6" s="21" t="n">
        <f aca="false">B6*(1+C5)</f>
        <v>1193.24</v>
      </c>
      <c r="D6" s="21" t="n">
        <f aca="false">C6*(1+D5)</f>
        <v>1276.7668</v>
      </c>
      <c r="E6" s="21" t="n">
        <f aca="false">D6*(1+E5)</f>
        <v>1340.60514</v>
      </c>
      <c r="F6" s="21" t="n">
        <f aca="false">E6*(1+F5)</f>
        <v>1394.2293456</v>
      </c>
      <c r="G6" s="21" t="n">
        <f aca="false">F6*(1+G5)</f>
        <v>1436.056225968</v>
      </c>
      <c r="H6" s="21" t="n">
        <f aca="false">G6*(1+H5)</f>
        <v>1479.13791274704</v>
      </c>
      <c r="I6" s="21" t="n">
        <f aca="false">H6*(1+I5)</f>
        <v>1508.72067100198</v>
      </c>
      <c r="J6" s="21" t="n">
        <f aca="false">I6*(1+J5)</f>
        <v>1538.89508442202</v>
      </c>
      <c r="K6" s="21" t="n">
        <f aca="false">J6*(1+K5)</f>
        <v>1554.28403526624</v>
      </c>
      <c r="L6" s="21" t="n">
        <f aca="false">K6*(1+L5)</f>
        <v>1569.8268756189</v>
      </c>
    </row>
    <row r="7" customFormat="false" ht="15" hidden="false" customHeight="true" outlineLevel="0" collapsed="false">
      <c r="A7" s="5" t="s">
        <v>184</v>
      </c>
      <c r="B7" s="49" t="n">
        <f aca="false">Historical!D20</f>
        <v>0.294814957594449</v>
      </c>
      <c r="C7" s="61" t="n">
        <v>0.245</v>
      </c>
      <c r="D7" s="61" t="n">
        <v>0.24</v>
      </c>
      <c r="E7" s="61" t="n">
        <v>0.24</v>
      </c>
      <c r="F7" s="61" t="n">
        <v>0.24</v>
      </c>
      <c r="G7" s="61" t="n">
        <v>0.24</v>
      </c>
      <c r="H7" s="61" t="n">
        <v>0.24</v>
      </c>
      <c r="I7" s="61" t="n">
        <v>0.235</v>
      </c>
      <c r="J7" s="61" t="n">
        <v>0.235</v>
      </c>
      <c r="K7" s="61" t="n">
        <v>0.23</v>
      </c>
      <c r="L7" s="61" t="n">
        <v>0.23</v>
      </c>
    </row>
    <row r="8" customFormat="false" ht="15" hidden="false" customHeight="true" outlineLevel="0" collapsed="false">
      <c r="A8" s="5" t="s">
        <v>51</v>
      </c>
      <c r="B8" s="47" t="n">
        <f aca="false">Historical!D19</f>
        <v>305.9</v>
      </c>
      <c r="C8" s="22" t="n">
        <f aca="false">C6*C7</f>
        <v>292.3438</v>
      </c>
      <c r="D8" s="22" t="n">
        <f aca="false">D6*D7</f>
        <v>306.424032</v>
      </c>
      <c r="E8" s="22" t="n">
        <f aca="false">E6*E7</f>
        <v>321.7452336</v>
      </c>
      <c r="F8" s="22" t="n">
        <f aca="false">F6*F7</f>
        <v>334.615042944</v>
      </c>
      <c r="G8" s="22" t="n">
        <f aca="false">G6*G7</f>
        <v>344.65349423232</v>
      </c>
      <c r="H8" s="22" t="n">
        <f aca="false">H6*H7</f>
        <v>354.99309905929</v>
      </c>
      <c r="I8" s="22" t="n">
        <f aca="false">I6*I7</f>
        <v>354.549357685466</v>
      </c>
      <c r="J8" s="22" t="n">
        <f aca="false">J6*J7</f>
        <v>361.640344839175</v>
      </c>
      <c r="K8" s="22" t="n">
        <f aca="false">K6*K7</f>
        <v>357.485328111235</v>
      </c>
      <c r="L8" s="22" t="n">
        <f aca="false">L6*L7</f>
        <v>361.060181392348</v>
      </c>
    </row>
    <row r="9" customFormat="false" ht="15" hidden="false" customHeight="true" outlineLevel="0" collapsed="false">
      <c r="A9" s="5" t="s">
        <v>185</v>
      </c>
      <c r="B9" s="49" t="n">
        <f aca="false">Historical!D22</f>
        <v>0.143215111796453</v>
      </c>
      <c r="C9" s="61" t="n">
        <v>0.15</v>
      </c>
      <c r="D9" s="61" t="n">
        <v>0.145</v>
      </c>
      <c r="E9" s="61" t="n">
        <v>0.14</v>
      </c>
      <c r="F9" s="61" t="n">
        <v>0.14</v>
      </c>
      <c r="G9" s="61" t="n">
        <v>0.135</v>
      </c>
      <c r="H9" s="61" t="n">
        <v>0.135</v>
      </c>
      <c r="I9" s="61" t="n">
        <v>0.13</v>
      </c>
      <c r="J9" s="61" t="n">
        <v>0.13</v>
      </c>
      <c r="K9" s="61" t="n">
        <v>0.13</v>
      </c>
      <c r="L9" s="61" t="n">
        <v>0.13</v>
      </c>
    </row>
    <row r="10" customFormat="false" ht="15" hidden="false" customHeight="true" outlineLevel="0" collapsed="false">
      <c r="A10" s="5" t="s">
        <v>186</v>
      </c>
      <c r="B10" s="47" t="n">
        <f aca="false">-Historical!D21</f>
        <v>-148.6</v>
      </c>
      <c r="C10" s="22" t="n">
        <f aca="false">-C6*C9</f>
        <v>-178.986</v>
      </c>
      <c r="D10" s="22" t="n">
        <f aca="false">-D6*D9</f>
        <v>-185.131186</v>
      </c>
      <c r="E10" s="22" t="n">
        <f aca="false">-E6*E9</f>
        <v>-187.6847196</v>
      </c>
      <c r="F10" s="22" t="n">
        <f aca="false">-F6*F9</f>
        <v>-195.192108384</v>
      </c>
      <c r="G10" s="22" t="n">
        <f aca="false">-G6*G9</f>
        <v>-193.86759050568</v>
      </c>
      <c r="H10" s="22" t="n">
        <f aca="false">-H6*H9</f>
        <v>-199.68361822085</v>
      </c>
      <c r="I10" s="22" t="n">
        <f aca="false">-I6*I9</f>
        <v>-196.133687230258</v>
      </c>
      <c r="J10" s="22" t="n">
        <f aca="false">-J6*J9</f>
        <v>-200.056360974863</v>
      </c>
      <c r="K10" s="22" t="n">
        <f aca="false">-K6*K9</f>
        <v>-202.056924584611</v>
      </c>
      <c r="L10" s="22" t="n">
        <f aca="false">-L6*L9</f>
        <v>-204.077493830457</v>
      </c>
    </row>
    <row r="11" customFormat="false" ht="15" hidden="false" customHeight="true" outlineLevel="0" collapsed="false">
      <c r="A11" s="4" t="s">
        <v>187</v>
      </c>
      <c r="C11" s="21" t="n">
        <f aca="false">C8+C10</f>
        <v>113.3578</v>
      </c>
      <c r="D11" s="21" t="n">
        <f aca="false">D8+D10</f>
        <v>121.292846</v>
      </c>
      <c r="E11" s="21" t="n">
        <f aca="false">E8+E10</f>
        <v>134.060514</v>
      </c>
      <c r="F11" s="21" t="n">
        <f aca="false">F8+F10</f>
        <v>139.42293456</v>
      </c>
      <c r="G11" s="21" t="n">
        <f aca="false">G8+G10</f>
        <v>150.78590372664</v>
      </c>
      <c r="H11" s="21" t="n">
        <f aca="false">H8+H10</f>
        <v>155.309480838439</v>
      </c>
      <c r="I11" s="21" t="n">
        <f aca="false">I8+I10</f>
        <v>158.415670455208</v>
      </c>
      <c r="J11" s="21" t="n">
        <f aca="false">J8+J10</f>
        <v>161.583983864312</v>
      </c>
      <c r="K11" s="21" t="n">
        <f aca="false">K8+K10</f>
        <v>155.428403526624</v>
      </c>
      <c r="L11" s="21" t="n">
        <f aca="false">L8+L10</f>
        <v>156.98268756189</v>
      </c>
    </row>
    <row r="12" customFormat="false" ht="15" hidden="false" customHeight="true" outlineLevel="0" collapsed="false">
      <c r="A12" s="5" t="s">
        <v>55</v>
      </c>
      <c r="C12" s="22" t="n">
        <f aca="false">-C6*Assumptions!$B$6</f>
        <v>-17.8986</v>
      </c>
      <c r="D12" s="22" t="n">
        <f aca="false">-D6*Assumptions!$B$6</f>
        <v>-19.151502</v>
      </c>
      <c r="E12" s="22" t="n">
        <f aca="false">-E6*Assumptions!$B$6</f>
        <v>-20.1090771</v>
      </c>
      <c r="F12" s="22" t="n">
        <f aca="false">-F6*Assumptions!$B$6</f>
        <v>-20.913440184</v>
      </c>
      <c r="G12" s="22" t="n">
        <f aca="false">-G6*Assumptions!$B$6</f>
        <v>-21.54084338952</v>
      </c>
      <c r="H12" s="22" t="n">
        <f aca="false">-H6*Assumptions!$B$6</f>
        <v>-22.1870686912056</v>
      </c>
      <c r="I12" s="22" t="n">
        <f aca="false">-I6*Assumptions!$B$6</f>
        <v>-22.6308100650297</v>
      </c>
      <c r="J12" s="22" t="n">
        <f aca="false">-J6*Assumptions!$B$6</f>
        <v>-23.0834262663303</v>
      </c>
      <c r="K12" s="22" t="n">
        <f aca="false">-K6*Assumptions!$B$6</f>
        <v>-23.3142605289936</v>
      </c>
      <c r="L12" s="22" t="n">
        <f aca="false">-L6*Assumptions!$B$6</f>
        <v>-23.5474031342835</v>
      </c>
    </row>
    <row r="13" customFormat="false" ht="15" hidden="false" customHeight="true" outlineLevel="0" collapsed="false">
      <c r="A13" s="5" t="s">
        <v>188</v>
      </c>
      <c r="C13" s="22" t="n">
        <f aca="false">C11+C12</f>
        <v>95.4592</v>
      </c>
      <c r="D13" s="22" t="n">
        <f aca="false">D11+D12</f>
        <v>102.141344</v>
      </c>
      <c r="E13" s="22" t="n">
        <f aca="false">E11+E12</f>
        <v>113.9514369</v>
      </c>
      <c r="F13" s="22" t="n">
        <f aca="false">F11+F12</f>
        <v>118.509494376</v>
      </c>
      <c r="G13" s="22" t="n">
        <f aca="false">G11+G12</f>
        <v>129.24506033712</v>
      </c>
      <c r="H13" s="22" t="n">
        <f aca="false">H11+H12</f>
        <v>133.122412147234</v>
      </c>
      <c r="I13" s="22" t="n">
        <f aca="false">I11+I12</f>
        <v>135.784860390178</v>
      </c>
      <c r="J13" s="22" t="n">
        <f aca="false">J11+J12</f>
        <v>138.500557597982</v>
      </c>
      <c r="K13" s="22" t="n">
        <f aca="false">K11+K12</f>
        <v>132.11414299763</v>
      </c>
      <c r="L13" s="22" t="n">
        <f aca="false">L11+L12</f>
        <v>133.435284427607</v>
      </c>
    </row>
    <row r="14" customFormat="false" ht="15" hidden="false" customHeight="true" outlineLevel="0" collapsed="false">
      <c r="A14" s="5" t="s">
        <v>189</v>
      </c>
      <c r="C14" s="54" t="n">
        <v>-0.06</v>
      </c>
      <c r="D14" s="54" t="n">
        <v>0.05</v>
      </c>
      <c r="E14" s="54" t="n">
        <v>0.12</v>
      </c>
      <c r="F14" s="54" t="n">
        <v>0.18</v>
      </c>
      <c r="G14" s="54" t="n">
        <v>0.21</v>
      </c>
      <c r="H14" s="54" t="n">
        <v>0.21</v>
      </c>
      <c r="I14" s="54" t="n">
        <v>0.21</v>
      </c>
      <c r="J14" s="54" t="n">
        <v>0.21</v>
      </c>
      <c r="K14" s="54" t="n">
        <v>0.21</v>
      </c>
      <c r="L14" s="54" t="n">
        <v>0.21</v>
      </c>
    </row>
    <row r="15" customFormat="false" ht="15" hidden="false" customHeight="true" outlineLevel="0" collapsed="false">
      <c r="A15" s="5" t="s">
        <v>190</v>
      </c>
      <c r="C15" s="22" t="n">
        <f aca="false">C13*(1-C14)</f>
        <v>101.186752</v>
      </c>
      <c r="D15" s="22" t="n">
        <f aca="false">D13*(1-D14)</f>
        <v>97.0342768</v>
      </c>
      <c r="E15" s="22" t="n">
        <f aca="false">E13*(1-E14)</f>
        <v>100.277264472</v>
      </c>
      <c r="F15" s="22" t="n">
        <f aca="false">F13*(1-F14)</f>
        <v>97.17778538832</v>
      </c>
      <c r="G15" s="22" t="n">
        <f aca="false">G13*(1-G14)</f>
        <v>102.103597666325</v>
      </c>
      <c r="H15" s="22" t="n">
        <f aca="false">H13*(1-H14)</f>
        <v>105.166705596315</v>
      </c>
      <c r="I15" s="22" t="n">
        <f aca="false">I13*(1-I14)</f>
        <v>107.270039708241</v>
      </c>
      <c r="J15" s="22" t="n">
        <f aca="false">J13*(1-J14)</f>
        <v>109.415440502406</v>
      </c>
      <c r="K15" s="22" t="n">
        <f aca="false">K13*(1-K14)</f>
        <v>104.370172968128</v>
      </c>
      <c r="L15" s="22" t="n">
        <f aca="false">L13*(1-L14)</f>
        <v>105.413874697809</v>
      </c>
    </row>
    <row r="16" customFormat="false" ht="15" hidden="false" customHeight="true" outlineLevel="0" collapsed="false">
      <c r="A16" s="5" t="s">
        <v>191</v>
      </c>
      <c r="C16" s="22" t="n">
        <f aca="false">-C12</f>
        <v>17.8986</v>
      </c>
      <c r="D16" s="22" t="n">
        <f aca="false">-D12</f>
        <v>19.151502</v>
      </c>
      <c r="E16" s="22" t="n">
        <f aca="false">-E12</f>
        <v>20.1090771</v>
      </c>
      <c r="F16" s="22" t="n">
        <f aca="false">-F12</f>
        <v>20.913440184</v>
      </c>
      <c r="G16" s="22" t="n">
        <f aca="false">-G12</f>
        <v>21.54084338952</v>
      </c>
      <c r="H16" s="22" t="n">
        <f aca="false">-H12</f>
        <v>22.1870686912056</v>
      </c>
      <c r="I16" s="22" t="n">
        <f aca="false">-I12</f>
        <v>22.6308100650297</v>
      </c>
      <c r="J16" s="22" t="n">
        <f aca="false">-J12</f>
        <v>23.0834262663303</v>
      </c>
      <c r="K16" s="22" t="n">
        <f aca="false">-K12</f>
        <v>23.3142605289936</v>
      </c>
      <c r="L16" s="22" t="n">
        <f aca="false">-L12</f>
        <v>23.5474031342835</v>
      </c>
    </row>
    <row r="17" customFormat="false" ht="15" hidden="false" customHeight="true" outlineLevel="0" collapsed="false">
      <c r="A17" s="5" t="s">
        <v>192</v>
      </c>
      <c r="C17" s="22" t="n">
        <f aca="false">-C6*Assumptions!$B$7</f>
        <v>-27.44452</v>
      </c>
      <c r="D17" s="22" t="n">
        <f aca="false">-D6*Assumptions!$B$7</f>
        <v>-29.3656364</v>
      </c>
      <c r="E17" s="22" t="n">
        <f aca="false">-E6*Assumptions!$B$7</f>
        <v>-30.83391822</v>
      </c>
      <c r="F17" s="22" t="n">
        <f aca="false">-F6*Assumptions!$B$7</f>
        <v>-32.0672749488</v>
      </c>
      <c r="G17" s="22" t="n">
        <f aca="false">-G6*Assumptions!$B$7</f>
        <v>-33.029293197264</v>
      </c>
      <c r="H17" s="22" t="n">
        <f aca="false">-H6*Assumptions!$B$7</f>
        <v>-34.0201719931819</v>
      </c>
      <c r="I17" s="22" t="n">
        <f aca="false">-I6*Assumptions!$B$7</f>
        <v>-34.7005754330456</v>
      </c>
      <c r="J17" s="22" t="n">
        <f aca="false">-J6*Assumptions!$B$7</f>
        <v>-35.3945869417065</v>
      </c>
      <c r="K17" s="22" t="n">
        <f aca="false">-K6*Assumptions!$B$7</f>
        <v>-35.7485328111235</v>
      </c>
      <c r="L17" s="22" t="n">
        <f aca="false">-L6*Assumptions!$B$7</f>
        <v>-36.1060181392348</v>
      </c>
    </row>
    <row r="18" customFormat="false" ht="15" hidden="false" customHeight="true" outlineLevel="0" collapsed="false">
      <c r="A18" s="5" t="s">
        <v>193</v>
      </c>
      <c r="C18" s="22" t="n">
        <f aca="false">Assumptions!$B$8*(C6-B6)</f>
        <v>28.0152</v>
      </c>
      <c r="D18" s="22" t="n">
        <f aca="false">Assumptions!$B$8*(D6-C6)</f>
        <v>15.034824</v>
      </c>
      <c r="E18" s="22" t="n">
        <f aca="false">Assumptions!$B$8*(E6-D6)</f>
        <v>11.4909012</v>
      </c>
      <c r="F18" s="22" t="n">
        <f aca="false">Assumptions!$B$8*(F6-E6)</f>
        <v>9.65235700800002</v>
      </c>
      <c r="G18" s="22" t="n">
        <f aca="false">Assumptions!$B$8*(G6-F6)</f>
        <v>7.52883846624001</v>
      </c>
      <c r="H18" s="22" t="n">
        <f aca="false">Assumptions!$B$8*(H6-G6)</f>
        <v>7.75470362022719</v>
      </c>
      <c r="I18" s="22" t="n">
        <f aca="false">Assumptions!$B$8*(I6-H6)</f>
        <v>5.32489648588937</v>
      </c>
      <c r="J18" s="22" t="n">
        <f aca="false">Assumptions!$B$8*(J6-I6)</f>
        <v>5.43139441560713</v>
      </c>
      <c r="K18" s="22" t="n">
        <f aca="false">Assumptions!$B$8*(K6-J6)</f>
        <v>2.77001115195965</v>
      </c>
      <c r="L18" s="22" t="n">
        <f aca="false">Assumptions!$B$8*(L6-K6)</f>
        <v>2.79771126347922</v>
      </c>
    </row>
    <row r="19" customFormat="false" ht="15" hidden="false" customHeight="true" outlineLevel="0" collapsed="false">
      <c r="A19" s="4" t="s">
        <v>194</v>
      </c>
      <c r="C19" s="48" t="n">
        <f aca="false">C15+C16+C17+C18</f>
        <v>119.656032</v>
      </c>
      <c r="D19" s="48" t="n">
        <f aca="false">D15+D16+D17+D18</f>
        <v>101.8549664</v>
      </c>
      <c r="E19" s="48" t="n">
        <f aca="false">E15+E16+E17+E18</f>
        <v>101.043324552</v>
      </c>
      <c r="F19" s="48" t="n">
        <f aca="false">F15+F16+F17+F18</f>
        <v>95.67630763152</v>
      </c>
      <c r="G19" s="48" t="n">
        <f aca="false">G15+G16+G17+G18</f>
        <v>98.1439863248208</v>
      </c>
      <c r="H19" s="48" t="n">
        <f aca="false">H15+H16+H17+H18</f>
        <v>101.088305914565</v>
      </c>
      <c r="I19" s="48" t="n">
        <f aca="false">I15+I16+I17+I18</f>
        <v>100.525170826114</v>
      </c>
      <c r="J19" s="48" t="n">
        <f aca="false">J15+J16+J17+J18</f>
        <v>102.535674242637</v>
      </c>
      <c r="K19" s="48" t="n">
        <f aca="false">K15+K16+K17+K18</f>
        <v>94.7059118379578</v>
      </c>
      <c r="L19" s="48" t="n">
        <f aca="false">L15+L16+L17+L18</f>
        <v>95.6529709563373</v>
      </c>
    </row>
    <row r="20" customFormat="false" ht="15" hidden="false" customHeight="true" outlineLevel="0" collapsed="false">
      <c r="A20" s="5" t="s">
        <v>195</v>
      </c>
      <c r="C20" s="62" t="n">
        <f aca="false">1/(1+Assumptions!$B$5)^C4</f>
        <v>0.904977375565611</v>
      </c>
      <c r="D20" s="62" t="n">
        <f aca="false">1/(1+Assumptions!$B$5)^D4</f>
        <v>0.818984050285621</v>
      </c>
      <c r="E20" s="62" t="n">
        <f aca="false">1/(1+Assumptions!$B$5)^E4</f>
        <v>0.741162036457575</v>
      </c>
      <c r="F20" s="62" t="n">
        <f aca="false">1/(1+Assumptions!$B$5)^F4</f>
        <v>0.67073487462224</v>
      </c>
      <c r="G20" s="62" t="n">
        <f aca="false">1/(1+Assumptions!$B$5)^G4</f>
        <v>0.606999886535964</v>
      </c>
      <c r="H20" s="62" t="n">
        <f aca="false">1/(1+Assumptions!$B$5)^H4</f>
        <v>0.54932116428594</v>
      </c>
      <c r="I20" s="62" t="n">
        <f aca="false">1/(1+Assumptions!$B$5)^I4</f>
        <v>0.497123225598136</v>
      </c>
      <c r="J20" s="62" t="n">
        <f aca="false">1/(1+Assumptions!$B$5)^J4</f>
        <v>0.449885272034512</v>
      </c>
      <c r="K20" s="62" t="n">
        <f aca="false">1/(1+Assumptions!$B$5)^K4</f>
        <v>0.407135992791414</v>
      </c>
      <c r="L20" s="62" t="n">
        <f aca="false">1/(1+Assumptions!$B$5)^L4</f>
        <v>0.368448862254673</v>
      </c>
    </row>
    <row r="21" customFormat="false" ht="15" hidden="false" customHeight="true" outlineLevel="0" collapsed="false">
      <c r="A21" s="5" t="s">
        <v>196</v>
      </c>
      <c r="C21" s="22" t="n">
        <f aca="false">C19*C20</f>
        <v>108.286001809955</v>
      </c>
      <c r="D21" s="22" t="n">
        <f aca="false">D19*D20</f>
        <v>83.4175929239778</v>
      </c>
      <c r="E21" s="22" t="n">
        <f aca="false">E19*E20</f>
        <v>74.889476195404</v>
      </c>
      <c r="F21" s="22" t="n">
        <f aca="false">F19*F20</f>
        <v>64.1734362035464</v>
      </c>
      <c r="G21" s="22" t="n">
        <f aca="false">G19*G20</f>
        <v>59.5733885633534</v>
      </c>
      <c r="H21" s="22" t="n">
        <f aca="false">H19*H20</f>
        <v>55.5299459006824</v>
      </c>
      <c r="I21" s="22" t="n">
        <f aca="false">I19*I20</f>
        <v>49.9733971748816</v>
      </c>
      <c r="J21" s="22" t="n">
        <f aca="false">J19*J20</f>
        <v>46.1292896998907</v>
      </c>
      <c r="K21" s="22" t="n">
        <f aca="false">K19*K20</f>
        <v>38.5581854393631</v>
      </c>
      <c r="L21" s="22" t="n">
        <f aca="false">L19*L20</f>
        <v>35.2432283201418</v>
      </c>
    </row>
    <row r="23" customFormat="false" ht="15" hidden="false" customHeight="true" outlineLevel="0" collapsed="false">
      <c r="A23" s="5" t="s">
        <v>197</v>
      </c>
      <c r="C23" s="22" t="n">
        <f aca="false">C19-C10</f>
        <v>298.642032</v>
      </c>
      <c r="D23" s="22" t="n">
        <f aca="false">D19-D10</f>
        <v>286.9861524</v>
      </c>
      <c r="E23" s="22" t="n">
        <f aca="false">E19-E10</f>
        <v>288.728044152</v>
      </c>
      <c r="F23" s="22" t="n">
        <f aca="false">F19-F10</f>
        <v>290.86841601552</v>
      </c>
      <c r="G23" s="22" t="n">
        <f aca="false">G19-G10</f>
        <v>292.011576830501</v>
      </c>
      <c r="H23" s="22" t="n">
        <f aca="false">H19-H10</f>
        <v>300.771924135416</v>
      </c>
      <c r="I23" s="22" t="n">
        <f aca="false">I19-I10</f>
        <v>296.658858056372</v>
      </c>
      <c r="J23" s="22" t="n">
        <f aca="false">J19-J10</f>
        <v>302.592035217499</v>
      </c>
      <c r="K23" s="22" t="n">
        <f aca="false">K19-K10</f>
        <v>296.762836422569</v>
      </c>
      <c r="L23" s="22" t="n">
        <f aca="false">L19-L10</f>
        <v>299.730464786795</v>
      </c>
    </row>
    <row r="24" customFormat="false" ht="15" hidden="false" customHeight="true" outlineLevel="0" collapsed="false">
      <c r="A24" s="3" t="s">
        <v>198</v>
      </c>
      <c r="C24" s="63" t="n">
        <f aca="false">C19/C6</f>
        <v>0.100278260869565</v>
      </c>
      <c r="D24" s="63" t="n">
        <f aca="false">D19/D6</f>
        <v>0.0797757009345795</v>
      </c>
      <c r="E24" s="63" t="n">
        <f aca="false">E19/E6</f>
        <v>0.0753714285714286</v>
      </c>
      <c r="F24" s="63" t="n">
        <f aca="false">F19/F6</f>
        <v>0.0686230769230769</v>
      </c>
      <c r="G24" s="63" t="n">
        <f aca="false">G19/G6</f>
        <v>0.0683427184466019</v>
      </c>
      <c r="H24" s="63" t="n">
        <f aca="false">H19/H6</f>
        <v>0.0683427184466019</v>
      </c>
      <c r="I24" s="63" t="n">
        <f aca="false">I19/I6</f>
        <v>0.0666294117647059</v>
      </c>
      <c r="J24" s="63" t="n">
        <f aca="false">J19/J6</f>
        <v>0.0666294117647059</v>
      </c>
      <c r="K24" s="63" t="n">
        <f aca="false">K19/K6</f>
        <v>0.0609321782178218</v>
      </c>
      <c r="L24" s="63" t="n">
        <f aca="false">L19/L6</f>
        <v>0.0609321782178218</v>
      </c>
    </row>
    <row r="25" customFormat="false" ht="15" hidden="false" customHeight="true" outlineLevel="0" collapsed="false">
      <c r="A25" s="4" t="s">
        <v>199</v>
      </c>
    </row>
    <row r="26" customFormat="false" ht="15" hidden="false" customHeight="true" outlineLevel="0" collapsed="false">
      <c r="A26" s="5" t="s">
        <v>200</v>
      </c>
      <c r="B26" s="22" t="n">
        <f aca="false">SUM(C21:L21)</f>
        <v>615.773942231196</v>
      </c>
    </row>
    <row r="27" customFormat="false" ht="15" hidden="false" customHeight="true" outlineLevel="0" collapsed="false">
      <c r="A27" s="5" t="s">
        <v>154</v>
      </c>
      <c r="B27" s="49" t="n">
        <f aca="false">Assumptions!$C$15</f>
        <v>0.015</v>
      </c>
    </row>
    <row r="28" customFormat="false" ht="15" hidden="false" customHeight="true" outlineLevel="0" collapsed="false">
      <c r="A28" s="5" t="s">
        <v>201</v>
      </c>
      <c r="B28" s="22" t="n">
        <f aca="false">L19*(1+B27)</f>
        <v>97.0877655206824</v>
      </c>
    </row>
    <row r="29" customFormat="false" ht="15" hidden="false" customHeight="true" outlineLevel="0" collapsed="false">
      <c r="A29" s="5" t="s">
        <v>202</v>
      </c>
      <c r="B29" s="64" t="n">
        <f aca="false">B28/(Assumptions!$B$5-B27)</f>
        <v>1078.7529502298</v>
      </c>
    </row>
    <row r="30" customFormat="false" ht="15" hidden="false" customHeight="true" outlineLevel="0" collapsed="false">
      <c r="A30" s="5" t="s">
        <v>203</v>
      </c>
      <c r="B30" s="64" t="n">
        <f aca="false">Assumptions!$B$12*L19</f>
        <v>1913.05941912675</v>
      </c>
    </row>
    <row r="31" customFormat="false" ht="15" hidden="false" customHeight="true" outlineLevel="0" collapsed="false">
      <c r="A31" s="4" t="s">
        <v>204</v>
      </c>
      <c r="B31" s="65" t="n">
        <f aca="false">MIN(B29,B30)</f>
        <v>1078.7529502298</v>
      </c>
    </row>
    <row r="32" customFormat="false" ht="15" hidden="false" customHeight="true" outlineLevel="0" collapsed="false">
      <c r="A32" s="5" t="s">
        <v>205</v>
      </c>
      <c r="B32" s="51" t="n">
        <f aca="false">B31/L19</f>
        <v>11.2777777777778</v>
      </c>
    </row>
    <row r="33" customFormat="false" ht="15" hidden="false" customHeight="true" outlineLevel="0" collapsed="false">
      <c r="A33" s="5" t="s">
        <v>206</v>
      </c>
      <c r="B33" s="64" t="n">
        <f aca="false">B31*L20</f>
        <v>397.465297166043</v>
      </c>
    </row>
    <row r="34" customFormat="false" ht="15" hidden="false" customHeight="true" outlineLevel="0" collapsed="false">
      <c r="A34" s="4" t="s">
        <v>136</v>
      </c>
      <c r="B34" s="65" t="n">
        <f aca="false">B26+B33</f>
        <v>1013.23923939724</v>
      </c>
    </row>
    <row r="35" customFormat="false" ht="15" hidden="false" customHeight="true" outlineLevel="0" collapsed="false">
      <c r="A35" s="5" t="s">
        <v>207</v>
      </c>
      <c r="B35" s="12" t="n">
        <f aca="false">Assumptions!$B$9</f>
        <v>1140.5</v>
      </c>
    </row>
    <row r="36" customFormat="false" ht="15" hidden="false" customHeight="true" outlineLevel="0" collapsed="false">
      <c r="A36" s="4" t="s">
        <v>208</v>
      </c>
      <c r="B36" s="65" t="n">
        <f aca="false">B34+B35</f>
        <v>2153.73923939724</v>
      </c>
    </row>
    <row r="37" customFormat="false" ht="15" hidden="false" customHeight="true" outlineLevel="0" collapsed="false">
      <c r="A37" s="5" t="s">
        <v>11</v>
      </c>
      <c r="B37" s="10" t="n">
        <f aca="false">Assumptions!$B$10</f>
        <v>49.8</v>
      </c>
    </row>
    <row r="38" customFormat="false" ht="15" hidden="false" customHeight="true" outlineLevel="0" collapsed="false">
      <c r="A38" s="4" t="s">
        <v>209</v>
      </c>
      <c r="B38" s="66" t="n">
        <f aca="false">B36/B37</f>
        <v>43.2477758915108</v>
      </c>
    </row>
    <row r="39" customFormat="false" ht="15" hidden="false" customHeight="true" outlineLevel="0" collapsed="false">
      <c r="A39" s="4" t="s">
        <v>210</v>
      </c>
      <c r="B39" s="67" t="n">
        <f aca="false">B38/Assumptions!$B$11-1</f>
        <v>-0.691087315060637</v>
      </c>
    </row>
    <row r="41" customFormat="false" ht="15" hidden="false" customHeight="true" outlineLevel="0" collapsed="false">
      <c r="A41" s="5" t="s">
        <v>211</v>
      </c>
      <c r="B41" s="64" t="n">
        <f aca="false">SUMPRODUCT(-C10:L10/(1+Assumptions!$B$5)^C4:L4)</f>
        <v>1155.95454414073</v>
      </c>
      <c r="C41" s="3" t="s">
        <v>212</v>
      </c>
    </row>
    <row r="42" customFormat="false" ht="15" hidden="false" customHeight="true" outlineLevel="0" collapsed="false">
      <c r="A42" s="5" t="s">
        <v>213</v>
      </c>
      <c r="B42" s="64" t="n">
        <f aca="false">(-L10*(1+B27)/(Assumptions!$B$5-B27))*L20</f>
        <v>848.000024664682</v>
      </c>
    </row>
    <row r="43" customFormat="false" ht="15" hidden="false" customHeight="true" outlineLevel="0" collapsed="false">
      <c r="A43" s="4" t="s">
        <v>214</v>
      </c>
      <c r="B43" s="68" t="n">
        <f aca="false">(B36+B41+B42)/B37</f>
        <v>83.4878274739487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12" min="3" style="1" width="10"/>
  </cols>
  <sheetData>
    <row r="1" customFormat="false" ht="17.25" hidden="false" customHeight="true" outlineLevel="0" collapsed="false">
      <c r="A1" s="2" t="s">
        <v>215</v>
      </c>
    </row>
    <row r="2" customFormat="false" ht="15" hidden="false" customHeight="true" outlineLevel="0" collapsed="false">
      <c r="A2" s="3" t="s">
        <v>170</v>
      </c>
    </row>
    <row r="3" customFormat="false" ht="15" hidden="false" customHeight="true" outlineLevel="0" collapsed="false">
      <c r="B3" s="16" t="s">
        <v>171</v>
      </c>
      <c r="C3" s="16" t="s">
        <v>172</v>
      </c>
      <c r="D3" s="16" t="s">
        <v>173</v>
      </c>
      <c r="E3" s="16" t="s">
        <v>174</v>
      </c>
      <c r="F3" s="16" t="s">
        <v>175</v>
      </c>
      <c r="G3" s="16" t="s">
        <v>176</v>
      </c>
      <c r="H3" s="16" t="s">
        <v>177</v>
      </c>
      <c r="I3" s="16" t="s">
        <v>178</v>
      </c>
      <c r="J3" s="16" t="s">
        <v>179</v>
      </c>
      <c r="K3" s="16" t="s">
        <v>180</v>
      </c>
      <c r="L3" s="16" t="s">
        <v>181</v>
      </c>
    </row>
    <row r="4" customFormat="false" ht="15" hidden="false" customHeight="true" outlineLevel="0" collapsed="false">
      <c r="A4" s="3" t="s">
        <v>182</v>
      </c>
      <c r="B4" s="60" t="n">
        <v>0</v>
      </c>
      <c r="C4" s="60" t="n">
        <v>1</v>
      </c>
      <c r="D4" s="60" t="n">
        <v>2</v>
      </c>
      <c r="E4" s="60" t="n">
        <v>3</v>
      </c>
      <c r="F4" s="60" t="n">
        <v>4</v>
      </c>
      <c r="G4" s="60" t="n">
        <v>5</v>
      </c>
      <c r="H4" s="60" t="n">
        <v>6</v>
      </c>
      <c r="I4" s="60" t="n">
        <v>7</v>
      </c>
      <c r="J4" s="60" t="n">
        <v>8</v>
      </c>
      <c r="K4" s="60" t="n">
        <v>9</v>
      </c>
      <c r="L4" s="60" t="n">
        <v>10</v>
      </c>
    </row>
    <row r="5" customFormat="false" ht="15" hidden="false" customHeight="true" outlineLevel="0" collapsed="false">
      <c r="A5" s="5" t="s">
        <v>183</v>
      </c>
      <c r="C5" s="61" t="n">
        <v>0.161</v>
      </c>
      <c r="D5" s="61" t="n">
        <v>0.12</v>
      </c>
      <c r="E5" s="61" t="n">
        <v>0.14</v>
      </c>
      <c r="F5" s="61" t="n">
        <v>0.13</v>
      </c>
      <c r="G5" s="61" t="n">
        <v>0.11</v>
      </c>
      <c r="H5" s="61" t="n">
        <v>0.1</v>
      </c>
      <c r="I5" s="61" t="n">
        <v>0.09</v>
      </c>
      <c r="J5" s="61" t="n">
        <v>0.08</v>
      </c>
      <c r="K5" s="61" t="n">
        <v>0.07</v>
      </c>
      <c r="L5" s="61" t="n">
        <v>0.06</v>
      </c>
    </row>
    <row r="6" customFormat="false" ht="15" hidden="false" customHeight="true" outlineLevel="0" collapsed="false">
      <c r="A6" s="4" t="s">
        <v>40</v>
      </c>
      <c r="B6" s="46" t="n">
        <f aca="false">Historical!D8</f>
        <v>1037.6</v>
      </c>
      <c r="C6" s="21" t="n">
        <f aca="false">B6*(1+C5)</f>
        <v>1204.6536</v>
      </c>
      <c r="D6" s="21" t="n">
        <f aca="false">C6*(1+D5)</f>
        <v>1349.212032</v>
      </c>
      <c r="E6" s="21" t="n">
        <f aca="false">D6*(1+E5)</f>
        <v>1538.10171648</v>
      </c>
      <c r="F6" s="21" t="n">
        <f aca="false">E6*(1+F5)</f>
        <v>1738.0549396224</v>
      </c>
      <c r="G6" s="21" t="n">
        <f aca="false">F6*(1+G5)</f>
        <v>1929.24098298086</v>
      </c>
      <c r="H6" s="21" t="n">
        <f aca="false">G6*(1+H5)</f>
        <v>2122.16508127895</v>
      </c>
      <c r="I6" s="21" t="n">
        <f aca="false">H6*(1+I5)</f>
        <v>2313.15993859406</v>
      </c>
      <c r="J6" s="21" t="n">
        <f aca="false">I6*(1+J5)</f>
        <v>2498.21273368158</v>
      </c>
      <c r="K6" s="21" t="n">
        <f aca="false">J6*(1+K5)</f>
        <v>2673.08762503929</v>
      </c>
      <c r="L6" s="21" t="n">
        <f aca="false">K6*(1+L5)</f>
        <v>2833.47288254165</v>
      </c>
    </row>
    <row r="7" customFormat="false" ht="15" hidden="false" customHeight="true" outlineLevel="0" collapsed="false">
      <c r="A7" s="5" t="s">
        <v>184</v>
      </c>
      <c r="B7" s="49" t="n">
        <f aca="false">Historical!D20</f>
        <v>0.294814957594449</v>
      </c>
      <c r="C7" s="61" t="n">
        <v>0.255</v>
      </c>
      <c r="D7" s="61" t="n">
        <v>0.265</v>
      </c>
      <c r="E7" s="61" t="n">
        <v>0.275</v>
      </c>
      <c r="F7" s="61" t="n">
        <v>0.285</v>
      </c>
      <c r="G7" s="61" t="n">
        <v>0.295</v>
      </c>
      <c r="H7" s="61" t="n">
        <v>0.3</v>
      </c>
      <c r="I7" s="61" t="n">
        <v>0.305</v>
      </c>
      <c r="J7" s="61" t="n">
        <v>0.31</v>
      </c>
      <c r="K7" s="61" t="n">
        <v>0.315</v>
      </c>
      <c r="L7" s="61" t="n">
        <v>0.32</v>
      </c>
    </row>
    <row r="8" customFormat="false" ht="15" hidden="false" customHeight="true" outlineLevel="0" collapsed="false">
      <c r="A8" s="5" t="s">
        <v>51</v>
      </c>
      <c r="B8" s="47" t="n">
        <f aca="false">Historical!D19</f>
        <v>305.9</v>
      </c>
      <c r="C8" s="22" t="n">
        <f aca="false">C6*C7</f>
        <v>307.186668</v>
      </c>
      <c r="D8" s="22" t="n">
        <f aca="false">D6*D7</f>
        <v>357.54118848</v>
      </c>
      <c r="E8" s="22" t="n">
        <f aca="false">E6*E7</f>
        <v>422.977972032</v>
      </c>
      <c r="F8" s="22" t="n">
        <f aca="false">F6*F7</f>
        <v>495.345657792384</v>
      </c>
      <c r="G8" s="22" t="n">
        <f aca="false">G6*G7</f>
        <v>569.126089979355</v>
      </c>
      <c r="H8" s="22" t="n">
        <f aca="false">H6*H7</f>
        <v>636.649524383685</v>
      </c>
      <c r="I8" s="22" t="n">
        <f aca="false">I6*I7</f>
        <v>705.513781271187</v>
      </c>
      <c r="J8" s="22" t="n">
        <f aca="false">J6*J7</f>
        <v>774.44594744129</v>
      </c>
      <c r="K8" s="22" t="n">
        <f aca="false">K6*K7</f>
        <v>842.022601887377</v>
      </c>
      <c r="L8" s="22" t="n">
        <f aca="false">L6*L7</f>
        <v>906.711322413328</v>
      </c>
    </row>
    <row r="9" customFormat="false" ht="15" hidden="false" customHeight="true" outlineLevel="0" collapsed="false">
      <c r="A9" s="5" t="s">
        <v>185</v>
      </c>
      <c r="B9" s="49" t="n">
        <f aca="false">Historical!D22</f>
        <v>0.143215111796453</v>
      </c>
      <c r="C9" s="61" t="n">
        <v>0.15</v>
      </c>
      <c r="D9" s="61" t="n">
        <v>0.145</v>
      </c>
      <c r="E9" s="61" t="n">
        <v>0.14</v>
      </c>
      <c r="F9" s="61" t="n">
        <v>0.13</v>
      </c>
      <c r="G9" s="61" t="n">
        <v>0.125</v>
      </c>
      <c r="H9" s="61" t="n">
        <v>0.12</v>
      </c>
      <c r="I9" s="61" t="n">
        <v>0.115</v>
      </c>
      <c r="J9" s="61" t="n">
        <v>0.11</v>
      </c>
      <c r="K9" s="61" t="n">
        <v>0.105</v>
      </c>
      <c r="L9" s="61" t="n">
        <v>0.1</v>
      </c>
    </row>
    <row r="10" customFormat="false" ht="15" hidden="false" customHeight="true" outlineLevel="0" collapsed="false">
      <c r="A10" s="5" t="s">
        <v>186</v>
      </c>
      <c r="B10" s="47" t="n">
        <f aca="false">-Historical!D21</f>
        <v>-148.6</v>
      </c>
      <c r="C10" s="22" t="n">
        <f aca="false">-C6*C9</f>
        <v>-180.69804</v>
      </c>
      <c r="D10" s="22" t="n">
        <f aca="false">-D6*D9</f>
        <v>-195.63574464</v>
      </c>
      <c r="E10" s="22" t="n">
        <f aca="false">-E6*E9</f>
        <v>-215.3342403072</v>
      </c>
      <c r="F10" s="22" t="n">
        <f aca="false">-F6*F9</f>
        <v>-225.947142150912</v>
      </c>
      <c r="G10" s="22" t="n">
        <f aca="false">-G6*G9</f>
        <v>-241.155122872608</v>
      </c>
      <c r="H10" s="22" t="n">
        <f aca="false">-H6*H9</f>
        <v>-254.659809753474</v>
      </c>
      <c r="I10" s="22" t="n">
        <f aca="false">-I6*I9</f>
        <v>-266.013392938316</v>
      </c>
      <c r="J10" s="22" t="n">
        <f aca="false">-J6*J9</f>
        <v>-274.803400704974</v>
      </c>
      <c r="K10" s="22" t="n">
        <f aca="false">-K6*K9</f>
        <v>-280.674200629126</v>
      </c>
      <c r="L10" s="22" t="n">
        <f aca="false">-L6*L9</f>
        <v>-283.347288254165</v>
      </c>
    </row>
    <row r="11" customFormat="false" ht="15" hidden="false" customHeight="true" outlineLevel="0" collapsed="false">
      <c r="A11" s="4" t="s">
        <v>187</v>
      </c>
      <c r="C11" s="21" t="n">
        <f aca="false">C8+C10</f>
        <v>126.488628</v>
      </c>
      <c r="D11" s="21" t="n">
        <f aca="false">D8+D10</f>
        <v>161.90544384</v>
      </c>
      <c r="E11" s="21" t="n">
        <f aca="false">E8+E10</f>
        <v>207.6437317248</v>
      </c>
      <c r="F11" s="21" t="n">
        <f aca="false">F8+F10</f>
        <v>269.398515641472</v>
      </c>
      <c r="G11" s="21" t="n">
        <f aca="false">G8+G10</f>
        <v>327.970967106747</v>
      </c>
      <c r="H11" s="21" t="n">
        <f aca="false">H8+H10</f>
        <v>381.989714630211</v>
      </c>
      <c r="I11" s="21" t="n">
        <f aca="false">I8+I10</f>
        <v>439.500388332871</v>
      </c>
      <c r="J11" s="21" t="n">
        <f aca="false">J8+J10</f>
        <v>499.642546736316</v>
      </c>
      <c r="K11" s="21" t="n">
        <f aca="false">K8+K10</f>
        <v>561.348401258251</v>
      </c>
      <c r="L11" s="21" t="n">
        <f aca="false">L8+L10</f>
        <v>623.364034159163</v>
      </c>
    </row>
    <row r="12" customFormat="false" ht="15" hidden="false" customHeight="true" outlineLevel="0" collapsed="false">
      <c r="A12" s="5" t="s">
        <v>55</v>
      </c>
      <c r="C12" s="22" t="n">
        <f aca="false">-C6*Assumptions!$B$6</f>
        <v>-18.069804</v>
      </c>
      <c r="D12" s="22" t="n">
        <f aca="false">-D6*Assumptions!$B$6</f>
        <v>-20.23818048</v>
      </c>
      <c r="E12" s="22" t="n">
        <f aca="false">-E6*Assumptions!$B$6</f>
        <v>-23.0715257472</v>
      </c>
      <c r="F12" s="22" t="n">
        <f aca="false">-F6*Assumptions!$B$6</f>
        <v>-26.070824094336</v>
      </c>
      <c r="G12" s="22" t="n">
        <f aca="false">-G6*Assumptions!$B$6</f>
        <v>-28.938614744713</v>
      </c>
      <c r="H12" s="22" t="n">
        <f aca="false">-H6*Assumptions!$B$6</f>
        <v>-31.8324762191843</v>
      </c>
      <c r="I12" s="22" t="n">
        <f aca="false">-I6*Assumptions!$B$6</f>
        <v>-34.6973990789108</v>
      </c>
      <c r="J12" s="22" t="n">
        <f aca="false">-J6*Assumptions!$B$6</f>
        <v>-37.4731910052237</v>
      </c>
      <c r="K12" s="22" t="n">
        <f aca="false">-K6*Assumptions!$B$6</f>
        <v>-40.0963143755894</v>
      </c>
      <c r="L12" s="22" t="n">
        <f aca="false">-L6*Assumptions!$B$6</f>
        <v>-42.5020932381247</v>
      </c>
    </row>
    <row r="13" customFormat="false" ht="15" hidden="false" customHeight="true" outlineLevel="0" collapsed="false">
      <c r="A13" s="5" t="s">
        <v>188</v>
      </c>
      <c r="C13" s="22" t="n">
        <f aca="false">C11+C12</f>
        <v>108.418824</v>
      </c>
      <c r="D13" s="22" t="n">
        <f aca="false">D11+D12</f>
        <v>141.66726336</v>
      </c>
      <c r="E13" s="22" t="n">
        <f aca="false">E11+E12</f>
        <v>184.5722059776</v>
      </c>
      <c r="F13" s="22" t="n">
        <f aca="false">F11+F12</f>
        <v>243.327691547136</v>
      </c>
      <c r="G13" s="22" t="n">
        <f aca="false">G11+G12</f>
        <v>299.032352362034</v>
      </c>
      <c r="H13" s="22" t="n">
        <f aca="false">H11+H12</f>
        <v>350.157238411027</v>
      </c>
      <c r="I13" s="22" t="n">
        <f aca="false">I11+I12</f>
        <v>404.80298925396</v>
      </c>
      <c r="J13" s="22" t="n">
        <f aca="false">J11+J12</f>
        <v>462.169355731092</v>
      </c>
      <c r="K13" s="22" t="n">
        <f aca="false">K11+K12</f>
        <v>521.252086882662</v>
      </c>
      <c r="L13" s="22" t="n">
        <f aca="false">L11+L12</f>
        <v>580.861940921038</v>
      </c>
    </row>
    <row r="14" customFormat="false" ht="15" hidden="false" customHeight="true" outlineLevel="0" collapsed="false">
      <c r="A14" s="5" t="s">
        <v>189</v>
      </c>
      <c r="C14" s="54" t="n">
        <v>-0.06</v>
      </c>
      <c r="D14" s="54" t="n">
        <v>0.08</v>
      </c>
      <c r="E14" s="54" t="n">
        <v>0.15</v>
      </c>
      <c r="F14" s="54" t="n">
        <v>0.2</v>
      </c>
      <c r="G14" s="54" t="n">
        <v>0.21</v>
      </c>
      <c r="H14" s="54" t="n">
        <v>0.21</v>
      </c>
      <c r="I14" s="54" t="n">
        <v>0.21</v>
      </c>
      <c r="J14" s="54" t="n">
        <v>0.21</v>
      </c>
      <c r="K14" s="54" t="n">
        <v>0.21</v>
      </c>
      <c r="L14" s="54" t="n">
        <v>0.21</v>
      </c>
    </row>
    <row r="15" customFormat="false" ht="15" hidden="false" customHeight="true" outlineLevel="0" collapsed="false">
      <c r="A15" s="5" t="s">
        <v>190</v>
      </c>
      <c r="C15" s="22" t="n">
        <f aca="false">C13*(1-C14)</f>
        <v>114.92395344</v>
      </c>
      <c r="D15" s="22" t="n">
        <f aca="false">D13*(1-D14)</f>
        <v>130.3338822912</v>
      </c>
      <c r="E15" s="22" t="n">
        <f aca="false">E13*(1-E14)</f>
        <v>156.88637508096</v>
      </c>
      <c r="F15" s="22" t="n">
        <f aca="false">F13*(1-F14)</f>
        <v>194.662153237709</v>
      </c>
      <c r="G15" s="22" t="n">
        <f aca="false">G13*(1-G14)</f>
        <v>236.235558366007</v>
      </c>
      <c r="H15" s="22" t="n">
        <f aca="false">H13*(1-H14)</f>
        <v>276.624218344711</v>
      </c>
      <c r="I15" s="22" t="n">
        <f aca="false">I13*(1-I14)</f>
        <v>319.794361510628</v>
      </c>
      <c r="J15" s="22" t="n">
        <f aca="false">J13*(1-J14)</f>
        <v>365.113791027563</v>
      </c>
      <c r="K15" s="22" t="n">
        <f aca="false">K13*(1-K14)</f>
        <v>411.789148637303</v>
      </c>
      <c r="L15" s="22" t="n">
        <f aca="false">L13*(1-L14)</f>
        <v>458.88093332762</v>
      </c>
    </row>
    <row r="16" customFormat="false" ht="15" hidden="false" customHeight="true" outlineLevel="0" collapsed="false">
      <c r="A16" s="5" t="s">
        <v>191</v>
      </c>
      <c r="C16" s="22" t="n">
        <f aca="false">-C12</f>
        <v>18.069804</v>
      </c>
      <c r="D16" s="22" t="n">
        <f aca="false">-D12</f>
        <v>20.23818048</v>
      </c>
      <c r="E16" s="22" t="n">
        <f aca="false">-E12</f>
        <v>23.0715257472</v>
      </c>
      <c r="F16" s="22" t="n">
        <f aca="false">-F12</f>
        <v>26.070824094336</v>
      </c>
      <c r="G16" s="22" t="n">
        <f aca="false">-G12</f>
        <v>28.938614744713</v>
      </c>
      <c r="H16" s="22" t="n">
        <f aca="false">-H12</f>
        <v>31.8324762191843</v>
      </c>
      <c r="I16" s="22" t="n">
        <f aca="false">-I12</f>
        <v>34.6973990789108</v>
      </c>
      <c r="J16" s="22" t="n">
        <f aca="false">-J12</f>
        <v>37.4731910052237</v>
      </c>
      <c r="K16" s="22" t="n">
        <f aca="false">-K12</f>
        <v>40.0963143755894</v>
      </c>
      <c r="L16" s="22" t="n">
        <f aca="false">-L12</f>
        <v>42.5020932381247</v>
      </c>
    </row>
    <row r="17" customFormat="false" ht="15" hidden="false" customHeight="true" outlineLevel="0" collapsed="false">
      <c r="A17" s="5" t="s">
        <v>192</v>
      </c>
      <c r="C17" s="22" t="n">
        <f aca="false">-C6*Assumptions!$B$7</f>
        <v>-27.7070328</v>
      </c>
      <c r="D17" s="22" t="n">
        <f aca="false">-D6*Assumptions!$B$7</f>
        <v>-31.031876736</v>
      </c>
      <c r="E17" s="22" t="n">
        <f aca="false">-E6*Assumptions!$B$7</f>
        <v>-35.37633947904</v>
      </c>
      <c r="F17" s="22" t="n">
        <f aca="false">-F6*Assumptions!$B$7</f>
        <v>-39.9752636113152</v>
      </c>
      <c r="G17" s="22" t="n">
        <f aca="false">-G6*Assumptions!$B$7</f>
        <v>-44.3725426085599</v>
      </c>
      <c r="H17" s="22" t="n">
        <f aca="false">-H6*Assumptions!$B$7</f>
        <v>-48.8097968694159</v>
      </c>
      <c r="I17" s="22" t="n">
        <f aca="false">-I6*Assumptions!$B$7</f>
        <v>-53.2026785876633</v>
      </c>
      <c r="J17" s="22" t="n">
        <f aca="false">-J6*Assumptions!$B$7</f>
        <v>-57.4588928746764</v>
      </c>
      <c r="K17" s="22" t="n">
        <f aca="false">-K6*Assumptions!$B$7</f>
        <v>-61.4810153759037</v>
      </c>
      <c r="L17" s="22" t="n">
        <f aca="false">-L6*Assumptions!$B$7</f>
        <v>-65.1698762984579</v>
      </c>
    </row>
    <row r="18" customFormat="false" ht="15" hidden="false" customHeight="true" outlineLevel="0" collapsed="false">
      <c r="A18" s="5" t="s">
        <v>193</v>
      </c>
      <c r="C18" s="22" t="n">
        <f aca="false">Assumptions!$B$8*(C6-B6)</f>
        <v>30.069648</v>
      </c>
      <c r="D18" s="22" t="n">
        <f aca="false">Assumptions!$B$8*(D6-C6)</f>
        <v>26.02051776</v>
      </c>
      <c r="E18" s="22" t="n">
        <f aca="false">Assumptions!$B$8*(E6-D6)</f>
        <v>34.0001432064</v>
      </c>
      <c r="F18" s="22" t="n">
        <f aca="false">Assumptions!$B$8*(F6-E6)</f>
        <v>35.991580165632</v>
      </c>
      <c r="G18" s="22" t="n">
        <f aca="false">Assumptions!$B$8*(G6-F6)</f>
        <v>34.4134878045235</v>
      </c>
      <c r="H18" s="22" t="n">
        <f aca="false">Assumptions!$B$8*(H6-G6)</f>
        <v>34.7263376936556</v>
      </c>
      <c r="I18" s="22" t="n">
        <f aca="false">Assumptions!$B$8*(I6-H6)</f>
        <v>34.379074316719</v>
      </c>
      <c r="J18" s="22" t="n">
        <f aca="false">Assumptions!$B$8*(J6-I6)</f>
        <v>33.3095031157545</v>
      </c>
      <c r="K18" s="22" t="n">
        <f aca="false">Assumptions!$B$8*(K6-J6)</f>
        <v>31.477480444388</v>
      </c>
      <c r="L18" s="22" t="n">
        <f aca="false">Assumptions!$B$8*(L6-K6)</f>
        <v>28.8693463504243</v>
      </c>
    </row>
    <row r="19" customFormat="false" ht="15" hidden="false" customHeight="true" outlineLevel="0" collapsed="false">
      <c r="A19" s="4" t="s">
        <v>194</v>
      </c>
      <c r="C19" s="48" t="n">
        <f aca="false">C15+C16+C17+C18</f>
        <v>135.35637264</v>
      </c>
      <c r="D19" s="48" t="n">
        <f aca="false">D15+D16+D17+D18</f>
        <v>145.5607037952</v>
      </c>
      <c r="E19" s="48" t="n">
        <f aca="false">E15+E16+E17+E18</f>
        <v>178.58170455552</v>
      </c>
      <c r="F19" s="48" t="n">
        <f aca="false">F15+F16+F17+F18</f>
        <v>216.749293886362</v>
      </c>
      <c r="G19" s="48" t="n">
        <f aca="false">G15+G16+G17+G18</f>
        <v>255.215118306683</v>
      </c>
      <c r="H19" s="48" t="n">
        <f aca="false">H15+H16+H17+H18</f>
        <v>294.373235388135</v>
      </c>
      <c r="I19" s="48" t="n">
        <f aca="false">I15+I16+I17+I18</f>
        <v>335.668156318595</v>
      </c>
      <c r="J19" s="48" t="n">
        <f aca="false">J15+J16+J17+J18</f>
        <v>378.437592273865</v>
      </c>
      <c r="K19" s="48" t="n">
        <f aca="false">K15+K16+K17+K18</f>
        <v>421.881928081377</v>
      </c>
      <c r="L19" s="48" t="n">
        <f aca="false">L15+L16+L17+L18</f>
        <v>465.082496617711</v>
      </c>
    </row>
    <row r="20" customFormat="false" ht="15" hidden="false" customHeight="true" outlineLevel="0" collapsed="false">
      <c r="A20" s="5" t="s">
        <v>195</v>
      </c>
      <c r="C20" s="62" t="n">
        <f aca="false">1/(1+Assumptions!$B$5)^C4</f>
        <v>0.904977375565611</v>
      </c>
      <c r="D20" s="62" t="n">
        <f aca="false">1/(1+Assumptions!$B$5)^D4</f>
        <v>0.818984050285621</v>
      </c>
      <c r="E20" s="62" t="n">
        <f aca="false">1/(1+Assumptions!$B$5)^E4</f>
        <v>0.741162036457575</v>
      </c>
      <c r="F20" s="62" t="n">
        <f aca="false">1/(1+Assumptions!$B$5)^F4</f>
        <v>0.67073487462224</v>
      </c>
      <c r="G20" s="62" t="n">
        <f aca="false">1/(1+Assumptions!$B$5)^G4</f>
        <v>0.606999886535964</v>
      </c>
      <c r="H20" s="62" t="n">
        <f aca="false">1/(1+Assumptions!$B$5)^H4</f>
        <v>0.54932116428594</v>
      </c>
      <c r="I20" s="62" t="n">
        <f aca="false">1/(1+Assumptions!$B$5)^I4</f>
        <v>0.497123225598136</v>
      </c>
      <c r="J20" s="62" t="n">
        <f aca="false">1/(1+Assumptions!$B$5)^J4</f>
        <v>0.449885272034512</v>
      </c>
      <c r="K20" s="62" t="n">
        <f aca="false">1/(1+Assumptions!$B$5)^K4</f>
        <v>0.407135992791414</v>
      </c>
      <c r="L20" s="62" t="n">
        <f aca="false">1/(1+Assumptions!$B$5)^L4</f>
        <v>0.368448862254673</v>
      </c>
    </row>
    <row r="21" customFormat="false" ht="15" hidden="false" customHeight="true" outlineLevel="0" collapsed="false">
      <c r="A21" s="5" t="s">
        <v>196</v>
      </c>
      <c r="C21" s="22" t="n">
        <f aca="false">C19*C20</f>
        <v>122.494454877828</v>
      </c>
      <c r="D21" s="22" t="n">
        <f aca="false">D19*D20</f>
        <v>119.211894756618</v>
      </c>
      <c r="E21" s="22" t="n">
        <f aca="false">E19*E20</f>
        <v>132.357979822434</v>
      </c>
      <c r="F21" s="22" t="n">
        <f aca="false">F19*F20</f>
        <v>145.381310459328</v>
      </c>
      <c r="G21" s="22" t="n">
        <f aca="false">G19*G20</f>
        <v>154.915547854419</v>
      </c>
      <c r="H21" s="22" t="n">
        <f aca="false">H19*H20</f>
        <v>161.70544839803</v>
      </c>
      <c r="I21" s="22" t="n">
        <f aca="false">I19*I20</f>
        <v>166.868436599679</v>
      </c>
      <c r="J21" s="22" t="n">
        <f aca="false">J19*J20</f>
        <v>170.253499148213</v>
      </c>
      <c r="K21" s="22" t="n">
        <f aca="false">K19*K20</f>
        <v>171.763317630167</v>
      </c>
      <c r="L21" s="22" t="n">
        <f aca="false">L19*L20</f>
        <v>171.359116733359</v>
      </c>
    </row>
    <row r="23" customFormat="false" ht="15" hidden="false" customHeight="true" outlineLevel="0" collapsed="false">
      <c r="A23" s="5" t="s">
        <v>197</v>
      </c>
      <c r="C23" s="22" t="n">
        <f aca="false">C19-C10</f>
        <v>316.05441264</v>
      </c>
      <c r="D23" s="22" t="n">
        <f aca="false">D19-D10</f>
        <v>341.1964484352</v>
      </c>
      <c r="E23" s="22" t="n">
        <f aca="false">E19-E10</f>
        <v>393.91594486272</v>
      </c>
      <c r="F23" s="22" t="n">
        <f aca="false">F19-F10</f>
        <v>442.696436037274</v>
      </c>
      <c r="G23" s="22" t="n">
        <f aca="false">G19-G10</f>
        <v>496.370241179291</v>
      </c>
      <c r="H23" s="22" t="n">
        <f aca="false">H19-H10</f>
        <v>549.033045141609</v>
      </c>
      <c r="I23" s="22" t="n">
        <f aca="false">I19-I10</f>
        <v>601.681549256911</v>
      </c>
      <c r="J23" s="22" t="n">
        <f aca="false">J19-J10</f>
        <v>653.240992978839</v>
      </c>
      <c r="K23" s="22" t="n">
        <f aca="false">K19-K10</f>
        <v>702.556128710502</v>
      </c>
      <c r="L23" s="22" t="n">
        <f aca="false">L19-L10</f>
        <v>748.429784871876</v>
      </c>
    </row>
    <row r="24" customFormat="false" ht="15" hidden="false" customHeight="true" outlineLevel="0" collapsed="false">
      <c r="A24" s="3" t="s">
        <v>198</v>
      </c>
      <c r="C24" s="63" t="n">
        <f aca="false">C19/C6</f>
        <v>0.112361240310078</v>
      </c>
      <c r="D24" s="63" t="n">
        <f aca="false">D19/D6</f>
        <v>0.107885714285714</v>
      </c>
      <c r="E24" s="63" t="n">
        <f aca="false">E19/E6</f>
        <v>0.116105263157895</v>
      </c>
      <c r="F24" s="63" t="n">
        <f aca="false">F19/F6</f>
        <v>0.12470796460177</v>
      </c>
      <c r="G24" s="63" t="n">
        <f aca="false">G19/G6</f>
        <v>0.132287837837838</v>
      </c>
      <c r="H24" s="63" t="n">
        <f aca="false">H19/H6</f>
        <v>0.138713636363636</v>
      </c>
      <c r="I24" s="63" t="n">
        <f aca="false">I19/I6</f>
        <v>0.145112385321101</v>
      </c>
      <c r="J24" s="63" t="n">
        <f aca="false">J19/J6</f>
        <v>0.151483333333333</v>
      </c>
      <c r="K24" s="63" t="n">
        <f aca="false">K19/K6</f>
        <v>0.157825700934579</v>
      </c>
      <c r="L24" s="63" t="n">
        <f aca="false">L19/L6</f>
        <v>0.164138679245283</v>
      </c>
    </row>
    <row r="25" customFormat="false" ht="15" hidden="false" customHeight="true" outlineLevel="0" collapsed="false">
      <c r="A25" s="4" t="s">
        <v>199</v>
      </c>
    </row>
    <row r="26" customFormat="false" ht="15" hidden="false" customHeight="true" outlineLevel="0" collapsed="false">
      <c r="A26" s="5" t="s">
        <v>200</v>
      </c>
      <c r="B26" s="22" t="n">
        <f aca="false">SUM(C21:L21)</f>
        <v>1516.31100628008</v>
      </c>
    </row>
    <row r="27" customFormat="false" ht="15" hidden="false" customHeight="true" outlineLevel="0" collapsed="false">
      <c r="A27" s="5" t="s">
        <v>154</v>
      </c>
      <c r="B27" s="49" t="n">
        <f aca="false">Assumptions!$D$15</f>
        <v>0.03</v>
      </c>
    </row>
    <row r="28" customFormat="false" ht="15" hidden="false" customHeight="true" outlineLevel="0" collapsed="false">
      <c r="A28" s="5" t="s">
        <v>201</v>
      </c>
      <c r="B28" s="22" t="n">
        <f aca="false">L19*(1+B27)</f>
        <v>479.034971516243</v>
      </c>
    </row>
    <row r="29" customFormat="false" ht="15" hidden="false" customHeight="true" outlineLevel="0" collapsed="false">
      <c r="A29" s="5" t="s">
        <v>202</v>
      </c>
      <c r="B29" s="64" t="n">
        <f aca="false">B28/(Assumptions!$B$5-B27)</f>
        <v>6387.1329535499</v>
      </c>
    </row>
    <row r="30" customFormat="false" ht="15" hidden="false" customHeight="true" outlineLevel="0" collapsed="false">
      <c r="A30" s="5" t="s">
        <v>203</v>
      </c>
      <c r="B30" s="64" t="n">
        <f aca="false">Assumptions!$B$12*L19</f>
        <v>9301.64993235422</v>
      </c>
    </row>
    <row r="31" customFormat="false" ht="15" hidden="false" customHeight="true" outlineLevel="0" collapsed="false">
      <c r="A31" s="4" t="s">
        <v>204</v>
      </c>
      <c r="B31" s="65" t="n">
        <f aca="false">MIN(B29,B30)</f>
        <v>6387.1329535499</v>
      </c>
    </row>
    <row r="32" customFormat="false" ht="15" hidden="false" customHeight="true" outlineLevel="0" collapsed="false">
      <c r="A32" s="5" t="s">
        <v>205</v>
      </c>
      <c r="B32" s="51" t="n">
        <f aca="false">B31/L19</f>
        <v>13.7333333333333</v>
      </c>
    </row>
    <row r="33" customFormat="false" ht="15" hidden="false" customHeight="true" outlineLevel="0" collapsed="false">
      <c r="A33" s="5" t="s">
        <v>206</v>
      </c>
      <c r="B33" s="64" t="n">
        <f aca="false">B31*L20</f>
        <v>2353.33186980479</v>
      </c>
    </row>
    <row r="34" customFormat="false" ht="15" hidden="false" customHeight="true" outlineLevel="0" collapsed="false">
      <c r="A34" s="4" t="s">
        <v>136</v>
      </c>
      <c r="B34" s="65" t="n">
        <f aca="false">B26+B33</f>
        <v>3869.64287608487</v>
      </c>
    </row>
    <row r="35" customFormat="false" ht="15" hidden="false" customHeight="true" outlineLevel="0" collapsed="false">
      <c r="A35" s="5" t="s">
        <v>207</v>
      </c>
      <c r="B35" s="12" t="n">
        <f aca="false">Assumptions!$B$9</f>
        <v>1140.5</v>
      </c>
    </row>
    <row r="36" customFormat="false" ht="15" hidden="false" customHeight="true" outlineLevel="0" collapsed="false">
      <c r="A36" s="4" t="s">
        <v>208</v>
      </c>
      <c r="B36" s="65" t="n">
        <f aca="false">B34+B35</f>
        <v>5010.14287608487</v>
      </c>
    </row>
    <row r="37" customFormat="false" ht="15" hidden="false" customHeight="true" outlineLevel="0" collapsed="false">
      <c r="A37" s="5" t="s">
        <v>11</v>
      </c>
      <c r="B37" s="10" t="n">
        <f aca="false">Assumptions!$B$10</f>
        <v>49.8</v>
      </c>
    </row>
    <row r="38" customFormat="false" ht="15" hidden="false" customHeight="true" outlineLevel="0" collapsed="false">
      <c r="A38" s="4" t="s">
        <v>209</v>
      </c>
      <c r="B38" s="66" t="n">
        <f aca="false">B36/B37</f>
        <v>100.605278636242</v>
      </c>
    </row>
    <row r="39" customFormat="false" ht="15" hidden="false" customHeight="true" outlineLevel="0" collapsed="false">
      <c r="A39" s="4" t="s">
        <v>210</v>
      </c>
      <c r="B39" s="67" t="n">
        <f aca="false">B38/Assumptions!$B$11-1</f>
        <v>-0.281390866883984</v>
      </c>
    </row>
    <row r="41" customFormat="false" ht="15" hidden="false" customHeight="true" outlineLevel="0" collapsed="false">
      <c r="A41" s="5" t="s">
        <v>211</v>
      </c>
      <c r="B41" s="64" t="n">
        <f aca="false">SUMPRODUCT(-C10:L10/(1+Assumptions!$B$5)^C4:L4)</f>
        <v>1395.71253401002</v>
      </c>
      <c r="C41" s="3" t="s">
        <v>212</v>
      </c>
    </row>
    <row r="42" customFormat="false" ht="15" hidden="false" customHeight="true" outlineLevel="0" collapsed="false">
      <c r="A42" s="5" t="s">
        <v>213</v>
      </c>
      <c r="B42" s="64" t="n">
        <f aca="false">(-L10*(1+B27)/(Assumptions!$B$5-B27))*L20</f>
        <v>1433.746074128</v>
      </c>
    </row>
    <row r="43" customFormat="false" ht="15" hidden="false" customHeight="true" outlineLevel="0" collapsed="false">
      <c r="A43" s="4" t="s">
        <v>214</v>
      </c>
      <c r="B43" s="68" t="n">
        <f aca="false">(B36+B41+B42)/B37</f>
        <v>157.42171655066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12" min="3" style="1" width="10"/>
  </cols>
  <sheetData>
    <row r="1" customFormat="false" ht="17.25" hidden="false" customHeight="true" outlineLevel="0" collapsed="false">
      <c r="A1" s="2" t="s">
        <v>216</v>
      </c>
    </row>
    <row r="2" customFormat="false" ht="15" hidden="false" customHeight="true" outlineLevel="0" collapsed="false">
      <c r="A2" s="3" t="s">
        <v>170</v>
      </c>
    </row>
    <row r="3" customFormat="false" ht="15" hidden="false" customHeight="true" outlineLevel="0" collapsed="false">
      <c r="B3" s="16" t="s">
        <v>171</v>
      </c>
      <c r="C3" s="16" t="s">
        <v>172</v>
      </c>
      <c r="D3" s="16" t="s">
        <v>173</v>
      </c>
      <c r="E3" s="16" t="s">
        <v>174</v>
      </c>
      <c r="F3" s="16" t="s">
        <v>175</v>
      </c>
      <c r="G3" s="16" t="s">
        <v>176</v>
      </c>
      <c r="H3" s="16" t="s">
        <v>177</v>
      </c>
      <c r="I3" s="16" t="s">
        <v>178</v>
      </c>
      <c r="J3" s="16" t="s">
        <v>179</v>
      </c>
      <c r="K3" s="16" t="s">
        <v>180</v>
      </c>
      <c r="L3" s="16" t="s">
        <v>181</v>
      </c>
    </row>
    <row r="4" customFormat="false" ht="15" hidden="false" customHeight="true" outlineLevel="0" collapsed="false">
      <c r="A4" s="3" t="s">
        <v>182</v>
      </c>
      <c r="B4" s="60" t="n">
        <v>0</v>
      </c>
      <c r="C4" s="60" t="n">
        <v>1</v>
      </c>
      <c r="D4" s="60" t="n">
        <v>2</v>
      </c>
      <c r="E4" s="60" t="n">
        <v>3</v>
      </c>
      <c r="F4" s="60" t="n">
        <v>4</v>
      </c>
      <c r="G4" s="60" t="n">
        <v>5</v>
      </c>
      <c r="H4" s="60" t="n">
        <v>6</v>
      </c>
      <c r="I4" s="60" t="n">
        <v>7</v>
      </c>
      <c r="J4" s="60" t="n">
        <v>8</v>
      </c>
      <c r="K4" s="60" t="n">
        <v>9</v>
      </c>
      <c r="L4" s="60" t="n">
        <v>10</v>
      </c>
    </row>
    <row r="5" customFormat="false" ht="15" hidden="false" customHeight="true" outlineLevel="0" collapsed="false">
      <c r="A5" s="5" t="s">
        <v>183</v>
      </c>
      <c r="C5" s="61" t="n">
        <v>0.165</v>
      </c>
      <c r="D5" s="61" t="n">
        <v>0.17</v>
      </c>
      <c r="E5" s="61" t="n">
        <v>0.19</v>
      </c>
      <c r="F5" s="61" t="n">
        <v>0.18</v>
      </c>
      <c r="G5" s="61" t="n">
        <v>0.16</v>
      </c>
      <c r="H5" s="61" t="n">
        <v>0.14</v>
      </c>
      <c r="I5" s="61" t="n">
        <v>0.12</v>
      </c>
      <c r="J5" s="61" t="n">
        <v>0.11</v>
      </c>
      <c r="K5" s="61" t="n">
        <v>0.1</v>
      </c>
      <c r="L5" s="61" t="n">
        <v>0.09</v>
      </c>
    </row>
    <row r="6" customFormat="false" ht="15" hidden="false" customHeight="true" outlineLevel="0" collapsed="false">
      <c r="A6" s="4" t="s">
        <v>40</v>
      </c>
      <c r="B6" s="46" t="n">
        <f aca="false">Historical!D8</f>
        <v>1037.6</v>
      </c>
      <c r="C6" s="21" t="n">
        <f aca="false">B6*(1+C5)</f>
        <v>1208.804</v>
      </c>
      <c r="D6" s="21" t="n">
        <f aca="false">C6*(1+D5)</f>
        <v>1414.30068</v>
      </c>
      <c r="E6" s="21" t="n">
        <f aca="false">D6*(1+E5)</f>
        <v>1683.0178092</v>
      </c>
      <c r="F6" s="21" t="n">
        <f aca="false">E6*(1+F5)</f>
        <v>1985.961014856</v>
      </c>
      <c r="G6" s="21" t="n">
        <f aca="false">F6*(1+G5)</f>
        <v>2303.71477723296</v>
      </c>
      <c r="H6" s="21" t="n">
        <f aca="false">G6*(1+H5)</f>
        <v>2626.23484604557</v>
      </c>
      <c r="I6" s="21" t="n">
        <f aca="false">H6*(1+I5)</f>
        <v>2941.38302757104</v>
      </c>
      <c r="J6" s="21" t="n">
        <f aca="false">I6*(1+J5)</f>
        <v>3264.93516060386</v>
      </c>
      <c r="K6" s="21" t="n">
        <f aca="false">J6*(1+K5)</f>
        <v>3591.42867666425</v>
      </c>
      <c r="L6" s="21" t="n">
        <f aca="false">K6*(1+L5)</f>
        <v>3914.65725756403</v>
      </c>
    </row>
    <row r="7" customFormat="false" ht="15" hidden="false" customHeight="true" outlineLevel="0" collapsed="false">
      <c r="A7" s="5" t="s">
        <v>184</v>
      </c>
      <c r="B7" s="49" t="n">
        <f aca="false">Historical!D20</f>
        <v>0.294814957594449</v>
      </c>
      <c r="C7" s="61" t="n">
        <v>0.26</v>
      </c>
      <c r="D7" s="61" t="n">
        <v>0.275</v>
      </c>
      <c r="E7" s="61" t="n">
        <v>0.29</v>
      </c>
      <c r="F7" s="61" t="n">
        <v>0.305</v>
      </c>
      <c r="G7" s="61" t="n">
        <v>0.32</v>
      </c>
      <c r="H7" s="61" t="n">
        <v>0.33</v>
      </c>
      <c r="I7" s="61" t="n">
        <v>0.34</v>
      </c>
      <c r="J7" s="61" t="n">
        <v>0.345</v>
      </c>
      <c r="K7" s="61" t="n">
        <v>0.35</v>
      </c>
      <c r="L7" s="61" t="n">
        <v>0.35</v>
      </c>
    </row>
    <row r="8" customFormat="false" ht="15" hidden="false" customHeight="true" outlineLevel="0" collapsed="false">
      <c r="A8" s="5" t="s">
        <v>51</v>
      </c>
      <c r="B8" s="47" t="n">
        <f aca="false">Historical!D19</f>
        <v>305.9</v>
      </c>
      <c r="C8" s="22" t="n">
        <f aca="false">C6*C7</f>
        <v>314.28904</v>
      </c>
      <c r="D8" s="22" t="n">
        <f aca="false">D6*D7</f>
        <v>388.932687</v>
      </c>
      <c r="E8" s="22" t="n">
        <f aca="false">E6*E7</f>
        <v>488.075164668</v>
      </c>
      <c r="F8" s="22" t="n">
        <f aca="false">F6*F7</f>
        <v>605.71810953108</v>
      </c>
      <c r="G8" s="22" t="n">
        <f aca="false">G6*G7</f>
        <v>737.188728714547</v>
      </c>
      <c r="H8" s="22" t="n">
        <f aca="false">H6*H7</f>
        <v>866.65749919504</v>
      </c>
      <c r="I8" s="22" t="n">
        <f aca="false">I6*I7</f>
        <v>1000.07022937415</v>
      </c>
      <c r="J8" s="22" t="n">
        <f aca="false">J6*J7</f>
        <v>1126.40263040833</v>
      </c>
      <c r="K8" s="22" t="n">
        <f aca="false">K6*K7</f>
        <v>1257.00003683249</v>
      </c>
      <c r="L8" s="22" t="n">
        <f aca="false">L6*L7</f>
        <v>1370.13004014741</v>
      </c>
    </row>
    <row r="9" customFormat="false" ht="15" hidden="false" customHeight="true" outlineLevel="0" collapsed="false">
      <c r="A9" s="5" t="s">
        <v>185</v>
      </c>
      <c r="B9" s="49" t="n">
        <f aca="false">Historical!D22</f>
        <v>0.143215111796453</v>
      </c>
      <c r="C9" s="61" t="n">
        <v>0.15</v>
      </c>
      <c r="D9" s="61" t="n">
        <v>0.135</v>
      </c>
      <c r="E9" s="61" t="n">
        <v>0.125</v>
      </c>
      <c r="F9" s="61" t="n">
        <v>0.115</v>
      </c>
      <c r="G9" s="61" t="n">
        <v>0.105</v>
      </c>
      <c r="H9" s="61" t="n">
        <v>0.1</v>
      </c>
      <c r="I9" s="61" t="n">
        <v>0.095</v>
      </c>
      <c r="J9" s="61" t="n">
        <v>0.09</v>
      </c>
      <c r="K9" s="61" t="n">
        <v>0.085</v>
      </c>
      <c r="L9" s="61" t="n">
        <v>0.08</v>
      </c>
    </row>
    <row r="10" customFormat="false" ht="15" hidden="false" customHeight="true" outlineLevel="0" collapsed="false">
      <c r="A10" s="5" t="s">
        <v>186</v>
      </c>
      <c r="B10" s="47" t="n">
        <f aca="false">-Historical!D21</f>
        <v>-148.6</v>
      </c>
      <c r="C10" s="22" t="n">
        <f aca="false">-C6*C9</f>
        <v>-181.3206</v>
      </c>
      <c r="D10" s="22" t="n">
        <f aca="false">-D6*D9</f>
        <v>-190.9305918</v>
      </c>
      <c r="E10" s="22" t="n">
        <f aca="false">-E6*E9</f>
        <v>-210.37722615</v>
      </c>
      <c r="F10" s="22" t="n">
        <f aca="false">-F6*F9</f>
        <v>-228.38551670844</v>
      </c>
      <c r="G10" s="22" t="n">
        <f aca="false">-G6*G9</f>
        <v>-241.890051609461</v>
      </c>
      <c r="H10" s="22" t="n">
        <f aca="false">-H6*H9</f>
        <v>-262.623484604557</v>
      </c>
      <c r="I10" s="22" t="n">
        <f aca="false">-I6*I9</f>
        <v>-279.431387619249</v>
      </c>
      <c r="J10" s="22" t="n">
        <f aca="false">-J6*J9</f>
        <v>-293.844164454347</v>
      </c>
      <c r="K10" s="22" t="n">
        <f aca="false">-K6*K9</f>
        <v>-305.271437516461</v>
      </c>
      <c r="L10" s="22" t="n">
        <f aca="false">-L6*L9</f>
        <v>-313.172580605122</v>
      </c>
    </row>
    <row r="11" customFormat="false" ht="15" hidden="false" customHeight="true" outlineLevel="0" collapsed="false">
      <c r="A11" s="4" t="s">
        <v>187</v>
      </c>
      <c r="C11" s="21" t="n">
        <f aca="false">C8+C10</f>
        <v>132.96844</v>
      </c>
      <c r="D11" s="21" t="n">
        <f aca="false">D8+D10</f>
        <v>198.0020952</v>
      </c>
      <c r="E11" s="21" t="n">
        <f aca="false">E8+E10</f>
        <v>277.697938518</v>
      </c>
      <c r="F11" s="21" t="n">
        <f aca="false">F8+F10</f>
        <v>377.33259282264</v>
      </c>
      <c r="G11" s="21" t="n">
        <f aca="false">G8+G10</f>
        <v>495.298677105086</v>
      </c>
      <c r="H11" s="21" t="n">
        <f aca="false">H8+H10</f>
        <v>604.034014590482</v>
      </c>
      <c r="I11" s="21" t="n">
        <f aca="false">I8+I10</f>
        <v>720.638841754906</v>
      </c>
      <c r="J11" s="21" t="n">
        <f aca="false">J8+J10</f>
        <v>832.558465953984</v>
      </c>
      <c r="K11" s="21" t="n">
        <f aca="false">K8+K10</f>
        <v>951.728599316025</v>
      </c>
      <c r="L11" s="21" t="n">
        <f aca="false">L8+L10</f>
        <v>1056.95745954229</v>
      </c>
    </row>
    <row r="12" customFormat="false" ht="15" hidden="false" customHeight="true" outlineLevel="0" collapsed="false">
      <c r="A12" s="5" t="s">
        <v>55</v>
      </c>
      <c r="C12" s="22" t="n">
        <f aca="false">-C6*Assumptions!$B$6</f>
        <v>-18.13206</v>
      </c>
      <c r="D12" s="22" t="n">
        <f aca="false">-D6*Assumptions!$B$6</f>
        <v>-21.2145102</v>
      </c>
      <c r="E12" s="22" t="n">
        <f aca="false">-E6*Assumptions!$B$6</f>
        <v>-25.245267138</v>
      </c>
      <c r="F12" s="22" t="n">
        <f aca="false">-F6*Assumptions!$B$6</f>
        <v>-29.78941522284</v>
      </c>
      <c r="G12" s="22" t="n">
        <f aca="false">-G6*Assumptions!$B$6</f>
        <v>-34.5557216584944</v>
      </c>
      <c r="H12" s="22" t="n">
        <f aca="false">-H6*Assumptions!$B$6</f>
        <v>-39.3935226906836</v>
      </c>
      <c r="I12" s="22" t="n">
        <f aca="false">-I6*Assumptions!$B$6</f>
        <v>-44.1207454135657</v>
      </c>
      <c r="J12" s="22" t="n">
        <f aca="false">-J6*Assumptions!$B$6</f>
        <v>-48.9740274090579</v>
      </c>
      <c r="K12" s="22" t="n">
        <f aca="false">-K6*Assumptions!$B$6</f>
        <v>-53.8714301499637</v>
      </c>
      <c r="L12" s="22" t="n">
        <f aca="false">-L6*Assumptions!$B$6</f>
        <v>-58.7198588634604</v>
      </c>
    </row>
    <row r="13" customFormat="false" ht="15" hidden="false" customHeight="true" outlineLevel="0" collapsed="false">
      <c r="A13" s="5" t="s">
        <v>188</v>
      </c>
      <c r="C13" s="22" t="n">
        <f aca="false">C11+C12</f>
        <v>114.83638</v>
      </c>
      <c r="D13" s="22" t="n">
        <f aca="false">D11+D12</f>
        <v>176.787585</v>
      </c>
      <c r="E13" s="22" t="n">
        <f aca="false">E11+E12</f>
        <v>252.45267138</v>
      </c>
      <c r="F13" s="22" t="n">
        <f aca="false">F11+F12</f>
        <v>347.5431775998</v>
      </c>
      <c r="G13" s="22" t="n">
        <f aca="false">G11+G12</f>
        <v>460.742955446592</v>
      </c>
      <c r="H13" s="22" t="n">
        <f aca="false">H11+H12</f>
        <v>564.640491899798</v>
      </c>
      <c r="I13" s="22" t="n">
        <f aca="false">I11+I12</f>
        <v>676.51809634134</v>
      </c>
      <c r="J13" s="22" t="n">
        <f aca="false">J11+J12</f>
        <v>783.584438544926</v>
      </c>
      <c r="K13" s="22" t="n">
        <f aca="false">K11+K12</f>
        <v>897.857169166061</v>
      </c>
      <c r="L13" s="22" t="n">
        <f aca="false">L11+L12</f>
        <v>998.237600678827</v>
      </c>
    </row>
    <row r="14" customFormat="false" ht="15" hidden="false" customHeight="true" outlineLevel="0" collapsed="false">
      <c r="A14" s="5" t="s">
        <v>189</v>
      </c>
      <c r="C14" s="54" t="n">
        <v>-0.06</v>
      </c>
      <c r="D14" s="54" t="n">
        <v>0.08</v>
      </c>
      <c r="E14" s="54" t="n">
        <v>0.15</v>
      </c>
      <c r="F14" s="54" t="n">
        <v>0.2</v>
      </c>
      <c r="G14" s="54" t="n">
        <v>0.21</v>
      </c>
      <c r="H14" s="54" t="n">
        <v>0.21</v>
      </c>
      <c r="I14" s="54" t="n">
        <v>0.21</v>
      </c>
      <c r="J14" s="54" t="n">
        <v>0.21</v>
      </c>
      <c r="K14" s="54" t="n">
        <v>0.21</v>
      </c>
      <c r="L14" s="54" t="n">
        <v>0.21</v>
      </c>
    </row>
    <row r="15" customFormat="false" ht="15" hidden="false" customHeight="true" outlineLevel="0" collapsed="false">
      <c r="A15" s="5" t="s">
        <v>190</v>
      </c>
      <c r="C15" s="22" t="n">
        <f aca="false">C13*(1-C14)</f>
        <v>121.7265628</v>
      </c>
      <c r="D15" s="22" t="n">
        <f aca="false">D13*(1-D14)</f>
        <v>162.6445782</v>
      </c>
      <c r="E15" s="22" t="n">
        <f aca="false">E13*(1-E14)</f>
        <v>214.584770673</v>
      </c>
      <c r="F15" s="22" t="n">
        <f aca="false">F13*(1-F14)</f>
        <v>278.03454207984</v>
      </c>
      <c r="G15" s="22" t="n">
        <f aca="false">G13*(1-G14)</f>
        <v>363.986934802808</v>
      </c>
      <c r="H15" s="22" t="n">
        <f aca="false">H13*(1-H14)</f>
        <v>446.065988600841</v>
      </c>
      <c r="I15" s="22" t="n">
        <f aca="false">I13*(1-I14)</f>
        <v>534.449296109659</v>
      </c>
      <c r="J15" s="22" t="n">
        <f aca="false">J13*(1-J14)</f>
        <v>619.031706450492</v>
      </c>
      <c r="K15" s="22" t="n">
        <f aca="false">K13*(1-K14)</f>
        <v>709.307163641188</v>
      </c>
      <c r="L15" s="22" t="n">
        <f aca="false">L13*(1-L14)</f>
        <v>788.607704536273</v>
      </c>
    </row>
    <row r="16" customFormat="false" ht="15" hidden="false" customHeight="true" outlineLevel="0" collapsed="false">
      <c r="A16" s="5" t="s">
        <v>191</v>
      </c>
      <c r="C16" s="22" t="n">
        <f aca="false">-C12</f>
        <v>18.13206</v>
      </c>
      <c r="D16" s="22" t="n">
        <f aca="false">-D12</f>
        <v>21.2145102</v>
      </c>
      <c r="E16" s="22" t="n">
        <f aca="false">-E12</f>
        <v>25.245267138</v>
      </c>
      <c r="F16" s="22" t="n">
        <f aca="false">-F12</f>
        <v>29.78941522284</v>
      </c>
      <c r="G16" s="22" t="n">
        <f aca="false">-G12</f>
        <v>34.5557216584944</v>
      </c>
      <c r="H16" s="22" t="n">
        <f aca="false">-H12</f>
        <v>39.3935226906836</v>
      </c>
      <c r="I16" s="22" t="n">
        <f aca="false">-I12</f>
        <v>44.1207454135657</v>
      </c>
      <c r="J16" s="22" t="n">
        <f aca="false">-J12</f>
        <v>48.9740274090579</v>
      </c>
      <c r="K16" s="22" t="n">
        <f aca="false">-K12</f>
        <v>53.8714301499637</v>
      </c>
      <c r="L16" s="22" t="n">
        <f aca="false">-L12</f>
        <v>58.7198588634604</v>
      </c>
    </row>
    <row r="17" customFormat="false" ht="15" hidden="false" customHeight="true" outlineLevel="0" collapsed="false">
      <c r="A17" s="5" t="s">
        <v>192</v>
      </c>
      <c r="C17" s="22" t="n">
        <f aca="false">-C6*Assumptions!$B$7</f>
        <v>-27.802492</v>
      </c>
      <c r="D17" s="22" t="n">
        <f aca="false">-D6*Assumptions!$B$7</f>
        <v>-32.52891564</v>
      </c>
      <c r="E17" s="22" t="n">
        <f aca="false">-E6*Assumptions!$B$7</f>
        <v>-38.7094096116</v>
      </c>
      <c r="F17" s="22" t="n">
        <f aca="false">-F6*Assumptions!$B$7</f>
        <v>-45.677103341688</v>
      </c>
      <c r="G17" s="22" t="n">
        <f aca="false">-G6*Assumptions!$B$7</f>
        <v>-52.9854398763581</v>
      </c>
      <c r="H17" s="22" t="n">
        <f aca="false">-H6*Assumptions!$B$7</f>
        <v>-60.4034014590482</v>
      </c>
      <c r="I17" s="22" t="n">
        <f aca="false">-I6*Assumptions!$B$7</f>
        <v>-67.651809634134</v>
      </c>
      <c r="J17" s="22" t="n">
        <f aca="false">-J6*Assumptions!$B$7</f>
        <v>-75.0935086938888</v>
      </c>
      <c r="K17" s="22" t="n">
        <f aca="false">-K6*Assumptions!$B$7</f>
        <v>-82.6028595632776</v>
      </c>
      <c r="L17" s="22" t="n">
        <f aca="false">-L6*Assumptions!$B$7</f>
        <v>-90.0371169239726</v>
      </c>
    </row>
    <row r="18" customFormat="false" ht="15" hidden="false" customHeight="true" outlineLevel="0" collapsed="false">
      <c r="A18" s="5" t="s">
        <v>193</v>
      </c>
      <c r="C18" s="22" t="n">
        <f aca="false">Assumptions!$B$8*(C6-B6)</f>
        <v>30.81672</v>
      </c>
      <c r="D18" s="22" t="n">
        <f aca="false">Assumptions!$B$8*(D6-C6)</f>
        <v>36.9894024</v>
      </c>
      <c r="E18" s="22" t="n">
        <f aca="false">Assumptions!$B$8*(E6-D6)</f>
        <v>48.369083256</v>
      </c>
      <c r="F18" s="22" t="n">
        <f aca="false">Assumptions!$B$8*(F6-E6)</f>
        <v>54.52977701808</v>
      </c>
      <c r="G18" s="22" t="n">
        <f aca="false">Assumptions!$B$8*(G6-F6)</f>
        <v>57.1956772278528</v>
      </c>
      <c r="H18" s="22" t="n">
        <f aca="false">Assumptions!$B$8*(H6-G6)</f>
        <v>58.0536123862706</v>
      </c>
      <c r="I18" s="22" t="n">
        <f aca="false">Assumptions!$B$8*(I6-H6)</f>
        <v>56.7266726745845</v>
      </c>
      <c r="J18" s="22" t="n">
        <f aca="false">Assumptions!$B$8*(J6-I6)</f>
        <v>58.2393839459067</v>
      </c>
      <c r="K18" s="22" t="n">
        <f aca="false">Assumptions!$B$8*(K6-J6)</f>
        <v>58.7688328908695</v>
      </c>
      <c r="L18" s="22" t="n">
        <f aca="false">Assumptions!$B$8*(L6-K6)</f>
        <v>58.1811445619608</v>
      </c>
    </row>
    <row r="19" customFormat="false" ht="15" hidden="false" customHeight="true" outlineLevel="0" collapsed="false">
      <c r="A19" s="4" t="s">
        <v>194</v>
      </c>
      <c r="C19" s="48" t="n">
        <f aca="false">C15+C16+C17+C18</f>
        <v>142.8728508</v>
      </c>
      <c r="D19" s="48" t="n">
        <f aca="false">D15+D16+D17+D18</f>
        <v>188.31957516</v>
      </c>
      <c r="E19" s="48" t="n">
        <f aca="false">E15+E16+E17+E18</f>
        <v>249.4897114554</v>
      </c>
      <c r="F19" s="48" t="n">
        <f aca="false">F15+F16+F17+F18</f>
        <v>316.676630979072</v>
      </c>
      <c r="G19" s="48" t="n">
        <f aca="false">G15+G16+G17+G18</f>
        <v>402.752893812797</v>
      </c>
      <c r="H19" s="48" t="n">
        <f aca="false">H15+H16+H17+H18</f>
        <v>483.109722218747</v>
      </c>
      <c r="I19" s="48" t="n">
        <f aca="false">I15+I16+I17+I18</f>
        <v>567.644904563675</v>
      </c>
      <c r="J19" s="48" t="n">
        <f aca="false">J15+J16+J17+J18</f>
        <v>651.151609111567</v>
      </c>
      <c r="K19" s="48" t="n">
        <f aca="false">K15+K16+K17+K18</f>
        <v>739.344567118744</v>
      </c>
      <c r="L19" s="48" t="n">
        <f aca="false">L15+L16+L17+L18</f>
        <v>815.471591037722</v>
      </c>
    </row>
    <row r="20" customFormat="false" ht="15" hidden="false" customHeight="true" outlineLevel="0" collapsed="false">
      <c r="A20" s="5" t="s">
        <v>195</v>
      </c>
      <c r="C20" s="62" t="n">
        <f aca="false">1/(1+Assumptions!$B$5)^C4</f>
        <v>0.904977375565611</v>
      </c>
      <c r="D20" s="62" t="n">
        <f aca="false">1/(1+Assumptions!$B$5)^D4</f>
        <v>0.818984050285621</v>
      </c>
      <c r="E20" s="62" t="n">
        <f aca="false">1/(1+Assumptions!$B$5)^E4</f>
        <v>0.741162036457575</v>
      </c>
      <c r="F20" s="62" t="n">
        <f aca="false">1/(1+Assumptions!$B$5)^F4</f>
        <v>0.67073487462224</v>
      </c>
      <c r="G20" s="62" t="n">
        <f aca="false">1/(1+Assumptions!$B$5)^G4</f>
        <v>0.606999886535964</v>
      </c>
      <c r="H20" s="62" t="n">
        <f aca="false">1/(1+Assumptions!$B$5)^H4</f>
        <v>0.54932116428594</v>
      </c>
      <c r="I20" s="62" t="n">
        <f aca="false">1/(1+Assumptions!$B$5)^I4</f>
        <v>0.497123225598136</v>
      </c>
      <c r="J20" s="62" t="n">
        <f aca="false">1/(1+Assumptions!$B$5)^J4</f>
        <v>0.449885272034512</v>
      </c>
      <c r="K20" s="62" t="n">
        <f aca="false">1/(1+Assumptions!$B$5)^K4</f>
        <v>0.407135992791414</v>
      </c>
      <c r="L20" s="62" t="n">
        <f aca="false">1/(1+Assumptions!$B$5)^L4</f>
        <v>0.368448862254673</v>
      </c>
    </row>
    <row r="21" customFormat="false" ht="15" hidden="false" customHeight="true" outlineLevel="0" collapsed="false">
      <c r="A21" s="5" t="s">
        <v>196</v>
      </c>
      <c r="C21" s="22" t="n">
        <f aca="false">C19*C20</f>
        <v>129.296697556561</v>
      </c>
      <c r="D21" s="22" t="n">
        <f aca="false">D19*D20</f>
        <v>154.230728412604</v>
      </c>
      <c r="E21" s="22" t="n">
        <f aca="false">E19*E20</f>
        <v>184.912302617497</v>
      </c>
      <c r="F21" s="22" t="n">
        <f aca="false">F19*F20</f>
        <v>212.406060375541</v>
      </c>
      <c r="G21" s="22" t="n">
        <f aca="false">G19*G20</f>
        <v>244.470960846399</v>
      </c>
      <c r="H21" s="22" t="n">
        <f aca="false">H19*H20</f>
        <v>265.382395087059</v>
      </c>
      <c r="I21" s="22" t="n">
        <f aca="false">I19*I20</f>
        <v>282.18946595104</v>
      </c>
      <c r="J21" s="22" t="n">
        <f aca="false">J19*J20</f>
        <v>292.943518800868</v>
      </c>
      <c r="K21" s="22" t="n">
        <f aca="false">K19*K20</f>
        <v>301.013784348828</v>
      </c>
      <c r="L21" s="22" t="n">
        <f aca="false">L19*L20</f>
        <v>300.459579918857</v>
      </c>
    </row>
    <row r="23" customFormat="false" ht="15" hidden="false" customHeight="true" outlineLevel="0" collapsed="false">
      <c r="A23" s="5" t="s">
        <v>197</v>
      </c>
      <c r="C23" s="22" t="n">
        <f aca="false">C19-C10</f>
        <v>324.1934508</v>
      </c>
      <c r="D23" s="22" t="n">
        <f aca="false">D19-D10</f>
        <v>379.25016696</v>
      </c>
      <c r="E23" s="22" t="n">
        <f aca="false">E19-E10</f>
        <v>459.8669376054</v>
      </c>
      <c r="F23" s="22" t="n">
        <f aca="false">F19-F10</f>
        <v>545.062147687512</v>
      </c>
      <c r="G23" s="22" t="n">
        <f aca="false">G19-G10</f>
        <v>644.642945422258</v>
      </c>
      <c r="H23" s="22" t="n">
        <f aca="false">H19-H10</f>
        <v>745.733206823304</v>
      </c>
      <c r="I23" s="22" t="n">
        <f aca="false">I19-I10</f>
        <v>847.076292182924</v>
      </c>
      <c r="J23" s="22" t="n">
        <f aca="false">J19-J10</f>
        <v>944.995773565915</v>
      </c>
      <c r="K23" s="22" t="n">
        <f aca="false">K19-K10</f>
        <v>1044.6160046352</v>
      </c>
      <c r="L23" s="22" t="n">
        <f aca="false">L19-L10</f>
        <v>1128.64417164284</v>
      </c>
    </row>
    <row r="24" customFormat="false" ht="15" hidden="false" customHeight="true" outlineLevel="0" collapsed="false">
      <c r="A24" s="3" t="s">
        <v>198</v>
      </c>
      <c r="C24" s="63" t="n">
        <f aca="false">C19/C6</f>
        <v>0.11819356223176</v>
      </c>
      <c r="D24" s="63" t="n">
        <f aca="false">D19/D6</f>
        <v>0.133153846153846</v>
      </c>
      <c r="E24" s="63" t="n">
        <f aca="false">E19/E6</f>
        <v>0.148239495798319</v>
      </c>
      <c r="F24" s="63" t="n">
        <f aca="false">F19/F6</f>
        <v>0.159457627118644</v>
      </c>
      <c r="G24" s="63" t="n">
        <f aca="false">G19/G6</f>
        <v>0.174827586206897</v>
      </c>
      <c r="H24" s="63" t="n">
        <f aca="false">H19/H6</f>
        <v>0.183955263157895</v>
      </c>
      <c r="I24" s="63" t="n">
        <f aca="false">I19/I6</f>
        <v>0.192985714285714</v>
      </c>
      <c r="J24" s="63" t="n">
        <f aca="false">J19/J6</f>
        <v>0.199437837837838</v>
      </c>
      <c r="K24" s="63" t="n">
        <f aca="false">K19/K6</f>
        <v>0.205863636363636</v>
      </c>
      <c r="L24" s="63" t="n">
        <f aca="false">L19/L6</f>
        <v>0.208312385321101</v>
      </c>
    </row>
    <row r="25" customFormat="false" ht="15" hidden="false" customHeight="true" outlineLevel="0" collapsed="false">
      <c r="A25" s="4" t="s">
        <v>199</v>
      </c>
    </row>
    <row r="26" customFormat="false" ht="15" hidden="false" customHeight="true" outlineLevel="0" collapsed="false">
      <c r="A26" s="5" t="s">
        <v>200</v>
      </c>
      <c r="B26" s="22" t="n">
        <f aca="false">SUM(C21:L21)</f>
        <v>2367.30549391525</v>
      </c>
    </row>
    <row r="27" customFormat="false" ht="15" hidden="false" customHeight="true" outlineLevel="0" collapsed="false">
      <c r="A27" s="5" t="s">
        <v>154</v>
      </c>
      <c r="B27" s="49" t="n">
        <f aca="false">Assumptions!$E$15</f>
        <v>0.035</v>
      </c>
    </row>
    <row r="28" customFormat="false" ht="15" hidden="false" customHeight="true" outlineLevel="0" collapsed="false">
      <c r="A28" s="5" t="s">
        <v>201</v>
      </c>
      <c r="B28" s="22" t="n">
        <f aca="false">L19*(1+B27)</f>
        <v>844.013096724042</v>
      </c>
    </row>
    <row r="29" customFormat="false" ht="15" hidden="false" customHeight="true" outlineLevel="0" collapsed="false">
      <c r="A29" s="5" t="s">
        <v>202</v>
      </c>
      <c r="B29" s="64" t="n">
        <f aca="false">B28/(Assumptions!$B$5-B27)</f>
        <v>12057.3299532006</v>
      </c>
    </row>
    <row r="30" customFormat="false" ht="15" hidden="false" customHeight="true" outlineLevel="0" collapsed="false">
      <c r="A30" s="5" t="s">
        <v>203</v>
      </c>
      <c r="B30" s="64" t="n">
        <f aca="false">Assumptions!$B$12*L19</f>
        <v>16309.4318207544</v>
      </c>
    </row>
    <row r="31" customFormat="false" ht="15" hidden="false" customHeight="true" outlineLevel="0" collapsed="false">
      <c r="A31" s="4" t="s">
        <v>204</v>
      </c>
      <c r="B31" s="65" t="n">
        <f aca="false">MIN(B29,B30)</f>
        <v>12057.3299532006</v>
      </c>
    </row>
    <row r="32" customFormat="false" ht="15" hidden="false" customHeight="true" outlineLevel="0" collapsed="false">
      <c r="A32" s="5" t="s">
        <v>205</v>
      </c>
      <c r="B32" s="51" t="n">
        <f aca="false">B31/L19</f>
        <v>14.7857142857143</v>
      </c>
    </row>
    <row r="33" customFormat="false" ht="15" hidden="false" customHeight="true" outlineLevel="0" collapsed="false">
      <c r="A33" s="5" t="s">
        <v>206</v>
      </c>
      <c r="B33" s="64" t="n">
        <f aca="false">B31*L20</f>
        <v>4442.50950308595</v>
      </c>
    </row>
    <row r="34" customFormat="false" ht="15" hidden="false" customHeight="true" outlineLevel="0" collapsed="false">
      <c r="A34" s="4" t="s">
        <v>136</v>
      </c>
      <c r="B34" s="65" t="n">
        <f aca="false">B26+B33</f>
        <v>6809.81499700121</v>
      </c>
    </row>
    <row r="35" customFormat="false" ht="15" hidden="false" customHeight="true" outlineLevel="0" collapsed="false">
      <c r="A35" s="5" t="s">
        <v>207</v>
      </c>
      <c r="B35" s="12" t="n">
        <f aca="false">Assumptions!$B$9</f>
        <v>1140.5</v>
      </c>
    </row>
    <row r="36" customFormat="false" ht="15" hidden="false" customHeight="true" outlineLevel="0" collapsed="false">
      <c r="A36" s="4" t="s">
        <v>208</v>
      </c>
      <c r="B36" s="65" t="n">
        <f aca="false">B34+B35</f>
        <v>7950.31499700121</v>
      </c>
    </row>
    <row r="37" customFormat="false" ht="15" hidden="false" customHeight="true" outlineLevel="0" collapsed="false">
      <c r="A37" s="5" t="s">
        <v>11</v>
      </c>
      <c r="B37" s="10" t="n">
        <f aca="false">Assumptions!$B$10</f>
        <v>49.8</v>
      </c>
    </row>
    <row r="38" customFormat="false" ht="15" hidden="false" customHeight="true" outlineLevel="0" collapsed="false">
      <c r="A38" s="4" t="s">
        <v>209</v>
      </c>
      <c r="B38" s="66" t="n">
        <f aca="false">B36/B37</f>
        <v>159.644879457856</v>
      </c>
    </row>
    <row r="39" customFormat="false" ht="15" hidden="false" customHeight="true" outlineLevel="0" collapsed="false">
      <c r="A39" s="4" t="s">
        <v>210</v>
      </c>
      <c r="B39" s="67" t="n">
        <f aca="false">B38/Assumptions!$B$11-1</f>
        <v>0.140320567556111</v>
      </c>
    </row>
    <row r="41" customFormat="false" ht="15" hidden="false" customHeight="true" outlineLevel="0" collapsed="false">
      <c r="A41" s="5" t="s">
        <v>211</v>
      </c>
      <c r="B41" s="64" t="n">
        <f aca="false">SUMPRODUCT(-C10:L10/(1+Assumptions!$B$5)^C4:L4)</f>
        <v>1431.44483201069</v>
      </c>
      <c r="C41" s="3" t="s">
        <v>212</v>
      </c>
    </row>
    <row r="42" customFormat="false" ht="15" hidden="false" customHeight="true" outlineLevel="0" collapsed="false">
      <c r="A42" s="5" t="s">
        <v>213</v>
      </c>
      <c r="B42" s="64" t="n">
        <f aca="false">(-L10*(1+B27)/(Assumptions!$B$5-B27))*L20</f>
        <v>1706.09519783976</v>
      </c>
    </row>
    <row r="43" customFormat="false" ht="15" hidden="false" customHeight="true" outlineLevel="0" collapsed="false">
      <c r="A43" s="4" t="s">
        <v>214</v>
      </c>
      <c r="B43" s="68" t="n">
        <f aca="false">(B36+B41+B42)/B37</f>
        <v>222.647691302242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217</v>
      </c>
    </row>
    <row r="2" customFormat="false" ht="15" hidden="false" customHeight="true" outlineLevel="0" collapsed="false">
      <c r="A2" s="3" t="s">
        <v>218</v>
      </c>
    </row>
    <row r="4" customFormat="false" ht="15" hidden="false" customHeight="true" outlineLevel="0" collapsed="false">
      <c r="A4" s="16"/>
      <c r="B4" s="16" t="s">
        <v>151</v>
      </c>
      <c r="C4" s="16" t="s">
        <v>152</v>
      </c>
      <c r="D4" s="16" t="s">
        <v>153</v>
      </c>
    </row>
    <row r="5" customFormat="false" ht="15" hidden="false" customHeight="true" outlineLevel="0" collapsed="false">
      <c r="A5" s="4" t="s">
        <v>209</v>
      </c>
      <c r="B5" s="7" t="n">
        <f aca="false">DCF_Bear!B38</f>
        <v>43.2477758915108</v>
      </c>
      <c r="C5" s="7" t="n">
        <f aca="false">DCF_Base!B38</f>
        <v>100.605278636242</v>
      </c>
      <c r="D5" s="7" t="n">
        <f aca="false">DCF_Bull!B38</f>
        <v>159.644879457856</v>
      </c>
    </row>
    <row r="6" customFormat="false" ht="15" hidden="false" customHeight="true" outlineLevel="0" collapsed="false">
      <c r="A6" s="5" t="s">
        <v>219</v>
      </c>
      <c r="B6" s="49" t="n">
        <f aca="false">DCF_Bear!B39</f>
        <v>-0.691087315060637</v>
      </c>
      <c r="C6" s="49" t="n">
        <f aca="false">DCF_Base!B39</f>
        <v>-0.281390866883984</v>
      </c>
      <c r="D6" s="49" t="n">
        <f aca="false">DCF_Bull!B39</f>
        <v>0.140320567556111</v>
      </c>
    </row>
    <row r="7" customFormat="false" ht="15" hidden="false" customHeight="true" outlineLevel="0" collapsed="false">
      <c r="A7" s="5" t="s">
        <v>220</v>
      </c>
      <c r="B7" s="49" t="n">
        <f aca="false">Assumptions!C16</f>
        <v>0.25</v>
      </c>
      <c r="C7" s="49" t="n">
        <f aca="false">Assumptions!D16</f>
        <v>0.5</v>
      </c>
      <c r="D7" s="49" t="n">
        <f aca="false">Assumptions!E16</f>
        <v>0.25</v>
      </c>
    </row>
    <row r="8" customFormat="false" ht="15" hidden="false" customHeight="true" outlineLevel="0" collapsed="false">
      <c r="A8" s="5" t="s">
        <v>221</v>
      </c>
      <c r="B8" s="6" t="n">
        <f aca="false">DCF_Bear!B43</f>
        <v>83.4878274739487</v>
      </c>
      <c r="C8" s="6" t="n">
        <f aca="false">DCF_Base!B43</f>
        <v>157.42171655066</v>
      </c>
      <c r="D8" s="6" t="n">
        <f aca="false">DCF_Bull!B43</f>
        <v>222.647691302242</v>
      </c>
    </row>
    <row r="10" customFormat="false" ht="15" hidden="false" customHeight="true" outlineLevel="0" collapsed="false">
      <c r="A10" s="4" t="s">
        <v>222</v>
      </c>
      <c r="B10" s="66" t="n">
        <f aca="false">SUMPRODUCT(B5:D5,B7:D7)</f>
        <v>101.025803155463</v>
      </c>
    </row>
    <row r="11" customFormat="false" ht="15" hidden="false" customHeight="true" outlineLevel="0" collapsed="false">
      <c r="A11" s="5" t="s">
        <v>223</v>
      </c>
      <c r="B11" s="6" t="n">
        <f aca="false">Assumptions!B11</f>
        <v>140</v>
      </c>
    </row>
    <row r="12" customFormat="false" ht="15" hidden="false" customHeight="true" outlineLevel="0" collapsed="false">
      <c r="A12" s="4" t="s">
        <v>224</v>
      </c>
      <c r="B12" s="67" t="n">
        <f aca="false">B10/B11-1</f>
        <v>-0.278387120318123</v>
      </c>
    </row>
    <row r="13" customFormat="false" ht="15" hidden="false" customHeight="true" outlineLevel="0" collapsed="false">
      <c r="A13" s="5" t="s">
        <v>16</v>
      </c>
      <c r="B13" s="69" t="n">
        <f aca="false">SUMPRODUCT(B8:D8,B7:D7)</f>
        <v>155.244737969378</v>
      </c>
    </row>
    <row r="16" customFormat="false" ht="15" hidden="false" customHeight="true" outlineLevel="0" collapsed="false">
      <c r="A16" s="4" t="s">
        <v>225</v>
      </c>
    </row>
    <row r="17" customFormat="false" ht="15" hidden="false" customHeight="true" outlineLevel="0" collapsed="false">
      <c r="A17" s="4" t="s">
        <v>226</v>
      </c>
      <c r="B17" s="59" t="s">
        <v>227</v>
      </c>
    </row>
    <row r="18" customFormat="false" ht="15" hidden="false" customHeight="true" outlineLevel="0" collapsed="false">
      <c r="A18" s="54" t="n">
        <v>0.09</v>
      </c>
      <c r="B18" s="70" t="n">
        <f aca="false">(SUMPRODUCT(DCF_Base!$C$19:$L$19/(1+$A18)^DCF_Base!$C$4:$L$4)+MIN(DCF_Base!$L$19*(1+Assumptions!$D$15)/($A18-Assumptions!$D$15),Assumptions!$B$12*DCF_Base!$L$19)/(1+$A18)^10+Assumptions!$B$9)/Assumptions!$B$10</f>
        <v>123.630184950791</v>
      </c>
    </row>
    <row r="19" customFormat="false" ht="15" hidden="false" customHeight="true" outlineLevel="0" collapsed="false">
      <c r="A19" s="54" t="n">
        <v>0.1</v>
      </c>
      <c r="B19" s="70" t="n">
        <f aca="false">(SUMPRODUCT(DCF_Base!$C$19:$L$19/(1+$A19)^DCF_Base!$C$4:$L$4)+MIN(DCF_Base!$L$19*(1+Assumptions!$D$15)/($A19-Assumptions!$D$15),Assumptions!$B$12*DCF_Base!$L$19)/(1+$A19)^10+Assumptions!$B$9)/Assumptions!$B$10</f>
        <v>107.151229529755</v>
      </c>
    </row>
    <row r="20" customFormat="false" ht="15" hidden="false" customHeight="true" outlineLevel="0" collapsed="false">
      <c r="A20" s="54" t="n">
        <v>0.105</v>
      </c>
      <c r="B20" s="70" t="n">
        <f aca="false">(SUMPRODUCT(DCF_Base!$C$19:$L$19/(1+$A20)^DCF_Base!$C$4:$L$4)+MIN(DCF_Base!$L$19*(1+Assumptions!$D$15)/($A20-Assumptions!$D$15),Assumptions!$B$12*DCF_Base!$L$19)/(1+$A20)^10+Assumptions!$B$9)/Assumptions!$B$10</f>
        <v>100.605278636242</v>
      </c>
    </row>
    <row r="21" customFormat="false" ht="15" hidden="false" customHeight="true" outlineLevel="0" collapsed="false">
      <c r="A21" s="54" t="n">
        <v>0.11</v>
      </c>
      <c r="B21" s="70" t="n">
        <f aca="false">(SUMPRODUCT(DCF_Base!$C$19:$L$19/(1+$A21)^DCF_Base!$C$4:$L$4)+MIN(DCF_Base!$L$19*(1+Assumptions!$D$15)/($A21-Assumptions!$D$15),Assumptions!$B$12*DCF_Base!$L$19)/(1+$A21)^10+Assumptions!$B$9)/Assumptions!$B$10</f>
        <v>94.9046292202072</v>
      </c>
    </row>
    <row r="22" customFormat="false" ht="15" hidden="false" customHeight="true" outlineLevel="0" collapsed="false">
      <c r="A22" s="54" t="n">
        <v>0.12</v>
      </c>
      <c r="B22" s="70" t="n">
        <f aca="false">(SUMPRODUCT(DCF_Base!$C$19:$L$19/(1+$A22)^DCF_Base!$C$4:$L$4)+MIN(DCF_Base!$L$19*(1+Assumptions!$D$15)/($A22-Assumptions!$D$15),Assumptions!$B$12*DCF_Base!$L$19)/(1+$A22)^10+Assumptions!$B$9)/Assumptions!$B$10</f>
        <v>85.4720602926304</v>
      </c>
    </row>
    <row r="23" customFormat="false" ht="15" hidden="false" customHeight="true" outlineLevel="0" collapsed="false">
      <c r="A23" s="54" t="n">
        <v>0.15</v>
      </c>
      <c r="B23" s="71" t="n">
        <f aca="false">(SUMPRODUCT(DCF_Base!$C$19:$L$19/(1+$A23)^DCF_Base!$C$4:$L$4)+MIN(DCF_Base!$L$19*(1+Assumptions!$D$15)/($A23-Assumptions!$D$15),Assumptions!$B$12*DCF_Base!$L$19)/(1+$A23)^10+Assumptions!$B$9)/Assumptions!$B$10</f>
        <v>66.9740086162291</v>
      </c>
      <c r="C23" s="3" t="s">
        <v>18</v>
      </c>
    </row>
    <row r="26" customFormat="false" ht="15" hidden="false" customHeight="true" outlineLevel="0" collapsed="false">
      <c r="A26" s="4" t="s">
        <v>228</v>
      </c>
    </row>
    <row r="27" customFormat="false" ht="15" hidden="false" customHeight="true" outlineLevel="0" collapsed="false">
      <c r="A27" s="59" t="s">
        <v>229</v>
      </c>
      <c r="B27" s="72" t="n">
        <v>0.02</v>
      </c>
      <c r="C27" s="72" t="n">
        <v>0.025</v>
      </c>
      <c r="D27" s="72" t="n">
        <v>0.03</v>
      </c>
      <c r="E27" s="72" t="n">
        <v>0.035</v>
      </c>
      <c r="F27" s="72" t="n">
        <v>0.04</v>
      </c>
    </row>
    <row r="28" customFormat="false" ht="15" hidden="false" customHeight="true" outlineLevel="0" collapsed="false">
      <c r="A28" s="54" t="n">
        <v>0.095</v>
      </c>
      <c r="B28" s="70" t="n">
        <f aca="false">(SUMPRODUCT(DCF_Base!$C$19:$L$19/(1+$A28)^DCF_Base!$C$4:$L$4)+MIN(DCF_Base!$L$19*(1+B$27)/($A28-B$27),Assumptions!$B$12*DCF_Base!$L$19)/(1+$A28)^10+Assumptions!$B$9)/Assumptions!$B$10</f>
        <v>106.27443105627</v>
      </c>
      <c r="C28" s="70" t="n">
        <f aca="false">(SUMPRODUCT(DCF_Base!$C$19:$L$19/(1+$A28)^DCF_Base!$C$4:$L$4)+MIN(DCF_Base!$L$19*(1+C$27)/($A28-C$27),Assumptions!$B$12*DCF_Base!$L$19)/(1+$A28)^10+Assumptions!$B$9)/Assumptions!$B$10</f>
        <v>110.204356223634</v>
      </c>
      <c r="D28" s="70" t="n">
        <f aca="false">(SUMPRODUCT(DCF_Base!$C$19:$L$19/(1+$A28)^DCF_Base!$C$4:$L$4)+MIN(DCF_Base!$L$19*(1+D$27)/($A28-D$27),Assumptions!$B$12*DCF_Base!$L$19)/(1+$A28)^10+Assumptions!$B$9)/Assumptions!$B$10</f>
        <v>114.7388852629</v>
      </c>
      <c r="E28" s="70" t="n">
        <f aca="false">(SUMPRODUCT(DCF_Base!$C$19:$L$19/(1+$A28)^DCF_Base!$C$4:$L$4)+MIN(DCF_Base!$L$19*(1+E$27)/($A28-E$27),Assumptions!$B$12*DCF_Base!$L$19)/(1+$A28)^10+Assumptions!$B$9)/Assumptions!$B$10</f>
        <v>120.029169142043</v>
      </c>
      <c r="F28" s="70" t="n">
        <f aca="false">(SUMPRODUCT(DCF_Base!$C$19:$L$19/(1+$A28)^DCF_Base!$C$4:$L$4)+MIN(DCF_Base!$L$19*(1+F$27)/($A28-F$27),Assumptions!$B$12*DCF_Base!$L$19)/(1+$A28)^10+Assumptions!$B$9)/Assumptions!$B$10</f>
        <v>126.281322817394</v>
      </c>
    </row>
    <row r="29" customFormat="false" ht="15" hidden="false" customHeight="true" outlineLevel="0" collapsed="false">
      <c r="A29" s="54" t="n">
        <v>0.1</v>
      </c>
      <c r="B29" s="70" t="n">
        <f aca="false">(SUMPRODUCT(DCF_Base!$C$19:$L$19/(1+$A29)^DCF_Base!$C$4:$L$4)+MIN(DCF_Base!$L$19*(1+B$27)/($A29-B$27),Assumptions!$B$12*DCF_Base!$L$19)/(1+$A29)^10+Assumptions!$B$9)/Assumptions!$B$10</f>
        <v>100.078639915502</v>
      </c>
      <c r="C29" s="70" t="n">
        <f aca="false">(SUMPRODUCT(DCF_Base!$C$19:$L$19/(1+$A29)^DCF_Base!$C$4:$L$4)+MIN(DCF_Base!$L$19*(1+C$27)/($A29-C$27),Assumptions!$B$12*DCF_Base!$L$19)/(1+$A29)^10+Assumptions!$B$9)/Assumptions!$B$10</f>
        <v>103.379181735487</v>
      </c>
      <c r="D29" s="70" t="n">
        <f aca="false">(SUMPRODUCT(DCF_Base!$C$19:$L$19/(1+$A29)^DCF_Base!$C$4:$L$4)+MIN(DCF_Base!$L$19*(1+D$27)/($A29-D$27),Assumptions!$B$12*DCF_Base!$L$19)/(1+$A29)^10+Assumptions!$B$9)/Assumptions!$B$10</f>
        <v>107.151229529755</v>
      </c>
      <c r="E29" s="70" t="n">
        <f aca="false">(SUMPRODUCT(DCF_Base!$C$19:$L$19/(1+$A29)^DCF_Base!$C$4:$L$4)+MIN(DCF_Base!$L$19*(1+E$27)/($A29-E$27),Assumptions!$B$12*DCF_Base!$L$19)/(1+$A29)^10+Assumptions!$B$9)/Assumptions!$B$10</f>
        <v>111.503592369296</v>
      </c>
      <c r="F29" s="70" t="n">
        <f aca="false">(SUMPRODUCT(DCF_Base!$C$19:$L$19/(1+$A29)^DCF_Base!$C$4:$L$4)+MIN(DCF_Base!$L$19*(1+F$27)/($A29-F$27),Assumptions!$B$12*DCF_Base!$L$19)/(1+$A29)^10+Assumptions!$B$9)/Assumptions!$B$10</f>
        <v>116.581349015427</v>
      </c>
    </row>
    <row r="30" customFormat="false" ht="15" hidden="false" customHeight="true" outlineLevel="0" collapsed="false">
      <c r="A30" s="54" t="n">
        <v>0.105</v>
      </c>
      <c r="B30" s="70" t="n">
        <f aca="false">(SUMPRODUCT(DCF_Base!$C$19:$L$19/(1+$A30)^DCF_Base!$C$4:$L$4)+MIN(DCF_Base!$L$19*(1+B$27)/($A30-B$27),Assumptions!$B$12*DCF_Base!$L$19)/(1+$A30)^10+Assumptions!$B$9)/Assumptions!$B$10</f>
        <v>94.6409720297265</v>
      </c>
      <c r="C30" s="70" t="n">
        <f aca="false">(SUMPRODUCT(DCF_Base!$C$19:$L$19/(1+$A30)^DCF_Base!$C$4:$L$4)+MIN(DCF_Base!$L$19*(1+C$27)/($A30-C$27),Assumptions!$B$12*DCF_Base!$L$19)/(1+$A30)^10+Assumptions!$B$9)/Assumptions!$B$10</f>
        <v>97.4367407515308</v>
      </c>
      <c r="D30" s="71" t="n">
        <f aca="false">(SUMPRODUCT(DCF_Base!$C$19:$L$19/(1+$A30)^DCF_Base!$C$4:$L$4)+MIN(DCF_Base!$L$19*(1+D$27)/($A30-D$27),Assumptions!$B$12*DCF_Base!$L$19)/(1+$A30)^10+Assumptions!$B$9)/Assumptions!$B$10</f>
        <v>100.605278636242</v>
      </c>
      <c r="E30" s="70" t="n">
        <f aca="false">(SUMPRODUCT(DCF_Base!$C$19:$L$19/(1+$A30)^DCF_Base!$C$4:$L$4)+MIN(DCF_Base!$L$19*(1+E$27)/($A30-E$27),Assumptions!$B$12*DCF_Base!$L$19)/(1+$A30)^10+Assumptions!$B$9)/Assumptions!$B$10</f>
        <v>104.226464790198</v>
      </c>
      <c r="F30" s="70" t="n">
        <f aca="false">(SUMPRODUCT(DCF_Base!$C$19:$L$19/(1+$A30)^DCF_Base!$C$4:$L$4)+MIN(DCF_Base!$L$19*(1+F$27)/($A30-F$27),Assumptions!$B$12*DCF_Base!$L$19)/(1+$A30)^10+Assumptions!$B$9)/Assumptions!$B$10</f>
        <v>108.404756506301</v>
      </c>
    </row>
    <row r="31" customFormat="false" ht="15" hidden="false" customHeight="true" outlineLevel="0" collapsed="false">
      <c r="A31" s="54" t="n">
        <v>0.11</v>
      </c>
      <c r="B31" s="70" t="n">
        <f aca="false">(SUMPRODUCT(DCF_Base!$C$19:$L$19/(1+$A31)^DCF_Base!$C$4:$L$4)+MIN(DCF_Base!$L$19*(1+B$27)/($A31-B$27),Assumptions!$B$12*DCF_Base!$L$19)/(1+$A31)^10+Assumptions!$B$9)/Assumptions!$B$10</f>
        <v>89.8340059300782</v>
      </c>
      <c r="C31" s="70" t="n">
        <f aca="false">(SUMPRODUCT(DCF_Base!$C$19:$L$19/(1+$A31)^DCF_Base!$C$4:$L$4)+MIN(DCF_Base!$L$19*(1+C$27)/($A31-C$27),Assumptions!$B$12*DCF_Base!$L$19)/(1+$A31)^10+Assumptions!$B$9)/Assumptions!$B$10</f>
        <v>92.2201815960213</v>
      </c>
      <c r="D31" s="70" t="n">
        <f aca="false">(SUMPRODUCT(DCF_Base!$C$19:$L$19/(1+$A31)^DCF_Base!$C$4:$L$4)+MIN(DCF_Base!$L$19*(1+D$27)/($A31-D$27),Assumptions!$B$12*DCF_Base!$L$19)/(1+$A31)^10+Assumptions!$B$9)/Assumptions!$B$10</f>
        <v>94.9046292202072</v>
      </c>
      <c r="E31" s="70" t="n">
        <f aca="false">(SUMPRODUCT(DCF_Base!$C$19:$L$19/(1+$A31)^DCF_Base!$C$4:$L$4)+MIN(DCF_Base!$L$19*(1+E$27)/($A31-E$27),Assumptions!$B$12*DCF_Base!$L$19)/(1+$A31)^10+Assumptions!$B$9)/Assumptions!$B$10</f>
        <v>97.9470031942846</v>
      </c>
      <c r="F31" s="70" t="n">
        <f aca="false">(SUMPRODUCT(DCF_Base!$C$19:$L$19/(1+$A31)^DCF_Base!$C$4:$L$4)+MIN(DCF_Base!$L$19*(1+F$27)/($A31-F$27),Assumptions!$B$12*DCF_Base!$L$19)/(1+$A31)^10+Assumptions!$B$9)/Assumptions!$B$10</f>
        <v>101.424002021802</v>
      </c>
    </row>
    <row r="32" customFormat="false" ht="15" hidden="false" customHeight="true" outlineLevel="0" collapsed="false">
      <c r="A32" s="54" t="n">
        <v>0.115</v>
      </c>
      <c r="B32" s="70" t="n">
        <f aca="false">(SUMPRODUCT(DCF_Base!$C$19:$L$19/(1+$A32)^DCF_Base!$C$4:$L$4)+MIN(DCF_Base!$L$19*(1+B$27)/($A32-B$27),Assumptions!$B$12*DCF_Base!$L$19)/(1+$A32)^10+Assumptions!$B$9)/Assumptions!$B$10</f>
        <v>85.5571910601123</v>
      </c>
      <c r="C32" s="70" t="n">
        <f aca="false">(SUMPRODUCT(DCF_Base!$C$19:$L$19/(1+$A32)^DCF_Base!$C$4:$L$4)+MIN(DCF_Base!$L$19*(1+C$27)/($A32-C$27),Assumptions!$B$12*DCF_Base!$L$19)/(1+$A32)^10+Assumptions!$B$9)/Assumptions!$B$10</f>
        <v>87.6075539627886</v>
      </c>
      <c r="D32" s="70" t="n">
        <f aca="false">(SUMPRODUCT(DCF_Base!$C$19:$L$19/(1+$A32)^DCF_Base!$C$4:$L$4)+MIN(DCF_Base!$L$19*(1+D$27)/($A32-D$27),Assumptions!$B$12*DCF_Base!$L$19)/(1+$A32)^10+Assumptions!$B$9)/Assumptions!$B$10</f>
        <v>89.8991360304856</v>
      </c>
      <c r="E32" s="70" t="n">
        <f aca="false">(SUMPRODUCT(DCF_Base!$C$19:$L$19/(1+$A32)^DCF_Base!$C$4:$L$4)+MIN(DCF_Base!$L$19*(1+E$27)/($A32-E$27),Assumptions!$B$12*DCF_Base!$L$19)/(1+$A32)^10+Assumptions!$B$9)/Assumptions!$B$10</f>
        <v>92.4771658566448</v>
      </c>
      <c r="F32" s="70" t="n">
        <f aca="false">(SUMPRODUCT(DCF_Base!$C$19:$L$19/(1+$A32)^DCF_Base!$C$4:$L$4)+MIN(DCF_Base!$L$19*(1+F$27)/($A32-F$27),Assumptions!$B$12*DCF_Base!$L$19)/(1+$A32)^10+Assumptions!$B$9)/Assumptions!$B$10</f>
        <v>95.3989329929586</v>
      </c>
    </row>
    <row r="35" customFormat="false" ht="15" hidden="false" customHeight="true" outlineLevel="0" collapsed="false">
      <c r="A35" s="4" t="s">
        <v>230</v>
      </c>
    </row>
    <row r="36" customFormat="false" ht="15" hidden="false" customHeight="true" outlineLevel="0" collapsed="false">
      <c r="A36" s="59" t="s">
        <v>231</v>
      </c>
      <c r="B36" s="72" t="n">
        <v>0.095</v>
      </c>
      <c r="C36" s="72" t="n">
        <v>0.105</v>
      </c>
      <c r="D36" s="72" t="n">
        <v>0.115</v>
      </c>
    </row>
    <row r="37" customFormat="false" ht="15" hidden="false" customHeight="true" outlineLevel="0" collapsed="false">
      <c r="A37" s="54" t="n">
        <v>0.1</v>
      </c>
      <c r="B37" s="70" t="n">
        <f aca="false">(SUMPRODUCT(DCF_Base!$C$19:$L$19/(1+B$36)^DCF_Base!$C$4:$L$4)+MIN($A37*DCF_Base!$L$6*(1+Assumptions!$D$15)/(B$36-Assumptions!$D$15),Assumptions!$B$12*$A37*DCF_Base!$L$6)/(1+B$36)^10+Assumptions!$B$9)/Assumptions!$B$10</f>
        <v>91.4047126188211</v>
      </c>
      <c r="C37" s="70" t="n">
        <f aca="false">(SUMPRODUCT(DCF_Base!$C$19:$L$19/(1+C$36)^DCF_Base!$C$4:$L$4)+MIN($A37*DCF_Base!$L$6*(1+Assumptions!$D$15)/(C$36-Assumptions!$D$15),Assumptions!$B$12*$A37*DCF_Base!$L$6)/(1+C$36)^10+Assumptions!$B$9)/Assumptions!$B$10</f>
        <v>82.1397004098007</v>
      </c>
      <c r="D37" s="70" t="n">
        <f aca="false">(SUMPRODUCT(DCF_Base!$C$19:$L$19/(1+D$36)^DCF_Base!$C$4:$L$4)+MIN($A37*DCF_Base!$L$6*(1+Assumptions!$D$15)/(D$36-Assumptions!$D$15),Assumptions!$B$12*$A37*DCF_Base!$L$6)/(1+D$36)^10+Assumptions!$B$9)/Assumptions!$B$10</f>
        <v>75.0096620332553</v>
      </c>
    </row>
    <row r="38" customFormat="false" ht="15" hidden="false" customHeight="true" outlineLevel="0" collapsed="false">
      <c r="A38" s="54" t="n">
        <v>0.13</v>
      </c>
      <c r="B38" s="70" t="n">
        <f aca="false">(SUMPRODUCT(DCF_Base!$C$19:$L$19/(1+B$36)^DCF_Base!$C$4:$L$4)+MIN($A38*DCF_Base!$L$6*(1+Assumptions!$D$15)/(B$36-Assumptions!$D$15),Assumptions!$B$12*$A38*DCF_Base!$L$6)/(1+B$36)^10+Assumptions!$B$9)/Assumptions!$B$10</f>
        <v>102.318956372505</v>
      </c>
      <c r="C38" s="70" t="n">
        <f aca="false">(SUMPRODUCT(DCF_Base!$C$19:$L$19/(1+C$36)^DCF_Base!$C$4:$L$4)+MIN($A38*DCF_Base!$L$6*(1+Assumptions!$D$15)/(C$36-Assumptions!$D$15),Assumptions!$B$12*$A38*DCF_Base!$L$6)/(1+C$36)^10+Assumptions!$B$9)/Assumptions!$B$10</f>
        <v>90.7767249527404</v>
      </c>
      <c r="D38" s="70" t="n">
        <f aca="false">(SUMPRODUCT(DCF_Base!$C$19:$L$19/(1+D$36)^DCF_Base!$C$4:$L$4)+MIN($A38*DCF_Base!$L$6*(1+Assumptions!$D$15)/(D$36-Assumptions!$D$15),Assumptions!$B$12*$A38*DCF_Base!$L$6)/(1+D$36)^10+Assumptions!$B$9)/Assumptions!$B$10</f>
        <v>81.9740121753696</v>
      </c>
    </row>
    <row r="39" customFormat="false" ht="15" hidden="false" customHeight="true" outlineLevel="0" collapsed="false">
      <c r="A39" s="54" t="n">
        <v>0.16</v>
      </c>
      <c r="B39" s="70" t="n">
        <f aca="false">(SUMPRODUCT(DCF_Base!$C$19:$L$19/(1+B$36)^DCF_Base!$C$4:$L$4)+MIN($A39*DCF_Base!$L$6*(1+Assumptions!$D$15)/(B$36-Assumptions!$D$15),Assumptions!$B$12*$A39*DCF_Base!$L$6)/(1+B$36)^10+Assumptions!$B$9)/Assumptions!$B$10</f>
        <v>113.233200126189</v>
      </c>
      <c r="C39" s="70" t="n">
        <f aca="false">(SUMPRODUCT(DCF_Base!$C$19:$L$19/(1+C$36)^DCF_Base!$C$4:$L$4)+MIN($A39*DCF_Base!$L$6*(1+Assumptions!$D$15)/(C$36-Assumptions!$D$15),Assumptions!$B$12*$A39*DCF_Base!$L$6)/(1+C$36)^10+Assumptions!$B$9)/Assumptions!$B$10</f>
        <v>99.4137494956801</v>
      </c>
      <c r="D39" s="70" t="n">
        <f aca="false">(SUMPRODUCT(DCF_Base!$C$19:$L$19/(1+D$36)^DCF_Base!$C$4:$L$4)+MIN($A39*DCF_Base!$L$6*(1+Assumptions!$D$15)/(D$36-Assumptions!$D$15),Assumptions!$B$12*$A39*DCF_Base!$L$6)/(1+D$36)^10+Assumptions!$B$9)/Assumptions!$B$10</f>
        <v>88.9383623174839</v>
      </c>
    </row>
    <row r="40" customFormat="false" ht="15" hidden="false" customHeight="true" outlineLevel="0" collapsed="false">
      <c r="A40" s="54" t="n">
        <v>0.19</v>
      </c>
      <c r="B40" s="70" t="n">
        <f aca="false">(SUMPRODUCT(DCF_Base!$C$19:$L$19/(1+B$36)^DCF_Base!$C$4:$L$4)+MIN($A40*DCF_Base!$L$6*(1+Assumptions!$D$15)/(B$36-Assumptions!$D$15),Assumptions!$B$12*$A40*DCF_Base!$L$6)/(1+B$36)^10+Assumptions!$B$9)/Assumptions!$B$10</f>
        <v>124.147443879872</v>
      </c>
      <c r="C40" s="70" t="n">
        <f aca="false">(SUMPRODUCT(DCF_Base!$C$19:$L$19/(1+C$36)^DCF_Base!$C$4:$L$4)+MIN($A40*DCF_Base!$L$6*(1+Assumptions!$D$15)/(C$36-Assumptions!$D$15),Assumptions!$B$12*$A40*DCF_Base!$L$6)/(1+C$36)^10+Assumptions!$B$9)/Assumptions!$B$10</f>
        <v>108.05077403862</v>
      </c>
      <c r="D40" s="70" t="n">
        <f aca="false">(SUMPRODUCT(DCF_Base!$C$19:$L$19/(1+D$36)^DCF_Base!$C$4:$L$4)+MIN($A40*DCF_Base!$L$6*(1+Assumptions!$D$15)/(D$36-Assumptions!$D$15),Assumptions!$B$12*$A40*DCF_Base!$L$6)/(1+D$36)^10+Assumptions!$B$9)/Assumptions!$B$10</f>
        <v>95.9027124595982</v>
      </c>
    </row>
    <row r="41" customFormat="false" ht="15" hidden="false" customHeight="true" outlineLevel="0" collapsed="false">
      <c r="A41" s="54" t="n">
        <v>0.22</v>
      </c>
      <c r="B41" s="70" t="n">
        <f aca="false">(SUMPRODUCT(DCF_Base!$C$19:$L$19/(1+B$36)^DCF_Base!$C$4:$L$4)+MIN($A41*DCF_Base!$L$6*(1+Assumptions!$D$15)/(B$36-Assumptions!$D$15),Assumptions!$B$12*$A41*DCF_Base!$L$6)/(1+B$36)^10+Assumptions!$B$9)/Assumptions!$B$10</f>
        <v>135.061687633556</v>
      </c>
      <c r="C41" s="70" t="n">
        <f aca="false">(SUMPRODUCT(DCF_Base!$C$19:$L$19/(1+C$36)^DCF_Base!$C$4:$L$4)+MIN($A41*DCF_Base!$L$6*(1+Assumptions!$D$15)/(C$36-Assumptions!$D$15),Assumptions!$B$12*$A41*DCF_Base!$L$6)/(1+C$36)^10+Assumptions!$B$9)/Assumptions!$B$10</f>
        <v>116.68779858156</v>
      </c>
      <c r="D41" s="70" t="n">
        <f aca="false">(SUMPRODUCT(DCF_Base!$C$19:$L$19/(1+D$36)^DCF_Base!$C$4:$L$4)+MIN($A41*DCF_Base!$L$6*(1+Assumptions!$D$15)/(D$36-Assumptions!$D$15),Assumptions!$B$12*$A41*DCF_Base!$L$6)/(1+D$36)^10+Assumptions!$B$9)/Assumptions!$B$10</f>
        <v>102.867062601713</v>
      </c>
    </row>
    <row r="43" customFormat="false" ht="15" hidden="false" customHeight="true" outlineLevel="0" collapsed="false">
      <c r="A43" s="24" t="s">
        <v>232</v>
      </c>
      <c r="B43" s="24"/>
      <c r="C43" s="24"/>
      <c r="D43" s="24"/>
      <c r="E43" s="24"/>
      <c r="F43" s="24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</row>
  </sheetData>
  <mergeCells count="1">
    <mergeCell ref="A43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8" min="2" style="1" width="10"/>
  </cols>
  <sheetData>
    <row r="1" customFormat="false" ht="17.25" hidden="false" customHeight="true" outlineLevel="0" collapsed="false">
      <c r="A1" s="2" t="s">
        <v>233</v>
      </c>
    </row>
    <row r="2" customFormat="false" ht="15" hidden="false" customHeight="true" outlineLevel="0" collapsed="false">
      <c r="A2" s="3" t="s">
        <v>234</v>
      </c>
    </row>
    <row r="4" customFormat="false" ht="15" hidden="false" customHeight="true" outlineLevel="0" collapsed="false">
      <c r="A4" s="4" t="s">
        <v>235</v>
      </c>
    </row>
    <row r="5" customFormat="false" ht="25.5" hidden="false" customHeight="true" outlineLevel="0" collapsed="false">
      <c r="A5" s="15" t="s">
        <v>236</v>
      </c>
      <c r="B5" s="15"/>
      <c r="C5" s="15"/>
      <c r="D5" s="15"/>
      <c r="E5" s="15"/>
      <c r="F5" s="15"/>
      <c r="G5" s="15"/>
      <c r="H5" s="15"/>
    </row>
    <row r="6" customFormat="false" ht="25.5" hidden="false" customHeight="true" outlineLevel="0" collapsed="false">
      <c r="A6" s="15" t="s">
        <v>237</v>
      </c>
      <c r="B6" s="15"/>
      <c r="C6" s="15"/>
      <c r="D6" s="15"/>
      <c r="E6" s="15"/>
      <c r="F6" s="15"/>
      <c r="G6" s="15"/>
      <c r="H6" s="15"/>
    </row>
    <row r="7" customFormat="false" ht="25.5" hidden="false" customHeight="true" outlineLevel="0" collapsed="false">
      <c r="A7" s="15" t="s">
        <v>238</v>
      </c>
      <c r="B7" s="15"/>
      <c r="C7" s="15"/>
      <c r="D7" s="15"/>
      <c r="E7" s="15"/>
      <c r="F7" s="15"/>
      <c r="G7" s="15"/>
      <c r="H7" s="15"/>
    </row>
    <row r="9" customFormat="false" ht="15" hidden="false" customHeight="true" outlineLevel="0" collapsed="false">
      <c r="A9" s="4" t="s">
        <v>239</v>
      </c>
    </row>
    <row r="10" customFormat="false" ht="25.5" hidden="false" customHeight="true" outlineLevel="0" collapsed="false">
      <c r="A10" s="15" t="s">
        <v>240</v>
      </c>
      <c r="B10" s="15"/>
      <c r="C10" s="15"/>
      <c r="D10" s="15"/>
      <c r="E10" s="15"/>
      <c r="F10" s="15"/>
      <c r="G10" s="15"/>
      <c r="H10" s="15"/>
    </row>
    <row r="11" customFormat="false" ht="25.5" hidden="false" customHeight="true" outlineLevel="0" collapsed="false">
      <c r="A11" s="15" t="s">
        <v>241</v>
      </c>
      <c r="B11" s="15"/>
      <c r="C11" s="15"/>
      <c r="D11" s="15"/>
      <c r="E11" s="15"/>
      <c r="F11" s="15"/>
      <c r="G11" s="15"/>
      <c r="H11" s="15"/>
    </row>
    <row r="12" customFormat="false" ht="25.5" hidden="false" customHeight="true" outlineLevel="0" collapsed="false">
      <c r="A12" s="15" t="s">
        <v>242</v>
      </c>
      <c r="B12" s="15"/>
      <c r="C12" s="15"/>
      <c r="D12" s="15"/>
      <c r="E12" s="15"/>
      <c r="F12" s="15"/>
      <c r="G12" s="15"/>
      <c r="H12" s="15"/>
    </row>
    <row r="14" customFormat="false" ht="15" hidden="false" customHeight="true" outlineLevel="0" collapsed="false">
      <c r="A14" s="4" t="s">
        <v>243</v>
      </c>
    </row>
    <row r="15" customFormat="false" ht="25.5" hidden="false" customHeight="true" outlineLevel="0" collapsed="false">
      <c r="A15" s="15" t="s">
        <v>244</v>
      </c>
      <c r="B15" s="15"/>
      <c r="C15" s="15"/>
      <c r="D15" s="15"/>
      <c r="E15" s="15"/>
      <c r="F15" s="15"/>
      <c r="G15" s="15"/>
      <c r="H15" s="15"/>
    </row>
    <row r="16" customFormat="false" ht="25.5" hidden="false" customHeight="true" outlineLevel="0" collapsed="false">
      <c r="A16" s="15" t="s">
        <v>245</v>
      </c>
      <c r="B16" s="15"/>
      <c r="C16" s="15"/>
      <c r="D16" s="15"/>
      <c r="E16" s="15"/>
      <c r="F16" s="15"/>
      <c r="G16" s="15"/>
      <c r="H16" s="15"/>
    </row>
    <row r="17" customFormat="false" ht="25.5" hidden="false" customHeight="true" outlineLevel="0" collapsed="false">
      <c r="A17" s="15" t="s">
        <v>246</v>
      </c>
      <c r="B17" s="15"/>
      <c r="C17" s="15"/>
      <c r="D17" s="15"/>
      <c r="E17" s="15"/>
      <c r="F17" s="15"/>
      <c r="G17" s="15"/>
      <c r="H17" s="15"/>
    </row>
    <row r="18" customFormat="false" ht="25.5" hidden="false" customHeight="true" outlineLevel="0" collapsed="false">
      <c r="A18" s="15" t="s">
        <v>247</v>
      </c>
      <c r="B18" s="15"/>
      <c r="C18" s="15"/>
      <c r="D18" s="15"/>
      <c r="E18" s="15"/>
      <c r="F18" s="15"/>
      <c r="G18" s="15"/>
      <c r="H18" s="15"/>
    </row>
    <row r="20" customFormat="false" ht="15" hidden="false" customHeight="true" outlineLevel="0" collapsed="false">
      <c r="A20" s="4" t="s">
        <v>248</v>
      </c>
    </row>
    <row r="21" customFormat="false" ht="25.5" hidden="false" customHeight="true" outlineLevel="0" collapsed="false">
      <c r="A21" s="15" t="s">
        <v>249</v>
      </c>
      <c r="B21" s="15"/>
      <c r="C21" s="15"/>
      <c r="D21" s="15"/>
      <c r="E21" s="15"/>
      <c r="F21" s="15"/>
      <c r="G21" s="15"/>
      <c r="H21" s="15"/>
    </row>
    <row r="22" customFormat="false" ht="25.5" hidden="false" customHeight="true" outlineLevel="0" collapsed="false">
      <c r="A22" s="15" t="s">
        <v>250</v>
      </c>
      <c r="B22" s="15"/>
      <c r="C22" s="15"/>
      <c r="D22" s="15"/>
      <c r="E22" s="15"/>
      <c r="F22" s="15"/>
      <c r="G22" s="15"/>
      <c r="H22" s="15"/>
    </row>
    <row r="23" customFormat="false" ht="25.5" hidden="false" customHeight="true" outlineLevel="0" collapsed="false">
      <c r="A23" s="15" t="s">
        <v>251</v>
      </c>
      <c r="B23" s="15"/>
      <c r="C23" s="15"/>
      <c r="D23" s="15"/>
      <c r="E23" s="15"/>
      <c r="F23" s="15"/>
      <c r="G23" s="15"/>
      <c r="H23" s="15"/>
    </row>
    <row r="25" customFormat="false" ht="15" hidden="false" customHeight="true" outlineLevel="0" collapsed="false">
      <c r="A25" s="4" t="s">
        <v>252</v>
      </c>
    </row>
    <row r="26" customFormat="false" ht="25.5" hidden="false" customHeight="true" outlineLevel="0" collapsed="false">
      <c r="A26" s="15" t="s">
        <v>253</v>
      </c>
      <c r="B26" s="15"/>
      <c r="C26" s="15"/>
      <c r="D26" s="15"/>
      <c r="E26" s="15"/>
      <c r="F26" s="15"/>
      <c r="G26" s="15"/>
      <c r="H26" s="15"/>
    </row>
  </sheetData>
  <mergeCells count="14">
    <mergeCell ref="A5:H5"/>
    <mergeCell ref="A6:H6"/>
    <mergeCell ref="A7:H7"/>
    <mergeCell ref="A10:H10"/>
    <mergeCell ref="A11:H11"/>
    <mergeCell ref="A12:H12"/>
    <mergeCell ref="A15:H15"/>
    <mergeCell ref="A16:H16"/>
    <mergeCell ref="A17:H17"/>
    <mergeCell ref="A18:H18"/>
    <mergeCell ref="A21:H21"/>
    <mergeCell ref="A22:H22"/>
    <mergeCell ref="A23:H23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2026-07-28T20:30:11Z</dcterms:created>
  <dc:creator>openpyxl</dc:creator>
  <dc:description/>
  <dc:language>en-US</dc:language>
  <cp:lastModifiedBy/>
  <dcterms:modified xsi:type="dcterms:W3CDTF">2026-07-28T21:32:46Z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