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FCF Quality" sheetId="2" r:id="rId2"/>
    <sheet name="Sensitivity" sheetId="3" r:id="rId3"/>
    <sheet name="Model_Info" sheetId="4" r:id="rId4"/>
  </sheets>
  <calcPr calcId="124519" fullCalcOnLoad="1"/>
</workbook>
</file>

<file path=xl/sharedStrings.xml><?xml version="1.0" encoding="utf-8"?>
<sst xmlns="http://schemas.openxmlformats.org/spreadsheetml/2006/main" count="108" uniqueCount="107">
  <si>
    <t>DUOL DCF — component-built owner FCF, 10-year horizon</t>
  </si>
  <si>
    <t>Gray = inputs. Owner FCF is BUILT each year from EBITDA/SBC/D&amp;A/tax/capex/WC — not a flat margin.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</si>
  <si>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</si>
  <si>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</si>
  <si>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</si>
  <si>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</si>
  <si>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</si>
  <si>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</si>
  <si>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FY2025 Revenue (M)</t>
  </si>
  <si>
    <t>D&amp;A (% of revenue)</t>
  </si>
  <si>
    <t>Capex (% of revenue)</t>
  </si>
  <si>
    <t>WC capture (% of revenue GROWTH)</t>
  </si>
  <si>
    <t>Annual share growth (uncovered dilution)</t>
  </si>
  <si>
    <t>WACC</t>
  </si>
  <si>
    <t>Terminal growth</t>
  </si>
  <si>
    <t>Terminal cap (x FCF)</t>
  </si>
  <si>
    <t>DRIVERS (edit these)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</si>
  <si>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</si>
  <si>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</si>
  <si>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</si>
  <si>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</si>
  <si>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</si>
  <si>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</si>
  <si>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</si>
  <si>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</si>
  <si>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</si>
  <si>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</si>
  <si>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</t>
  </si>
  <si>
    <t>Adj EBITDA margin</t>
  </si>
  <si>
    <t>SBC (% of revenue)</t>
  </si>
  <si>
    <t>Cash tax rate</t>
  </si>
  <si>
    <t>BUILD</t>
  </si>
  <si>
    <t>Revenue</t>
  </si>
  <si>
    <t>Adj EBITDA</t>
  </si>
  <si>
    <t>less: SBC</t>
  </si>
  <si>
    <t>less: D&amp;A</t>
  </si>
  <si>
    <t>add: D&amp;A</t>
  </si>
  <si>
    <t>less: capex</t>
  </si>
  <si>
    <t>add: working capital (on revenue CHANGE)</t>
  </si>
  <si>
    <t>Owner FCF margin</t>
  </si>
  <si>
    <t>Shares (M)</t>
  </si>
  <si>
    <t>Discount factor</t>
  </si>
  <si>
    <t>PV of owner FCF</t>
  </si>
  <si>
    <t>VALUATION</t>
  </si>
  <si>
    <t>Sum PV of FCF</t>
  </si>
  <si>
    <t>TV — Gordon</t>
  </si>
  <si>
    <t>TV — cap (20x)</t>
  </si>
  <si>
    <t>TV used (lower)</t>
  </si>
  <si>
    <t>Implied exit multiple</t>
  </si>
  <si>
    <t>PV of TV</t>
  </si>
  <si>
    <t>Enterprise value</t>
  </si>
  <si>
    <t>Less: net debt</t>
  </si>
  <si>
    <t>Equity value</t>
  </si>
  <si>
    <t>INTRINSIC VALUE/SHARE</t>
  </si>
  <si>
    <t>ENTRY PRICE (15% IRR)</t>
  </si>
  <si>
    <t>PV FCF @15%</t>
  </si>
  <si>
    <t>PV TV @15%</t>
  </si>
  <si>
    <t>Entry price</t>
  </si>
  <si>
    <t>Upside to IV</t>
  </si>
  <si>
    <t>Reported FCF vs Owner FCF</t>
  </si>
  <si>
    <t>Headline FCF is flattered by SBC add-back, interest on the cash pile, and deferred-revenue timing.</t>
  </si>
  <si>
    <t>FY2022</t>
  </si>
  <si>
    <t>FY2023</t>
  </si>
  <si>
    <t>FY2024</t>
  </si>
  <si>
    <t>FY2025</t>
  </si>
  <si>
    <t>Free cash flow (company definition)</t>
  </si>
  <si>
    <t xml:space="preserve">  less: SBC incl. equity-award taxes</t>
  </si>
  <si>
    <t xml:space="preserve">  less: interest income</t>
  </si>
  <si>
    <t>Reported FCF margin</t>
  </si>
  <si>
    <t>Memo: deferred revenue increase inside OCF</t>
  </si>
  <si>
    <t xml:space="preserve">  as % of reported FCF</t>
  </si>
  <si>
    <t>Owner FCF ex deferred-revenue windfall</t>
  </si>
  <si>
    <t xml:space="preserve">  margin on that basis</t>
  </si>
  <si>
    <t>This is why the DCF does NOT carry the FY2025 margin forward:</t>
  </si>
  <si>
    <t>34% of FY2025 reported FCF was deferred-revenue timing, which scales with</t>
  </si>
  <si>
    <t>bookings GROWTH, not revenue. As growth falls from 33% to ~10%, it shrinks.</t>
  </si>
  <si>
    <t>FY2025 also had a cash tax BENEFIT (-$231.7m, valuation-allowance release),</t>
  </si>
  <si>
    <t>guided at -6% for 2026 and ramped to 21% by 2030 in the model.</t>
  </si>
  <si>
    <t>IV/share — WACC x terminal growth (10yr component build, TV capped 20x)</t>
  </si>
  <si>
    <t>WACC \ g</t>
  </si>
  <si>
    <t>Range $67.09-$118.47. 25/25 cells sit below the current price of $140.73.</t>
  </si>
  <si>
    <t>Model Provenance &amp; Maintenance Notes</t>
  </si>
  <si>
    <t>WHO BUILT THIS</t>
  </si>
  <si>
    <t>• Generated by the research-stock skill (.claude/agents/dcf-analyst.md) on 2026-07-29.</t>
  </si>
  <si>
    <t>• Built programmatically with xlsxwriter; every projection cell is a live formula, not a pasted value.</t>
  </si>
  <si>
    <t>DATA VINTAGE — CHECK BEFORE REUSING</t>
  </si>
  <si>
    <t>• Share price $140.73 as of 2026-07-29 (Yahoo Finance).</t>
  </si>
  <si>
    <t>• Financials: FY2025 10-K (filed Feb-2026) and Q1-2026 10-Q. FY2026 guidance as reiterated May-2026.</t>
  </si>
  <si>
    <t>• Net cash $1,138.6m and diluted shares 49.0m are Q1-2026 balance-sheet figures.</t>
  </si>
  <si>
    <t>• These go stale. Re-check every input after the next earnings print.</t>
  </si>
  <si>
    <t>METHODOLOGY (so you need not reverse-engineer it)</t>
  </si>
  <si>
    <t>• Owner-FCF basis: reported FCF less SBC (incl. equity-award taxes) less interest income.</t>
  </si>
  <si>
    <t>• SBC uses the adjusted-EBITDA reconciliation figure ($148.6m FY2025), NOT the $137.4m cash-flow</t>
  </si>
  <si>
    <t xml:space="preserve">  add-back plus $41.6m of net-share-settlement taxes — that sum would double-count.</t>
  </si>
  <si>
    <t>• Interest income is stripped because net cash is added to EV; counting both values the cash twice.</t>
  </si>
  <si>
    <t>• Margins are BUILT from components each year, never carried forward flat from FY2025.</t>
  </si>
  <si>
    <t>• Working capital = 18% of the YoY revenue INCREASE (deferred-revenue timing scales with growth).</t>
  </si>
  <si>
    <t>• Cash tax ramps from the guided -6% benefit in 2026 to 21% by 2030.</t>
  </si>
  <si>
    <t>• 10-year horizon because owner-FCF margin is still ramping at year 5 (13.2%) and matures near 16.4%.</t>
  </si>
  <si>
    <t>• Terminal value = lower of Gordon growth and 20x terminal-year FCF.</t>
  </si>
  <si>
    <t>• Shares grow 2.15%/yr: DUOL repurchases nothing, so SBC dilution is uncovered.</t>
  </si>
  <si>
    <t>HOW TO UPDATE</t>
  </si>
  <si>
    <t>• Refresh B5 (price), B6 (shares), B7 (cash), B10 (latest FY revenue).</t>
  </si>
  <si>
    <t>• Reassess the gray driver rows 20-23 on each scenario — especially EBITDA margin and SBC %.</t>
  </si>
  <si>
    <t>• Re-check the FCF Quality tab: if the deferred-revenue share of FCF has moved, revisit B13.</t>
  </si>
  <si>
    <t>CONVENTIONS</t>
  </si>
  <si>
    <t>• Gray cells = hardcoded inputs (edit these). All other cells are formulas.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</si>
</sst>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5" fontId="0" fillId="0" borderId="2" xfId="0" applyNumberFormat="1" applyBorder="1"/>
    <xf numFmtId="166" fontId="4" fillId="4" borderId="2" xfId="0" applyNumberFormat="1" applyFont="1" applyFill="1" applyBorder="1"/>
    <xf numFmtId="165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cols>
    <col min="1" max="1" width="36.7109375" customWidth="1"/>
    <col min="2" max="14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140.73</v>
      </c>
    </row>
    <row r="6" spans="1:2">
      <c r="A6" t="s">
        <v>4</v>
      </c>
      <c r="B6" s="4">
        <v>49</v>
      </c>
    </row>
    <row r="7" spans="1:2">
      <c r="A7" t="s">
        <v>5</v>
      </c>
      <c r="B7" s="4">
        <v>1138.6</v>
      </c>
    </row>
    <row r="8" spans="1:2">
      <c r="A8" t="s">
        <v>6</v>
      </c>
      <c r="B8" s="4">
        <v>0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1037.6</v>
      </c>
    </row>
    <row r="11" spans="1:2">
      <c r="A11" t="s">
        <v>9</v>
      </c>
      <c r="B11" s="6">
        <v>0.015</v>
      </c>
    </row>
    <row r="12" spans="1:2">
      <c r="A12" t="s">
        <v>10</v>
      </c>
      <c r="B12" s="6">
        <v>0.023</v>
      </c>
    </row>
    <row r="13" spans="1:2">
      <c r="A13" t="s">
        <v>11</v>
      </c>
      <c r="B13" s="6">
        <v>0.18</v>
      </c>
    </row>
    <row r="14" spans="1:2">
      <c r="A14" t="s">
        <v>12</v>
      </c>
      <c r="B14" s="6">
        <v>0.0215</v>
      </c>
    </row>
    <row r="15" spans="1:2">
      <c r="A15" t="s">
        <v>13</v>
      </c>
      <c r="B15" s="6">
        <v>0.1</v>
      </c>
    </row>
    <row r="16" spans="1:2">
      <c r="A16" t="s">
        <v>14</v>
      </c>
      <c r="B16" s="6">
        <v>0.03</v>
      </c>
    </row>
    <row r="17" spans="1:12">
      <c r="A17" t="s">
        <v>15</v>
      </c>
      <c r="B17" s="4">
        <v>20</v>
      </c>
    </row>
    <row r="19" spans="1:12">
      <c r="A19" s="3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22</v>
      </c>
      <c r="I19" s="7" t="s">
        <v>23</v>
      </c>
      <c r="J19" s="7" t="s">
        <v>24</v>
      </c>
      <c r="K19" s="7" t="s">
        <v>25</v>
      </c>
      <c r="L19" s="7" t="s">
        <v>26</v>
      </c>
    </row>
    <row r="20" spans="1:12">
      <c r="A20" t="s">
        <v>27</v>
      </c>
      <c r="C20" s="6">
        <v>0.161</v>
      </c>
      <c r="D20" s="6">
        <v>0.12</v>
      </c>
      <c r="E20" s="6">
        <v>0.14</v>
      </c>
      <c r="F20" s="6">
        <v>0.13</v>
      </c>
      <c r="G20" s="6">
        <v>0.11</v>
      </c>
      <c r="H20" s="6">
        <v>0.1</v>
      </c>
      <c r="I20" s="6">
        <v>0.09</v>
      </c>
      <c r="J20" s="6">
        <v>0.08</v>
      </c>
      <c r="K20" s="6">
        <v>0.07000000000000001</v>
      </c>
      <c r="L20" s="6">
        <v>0.06</v>
      </c>
    </row>
    <row r="21" spans="1:12">
      <c r="A21" t="s">
        <v>28</v>
      </c>
      <c r="C21" s="6">
        <v>0.255</v>
      </c>
      <c r="D21" s="6">
        <v>0.265</v>
      </c>
      <c r="E21" s="6">
        <v>0.275</v>
      </c>
      <c r="F21" s="6">
        <v>0.285</v>
      </c>
      <c r="G21" s="6">
        <v>0.295</v>
      </c>
      <c r="H21" s="6">
        <v>0.3</v>
      </c>
      <c r="I21" s="6">
        <v>0.305</v>
      </c>
      <c r="J21" s="6">
        <v>0.31</v>
      </c>
      <c r="K21" s="6">
        <v>0.315</v>
      </c>
      <c r="L21" s="6">
        <v>0.32</v>
      </c>
    </row>
    <row r="22" spans="1:12">
      <c r="A22" t="s">
        <v>29</v>
      </c>
      <c r="C22" s="6">
        <v>0.15</v>
      </c>
      <c r="D22" s="6">
        <v>0.145</v>
      </c>
      <c r="E22" s="6">
        <v>0.14</v>
      </c>
      <c r="F22" s="6">
        <v>0.13</v>
      </c>
      <c r="G22" s="6">
        <v>0.125</v>
      </c>
      <c r="H22" s="6">
        <v>0.12</v>
      </c>
      <c r="I22" s="6">
        <v>0.115</v>
      </c>
      <c r="J22" s="6">
        <v>0.11</v>
      </c>
      <c r="K22" s="6">
        <v>0.105</v>
      </c>
      <c r="L22" s="6">
        <v>0.1</v>
      </c>
    </row>
    <row r="23" spans="1:12">
      <c r="A23" t="s">
        <v>30</v>
      </c>
      <c r="C23" s="6">
        <v>-0.06</v>
      </c>
      <c r="D23" s="6">
        <v>0.08</v>
      </c>
      <c r="E23" s="6">
        <v>0.15</v>
      </c>
      <c r="F23" s="6">
        <v>0.2</v>
      </c>
      <c r="G23" s="6">
        <v>0.21</v>
      </c>
      <c r="H23" s="6">
        <v>0.21</v>
      </c>
      <c r="I23" s="6">
        <v>0.21</v>
      </c>
      <c r="J23" s="6">
        <v>0.21</v>
      </c>
      <c r="K23" s="6">
        <v>0.21</v>
      </c>
      <c r="L23" s="6">
        <v>0.21</v>
      </c>
    </row>
    <row r="25" spans="1:12">
      <c r="A25" s="3" t="s">
        <v>31</v>
      </c>
    </row>
    <row r="26" spans="1:12">
      <c r="A26" t="s">
        <v>32</v>
      </c>
      <c r="B26" s="5">
        <v>1037.6</v>
      </c>
      <c r="C26" s="5">
        <f>B26*(1+C20)</f>
        <v>0</v>
      </c>
      <c r="D26" s="5">
        <f>C26*(1+D20)</f>
        <v>0</v>
      </c>
      <c r="E26" s="5">
        <f>D26*(1+E20)</f>
        <v>0</v>
      </c>
      <c r="F26" s="5">
        <f>E26*(1+F20)</f>
        <v>0</v>
      </c>
      <c r="G26" s="5">
        <f>F26*(1+G20)</f>
        <v>0</v>
      </c>
      <c r="H26" s="5">
        <f>G26*(1+H20)</f>
        <v>0</v>
      </c>
      <c r="I26" s="5">
        <f>H26*(1+I20)</f>
        <v>0</v>
      </c>
      <c r="J26" s="5">
        <f>I26*(1+J20)</f>
        <v>0</v>
      </c>
      <c r="K26" s="5">
        <f>J26*(1+K20)</f>
        <v>0</v>
      </c>
      <c r="L26" s="5">
        <f>K26*(1+L20)</f>
        <v>0</v>
      </c>
    </row>
    <row r="27" spans="1:12">
      <c r="A27" t="s">
        <v>33</v>
      </c>
      <c r="C27" s="5">
        <f>C26*C21</f>
        <v>0</v>
      </c>
      <c r="D27" s="5">
        <f>D26*D21</f>
        <v>0</v>
      </c>
      <c r="E27" s="5">
        <f>E26*E21</f>
        <v>0</v>
      </c>
      <c r="F27" s="5">
        <f>F26*F21</f>
        <v>0</v>
      </c>
      <c r="G27" s="5">
        <f>G26*G21</f>
        <v>0</v>
      </c>
      <c r="H27" s="5">
        <f>H26*H21</f>
        <v>0</v>
      </c>
      <c r="I27" s="5">
        <f>I26*I21</f>
        <v>0</v>
      </c>
      <c r="J27" s="5">
        <f>J26*J21</f>
        <v>0</v>
      </c>
      <c r="K27" s="5">
        <f>K26*K21</f>
        <v>0</v>
      </c>
      <c r="L27" s="5">
        <f>L26*L21</f>
        <v>0</v>
      </c>
    </row>
    <row r="28" spans="1:12">
      <c r="A28" t="s">
        <v>34</v>
      </c>
      <c r="C28" s="5">
        <f>C26*C22</f>
        <v>0</v>
      </c>
      <c r="D28" s="5">
        <f>D26*D22</f>
        <v>0</v>
      </c>
      <c r="E28" s="5">
        <f>E26*E22</f>
        <v>0</v>
      </c>
      <c r="F28" s="5">
        <f>F26*F22</f>
        <v>0</v>
      </c>
      <c r="G28" s="5">
        <f>G26*G22</f>
        <v>0</v>
      </c>
      <c r="H28" s="5">
        <f>H26*H22</f>
        <v>0</v>
      </c>
      <c r="I28" s="5">
        <f>I26*I22</f>
        <v>0</v>
      </c>
      <c r="J28" s="5">
        <f>J26*J22</f>
        <v>0</v>
      </c>
      <c r="K28" s="5">
        <f>K26*K22</f>
        <v>0</v>
      </c>
      <c r="L28" s="5">
        <f>L26*L22</f>
        <v>0</v>
      </c>
    </row>
    <row r="29" spans="1:12">
      <c r="A29" t="s">
        <v>35</v>
      </c>
      <c r="C29" s="5">
        <f>C26*$B$11</f>
        <v>0</v>
      </c>
      <c r="D29" s="5">
        <f>D26*$B$11</f>
        <v>0</v>
      </c>
      <c r="E29" s="5">
        <f>E26*$B$11</f>
        <v>0</v>
      </c>
      <c r="F29" s="5">
        <f>F26*$B$11</f>
        <v>0</v>
      </c>
      <c r="G29" s="5">
        <f>G26*$B$11</f>
        <v>0</v>
      </c>
      <c r="H29" s="5">
        <f>H26*$B$11</f>
        <v>0</v>
      </c>
      <c r="I29" s="5">
        <f>I26*$B$11</f>
        <v>0</v>
      </c>
      <c r="J29" s="5">
        <f>J26*$B$11</f>
        <v>0</v>
      </c>
      <c r="K29" s="5">
        <f>K26*$B$11</f>
        <v>0</v>
      </c>
      <c r="L29" s="5">
        <f>L26*$B$11</f>
        <v>0</v>
      </c>
    </row>
    <row r="30" spans="1:12">
      <c r="A30">
        <f> EBIT</f>
        <v>0</v>
      </c>
      <c r="C30" s="5">
        <f>C27-C28-C29</f>
        <v>0</v>
      </c>
      <c r="D30" s="5">
        <f>D27-D28-D29</f>
        <v>0</v>
      </c>
      <c r="E30" s="5">
        <f>E27-E28-E29</f>
        <v>0</v>
      </c>
      <c r="F30" s="5">
        <f>F27-F28-F29</f>
        <v>0</v>
      </c>
      <c r="G30" s="5">
        <f>G27-G28-G29</f>
        <v>0</v>
      </c>
      <c r="H30" s="5">
        <f>H27-H28-H29</f>
        <v>0</v>
      </c>
      <c r="I30" s="5">
        <f>I27-I28-I29</f>
        <v>0</v>
      </c>
      <c r="J30" s="5">
        <f>J27-J28-J29</f>
        <v>0</v>
      </c>
      <c r="K30" s="5">
        <f>K27-K28-K29</f>
        <v>0</v>
      </c>
      <c r="L30" s="5">
        <f>L27-L28-L29</f>
        <v>0</v>
      </c>
    </row>
    <row r="31" spans="1:12">
      <c r="A31" t="inlineStr">
        <is>
          <t>= NOPAT (after cash tax)</t>
        </is>
      </c>
      <c r="C31" s="5">
        <f>C30*(1-C23)</f>
        <v>0</v>
      </c>
      <c r="D31" s="5">
        <f>D30*(1-D23)</f>
        <v>0</v>
      </c>
      <c r="E31" s="5">
        <f>E30*(1-E23)</f>
        <v>0</v>
      </c>
      <c r="F31" s="5">
        <f>F30*(1-F23)</f>
        <v>0</v>
      </c>
      <c r="G31" s="5">
        <f>G30*(1-G23)</f>
        <v>0</v>
      </c>
      <c r="H31" s="5">
        <f>H30*(1-H23)</f>
        <v>0</v>
      </c>
      <c r="I31" s="5">
        <f>I30*(1-I23)</f>
        <v>0</v>
      </c>
      <c r="J31" s="5">
        <f>J30*(1-J23)</f>
        <v>0</v>
      </c>
      <c r="K31" s="5">
        <f>K30*(1-K23)</f>
        <v>0</v>
      </c>
      <c r="L31" s="5">
        <f>L30*(1-L23)</f>
        <v>0</v>
      </c>
    </row>
    <row r="32" spans="1:12">
      <c r="A32" t="s">
        <v>36</v>
      </c>
      <c r="C32" s="5">
        <f>C29</f>
        <v>0</v>
      </c>
      <c r="D32" s="5">
        <f>D29</f>
        <v>0</v>
      </c>
      <c r="E32" s="5">
        <f>E29</f>
        <v>0</v>
      </c>
      <c r="F32" s="5">
        <f>F29</f>
        <v>0</v>
      </c>
      <c r="G32" s="5">
        <f>G29</f>
        <v>0</v>
      </c>
      <c r="H32" s="5">
        <f>H29</f>
        <v>0</v>
      </c>
      <c r="I32" s="5">
        <f>I29</f>
        <v>0</v>
      </c>
      <c r="J32" s="5">
        <f>J29</f>
        <v>0</v>
      </c>
      <c r="K32" s="5">
        <f>K29</f>
        <v>0</v>
      </c>
      <c r="L32" s="5">
        <f>L29</f>
        <v>0</v>
      </c>
    </row>
    <row r="33" spans="1:12">
      <c r="A33" t="s">
        <v>37</v>
      </c>
      <c r="C33" s="5">
        <f>C26*$B$12</f>
        <v>0</v>
      </c>
      <c r="D33" s="5">
        <f>D26*$B$12</f>
        <v>0</v>
      </c>
      <c r="E33" s="5">
        <f>E26*$B$12</f>
        <v>0</v>
      </c>
      <c r="F33" s="5">
        <f>F26*$B$12</f>
        <v>0</v>
      </c>
      <c r="G33" s="5">
        <f>G26*$B$12</f>
        <v>0</v>
      </c>
      <c r="H33" s="5">
        <f>H26*$B$12</f>
        <v>0</v>
      </c>
      <c r="I33" s="5">
        <f>I26*$B$12</f>
        <v>0</v>
      </c>
      <c r="J33" s="5">
        <f>J26*$B$12</f>
        <v>0</v>
      </c>
      <c r="K33" s="5">
        <f>K26*$B$12</f>
        <v>0</v>
      </c>
      <c r="L33" s="5">
        <f>L26*$B$12</f>
        <v>0</v>
      </c>
    </row>
    <row r="34" spans="1:12">
      <c r="A34" t="s">
        <v>38</v>
      </c>
      <c r="C34" s="5">
        <f>$B$13*(C26-B26)</f>
        <v>0</v>
      </c>
      <c r="D34" s="5">
        <f>$B$13*(D26-C26)</f>
        <v>0</v>
      </c>
      <c r="E34" s="5">
        <f>$B$13*(E26-D26)</f>
        <v>0</v>
      </c>
      <c r="F34" s="5">
        <f>$B$13*(F26-E26)</f>
        <v>0</v>
      </c>
      <c r="G34" s="5">
        <f>$B$13*(G26-F26)</f>
        <v>0</v>
      </c>
      <c r="H34" s="5">
        <f>$B$13*(H26-G26)</f>
        <v>0</v>
      </c>
      <c r="I34" s="5">
        <f>$B$13*(I26-H26)</f>
        <v>0</v>
      </c>
      <c r="J34" s="5">
        <f>$B$13*(J26-I26)</f>
        <v>0</v>
      </c>
      <c r="K34" s="5">
        <f>$B$13*(K26-J26)</f>
        <v>0</v>
      </c>
      <c r="L34" s="5">
        <f>$B$13*(L26-K26)</f>
        <v>0</v>
      </c>
    </row>
    <row r="35" spans="1:12">
      <c r="A35" s="8">
        <f> OWNER FCF</f>
        <v>0</v>
      </c>
      <c r="C35" s="5">
        <f>C31+C32-C33+C34</f>
        <v>0</v>
      </c>
      <c r="D35" s="5">
        <f>D31+D32-D33+D34</f>
        <v>0</v>
      </c>
      <c r="E35" s="5">
        <f>E31+E32-E33+E34</f>
        <v>0</v>
      </c>
      <c r="F35" s="5">
        <f>F31+F32-F33+F34</f>
        <v>0</v>
      </c>
      <c r="G35" s="5">
        <f>G31+G32-G33+G34</f>
        <v>0</v>
      </c>
      <c r="H35" s="5">
        <f>H31+H32-H33+H34</f>
        <v>0</v>
      </c>
      <c r="I35" s="5">
        <f>I31+I32-I33+I34</f>
        <v>0</v>
      </c>
      <c r="J35" s="5">
        <f>J31+J32-J33+J34</f>
        <v>0</v>
      </c>
      <c r="K35" s="5">
        <f>K31+K32-K33+K34</f>
        <v>0</v>
      </c>
      <c r="L35" s="5">
        <f>L31+L32-L33+L34</f>
        <v>0</v>
      </c>
    </row>
    <row r="36" spans="1:12">
      <c r="A36" t="s">
        <v>39</v>
      </c>
      <c r="C36" s="9">
        <f>C35/C26</f>
        <v>0</v>
      </c>
      <c r="D36" s="9">
        <f>D35/D26</f>
        <v>0</v>
      </c>
      <c r="E36" s="9">
        <f>E35/E26</f>
        <v>0</v>
      </c>
      <c r="F36" s="9">
        <f>F35/F26</f>
        <v>0</v>
      </c>
      <c r="G36" s="9">
        <f>G35/G26</f>
        <v>0</v>
      </c>
      <c r="H36" s="9">
        <f>H35/H26</f>
        <v>0</v>
      </c>
      <c r="I36" s="9">
        <f>I35/I26</f>
        <v>0</v>
      </c>
      <c r="J36" s="9">
        <f>J35/J26</f>
        <v>0</v>
      </c>
      <c r="K36" s="9">
        <f>K35/K26</f>
        <v>0</v>
      </c>
      <c r="L36" s="9">
        <f>L35/L26</f>
        <v>0</v>
      </c>
    </row>
    <row r="37" spans="1:12">
      <c r="A37" t="s">
        <v>40</v>
      </c>
      <c r="B37" s="5">
        <f>B6</f>
        <v>0</v>
      </c>
      <c r="C37" s="5">
        <f>B37*(1+$B$14)</f>
        <v>0</v>
      </c>
      <c r="D37" s="5">
        <f>C37*(1+$B$14)</f>
        <v>0</v>
      </c>
      <c r="E37" s="5">
        <f>D37*(1+$B$14)</f>
        <v>0</v>
      </c>
      <c r="F37" s="5">
        <f>E37*(1+$B$14)</f>
        <v>0</v>
      </c>
      <c r="G37" s="5">
        <f>F37*(1+$B$14)</f>
        <v>0</v>
      </c>
      <c r="H37" s="5">
        <f>G37*(1+$B$14)</f>
        <v>0</v>
      </c>
      <c r="I37" s="5">
        <f>H37*(1+$B$14)</f>
        <v>0</v>
      </c>
      <c r="J37" s="5">
        <f>I37*(1+$B$14)</f>
        <v>0</v>
      </c>
      <c r="K37" s="5">
        <f>J37*(1+$B$14)</f>
        <v>0</v>
      </c>
      <c r="L37" s="5">
        <f>K37*(1+$B$14)</f>
        <v>0</v>
      </c>
    </row>
    <row r="38" spans="1:12">
      <c r="A38" t="s">
        <v>41</v>
      </c>
      <c r="C38" s="5">
        <f>1/(1+$B$15)^1</f>
        <v>0</v>
      </c>
      <c r="D38" s="5">
        <f>1/(1+$B$15)^2</f>
        <v>0</v>
      </c>
      <c r="E38" s="5">
        <f>1/(1+$B$15)^3</f>
        <v>0</v>
      </c>
      <c r="F38" s="5">
        <f>1/(1+$B$15)^4</f>
        <v>0</v>
      </c>
      <c r="G38" s="5">
        <f>1/(1+$B$15)^5</f>
        <v>0</v>
      </c>
      <c r="H38" s="5">
        <f>1/(1+$B$15)^6</f>
        <v>0</v>
      </c>
      <c r="I38" s="5">
        <f>1/(1+$B$15)^7</f>
        <v>0</v>
      </c>
      <c r="J38" s="5">
        <f>1/(1+$B$15)^8</f>
        <v>0</v>
      </c>
      <c r="K38" s="5">
        <f>1/(1+$B$15)^9</f>
        <v>0</v>
      </c>
      <c r="L38" s="5">
        <f>1/(1+$B$15)^10</f>
        <v>0</v>
      </c>
    </row>
    <row r="39" spans="1:12">
      <c r="A39" t="s">
        <v>42</v>
      </c>
      <c r="C39" s="5">
        <f>C35*C38</f>
        <v>0</v>
      </c>
      <c r="D39" s="5">
        <f>D35*D38</f>
        <v>0</v>
      </c>
      <c r="E39" s="5">
        <f>E35*E38</f>
        <v>0</v>
      </c>
      <c r="F39" s="5">
        <f>F35*F38</f>
        <v>0</v>
      </c>
      <c r="G39" s="5">
        <f>G35*G38</f>
        <v>0</v>
      </c>
      <c r="H39" s="5">
        <f>H35*H38</f>
        <v>0</v>
      </c>
      <c r="I39" s="5">
        <f>I35*I38</f>
        <v>0</v>
      </c>
      <c r="J39" s="5">
        <f>J35*J38</f>
        <v>0</v>
      </c>
      <c r="K39" s="5">
        <f>K35*K38</f>
        <v>0</v>
      </c>
      <c r="L39" s="5">
        <f>L35*L38</f>
        <v>0</v>
      </c>
    </row>
    <row r="41" spans="1:12">
      <c r="A41" s="3" t="s">
        <v>43</v>
      </c>
    </row>
    <row r="42" spans="1:12">
      <c r="A42" t="s">
        <v>44</v>
      </c>
      <c r="B42" s="5">
        <f>SUM(C39:L39)</f>
        <v>0</v>
      </c>
    </row>
    <row r="43" spans="1:12">
      <c r="A43" t="s">
        <v>45</v>
      </c>
      <c r="B43" s="5">
        <f>L35*(1+$B$16)/($B$15-$B$16)</f>
        <v>0</v>
      </c>
    </row>
    <row r="44" spans="1:12">
      <c r="A44" t="s">
        <v>46</v>
      </c>
      <c r="B44" s="5">
        <f>$B$17*L35</f>
        <v>0</v>
      </c>
    </row>
    <row r="45" spans="1:12">
      <c r="A45" t="s">
        <v>47</v>
      </c>
      <c r="B45" s="5">
        <f>MIN(B43,B44)</f>
        <v>0</v>
      </c>
    </row>
    <row r="46" spans="1:12">
      <c r="A46" t="s">
        <v>48</v>
      </c>
      <c r="B46" s="5">
        <f>B45/L35</f>
        <v>0</v>
      </c>
    </row>
    <row r="47" spans="1:12">
      <c r="A47" t="s">
        <v>49</v>
      </c>
      <c r="B47" s="5">
        <f>B45*L38</f>
        <v>0</v>
      </c>
    </row>
    <row r="48" spans="1:12">
      <c r="A48" t="s">
        <v>50</v>
      </c>
      <c r="B48" s="5">
        <f>B42+B47</f>
        <v>0</v>
      </c>
    </row>
    <row r="49" spans="1:2">
      <c r="A49" t="s">
        <v>51</v>
      </c>
      <c r="B49" s="5">
        <f>B9</f>
        <v>0</v>
      </c>
    </row>
    <row r="50" spans="1:2">
      <c r="A50" t="s">
        <v>52</v>
      </c>
      <c r="B50" s="5">
        <f>B48-B49</f>
        <v>0</v>
      </c>
    </row>
    <row r="51" spans="1:2">
      <c r="A51" s="8" t="s">
        <v>53</v>
      </c>
      <c r="B51" s="10">
        <f>B50/L37</f>
        <v>0</v>
      </c>
    </row>
    <row r="53" spans="1:2">
      <c r="A53" s="3" t="s">
        <v>54</v>
      </c>
    </row>
    <row r="54" spans="1:2">
      <c r="A54" t="s">
        <v>55</v>
      </c>
      <c r="B54" s="5">
        <f>NPV(0.15,C35:L35)</f>
        <v>0</v>
      </c>
    </row>
    <row r="55" spans="1:2">
      <c r="A55" t="s">
        <v>56</v>
      </c>
      <c r="B55" s="5">
        <f>B45/(1.15^10)</f>
        <v>0</v>
      </c>
    </row>
    <row r="56" spans="1:2">
      <c r="A56" t="s">
        <v>57</v>
      </c>
      <c r="B56" s="10">
        <f>(B54+B55-B9)/L37</f>
        <v>0</v>
      </c>
    </row>
    <row r="58" spans="1:2">
      <c r="A58" t="s">
        <v>58</v>
      </c>
      <c r="B58" s="9">
        <f>(B51-B5)/B5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44.7109375" customWidth="1"/>
    <col min="2" max="5" width="14.7109375" customWidth="1"/>
  </cols>
  <sheetData>
    <row r="1" spans="1:5">
      <c r="A1" s="1" t="s">
        <v>59</v>
      </c>
    </row>
    <row r="2" spans="1:5">
      <c r="A2" s="2" t="s">
        <v>60</v>
      </c>
    </row>
    <row r="4" spans="1:5">
      <c r="A4" s="7"/>
      <c r="B4" s="7" t="s">
        <v>61</v>
      </c>
      <c r="C4" s="7" t="s">
        <v>62</v>
      </c>
      <c r="D4" s="7" t="s">
        <v>63</v>
      </c>
      <c r="E4" s="7" t="s">
        <v>64</v>
      </c>
    </row>
    <row r="5" spans="1:5">
      <c r="A5" t="s">
        <v>65</v>
      </c>
      <c r="B5" s="5">
        <v>73.3</v>
      </c>
      <c r="C5" s="5">
        <v>142.2</v>
      </c>
      <c r="D5" s="5">
        <v>218</v>
      </c>
      <c r="E5" s="5">
        <v>360.4</v>
      </c>
    </row>
    <row r="6" spans="1:5">
      <c r="A6" t="s">
        <v>66</v>
      </c>
      <c r="B6" s="5">
        <v>-73.8</v>
      </c>
      <c r="C6" s="5">
        <v>-106.7</v>
      </c>
      <c r="D6" s="5">
        <v>-120.3</v>
      </c>
      <c r="E6" s="5">
        <v>-148.6</v>
      </c>
    </row>
    <row r="7" spans="1:5">
      <c r="A7" t="s">
        <v>67</v>
      </c>
      <c r="B7" s="5">
        <v>0</v>
      </c>
      <c r="C7" s="5">
        <v>0</v>
      </c>
      <c r="D7" s="5">
        <v>-42.7</v>
      </c>
      <c r="E7" s="5">
        <v>-45.2</v>
      </c>
    </row>
    <row r="8" spans="1:5">
      <c r="A8" s="8" t="inlineStr">
        <is>
          <t>= Owner FCF</t>
        </is>
      </c>
      <c r="B8" s="5">
        <f>SUM(B5:B7)</f>
        <v>0</v>
      </c>
      <c r="C8" s="5">
        <f>SUM(C5:C7)</f>
        <v>0</v>
      </c>
      <c r="D8" s="5">
        <f>SUM(D5:D7)</f>
        <v>0</v>
      </c>
      <c r="E8" s="5">
        <f>SUM(E5:E7)</f>
        <v>0</v>
      </c>
    </row>
    <row r="9" spans="1:5">
      <c r="A9" t="s">
        <v>68</v>
      </c>
      <c r="B9" s="9">
        <f>B5/369.5</f>
        <v>0</v>
      </c>
      <c r="C9" s="9">
        <f>C5/531.1</f>
        <v>0</v>
      </c>
      <c r="D9" s="9">
        <f>D5/748.0</f>
        <v>0</v>
      </c>
      <c r="E9" s="9">
        <f>E5/1037.6</f>
        <v>0</v>
      </c>
    </row>
    <row r="10" spans="1:5">
      <c r="A10" t="s">
        <v>39</v>
      </c>
      <c r="B10" s="9">
        <f>B8/369.5</f>
        <v>0</v>
      </c>
      <c r="C10" s="9">
        <f>C8/531.1</f>
        <v>0</v>
      </c>
      <c r="D10" s="9">
        <f>D8/748.0</f>
        <v>0</v>
      </c>
      <c r="E10" s="9">
        <f>E8/1037.6</f>
        <v>0</v>
      </c>
    </row>
    <row r="12" spans="1:5">
      <c r="A12" t="s">
        <v>69</v>
      </c>
      <c r="E12" s="5">
        <v>123.3</v>
      </c>
    </row>
    <row r="13" spans="1:5">
      <c r="A13" t="s">
        <v>70</v>
      </c>
      <c r="E13" s="9">
        <f>E12/E5</f>
        <v>0</v>
      </c>
    </row>
    <row r="14" spans="1:5">
      <c r="A14" t="s">
        <v>71</v>
      </c>
      <c r="E14" s="5">
        <f>E8-E12</f>
        <v>0</v>
      </c>
    </row>
    <row r="15" spans="1:5">
      <c r="A15" t="s">
        <v>72</v>
      </c>
      <c r="E15" s="9">
        <f>E14/1037.6</f>
        <v>0</v>
      </c>
    </row>
    <row r="17" spans="1:1">
      <c r="A17" s="8" t="s">
        <v>73</v>
      </c>
    </row>
    <row r="18" spans="1:1">
      <c r="A18" s="2" t="s">
        <v>74</v>
      </c>
    </row>
    <row r="19" spans="1:1">
      <c r="A19" s="2" t="s">
        <v>75</v>
      </c>
    </row>
    <row r="20" spans="1:1">
      <c r="A20" s="2" t="s">
        <v>76</v>
      </c>
    </row>
    <row r="21" spans="1:1">
      <c r="A21" s="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6.7109375" customWidth="1"/>
    <col min="2" max="7" width="12.7109375" customWidth="1"/>
  </cols>
  <sheetData>
    <row r="1" spans="1:6">
      <c r="A1" s="1" t="s">
        <v>78</v>
      </c>
    </row>
    <row r="3" spans="1:6">
      <c r="A3" s="7" t="s">
        <v>79</v>
      </c>
      <c r="B3" s="11">
        <v>0.02</v>
      </c>
      <c r="C3" s="11">
        <v>0.025</v>
      </c>
      <c r="D3" s="11">
        <v>0.03</v>
      </c>
      <c r="E3" s="11">
        <v>0.035</v>
      </c>
      <c r="F3" s="11">
        <v>0.04</v>
      </c>
    </row>
    <row r="4" spans="1:6">
      <c r="A4" s="11">
        <v>0.08</v>
      </c>
      <c r="B4" s="12">
        <v>107.82</v>
      </c>
      <c r="C4" s="12">
        <v>113.63</v>
      </c>
      <c r="D4" s="12">
        <v>118.47</v>
      </c>
      <c r="E4" s="12">
        <v>118.47</v>
      </c>
      <c r="F4" s="12">
        <v>118.47</v>
      </c>
    </row>
    <row r="5" spans="1:6">
      <c r="A5" s="11">
        <v>0.09</v>
      </c>
      <c r="B5" s="12">
        <v>93.09</v>
      </c>
      <c r="C5" s="12">
        <v>96.97</v>
      </c>
      <c r="D5" s="12">
        <v>101.5</v>
      </c>
      <c r="E5" s="12">
        <v>106.85</v>
      </c>
      <c r="F5" s="12">
        <v>110.68</v>
      </c>
    </row>
    <row r="6" spans="1:6">
      <c r="A6" s="11">
        <v>0.1</v>
      </c>
      <c r="B6" s="12">
        <v>82.16</v>
      </c>
      <c r="C6" s="12">
        <v>84.87</v>
      </c>
      <c r="D6" s="12">
        <v>87.97</v>
      </c>
      <c r="E6" s="12">
        <v>91.54000000000001</v>
      </c>
      <c r="F6" s="12">
        <v>95.70999999999999</v>
      </c>
    </row>
    <row r="7" spans="1:6">
      <c r="A7" s="11">
        <v>0.11</v>
      </c>
      <c r="B7" s="12">
        <v>73.73999999999999</v>
      </c>
      <c r="C7" s="12">
        <v>75.7</v>
      </c>
      <c r="D7" s="12">
        <v>77.91</v>
      </c>
      <c r="E7" s="12">
        <v>80.41</v>
      </c>
      <c r="F7" s="12">
        <v>83.26000000000001</v>
      </c>
    </row>
    <row r="8" spans="1:6">
      <c r="A8" s="11">
        <v>0.12</v>
      </c>
      <c r="B8" s="12">
        <v>67.09</v>
      </c>
      <c r="C8" s="12">
        <v>68.54000000000001</v>
      </c>
      <c r="D8" s="12">
        <v>70.16</v>
      </c>
      <c r="E8" s="12">
        <v>71.97</v>
      </c>
      <c r="F8" s="12">
        <v>74</v>
      </c>
    </row>
    <row r="10" spans="1:6">
      <c r="A10" s="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cols>
    <col min="1" max="1" width="110.7109375" customWidth="1"/>
  </cols>
  <sheetData>
    <row r="1" spans="1:1">
      <c r="A1" s="1" t="s">
        <v>81</v>
      </c>
    </row>
    <row r="2" spans="1:1">
      <c r="A2" s="13"/>
    </row>
    <row r="3" spans="1:1">
      <c r="A3" s="8" t="s">
        <v>82</v>
      </c>
    </row>
    <row r="4" spans="1:1">
      <c r="A4" s="2" t="s">
        <v>83</v>
      </c>
    </row>
    <row r="5" spans="1:1">
      <c r="A5" s="2" t="s">
        <v>84</v>
      </c>
    </row>
    <row r="6" spans="1:1">
      <c r="A6" s="13"/>
    </row>
    <row r="7" spans="1:1">
      <c r="A7" s="8" t="s">
        <v>85</v>
      </c>
    </row>
    <row r="8" spans="1:1">
      <c r="A8" s="2" t="s">
        <v>86</v>
      </c>
    </row>
    <row r="9" spans="1:1">
      <c r="A9" s="2" t="s">
        <v>87</v>
      </c>
    </row>
    <row r="10" spans="1:1">
      <c r="A10" s="2" t="s">
        <v>88</v>
      </c>
    </row>
    <row r="11" spans="1:1">
      <c r="A11" s="2" t="s">
        <v>89</v>
      </c>
    </row>
    <row r="12" spans="1:1">
      <c r="A12" s="13"/>
    </row>
    <row r="13" spans="1:1">
      <c r="A13" s="13" t="s">
        <v>90</v>
      </c>
    </row>
    <row r="14" spans="1:1">
      <c r="A14" s="2" t="s">
        <v>91</v>
      </c>
    </row>
    <row r="15" spans="1:1">
      <c r="A15" s="2" t="s">
        <v>92</v>
      </c>
    </row>
    <row r="16" spans="1:1">
      <c r="A16" s="13" t="s">
        <v>93</v>
      </c>
    </row>
    <row r="17" spans="1:1">
      <c r="A17" s="2" t="s">
        <v>94</v>
      </c>
    </row>
    <row r="18" spans="1:1">
      <c r="A18" s="2" t="s">
        <v>95</v>
      </c>
    </row>
    <row r="19" spans="1:1">
      <c r="A19" s="2" t="s">
        <v>96</v>
      </c>
    </row>
    <row r="20" spans="1:1">
      <c r="A20" s="2" t="s">
        <v>97</v>
      </c>
    </row>
    <row r="21" spans="1:1">
      <c r="A21" s="2" t="s">
        <v>98</v>
      </c>
    </row>
    <row r="22" spans="1:1">
      <c r="A22" s="2" t="s">
        <v>99</v>
      </c>
    </row>
    <row r="23" spans="1:1">
      <c r="A23" s="2" t="s">
        <v>100</v>
      </c>
    </row>
    <row r="24" spans="1:1">
      <c r="A24" s="13"/>
    </row>
    <row r="25" spans="1:1">
      <c r="A25" s="8" t="s">
        <v>101</v>
      </c>
    </row>
    <row r="26" spans="1:1">
      <c r="A26" s="2" t="s">
        <v>102</v>
      </c>
    </row>
    <row r="27" spans="1:1">
      <c r="A27" s="2" t="s">
        <v>103</v>
      </c>
    </row>
    <row r="28" spans="1:1">
      <c r="A28" s="2" t="s">
        <v>104</v>
      </c>
    </row>
    <row r="29" spans="1:1">
      <c r="A29" s="13"/>
    </row>
    <row r="30" spans="1:1">
      <c r="A30" s="8" t="s">
        <v>105</v>
      </c>
    </row>
    <row r="31" spans="1:1">
      <c r="A3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FCF Quality</vt:lpstr>
      <vt:lpstr>Sensitivity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2026-07-29T09:11:17Z</dcterms:created>
  <dcterms:modified xsi:type="dcterms:W3CDTF">2026-07-29T09:11:17Z</dcterms:modified>
</cp:coreProperties>
</file>