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CF Model" sheetId="1" state="visible" r:id="rId3"/>
    <sheet name="Bull-Bear Scenarios" sheetId="2" state="visible" r:id="rId4"/>
    <sheet name="Sensitivity" sheetId="3" state="visible" r:id="rId5"/>
    <sheet name="Historical" sheetId="4" state="visible" r:id="rId6"/>
    <sheet name="Sanity 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<sst xmlns="http://schemas.openxmlformats.org/spreadsheetml/2006/main" count="156" uniqueCount="122">
  <si>
    <t xml:space="preserve">BRK-B - Berkshire Hathaway Inc. - Book Value Compounding Model (Base Case)</t>
  </si>
  <si>
    <t xml:space="preserve">Gray cells are INPUTS - adjust to see valuation change. Holdco/insurer model: BVPS compounding + exit P/B, NOT free-cash-flow DCF.</t>
  </si>
  <si>
    <t xml:space="preserve">KEY INPUTS</t>
  </si>
  <si>
    <t xml:space="preserve">Current Stock Price</t>
  </si>
  <si>
    <t xml:space="preserve">Shares Outstanding (M, B-equivalent)</t>
  </si>
  <si>
    <t xml:space="preserve">Cash &amp; Equivalents (US$M, parent BS line only)</t>
  </si>
  <si>
    <t xml:space="preserve">Total Debt (US$M)</t>
  </si>
  <si>
    <t xml:space="preserve">n/a - not used (net_debt held at 0)</t>
  </si>
  <si>
    <t xml:space="preserve">Net Debt (US$M)</t>
  </si>
  <si>
    <t xml:space="preserve">Starting BVPS (Q2 2026)</t>
  </si>
  <si>
    <t xml:space="preserve">Annual Dividend per Share</t>
  </si>
  <si>
    <t xml:space="preserve">Cost of Equity (Base)</t>
  </si>
  <si>
    <t xml:space="preserve">Exit Price-to-Book (Base)</t>
  </si>
  <si>
    <t xml:space="preserve">GROWTH ASSUMPTIONS (BVPS growth; no dividend to add back)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</si>
  <si>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</si>
  <si>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</si>
  <si>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</si>
  <si>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</si>
  <si>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</si>
  <si>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BVPS Growth Rate</t>
  </si>
  <si>
    <t xml:space="preserve">PROJECTIONS</t>
  </si>
  <si>
    <t xml:space="preserve">Base Yr</t>
  </si>
  <si>
    <t xml:space="preserve">Book Value per Share</t>
  </si>
  <si>
    <t xml:space="preserve">Dividend per Share</t>
  </si>
  <si>
    <t xml:space="preserve">Discount Factor (Cost of Equity)</t>
  </si>
  <si>
    <t xml:space="preserve">PV of Dividend</t>
  </si>
  <si>
    <t xml:space="preserve">VALUATION</t>
  </si>
  <si>
    <t xml:space="preserve">Sum of PV of Dividends</t>
  </si>
  <si>
    <t xml:space="preserve">Terminal BVPS (Year 5)</t>
  </si>
  <si>
    <t xml:space="preserve">Exit Price-to-Book Multiple</t>
  </si>
  <si>
    <t xml:space="preserve">Terminal Value per Share</t>
  </si>
  <si>
    <t xml:space="preserve">PV of Terminal Value</t>
  </si>
  <si>
    <t xml:space="preserve">INTRINSIC VALUE / SHARE</t>
  </si>
  <si>
    <t xml:space="preserve">Upside / (Downside) vs Current Price</t>
  </si>
  <si>
    <t xml:space="preserve">ENTRY PRICE (15% CAGR Target)</t>
  </si>
  <si>
    <t xml:space="preserve">Target CAGR</t>
  </si>
  <si>
    <t xml:space="preserve">Reinvested Dividends FV (at target CAGR, to Yr 5)</t>
  </si>
  <si>
    <t xml:space="preserve">Total Year-5 Value (Terminal Value + Reinvested Divs)</t>
  </si>
  <si>
    <t xml:space="preserve">Entry Price (15% CAGR)</t>
  </si>
  <si>
    <t xml:space="preserve">Current Price vs Entry Price</t>
  </si>
  <si>
    <t xml:space="preserve">Note: Berkshire pays no dividend, so dividend rows are zero and all scenario value sits in the</t>
  </si>
  <si>
    <t xml:space="preserve">terminal BVPS x exit-P/B leg, discounted at COST OF EQUITY (equity-holder view), not WACC -</t>
  </si>
  <si>
    <t xml:space="preserve">this is a per-share valuation, not enterprise value. See BRK-B_DCF.json inputs.notes for the</t>
  </si>
  <si>
    <t xml:space="preserve">shares-outstanding data gap and model-choice rationale.</t>
  </si>
  <si>
    <t xml:space="preserve">Bull / Bear Scenario Detail</t>
  </si>
  <si>
    <t xml:space="preserve">BULL CASE</t>
  </si>
  <si>
    <t xml:space="preserve">Cost of Equity</t>
  </si>
  <si>
    <t xml:space="preserve">Exit Price-to-Book</t>
  </si>
  <si>
    <t xml:space="preserve">BVPS</t>
  </si>
  <si>
    <t xml:space="preserve">Discount Factor</t>
  </si>
  <si>
    <t xml:space="preserve">Sum PV of Dividends</t>
  </si>
  <si>
    <t xml:space="preserve">Terminal BVPS (Yr 5)</t>
  </si>
  <si>
    <t xml:space="preserve">Upside / (Downside)</t>
  </si>
  <si>
    <t xml:space="preserve">BEAR CASE</t>
  </si>
  <si>
    <t xml:space="preserve">Sensitivity Analysis</t>
  </si>
  <si>
    <t xml:space="preserve">Intrinsic Value/Share by BVPS Growth Rate (avg, base 5yr path shifted uniformly) &amp; Exit Price-to-Book</t>
  </si>
  <si>
    <t xml:space="preserve">Growth \ Exit P/B</t>
  </si>
  <si>
    <t xml:space="preserve">Note: Cost of equity held at base case (8.5%). Rows = average annual BVPS growth rate over the 5-yr</t>
  </si>
  <si>
    <t xml:space="preserve">path (base path shifted uniformly -4pp to +4pp). Columns = exit price-to-book multiple applied to Year-5 BVPS.</t>
  </si>
  <si>
    <t xml:space="preserve">No dividend term (Berkshire pays none), so this is pure terminal-value-at-exit-multiple, discounted at cost of equity.</t>
  </si>
  <si>
    <t xml:space="preserve">Historical Growth Rates</t>
  </si>
  <si>
    <t xml:space="preserve">Metric</t>
  </si>
  <si>
    <t xml:space="preserve">3-Year CAGR</t>
  </si>
  <si>
    <t xml:space="preserve">5-Year CAGR / Other</t>
  </si>
  <si>
    <t xml:space="preserve">Shareholders' Equity (BVPS proxy)</t>
  </si>
  <si>
    <t xml:space="preserve">Shareholders' Equity (10yr)</t>
  </si>
  <si>
    <t xml:space="preserve">Shareholders' Equity (17yr, 2008-2025)</t>
  </si>
  <si>
    <t xml:space="preserve">Equity TTM growth (Q2-25 to Q2-26)</t>
  </si>
  <si>
    <t xml:space="preserve">Revenue</t>
  </si>
  <si>
    <t xml:space="preserve">Selected Growth Rate (base anchor, Year 1):</t>
  </si>
  <si>
    <t xml:space="preserve">Source:</t>
  </si>
  <si>
    <t xml:space="preserve">equity_5yr_cagr, blended toward equity_3yr_cagr</t>
  </si>
  <si>
    <t xml:space="preserve">Growth Divergence Warning:</t>
  </si>
  <si>
    <t xml:space="preserve">Revenue growth (0.65% 3yr CAGR) diverges sharply from equity/BVPS growth (14.3% 3yr CAGR). This is</t>
  </si>
  <si>
    <t xml:space="preserve">EXPECTED for Berkshire, not a red flag: book value compounds from retained earnings, underwriting</t>
  </si>
  <si>
    <t xml:space="preserve">profit and investment gains, not top-line growth. Revenue CAGR is not a relevant proxy here.</t>
  </si>
  <si>
    <t xml:space="preserve">Data Gap Note:</t>
  </si>
  <si>
    <t xml:space="preserve">SEC XBRL share-count tags are unreliable for BRK-B post-2011 (dual-class Class A/B collapse),</t>
  </si>
  <si>
    <t xml:space="preserve">so historical BVPS-per-share cannot be cleanly reconstructed. Shareholders'-equity YoY growth is</t>
  </si>
  <si>
    <t xml:space="preserve">used as the BVPS-growth proxy; buybacks are confirmed immaterial (&lt;1.2% of book value annualized</t>
  </si>
  <si>
    <t xml:space="preserve">in H1 2026), so equity growth and true BVPS growth should not differ materially in any given year.</t>
  </si>
  <si>
    <t xml:space="preserve">Shareholders' Equity by Fiscal Year (US$M)</t>
  </si>
  <si>
    <t xml:space="preserve">Period</t>
  </si>
  <si>
    <t xml:space="preserve">Equity (US$M)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</si>
  <si>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</si>
  <si>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</si>
  <si>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</si>
  <si>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</si>
  <si>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</si>
  <si>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</si>
  <si>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</si>
  <si>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</si>
  <si>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</si>
  <si>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</si>
  <si>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</si>
  <si>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</si>
  <si>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</si>
  <si>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</si>
  <si>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</si>
  <si>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</si>
  <si>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</si>
  <si>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</si>
  <si>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Q2 2026</t>
  </si>
  <si>
    <t xml:space="preserve">Sanity Check - Historical P/B Cross-Reference</t>
  </si>
  <si>
    <t xml:space="preserve">Base Intrinsic Value / Share</t>
  </si>
  <si>
    <t xml:space="preserve">Implied P/B (Base IV / Q2-2026 BVPS)</t>
  </si>
  <si>
    <t xml:space="preserve">Normalized EPS (illustrative, GAAP net income highly volatile)</t>
  </si>
  <si>
    <t xml:space="preserve">n/a - GAAP EPS not used (mark-to-market noise)</t>
  </si>
  <si>
    <t xml:space="preserve">Historical / Recent P/B Reference Points</t>
  </si>
  <si>
    <t xml:space="preserve">Buyback-comfort floor (management signaled, 2026)</t>
  </si>
  <si>
    <t xml:space="preserve">Post-2018 trading range - low</t>
  </si>
  <si>
    <t xml:space="preserve">Post-2018 trading range - high</t>
  </si>
  <si>
    <t xml:space="preserve">Current (Q2 2026 BVPS basis)</t>
  </si>
  <si>
    <t xml:space="preserve">Sanity Check Passed:</t>
  </si>
  <si>
    <t xml:space="preserve">YES</t>
  </si>
  <si>
    <t xml:space="preserve">Diagnosis:</t>
  </si>
  <si>
    <t xml:space="preserve">Base-case intrinsic value implies an exit P/B of 1.35x on Year-5 BVPS, inside the post-2018 trading</t>
  </si>
  <si>
    <t xml:space="preserve">range (1.3x-1.6x) and above management's signaled buyback-comfort floor (~1.1x). Current price</t>
  </si>
  <si>
    <t xml:space="preserve">sits at ~1.44x Q2-2026 book, i.e. between the buyback floor and the top of the historical range -</t>
  </si>
  <si>
    <t xml:space="preserve">consistent with a modest single-digit downside in the base case, not a mispricing signal either way.</t>
  </si>
  <si>
    <t xml:space="preserve">scripts/sanity_check.py correctly detects model='book_value' and does not apply owner-FCF P/E,</t>
  </si>
  <si>
    <t xml:space="preserve">P/B or P/Sales multiple trip rules to this ticker (exit code 0, passed=null, rules_not_evaluated).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</si>
</sst>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0" t="s">
        <v>3</v>
      </c>
      <c r="B5" s="2" t="n">
        <v>505.48</v>
      </c>
    </row>
    <row r="6" customFormat="false" ht="15" hidden="false" customHeight="false" outlineLevel="0" collapsed="false">
      <c r="A6" s="0" t="s">
        <v>4</v>
      </c>
      <c r="B6" s="2" t="n">
        <v>2136.6</v>
      </c>
    </row>
    <row r="7" customFormat="false" ht="15" hidden="false" customHeight="false" outlineLevel="0" collapsed="false">
      <c r="A7" s="0" t="s">
        <v>5</v>
      </c>
      <c r="B7" s="2" t="n">
        <v>40609</v>
      </c>
    </row>
    <row r="8" customFormat="false" ht="15" hidden="false" customHeight="false" outlineLevel="0" collapsed="false">
      <c r="A8" s="0" t="s">
        <v>6</v>
      </c>
      <c r="B8" s="0" t="s">
        <v>7</v>
      </c>
    </row>
    <row r="9" customFormat="false" ht="15" hidden="false" customHeight="false" outlineLevel="0" collapsed="false">
      <c r="A9" s="3" t="s">
        <v>8</v>
      </c>
      <c r="B9" s="2" t="n">
        <v>0</v>
      </c>
    </row>
    <row r="10" customFormat="false" ht="15" hidden="false" customHeight="false" outlineLevel="0" collapsed="false">
      <c r="A10" s="0" t="s">
        <v>9</v>
      </c>
      <c r="B10" s="2" t="n">
        <v>351.11</v>
      </c>
    </row>
    <row r="11" customFormat="false" ht="15" hidden="false" customHeight="false" outlineLevel="0" collapsed="false">
      <c r="A11" s="0" t="s">
        <v>10</v>
      </c>
      <c r="B11" s="2" t="n">
        <v>0</v>
      </c>
    </row>
    <row r="13" customFormat="false" ht="15" hidden="false" customHeight="false" outlineLevel="0" collapsed="false">
      <c r="A13" s="0" t="s">
        <v>11</v>
      </c>
      <c r="B13" s="2" t="n">
        <v>0.085</v>
      </c>
    </row>
    <row r="14" customFormat="false" ht="15" hidden="false" customHeight="false" outlineLevel="0" collapsed="false">
      <c r="A14" s="0" t="s">
        <v>12</v>
      </c>
      <c r="B14" s="2" t="n">
        <v>1.35</v>
      </c>
    </row>
    <row r="16" customFormat="false" ht="15" hidden="false" customHeight="false" outlineLevel="0" collapsed="false">
      <c r="A16" s="1" t="s">
        <v>13</v>
      </c>
    </row>
    <row r="17" customFormat="false" ht="15" hidden="false" customHeight="false" outlineLevel="0" collapsed="false">
      <c r="B17" s="0" t="s">
        <v>14</v>
      </c>
      <c r="C17" s="0" t="s">
        <v>15</v>
      </c>
      <c r="D17" s="0" t="s">
        <v>16</v>
      </c>
      <c r="E17" s="0" t="s">
        <v>17</v>
      </c>
      <c r="F17" s="0" t="s">
        <v>18</v>
      </c>
    </row>
    <row r="18" customFormat="false" ht="15" hidden="false" customHeight="false" outlineLevel="0" collapsed="false">
      <c r="A18" s="0" t="s">
        <v>19</v>
      </c>
      <c r="B18" s="2" t="n">
        <v>0.095</v>
      </c>
      <c r="C18" s="2" t="n">
        <v>0.09</v>
      </c>
      <c r="D18" s="2" t="n">
        <v>0.085</v>
      </c>
      <c r="E18" s="2" t="n">
        <v>0.08</v>
      </c>
      <c r="F18" s="2" t="n">
        <v>0.08</v>
      </c>
    </row>
    <row r="20" customFormat="false" ht="15" hidden="false" customHeight="false" outlineLevel="0" collapsed="false">
      <c r="A20" s="1" t="s">
        <v>20</v>
      </c>
    </row>
    <row r="21" customFormat="false" ht="15" hidden="false" customHeight="false" outlineLevel="0" collapsed="false">
      <c r="B21" s="0" t="s">
        <v>21</v>
      </c>
      <c r="C21" s="0" t="s">
        <v>14</v>
      </c>
      <c r="D21" s="0" t="s">
        <v>15</v>
      </c>
      <c r="E21" s="0" t="s">
        <v>16</v>
      </c>
      <c r="F21" s="0" t="s">
        <v>17</v>
      </c>
      <c r="G21" s="0" t="s">
        <v>18</v>
      </c>
    </row>
    <row r="22" customFormat="false" ht="15" hidden="false" customHeight="false" outlineLevel="0" collapsed="false">
      <c r="A22" s="0" t="s">
        <v>22</v>
      </c>
      <c r="B22" s="0" t="n">
        <f aca="false">B10</f>
        <v>351.11</v>
      </c>
      <c r="C22" s="0" t="n">
        <f aca="false">B22*(1+B18)-$B$11</f>
        <v>384.46545</v>
      </c>
      <c r="D22" s="0" t="n">
        <f aca="false">C22*(1+C18)-$B$11</f>
        <v>419.0673405</v>
      </c>
      <c r="E22" s="0" t="n">
        <f aca="false">D22*(1+D18)-$B$11</f>
        <v>454.6880644425</v>
      </c>
      <c r="F22" s="0" t="n">
        <f aca="false">E22*(1+E18)-$B$11</f>
        <v>491.0631095979</v>
      </c>
      <c r="G22" s="0" t="n">
        <f aca="false">F22*(1+F18)-$B$11</f>
        <v>530.348158365732</v>
      </c>
    </row>
    <row r="23" customFormat="false" ht="15" hidden="false" customHeight="false" outlineLevel="0" collapsed="false">
      <c r="A23" s="0" t="s">
        <v>23</v>
      </c>
      <c r="C23" s="0" t="n">
        <f aca="false">$B$11</f>
        <v>0</v>
      </c>
      <c r="D23" s="0" t="n">
        <f aca="false">$B$11</f>
        <v>0</v>
      </c>
      <c r="E23" s="0" t="n">
        <f aca="false">$B$11</f>
        <v>0</v>
      </c>
      <c r="F23" s="0" t="n">
        <f aca="false">$B$11</f>
        <v>0</v>
      </c>
      <c r="G23" s="0" t="n">
        <f aca="false">$B$11</f>
        <v>0</v>
      </c>
    </row>
    <row r="24" customFormat="false" ht="15" hidden="false" customHeight="false" outlineLevel="0" collapsed="false">
      <c r="A24" s="0" t="s">
        <v>24</v>
      </c>
      <c r="C24" s="0" t="n">
        <f aca="false">1/(1+$B$13)^1</f>
        <v>0.921658986175115</v>
      </c>
      <c r="D24" s="0" t="n">
        <f aca="false">1/(1+$B$13)^2</f>
        <v>0.849455286797341</v>
      </c>
      <c r="E24" s="0" t="n">
        <f aca="false">1/(1+$B$13)^3</f>
        <v>0.782908098430729</v>
      </c>
      <c r="F24" s="0" t="n">
        <f aca="false">1/(1+$B$13)^4</f>
        <v>0.721574284267953</v>
      </c>
      <c r="G24" s="0" t="n">
        <f aca="false">1/(1+$B$13)^5</f>
        <v>0.665045423288436</v>
      </c>
    </row>
    <row r="25" customFormat="false" ht="15" hidden="false" customHeight="false" outlineLevel="0" collapsed="false">
      <c r="A25" s="0" t="s">
        <v>25</v>
      </c>
      <c r="C25" s="0" t="n">
        <f aca="false">C23*C24</f>
        <v>0</v>
      </c>
      <c r="D25" s="0" t="n">
        <f aca="false">D23*D24</f>
        <v>0</v>
      </c>
      <c r="E25" s="0" t="n">
        <f aca="false">E23*E24</f>
        <v>0</v>
      </c>
      <c r="F25" s="0" t="n">
        <f aca="false">F23*F24</f>
        <v>0</v>
      </c>
      <c r="G25" s="0" t="n">
        <f aca="false">G23*G24</f>
        <v>0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0" t="s">
        <v>27</v>
      </c>
      <c r="B28" s="0" t="n">
        <f aca="false">SUM(C25:G25)</f>
        <v>0</v>
      </c>
    </row>
    <row r="29" customFormat="false" ht="15" hidden="false" customHeight="false" outlineLevel="0" collapsed="false">
      <c r="A29" s="0" t="s">
        <v>28</v>
      </c>
      <c r="B29" s="0" t="n">
        <f aca="false">G22</f>
        <v>530.348158365732</v>
      </c>
    </row>
    <row r="30" customFormat="false" ht="15" hidden="false" customHeight="false" outlineLevel="0" collapsed="false">
      <c r="A30" s="0" t="s">
        <v>29</v>
      </c>
      <c r="B30" s="0" t="n">
        <f aca="false">B14</f>
        <v>1.35</v>
      </c>
    </row>
    <row r="31" customFormat="false" ht="15" hidden="false" customHeight="false" outlineLevel="0" collapsed="false">
      <c r="A31" s="0" t="s">
        <v>30</v>
      </c>
      <c r="B31" s="0" t="n">
        <f aca="false">B29*B30</f>
        <v>715.970013793738</v>
      </c>
    </row>
    <row r="32" customFormat="false" ht="15" hidden="false" customHeight="false" outlineLevel="0" collapsed="false">
      <c r="A32" s="0" t="s">
        <v>31</v>
      </c>
      <c r="B32" s="0" t="n">
        <f aca="false">B31*G24</f>
        <v>476.152580885284</v>
      </c>
    </row>
    <row r="33" customFormat="false" ht="15" hidden="false" customHeight="false" outlineLevel="0" collapsed="false">
      <c r="A33" s="1" t="s">
        <v>32</v>
      </c>
      <c r="B33" s="1" t="n">
        <f aca="false">B28+B32</f>
        <v>476.152580885284</v>
      </c>
    </row>
    <row r="34" customFormat="false" ht="15" hidden="false" customHeight="false" outlineLevel="0" collapsed="false">
      <c r="A34" s="0" t="s">
        <v>33</v>
      </c>
      <c r="B34" s="0" t="n">
        <f aca="false">(B33-B5)/B5</f>
        <v>-0.0580189505316053</v>
      </c>
    </row>
    <row r="36" customFormat="false" ht="15" hidden="false" customHeight="false" outlineLevel="0" collapsed="false">
      <c r="A36" s="1" t="s">
        <v>34</v>
      </c>
    </row>
    <row r="37" customFormat="false" ht="15" hidden="false" customHeight="false" outlineLevel="0" collapsed="false">
      <c r="A37" s="0" t="s">
        <v>35</v>
      </c>
      <c r="B37" s="0" t="n">
        <v>0.15</v>
      </c>
    </row>
    <row r="38" customFormat="false" ht="15" hidden="false" customHeight="false" outlineLevel="0" collapsed="false">
      <c r="A38" s="0" t="s">
        <v>36</v>
      </c>
      <c r="B38" s="0" t="n">
        <f aca="false">C23*(1+$B$37)^4+D23*(1+$B$37)^3+E23*(1+$B$37)^2+F23*(1+$B$37)^1+G23*(1+$B$37)^0</f>
        <v>0</v>
      </c>
    </row>
    <row r="39" customFormat="false" ht="15" hidden="false" customHeight="false" outlineLevel="0" collapsed="false">
      <c r="A39" s="0" t="s">
        <v>37</v>
      </c>
      <c r="B39" s="0" t="n">
        <f aca="false">B31+B38</f>
        <v>715.970013793738</v>
      </c>
    </row>
    <row r="40" customFormat="false" ht="15" hidden="false" customHeight="false" outlineLevel="0" collapsed="false">
      <c r="A40" s="0" t="s">
        <v>38</v>
      </c>
      <c r="B40" s="0" t="n">
        <f aca="false">B39/(1+$B$37)^5</f>
        <v>355.963634029442</v>
      </c>
    </row>
    <row r="41" customFormat="false" ht="15" hidden="false" customHeight="false" outlineLevel="0" collapsed="false">
      <c r="A41" s="0" t="s">
        <v>39</v>
      </c>
      <c r="B41" s="0" t="n">
        <f aca="false">(B5-B40)/B5</f>
        <v>0.295790864070898</v>
      </c>
    </row>
    <row r="43" customFormat="false" ht="15" hidden="false" customHeight="false" outlineLevel="0" collapsed="false">
      <c r="A43" s="0" t="s">
        <v>40</v>
      </c>
    </row>
    <row r="44" customFormat="false" ht="15" hidden="false" customHeight="false" outlineLevel="0" collapsed="false">
      <c r="A44" s="0" t="s">
        <v>41</v>
      </c>
    </row>
    <row r="45" customFormat="false" ht="15" hidden="false" customHeight="false" outlineLevel="0" collapsed="false">
      <c r="A45" s="0" t="s">
        <v>42</v>
      </c>
    </row>
    <row r="46" customFormat="false" ht="15" hidden="false" customHeight="false" outlineLevel="0" collapsed="false">
      <c r="A46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1" t="s">
        <v>44</v>
      </c>
    </row>
    <row r="3" customFormat="false" ht="15" hidden="false" customHeight="false" outlineLevel="0" collapsed="false">
      <c r="A3" s="1" t="s">
        <v>45</v>
      </c>
    </row>
    <row r="4" customFormat="false" ht="15" hidden="false" customHeight="false" outlineLevel="0" collapsed="false">
      <c r="A4" s="0" t="s">
        <v>46</v>
      </c>
      <c r="B4" s="0" t="n">
        <v>0.075</v>
      </c>
    </row>
    <row r="5" customFormat="false" ht="15" hidden="false" customHeight="false" outlineLevel="0" collapsed="false">
      <c r="A5" s="0" t="s">
        <v>47</v>
      </c>
      <c r="B5" s="0" t="n">
        <v>1.55</v>
      </c>
    </row>
    <row r="6" customFormat="false" ht="15" hidden="false" customHeight="false" outlineLevel="0" collapsed="false">
      <c r="B6" s="0" t="s">
        <v>14</v>
      </c>
      <c r="C6" s="0" t="s">
        <v>15</v>
      </c>
      <c r="D6" s="0" t="s">
        <v>16</v>
      </c>
      <c r="E6" s="0" t="s">
        <v>17</v>
      </c>
      <c r="F6" s="0" t="s">
        <v>18</v>
      </c>
    </row>
    <row r="7" customFormat="false" ht="15" hidden="false" customHeight="false" outlineLevel="0" collapsed="false">
      <c r="A7" s="0" t="s">
        <v>19</v>
      </c>
      <c r="B7" s="0" t="n">
        <v>0.12</v>
      </c>
      <c r="C7" s="0" t="n">
        <v>0.115</v>
      </c>
      <c r="D7" s="0" t="n">
        <v>0.11</v>
      </c>
      <c r="E7" s="0" t="n">
        <v>0.105</v>
      </c>
      <c r="F7" s="0" t="n">
        <v>0.1</v>
      </c>
    </row>
    <row r="8" customFormat="false" ht="15" hidden="false" customHeight="false" outlineLevel="0" collapsed="false">
      <c r="A8" s="0" t="s">
        <v>48</v>
      </c>
      <c r="B8" s="0" t="n">
        <f aca="false">'DCF Model'!$B$10</f>
        <v>351.11</v>
      </c>
      <c r="C8" s="0" t="n">
        <f aca="false">B8*(1+B7)-'DCF Model'!$B$11</f>
        <v>393.2432</v>
      </c>
      <c r="D8" s="0" t="n">
        <f aca="false">C8*(1+C7)-'DCF Model'!$B$11</f>
        <v>438.466168</v>
      </c>
      <c r="E8" s="0" t="n">
        <f aca="false">D8*(1+D7)-'DCF Model'!$B$11</f>
        <v>486.69744648</v>
      </c>
      <c r="F8" s="0" t="n">
        <f aca="false">E8*(1+E7)-'DCF Model'!$B$11</f>
        <v>537.8006783604</v>
      </c>
      <c r="G8" s="0" t="n">
        <f aca="false">F8*(1+F7)-'DCF Model'!$B$11</f>
        <v>591.58074619644</v>
      </c>
    </row>
    <row r="9" customFormat="false" ht="15" hidden="false" customHeight="false" outlineLevel="0" collapsed="false">
      <c r="A9" s="0" t="s">
        <v>23</v>
      </c>
      <c r="C9" s="0" t="n">
        <f aca="false">'DCF Model'!$B$11</f>
        <v>0</v>
      </c>
      <c r="D9" s="0" t="n">
        <f aca="false">'DCF Model'!$B$11</f>
        <v>0</v>
      </c>
      <c r="E9" s="0" t="n">
        <f aca="false">'DCF Model'!$B$11</f>
        <v>0</v>
      </c>
      <c r="F9" s="0" t="n">
        <f aca="false">'DCF Model'!$B$11</f>
        <v>0</v>
      </c>
      <c r="G9" s="0" t="n">
        <f aca="false">'DCF Model'!$B$11</f>
        <v>0</v>
      </c>
    </row>
    <row r="10" customFormat="false" ht="15" hidden="false" customHeight="false" outlineLevel="0" collapsed="false">
      <c r="A10" s="0" t="s">
        <v>49</v>
      </c>
      <c r="C10" s="0" t="n">
        <f aca="false">1/(1+B4)^1</f>
        <v>0.930232558139535</v>
      </c>
      <c r="D10" s="0" t="n">
        <f aca="false">1/(1+B4)^2</f>
        <v>0.865332612222823</v>
      </c>
      <c r="E10" s="0" t="n">
        <f aca="false">1/(1+B4)^3</f>
        <v>0.804960569509603</v>
      </c>
      <c r="F10" s="0" t="n">
        <f aca="false">1/(1+B4)^4</f>
        <v>0.748800529776375</v>
      </c>
      <c r="G10" s="0" t="n">
        <f aca="false">1/(1+B4)^5</f>
        <v>0.696558632350116</v>
      </c>
    </row>
    <row r="11" customFormat="false" ht="15" hidden="false" customHeight="false" outlineLevel="0" collapsed="false">
      <c r="A11" s="0" t="s">
        <v>25</v>
      </c>
      <c r="C11" s="0" t="n">
        <f aca="false">C9*C10</f>
        <v>0</v>
      </c>
      <c r="D11" s="0" t="n">
        <f aca="false">D9*D10</f>
        <v>0</v>
      </c>
      <c r="E11" s="0" t="n">
        <f aca="false">E9*E10</f>
        <v>0</v>
      </c>
      <c r="F11" s="0" t="n">
        <f aca="false">F9*F10</f>
        <v>0</v>
      </c>
      <c r="G11" s="0" t="n">
        <f aca="false">G9*G10</f>
        <v>0</v>
      </c>
    </row>
    <row r="13" customFormat="false" ht="15" hidden="false" customHeight="false" outlineLevel="0" collapsed="false">
      <c r="A13" s="0" t="s">
        <v>50</v>
      </c>
      <c r="B13" s="0" t="n">
        <f aca="false">SUM(C11:G11)</f>
        <v>0</v>
      </c>
    </row>
    <row r="14" customFormat="false" ht="15" hidden="false" customHeight="false" outlineLevel="0" collapsed="false">
      <c r="A14" s="0" t="s">
        <v>51</v>
      </c>
      <c r="B14" s="0" t="n">
        <f aca="false">G8</f>
        <v>591.58074619644</v>
      </c>
    </row>
    <row r="15" customFormat="false" ht="15" hidden="false" customHeight="false" outlineLevel="0" collapsed="false">
      <c r="A15" s="0" t="s">
        <v>30</v>
      </c>
      <c r="B15" s="0" t="n">
        <f aca="false">B14*B5</f>
        <v>916.950156604482</v>
      </c>
    </row>
    <row r="16" customFormat="false" ht="15" hidden="false" customHeight="false" outlineLevel="0" collapsed="false">
      <c r="A16" s="0" t="s">
        <v>31</v>
      </c>
      <c r="B16" s="0" t="n">
        <f aca="false">B15*G10</f>
        <v>638.709547017643</v>
      </c>
    </row>
    <row r="17" customFormat="false" ht="15" hidden="false" customHeight="false" outlineLevel="0" collapsed="false">
      <c r="A17" s="1" t="s">
        <v>32</v>
      </c>
      <c r="B17" s="1" t="n">
        <f aca="false">B13+B16</f>
        <v>638.709547017643</v>
      </c>
    </row>
    <row r="18" customFormat="false" ht="15" hidden="false" customHeight="false" outlineLevel="0" collapsed="false">
      <c r="A18" s="0" t="s">
        <v>52</v>
      </c>
      <c r="B18" s="0" t="n">
        <f aca="false">(B17-'DCF Model'!$B$5)/'DCF Model'!$B$5</f>
        <v>0.263570362858359</v>
      </c>
    </row>
    <row r="20" customFormat="false" ht="15" hidden="false" customHeight="false" outlineLevel="0" collapsed="false">
      <c r="A20" s="1" t="s">
        <v>53</v>
      </c>
    </row>
    <row r="21" customFormat="false" ht="15" hidden="false" customHeight="false" outlineLevel="0" collapsed="false">
      <c r="A21" s="0" t="s">
        <v>46</v>
      </c>
      <c r="B21" s="0" t="n">
        <v>0.1</v>
      </c>
    </row>
    <row r="22" customFormat="false" ht="15" hidden="false" customHeight="false" outlineLevel="0" collapsed="false">
      <c r="A22" s="0" t="s">
        <v>47</v>
      </c>
      <c r="B22" s="0" t="n">
        <v>1.15</v>
      </c>
    </row>
    <row r="23" customFormat="false" ht="15" hidden="false" customHeight="false" outlineLevel="0" collapsed="false">
      <c r="B23" s="0" t="s">
        <v>14</v>
      </c>
      <c r="C23" s="0" t="s">
        <v>15</v>
      </c>
      <c r="D23" s="0" t="s">
        <v>16</v>
      </c>
      <c r="E23" s="0" t="s">
        <v>17</v>
      </c>
      <c r="F23" s="0" t="s">
        <v>18</v>
      </c>
    </row>
    <row r="24" customFormat="false" ht="15" hidden="false" customHeight="false" outlineLevel="0" collapsed="false">
      <c r="A24" s="0" t="s">
        <v>19</v>
      </c>
      <c r="B24" s="0" t="n">
        <v>0.07</v>
      </c>
      <c r="C24" s="0" t="n">
        <v>0.065</v>
      </c>
      <c r="D24" s="0" t="n">
        <v>0.06</v>
      </c>
      <c r="E24" s="0" t="n">
        <v>0.06</v>
      </c>
      <c r="F24" s="0" t="n">
        <v>0.06</v>
      </c>
    </row>
    <row r="25" customFormat="false" ht="15" hidden="false" customHeight="false" outlineLevel="0" collapsed="false">
      <c r="A25" s="0" t="s">
        <v>48</v>
      </c>
      <c r="B25" s="0" t="n">
        <f aca="false">'DCF Model'!$B$10</f>
        <v>351.11</v>
      </c>
      <c r="C25" s="0" t="n">
        <f aca="false">B25*(1+B24)-'DCF Model'!$B$11</f>
        <v>375.6877</v>
      </c>
      <c r="D25" s="0" t="n">
        <f aca="false">C25*(1+C24)-'DCF Model'!$B$11</f>
        <v>400.1074005</v>
      </c>
      <c r="E25" s="0" t="n">
        <f aca="false">D25*(1+D24)-'DCF Model'!$B$11</f>
        <v>424.11384453</v>
      </c>
      <c r="F25" s="0" t="n">
        <f aca="false">E25*(1+E24)-'DCF Model'!$B$11</f>
        <v>449.5606752018</v>
      </c>
      <c r="G25" s="0" t="n">
        <f aca="false">F25*(1+F24)-'DCF Model'!$B$11</f>
        <v>476.534315713908</v>
      </c>
    </row>
    <row r="26" customFormat="false" ht="15" hidden="false" customHeight="false" outlineLevel="0" collapsed="false">
      <c r="A26" s="0" t="s">
        <v>23</v>
      </c>
      <c r="C26" s="0" t="n">
        <f aca="false">'DCF Model'!$B$11</f>
        <v>0</v>
      </c>
      <c r="D26" s="0" t="n">
        <f aca="false">'DCF Model'!$B$11</f>
        <v>0</v>
      </c>
      <c r="E26" s="0" t="n">
        <f aca="false">'DCF Model'!$B$11</f>
        <v>0</v>
      </c>
      <c r="F26" s="0" t="n">
        <f aca="false">'DCF Model'!$B$11</f>
        <v>0</v>
      </c>
      <c r="G26" s="0" t="n">
        <f aca="false">'DCF Model'!$B$11</f>
        <v>0</v>
      </c>
    </row>
    <row r="27" customFormat="false" ht="15" hidden="false" customHeight="false" outlineLevel="0" collapsed="false">
      <c r="A27" s="0" t="s">
        <v>49</v>
      </c>
      <c r="C27" s="0" t="n">
        <f aca="false">1/(1+B21)^1</f>
        <v>0.909090909090909</v>
      </c>
      <c r="D27" s="0" t="n">
        <f aca="false">1/(1+B21)^2</f>
        <v>0.826446280991735</v>
      </c>
      <c r="E27" s="0" t="n">
        <f aca="false">1/(1+B21)^3</f>
        <v>0.751314800901578</v>
      </c>
      <c r="F27" s="0" t="n">
        <f aca="false">1/(1+B21)^4</f>
        <v>0.683013455365071</v>
      </c>
      <c r="G27" s="0" t="n">
        <f aca="false">1/(1+B21)^5</f>
        <v>0.620921323059155</v>
      </c>
    </row>
    <row r="28" customFormat="false" ht="15" hidden="false" customHeight="false" outlineLevel="0" collapsed="false">
      <c r="A28" s="0" t="s">
        <v>25</v>
      </c>
      <c r="C28" s="0" t="n">
        <f aca="false">C26*C27</f>
        <v>0</v>
      </c>
      <c r="D28" s="0" t="n">
        <f aca="false">D26*D27</f>
        <v>0</v>
      </c>
      <c r="E28" s="0" t="n">
        <f aca="false">E26*E27</f>
        <v>0</v>
      </c>
      <c r="F28" s="0" t="n">
        <f aca="false">F26*F27</f>
        <v>0</v>
      </c>
      <c r="G28" s="0" t="n">
        <f aca="false">G26*G27</f>
        <v>0</v>
      </c>
    </row>
    <row r="30" customFormat="false" ht="15" hidden="false" customHeight="false" outlineLevel="0" collapsed="false">
      <c r="A30" s="0" t="s">
        <v>50</v>
      </c>
      <c r="B30" s="0" t="n">
        <f aca="false">SUM(C28:G28)</f>
        <v>0</v>
      </c>
    </row>
    <row r="31" customFormat="false" ht="15" hidden="false" customHeight="false" outlineLevel="0" collapsed="false">
      <c r="A31" s="0" t="s">
        <v>51</v>
      </c>
      <c r="B31" s="0" t="n">
        <f aca="false">G25</f>
        <v>476.534315713908</v>
      </c>
    </row>
    <row r="32" customFormat="false" ht="15" hidden="false" customHeight="false" outlineLevel="0" collapsed="false">
      <c r="A32" s="0" t="s">
        <v>30</v>
      </c>
      <c r="B32" s="0" t="n">
        <f aca="false">B31*B22</f>
        <v>548.014463070994</v>
      </c>
    </row>
    <row r="33" customFormat="false" ht="15" hidden="false" customHeight="false" outlineLevel="0" collapsed="false">
      <c r="A33" s="0" t="s">
        <v>31</v>
      </c>
      <c r="B33" s="0" t="n">
        <f aca="false">B32*G27</f>
        <v>340.273865465594</v>
      </c>
    </row>
    <row r="34" customFormat="false" ht="15" hidden="false" customHeight="false" outlineLevel="0" collapsed="false">
      <c r="A34" s="1" t="s">
        <v>32</v>
      </c>
      <c r="B34" s="1" t="n">
        <f aca="false">B30+B33</f>
        <v>340.273865465594</v>
      </c>
    </row>
    <row r="35" customFormat="false" ht="15" hidden="false" customHeight="false" outlineLevel="0" collapsed="false">
      <c r="A35" s="0" t="s">
        <v>52</v>
      </c>
      <c r="B35" s="0" t="n">
        <f aca="false">(B34-'DCF Model'!$B$5)/'DCF Model'!$B$5</f>
        <v>-0.326830209967567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0" t="s">
        <v>55</v>
      </c>
    </row>
    <row r="4" customFormat="false" ht="15" hidden="false" customHeight="false" outlineLevel="0" collapsed="false">
      <c r="A4" s="0" t="s">
        <v>56</v>
      </c>
      <c r="B4" s="0" t="n">
        <v>1.05</v>
      </c>
      <c r="C4" s="0" t="n">
        <v>1.2</v>
      </c>
      <c r="D4" s="0" t="n">
        <v>1.35</v>
      </c>
      <c r="E4" s="0" t="n">
        <v>1.5</v>
      </c>
      <c r="F4" s="0" t="n">
        <v>1.65</v>
      </c>
    </row>
    <row r="5" customFormat="false" ht="15" hidden="false" customHeight="false" outlineLevel="0" collapsed="false">
      <c r="A5" s="0" t="n">
        <v>0.046</v>
      </c>
      <c r="B5" s="0" t="n">
        <f aca="false">('DCF Model'!$B$10*(1+0.055))*(1+0.05)*(1+0.045)*(1+0.04)*(1+0.04)*1.05*(1/(1+0.085)^5)</f>
        <v>306.978906485658</v>
      </c>
      <c r="C5" s="0" t="n">
        <f aca="false">('DCF Model'!$B$10*(1+0.055))*(1+0.05)*(1+0.045)*(1+0.04)*(1+0.04)*1.2*(1/(1+0.085)^5)</f>
        <v>350.833035983609</v>
      </c>
      <c r="D5" s="0" t="n">
        <f aca="false">('DCF Model'!$B$10*(1+0.055))*(1+0.05)*(1+0.045)*(1+0.04)*(1+0.04)*1.35*(1/(1+0.085)^5)</f>
        <v>394.68716548156</v>
      </c>
      <c r="E5" s="0" t="n">
        <f aca="false">('DCF Model'!$B$10*(1+0.055))*(1+0.05)*(1+0.045)*(1+0.04)*(1+0.04)*1.5*(1/(1+0.085)^5)</f>
        <v>438.541294979511</v>
      </c>
      <c r="F5" s="0" t="n">
        <f aca="false">('DCF Model'!$B$10*(1+0.055))*(1+0.05)*(1+0.045)*(1+0.04)*(1+0.04)*1.65*(1/(1+0.085)^5)</f>
        <v>482.395424477462</v>
      </c>
    </row>
    <row r="6" customFormat="false" ht="15" hidden="false" customHeight="false" outlineLevel="0" collapsed="false">
      <c r="A6" s="0" t="n">
        <v>0.066</v>
      </c>
      <c r="B6" s="0" t="n">
        <f aca="false">('DCF Model'!$B$10*(1+0.075))*(1+0.07)*(1+0.065)*(1+0.06)*(1+0.06)*1.05*(1/(1+0.085)^5)</f>
        <v>337.471721735844</v>
      </c>
      <c r="C6" s="0" t="n">
        <f aca="false">('DCF Model'!$B$10*(1+0.075))*(1+0.07)*(1+0.065)*(1+0.06)*(1+0.06)*1.2*(1/(1+0.085)^5)</f>
        <v>385.681967698107</v>
      </c>
      <c r="D6" s="0" t="n">
        <f aca="false">('DCF Model'!$B$10*(1+0.075))*(1+0.07)*(1+0.065)*(1+0.06)*(1+0.06)*1.35*(1/(1+0.085)^5)</f>
        <v>433.89221366037</v>
      </c>
      <c r="E6" s="0" t="n">
        <f aca="false">('DCF Model'!$B$10*(1+0.075))*(1+0.07)*(1+0.065)*(1+0.06)*(1+0.06)*1.5*(1/(1+0.085)^5)</f>
        <v>482.102459622634</v>
      </c>
      <c r="F6" s="0" t="n">
        <f aca="false">('DCF Model'!$B$10*(1+0.075))*(1+0.07)*(1+0.065)*(1+0.06)*(1+0.06)*1.65*(1/(1+0.085)^5)</f>
        <v>530.312705584897</v>
      </c>
    </row>
    <row r="7" customFormat="false" ht="15" hidden="false" customHeight="false" outlineLevel="0" collapsed="false">
      <c r="A7" s="0" t="n">
        <v>0.086</v>
      </c>
      <c r="B7" s="0" t="n">
        <f aca="false">('DCF Model'!$B$10*(1+0.095))*(1+0.09)*(1+0.085)*(1+0.08)*(1+0.08)*1.05*(1/(1+0.085)^5)</f>
        <v>370.34089624411</v>
      </c>
      <c r="C7" s="0" t="n">
        <f aca="false">('DCF Model'!$B$10*(1+0.095))*(1+0.09)*(1+0.085)*(1+0.08)*(1+0.08)*1.2*(1/(1+0.085)^5)</f>
        <v>423.246738564697</v>
      </c>
      <c r="D7" s="0" t="n">
        <f aca="false">('DCF Model'!$B$10*(1+0.095))*(1+0.09)*(1+0.085)*(1+0.08)*(1+0.08)*1.35*(1/(1+0.085)^5)</f>
        <v>476.152580885284</v>
      </c>
      <c r="E7" s="0" t="n">
        <f aca="false">('DCF Model'!$B$10*(1+0.095))*(1+0.09)*(1+0.085)*(1+0.08)*(1+0.08)*1.5*(1/(1+0.085)^5)</f>
        <v>529.058423205871</v>
      </c>
      <c r="F7" s="0" t="n">
        <f aca="false">('DCF Model'!$B$10*(1+0.095))*(1+0.09)*(1+0.085)*(1+0.08)*(1+0.08)*1.65*(1/(1+0.085)^5)</f>
        <v>581.964265526458</v>
      </c>
    </row>
    <row r="8" customFormat="false" ht="15" hidden="false" customHeight="false" outlineLevel="0" collapsed="false">
      <c r="A8" s="0" t="n">
        <v>0.106</v>
      </c>
      <c r="B8" s="0" t="n">
        <f aca="false">('DCF Model'!$B$10*(1+0.115))*(1+0.11)*(1+0.105)*(1+0.1)*(1+0.1)*1.05*(1/(1+0.085)^5)</f>
        <v>405.72269488111</v>
      </c>
      <c r="C8" s="0" t="n">
        <f aca="false">('DCF Model'!$B$10*(1+0.115))*(1+0.11)*(1+0.105)*(1+0.1)*(1+0.1)*1.2*(1/(1+0.085)^5)</f>
        <v>463.683079864126</v>
      </c>
      <c r="D8" s="0" t="n">
        <f aca="false">('DCF Model'!$B$10*(1+0.115))*(1+0.11)*(1+0.105)*(1+0.1)*(1+0.1)*1.35*(1/(1+0.085)^5)</f>
        <v>521.643464847141</v>
      </c>
      <c r="E8" s="0" t="n">
        <f aca="false">('DCF Model'!$B$10*(1+0.115))*(1+0.11)*(1+0.105)*(1+0.1)*(1+0.1)*1.5*(1/(1+0.085)^5)</f>
        <v>579.603849830157</v>
      </c>
      <c r="F8" s="0" t="n">
        <f aca="false">('DCF Model'!$B$10*(1+0.115))*(1+0.11)*(1+0.105)*(1+0.1)*(1+0.1)*1.65*(1/(1+0.085)^5)</f>
        <v>637.564234813173</v>
      </c>
    </row>
    <row r="9" customFormat="false" ht="15" hidden="false" customHeight="false" outlineLevel="0" collapsed="false">
      <c r="A9" s="0" t="n">
        <v>0.126</v>
      </c>
      <c r="B9" s="0" t="n">
        <f aca="false">('DCF Model'!$B$10*(1+0.135))*(1+0.13)*(1+0.125)*(1+0.12)*(1+0.12)*1.05*(1/(1+0.085)^5)</f>
        <v>443.75849480019</v>
      </c>
      <c r="C9" s="0" t="n">
        <f aca="false">('DCF Model'!$B$10*(1+0.135))*(1+0.13)*(1+0.125)*(1+0.12)*(1+0.12)*1.2*(1/(1+0.085)^5)</f>
        <v>507.152565485931</v>
      </c>
      <c r="D9" s="0" t="n">
        <f aca="false">('DCF Model'!$B$10*(1+0.135))*(1+0.13)*(1+0.125)*(1+0.12)*(1+0.12)*1.35*(1/(1+0.085)^5)</f>
        <v>570.546636171673</v>
      </c>
      <c r="E9" s="0" t="n">
        <f aca="false">('DCF Model'!$B$10*(1+0.135))*(1+0.13)*(1+0.125)*(1+0.12)*(1+0.12)*1.5*(1/(1+0.085)^5)</f>
        <v>633.940706857414</v>
      </c>
      <c r="F9" s="0" t="n">
        <f aca="false">('DCF Model'!$B$10*(1+0.135))*(1+0.13)*(1+0.125)*(1+0.12)*(1+0.12)*1.65*(1/(1+0.085)^5)</f>
        <v>697.334777543156</v>
      </c>
    </row>
    <row r="11" customFormat="false" ht="15" hidden="false" customHeight="false" outlineLevel="0" collapsed="false">
      <c r="A11" s="0" t="s">
        <v>57</v>
      </c>
    </row>
    <row r="12" customFormat="false" ht="15" hidden="false" customHeight="false" outlineLevel="0" collapsed="false">
      <c r="A12" s="0" t="s">
        <v>58</v>
      </c>
    </row>
    <row r="13" customFormat="false" ht="15" hidden="false" customHeight="false" outlineLevel="0" collapsed="false">
      <c r="A13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60</v>
      </c>
    </row>
    <row r="3" customFormat="false" ht="15" hidden="false" customHeight="false" outlineLevel="0" collapsed="false">
      <c r="A3" s="0" t="s">
        <v>61</v>
      </c>
      <c r="B3" s="0" t="s">
        <v>62</v>
      </c>
      <c r="C3" s="0" t="s">
        <v>63</v>
      </c>
    </row>
    <row r="4" customFormat="false" ht="15" hidden="false" customHeight="false" outlineLevel="0" collapsed="false">
      <c r="A4" s="0" t="s">
        <v>64</v>
      </c>
      <c r="B4" s="0" t="n">
        <v>0.1432</v>
      </c>
      <c r="C4" s="0" t="n">
        <v>0.101</v>
      </c>
    </row>
    <row r="5" customFormat="false" ht="15" hidden="false" customHeight="false" outlineLevel="0" collapsed="false">
      <c r="A5" s="0" t="s">
        <v>65</v>
      </c>
      <c r="C5" s="0" t="n">
        <v>0.1082</v>
      </c>
    </row>
    <row r="6" customFormat="false" ht="15" hidden="false" customHeight="false" outlineLevel="0" collapsed="false">
      <c r="A6" s="0" t="s">
        <v>66</v>
      </c>
      <c r="C6" s="0" t="n">
        <v>0.1147</v>
      </c>
    </row>
    <row r="7" customFormat="false" ht="15" hidden="false" customHeight="false" outlineLevel="0" collapsed="false">
      <c r="A7" s="0" t="s">
        <v>67</v>
      </c>
      <c r="C7" s="0" t="n">
        <v>0.1192</v>
      </c>
    </row>
    <row r="8" customFormat="false" ht="15" hidden="false" customHeight="false" outlineLevel="0" collapsed="false">
      <c r="A8" s="0" t="s">
        <v>68</v>
      </c>
      <c r="B8" s="0" t="n">
        <v>0.0065</v>
      </c>
      <c r="C8" s="0" t="n">
        <v>0.0862</v>
      </c>
    </row>
    <row r="11" customFormat="false" ht="15" hidden="false" customHeight="false" outlineLevel="0" collapsed="false">
      <c r="A11" s="0" t="s">
        <v>69</v>
      </c>
      <c r="B11" s="0" t="n">
        <v>0.095</v>
      </c>
    </row>
    <row r="12" customFormat="false" ht="15" hidden="false" customHeight="false" outlineLevel="0" collapsed="false">
      <c r="A12" s="0" t="s">
        <v>70</v>
      </c>
      <c r="B12" s="0" t="s">
        <v>71</v>
      </c>
    </row>
    <row r="14" customFormat="false" ht="15" hidden="false" customHeight="false" outlineLevel="0" collapsed="false">
      <c r="A14" s="1" t="s">
        <v>72</v>
      </c>
    </row>
    <row r="15" customFormat="false" ht="15" hidden="false" customHeight="false" outlineLevel="0" collapsed="false">
      <c r="A15" s="0" t="s">
        <v>73</v>
      </c>
    </row>
    <row r="16" customFormat="false" ht="15" hidden="false" customHeight="false" outlineLevel="0" collapsed="false">
      <c r="A16" s="0" t="s">
        <v>74</v>
      </c>
    </row>
    <row r="17" customFormat="false" ht="15" hidden="false" customHeight="false" outlineLevel="0" collapsed="false">
      <c r="A17" s="0" t="s">
        <v>75</v>
      </c>
    </row>
    <row r="19" customFormat="false" ht="15" hidden="false" customHeight="false" outlineLevel="0" collapsed="false">
      <c r="A19" s="1" t="s">
        <v>76</v>
      </c>
    </row>
    <row r="20" customFormat="false" ht="15" hidden="false" customHeight="false" outlineLevel="0" collapsed="false">
      <c r="A20" s="0" t="s">
        <v>77</v>
      </c>
    </row>
    <row r="21" customFormat="false" ht="15" hidden="false" customHeight="false" outlineLevel="0" collapsed="false">
      <c r="A21" s="0" t="s">
        <v>78</v>
      </c>
    </row>
    <row r="22" customFormat="false" ht="15" hidden="false" customHeight="false" outlineLevel="0" collapsed="false">
      <c r="A22" s="0" t="s">
        <v>79</v>
      </c>
    </row>
    <row r="23" customFormat="false" ht="15" hidden="false" customHeight="false" outlineLevel="0" collapsed="false">
      <c r="A23" s="0" t="s">
        <v>80</v>
      </c>
    </row>
    <row r="25" customFormat="false" ht="15" hidden="false" customHeight="false" outlineLevel="0" collapsed="false">
      <c r="A25" s="1" t="s">
        <v>81</v>
      </c>
    </row>
    <row r="26" customFormat="false" ht="15" hidden="false" customHeight="false" outlineLevel="0" collapsed="false">
      <c r="A26" s="0" t="s">
        <v>82</v>
      </c>
      <c r="B26" s="0" t="s">
        <v>83</v>
      </c>
    </row>
    <row r="27" customFormat="false" ht="15" hidden="false" customHeight="false" outlineLevel="0" collapsed="false">
      <c r="A27" s="0" t="s">
        <v>84</v>
      </c>
      <c r="B27" s="0" t="n">
        <v>113707</v>
      </c>
    </row>
    <row r="28" customFormat="false" ht="15" hidden="false" customHeight="false" outlineLevel="0" collapsed="false">
      <c r="A28" s="0" t="s">
        <v>85</v>
      </c>
      <c r="B28" s="0" t="n">
        <v>135785</v>
      </c>
    </row>
    <row r="29" customFormat="false" ht="15" hidden="false" customHeight="false" outlineLevel="0" collapsed="false">
      <c r="A29" s="0" t="s">
        <v>86</v>
      </c>
      <c r="B29" s="0" t="n">
        <v>162934</v>
      </c>
    </row>
    <row r="30" customFormat="false" ht="15" hidden="false" customHeight="false" outlineLevel="0" collapsed="false">
      <c r="A30" s="0" t="s">
        <v>87</v>
      </c>
      <c r="B30" s="0" t="n">
        <v>168961</v>
      </c>
    </row>
    <row r="31" customFormat="false" ht="15" hidden="false" customHeight="false" outlineLevel="0" collapsed="false">
      <c r="A31" s="0" t="s">
        <v>88</v>
      </c>
      <c r="B31" s="0" t="n">
        <v>191588</v>
      </c>
    </row>
    <row r="32" customFormat="false" ht="15" hidden="false" customHeight="false" outlineLevel="0" collapsed="false">
      <c r="A32" s="0" t="s">
        <v>89</v>
      </c>
      <c r="B32" s="0" t="n">
        <v>224485</v>
      </c>
    </row>
    <row r="33" customFormat="false" ht="15" hidden="false" customHeight="false" outlineLevel="0" collapsed="false">
      <c r="A33" s="0" t="s">
        <v>90</v>
      </c>
      <c r="B33" s="0" t="n">
        <v>242096</v>
      </c>
    </row>
    <row r="34" customFormat="false" ht="15" hidden="false" customHeight="false" outlineLevel="0" collapsed="false">
      <c r="A34" s="0" t="s">
        <v>91</v>
      </c>
      <c r="B34" s="0" t="n">
        <v>257696</v>
      </c>
    </row>
    <row r="35" customFormat="false" ht="15" hidden="false" customHeight="false" outlineLevel="0" collapsed="false">
      <c r="A35" s="0" t="s">
        <v>92</v>
      </c>
      <c r="B35" s="0" t="n">
        <v>285428</v>
      </c>
    </row>
    <row r="36" customFormat="false" ht="15" hidden="false" customHeight="false" outlineLevel="0" collapsed="false">
      <c r="A36" s="0" t="s">
        <v>93</v>
      </c>
      <c r="B36" s="0" t="n">
        <v>351954</v>
      </c>
    </row>
    <row r="37" customFormat="false" ht="15" hidden="false" customHeight="false" outlineLevel="0" collapsed="false">
      <c r="A37" s="0" t="s">
        <v>94</v>
      </c>
      <c r="B37" s="0" t="n">
        <v>352500</v>
      </c>
    </row>
    <row r="38" customFormat="false" ht="15" hidden="false" customHeight="false" outlineLevel="0" collapsed="false">
      <c r="A38" s="0" t="s">
        <v>95</v>
      </c>
      <c r="B38" s="0" t="n">
        <v>428563</v>
      </c>
    </row>
    <row r="39" customFormat="false" ht="15" hidden="false" customHeight="false" outlineLevel="0" collapsed="false">
      <c r="A39" s="0" t="s">
        <v>96</v>
      </c>
      <c r="B39" s="0" t="n">
        <v>444908</v>
      </c>
    </row>
    <row r="40" customFormat="false" ht="15" hidden="false" customHeight="false" outlineLevel="0" collapsed="false">
      <c r="A40" s="0" t="s">
        <v>97</v>
      </c>
      <c r="B40" s="0" t="n">
        <v>510299</v>
      </c>
    </row>
    <row r="41" customFormat="false" ht="15" hidden="false" customHeight="false" outlineLevel="0" collapsed="false">
      <c r="A41" s="0" t="s">
        <v>98</v>
      </c>
      <c r="B41" s="0" t="n">
        <v>481681</v>
      </c>
    </row>
    <row r="42" customFormat="false" ht="15" hidden="false" customHeight="false" outlineLevel="0" collapsed="false">
      <c r="A42" s="0" t="s">
        <v>99</v>
      </c>
      <c r="B42" s="0" t="n">
        <v>567509</v>
      </c>
    </row>
    <row r="43" customFormat="false" ht="15" hidden="false" customHeight="false" outlineLevel="0" collapsed="false">
      <c r="A43" s="0" t="s">
        <v>100</v>
      </c>
      <c r="B43" s="0" t="n">
        <v>651655</v>
      </c>
    </row>
    <row r="44" customFormat="false" ht="15" hidden="false" customHeight="false" outlineLevel="0" collapsed="false">
      <c r="A44" s="0" t="s">
        <v>101</v>
      </c>
      <c r="B44" s="0" t="n">
        <v>719703</v>
      </c>
    </row>
    <row r="45" customFormat="false" ht="15" hidden="false" customHeight="false" outlineLevel="0" collapsed="false">
      <c r="A45" s="0" t="s">
        <v>102</v>
      </c>
      <c r="B45" s="0" t="n">
        <v>750177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0" t="s">
        <v>104</v>
      </c>
      <c r="B3" s="0" t="n">
        <f aca="false">'DCF Model'!B33</f>
        <v>476.152580885284</v>
      </c>
    </row>
    <row r="4" customFormat="false" ht="15" hidden="false" customHeight="false" outlineLevel="0" collapsed="false">
      <c r="A4" s="0" t="s">
        <v>105</v>
      </c>
      <c r="B4" s="0" t="n">
        <f aca="false">B3/'DCF Model'!B10</f>
        <v>1.35613505991081</v>
      </c>
    </row>
    <row r="5" customFormat="false" ht="15" hidden="false" customHeight="false" outlineLevel="0" collapsed="false">
      <c r="A5" s="0" t="s">
        <v>106</v>
      </c>
      <c r="B5" s="0" t="s">
        <v>107</v>
      </c>
    </row>
    <row r="8" customFormat="false" ht="15" hidden="false" customHeight="false" outlineLevel="0" collapsed="false">
      <c r="A8" s="1" t="s">
        <v>108</v>
      </c>
    </row>
    <row r="9" customFormat="false" ht="15" hidden="false" customHeight="false" outlineLevel="0" collapsed="false">
      <c r="A9" s="0" t="s">
        <v>109</v>
      </c>
      <c r="B9" s="0" t="n">
        <v>1.1</v>
      </c>
    </row>
    <row r="10" customFormat="false" ht="15" hidden="false" customHeight="false" outlineLevel="0" collapsed="false">
      <c r="A10" s="0" t="s">
        <v>110</v>
      </c>
      <c r="B10" s="0" t="n">
        <v>1.3</v>
      </c>
    </row>
    <row r="11" customFormat="false" ht="15" hidden="false" customHeight="false" outlineLevel="0" collapsed="false">
      <c r="A11" s="0" t="s">
        <v>111</v>
      </c>
      <c r="B11" s="0" t="n">
        <v>1.6</v>
      </c>
    </row>
    <row r="12" customFormat="false" ht="15" hidden="false" customHeight="false" outlineLevel="0" collapsed="false">
      <c r="A12" s="0" t="s">
        <v>112</v>
      </c>
      <c r="B12" s="0" t="n">
        <f aca="false">'DCF Model'!B5/'DCF Model'!B10</f>
        <v>1.43966278374299</v>
      </c>
    </row>
    <row r="14" customFormat="false" ht="15" hidden="false" customHeight="false" outlineLevel="0" collapsed="false">
      <c r="A14" s="0" t="s">
        <v>113</v>
      </c>
      <c r="B14" s="0" t="s">
        <v>114</v>
      </c>
    </row>
    <row r="16" customFormat="false" ht="15" hidden="false" customHeight="false" outlineLevel="0" collapsed="false">
      <c r="A16" s="1" t="s">
        <v>115</v>
      </c>
    </row>
    <row r="17" customFormat="false" ht="15" hidden="false" customHeight="false" outlineLevel="0" collapsed="false">
      <c r="A17" s="0" t="s">
        <v>116</v>
      </c>
    </row>
    <row r="18" customFormat="false" ht="15" hidden="false" customHeight="false" outlineLevel="0" collapsed="false">
      <c r="A18" s="0" t="s">
        <v>117</v>
      </c>
    </row>
    <row r="19" customFormat="false" ht="15" hidden="false" customHeight="false" outlineLevel="0" collapsed="false">
      <c r="A19" s="0" t="s">
        <v>118</v>
      </c>
    </row>
    <row r="20" customFormat="false" ht="15" hidden="false" customHeight="false" outlineLevel="0" collapsed="false">
      <c r="A20" s="0" t="s">
        <v>119</v>
      </c>
    </row>
    <row r="21" customFormat="false" ht="15" hidden="false" customHeight="false" outlineLevel="0" collapsed="false">
      <c r="A21" s="0" t="s">
        <v>120</v>
      </c>
    </row>
    <row r="22" customFormat="false" ht="15" hidden="false" customHeight="false" outlineLevel="0" collapsed="false">
      <c r="A22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2026-09-25T23:46:31Z</dcterms:created>
  <dc:creator>openpyxl</dc:creator>
  <dc:description/>
  <dc:language>en-NZ</dc:language>
  <cp:lastModifiedBy/>
  <dcterms:modified xsi:type="dcterms:W3CDTF">2026-09-25T23:46:57Z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