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CF Model" sheetId="1" r:id="rId1"/>
    <sheet name="Scenarios" sheetId="2" r:id="rId2"/>
    <sheet name="Sensitivity" sheetId="3" r:id="rId3"/>
    <sheet name="Historical Data" sheetId="4" r:id="rId4"/>
  </sheets>
  <calcPr calcId="124519" fullCalcOnLoad="1"/>
</workbook>
</file>

<file path=xl/sharedStrings.xml><?xml version="1.0" encoding="utf-8"?>
<sst xmlns="http://schemas.openxmlformats.org/spreadsheetml/2006/main" count="164" uniqueCount="148">
  <si>
    <t>TEAM — DCF Valuation Model  (Base Case)</t>
  </si>
  <si>
    <t>Valuation date: 2026-06-30   |   Current price: $79.26</t>
  </si>
  <si>
    <t>Shaded cells are INPUTS — change them and all downstream values update automatically.</t>
  </si>
  <si>
    <t>KEY INPUTS</t>
  </si>
  <si>
    <t>Current Stock Price ($)</t>
  </si>
  <si>
    <t>Shares Outstanding (M)</t>
  </si>
  <si>
    <t>Cash &amp; Investments (M)</t>
  </si>
  <si>
    <t>Total Debt (M)</t>
  </si>
  <si>
    <t>Net Debt = Debt − Cash (M)</t>
  </si>
  <si>
    <t>Base Year FCF (M)</t>
  </si>
  <si>
    <t>WACC</t>
  </si>
  <si>
    <t>Terminal Growth Rate</t>
  </si>
  <si>
    <t>FCF GROWTH ASSUMPTIONS</t>
  </si>
  <si>
    <t>Year 1</t>
  </si>
  <si>
    <t>Year 2</t>
  </si>
  <si>
    <t>Year 3</t>
  </si>
  <si>
    <t>Year 4</t>
  </si>
  <si>
    <t>Year 5</t>
  </si>
  <si>
    <t>FCF Growth Rate (Y1–Y5)</t>
  </si>
  <si>
    <t>PROJECTIONS</t>
  </si>
  <si>
    <t>Free Cash Flow (M)</t>
  </si>
  <si>
    <t>Discount Factor</t>
  </si>
  <si>
    <t>PV of FCF (M)</t>
  </si>
  <si>
    <t>VALUATION</t>
  </si>
  <si>
    <t>Sum of PV of FCF (M)</t>
  </si>
  <si>
    <t>Terminal FCF  [Year5 × (1+g)] (M)</t>
  </si>
  <si>
    <t>Terminal Value  [TV / (WACC−g)] (M)</t>
  </si>
  <si>
    <t>PV of Terminal Value (M)</t>
  </si>
  <si>
    <t>Enterprise Value (M)</t>
  </si>
  <si>
    <t>Net Debt (positive = net debt) (M)</t>
  </si>
  <si>
    <t>Equity Value (M)</t>
  </si>
  <si>
    <t>INTRINSIC VALUE / SHARE</t>
  </si>
  <si>
    <t>ENTRY PRICE (15% CAGR Target)</t>
  </si>
  <si>
    <t>Terminal Value per Share ($)</t>
  </si>
  <si>
    <t>Entry Price — 15% CAGR ($)</t>
  </si>
  <si>
    <t>UPSIDE / DOWNSIDE</t>
  </si>
  <si>
    <t>Upside to Intrinsic Value</t>
  </si>
  <si>
    <t>Premium / (Discount) to Entry Price</t>
  </si>
  <si>
    <t>(negative = current price is below entry price → potential to earn &gt;15% CAGR)</t>
  </si>
  <si>
    <t>Notes:</t>
  </si>
  <si>
    <t>Balance sheet as of Q3 FY2026 (March 31, 2026). Cash $1,136.3M (all cash; company liquidated short-term investments and deployed ~$991M in buybacks in Q3). Total Debt $989.1M (senior notes: $500M 5.25% due 2029 + $500M 5.5% due 2034, net of discount/issuance costs). Net Debt = Debt - Cash = -$147.2M (net cash position: cash slightly exceeds debt by $147M — a significant swing from the prior model's net cash of $577M, driven by the $991M Q3 buyback). Shares outstanding 261.0M (down from 263.8M; management guides ~2.5% decrease in diluted share count for FY26). Last FCF is FY2025 full-year free cash flow of $1,415.5M. TTM FCF (Q4FY25 + Q1-Q3FY26) = $1,204.7M is lower due to Q1/Q2 FY26 being lighter FCF quarters; FY2025 annual figure is more representative of sustainable run-rate and is used as the base.</t>
  </si>
  <si>
    <t>TEAM — Scenario Comparison</t>
  </si>
  <si>
    <t>Metric</t>
  </si>
  <si>
    <t>Bear Case</t>
  </si>
  <si>
    <t>Base Case</t>
  </si>
  <si>
    <t>Bull Case</t>
  </si>
  <si>
    <t>FCF Growth Rates (Y1→Y5)</t>
  </si>
  <si>
    <t>14%→10%→8%→6%→4%</t>
  </si>
  <si>
    <t>22%→19%→16%→13%→10%</t>
  </si>
  <si>
    <t>28%→25%→22%→18%→14%</t>
  </si>
  <si>
    <t>12.0%</t>
  </si>
  <si>
    <t>10.0%</t>
  </si>
  <si>
    <t>9.0%</t>
  </si>
  <si>
    <t>Terminal Growth</t>
  </si>
  <si>
    <t>2.5%</t>
  </si>
  <si>
    <t>3.0%</t>
  </si>
  <si>
    <t>3.5%</t>
  </si>
  <si>
    <t>FCF Margin</t>
  </si>
  <si>
    <t>25%</t>
  </si>
  <si>
    <t>27%</t>
  </si>
  <si>
    <t>30%</t>
  </si>
  <si>
    <t>Sum PV of FCF ($M)</t>
  </si>
  <si>
    <t>$6,710.9</t>
  </si>
  <si>
    <t>$8,738.9</t>
  </si>
  <si>
    <t>$10,427.5</t>
  </si>
  <si>
    <t>Terminal Value ($M)</t>
  </si>
  <si>
    <t>$22,801.1</t>
  </si>
  <si>
    <t>$43,600.0</t>
  </si>
  <si>
    <t>$69,945.5</t>
  </si>
  <si>
    <t>Enterprise Value ($M)</t>
  </si>
  <si>
    <t>$19,648.2</t>
  </si>
  <si>
    <t>$35,810.1</t>
  </si>
  <si>
    <t>$55,885.1</t>
  </si>
  <si>
    <t>Equity Value ($M)</t>
  </si>
  <si>
    <t>$19,795.4</t>
  </si>
  <si>
    <t>$35,957.3</t>
  </si>
  <si>
    <t>$56,032.3</t>
  </si>
  <si>
    <t>Intrinsic Value / Share</t>
  </si>
  <si>
    <t>$75.84</t>
  </si>
  <si>
    <t>$137.77</t>
  </si>
  <si>
    <t>$214.68</t>
  </si>
  <si>
    <t>Upside / (Downside)</t>
  </si>
  <si>
    <t>-4.3%</t>
  </si>
  <si>
    <t>73.8%</t>
  </si>
  <si>
    <t>170.9%</t>
  </si>
  <si>
    <t>Entry Price (15% CAGR)</t>
  </si>
  <si>
    <t>$43.43</t>
  </si>
  <si>
    <t>$83.05</t>
  </si>
  <si>
    <t>$133.24</t>
  </si>
  <si>
    <t>PROBABILITY-WEIGHTED</t>
  </si>
  <si>
    <t>Weights (Bear / Base / Bull)</t>
  </si>
  <si>
    <t>50%</t>
  </si>
  <si>
    <t>Probability-Weighted IV</t>
  </si>
  <si>
    <t>$141.52</t>
  </si>
  <si>
    <t>Upside to Weighted IV</t>
  </si>
  <si>
    <t>78.6%</t>
  </si>
  <si>
    <t>SCENARIO DESCRIPTIONS</t>
  </si>
  <si>
    <t>Bear Case:</t>
  </si>
  <si>
    <t>Data Center revenue cliff in FY27 creates a visible near-term headwind as EOL recognition pull-forward unwinds (DC guided to only 8.5% growth in Q4 FY26 after 44% in Q3; management flagged meaningful deceleration in FY27). Microsoft bundling intensifies across Azure DevOps/GitHub/Copilot, pressuring developer-team retention. Enterprise GTM transition stumbles under dual leadership transitions (President seat vacant since Dec 2025, new CFO James Chuong still in learning phase). FCF growth moderates to 14% Y1 declining to 4% Y5. Higher WACC (12%) reflects elevated execution risk. FCF margin remains flat at 25% as AI infrastructure costs (Rovo compute growing 20%+ MoM) and enterprise sales build absorb restructuring savings. Aligns with bear case: DC revenue cliff, GTM transition risk, software multiple compression, AI monetization still nascent relative to investment.</t>
  </si>
  <si>
    <t>Base Case:</t>
  </si>
  <si>
    <t>~22% FCF growth in Year 1 (consistent with management's raised FY26 revenue guidance of ~24% and non-GAAP operating margin of 29%), decelerating to 10% by Year 5 as the Data Center revenue cliff materializes in FY27 (management explicitly warned of meaningful DC deceleration) and Cloud growth normalizes. FCF grows slightly faster than revenue due to margin expansion from 27% to ~30%+ as restructuring savings (10% headcount cut) are realized and reinvested more selectively. WACC 10% appropriate for high-growth enterprise SaaS with improving FCF but ongoing SBC dilution mitigation via buybacks.</t>
  </si>
  <si>
    <t>Bull Case:</t>
  </si>
  <si>
    <t>Cloud acceleration sustained at 25%+ through FY28 driven by DC-to-Cloud migration multi-year tailwind, Rovo/AI monetization kicking in (customers using Rovo are growing ARR at 2x the rate of non-Rovo customers), Service Collection scaling past $1B ARR at 30%+ growth, and enterprise RPO ($4.0B, +37% YoY) providing multi-year revenue visibility. Restructuring creates structurally higher margins (Q3 FY26 non-GAAP margin hit 34%, 8ppts above prior year), and aggressive buybacks ($2.2B remaining authorization) shrink share count further. FCF growth 28% Y1 declining to 14% Y5. Lower WACC reflects reduced risk as cloud mix exceeds 80%, enterprise commitments deepen, and capital return program is established. Aligns with bull case: Teamwork Graph as AI data moat, agentic automation flywheel, largest-ever competitive ITSM displacements in Q3 FY26.</t>
  </si>
  <si>
    <t>TEAM — Sensitivity Analysis: Intrinsic Value per Share</t>
  </si>
  <si>
    <t>Base case FCF growth rates [22%, 19%, 16%, 13%, 10%] | Net cash $147.2M added | Shares 261.0M</t>
  </si>
  <si>
    <t>Rows = WACC  |  Columns = Terminal Growth Rate</t>
  </si>
  <si>
    <t>WACC \ TGR</t>
  </si>
  <si>
    <t>Legend:</t>
  </si>
  <si>
    <t>Green: &gt;50% upside to current price</t>
  </si>
  <si>
    <t>Yellow: within ±10% of current price</t>
  </si>
  <si>
    <t>Red: &lt;10% upside or at/below current price</t>
  </si>
  <si>
    <t>Current Price: $79.26</t>
  </si>
  <si>
    <t>Base Case IV: $137.77  (73.8% upside)</t>
  </si>
  <si>
    <t>Note:</t>
  </si>
  <si>
    <t>Values computed using base case FCF projections with varying discount and terminal growth assumptions.</t>
  </si>
  <si>
    <t>TEAM — Historical Growth Rates &amp; Valuation Context</t>
  </si>
  <si>
    <t>GROWTH RATES</t>
  </si>
  <si>
    <t>3-Year CAGR</t>
  </si>
  <si>
    <t>5-Year CAGR</t>
  </si>
  <si>
    <t>Revenue</t>
  </si>
  <si>
    <t>FCF (primary)</t>
  </si>
  <si>
    <t>Shareholders Equity</t>
  </si>
  <si>
    <t>EPS</t>
  </si>
  <si>
    <t>N/A (negative GAAP EPS)</t>
  </si>
  <si>
    <t>N/A</t>
  </si>
  <si>
    <t>Selected Growth Rate:</t>
  </si>
  <si>
    <t>Source:</t>
  </si>
  <si>
    <t>fcf_3yr_cagr</t>
  </si>
  <si>
    <t>SANITY CHECK — P/SALES ANCHOR</t>
  </si>
  <si>
    <t>Verdict</t>
  </si>
  <si>
    <t>PASS</t>
  </si>
  <si>
    <t>10-Year P/Sales Range</t>
  </si>
  <si>
    <t>10.2x - 30.7x</t>
  </si>
  <si>
    <t>10-Year Avg P/Sales</t>
  </si>
  <si>
    <t>18.1x</t>
  </si>
  <si>
    <t>Current P/Sales</t>
  </si>
  <si>
    <t>3.97x</t>
  </si>
  <si>
    <t>Base IV Implied P/Sales</t>
  </si>
  <si>
    <t>6.89x</t>
  </si>
  <si>
    <t>Bull IV Implied P/Sales</t>
  </si>
  <si>
    <t>10.74x</t>
  </si>
  <si>
    <t>Bear IV Implied P/Sales</t>
  </si>
  <si>
    <t>3.8x</t>
  </si>
  <si>
    <t>Assessment:</t>
  </si>
  <si>
    <t>No over-valuation flags triggered. Stock trades at 3.97x P/Sales, well below its entire 10-year historical P/Sales range of 10.2x-30.7x (average 18.1x). Base-case upside of 73.8% is below the 100% threshold. Current price of $79.26 sits in the lower portion of the 10-year price range ($24-$458, midpoint ~$241). No peak-FCF extrapolation concern — FCF is genuinely growing (Q3 FY26 FCF was $561M, 31% margin). All checks pass.</t>
  </si>
  <si>
    <t>NOTES</t>
  </si>
  <si>
    <t>Equity 3Y CAGR is unusually high (60%) due to the artificially depressed FY2022 equity base ($327M) from GAAP net losses and SBC. Q3 FY2026 equity fell sharply to $879M from $1,591M in Q2 due to $991M of buybacks. Equity CAGR is unreliable and not used as the primary rate.</t>
  </si>
  <si>
    <t>Per company-specific instructions, FCF CAGR is the primary metric for TEAM (not equity CAGR), as GAAP net losses from SBC make equity growth unreliable. The FCF 3-year CAGR of 23.6% aligns closely with revenue growth (23.0% 3Y CAGR) and management's raised FY26 guidance of ~24% total revenue growth. Q3 FY26 Cloud growth accelerated to 29% YoY, and management guided non-GAAP operating margin to 29% for FY26 (34% in Q3 alone), reinforcing that FCF growth can sustain above this rate near-term. The FCF 3-year CAGR of 23.6% is selected as the representative growth rate, with scenarios modeled above and below this.</t>
  </si>
</sst>
</file>

<file path=xl/styles.xml><?xml version="1.0" encoding="utf-8"?>
<styleSheet xmlns="http://schemas.openxmlformats.org/spreadsheetml/2006/main">
  <numFmts count="3">
    <numFmt numFmtId="164" formatCode="#,##0.0"/>
    <numFmt numFmtId="165" formatCode="0.0%"/>
    <numFmt numFmtId="166" formatCode="&quot;$&quot;#,##0.00"/>
  </numFmts>
  <fonts count="9">
    <font>
      <sz val="11"/>
      <color theme="1"/>
      <name val="Calibri"/>
      <family val="2"/>
      <scheme val="minor"/>
    </font>
    <font>
      <b/>
      <sz val="16"/>
      <color theme="1"/>
      <name val="Calibri"/>
      <family val="2"/>
      <scheme val="minor"/>
    </font>
    <font>
      <i/>
      <sz val="11"/>
      <color rgb="FF636E72"/>
      <name val="Calibri"/>
      <family val="2"/>
      <scheme val="minor"/>
    </font>
    <font>
      <b/>
      <sz val="12"/>
      <color theme="1"/>
      <name val="Calibri"/>
      <family val="2"/>
      <scheme val="minor"/>
    </font>
    <font>
      <b/>
      <sz val="11"/>
      <color rgb="FFFFFFFF"/>
      <name val="Calibri"/>
      <family val="2"/>
      <scheme val="minor"/>
    </font>
    <font>
      <b/>
      <sz val="11"/>
      <color theme="1"/>
      <name val="Calibri"/>
      <family val="2"/>
      <scheme val="minor"/>
    </font>
    <font>
      <b/>
      <sz val="11"/>
      <color rgb="FF2D3436"/>
      <name val="Calibri"/>
      <family val="2"/>
      <scheme val="minor"/>
    </font>
    <font>
      <i/>
      <sz val="11"/>
      <color rgb="FFB2BEC3"/>
      <name val="Calibri"/>
      <family val="2"/>
      <scheme val="minor"/>
    </font>
    <font>
      <i/>
      <sz val="11"/>
      <color theme="1"/>
      <name val="Calibri"/>
      <family val="2"/>
      <scheme val="minor"/>
    </font>
  </fonts>
  <fills count="12">
    <fill>
      <patternFill patternType="none"/>
    </fill>
    <fill>
      <patternFill patternType="gray125"/>
    </fill>
    <fill>
      <patternFill patternType="solid">
        <fgColor rgb="FFF5F6FA"/>
        <bgColor indexed="64"/>
      </patternFill>
    </fill>
    <fill>
      <patternFill patternType="solid">
        <fgColor rgb="FFDFE6E9"/>
        <bgColor indexed="64"/>
      </patternFill>
    </fill>
    <fill>
      <patternFill patternType="solid">
        <fgColor rgb="FF2D3436"/>
        <bgColor indexed="64"/>
      </patternFill>
    </fill>
    <fill>
      <patternFill patternType="solid">
        <fgColor rgb="FF00B894"/>
        <bgColor indexed="64"/>
      </patternFill>
    </fill>
    <fill>
      <patternFill patternType="solid">
        <fgColor rgb="FF0984E3"/>
        <bgColor indexed="64"/>
      </patternFill>
    </fill>
    <fill>
      <patternFill patternType="solid">
        <fgColor rgb="FFD63031"/>
        <bgColor indexed="64"/>
      </patternFill>
    </fill>
    <fill>
      <patternFill patternType="solid">
        <fgColor rgb="FFFDCB6E"/>
        <bgColor indexed="64"/>
      </patternFill>
    </fill>
    <fill>
      <patternFill patternType="solid">
        <fgColor rgb="FF55EFC4"/>
        <bgColor indexed="64"/>
      </patternFill>
    </fill>
    <fill>
      <patternFill patternType="solid">
        <fgColor rgb="FFFFEAA7"/>
        <bgColor indexed="64"/>
      </patternFill>
    </fill>
    <fill>
      <patternFill patternType="solid">
        <fgColor rgb="FFFAB1A0"/>
        <bgColor indexed="64"/>
      </patternFill>
    </fill>
  </fills>
  <borders count="3">
    <border>
      <left/>
      <right/>
      <top/>
      <bottom/>
      <diagonal/>
    </border>
    <border>
      <left/>
      <right/>
      <top/>
      <bottom style="medium">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26">
    <xf numFmtId="0" fontId="0" fillId="0" borderId="0" xfId="0"/>
    <xf numFmtId="0" fontId="1" fillId="0" borderId="0" xfId="0" applyFont="1"/>
    <xf numFmtId="0" fontId="2" fillId="0" borderId="0" xfId="0" applyFont="1"/>
    <xf numFmtId="0" fontId="3" fillId="2" borderId="1" xfId="0" applyFont="1" applyFill="1" applyBorder="1"/>
    <xf numFmtId="164" fontId="0" fillId="3" borderId="2" xfId="0" applyNumberFormat="1" applyFill="1" applyBorder="1"/>
    <xf numFmtId="164" fontId="0" fillId="0" borderId="2" xfId="0" applyNumberFormat="1" applyBorder="1"/>
    <xf numFmtId="165" fontId="0" fillId="3" borderId="2" xfId="0" applyNumberFormat="1" applyFill="1" applyBorder="1"/>
    <xf numFmtId="0" fontId="4" fillId="4" borderId="2" xfId="0" applyFont="1" applyFill="1" applyBorder="1" applyAlignment="1">
      <alignment horizontal="center"/>
    </xf>
    <xf numFmtId="0" fontId="5" fillId="0" borderId="0" xfId="0" applyFont="1"/>
    <xf numFmtId="166" fontId="4" fillId="5" borderId="2" xfId="0" applyNumberFormat="1" applyFont="1" applyFill="1" applyBorder="1"/>
    <xf numFmtId="166" fontId="0" fillId="0" borderId="2" xfId="0" applyNumberFormat="1" applyBorder="1"/>
    <xf numFmtId="165" fontId="4" fillId="6" borderId="2" xfId="0" applyNumberFormat="1" applyFont="1" applyFill="1" applyBorder="1"/>
    <xf numFmtId="165" fontId="0" fillId="0" borderId="2" xfId="0" applyNumberFormat="1" applyBorder="1"/>
    <xf numFmtId="0" fontId="0" fillId="0" borderId="2" xfId="0" applyBorder="1"/>
    <xf numFmtId="166" fontId="4" fillId="7" borderId="2" xfId="0" applyNumberFormat="1" applyFont="1" applyFill="1" applyBorder="1"/>
    <xf numFmtId="166" fontId="6" fillId="8" borderId="2" xfId="0" applyNumberFormat="1" applyFont="1" applyFill="1" applyBorder="1"/>
    <xf numFmtId="165" fontId="4" fillId="4" borderId="2" xfId="0" applyNumberFormat="1" applyFont="1" applyFill="1" applyBorder="1" applyAlignment="1">
      <alignment horizontal="center"/>
    </xf>
    <xf numFmtId="166" fontId="0" fillId="9" borderId="2" xfId="0" applyNumberFormat="1" applyFill="1" applyBorder="1" applyAlignment="1">
      <alignment horizontal="center"/>
    </xf>
    <xf numFmtId="166" fontId="0" fillId="10" borderId="2" xfId="0" applyNumberFormat="1" applyFill="1" applyBorder="1" applyAlignment="1">
      <alignment horizontal="center"/>
    </xf>
    <xf numFmtId="0" fontId="0" fillId="9" borderId="2" xfId="0" applyFill="1" applyBorder="1"/>
    <xf numFmtId="0" fontId="0" fillId="10" borderId="2" xfId="0" applyFill="1" applyBorder="1"/>
    <xf numFmtId="0" fontId="0" fillId="11" borderId="2" xfId="0" applyFill="1" applyBorder="1"/>
    <xf numFmtId="0" fontId="7" fillId="0" borderId="2" xfId="0" applyFont="1" applyBorder="1"/>
    <xf numFmtId="0" fontId="4" fillId="5" borderId="2" xfId="0" applyFont="1" applyFill="1" applyBorder="1"/>
    <xf numFmtId="0" fontId="0" fillId="0" borderId="2" xfId="0" applyBorder="1" applyAlignment="1">
      <alignment wrapText="1"/>
    </xf>
    <xf numFmtId="0" fontId="8" fillId="0" borderId="2" xfId="0" applyFont="1" applyBorder="1"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44"/>
  <sheetViews>
    <sheetView tabSelected="1" workbookViewId="0"/>
  </sheetViews>
  <sheetFormatPr defaultRowHeight="15"/>
  <cols>
    <col min="1" max="1" width="30.7109375" customWidth="1"/>
    <col min="2" max="8" width="14.7109375" customWidth="1"/>
  </cols>
  <sheetData>
    <row r="1" spans="1:6">
      <c r="A1" s="1" t="s">
        <v>0</v>
      </c>
    </row>
    <row r="2" spans="1:6">
      <c r="A2" s="2" t="s">
        <v>1</v>
      </c>
    </row>
    <row r="3" spans="1:6">
      <c r="A3" s="2" t="s">
        <v>2</v>
      </c>
    </row>
    <row r="5" spans="1:6">
      <c r="A5" s="3" t="s">
        <v>3</v>
      </c>
    </row>
    <row r="6" spans="1:6">
      <c r="A6" t="s">
        <v>4</v>
      </c>
      <c r="B6" s="4">
        <v>79.26000000000001</v>
      </c>
    </row>
    <row r="7" spans="1:6">
      <c r="A7" t="s">
        <v>5</v>
      </c>
      <c r="B7" s="4">
        <v>261</v>
      </c>
    </row>
    <row r="8" spans="1:6">
      <c r="A8" t="s">
        <v>6</v>
      </c>
      <c r="B8" s="4">
        <v>1136.3</v>
      </c>
    </row>
    <row r="9" spans="1:6">
      <c r="A9" t="s">
        <v>7</v>
      </c>
      <c r="B9" s="4">
        <v>989.1</v>
      </c>
    </row>
    <row r="10" spans="1:6">
      <c r="A10" t="s">
        <v>8</v>
      </c>
      <c r="B10" s="5">
        <f>B9-B8</f>
        <v>0</v>
      </c>
    </row>
    <row r="11" spans="1:6">
      <c r="A11" t="s">
        <v>9</v>
      </c>
      <c r="B11" s="4">
        <v>1415.5</v>
      </c>
    </row>
    <row r="13" spans="1:6">
      <c r="A13" t="s">
        <v>10</v>
      </c>
      <c r="B13" s="6">
        <v>0.1</v>
      </c>
    </row>
    <row r="14" spans="1:6">
      <c r="A14" t="s">
        <v>11</v>
      </c>
      <c r="B14" s="6">
        <v>0.03</v>
      </c>
    </row>
    <row r="16" spans="1:6">
      <c r="A16" s="3" t="s">
        <v>12</v>
      </c>
      <c r="B16" s="7" t="s">
        <v>13</v>
      </c>
      <c r="C16" s="7" t="s">
        <v>14</v>
      </c>
      <c r="D16" s="7" t="s">
        <v>15</v>
      </c>
      <c r="E16" s="7" t="s">
        <v>16</v>
      </c>
      <c r="F16" s="7" t="s">
        <v>17</v>
      </c>
    </row>
    <row r="17" spans="1:6">
      <c r="A17" t="s">
        <v>18</v>
      </c>
      <c r="B17" s="6">
        <v>0.22</v>
      </c>
      <c r="C17" s="6">
        <v>0.19</v>
      </c>
      <c r="D17" s="6">
        <v>0.16</v>
      </c>
      <c r="E17" s="6">
        <v>0.13</v>
      </c>
      <c r="F17" s="6">
        <v>0.1</v>
      </c>
    </row>
    <row r="19" spans="1:6">
      <c r="A19" s="3" t="s">
        <v>19</v>
      </c>
    </row>
    <row r="20" spans="1:6">
      <c r="A20" s="7"/>
      <c r="B20" s="7" t="s">
        <v>13</v>
      </c>
      <c r="C20" s="7" t="s">
        <v>14</v>
      </c>
      <c r="D20" s="7" t="s">
        <v>15</v>
      </c>
      <c r="E20" s="7" t="s">
        <v>16</v>
      </c>
      <c r="F20" s="7" t="s">
        <v>17</v>
      </c>
    </row>
    <row r="21" spans="1:6">
      <c r="A21" t="s">
        <v>20</v>
      </c>
      <c r="B21" s="5">
        <f>B11*(1+B17)</f>
        <v>0</v>
      </c>
      <c r="C21" s="5">
        <f>C21*(1+C17)</f>
        <v>0</v>
      </c>
      <c r="D21" s="5">
        <f>D21*(1+D17)</f>
        <v>0</v>
      </c>
      <c r="E21" s="5">
        <f>E21*(1+E17)</f>
        <v>0</v>
      </c>
      <c r="F21" s="5">
        <f>F21*(1+F17)</f>
        <v>0</v>
      </c>
    </row>
    <row r="22" spans="1:6">
      <c r="A22" t="s">
        <v>21</v>
      </c>
      <c r="B22" s="5">
        <f>1/(1+$B$13)^1</f>
        <v>0</v>
      </c>
      <c r="C22" s="5">
        <f>1/(1+$B$13)^2</f>
        <v>0</v>
      </c>
      <c r="D22" s="5">
        <f>1/(1+$B$13)^3</f>
        <v>0</v>
      </c>
      <c r="E22" s="5">
        <f>1/(1+$B$13)^4</f>
        <v>0</v>
      </c>
      <c r="F22" s="5">
        <f>1/(1+$B$13)^5</f>
        <v>0</v>
      </c>
    </row>
    <row r="23" spans="1:6">
      <c r="A23" t="s">
        <v>22</v>
      </c>
      <c r="B23" s="5">
        <f>C21*C22</f>
        <v>0</v>
      </c>
      <c r="C23" s="5">
        <f>D21*D22</f>
        <v>0</v>
      </c>
      <c r="D23" s="5">
        <f>E21*E22</f>
        <v>0</v>
      </c>
      <c r="E23" s="5">
        <f>F21*F22</f>
        <v>0</v>
      </c>
      <c r="F23" s="5">
        <f>G21*G22</f>
        <v>0</v>
      </c>
    </row>
    <row r="25" spans="1:6">
      <c r="A25" s="3" t="s">
        <v>23</v>
      </c>
    </row>
    <row r="26" spans="1:6">
      <c r="A26" t="s">
        <v>24</v>
      </c>
      <c r="B26" s="5">
        <f>SUM(C23:G23)</f>
        <v>0</v>
      </c>
    </row>
    <row r="27" spans="1:6">
      <c r="A27" t="s">
        <v>25</v>
      </c>
      <c r="B27" s="5">
        <f>G21*(1+$B$14)</f>
        <v>0</v>
      </c>
    </row>
    <row r="28" spans="1:6">
      <c r="A28" t="s">
        <v>26</v>
      </c>
      <c r="B28" s="5">
        <f>B27/($B$13-$B$14)</f>
        <v>0</v>
      </c>
    </row>
    <row r="29" spans="1:6">
      <c r="A29" t="s">
        <v>27</v>
      </c>
      <c r="B29" s="5">
        <f>B28*G22</f>
        <v>0</v>
      </c>
    </row>
    <row r="30" spans="1:6">
      <c r="A30" t="s">
        <v>28</v>
      </c>
      <c r="B30" s="5">
        <f>B26+B29</f>
        <v>0</v>
      </c>
    </row>
    <row r="31" spans="1:6">
      <c r="A31" t="s">
        <v>29</v>
      </c>
      <c r="B31" s="5">
        <f>B10</f>
        <v>0</v>
      </c>
    </row>
    <row r="32" spans="1:6">
      <c r="A32" t="s">
        <v>30</v>
      </c>
      <c r="B32" s="5">
        <f>B30-B31</f>
        <v>0</v>
      </c>
    </row>
    <row r="33" spans="1:6">
      <c r="A33" s="8" t="s">
        <v>31</v>
      </c>
      <c r="B33" s="9">
        <f>B32/B7</f>
        <v>0</v>
      </c>
    </row>
    <row r="35" spans="1:6">
      <c r="A35" s="3" t="s">
        <v>32</v>
      </c>
    </row>
    <row r="36" spans="1:6">
      <c r="A36" t="s">
        <v>33</v>
      </c>
      <c r="B36" s="10">
        <f>B28/B7</f>
        <v>0</v>
      </c>
    </row>
    <row r="37" spans="1:6">
      <c r="A37" t="s">
        <v>34</v>
      </c>
      <c r="B37" s="9">
        <f>B36/(1.15^5)</f>
        <v>0</v>
      </c>
    </row>
    <row r="39" spans="1:6">
      <c r="A39" s="3" t="s">
        <v>35</v>
      </c>
    </row>
    <row r="40" spans="1:6">
      <c r="A40" t="s">
        <v>36</v>
      </c>
      <c r="B40" s="11">
        <f>(B33-B6)/B6</f>
        <v>0</v>
      </c>
    </row>
    <row r="41" spans="1:6">
      <c r="A41" t="s">
        <v>37</v>
      </c>
      <c r="B41" s="12">
        <f>(B6-B37)/B6</f>
        <v>0</v>
      </c>
      <c r="C41" s="2" t="s">
        <v>38</v>
      </c>
    </row>
    <row r="43" spans="1:6">
      <c r="A43" s="8" t="s">
        <v>39</v>
      </c>
    </row>
    <row r="44" spans="1:6">
      <c r="A44" s="2" t="s">
        <v>40</v>
      </c>
      <c r="B44" s="2"/>
      <c r="C44" s="2"/>
      <c r="D44" s="2"/>
      <c r="E44" s="2"/>
      <c r="F44" s="2"/>
    </row>
  </sheetData>
  <mergeCells count="1">
    <mergeCell ref="A44:F44"/>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31"/>
  <sheetViews>
    <sheetView workbookViewId="0"/>
  </sheetViews>
  <sheetFormatPr defaultRowHeight="15"/>
  <cols>
    <col min="1" max="1" width="32.7109375" customWidth="1"/>
    <col min="2" max="4" width="16.7109375" customWidth="1"/>
  </cols>
  <sheetData>
    <row r="1" spans="1:4">
      <c r="A1" s="1" t="s">
        <v>41</v>
      </c>
    </row>
    <row r="2" spans="1:4">
      <c r="A2" s="2" t="s">
        <v>1</v>
      </c>
    </row>
    <row r="4" spans="1:4">
      <c r="A4" s="7" t="s">
        <v>42</v>
      </c>
      <c r="B4" s="7" t="s">
        <v>43</v>
      </c>
      <c r="C4" s="7" t="s">
        <v>44</v>
      </c>
      <c r="D4" s="7" t="s">
        <v>45</v>
      </c>
    </row>
    <row r="5" spans="1:4">
      <c r="A5" s="13" t="s">
        <v>46</v>
      </c>
      <c r="B5" s="13" t="s">
        <v>47</v>
      </c>
      <c r="C5" s="13" t="s">
        <v>48</v>
      </c>
      <c r="D5" s="13" t="s">
        <v>49</v>
      </c>
    </row>
    <row r="6" spans="1:4">
      <c r="A6" s="13" t="s">
        <v>10</v>
      </c>
      <c r="B6" s="13" t="s">
        <v>50</v>
      </c>
      <c r="C6" s="13" t="s">
        <v>51</v>
      </c>
      <c r="D6" s="13" t="s">
        <v>52</v>
      </c>
    </row>
    <row r="7" spans="1:4">
      <c r="A7" s="13" t="s">
        <v>53</v>
      </c>
      <c r="B7" s="13" t="s">
        <v>54</v>
      </c>
      <c r="C7" s="13" t="s">
        <v>55</v>
      </c>
      <c r="D7" s="13" t="s">
        <v>56</v>
      </c>
    </row>
    <row r="8" spans="1:4">
      <c r="A8" s="13" t="s">
        <v>57</v>
      </c>
      <c r="B8" s="13" t="s">
        <v>58</v>
      </c>
      <c r="C8" s="13" t="s">
        <v>59</v>
      </c>
      <c r="D8" s="13" t="s">
        <v>60</v>
      </c>
    </row>
    <row r="9" spans="1:4">
      <c r="A9" s="13" t="s">
        <v>61</v>
      </c>
      <c r="B9" s="13" t="s">
        <v>62</v>
      </c>
      <c r="C9" s="13" t="s">
        <v>63</v>
      </c>
      <c r="D9" s="13" t="s">
        <v>64</v>
      </c>
    </row>
    <row r="10" spans="1:4">
      <c r="A10" s="13" t="s">
        <v>65</v>
      </c>
      <c r="B10" s="13" t="s">
        <v>66</v>
      </c>
      <c r="C10" s="13" t="s">
        <v>67</v>
      </c>
      <c r="D10" s="13" t="s">
        <v>68</v>
      </c>
    </row>
    <row r="11" spans="1:4">
      <c r="A11" s="13" t="s">
        <v>69</v>
      </c>
      <c r="B11" s="13" t="s">
        <v>70</v>
      </c>
      <c r="C11" s="13" t="s">
        <v>71</v>
      </c>
      <c r="D11" s="13" t="s">
        <v>72</v>
      </c>
    </row>
    <row r="12" spans="1:4">
      <c r="A12" s="13" t="s">
        <v>73</v>
      </c>
      <c r="B12" s="13" t="s">
        <v>74</v>
      </c>
      <c r="C12" s="13" t="s">
        <v>75</v>
      </c>
      <c r="D12" s="13" t="s">
        <v>76</v>
      </c>
    </row>
    <row r="13" spans="1:4">
      <c r="A13" s="13" t="s">
        <v>77</v>
      </c>
      <c r="B13" s="14" t="s">
        <v>78</v>
      </c>
      <c r="C13" s="15" t="s">
        <v>79</v>
      </c>
      <c r="D13" s="9" t="s">
        <v>80</v>
      </c>
    </row>
    <row r="14" spans="1:4">
      <c r="A14" s="13" t="s">
        <v>81</v>
      </c>
      <c r="B14" s="13" t="s">
        <v>82</v>
      </c>
      <c r="C14" s="13" t="s">
        <v>83</v>
      </c>
      <c r="D14" s="13" t="s">
        <v>84</v>
      </c>
    </row>
    <row r="15" spans="1:4">
      <c r="A15" s="13" t="s">
        <v>85</v>
      </c>
      <c r="B15" s="13" t="s">
        <v>86</v>
      </c>
      <c r="C15" s="13" t="s">
        <v>87</v>
      </c>
      <c r="D15" s="13" t="s">
        <v>88</v>
      </c>
    </row>
    <row r="17" spans="1:4">
      <c r="A17" s="3" t="s">
        <v>89</v>
      </c>
    </row>
    <row r="18" spans="1:4">
      <c r="A18" s="13" t="s">
        <v>90</v>
      </c>
      <c r="B18" s="13" t="s">
        <v>58</v>
      </c>
      <c r="C18" s="13" t="s">
        <v>91</v>
      </c>
      <c r="D18" s="13" t="s">
        <v>58</v>
      </c>
    </row>
    <row r="19" spans="1:4">
      <c r="A19" s="8" t="s">
        <v>92</v>
      </c>
      <c r="C19" s="9" t="s">
        <v>93</v>
      </c>
    </row>
    <row r="20" spans="1:4">
      <c r="A20" t="s">
        <v>94</v>
      </c>
      <c r="C20" s="13" t="s">
        <v>95</v>
      </c>
    </row>
    <row r="22" spans="1:4">
      <c r="A22" s="3" t="s">
        <v>96</v>
      </c>
    </row>
    <row r="23" spans="1:4">
      <c r="A23" s="8" t="s">
        <v>97</v>
      </c>
      <c r="B23" s="8"/>
      <c r="C23" s="8"/>
      <c r="D23" s="8"/>
    </row>
    <row r="24" spans="1:4">
      <c r="A24" s="13" t="s">
        <v>98</v>
      </c>
      <c r="B24" s="13"/>
      <c r="C24" s="13"/>
      <c r="D24" s="13"/>
    </row>
    <row r="25" spans="1:4">
      <c r="A25" s="13"/>
      <c r="B25" s="13"/>
      <c r="C25" s="13"/>
      <c r="D25" s="13"/>
    </row>
    <row r="26" spans="1:4">
      <c r="A26" s="8" t="s">
        <v>99</v>
      </c>
      <c r="B26" s="8"/>
      <c r="C26" s="8"/>
      <c r="D26" s="8"/>
    </row>
    <row r="27" spans="1:4">
      <c r="A27" s="13" t="s">
        <v>100</v>
      </c>
      <c r="B27" s="13"/>
      <c r="C27" s="13"/>
      <c r="D27" s="13"/>
    </row>
    <row r="28" spans="1:4">
      <c r="A28" s="13"/>
      <c r="B28" s="13"/>
      <c r="C28" s="13"/>
      <c r="D28" s="13"/>
    </row>
    <row r="29" spans="1:4">
      <c r="A29" s="8" t="s">
        <v>101</v>
      </c>
      <c r="B29" s="8"/>
      <c r="C29" s="8"/>
      <c r="D29" s="8"/>
    </row>
    <row r="30" spans="1:4">
      <c r="A30" s="13" t="s">
        <v>102</v>
      </c>
      <c r="B30" s="13"/>
      <c r="C30" s="13"/>
      <c r="D30" s="13"/>
    </row>
    <row r="31" spans="1:4">
      <c r="A31" s="13"/>
      <c r="B31" s="13"/>
      <c r="C31" s="13"/>
      <c r="D31" s="13"/>
    </row>
  </sheetData>
  <mergeCells count="6">
    <mergeCell ref="A23:D23"/>
    <mergeCell ref="A24:D25"/>
    <mergeCell ref="A26:D26"/>
    <mergeCell ref="A27:D28"/>
    <mergeCell ref="A29:D29"/>
    <mergeCell ref="A30:D31"/>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21"/>
  <sheetViews>
    <sheetView workbookViewId="0"/>
  </sheetViews>
  <sheetFormatPr defaultRowHeight="15"/>
  <cols>
    <col min="1" max="6" width="14.7109375" customWidth="1"/>
  </cols>
  <sheetData>
    <row r="1" spans="1:6">
      <c r="A1" s="1" t="s">
        <v>103</v>
      </c>
    </row>
    <row r="2" spans="1:6">
      <c r="A2" s="2" t="s">
        <v>104</v>
      </c>
    </row>
    <row r="3" spans="1:6">
      <c r="A3" s="2" t="s">
        <v>105</v>
      </c>
    </row>
    <row r="5" spans="1:6">
      <c r="A5" s="16" t="s">
        <v>106</v>
      </c>
      <c r="B5" s="16">
        <v>0.02</v>
      </c>
      <c r="C5" s="16">
        <v>0.025</v>
      </c>
      <c r="D5" s="16">
        <v>0.03</v>
      </c>
      <c r="E5" s="16">
        <v>0.035</v>
      </c>
      <c r="F5" s="16">
        <v>0.04</v>
      </c>
    </row>
    <row r="6" spans="1:6">
      <c r="A6" s="16">
        <v>0.08</v>
      </c>
      <c r="B6" s="17">
        <v>167.36</v>
      </c>
      <c r="C6" s="17">
        <v>180</v>
      </c>
      <c r="D6" s="17">
        <v>195.18</v>
      </c>
      <c r="E6" s="17">
        <v>213.72</v>
      </c>
      <c r="F6" s="17">
        <v>236.9</v>
      </c>
    </row>
    <row r="7" spans="1:6">
      <c r="A7" s="16">
        <v>0.09</v>
      </c>
      <c r="B7" s="17">
        <v>142.52</v>
      </c>
      <c r="C7" s="17">
        <v>151.35</v>
      </c>
      <c r="D7" s="17">
        <v>161.66</v>
      </c>
      <c r="E7" s="17">
        <v>173.85</v>
      </c>
      <c r="F7" s="17">
        <v>188.47</v>
      </c>
    </row>
    <row r="8" spans="1:6">
      <c r="A8" s="16">
        <v>0.1</v>
      </c>
      <c r="B8" s="17">
        <v>123.92</v>
      </c>
      <c r="C8" s="17">
        <v>130.38</v>
      </c>
      <c r="D8" s="17">
        <v>137.77</v>
      </c>
      <c r="E8" s="17">
        <v>146.29</v>
      </c>
      <c r="F8" s="17">
        <v>156.23</v>
      </c>
    </row>
    <row r="9" spans="1:6">
      <c r="A9" s="16">
        <v>0.11</v>
      </c>
      <c r="B9" s="18">
        <v>109.49</v>
      </c>
      <c r="C9" s="18">
        <v>114.38</v>
      </c>
      <c r="D9" s="17">
        <v>119.88</v>
      </c>
      <c r="E9" s="17">
        <v>126.11</v>
      </c>
      <c r="F9" s="17">
        <v>133.24</v>
      </c>
    </row>
    <row r="10" spans="1:6">
      <c r="A10" s="16">
        <v>0.12</v>
      </c>
      <c r="B10" s="18">
        <v>97.95999999999999</v>
      </c>
      <c r="C10" s="18">
        <v>101.75</v>
      </c>
      <c r="D10" s="18">
        <v>105.97</v>
      </c>
      <c r="E10" s="18">
        <v>110.69</v>
      </c>
      <c r="F10" s="18">
        <v>115.99</v>
      </c>
    </row>
    <row r="12" spans="1:6">
      <c r="A12" s="8" t="s">
        <v>107</v>
      </c>
    </row>
    <row r="13" spans="1:6">
      <c r="A13" s="19" t="s">
        <v>108</v>
      </c>
    </row>
    <row r="14" spans="1:6">
      <c r="A14" s="20" t="s">
        <v>109</v>
      </c>
    </row>
    <row r="15" spans="1:6">
      <c r="A15" s="21" t="s">
        <v>110</v>
      </c>
    </row>
    <row r="17" spans="1:6">
      <c r="A17" s="8" t="s">
        <v>111</v>
      </c>
    </row>
    <row r="18" spans="1:6">
      <c r="A18" s="8" t="s">
        <v>112</v>
      </c>
    </row>
    <row r="20" spans="1:6">
      <c r="A20" s="8" t="s">
        <v>113</v>
      </c>
    </row>
    <row r="21" spans="1:6">
      <c r="A21" s="2" t="s">
        <v>114</v>
      </c>
      <c r="B21" s="2"/>
      <c r="C21" s="2"/>
      <c r="D21" s="2"/>
      <c r="E21" s="2"/>
      <c r="F21" s="2"/>
    </row>
  </sheetData>
  <mergeCells count="1">
    <mergeCell ref="A21:F21"/>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31"/>
  <sheetViews>
    <sheetView workbookViewId="0"/>
  </sheetViews>
  <sheetFormatPr defaultRowHeight="15"/>
  <cols>
    <col min="1" max="1" width="25.7109375" customWidth="1"/>
    <col min="2" max="3" width="16.7109375" customWidth="1"/>
  </cols>
  <sheetData>
    <row r="1" spans="1:3">
      <c r="A1" s="1" t="s">
        <v>115</v>
      </c>
    </row>
    <row r="3" spans="1:3">
      <c r="A3" s="3" t="s">
        <v>116</v>
      </c>
    </row>
    <row r="5" spans="1:3">
      <c r="A5" s="7" t="s">
        <v>42</v>
      </c>
      <c r="B5" s="7" t="s">
        <v>117</v>
      </c>
      <c r="C5" s="7" t="s">
        <v>118</v>
      </c>
    </row>
    <row r="6" spans="1:3">
      <c r="A6" s="13" t="s">
        <v>119</v>
      </c>
      <c r="B6" s="12">
        <v>0.23</v>
      </c>
      <c r="C6" s="12">
        <v>0.264</v>
      </c>
    </row>
    <row r="7" spans="1:3">
      <c r="A7" s="13" t="s">
        <v>120</v>
      </c>
      <c r="B7" s="12">
        <v>0.236</v>
      </c>
      <c r="C7" s="12">
        <v>0.231</v>
      </c>
    </row>
    <row r="8" spans="1:3">
      <c r="A8" s="13" t="s">
        <v>121</v>
      </c>
      <c r="B8" s="12">
        <v>0.602</v>
      </c>
      <c r="C8" s="12">
        <v>0.185</v>
      </c>
    </row>
    <row r="9" spans="1:3">
      <c r="A9" s="13" t="s">
        <v>122</v>
      </c>
      <c r="B9" s="22" t="s">
        <v>123</v>
      </c>
      <c r="C9" s="22" t="s">
        <v>124</v>
      </c>
    </row>
    <row r="11" spans="1:3">
      <c r="A11" s="8" t="s">
        <v>125</v>
      </c>
      <c r="B11" s="11">
        <v>0.236</v>
      </c>
    </row>
    <row r="12" spans="1:3">
      <c r="A12" s="13" t="s">
        <v>126</v>
      </c>
      <c r="B12" s="13" t="s">
        <v>127</v>
      </c>
    </row>
    <row r="13" spans="1:3">
      <c r="A13" s="3" t="s">
        <v>128</v>
      </c>
    </row>
    <row r="15" spans="1:3">
      <c r="A15" s="7" t="s">
        <v>129</v>
      </c>
      <c r="B15" s="23" t="s">
        <v>130</v>
      </c>
    </row>
    <row r="16" spans="1:3">
      <c r="A16" s="13" t="s">
        <v>131</v>
      </c>
      <c r="B16" s="13" t="s">
        <v>132</v>
      </c>
    </row>
    <row r="17" spans="1:3">
      <c r="A17" s="13" t="s">
        <v>133</v>
      </c>
      <c r="B17" s="13" t="s">
        <v>134</v>
      </c>
    </row>
    <row r="18" spans="1:3">
      <c r="A18" s="13" t="s">
        <v>135</v>
      </c>
      <c r="B18" s="13" t="s">
        <v>136</v>
      </c>
    </row>
    <row r="19" spans="1:3">
      <c r="A19" s="13" t="s">
        <v>137</v>
      </c>
      <c r="B19" s="13" t="s">
        <v>138</v>
      </c>
    </row>
    <row r="20" spans="1:3">
      <c r="A20" s="13" t="s">
        <v>139</v>
      </c>
      <c r="B20" s="13" t="s">
        <v>140</v>
      </c>
    </row>
    <row r="21" spans="1:3">
      <c r="A21" s="13" t="s">
        <v>141</v>
      </c>
      <c r="B21" s="13" t="s">
        <v>142</v>
      </c>
    </row>
    <row r="23" spans="1:3">
      <c r="A23" s="8" t="s">
        <v>143</v>
      </c>
    </row>
    <row r="24" spans="1:3">
      <c r="A24" s="24" t="s">
        <v>144</v>
      </c>
      <c r="B24" s="24"/>
    </row>
    <row r="25" spans="1:3">
      <c r="A25" s="24"/>
      <c r="B25" s="24"/>
    </row>
    <row r="26" spans="1:3">
      <c r="A26" s="24"/>
      <c r="B26" s="24"/>
    </row>
    <row r="27" spans="1:3">
      <c r="A27" s="3" t="s">
        <v>145</v>
      </c>
    </row>
    <row r="29" spans="1:3">
      <c r="A29" s="25" t="s">
        <v>146</v>
      </c>
      <c r="B29" s="25"/>
      <c r="C29" s="25"/>
    </row>
    <row r="31" spans="1:3">
      <c r="A31" s="25" t="s">
        <v>147</v>
      </c>
      <c r="B31" s="25"/>
      <c r="C31" s="25"/>
    </row>
  </sheetData>
  <mergeCells count="3">
    <mergeCell ref="A24:B26"/>
    <mergeCell ref="A29:C29"/>
    <mergeCell ref="A31:C3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DCF Model</vt:lpstr>
      <vt:lpstr>Scenarios</vt:lpstr>
      <vt:lpstr>Sensitivity</vt:lpstr>
      <vt:lpstr>Historical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2026-06-30T09:43:22Z</dcterms:created>
  <dcterms:modified xsi:type="dcterms:W3CDTF">2026-06-30T09:43:22Z</dcterms:modified>
</cp:coreProperties>
</file>