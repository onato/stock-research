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<sst xmlns="http://schemas.openxmlformats.org/spreadsheetml/2006/main" count="383" uniqueCount="188">
  <si>
    <t xml:space="preserve">Ticker</t>
  </si>
  <si>
    <t xml:space="preserve">FPH.AX</t>
  </si>
  <si>
    <t xml:space="preserve">Company</t>
  </si>
  <si>
    <t xml:space="preserve">Fisher &amp; Paykel Healthcare Corporation Limited</t>
  </si>
  <si>
    <t xml:space="preserve">Valuation date</t>
  </si>
  <si>
    <t xml:space="preserve">2026-09-22</t>
  </si>
  <si>
    <t xml:space="preserve">Current price</t>
  </si>
  <si>
    <t xml:space="preserve">Price as of</t>
  </si>
  <si>
    <t xml:space="preserve">2026-09-22T06:10:05Z (ASX regular close)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</si>
  <si>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</si>
  <si>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</si>
  <si>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</si>
  <si>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</si>
  <si>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</si>
  <si>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NZD</t>
  </si>
  <si>
    <t xml:space="preserve">Currency (quote)</t>
  </si>
  <si>
    <t xml:space="preserve">AUD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</si>
  <si>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</si>
  <si>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</si>
  <si>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</si>
  <si>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</si>
  <si>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</si>
  <si>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2026-09-22T11:40:36Z</t>
  </si>
  <si>
    <t xml:space="preserve">Drivers file</t>
  </si>
  <si>
    <t xml:space="preserve">FPH.AX_Drivers.json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</si>
  <si>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</si>
  <si>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</si>
  <si>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</si>
  <si>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component-built owner-FCF DCF at a currency-matched 9.0% NZD WACC values FPH at roughly half the ASX price, in line with the companion FPH.NZ valuation. This is the honest output of capitalising the cash flows at a market-consistent discount rate, not a modelling defect: FPH has traded at 30-60x trailing earnings and ~30x EV/EBITDA for most of its listed history because the market accepts a forward IRR well below 9% to own a scarce, net-cash, razor/razorblade global compounder. The sensitivity grid and bull case show what has to be true to reach the price (EBITDA margins near 40%, double-digit growth for four years and a terminal growth rate above 4%, or a WACC around 7%). Treat the DCF as the conservative anchor and the ASX price as embedding a persistent scarcity/quality premium; for an ASX holder the AUD/NZD cross adds a translation layer on top of the underlying NZD result.
key_risks_to_valuation: FX: ~99% of revenue is non-NZD (USD ~50%, EUR ~20%) against a NZD/MXN cost base; a 5% stronger NZD is worth roughly 2pp of reported EBITDA margin once hedges roll off, and the AUD quote adds NZD/AUD translation for ASX holders; US tariff policy on NZ- and Mexico-sourced hospital product: the FY2027 IEEPA refund is one-off and the modelled margins assume current tariff rates persist; Capex supercycle: fifth East Tamaki building and Karaka campus keep capex at 9.5-11% of revenue through FY2028; overruns or delayed revenue from the new capacity compress FCF conversion; Terminal value is ~60-65% of enterprise value; each 50bp of terminal growth or WACC moves the base IV by roughly 8-10%; Competitive cadence in OSA masks (ResMed, Philips) and hospital respiratory (Vyaire, Getinge, Draeger); a product recall (FY2024 precedent) or IP litigation would hit both margins and multiple; Multiple compression independent of operations: the market price sits far above every scenario, so a de-rating toward the DCF band needs no operating disappointment to occur</t>
  </si>
  <si>
    <t xml:space="preserve">Data sources</t>
  </si>
  <si>
    <t xml:space="preserve">price: Yahoo Finance chart API (FPH.AX, AUD) at inputs.price_as_of, regular ASX close; 52-week range 26.51-37.71. FX from Yahoo NZDAUD=X, parity-checked against FPH.NZ (see inputs.fx_note).
financials: FY2026 annual report (year ended 31 March 2026, NZD millions): income statement, balance sheet, cash flow statement and reconciliation, note 12 (borrowings and leases), note 16 (diluted shares). History FY2018-FY2026 (18 periods incl. half-years) from research/FPH.AX/Reports/FPH.AX_Metrics.csv and its CashTaxesPaid / InterestIncome / Depreciation KPIs; FY2026 and H1 FY2026 rows added 2026-09-22 and reconciled to the anchors above.
qualitative: research/FPH.AX/Reports/FPH.AX_Analysis.json (2026-09-22): guidance block (H1 FY2027 guidance update, 21 Aug 2026), growth drivers, bull/bear cases, risks. Driver judgments cross-referenced to research/FPH.NZ/Reports/FPH.NZ_DCF.json (2026-08-11).</t>
  </si>
  <si>
    <t xml:space="preserve">Scenario narrative: bear</t>
  </si>
  <si>
    <t xml:space="preserve">Revenue growth halves to mid-single digits: US hospital admission normalisation and a slower ED/COPD adoption curve blunt Hospital consumables, ResMed's AirSense/mask cadence and a recovered Philips cap Homecare share, and reported margins are compressed by a stronger NZD and new US tariffs on NZ- and Mexico-made product that the IEEPA refund does not protect against. EBITDA settles at ~33%, capex overruns at East Tamaki/Karaka absorb cash through FY2029, and the market's willingness to pay a scarcity premium fades; terminal value is capped at 15x owner FCF.</t>
  </si>
  <si>
    <t xml:space="preserve">Scenario narrative: base</t>
  </si>
  <si>
    <t xml:space="preserve">FPH compounds revenue at ~9-10% for the next four years on the two axes that have driven it for a decade: 'changing clinical practice' pulling nasal high flow (Optiflow/Airvo 3, F&amp;P 950) into emergency, COPD, post-operative and anesthesia use, and a steady OSA mask cadence (Nova Nasal, Nova Micro, Vitera, Evora, Solo) holding a top-3 share against ResMed and Philips. Consumables (~90% of both segments) keep growth largely independent of hospital admission seasons. Gross margin climbs toward the 65% constant-currency target from 63.7%, taking EBITDA from 34.4% to 36.5%. Capex runs hot at 9.5-9.8% of revenue through FY2028 for the fifth East Tamaki building and Karaka, then normalises. Growth consumes working capital at 10% of the revenue increase. Terminal value is the lower of Gordon at 3.5%/9.0% and 20x owner FCF.</t>
  </si>
  <si>
    <t xml:space="preserve">Scenario narrative: bull</t>
  </si>
  <si>
    <t xml:space="preserve">The December-2024 JAMA trial and GOLD guidance make nasal high flow the default therapy for hypoxemic respiratory failure across US and European EDs, hospital hardware placements (Airvo 3, 950) seed a step-up in consumables, Nova Micro takes OSA share, and the Guangzhou site opens China at scale. Gross margin reaches 65% by FY2030 and opex leverage lifts EBITDA to 39.5%; capex intensity falls below 6% once the campus programme completes; growth stays double-digit for four years. The 4.0% terminal growth reflects the NZ$25bn+ addressable market against ~NZ$2.3bn of revenue.</t>
  </si>
  <si>
    <t xml:space="preserve">Item</t>
  </si>
  <si>
    <t xml:space="preserve">Value</t>
  </si>
  <si>
    <t xml:space="preserve">Note</t>
  </si>
  <si>
    <t xml:space="preserve">Prior valuation_date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</si>
  <si>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</si>
  <si>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</si>
  <si>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</si>
  <si>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</si>
  <si>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</si>
  <si>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Prior note</t>
  </si>
  <si>
    <t xml:space="preserve">Same-day fresh build earlier in this session, before FY2026/H1 FY2026 were loaded into the FPH.AX Metrics.csv and before SharesOutstanding was rescaled to millions. Per-share values in AUD (quote currency); NZD twins were bear 12.31 / base 20.91 / bull 28.45 / weighted 21.46.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</si>
  <si>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</si>
  <si>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</si>
  <si>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</si>
  <si>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</si>
  <si>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</si>
  <si>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</si>
  <si>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</si>
  <si>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</t>
  </si>
  <si>
    <t xml:space="preserve">FY0 anchor: already FY2026 in the prior build (base revenue 2308.4, FY2027 = year 1); CSV FY2026 row confirms every anchor, no change</t>
  </si>
  <si>
    <t xml:space="preserve">Share count: prior file already carried 591.0m diluted in millions; CSV rescale (raw count -&gt; millions) affects sanity_check market cap only, not the DCF</t>
  </si>
  <si>
    <t xml:space="preserve">Price and FX: ASX close unchanged; NZDAUD 0.8056 vs 0.8055 used, left unchanged (0.01%)</t>
  </si>
  <si>
    <t xml:space="preserve">Driver paths: all scenarios unchanged (WACC 9.0% NZD, lease treatment B, wc_capture -10%, 36.5% margin maturity, 3.5% terminal growth, 20x cap, weights 20/50/30); FY2027 guidance was already in the year-1 growth/margin</t>
  </si>
  <si>
    <t xml:space="preserve">New weighted IV</t>
  </si>
  <si>
    <t xml:space="preserve">ties to probability_weighted.weighted_iv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</si>
  <si>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</si>
  <si>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</si>
  <si>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</si>
  <si>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</si>
  <si>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</si>
  <si>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</si>
  <si>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</si>
  <si>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</si>
  <si>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</si>
  <si>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</si>
  <si>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</si>
  <si>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</si>
  <si>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</si>
  <si>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</si>
  <si>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</si>
  <si>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</si>
  <si>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</si>
  <si>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</si>
  <si>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</si>
  <si>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</si>
  <si>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</si>
  <si>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</si>
  <si>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</si>
  <si>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</si>
  <si>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</si>
  <si>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</si>
  <si>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</si>
  <si>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</si>
  <si>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</si>
  <si>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</si>
  <si>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</si>
  <si>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</si>
  <si>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</si>
  <si>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</si>
  <si>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</si>
  <si>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</si>
  <si>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</si>
  <si>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</si>
  <si>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</si>
  <si>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</si>
  <si>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</si>
  <si>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</si>
  <si>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</si>
  <si>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</si>
  <si>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</si>
  <si>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NZD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</si>
  <si>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</si>
  <si>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</si>
  <si>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</si>
  <si>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</si>
  <si>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</si>
  <si>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</si>
  <si>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</si>
  <si>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</si>
  <si>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</si>
  <si>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</si>
  <si>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</si>
  <si>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</si>
  <si>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</si>
  <si>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</si>
  <si>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</si>
  <si>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</si>
  <si>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</si>
  <si>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</si>
  <si>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</si>
  <si>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</si>
  <si>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</si>
  <si>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</si>
  <si>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</si>
  <si>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</si>
  <si>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</si>
  <si>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</si>
  <si>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FPH.AX owner-FCF component DCF: bear case (millions, NZD)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</si>
  <si>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</si>
  <si>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</si>
  <si>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</si>
  <si>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</si>
  <si>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</si>
  <si>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</si>
  <si>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</si>
  <si>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</si>
  <si>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</si>
  <si>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</si>
  <si>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</si>
  <si>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</si>
  <si>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</si>
  <si>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</si>
  <si>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</si>
  <si>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</si>
  <si>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</si>
  <si>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</si>
  <si>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</si>
  <si>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</si>
  <si>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</si>
  <si>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</si>
  <si>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</si>
  <si>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</si>
  <si>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</si>
  <si>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</si>
  <si>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</si>
  <si>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</si>
  <si>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</si>
  <si>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</si>
  <si>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FPH.AX owner-FCF component DCF: base case (millions, NZD)</t>
  </si>
  <si>
    <t xml:space="preserve">FPH.AX owner-FCF component DCF: bull case (millions, NZD)</t>
  </si>
  <si>
    <t xml:space="preserve">FPH.AX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</si>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</sst>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36.2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</row>
    <row r="2" customFormat="false" ht="15" hidden="false" customHeight="false" outlineLevel="0" collapsed="false">
      <c r="A2" s="0" t="s">
        <v>40</v>
      </c>
      <c r="B2" s="0" t="s">
        <v>5</v>
      </c>
    </row>
    <row r="3" customFormat="false" ht="15" hidden="false" customHeight="false" outlineLevel="0" collapsed="false">
      <c r="A3" s="0" t="s">
        <v>41</v>
      </c>
      <c r="B3" s="0" t="n">
        <v>36.2</v>
      </c>
    </row>
    <row r="4" customFormat="false" ht="15" hidden="false" customHeight="false" outlineLevel="0" collapsed="false">
      <c r="A4" s="0" t="s">
        <v>42</v>
      </c>
      <c r="B4" s="0" t="n">
        <v>9.92</v>
      </c>
    </row>
    <row r="5" customFormat="false" ht="15" hidden="false" customHeight="false" outlineLevel="0" collapsed="false">
      <c r="A5" s="0" t="s">
        <v>43</v>
      </c>
      <c r="B5" s="0" t="n">
        <v>16.85</v>
      </c>
    </row>
    <row r="6" customFormat="false" ht="15" hidden="false" customHeight="false" outlineLevel="0" collapsed="false">
      <c r="A6" s="0" t="s">
        <v>44</v>
      </c>
      <c r="B6" s="0" t="n">
        <v>22.92</v>
      </c>
    </row>
    <row r="7" customFormat="false" ht="15" hidden="false" customHeight="false" outlineLevel="0" collapsed="false">
      <c r="A7" s="0" t="s">
        <v>45</v>
      </c>
      <c r="B7" s="0" t="n">
        <v>17.28</v>
      </c>
    </row>
    <row r="8" customFormat="false" ht="15" hidden="false" customHeight="false" outlineLevel="0" collapsed="false">
      <c r="A8" s="0" t="s">
        <v>46</v>
      </c>
      <c r="B8" s="0" t="s">
        <v>47</v>
      </c>
    </row>
    <row r="9" customFormat="false" ht="15" hidden="false" customHeight="false" outlineLevel="0" collapsed="false">
      <c r="A9" s="0" t="s">
        <v>48</v>
      </c>
      <c r="B9" s="0" t="s">
        <v>5</v>
      </c>
    </row>
    <row r="10" customFormat="false" ht="15" hidden="false" customHeight="false" outlineLevel="0" collapsed="false">
      <c r="A10" s="0" t="s">
        <v>49</v>
      </c>
      <c r="B10" s="0" t="n">
        <v>36.2</v>
      </c>
    </row>
    <row r="11" customFormat="false" ht="15" hidden="false" customHeight="false" outlineLevel="0" collapsed="false">
      <c r="A11" s="0" t="s">
        <v>50</v>
      </c>
      <c r="B11" s="0" t="n">
        <v>9.92</v>
      </c>
    </row>
    <row r="12" customFormat="false" ht="15" hidden="false" customHeight="false" outlineLevel="0" collapsed="false">
      <c r="A12" s="0" t="s">
        <v>51</v>
      </c>
      <c r="B12" s="0" t="n">
        <v>16.85</v>
      </c>
    </row>
    <row r="13" customFormat="false" ht="15" hidden="false" customHeight="false" outlineLevel="0" collapsed="false">
      <c r="A13" s="0" t="s">
        <v>52</v>
      </c>
      <c r="B13" s="0" t="n">
        <v>22.92</v>
      </c>
    </row>
    <row r="14" customFormat="false" ht="15" hidden="false" customHeight="false" outlineLevel="0" collapsed="false">
      <c r="A14" s="0" t="s">
        <v>53</v>
      </c>
      <c r="B14" s="0" t="n">
        <v>17.28</v>
      </c>
    </row>
    <row r="16" customFormat="false" ht="15" hidden="false" customHeight="false" outlineLevel="0" collapsed="false">
      <c r="A16" s="2" t="s">
        <v>54</v>
      </c>
    </row>
    <row r="17" customFormat="false" ht="15" hidden="false" customHeight="false" outlineLevel="0" collapsed="false">
      <c r="A17" s="0" t="s">
        <v>55</v>
      </c>
      <c r="B17" s="0" t="n">
        <v>17.28</v>
      </c>
    </row>
    <row r="18" customFormat="false" ht="15" hidden="false" customHeight="false" outlineLevel="0" collapsed="false">
      <c r="A18" s="0" t="s">
        <v>56</v>
      </c>
      <c r="B18" s="0" t="n">
        <v>0</v>
      </c>
    </row>
    <row r="19" customFormat="false" ht="15" hidden="false" customHeight="false" outlineLevel="0" collapsed="false">
      <c r="A19" s="0" t="s">
        <v>57</v>
      </c>
      <c r="B19" s="0" t="n">
        <v>0</v>
      </c>
    </row>
    <row r="20" customFormat="false" ht="15" hidden="false" customHeight="false" outlineLevel="0" collapsed="false">
      <c r="A20" s="0" t="s">
        <v>58</v>
      </c>
      <c r="B20" s="0" t="n">
        <v>0</v>
      </c>
    </row>
    <row r="21" customFormat="false" ht="15" hidden="false" customHeight="false" outlineLevel="0" collapsed="false">
      <c r="A21" s="0" t="s">
        <v>59</v>
      </c>
      <c r="B21" s="0" t="n">
        <v>0</v>
      </c>
    </row>
    <row r="22" customFormat="false" ht="15" hidden="false" customHeight="false" outlineLevel="0" collapsed="false">
      <c r="A22" s="0" t="s">
        <v>60</v>
      </c>
      <c r="B22" s="0" t="n">
        <v>17.28</v>
      </c>
      <c r="C22" s="0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17</v>
      </c>
      <c r="AB1" s="2" t="s">
        <v>88</v>
      </c>
    </row>
    <row r="2" customFormat="false" ht="15" hidden="false" customHeight="false" outlineLevel="0" collapsed="false">
      <c r="A2" s="0" t="s">
        <v>89</v>
      </c>
      <c r="B2" s="0" t="n">
        <v>980.8</v>
      </c>
      <c r="C2" s="0" t="n">
        <v>-330.4</v>
      </c>
      <c r="D2" s="0" t="n">
        <v>650.4</v>
      </c>
      <c r="E2" s="0" t="n">
        <v>66.3</v>
      </c>
      <c r="F2" s="0" t="n">
        <v>269.8</v>
      </c>
      <c r="G2" s="0" t="n">
        <v>27.5</v>
      </c>
      <c r="H2" s="0" t="n">
        <v>314.4</v>
      </c>
      <c r="I2" s="0" t="n">
        <v>190.2</v>
      </c>
      <c r="J2" s="0" t="n">
        <v>19.4</v>
      </c>
      <c r="K2" s="0" t="n">
        <v>0.334</v>
      </c>
      <c r="L2" s="0" t="n">
        <v>247.8</v>
      </c>
      <c r="M2" s="0" t="n">
        <v>-98.7</v>
      </c>
      <c r="N2" s="0" t="n">
        <v>149.1</v>
      </c>
      <c r="O2" s="0" t="n">
        <v>761.4</v>
      </c>
      <c r="P2" s="0" t="n">
        <v>1025.1</v>
      </c>
      <c r="Q2" s="0" t="n">
        <v>263.7</v>
      </c>
      <c r="R2" s="0" t="n">
        <v>82.4</v>
      </c>
      <c r="S2" s="0" t="n">
        <v>31.9</v>
      </c>
      <c r="T2" s="0" t="n">
        <v>571.230264</v>
      </c>
      <c r="U2" s="0" t="n">
        <v>4.9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90</v>
      </c>
      <c r="B3" s="0" t="n">
        <v>1070.4</v>
      </c>
      <c r="C3" s="0" t="n">
        <v>-354.6</v>
      </c>
      <c r="D3" s="0" t="n">
        <v>715.8</v>
      </c>
      <c r="E3" s="0" t="n">
        <v>66.9</v>
      </c>
      <c r="F3" s="0" t="n">
        <v>292.6</v>
      </c>
      <c r="G3" s="0" t="n">
        <v>27.3</v>
      </c>
      <c r="H3" s="0" t="n">
        <v>334.3</v>
      </c>
      <c r="I3" s="0" t="n">
        <v>209.2</v>
      </c>
      <c r="J3" s="0" t="n">
        <v>19.5</v>
      </c>
      <c r="K3" s="0" t="n">
        <v>0.365</v>
      </c>
      <c r="L3" s="0" t="n">
        <v>253.3</v>
      </c>
      <c r="M3" s="0" t="n">
        <v>-133.3</v>
      </c>
      <c r="N3" s="0" t="n">
        <v>120</v>
      </c>
      <c r="O3" s="0" t="n">
        <v>913.2</v>
      </c>
      <c r="P3" s="0" t="n">
        <v>1206.7</v>
      </c>
      <c r="Q3" s="0" t="n">
        <v>293.5</v>
      </c>
      <c r="R3" s="0" t="n">
        <v>86.3</v>
      </c>
      <c r="S3" s="0" t="n">
        <v>48.2</v>
      </c>
      <c r="T3" s="0" t="n">
        <v>573.708739</v>
      </c>
      <c r="U3" s="0" t="n">
        <v>5.5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91</v>
      </c>
      <c r="B4" s="0" t="n">
        <v>1263.7</v>
      </c>
      <c r="C4" s="0" t="n">
        <v>-427.9</v>
      </c>
      <c r="D4" s="0" t="n">
        <v>835.8</v>
      </c>
      <c r="E4" s="0" t="n">
        <v>66.1</v>
      </c>
      <c r="F4" s="0" t="n">
        <v>379.3</v>
      </c>
      <c r="G4" s="0" t="n">
        <v>30</v>
      </c>
      <c r="H4" s="0" t="n">
        <v>440.3</v>
      </c>
      <c r="I4" s="0" t="n">
        <v>287.3</v>
      </c>
      <c r="J4" s="0" t="n">
        <v>22.7</v>
      </c>
      <c r="K4" s="0" t="n">
        <v>0.5</v>
      </c>
      <c r="L4" s="0" t="n">
        <v>321.4</v>
      </c>
      <c r="M4" s="0" t="n">
        <v>-170.7</v>
      </c>
      <c r="N4" s="0" t="n">
        <v>150.7</v>
      </c>
      <c r="O4" s="0" t="n">
        <v>973.8</v>
      </c>
      <c r="P4" s="0" t="n">
        <v>1435</v>
      </c>
      <c r="Q4" s="0" t="n">
        <v>461.2</v>
      </c>
      <c r="R4" s="0" t="n">
        <v>102.6</v>
      </c>
      <c r="S4" s="0" t="n">
        <v>67.1</v>
      </c>
      <c r="T4" s="0" t="n">
        <v>574.570603</v>
      </c>
      <c r="U4" s="0" t="n">
        <v>6.1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92</v>
      </c>
      <c r="B5" s="0" t="n">
        <v>1971.2</v>
      </c>
      <c r="C5" s="0" t="n">
        <v>-725.6</v>
      </c>
      <c r="D5" s="0" t="n">
        <v>1245.6</v>
      </c>
      <c r="E5" s="0" t="n">
        <v>63.2</v>
      </c>
      <c r="F5" s="0" t="n">
        <v>712.3</v>
      </c>
      <c r="G5" s="0" t="n">
        <v>36.1</v>
      </c>
      <c r="H5" s="0" t="n">
        <v>797.3</v>
      </c>
      <c r="I5" s="0" t="n">
        <v>524.2</v>
      </c>
      <c r="J5" s="0" t="n">
        <v>26.6</v>
      </c>
      <c r="K5" s="0" t="n">
        <v>0.911</v>
      </c>
      <c r="L5" s="0" t="n">
        <v>625.3</v>
      </c>
      <c r="M5" s="0" t="n">
        <v>-184.7</v>
      </c>
      <c r="N5" s="0" t="n">
        <v>440.6</v>
      </c>
      <c r="O5" s="0" t="n">
        <v>1520.9</v>
      </c>
      <c r="P5" s="0" t="n">
        <v>2075</v>
      </c>
      <c r="Q5" s="0" t="n">
        <v>554.1</v>
      </c>
      <c r="R5" s="0" t="n">
        <v>74.7</v>
      </c>
      <c r="S5" s="0" t="n">
        <v>97.3</v>
      </c>
      <c r="T5" s="0" t="n">
        <v>576.412532</v>
      </c>
      <c r="U5" s="0" t="n">
        <v>7.7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93</v>
      </c>
      <c r="B6" s="0" t="n">
        <v>1681.7</v>
      </c>
      <c r="C6" s="0" t="n">
        <v>-629</v>
      </c>
      <c r="D6" s="0" t="n">
        <v>1052.7</v>
      </c>
      <c r="E6" s="0" t="n">
        <v>62.6</v>
      </c>
      <c r="F6" s="0" t="n">
        <v>505.6</v>
      </c>
      <c r="G6" s="0" t="n">
        <v>30.1</v>
      </c>
      <c r="H6" s="0" t="n">
        <v>601.6</v>
      </c>
      <c r="I6" s="0" t="n">
        <v>376.9</v>
      </c>
      <c r="J6" s="0" t="n">
        <v>22.4</v>
      </c>
      <c r="K6" s="0" t="n">
        <v>0.653</v>
      </c>
      <c r="L6" s="0" t="n">
        <v>324.3</v>
      </c>
      <c r="M6" s="0" t="n">
        <v>-169.8</v>
      </c>
      <c r="N6" s="0" t="n">
        <v>154.5</v>
      </c>
      <c r="O6" s="0" t="n">
        <v>1679.7</v>
      </c>
      <c r="P6" s="0" t="n">
        <v>2107</v>
      </c>
      <c r="Q6" s="0" t="n">
        <v>427.3</v>
      </c>
      <c r="R6" s="0" t="n">
        <v>68.3</v>
      </c>
      <c r="S6" s="0" t="n">
        <v>89.9</v>
      </c>
      <c r="T6" s="0" t="n">
        <v>577.405878</v>
      </c>
      <c r="U6" s="0" t="n">
        <v>8.1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94</v>
      </c>
      <c r="B7" s="0" t="n">
        <v>1581.1</v>
      </c>
      <c r="C7" s="0" t="n">
        <v>-642.7</v>
      </c>
      <c r="D7" s="0" t="n">
        <v>938.4</v>
      </c>
      <c r="E7" s="0" t="n">
        <v>59.4</v>
      </c>
      <c r="F7" s="0" t="n">
        <v>332.2</v>
      </c>
      <c r="G7" s="0" t="n">
        <v>21</v>
      </c>
      <c r="H7" s="0" t="n">
        <v>431.2</v>
      </c>
      <c r="I7" s="0" t="n">
        <v>250.3</v>
      </c>
      <c r="J7" s="0" t="n">
        <v>15.8</v>
      </c>
      <c r="K7" s="0" t="n">
        <v>0.433</v>
      </c>
      <c r="L7" s="0" t="n">
        <v>238.2</v>
      </c>
      <c r="M7" s="0" t="n">
        <v>-211.3</v>
      </c>
      <c r="N7" s="0" t="n">
        <v>26.9</v>
      </c>
      <c r="O7" s="0" t="n">
        <v>1753.4</v>
      </c>
      <c r="P7" s="0" t="n">
        <v>2204.5</v>
      </c>
      <c r="Q7" s="0" t="n">
        <v>451.1</v>
      </c>
      <c r="R7" s="0" t="n">
        <v>83.3</v>
      </c>
      <c r="S7" s="0" t="n">
        <v>121</v>
      </c>
      <c r="T7" s="0" t="n">
        <v>579.356576</v>
      </c>
      <c r="U7" s="0" t="n">
        <v>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95</v>
      </c>
      <c r="B8" s="0" t="n">
        <v>1742.8</v>
      </c>
      <c r="C8" s="0" t="n">
        <v>-698.4</v>
      </c>
      <c r="D8" s="0" t="n">
        <v>1044.4</v>
      </c>
      <c r="E8" s="0" t="n">
        <v>59.9</v>
      </c>
      <c r="F8" s="0" t="n">
        <v>353.4</v>
      </c>
      <c r="G8" s="0" t="n">
        <v>20.3</v>
      </c>
      <c r="H8" s="0" t="n">
        <v>467.7</v>
      </c>
      <c r="I8" s="0" t="n">
        <v>132.6</v>
      </c>
      <c r="J8" s="0" t="n">
        <v>7.6</v>
      </c>
      <c r="K8" s="0" t="n">
        <v>0.228</v>
      </c>
      <c r="L8" s="0" t="n">
        <v>429.6</v>
      </c>
      <c r="M8" s="0" t="n">
        <v>-339</v>
      </c>
      <c r="N8" s="0" t="n">
        <v>90.6</v>
      </c>
      <c r="O8" s="0" t="n">
        <v>1759.1</v>
      </c>
      <c r="P8" s="0" t="n">
        <v>2281.7</v>
      </c>
      <c r="Q8" s="0" t="n">
        <v>522.6</v>
      </c>
      <c r="R8" s="0" t="n">
        <v>114.2</v>
      </c>
      <c r="S8" s="0" t="n">
        <v>82</v>
      </c>
      <c r="T8" s="0" t="n">
        <v>583.963682</v>
      </c>
      <c r="U8" s="0" t="n">
        <v>10.8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96</v>
      </c>
      <c r="B9" s="0" t="n">
        <v>2021</v>
      </c>
      <c r="C9" s="0" t="n">
        <v>-750.1</v>
      </c>
      <c r="D9" s="0" t="n">
        <v>1270.9</v>
      </c>
      <c r="E9" s="0" t="n">
        <v>62.9</v>
      </c>
      <c r="F9" s="0" t="n">
        <v>509.6</v>
      </c>
      <c r="G9" s="0" t="n">
        <v>25.2</v>
      </c>
      <c r="H9" s="0" t="n">
        <v>649.5</v>
      </c>
      <c r="I9" s="0" t="n">
        <v>377.2</v>
      </c>
      <c r="J9" s="0" t="n">
        <v>18.7</v>
      </c>
      <c r="K9" s="0" t="n">
        <v>0.644</v>
      </c>
      <c r="L9" s="0" t="n">
        <v>548.6</v>
      </c>
      <c r="M9" s="0" t="n">
        <v>-103</v>
      </c>
      <c r="N9" s="0" t="n">
        <v>445.6</v>
      </c>
      <c r="O9" s="0" t="n">
        <v>1890.4</v>
      </c>
      <c r="P9" s="0" t="n">
        <v>2550.8</v>
      </c>
      <c r="Q9" s="0" t="n">
        <v>660.4</v>
      </c>
      <c r="R9" s="0" t="n">
        <v>64</v>
      </c>
      <c r="S9" s="0" t="n">
        <v>264.5</v>
      </c>
      <c r="T9" s="0" t="n">
        <v>586.139423</v>
      </c>
      <c r="U9" s="0" t="n">
        <v>11.2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97</v>
      </c>
      <c r="B10" s="0" t="n">
        <v>2308.4</v>
      </c>
      <c r="C10" s="0" t="n">
        <v>-838.3</v>
      </c>
      <c r="D10" s="0" t="n">
        <v>1470.1</v>
      </c>
      <c r="E10" s="0" t="n">
        <v>63.7</v>
      </c>
      <c r="F10" s="0" t="n">
        <v>636.4</v>
      </c>
      <c r="G10" s="0" t="n">
        <v>27.6</v>
      </c>
      <c r="H10" s="0" t="n">
        <v>795</v>
      </c>
      <c r="I10" s="0" t="n">
        <v>468.5</v>
      </c>
      <c r="J10" s="0" t="n">
        <v>20.3</v>
      </c>
      <c r="K10" s="0" t="n">
        <v>0.798</v>
      </c>
      <c r="L10" s="0" t="n">
        <v>663.2</v>
      </c>
      <c r="M10" s="0" t="n">
        <v>-195.2</v>
      </c>
      <c r="N10" s="0" t="n">
        <v>468</v>
      </c>
      <c r="O10" s="0" t="n">
        <v>2115.4</v>
      </c>
      <c r="P10" s="0" t="n">
        <v>2853.6</v>
      </c>
      <c r="Q10" s="0" t="n">
        <v>738.2</v>
      </c>
      <c r="R10" s="0" t="n">
        <v>59.8</v>
      </c>
      <c r="S10" s="0" t="n">
        <v>461.1</v>
      </c>
      <c r="T10" s="0" t="n">
        <v>587.276425</v>
      </c>
      <c r="U10" s="0" t="n">
        <v>13.9</v>
      </c>
      <c r="V10" s="0" t="n">
        <v>0.52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98</v>
      </c>
      <c r="B1" s="2" t="s">
        <v>38</v>
      </c>
    </row>
    <row r="2" customFormat="false" ht="15" hidden="false" customHeight="false" outlineLevel="0" collapsed="false">
      <c r="A2" s="0" t="s">
        <v>99</v>
      </c>
      <c r="B2" s="3" t="n">
        <v>36.2</v>
      </c>
    </row>
    <row r="3" customFormat="false" ht="15" hidden="false" customHeight="false" outlineLevel="0" collapsed="false">
      <c r="A3" s="0" t="s">
        <v>100</v>
      </c>
      <c r="B3" s="3" t="n">
        <v>591</v>
      </c>
    </row>
    <row r="4" customFormat="false" ht="15" hidden="false" customHeight="false" outlineLevel="0" collapsed="false">
      <c r="A4" s="0" t="s">
        <v>101</v>
      </c>
      <c r="B4" s="3" t="n">
        <v>-401.3</v>
      </c>
    </row>
    <row r="5" customFormat="false" ht="15" hidden="false" customHeight="false" outlineLevel="0" collapsed="false">
      <c r="A5" s="0" t="s">
        <v>102</v>
      </c>
      <c r="B5" s="3" t="n">
        <v>23</v>
      </c>
    </row>
    <row r="6" customFormat="false" ht="15" hidden="false" customHeight="false" outlineLevel="0" collapsed="false">
      <c r="A6" s="0" t="s">
        <v>103</v>
      </c>
      <c r="B6" s="3" t="n">
        <v>15</v>
      </c>
    </row>
    <row r="7" customFormat="false" ht="15" hidden="false" customHeight="false" outlineLevel="0" collapsed="false">
      <c r="A7" s="0" t="s">
        <v>104</v>
      </c>
      <c r="B7" s="3" t="n">
        <v>2308.4</v>
      </c>
    </row>
    <row r="8" customFormat="false" ht="15" hidden="false" customHeight="false" outlineLevel="0" collapsed="false">
      <c r="A8" s="0" t="s">
        <v>105</v>
      </c>
      <c r="B8" s="3" t="s">
        <v>97</v>
      </c>
    </row>
    <row r="9" customFormat="false" ht="15" hidden="false" customHeight="false" outlineLevel="0" collapsed="false">
      <c r="A9" s="0" t="s">
        <v>106</v>
      </c>
      <c r="B9" s="3" t="s">
        <v>107</v>
      </c>
    </row>
    <row r="10" customFormat="false" ht="15" hidden="false" customHeight="false" outlineLevel="0" collapsed="false">
      <c r="A10" s="0" t="s">
        <v>108</v>
      </c>
      <c r="B10" s="3" t="n">
        <v>0.8055</v>
      </c>
    </row>
    <row r="12" customFormat="false" ht="15" hidden="false" customHeight="false" outlineLevel="0" collapsed="false">
      <c r="A12" s="2" t="s">
        <v>109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116</v>
      </c>
      <c r="J12" s="2" t="s">
        <v>117</v>
      </c>
      <c r="K12" s="2" t="s">
        <v>118</v>
      </c>
      <c r="L12" s="2" t="s">
        <v>119</v>
      </c>
    </row>
    <row r="13" customFormat="false" ht="15" hidden="false" customHeight="false" outlineLevel="0" collapsed="false">
      <c r="A13" s="0" t="s">
        <v>120</v>
      </c>
      <c r="C13" s="3" t="n">
        <v>6.5</v>
      </c>
      <c r="D13" s="3" t="n">
        <v>5.5</v>
      </c>
      <c r="E13" s="3" t="n">
        <v>6</v>
      </c>
      <c r="F13" s="3" t="n">
        <v>5.5</v>
      </c>
      <c r="G13" s="3" t="n">
        <v>5</v>
      </c>
      <c r="H13" s="3" t="n">
        <v>4.5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121</v>
      </c>
      <c r="C14" s="3" t="n">
        <v>33</v>
      </c>
      <c r="D14" s="3" t="n">
        <v>32.5</v>
      </c>
      <c r="E14" s="3" t="n">
        <v>32.5</v>
      </c>
      <c r="F14" s="3" t="n">
        <v>32.8</v>
      </c>
      <c r="G14" s="3" t="n">
        <v>33</v>
      </c>
      <c r="H14" s="3" t="n">
        <v>33.2</v>
      </c>
      <c r="I14" s="3" t="n">
        <v>33.3</v>
      </c>
      <c r="J14" s="3" t="n">
        <v>33.4</v>
      </c>
      <c r="K14" s="3" t="n">
        <v>33.4</v>
      </c>
      <c r="L14" s="3" t="n">
        <v>33.4</v>
      </c>
    </row>
    <row r="15" customFormat="false" ht="15" hidden="false" customHeight="false" outlineLevel="0" collapsed="false">
      <c r="A15" s="0" t="s">
        <v>122</v>
      </c>
      <c r="C15" s="3" t="n">
        <v>0.62</v>
      </c>
      <c r="D15" s="3" t="n">
        <v>0.64</v>
      </c>
      <c r="E15" s="3" t="n">
        <v>0.65</v>
      </c>
      <c r="F15" s="3" t="n">
        <v>0.65</v>
      </c>
      <c r="G15" s="3" t="n">
        <v>0.65</v>
      </c>
      <c r="H15" s="3" t="n">
        <v>0.65</v>
      </c>
      <c r="I15" s="3" t="n">
        <v>0.65</v>
      </c>
      <c r="J15" s="3" t="n">
        <v>0.65</v>
      </c>
      <c r="K15" s="3" t="n">
        <v>0.65</v>
      </c>
      <c r="L15" s="3" t="n">
        <v>0.65</v>
      </c>
    </row>
    <row r="16" customFormat="false" ht="15" hidden="false" customHeight="false" outlineLevel="0" collapsed="false">
      <c r="A16" s="0" t="s">
        <v>123</v>
      </c>
      <c r="C16" s="3" t="n">
        <v>1.2</v>
      </c>
      <c r="D16" s="3" t="n">
        <v>1.2</v>
      </c>
      <c r="E16" s="3" t="n">
        <v>1.2</v>
      </c>
      <c r="F16" s="3" t="n">
        <v>1.2</v>
      </c>
      <c r="G16" s="3" t="n">
        <v>1.2</v>
      </c>
      <c r="H16" s="3" t="n">
        <v>1.2</v>
      </c>
      <c r="I16" s="3" t="n">
        <v>1.2</v>
      </c>
      <c r="J16" s="3" t="n">
        <v>1.2</v>
      </c>
      <c r="K16" s="3" t="n">
        <v>1.2</v>
      </c>
      <c r="L16" s="3" t="n">
        <v>1.2</v>
      </c>
    </row>
    <row r="17" customFormat="false" ht="15" hidden="false" customHeight="false" outlineLevel="0" collapsed="false">
      <c r="A17" s="0" t="s">
        <v>124</v>
      </c>
      <c r="C17" s="3" t="n">
        <v>6.2</v>
      </c>
      <c r="D17" s="3" t="n">
        <v>7</v>
      </c>
      <c r="E17" s="3" t="n">
        <v>7.7</v>
      </c>
      <c r="F17" s="3" t="n">
        <v>8</v>
      </c>
      <c r="G17" s="3" t="n">
        <v>7.9</v>
      </c>
      <c r="H17" s="3" t="n">
        <v>7.7</v>
      </c>
      <c r="I17" s="3" t="n">
        <v>7.5</v>
      </c>
      <c r="J17" s="3" t="n">
        <v>7.3</v>
      </c>
      <c r="K17" s="3" t="n">
        <v>7.2</v>
      </c>
      <c r="L17" s="3" t="n">
        <v>7.1</v>
      </c>
    </row>
    <row r="18" customFormat="false" ht="15" hidden="false" customHeight="false" outlineLevel="0" collapsed="false">
      <c r="A18" s="0" t="s">
        <v>125</v>
      </c>
      <c r="C18" s="3" t="n">
        <v>10.5</v>
      </c>
      <c r="D18" s="3" t="n">
        <v>11</v>
      </c>
      <c r="E18" s="3" t="n">
        <v>10.5</v>
      </c>
      <c r="F18" s="3" t="n">
        <v>9.5</v>
      </c>
      <c r="G18" s="3" t="n">
        <v>8.5</v>
      </c>
      <c r="H18" s="3" t="n">
        <v>7.8</v>
      </c>
      <c r="I18" s="3" t="n">
        <v>7.5</v>
      </c>
      <c r="J18" s="3" t="n">
        <v>7.3</v>
      </c>
      <c r="K18" s="3" t="n">
        <v>7.2</v>
      </c>
      <c r="L18" s="3" t="n">
        <v>7.2</v>
      </c>
    </row>
    <row r="19" customFormat="false" ht="15" hidden="false" customHeight="false" outlineLevel="0" collapsed="false">
      <c r="A19" s="0" t="s">
        <v>126</v>
      </c>
      <c r="C19" s="3" t="n">
        <v>27</v>
      </c>
      <c r="D19" s="3" t="n">
        <v>27.5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127</v>
      </c>
      <c r="B20" s="3" t="n">
        <v>9</v>
      </c>
    </row>
    <row r="21" customFormat="false" ht="15" hidden="false" customHeight="false" outlineLevel="0" collapsed="false">
      <c r="A21" s="0" t="s">
        <v>128</v>
      </c>
      <c r="B21" s="3" t="n">
        <v>2.5</v>
      </c>
    </row>
    <row r="22" customFormat="false" ht="15" hidden="false" customHeight="false" outlineLevel="0" collapsed="false">
      <c r="A22" s="0" t="s">
        <v>129</v>
      </c>
      <c r="B22" s="3" t="n">
        <v>15</v>
      </c>
    </row>
    <row r="23" customFormat="false" ht="15" hidden="false" customHeight="false" outlineLevel="0" collapsed="false">
      <c r="A23" s="0" t="s">
        <v>130</v>
      </c>
      <c r="B23" s="3" t="n">
        <v>-12</v>
      </c>
    </row>
    <row r="24" customFormat="false" ht="15" hidden="false" customHeight="false" outlineLevel="0" collapsed="false">
      <c r="A24" s="0" t="s">
        <v>131</v>
      </c>
      <c r="B24" s="3" t="n">
        <v>0.2</v>
      </c>
    </row>
    <row r="26" customFormat="false" ht="15" hidden="false" customHeight="false" outlineLevel="0" collapsed="false">
      <c r="A26" s="2" t="s">
        <v>132</v>
      </c>
      <c r="C26" s="2" t="s">
        <v>110</v>
      </c>
      <c r="D26" s="2" t="s">
        <v>111</v>
      </c>
      <c r="E26" s="2" t="s">
        <v>112</v>
      </c>
      <c r="F26" s="2" t="s">
        <v>113</v>
      </c>
      <c r="G26" s="2" t="s">
        <v>114</v>
      </c>
      <c r="H26" s="2" t="s">
        <v>115</v>
      </c>
      <c r="I26" s="2" t="s">
        <v>116</v>
      </c>
      <c r="J26" s="2" t="s">
        <v>117</v>
      </c>
      <c r="K26" s="2" t="s">
        <v>118</v>
      </c>
      <c r="L26" s="2" t="s">
        <v>119</v>
      </c>
    </row>
    <row r="27" customFormat="false" ht="15" hidden="false" customHeight="false" outlineLevel="0" collapsed="false">
      <c r="A27" s="0" t="s">
        <v>120</v>
      </c>
      <c r="C27" s="3" t="n">
        <v>9.2</v>
      </c>
      <c r="D27" s="3" t="n">
        <v>10.5</v>
      </c>
      <c r="E27" s="3" t="n">
        <v>10.5</v>
      </c>
      <c r="F27" s="3" t="n">
        <v>9.5</v>
      </c>
      <c r="G27" s="3" t="n">
        <v>8.5</v>
      </c>
      <c r="H27" s="3" t="n">
        <v>7.5</v>
      </c>
      <c r="I27" s="3" t="n">
        <v>6.5</v>
      </c>
      <c r="J27" s="3" t="n">
        <v>5.5</v>
      </c>
      <c r="K27" s="3" t="n">
        <v>4.5</v>
      </c>
      <c r="L27" s="3" t="n">
        <v>4</v>
      </c>
    </row>
    <row r="28" customFormat="false" ht="15" hidden="false" customHeight="false" outlineLevel="0" collapsed="false">
      <c r="A28" s="0" t="s">
        <v>121</v>
      </c>
      <c r="C28" s="3" t="n">
        <v>35</v>
      </c>
      <c r="D28" s="3" t="n">
        <v>35.4</v>
      </c>
      <c r="E28" s="3" t="n">
        <v>35.7</v>
      </c>
      <c r="F28" s="3" t="n">
        <v>35.9</v>
      </c>
      <c r="G28" s="3" t="n">
        <v>36</v>
      </c>
      <c r="H28" s="3" t="n">
        <v>36.1</v>
      </c>
      <c r="I28" s="3" t="n">
        <v>36.3</v>
      </c>
      <c r="J28" s="3" t="n">
        <v>36.4</v>
      </c>
      <c r="K28" s="3" t="n">
        <v>36.5</v>
      </c>
      <c r="L28" s="3" t="n">
        <v>36.5</v>
      </c>
    </row>
    <row r="29" customFormat="false" ht="15" hidden="false" customHeight="false" outlineLevel="0" collapsed="false">
      <c r="A29" s="0" t="s">
        <v>122</v>
      </c>
      <c r="C29" s="3" t="n">
        <v>0.6</v>
      </c>
      <c r="D29" s="3" t="n">
        <v>0.6</v>
      </c>
      <c r="E29" s="3" t="n">
        <v>0.6</v>
      </c>
      <c r="F29" s="3" t="n">
        <v>0.6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123</v>
      </c>
      <c r="C30" s="3" t="n">
        <v>1.1</v>
      </c>
      <c r="D30" s="3" t="n">
        <v>1.1</v>
      </c>
      <c r="E30" s="3" t="n">
        <v>1.1</v>
      </c>
      <c r="F30" s="3" t="n">
        <v>1.1</v>
      </c>
      <c r="G30" s="3" t="n">
        <v>1.1</v>
      </c>
      <c r="H30" s="3" t="n">
        <v>1.1</v>
      </c>
      <c r="I30" s="3" t="n">
        <v>1.1</v>
      </c>
      <c r="J30" s="3" t="n">
        <v>1.1</v>
      </c>
      <c r="K30" s="3" t="n">
        <v>1.1</v>
      </c>
      <c r="L30" s="3" t="n">
        <v>1.1</v>
      </c>
    </row>
    <row r="31" customFormat="false" ht="15" hidden="false" customHeight="false" outlineLevel="0" collapsed="false">
      <c r="A31" s="0" t="s">
        <v>124</v>
      </c>
      <c r="C31" s="3" t="n">
        <v>6</v>
      </c>
      <c r="D31" s="3" t="n">
        <v>6.5</v>
      </c>
      <c r="E31" s="3" t="n">
        <v>7</v>
      </c>
      <c r="F31" s="3" t="n">
        <v>7.3</v>
      </c>
      <c r="G31" s="3" t="n">
        <v>7.2</v>
      </c>
      <c r="H31" s="3" t="n">
        <v>7</v>
      </c>
      <c r="I31" s="3" t="n">
        <v>6.8</v>
      </c>
      <c r="J31" s="3" t="n">
        <v>6.6</v>
      </c>
      <c r="K31" s="3" t="n">
        <v>6.4</v>
      </c>
      <c r="L31" s="3" t="n">
        <v>6.3</v>
      </c>
    </row>
    <row r="32" customFormat="false" ht="15" hidden="false" customHeight="false" outlineLevel="0" collapsed="false">
      <c r="A32" s="0" t="s">
        <v>125</v>
      </c>
      <c r="C32" s="3" t="n">
        <v>9.5</v>
      </c>
      <c r="D32" s="3" t="n">
        <v>9.8</v>
      </c>
      <c r="E32" s="3" t="n">
        <v>9</v>
      </c>
      <c r="F32" s="3" t="n">
        <v>8</v>
      </c>
      <c r="G32" s="3" t="n">
        <v>7.5</v>
      </c>
      <c r="H32" s="3" t="n">
        <v>7</v>
      </c>
      <c r="I32" s="3" t="n">
        <v>6.8</v>
      </c>
      <c r="J32" s="3" t="n">
        <v>6.6</v>
      </c>
      <c r="K32" s="3" t="n">
        <v>6.5</v>
      </c>
      <c r="L32" s="3" t="n">
        <v>6.5</v>
      </c>
    </row>
    <row r="33" customFormat="false" ht="15" hidden="false" customHeight="false" outlineLevel="0" collapsed="false">
      <c r="A33" s="0" t="s">
        <v>126</v>
      </c>
      <c r="C33" s="3" t="n">
        <v>25.8</v>
      </c>
      <c r="D33" s="3" t="n">
        <v>25.8</v>
      </c>
      <c r="E33" s="3" t="n">
        <v>26</v>
      </c>
      <c r="F33" s="3" t="n">
        <v>26</v>
      </c>
      <c r="G33" s="3" t="n">
        <v>26.5</v>
      </c>
      <c r="H33" s="3" t="n">
        <v>26.5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127</v>
      </c>
      <c r="B34" s="3" t="n">
        <v>9</v>
      </c>
    </row>
    <row r="35" customFormat="false" ht="15" hidden="false" customHeight="false" outlineLevel="0" collapsed="false">
      <c r="A35" s="0" t="s">
        <v>128</v>
      </c>
      <c r="B35" s="3" t="n">
        <v>3.5</v>
      </c>
    </row>
    <row r="36" customFormat="false" ht="15" hidden="false" customHeight="false" outlineLevel="0" collapsed="false">
      <c r="A36" s="0" t="s">
        <v>129</v>
      </c>
      <c r="B36" s="3" t="n">
        <v>20</v>
      </c>
    </row>
    <row r="37" customFormat="false" ht="15" hidden="false" customHeight="false" outlineLevel="0" collapsed="false">
      <c r="A37" s="0" t="s">
        <v>130</v>
      </c>
      <c r="B37" s="3" t="n">
        <v>-10</v>
      </c>
    </row>
    <row r="38" customFormat="false" ht="15" hidden="false" customHeight="false" outlineLevel="0" collapsed="false">
      <c r="A38" s="0" t="s">
        <v>131</v>
      </c>
      <c r="B38" s="3" t="n">
        <v>0.5</v>
      </c>
    </row>
    <row r="40" customFormat="false" ht="15" hidden="false" customHeight="false" outlineLevel="0" collapsed="false">
      <c r="A40" s="2" t="s">
        <v>133</v>
      </c>
      <c r="C40" s="2" t="s">
        <v>110</v>
      </c>
      <c r="D40" s="2" t="s">
        <v>111</v>
      </c>
      <c r="E40" s="2" t="s">
        <v>112</v>
      </c>
      <c r="F40" s="2" t="s">
        <v>113</v>
      </c>
      <c r="G40" s="2" t="s">
        <v>114</v>
      </c>
      <c r="H40" s="2" t="s">
        <v>115</v>
      </c>
      <c r="I40" s="2" t="s">
        <v>116</v>
      </c>
      <c r="J40" s="2" t="s">
        <v>117</v>
      </c>
      <c r="K40" s="2" t="s">
        <v>118</v>
      </c>
      <c r="L40" s="2" t="s">
        <v>119</v>
      </c>
    </row>
    <row r="41" customFormat="false" ht="15" hidden="false" customHeight="false" outlineLevel="0" collapsed="false">
      <c r="A41" s="0" t="s">
        <v>120</v>
      </c>
      <c r="C41" s="3" t="n">
        <v>11.3</v>
      </c>
      <c r="D41" s="3" t="n">
        <v>13</v>
      </c>
      <c r="E41" s="3" t="n">
        <v>13</v>
      </c>
      <c r="F41" s="3" t="n">
        <v>12</v>
      </c>
      <c r="G41" s="3" t="n">
        <v>10.5</v>
      </c>
      <c r="H41" s="3" t="n">
        <v>9</v>
      </c>
      <c r="I41" s="3" t="n">
        <v>7.5</v>
      </c>
      <c r="J41" s="3" t="n">
        <v>6.5</v>
      </c>
      <c r="K41" s="3" t="n">
        <v>5.5</v>
      </c>
      <c r="L41" s="3" t="n">
        <v>4.5</v>
      </c>
    </row>
    <row r="42" customFormat="false" ht="15" hidden="false" customHeight="false" outlineLevel="0" collapsed="false">
      <c r="A42" s="0" t="s">
        <v>121</v>
      </c>
      <c r="C42" s="3" t="n">
        <v>35.6</v>
      </c>
      <c r="D42" s="3" t="n">
        <v>36.4</v>
      </c>
      <c r="E42" s="3" t="n">
        <v>37.2</v>
      </c>
      <c r="F42" s="3" t="n">
        <v>38</v>
      </c>
      <c r="G42" s="3" t="n">
        <v>38.5</v>
      </c>
      <c r="H42" s="3" t="n">
        <v>39</v>
      </c>
      <c r="I42" s="3" t="n">
        <v>39.5</v>
      </c>
      <c r="J42" s="3" t="n">
        <v>39.5</v>
      </c>
      <c r="K42" s="3" t="n">
        <v>39.5</v>
      </c>
      <c r="L42" s="3" t="n">
        <v>39.5</v>
      </c>
    </row>
    <row r="43" customFormat="false" ht="15" hidden="false" customHeight="false" outlineLevel="0" collapsed="false">
      <c r="A43" s="0" t="s">
        <v>122</v>
      </c>
      <c r="C43" s="3" t="n">
        <v>0.58</v>
      </c>
      <c r="D43" s="3" t="n">
        <v>0.56</v>
      </c>
      <c r="E43" s="3" t="n">
        <v>0.55</v>
      </c>
      <c r="F43" s="3" t="n">
        <v>0.53</v>
      </c>
      <c r="G43" s="3" t="n">
        <v>0.52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123</v>
      </c>
      <c r="C44" s="3" t="n">
        <v>1.1</v>
      </c>
      <c r="D44" s="3" t="n">
        <v>1.05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1</v>
      </c>
      <c r="L44" s="3" t="n">
        <v>1</v>
      </c>
    </row>
    <row r="45" customFormat="false" ht="15" hidden="false" customHeight="false" outlineLevel="0" collapsed="false">
      <c r="A45" s="0" t="s">
        <v>124</v>
      </c>
      <c r="C45" s="3" t="n">
        <v>5.9</v>
      </c>
      <c r="D45" s="3" t="n">
        <v>6.3</v>
      </c>
      <c r="E45" s="3" t="n">
        <v>6.7</v>
      </c>
      <c r="F45" s="3" t="n">
        <v>6.8</v>
      </c>
      <c r="G45" s="3" t="n">
        <v>6.6</v>
      </c>
      <c r="H45" s="3" t="n">
        <v>6.4</v>
      </c>
      <c r="I45" s="3" t="n">
        <v>6.2</v>
      </c>
      <c r="J45" s="3" t="n">
        <v>6</v>
      </c>
      <c r="K45" s="3" t="n">
        <v>5.9</v>
      </c>
      <c r="L45" s="3" t="n">
        <v>5.8</v>
      </c>
    </row>
    <row r="46" customFormat="false" ht="15" hidden="false" customHeight="false" outlineLevel="0" collapsed="false">
      <c r="A46" s="0" t="s">
        <v>125</v>
      </c>
      <c r="C46" s="3" t="n">
        <v>9</v>
      </c>
      <c r="D46" s="3" t="n">
        <v>9.2</v>
      </c>
      <c r="E46" s="3" t="n">
        <v>8.3</v>
      </c>
      <c r="F46" s="3" t="n">
        <v>7.2</v>
      </c>
      <c r="G46" s="3" t="n">
        <v>6.8</v>
      </c>
      <c r="H46" s="3" t="n">
        <v>6.3</v>
      </c>
      <c r="I46" s="3" t="n">
        <v>6.1</v>
      </c>
      <c r="J46" s="3" t="n">
        <v>6</v>
      </c>
      <c r="K46" s="3" t="n">
        <v>5.9</v>
      </c>
      <c r="L46" s="3" t="n">
        <v>5.9</v>
      </c>
    </row>
    <row r="47" customFormat="false" ht="15" hidden="false" customHeight="false" outlineLevel="0" collapsed="false">
      <c r="A47" s="0" t="s">
        <v>126</v>
      </c>
      <c r="C47" s="3" t="n">
        <v>24.5</v>
      </c>
      <c r="D47" s="3" t="n">
        <v>24.5</v>
      </c>
      <c r="E47" s="3" t="n">
        <v>25</v>
      </c>
      <c r="F47" s="3" t="n">
        <v>25</v>
      </c>
      <c r="G47" s="3" t="n">
        <v>25.5</v>
      </c>
      <c r="H47" s="3" t="n">
        <v>25.5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127</v>
      </c>
      <c r="B48" s="3" t="n">
        <v>9</v>
      </c>
    </row>
    <row r="49" customFormat="false" ht="15" hidden="false" customHeight="false" outlineLevel="0" collapsed="false">
      <c r="A49" s="0" t="s">
        <v>128</v>
      </c>
      <c r="B49" s="3" t="n">
        <v>4</v>
      </c>
    </row>
    <row r="50" customFormat="false" ht="15" hidden="false" customHeight="false" outlineLevel="0" collapsed="false">
      <c r="A50" s="0" t="s">
        <v>129</v>
      </c>
      <c r="B50" s="3" t="n">
        <v>20</v>
      </c>
    </row>
    <row r="51" customFormat="false" ht="15" hidden="false" customHeight="false" outlineLevel="0" collapsed="false">
      <c r="A51" s="0" t="s">
        <v>130</v>
      </c>
      <c r="B51" s="3" t="n">
        <v>-8</v>
      </c>
    </row>
    <row r="52" customFormat="false" ht="15" hidden="false" customHeight="false" outlineLevel="0" collapsed="false">
      <c r="A52" s="0" t="s">
        <v>131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134</v>
      </c>
    </row>
    <row r="3" customFormat="false" ht="15" hidden="false" customHeight="false" outlineLevel="0" collapsed="false">
      <c r="A3" s="0" t="s">
        <v>135</v>
      </c>
      <c r="B3" s="0" t="s">
        <v>97</v>
      </c>
      <c r="C3" s="2" t="s">
        <v>110</v>
      </c>
      <c r="D3" s="2" t="s">
        <v>111</v>
      </c>
      <c r="E3" s="2" t="s">
        <v>112</v>
      </c>
      <c r="F3" s="2" t="s">
        <v>113</v>
      </c>
      <c r="G3" s="2" t="s">
        <v>114</v>
      </c>
      <c r="H3" s="2" t="s">
        <v>115</v>
      </c>
      <c r="I3" s="2" t="s">
        <v>116</v>
      </c>
      <c r="J3" s="2" t="s">
        <v>117</v>
      </c>
      <c r="K3" s="2" t="s">
        <v>118</v>
      </c>
      <c r="L3" s="2" t="s">
        <v>119</v>
      </c>
    </row>
    <row r="4" customFormat="false" ht="15" hidden="false" customHeight="false" outlineLevel="0" collapsed="false">
      <c r="A4" s="0" t="s">
        <v>136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120</v>
      </c>
      <c r="C5" s="4" t="n">
        <f aca="false">Assumptions!C13</f>
        <v>6.5</v>
      </c>
      <c r="D5" s="4" t="n">
        <f aca="false">Assumptions!D13</f>
        <v>5.5</v>
      </c>
      <c r="E5" s="4" t="n">
        <f aca="false">Assumptions!E13</f>
        <v>6</v>
      </c>
      <c r="F5" s="4" t="n">
        <f aca="false">Assumptions!F13</f>
        <v>5.5</v>
      </c>
      <c r="G5" s="4" t="n">
        <f aca="false">Assumptions!G13</f>
        <v>5</v>
      </c>
      <c r="H5" s="4" t="n">
        <f aca="false">Assumptions!H13</f>
        <v>4.5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63</v>
      </c>
      <c r="B6" s="3" t="n">
        <v>2308.4</v>
      </c>
      <c r="C6" s="0" t="n">
        <f aca="false">B6*(1+C5/100)</f>
        <v>2458.446</v>
      </c>
      <c r="D6" s="0" t="n">
        <f aca="false">C6*(1+D5/100)</f>
        <v>2593.66053</v>
      </c>
      <c r="E6" s="0" t="n">
        <f aca="false">D6*(1+E5/100)</f>
        <v>2749.2801618</v>
      </c>
      <c r="F6" s="0" t="n">
        <f aca="false">E6*(1+F5/100)</f>
        <v>2900.490570699</v>
      </c>
      <c r="G6" s="0" t="n">
        <f aca="false">F6*(1+G5/100)</f>
        <v>3045.51509923395</v>
      </c>
      <c r="H6" s="0" t="n">
        <f aca="false">G6*(1+H5/100)</f>
        <v>3182.56327869948</v>
      </c>
      <c r="I6" s="0" t="n">
        <f aca="false">H6*(1+I5/100)</f>
        <v>3309.86580984746</v>
      </c>
      <c r="J6" s="0" t="n">
        <f aca="false">I6*(1+J5/100)</f>
        <v>3425.71111319212</v>
      </c>
      <c r="K6" s="0" t="n">
        <f aca="false">J6*(1+K5/100)</f>
        <v>3528.48244658788</v>
      </c>
      <c r="L6" s="0" t="n">
        <f aca="false">K6*(1+L5/100)</f>
        <v>3634.33691998552</v>
      </c>
    </row>
    <row r="7" customFormat="false" ht="15" hidden="false" customHeight="false" outlineLevel="0" collapsed="false">
      <c r="A7" s="0" t="s">
        <v>121</v>
      </c>
      <c r="C7" s="4" t="n">
        <f aca="false">Assumptions!C14</f>
        <v>33</v>
      </c>
      <c r="D7" s="4" t="n">
        <f aca="false">Assumptions!D14</f>
        <v>32.5</v>
      </c>
      <c r="E7" s="4" t="n">
        <f aca="false">Assumptions!E14</f>
        <v>32.5</v>
      </c>
      <c r="F7" s="4" t="n">
        <f aca="false">Assumptions!F14</f>
        <v>32.8</v>
      </c>
      <c r="G7" s="4" t="n">
        <f aca="false">Assumptions!G14</f>
        <v>33</v>
      </c>
      <c r="H7" s="4" t="n">
        <f aca="false">Assumptions!H14</f>
        <v>33.2</v>
      </c>
      <c r="I7" s="4" t="n">
        <f aca="false">Assumptions!I14</f>
        <v>33.3</v>
      </c>
      <c r="J7" s="4" t="n">
        <f aca="false">Assumptions!J14</f>
        <v>33.4</v>
      </c>
      <c r="K7" s="4" t="n">
        <f aca="false">Assumptions!K14</f>
        <v>33.4</v>
      </c>
      <c r="L7" s="4" t="n">
        <f aca="false">Assumptions!L14</f>
        <v>33.4</v>
      </c>
    </row>
    <row r="8" customFormat="false" ht="15" hidden="false" customHeight="false" outlineLevel="0" collapsed="false">
      <c r="A8" s="0" t="s">
        <v>69</v>
      </c>
      <c r="C8" s="0" t="n">
        <f aca="false">C6*C7/100</f>
        <v>811.28718</v>
      </c>
      <c r="D8" s="0" t="n">
        <f aca="false">D6*D7/100</f>
        <v>842.93967225</v>
      </c>
      <c r="E8" s="0" t="n">
        <f aca="false">E6*E7/100</f>
        <v>893.516052585</v>
      </c>
      <c r="F8" s="0" t="n">
        <f aca="false">F6*F7/100</f>
        <v>951.360907189272</v>
      </c>
      <c r="G8" s="0" t="n">
        <f aca="false">G6*G7/100</f>
        <v>1005.0199827472</v>
      </c>
      <c r="H8" s="0" t="n">
        <f aca="false">H6*H7/100</f>
        <v>1056.61100852823</v>
      </c>
      <c r="I8" s="0" t="n">
        <f aca="false">I6*I7/100</f>
        <v>1102.1853146792</v>
      </c>
      <c r="J8" s="0" t="n">
        <f aca="false">J6*J7/100</f>
        <v>1144.18751180617</v>
      </c>
      <c r="K8" s="0" t="n">
        <f aca="false">K6*K7/100</f>
        <v>1178.51313716035</v>
      </c>
      <c r="L8" s="0" t="n">
        <f aca="false">L6*L7/100</f>
        <v>1213.86853127516</v>
      </c>
    </row>
    <row r="9" customFormat="false" ht="15" hidden="false" customHeight="false" outlineLevel="0" collapsed="false">
      <c r="A9" s="0" t="s">
        <v>122</v>
      </c>
      <c r="C9" s="4" t="n">
        <f aca="false">Assumptions!C15</f>
        <v>0.62</v>
      </c>
      <c r="D9" s="4" t="n">
        <f aca="false">Assumptions!D15</f>
        <v>0.64</v>
      </c>
      <c r="E9" s="4" t="n">
        <f aca="false">Assumptions!E15</f>
        <v>0.65</v>
      </c>
      <c r="F9" s="4" t="n">
        <f aca="false">Assumptions!F15</f>
        <v>0.65</v>
      </c>
      <c r="G9" s="4" t="n">
        <f aca="false">Assumptions!G15</f>
        <v>0.65</v>
      </c>
      <c r="H9" s="4" t="n">
        <f aca="false">Assumptions!H15</f>
        <v>0.65</v>
      </c>
      <c r="I9" s="4" t="n">
        <f aca="false">Assumptions!I15</f>
        <v>0.65</v>
      </c>
      <c r="J9" s="4" t="n">
        <f aca="false">Assumptions!J15</f>
        <v>0.65</v>
      </c>
      <c r="K9" s="4" t="n">
        <f aca="false">Assumptions!K15</f>
        <v>0.65</v>
      </c>
      <c r="L9" s="4" t="n">
        <f aca="false">Assumptions!L15</f>
        <v>0.65</v>
      </c>
    </row>
    <row r="10" customFormat="false" ht="15" hidden="false" customHeight="false" outlineLevel="0" collapsed="false">
      <c r="A10" s="0" t="s">
        <v>137</v>
      </c>
      <c r="C10" s="0" t="n">
        <f aca="false">-C6*C9/100</f>
        <v>-15.2423652</v>
      </c>
      <c r="D10" s="0" t="n">
        <f aca="false">-D6*D9/100</f>
        <v>-16.599427392</v>
      </c>
      <c r="E10" s="0" t="n">
        <f aca="false">-E6*E9/100</f>
        <v>-17.8703210517</v>
      </c>
      <c r="F10" s="0" t="n">
        <f aca="false">-F6*F9/100</f>
        <v>-18.8531887095435</v>
      </c>
      <c r="G10" s="0" t="n">
        <f aca="false">-G6*G9/100</f>
        <v>-19.7958481450207</v>
      </c>
      <c r="H10" s="0" t="n">
        <f aca="false">-H6*H9/100</f>
        <v>-20.6866613115466</v>
      </c>
      <c r="I10" s="0" t="n">
        <f aca="false">-I6*I9/100</f>
        <v>-21.5141277640085</v>
      </c>
      <c r="J10" s="0" t="n">
        <f aca="false">-J6*J9/100</f>
        <v>-22.2671222357488</v>
      </c>
      <c r="K10" s="0" t="n">
        <f aca="false">-K6*K9/100</f>
        <v>-22.9351359028212</v>
      </c>
      <c r="L10" s="0" t="n">
        <f aca="false">-L6*L9/100</f>
        <v>-23.6231899799059</v>
      </c>
    </row>
    <row r="11" customFormat="false" ht="15" hidden="false" customHeight="false" outlineLevel="0" collapsed="false">
      <c r="A11" s="0" t="s">
        <v>138</v>
      </c>
      <c r="C11" s="0" t="n">
        <f aca="false">C8+C10+C24</f>
        <v>766.5434628</v>
      </c>
      <c r="D11" s="0" t="n">
        <f aca="false">D8+D10+D24</f>
        <v>795.216318498</v>
      </c>
      <c r="E11" s="0" t="n">
        <f aca="false">E8+E10+E24</f>
        <v>842.6543695917</v>
      </c>
      <c r="F11" s="0" t="n">
        <f aca="false">F8+F10+F24</f>
        <v>897.70183163134</v>
      </c>
      <c r="G11" s="0" t="n">
        <f aca="false">G8+G10+G24</f>
        <v>948.677953411375</v>
      </c>
      <c r="H11" s="0" t="n">
        <f aca="false">H8+H10+H24</f>
        <v>997.733587872286</v>
      </c>
      <c r="I11" s="0" t="n">
        <f aca="false">I8+I10+I24</f>
        <v>1040.95279719703</v>
      </c>
      <c r="J11" s="0" t="n">
        <f aca="false">J8+J10+J24</f>
        <v>1080.81185621211</v>
      </c>
      <c r="K11" s="0" t="n">
        <f aca="false">K8+K10+K24</f>
        <v>1113.23621189848</v>
      </c>
      <c r="L11" s="0" t="n">
        <f aca="false">L8+L10+L24</f>
        <v>1146.63329825543</v>
      </c>
    </row>
    <row r="12" customFormat="false" ht="15" hidden="false" customHeight="false" outlineLevel="0" collapsed="false">
      <c r="A12" s="0" t="s">
        <v>139</v>
      </c>
      <c r="C12" s="4" t="n">
        <f aca="false">-C6*Assumptions!C17/100</f>
        <v>-152.423652</v>
      </c>
      <c r="D12" s="4" t="n">
        <f aca="false">-D6*Assumptions!D17/100</f>
        <v>-181.5562371</v>
      </c>
      <c r="E12" s="4" t="n">
        <f aca="false">-E6*Assumptions!E17/100</f>
        <v>-211.6945724586</v>
      </c>
      <c r="F12" s="4" t="n">
        <f aca="false">-F6*Assumptions!F17/100</f>
        <v>-232.03924565592</v>
      </c>
      <c r="G12" s="4" t="n">
        <f aca="false">-G6*Assumptions!G17/100</f>
        <v>-240.595692839482</v>
      </c>
      <c r="H12" s="4" t="n">
        <f aca="false">-H6*Assumptions!H17/100</f>
        <v>-245.05737245986</v>
      </c>
      <c r="I12" s="4" t="n">
        <f aca="false">-I6*Assumptions!I17/100</f>
        <v>-248.239935738559</v>
      </c>
      <c r="J12" s="4" t="n">
        <f aca="false">-J6*Assumptions!J17/100</f>
        <v>-250.076911263025</v>
      </c>
      <c r="K12" s="4" t="n">
        <f aca="false">-K6*Assumptions!K17/100</f>
        <v>-254.050736154327</v>
      </c>
      <c r="L12" s="4" t="n">
        <f aca="false">-L6*Assumptions!L17/100</f>
        <v>-258.037921318972</v>
      </c>
    </row>
    <row r="13" customFormat="false" ht="15" hidden="false" customHeight="false" outlineLevel="0" collapsed="false">
      <c r="A13" s="0" t="s">
        <v>140</v>
      </c>
      <c r="C13" s="0" t="n">
        <f aca="false">C11+C12</f>
        <v>614.1198108</v>
      </c>
      <c r="D13" s="0" t="n">
        <f aca="false">D11+D12</f>
        <v>613.660081398</v>
      </c>
      <c r="E13" s="0" t="n">
        <f aca="false">E11+E12</f>
        <v>630.9597971331</v>
      </c>
      <c r="F13" s="0" t="n">
        <f aca="false">F11+F12</f>
        <v>665.66258597542</v>
      </c>
      <c r="G13" s="0" t="n">
        <f aca="false">G11+G12</f>
        <v>708.082260571893</v>
      </c>
      <c r="H13" s="0" t="n">
        <f aca="false">H11+H12</f>
        <v>752.676215412427</v>
      </c>
      <c r="I13" s="0" t="n">
        <f aca="false">I11+I12</f>
        <v>792.712861458466</v>
      </c>
      <c r="J13" s="0" t="n">
        <f aca="false">J11+J12</f>
        <v>830.734944949089</v>
      </c>
      <c r="K13" s="0" t="n">
        <f aca="false">K11+K12</f>
        <v>859.185475744149</v>
      </c>
      <c r="L13" s="0" t="n">
        <f aca="false">L11+L12</f>
        <v>888.595376936459</v>
      </c>
    </row>
    <row r="14" customFormat="false" ht="15" hidden="false" customHeight="false" outlineLevel="0" collapsed="false">
      <c r="A14" s="0" t="s">
        <v>126</v>
      </c>
      <c r="C14" s="4" t="n">
        <f aca="false">Assumptions!C19</f>
        <v>27</v>
      </c>
      <c r="D14" s="4" t="n">
        <f aca="false">Assumptions!D19</f>
        <v>27.5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141</v>
      </c>
      <c r="C15" s="0" t="n">
        <f aca="false">C13-MAX(0,C13)*C14/100</f>
        <v>448.307461884</v>
      </c>
      <c r="D15" s="0" t="n">
        <f aca="false">D13-MAX(0,D13)*D14/100</f>
        <v>444.90355901355</v>
      </c>
      <c r="E15" s="0" t="n">
        <f aca="false">E13-MAX(0,E13)*E14/100</f>
        <v>454.291053935832</v>
      </c>
      <c r="F15" s="0" t="n">
        <f aca="false">F13-MAX(0,F13)*F14/100</f>
        <v>479.277061902303</v>
      </c>
      <c r="G15" s="0" t="n">
        <f aca="false">G13-MAX(0,G13)*G14/100</f>
        <v>509.819227611763</v>
      </c>
      <c r="H15" s="0" t="n">
        <f aca="false">H13-MAX(0,H13)*H14/100</f>
        <v>541.926875096947</v>
      </c>
      <c r="I15" s="0" t="n">
        <f aca="false">I13-MAX(0,I13)*I14/100</f>
        <v>570.753260250096</v>
      </c>
      <c r="J15" s="0" t="n">
        <f aca="false">J13-MAX(0,J13)*J14/100</f>
        <v>598.129160363344</v>
      </c>
      <c r="K15" s="0" t="n">
        <f aca="false">K13-MAX(0,K13)*K14/100</f>
        <v>618.613542535787</v>
      </c>
      <c r="L15" s="0" t="n">
        <f aca="false">L13-MAX(0,L13)*L14/100</f>
        <v>639.788671394251</v>
      </c>
    </row>
    <row r="16" customFormat="false" ht="15" hidden="false" customHeight="false" outlineLevel="0" collapsed="false">
      <c r="A16" s="0" t="s">
        <v>142</v>
      </c>
      <c r="C16" s="0" t="n">
        <f aca="false">-C12</f>
        <v>152.423652</v>
      </c>
      <c r="D16" s="0" t="n">
        <f aca="false">-D12</f>
        <v>181.5562371</v>
      </c>
      <c r="E16" s="0" t="n">
        <f aca="false">-E12</f>
        <v>211.6945724586</v>
      </c>
      <c r="F16" s="0" t="n">
        <f aca="false">-F12</f>
        <v>232.03924565592</v>
      </c>
      <c r="G16" s="0" t="n">
        <f aca="false">-G12</f>
        <v>240.595692839482</v>
      </c>
      <c r="H16" s="0" t="n">
        <f aca="false">-H12</f>
        <v>245.05737245986</v>
      </c>
      <c r="I16" s="0" t="n">
        <f aca="false">-I12</f>
        <v>248.239935738559</v>
      </c>
      <c r="J16" s="0" t="n">
        <f aca="false">-J12</f>
        <v>250.076911263025</v>
      </c>
      <c r="K16" s="0" t="n">
        <f aca="false">-K12</f>
        <v>254.050736154327</v>
      </c>
      <c r="L16" s="0" t="n">
        <f aca="false">-L12</f>
        <v>258.037921318972</v>
      </c>
    </row>
    <row r="17" customFormat="false" ht="15" hidden="false" customHeight="false" outlineLevel="0" collapsed="false">
      <c r="A17" s="0" t="s">
        <v>143</v>
      </c>
      <c r="C17" s="4" t="n">
        <f aca="false">-C6*Assumptions!C18/100</f>
        <v>-258.13683</v>
      </c>
      <c r="D17" s="4" t="n">
        <f aca="false">-D6*Assumptions!D18/100</f>
        <v>-285.3026583</v>
      </c>
      <c r="E17" s="4" t="n">
        <f aca="false">-E6*Assumptions!E18/100</f>
        <v>-288.674416989</v>
      </c>
      <c r="F17" s="4" t="n">
        <f aca="false">-F6*Assumptions!F18/100</f>
        <v>-275.546604216405</v>
      </c>
      <c r="G17" s="4" t="n">
        <f aca="false">-G6*Assumptions!G18/100</f>
        <v>-258.868783434886</v>
      </c>
      <c r="H17" s="4" t="n">
        <f aca="false">-H6*Assumptions!H18/100</f>
        <v>-248.239935738559</v>
      </c>
      <c r="I17" s="4" t="n">
        <f aca="false">-I6*Assumptions!I18/100</f>
        <v>-248.239935738559</v>
      </c>
      <c r="J17" s="4" t="n">
        <f aca="false">-J6*Assumptions!J18/100</f>
        <v>-250.076911263025</v>
      </c>
      <c r="K17" s="4" t="n">
        <f aca="false">-K6*Assumptions!K18/100</f>
        <v>-254.050736154327</v>
      </c>
      <c r="L17" s="4" t="n">
        <f aca="false">-L6*Assumptions!L18/100</f>
        <v>-261.672258238957</v>
      </c>
    </row>
    <row r="18" customFormat="false" ht="15" hidden="false" customHeight="false" outlineLevel="0" collapsed="false">
      <c r="A18" s="0" t="s">
        <v>144</v>
      </c>
      <c r="C18" s="4" t="n">
        <f aca="false">(C6-B6)*Assumptions!$B$23/100</f>
        <v>-18.00552</v>
      </c>
      <c r="D18" s="4" t="n">
        <f aca="false">(D6-C6)*Assumptions!$B$23/100</f>
        <v>-16.2257436</v>
      </c>
      <c r="E18" s="4" t="n">
        <f aca="false">(E6-D6)*Assumptions!$B$23/100</f>
        <v>-18.674355816</v>
      </c>
      <c r="F18" s="4" t="n">
        <f aca="false">(F6-E6)*Assumptions!$B$23/100</f>
        <v>-18.14524906788</v>
      </c>
      <c r="G18" s="4" t="n">
        <f aca="false">(G6-F6)*Assumptions!$B$23/100</f>
        <v>-17.402943424194</v>
      </c>
      <c r="H18" s="4" t="n">
        <f aca="false">(H6-G6)*Assumptions!$B$23/100</f>
        <v>-16.4457815358633</v>
      </c>
      <c r="I18" s="4" t="n">
        <f aca="false">(I6-H6)*Assumptions!$B$23/100</f>
        <v>-15.2763037377575</v>
      </c>
      <c r="J18" s="4" t="n">
        <f aca="false">(J6-I6)*Assumptions!$B$23/100</f>
        <v>-13.9014364013593</v>
      </c>
      <c r="K18" s="4" t="n">
        <f aca="false">(K6-J6)*Assumptions!$B$23/100</f>
        <v>-12.3325600074916</v>
      </c>
      <c r="L18" s="4" t="n">
        <f aca="false">(L6-K6)*Assumptions!$B$23/100</f>
        <v>-12.7025368077164</v>
      </c>
    </row>
    <row r="19" customFormat="false" ht="15" hidden="false" customHeight="false" outlineLevel="0" collapsed="false">
      <c r="A19" s="0" t="s">
        <v>145</v>
      </c>
      <c r="C19" s="0" t="n">
        <f aca="false">C15+C16+C17+C18</f>
        <v>324.588763884</v>
      </c>
      <c r="D19" s="0" t="n">
        <f aca="false">D15+D16+D17+D18</f>
        <v>324.93139421355</v>
      </c>
      <c r="E19" s="0" t="n">
        <f aca="false">E15+E16+E17+E18</f>
        <v>358.636853589432</v>
      </c>
      <c r="F19" s="0" t="n">
        <f aca="false">F15+F16+F17+F18</f>
        <v>417.624454273938</v>
      </c>
      <c r="G19" s="0" t="n">
        <f aca="false">G15+G16+G17+G18</f>
        <v>474.143193592166</v>
      </c>
      <c r="H19" s="0" t="n">
        <f aca="false">H15+H16+H17+H18</f>
        <v>522.298530282384</v>
      </c>
      <c r="I19" s="0" t="n">
        <f aca="false">I15+I16+I17+I18</f>
        <v>555.476956512338</v>
      </c>
      <c r="J19" s="0" t="n">
        <f aca="false">J15+J16+J17+J18</f>
        <v>584.227723961984</v>
      </c>
      <c r="K19" s="0" t="n">
        <f aca="false">K15+K16+K17+K18</f>
        <v>606.280982528296</v>
      </c>
      <c r="L19" s="0" t="n">
        <f aca="false">L15+L16+L17+L18</f>
        <v>623.451797666549</v>
      </c>
    </row>
    <row r="20" customFormat="false" ht="15" hidden="false" customHeight="false" outlineLevel="0" collapsed="false">
      <c r="A20" s="0" t="s">
        <v>146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147</v>
      </c>
      <c r="C21" s="0" t="n">
        <f aca="false">C19*C20</f>
        <v>297.787856774312</v>
      </c>
      <c r="D21" s="0" t="n">
        <f aca="false">D19*D20</f>
        <v>273.488253693755</v>
      </c>
      <c r="E21" s="0" t="n">
        <f aca="false">E19*E20</f>
        <v>276.933453682838</v>
      </c>
      <c r="F21" s="0" t="n">
        <f aca="false">F19*F20</f>
        <v>295.855692165002</v>
      </c>
      <c r="G21" s="0" t="n">
        <f aca="false">G19*G20</f>
        <v>308.160543115281</v>
      </c>
      <c r="H21" s="0" t="n">
        <f aca="false">H19*H20</f>
        <v>311.42954848442</v>
      </c>
      <c r="I21" s="0" t="n">
        <f aca="false">I19*I20</f>
        <v>303.864917433591</v>
      </c>
      <c r="J21" s="0" t="n">
        <f aca="false">J19*J20</f>
        <v>293.20419430649</v>
      </c>
      <c r="K21" s="0" t="n">
        <f aca="false">K19*K20</f>
        <v>279.148606548464</v>
      </c>
      <c r="L21" s="0" t="n">
        <f aca="false">L19*L20</f>
        <v>263.352776912895</v>
      </c>
    </row>
    <row r="23" customFormat="false" ht="15" hidden="false" customHeight="false" outlineLevel="0" collapsed="false">
      <c r="A23" s="0" t="s">
        <v>123</v>
      </c>
      <c r="C23" s="4" t="n">
        <f aca="false">Assumptions!C16</f>
        <v>1.2</v>
      </c>
      <c r="D23" s="4" t="n">
        <f aca="false">Assumptions!D16</f>
        <v>1.2</v>
      </c>
      <c r="E23" s="4" t="n">
        <f aca="false">Assumptions!E16</f>
        <v>1.2</v>
      </c>
      <c r="F23" s="4" t="n">
        <f aca="false">Assumptions!F16</f>
        <v>1.2</v>
      </c>
      <c r="G23" s="4" t="n">
        <f aca="false">Assumptions!G16</f>
        <v>1.2</v>
      </c>
      <c r="H23" s="4" t="n">
        <f aca="false">Assumptions!H16</f>
        <v>1.2</v>
      </c>
      <c r="I23" s="4" t="n">
        <f aca="false">Assumptions!I16</f>
        <v>1.2</v>
      </c>
      <c r="J23" s="4" t="n">
        <f aca="false">Assumptions!J16</f>
        <v>1.2</v>
      </c>
      <c r="K23" s="4" t="n">
        <f aca="false">Assumptions!K16</f>
        <v>1.2</v>
      </c>
      <c r="L23" s="4" t="n">
        <f aca="false">Assumptions!L16</f>
        <v>1.2</v>
      </c>
    </row>
    <row r="24" customFormat="false" ht="15" hidden="false" customHeight="false" outlineLevel="0" collapsed="false">
      <c r="A24" s="0" t="s">
        <v>148</v>
      </c>
      <c r="C24" s="0" t="n">
        <f aca="false">-C6*C23/100</f>
        <v>-29.501352</v>
      </c>
      <c r="D24" s="0" t="n">
        <f aca="false">-D6*D23/100</f>
        <v>-31.12392636</v>
      </c>
      <c r="E24" s="0" t="n">
        <f aca="false">-E6*E23/100</f>
        <v>-32.9913619416</v>
      </c>
      <c r="F24" s="0" t="n">
        <f aca="false">-F6*F23/100</f>
        <v>-34.805886848388</v>
      </c>
      <c r="G24" s="0" t="n">
        <f aca="false">-G6*G23/100</f>
        <v>-36.5461811908074</v>
      </c>
      <c r="H24" s="0" t="n">
        <f aca="false">-H6*H23/100</f>
        <v>-38.1907593443937</v>
      </c>
      <c r="I24" s="0" t="n">
        <f aca="false">-I6*I23/100</f>
        <v>-39.7183897181695</v>
      </c>
      <c r="J24" s="0" t="n">
        <f aca="false">-J6*J23/100</f>
        <v>-41.1085333583054</v>
      </c>
      <c r="K24" s="0" t="n">
        <f aca="false">-K6*K23/100</f>
        <v>-42.3417893590546</v>
      </c>
      <c r="L24" s="0" t="n">
        <f aca="false">-L6*L23/100</f>
        <v>-43.6120430398262</v>
      </c>
    </row>
    <row r="26" customFormat="false" ht="15" hidden="false" customHeight="false" outlineLevel="0" collapsed="false">
      <c r="A26" s="2" t="s">
        <v>149</v>
      </c>
    </row>
    <row r="27" customFormat="false" ht="15" hidden="false" customHeight="false" outlineLevel="0" collapsed="false">
      <c r="A27" s="0" t="s">
        <v>127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128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129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150</v>
      </c>
      <c r="B30" s="0" t="n">
        <f aca="false">SUM(C21:L21)</f>
        <v>2903.22584311705</v>
      </c>
    </row>
    <row r="31" customFormat="false" ht="15" hidden="false" customHeight="false" outlineLevel="0" collapsed="false">
      <c r="A31" s="0" t="s">
        <v>151</v>
      </c>
      <c r="B31" s="0" t="n">
        <f aca="false">L19</f>
        <v>623.451797666549</v>
      </c>
    </row>
    <row r="32" customFormat="false" ht="15" hidden="false" customHeight="false" outlineLevel="0" collapsed="false">
      <c r="A32" s="0" t="s">
        <v>152</v>
      </c>
      <c r="B32" s="0" t="n">
        <f aca="false">IF(B27&gt;B28,B31*(1+B28/100)/((B27-B28)/100),B31*B29)</f>
        <v>9831.35527089557</v>
      </c>
    </row>
    <row r="33" customFormat="false" ht="15" hidden="false" customHeight="false" outlineLevel="0" collapsed="false">
      <c r="A33" s="0" t="s">
        <v>153</v>
      </c>
      <c r="B33" s="0" t="n">
        <f aca="false">B31*B29</f>
        <v>9351.77696499823</v>
      </c>
    </row>
    <row r="34" customFormat="false" ht="15" hidden="false" customHeight="false" outlineLevel="0" collapsed="false">
      <c r="A34" s="0" t="s">
        <v>154</v>
      </c>
      <c r="B34" s="0" t="n">
        <f aca="false">MAX(0,MIN(B32,B33))</f>
        <v>9351.77696499823</v>
      </c>
    </row>
    <row r="35" customFormat="false" ht="15" hidden="false" customHeight="false" outlineLevel="0" collapsed="false">
      <c r="A35" s="0" t="s">
        <v>155</v>
      </c>
      <c r="B35" s="0" t="n">
        <f aca="false">B34/(1+B27/100)^L4</f>
        <v>3950.29165369342</v>
      </c>
    </row>
    <row r="36" customFormat="false" ht="15" hidden="false" customHeight="false" outlineLevel="0" collapsed="false">
      <c r="A36" s="0" t="s">
        <v>156</v>
      </c>
      <c r="B36" s="0" t="n">
        <f aca="false">B30+B35</f>
        <v>6853.51749681047</v>
      </c>
    </row>
    <row r="37" customFormat="false" ht="15" hidden="false" customHeight="false" outlineLevel="0" collapsed="false">
      <c r="A37" s="0" t="s">
        <v>157</v>
      </c>
      <c r="B37" s="0" t="n">
        <f aca="false">B36+Assumptions!$B$5-Assumptions!$B$4</f>
        <v>7277.81749681047</v>
      </c>
    </row>
    <row r="38" customFormat="false" ht="15" hidden="false" customHeight="false" outlineLevel="0" collapsed="false">
      <c r="A38" s="0" t="s">
        <v>158</v>
      </c>
      <c r="B38" s="0" t="n">
        <f aca="false">B37/Assumptions!$B$3*Assumptions!$B$10</f>
        <v>9.9192588725564</v>
      </c>
    </row>
    <row r="39" customFormat="false" ht="15" hidden="false" customHeight="false" outlineLevel="0" collapsed="false">
      <c r="A39" s="0" t="s">
        <v>159</v>
      </c>
      <c r="B39" s="4" t="n">
        <f aca="false">B38/Assumptions!$B$2-1</f>
        <v>-0.725987323962531</v>
      </c>
    </row>
    <row r="41" customFormat="false" ht="15" hidden="false" customHeight="false" outlineLevel="0" collapsed="false">
      <c r="A41" s="0" t="s">
        <v>160</v>
      </c>
      <c r="B41" s="0" t="n">
        <f aca="false">SUMPRODUCT(-C10:L10/(1+$B$27/100)^C4:L4)</f>
        <v>123.793938248212</v>
      </c>
    </row>
    <row r="42" customFormat="false" ht="15" hidden="false" customHeight="false" outlineLevel="0" collapsed="false">
      <c r="A42" s="0" t="s">
        <v>161</v>
      </c>
      <c r="B42" s="0" t="n">
        <f aca="false">IF(B27&gt;B28,-L10*(1+B28/100)/((B27-B28)/100),-L10*20)/(1+B27/100)^L4</f>
        <v>157.356277067442</v>
      </c>
    </row>
    <row r="43" customFormat="false" ht="15" hidden="false" customHeight="false" outlineLevel="0" collapsed="false">
      <c r="A43" s="0" t="s">
        <v>162</v>
      </c>
      <c r="B43" s="0" t="n">
        <f aca="false">(B37+B41+B42)/Assumptions!$B$3*Assumptions!$B$10</f>
        <v>10.3024509172886</v>
      </c>
    </row>
    <row r="45" customFormat="false" ht="15" hidden="false" customHeight="false" outlineLevel="0" collapsed="false">
      <c r="A45" s="0" t="s">
        <v>103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163</v>
      </c>
      <c r="B46" s="0" t="n">
        <f aca="false">MAX(0,MIN(IF(B45&gt;B28,B31*(1+B28/100)/((B45-B28)/100),B31*B29),B31*B29))</f>
        <v>5112.3047408657</v>
      </c>
    </row>
    <row r="47" customFormat="false" ht="15" hidden="false" customHeight="false" outlineLevel="0" collapsed="false">
      <c r="A47" s="0" t="s">
        <v>164</v>
      </c>
      <c r="B47" s="0" t="n">
        <f aca="false">(SUMPRODUCT(C19:L19/(1+B45/100)^C4:L4)+B46/(1+B45/100)^L4+Assumptions!$B$5-Assumptions!$B$4)/Assumptions!$B$3*Assumptions!$B$10</f>
        <v>5.28592579292435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165</v>
      </c>
    </row>
    <row r="3" customFormat="false" ht="15" hidden="false" customHeight="false" outlineLevel="0" collapsed="false">
      <c r="A3" s="0" t="s">
        <v>135</v>
      </c>
      <c r="B3" s="0" t="s">
        <v>97</v>
      </c>
      <c r="C3" s="2" t="s">
        <v>110</v>
      </c>
      <c r="D3" s="2" t="s">
        <v>111</v>
      </c>
      <c r="E3" s="2" t="s">
        <v>112</v>
      </c>
      <c r="F3" s="2" t="s">
        <v>113</v>
      </c>
      <c r="G3" s="2" t="s">
        <v>114</v>
      </c>
      <c r="H3" s="2" t="s">
        <v>115</v>
      </c>
      <c r="I3" s="2" t="s">
        <v>116</v>
      </c>
      <c r="J3" s="2" t="s">
        <v>117</v>
      </c>
      <c r="K3" s="2" t="s">
        <v>118</v>
      </c>
      <c r="L3" s="2" t="s">
        <v>119</v>
      </c>
    </row>
    <row r="4" customFormat="false" ht="15" hidden="false" customHeight="false" outlineLevel="0" collapsed="false">
      <c r="A4" s="0" t="s">
        <v>136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120</v>
      </c>
      <c r="C5" s="4" t="n">
        <f aca="false">Assumptions!C27</f>
        <v>9.2</v>
      </c>
      <c r="D5" s="4" t="n">
        <f aca="false">Assumptions!D27</f>
        <v>10.5</v>
      </c>
      <c r="E5" s="4" t="n">
        <f aca="false">Assumptions!E27</f>
        <v>10.5</v>
      </c>
      <c r="F5" s="4" t="n">
        <f aca="false">Assumptions!F27</f>
        <v>9.5</v>
      </c>
      <c r="G5" s="4" t="n">
        <f aca="false">Assumptions!G27</f>
        <v>8.5</v>
      </c>
      <c r="H5" s="4" t="n">
        <f aca="false">Assumptions!H27</f>
        <v>7.5</v>
      </c>
      <c r="I5" s="4" t="n">
        <f aca="false">Assumptions!I27</f>
        <v>6.5</v>
      </c>
      <c r="J5" s="4" t="n">
        <f aca="false">Assumptions!J27</f>
        <v>5.5</v>
      </c>
      <c r="K5" s="4" t="n">
        <f aca="false">Assumptions!K27</f>
        <v>4.5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63</v>
      </c>
      <c r="B6" s="3" t="n">
        <v>2308.4</v>
      </c>
      <c r="C6" s="0" t="n">
        <f aca="false">B6*(1+C5/100)</f>
        <v>2520.7728</v>
      </c>
      <c r="D6" s="0" t="n">
        <f aca="false">C6*(1+D5/100)</f>
        <v>2785.453944</v>
      </c>
      <c r="E6" s="0" t="n">
        <f aca="false">D6*(1+E5/100)</f>
        <v>3077.92660812</v>
      </c>
      <c r="F6" s="0" t="n">
        <f aca="false">E6*(1+F5/100)</f>
        <v>3370.3296358914</v>
      </c>
      <c r="G6" s="0" t="n">
        <f aca="false">F6*(1+G5/100)</f>
        <v>3656.80765494217</v>
      </c>
      <c r="H6" s="0" t="n">
        <f aca="false">G6*(1+H5/100)</f>
        <v>3931.06822906283</v>
      </c>
      <c r="I6" s="0" t="n">
        <f aca="false">H6*(1+I5/100)</f>
        <v>4186.58766395192</v>
      </c>
      <c r="J6" s="0" t="n">
        <f aca="false">I6*(1+J5/100)</f>
        <v>4416.84998546927</v>
      </c>
      <c r="K6" s="0" t="n">
        <f aca="false">J6*(1+K5/100)</f>
        <v>4615.60823481539</v>
      </c>
      <c r="L6" s="0" t="n">
        <f aca="false">K6*(1+L5/100)</f>
        <v>4800.232564208</v>
      </c>
    </row>
    <row r="7" customFormat="false" ht="15" hidden="false" customHeight="false" outlineLevel="0" collapsed="false">
      <c r="A7" s="0" t="s">
        <v>121</v>
      </c>
      <c r="C7" s="4" t="n">
        <f aca="false">Assumptions!C28</f>
        <v>35</v>
      </c>
      <c r="D7" s="4" t="n">
        <f aca="false">Assumptions!D28</f>
        <v>35.4</v>
      </c>
      <c r="E7" s="4" t="n">
        <f aca="false">Assumptions!E28</f>
        <v>35.7</v>
      </c>
      <c r="F7" s="4" t="n">
        <f aca="false">Assumptions!F28</f>
        <v>35.9</v>
      </c>
      <c r="G7" s="4" t="n">
        <f aca="false">Assumptions!G28</f>
        <v>36</v>
      </c>
      <c r="H7" s="4" t="n">
        <f aca="false">Assumptions!H28</f>
        <v>36.1</v>
      </c>
      <c r="I7" s="4" t="n">
        <f aca="false">Assumptions!I28</f>
        <v>36.3</v>
      </c>
      <c r="J7" s="4" t="n">
        <f aca="false">Assumptions!J28</f>
        <v>36.4</v>
      </c>
      <c r="K7" s="4" t="n">
        <f aca="false">Assumptions!K28</f>
        <v>36.5</v>
      </c>
      <c r="L7" s="4" t="n">
        <f aca="false">Assumptions!L28</f>
        <v>36.5</v>
      </c>
    </row>
    <row r="8" customFormat="false" ht="15" hidden="false" customHeight="false" outlineLevel="0" collapsed="false">
      <c r="A8" s="0" t="s">
        <v>69</v>
      </c>
      <c r="C8" s="0" t="n">
        <f aca="false">C6*C7/100</f>
        <v>882.27048</v>
      </c>
      <c r="D8" s="0" t="n">
        <f aca="false">D6*D7/100</f>
        <v>986.050696176</v>
      </c>
      <c r="E8" s="0" t="n">
        <f aca="false">E6*E7/100</f>
        <v>1098.81979909884</v>
      </c>
      <c r="F8" s="0" t="n">
        <f aca="false">F6*F7/100</f>
        <v>1209.94833928501</v>
      </c>
      <c r="G8" s="0" t="n">
        <f aca="false">G6*G7/100</f>
        <v>1316.45075577918</v>
      </c>
      <c r="H8" s="0" t="n">
        <f aca="false">H6*H7/100</f>
        <v>1419.11563069168</v>
      </c>
      <c r="I8" s="0" t="n">
        <f aca="false">I6*I7/100</f>
        <v>1519.73132201455</v>
      </c>
      <c r="J8" s="0" t="n">
        <f aca="false">J6*J7/100</f>
        <v>1607.73339471081</v>
      </c>
      <c r="K8" s="0" t="n">
        <f aca="false">K6*K7/100</f>
        <v>1684.69700570762</v>
      </c>
      <c r="L8" s="0" t="n">
        <f aca="false">L6*L7/100</f>
        <v>1752.08488593592</v>
      </c>
    </row>
    <row r="9" customFormat="false" ht="15" hidden="false" customHeight="false" outlineLevel="0" collapsed="false">
      <c r="A9" s="0" t="s">
        <v>122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137</v>
      </c>
      <c r="C10" s="0" t="n">
        <f aca="false">-C6*C9/100</f>
        <v>-15.1246368</v>
      </c>
      <c r="D10" s="0" t="n">
        <f aca="false">-D6*D9/100</f>
        <v>-16.712723664</v>
      </c>
      <c r="E10" s="0" t="n">
        <f aca="false">-E6*E9/100</f>
        <v>-18.46755964872</v>
      </c>
      <c r="F10" s="0" t="n">
        <f aca="false">-F6*F9/100</f>
        <v>-20.2219778153484</v>
      </c>
      <c r="G10" s="0" t="n">
        <f aca="false">-G6*G9/100</f>
        <v>-21.940845929653</v>
      </c>
      <c r="H10" s="0" t="n">
        <f aca="false">-H6*H9/100</f>
        <v>-23.586409374377</v>
      </c>
      <c r="I10" s="0" t="n">
        <f aca="false">-I6*I9/100</f>
        <v>-25.1195259837115</v>
      </c>
      <c r="J10" s="0" t="n">
        <f aca="false">-J6*J9/100</f>
        <v>-26.5010999128156</v>
      </c>
      <c r="K10" s="0" t="n">
        <f aca="false">-K6*K9/100</f>
        <v>-27.6936494088923</v>
      </c>
      <c r="L10" s="0" t="n">
        <f aca="false">-L6*L9/100</f>
        <v>-28.801395385248</v>
      </c>
    </row>
    <row r="11" customFormat="false" ht="15" hidden="false" customHeight="false" outlineLevel="0" collapsed="false">
      <c r="A11" s="0" t="s">
        <v>138</v>
      </c>
      <c r="C11" s="0" t="n">
        <f aca="false">C8+C10+C24</f>
        <v>839.4173424</v>
      </c>
      <c r="D11" s="0" t="n">
        <f aca="false">D8+D10+D24</f>
        <v>938.697979128</v>
      </c>
      <c r="E11" s="0" t="n">
        <f aca="false">E8+E10+E24</f>
        <v>1046.4950467608</v>
      </c>
      <c r="F11" s="0" t="n">
        <f aca="false">F8+F10+F24</f>
        <v>1152.65273547486</v>
      </c>
      <c r="G11" s="0" t="n">
        <f aca="false">G8+G10+G24</f>
        <v>1254.28502564516</v>
      </c>
      <c r="H11" s="0" t="n">
        <f aca="false">H8+H10+H24</f>
        <v>1352.28747079761</v>
      </c>
      <c r="I11" s="0" t="n">
        <f aca="false">I8+I10+I24</f>
        <v>1448.55933172736</v>
      </c>
      <c r="J11" s="0" t="n">
        <f aca="false">J8+J10+J24</f>
        <v>1532.64694495784</v>
      </c>
      <c r="K11" s="0" t="n">
        <f aca="false">K8+K10+K24</f>
        <v>1606.23166571576</v>
      </c>
      <c r="L11" s="0" t="n">
        <f aca="false">L8+L10+L24</f>
        <v>1670.48093234438</v>
      </c>
    </row>
    <row r="12" customFormat="false" ht="15" hidden="false" customHeight="false" outlineLevel="0" collapsed="false">
      <c r="A12" s="0" t="s">
        <v>139</v>
      </c>
      <c r="C12" s="4" t="n">
        <f aca="false">-C6*Assumptions!C31/100</f>
        <v>-151.246368</v>
      </c>
      <c r="D12" s="4" t="n">
        <f aca="false">-D6*Assumptions!D31/100</f>
        <v>-181.05450636</v>
      </c>
      <c r="E12" s="4" t="n">
        <f aca="false">-E6*Assumptions!E31/100</f>
        <v>-215.4548625684</v>
      </c>
      <c r="F12" s="4" t="n">
        <f aca="false">-F6*Assumptions!F31/100</f>
        <v>-246.034063420072</v>
      </c>
      <c r="G12" s="4" t="n">
        <f aca="false">-G6*Assumptions!G31/100</f>
        <v>-263.290151155836</v>
      </c>
      <c r="H12" s="4" t="n">
        <f aca="false">-H6*Assumptions!H31/100</f>
        <v>-275.174776034398</v>
      </c>
      <c r="I12" s="4" t="n">
        <f aca="false">-I6*Assumptions!I31/100</f>
        <v>-284.68796114873</v>
      </c>
      <c r="J12" s="4" t="n">
        <f aca="false">-J6*Assumptions!J31/100</f>
        <v>-291.512099040972</v>
      </c>
      <c r="K12" s="4" t="n">
        <f aca="false">-K6*Assumptions!K31/100</f>
        <v>-295.398927028185</v>
      </c>
      <c r="L12" s="4" t="n">
        <f aca="false">-L6*Assumptions!L31/100</f>
        <v>-302.414651545104</v>
      </c>
    </row>
    <row r="13" customFormat="false" ht="15" hidden="false" customHeight="false" outlineLevel="0" collapsed="false">
      <c r="A13" s="0" t="s">
        <v>140</v>
      </c>
      <c r="C13" s="0" t="n">
        <f aca="false">C11+C12</f>
        <v>688.1709744</v>
      </c>
      <c r="D13" s="0" t="n">
        <f aca="false">D11+D12</f>
        <v>757.643472768</v>
      </c>
      <c r="E13" s="0" t="n">
        <f aca="false">E11+E12</f>
        <v>831.0401841924</v>
      </c>
      <c r="F13" s="0" t="n">
        <f aca="false">F11+F12</f>
        <v>906.618672054787</v>
      </c>
      <c r="G13" s="0" t="n">
        <f aca="false">G11+G12</f>
        <v>990.994874489328</v>
      </c>
      <c r="H13" s="0" t="n">
        <f aca="false">H11+H12</f>
        <v>1077.11269476322</v>
      </c>
      <c r="I13" s="0" t="n">
        <f aca="false">I11+I12</f>
        <v>1163.87137057863</v>
      </c>
      <c r="J13" s="0" t="n">
        <f aca="false">J11+J12</f>
        <v>1241.13484591687</v>
      </c>
      <c r="K13" s="0" t="n">
        <f aca="false">K11+K12</f>
        <v>1310.83273868757</v>
      </c>
      <c r="L13" s="0" t="n">
        <f aca="false">L11+L12</f>
        <v>1368.06628079928</v>
      </c>
    </row>
    <row r="14" customFormat="false" ht="15" hidden="false" customHeight="false" outlineLevel="0" collapsed="false">
      <c r="A14" s="0" t="s">
        <v>126</v>
      </c>
      <c r="C14" s="4" t="n">
        <f aca="false">Assumptions!C33</f>
        <v>25.8</v>
      </c>
      <c r="D14" s="4" t="n">
        <f aca="false">Assumptions!D33</f>
        <v>25.8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26.5</v>
      </c>
      <c r="H14" s="4" t="n">
        <f aca="false">Assumptions!H33</f>
        <v>26.5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141</v>
      </c>
      <c r="C15" s="0" t="n">
        <f aca="false">C13-MAX(0,C13)*C14/100</f>
        <v>510.6228630048</v>
      </c>
      <c r="D15" s="0" t="n">
        <f aca="false">D13-MAX(0,D13)*D14/100</f>
        <v>562.171456793856</v>
      </c>
      <c r="E15" s="0" t="n">
        <f aca="false">E13-MAX(0,E13)*E14/100</f>
        <v>614.969736302376</v>
      </c>
      <c r="F15" s="0" t="n">
        <f aca="false">F13-MAX(0,F13)*F14/100</f>
        <v>670.897817320542</v>
      </c>
      <c r="G15" s="0" t="n">
        <f aca="false">G13-MAX(0,G13)*G14/100</f>
        <v>728.381232749656</v>
      </c>
      <c r="H15" s="0" t="n">
        <f aca="false">H13-MAX(0,H13)*H14/100</f>
        <v>791.677830650964</v>
      </c>
      <c r="I15" s="0" t="n">
        <f aca="false">I13-MAX(0,I13)*I14/100</f>
        <v>849.626100522402</v>
      </c>
      <c r="J15" s="0" t="n">
        <f aca="false">J13-MAX(0,J13)*J14/100</f>
        <v>906.028437519312</v>
      </c>
      <c r="K15" s="0" t="n">
        <f aca="false">K13-MAX(0,K13)*K14/100</f>
        <v>956.907899241926</v>
      </c>
      <c r="L15" s="0" t="n">
        <f aca="false">L13-MAX(0,L13)*L14/100</f>
        <v>998.688384983475</v>
      </c>
    </row>
    <row r="16" customFormat="false" ht="15" hidden="false" customHeight="false" outlineLevel="0" collapsed="false">
      <c r="A16" s="0" t="s">
        <v>142</v>
      </c>
      <c r="C16" s="0" t="n">
        <f aca="false">-C12</f>
        <v>151.246368</v>
      </c>
      <c r="D16" s="0" t="n">
        <f aca="false">-D12</f>
        <v>181.05450636</v>
      </c>
      <c r="E16" s="0" t="n">
        <f aca="false">-E12</f>
        <v>215.4548625684</v>
      </c>
      <c r="F16" s="0" t="n">
        <f aca="false">-F12</f>
        <v>246.034063420072</v>
      </c>
      <c r="G16" s="0" t="n">
        <f aca="false">-G12</f>
        <v>263.290151155836</v>
      </c>
      <c r="H16" s="0" t="n">
        <f aca="false">-H12</f>
        <v>275.174776034398</v>
      </c>
      <c r="I16" s="0" t="n">
        <f aca="false">-I12</f>
        <v>284.68796114873</v>
      </c>
      <c r="J16" s="0" t="n">
        <f aca="false">-J12</f>
        <v>291.512099040972</v>
      </c>
      <c r="K16" s="0" t="n">
        <f aca="false">-K12</f>
        <v>295.398927028185</v>
      </c>
      <c r="L16" s="0" t="n">
        <f aca="false">-L12</f>
        <v>302.414651545104</v>
      </c>
    </row>
    <row r="17" customFormat="false" ht="15" hidden="false" customHeight="false" outlineLevel="0" collapsed="false">
      <c r="A17" s="0" t="s">
        <v>143</v>
      </c>
      <c r="C17" s="4" t="n">
        <f aca="false">-C6*Assumptions!C32/100</f>
        <v>-239.473416</v>
      </c>
      <c r="D17" s="4" t="n">
        <f aca="false">-D6*Assumptions!D32/100</f>
        <v>-272.974486512</v>
      </c>
      <c r="E17" s="4" t="n">
        <f aca="false">-E6*Assumptions!E32/100</f>
        <v>-277.0133947308</v>
      </c>
      <c r="F17" s="4" t="n">
        <f aca="false">-F6*Assumptions!F32/100</f>
        <v>-269.626370871312</v>
      </c>
      <c r="G17" s="4" t="n">
        <f aca="false">-G6*Assumptions!G32/100</f>
        <v>-274.260574120663</v>
      </c>
      <c r="H17" s="4" t="n">
        <f aca="false">-H6*Assumptions!H32/100</f>
        <v>-275.174776034398</v>
      </c>
      <c r="I17" s="4" t="n">
        <f aca="false">-I6*Assumptions!I32/100</f>
        <v>-284.68796114873</v>
      </c>
      <c r="J17" s="4" t="n">
        <f aca="false">-J6*Assumptions!J32/100</f>
        <v>-291.512099040972</v>
      </c>
      <c r="K17" s="4" t="n">
        <f aca="false">-K6*Assumptions!K32/100</f>
        <v>-300.014535263</v>
      </c>
      <c r="L17" s="4" t="n">
        <f aca="false">-L6*Assumptions!L32/100</f>
        <v>-312.01511667352</v>
      </c>
    </row>
    <row r="18" customFormat="false" ht="15" hidden="false" customHeight="false" outlineLevel="0" collapsed="false">
      <c r="A18" s="0" t="s">
        <v>144</v>
      </c>
      <c r="C18" s="4" t="n">
        <f aca="false">(C6-B6)*Assumptions!$B$37/100</f>
        <v>-21.23728</v>
      </c>
      <c r="D18" s="4" t="n">
        <f aca="false">(D6-C6)*Assumptions!$B$37/100</f>
        <v>-26.4681144</v>
      </c>
      <c r="E18" s="4" t="n">
        <f aca="false">(E6-D6)*Assumptions!$B$37/100</f>
        <v>-29.247266412</v>
      </c>
      <c r="F18" s="4" t="n">
        <f aca="false">(F6-E6)*Assumptions!$B$37/100</f>
        <v>-29.24030277714</v>
      </c>
      <c r="G18" s="4" t="n">
        <f aca="false">(G6-F6)*Assumptions!$B$37/100</f>
        <v>-28.6478019050769</v>
      </c>
      <c r="H18" s="4" t="n">
        <f aca="false">(H6-G6)*Assumptions!$B$37/100</f>
        <v>-27.4260574120663</v>
      </c>
      <c r="I18" s="4" t="n">
        <f aca="false">(I6-H6)*Assumptions!$B$37/100</f>
        <v>-25.5519434889084</v>
      </c>
      <c r="J18" s="4" t="n">
        <f aca="false">(J6-I6)*Assumptions!$B$37/100</f>
        <v>-23.0262321517355</v>
      </c>
      <c r="K18" s="4" t="n">
        <f aca="false">(K6-J6)*Assumptions!$B$37/100</f>
        <v>-19.8758249346117</v>
      </c>
      <c r="L18" s="4" t="n">
        <f aca="false">(L6-K6)*Assumptions!$B$37/100</f>
        <v>-18.4624329392615</v>
      </c>
    </row>
    <row r="19" customFormat="false" ht="15" hidden="false" customHeight="false" outlineLevel="0" collapsed="false">
      <c r="A19" s="0" t="s">
        <v>145</v>
      </c>
      <c r="C19" s="0" t="n">
        <f aca="false">C15+C16+C17+C18</f>
        <v>401.1585350048</v>
      </c>
      <c r="D19" s="0" t="n">
        <f aca="false">D15+D16+D17+D18</f>
        <v>443.783362241856</v>
      </c>
      <c r="E19" s="0" t="n">
        <f aca="false">E15+E16+E17+E18</f>
        <v>524.163937727976</v>
      </c>
      <c r="F19" s="0" t="n">
        <f aca="false">F15+F16+F17+F18</f>
        <v>618.065207092162</v>
      </c>
      <c r="G19" s="0" t="n">
        <f aca="false">G15+G16+G17+G18</f>
        <v>688.763007879752</v>
      </c>
      <c r="H19" s="0" t="n">
        <f aca="false">H15+H16+H17+H18</f>
        <v>764.251773238898</v>
      </c>
      <c r="I19" s="0" t="n">
        <f aca="false">I15+I16+I17+I18</f>
        <v>824.074157033493</v>
      </c>
      <c r="J19" s="0" t="n">
        <f aca="false">J15+J16+J17+J18</f>
        <v>883.002205367576</v>
      </c>
      <c r="K19" s="0" t="n">
        <f aca="false">K15+K16+K17+K18</f>
        <v>932.416466072499</v>
      </c>
      <c r="L19" s="0" t="n">
        <f aca="false">L15+L16+L17+L18</f>
        <v>970.625486915797</v>
      </c>
    </row>
    <row r="20" customFormat="false" ht="15" hidden="false" customHeight="false" outlineLevel="0" collapsed="false">
      <c r="A20" s="0" t="s">
        <v>146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147</v>
      </c>
      <c r="C21" s="0" t="n">
        <f aca="false">C19*C20</f>
        <v>368.035353215413</v>
      </c>
      <c r="D21" s="0" t="n">
        <f aca="false">D19*D20</f>
        <v>373.523577343537</v>
      </c>
      <c r="E21" s="0" t="n">
        <f aca="false">E19*E20</f>
        <v>404.750733557299</v>
      </c>
      <c r="F21" s="0" t="n">
        <f aca="false">F19*F20</f>
        <v>437.852974786319</v>
      </c>
      <c r="G21" s="0" t="n">
        <f aca="false">G19*G20</f>
        <v>447.648696542306</v>
      </c>
      <c r="H21" s="0" t="n">
        <f aca="false">H19*H20</f>
        <v>455.698361891858</v>
      </c>
      <c r="I21" s="0" t="n">
        <f aca="false">I19*I20</f>
        <v>450.79678418771</v>
      </c>
      <c r="J21" s="0" t="n">
        <f aca="false">J19*J20</f>
        <v>443.149031750675</v>
      </c>
      <c r="K21" s="0" t="n">
        <f aca="false">K19*K20</f>
        <v>429.310443058197</v>
      </c>
      <c r="L21" s="0" t="n">
        <f aca="false">L19*L20</f>
        <v>410.002695121623</v>
      </c>
    </row>
    <row r="23" customFormat="false" ht="15" hidden="false" customHeight="false" outlineLevel="0" collapsed="false">
      <c r="A23" s="0" t="s">
        <v>123</v>
      </c>
      <c r="C23" s="4" t="n">
        <f aca="false">Assumptions!C30</f>
        <v>1.1</v>
      </c>
      <c r="D23" s="4" t="n">
        <f aca="false">Assumptions!D30</f>
        <v>1.1</v>
      </c>
      <c r="E23" s="4" t="n">
        <f aca="false">Assumptions!E30</f>
        <v>1.1</v>
      </c>
      <c r="F23" s="4" t="n">
        <f aca="false">Assumptions!F30</f>
        <v>1.1</v>
      </c>
      <c r="G23" s="4" t="n">
        <f aca="false">Assumptions!G30</f>
        <v>1.1</v>
      </c>
      <c r="H23" s="4" t="n">
        <f aca="false">Assumptions!H30</f>
        <v>1.1</v>
      </c>
      <c r="I23" s="4" t="n">
        <f aca="false">Assumptions!I30</f>
        <v>1.1</v>
      </c>
      <c r="J23" s="4" t="n">
        <f aca="false">Assumptions!J30</f>
        <v>1.1</v>
      </c>
      <c r="K23" s="4" t="n">
        <f aca="false">Assumptions!K30</f>
        <v>1.1</v>
      </c>
      <c r="L23" s="4" t="n">
        <f aca="false">Assumptions!L30</f>
        <v>1.1</v>
      </c>
    </row>
    <row r="24" customFormat="false" ht="15" hidden="false" customHeight="false" outlineLevel="0" collapsed="false">
      <c r="A24" s="0" t="s">
        <v>148</v>
      </c>
      <c r="C24" s="0" t="n">
        <f aca="false">-C6*C23/100</f>
        <v>-27.7285008</v>
      </c>
      <c r="D24" s="0" t="n">
        <f aca="false">-D6*D23/100</f>
        <v>-30.639993384</v>
      </c>
      <c r="E24" s="0" t="n">
        <f aca="false">-E6*E23/100</f>
        <v>-33.85719268932</v>
      </c>
      <c r="F24" s="0" t="n">
        <f aca="false">-F6*F23/100</f>
        <v>-37.0736259948054</v>
      </c>
      <c r="G24" s="0" t="n">
        <f aca="false">-G6*G23/100</f>
        <v>-40.2248842043639</v>
      </c>
      <c r="H24" s="0" t="n">
        <f aca="false">-H6*H23/100</f>
        <v>-43.2417505196912</v>
      </c>
      <c r="I24" s="0" t="n">
        <f aca="false">-I6*I23/100</f>
        <v>-46.0524643034711</v>
      </c>
      <c r="J24" s="0" t="n">
        <f aca="false">-J6*J23/100</f>
        <v>-48.585349840162</v>
      </c>
      <c r="K24" s="0" t="n">
        <f aca="false">-K6*K23/100</f>
        <v>-50.7716905829693</v>
      </c>
      <c r="L24" s="0" t="n">
        <f aca="false">-L6*L23/100</f>
        <v>-52.802558206288</v>
      </c>
    </row>
    <row r="26" customFormat="false" ht="15" hidden="false" customHeight="false" outlineLevel="0" collapsed="false">
      <c r="A26" s="2" t="s">
        <v>149</v>
      </c>
    </row>
    <row r="27" customFormat="false" ht="15" hidden="false" customHeight="false" outlineLevel="0" collapsed="false">
      <c r="A27" s="0" t="s">
        <v>127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128</v>
      </c>
      <c r="B28" s="4" t="n">
        <f aca="false">Assumptions!$B$35</f>
        <v>3.5</v>
      </c>
    </row>
    <row r="29" customFormat="false" ht="15" hidden="false" customHeight="false" outlineLevel="0" collapsed="false">
      <c r="A29" s="0" t="s">
        <v>129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150</v>
      </c>
      <c r="B30" s="0" t="n">
        <f aca="false">SUM(C21:L21)</f>
        <v>4220.76865145494</v>
      </c>
    </row>
    <row r="31" customFormat="false" ht="15" hidden="false" customHeight="false" outlineLevel="0" collapsed="false">
      <c r="A31" s="0" t="s">
        <v>151</v>
      </c>
      <c r="B31" s="0" t="n">
        <f aca="false">L19</f>
        <v>970.625486915797</v>
      </c>
    </row>
    <row r="32" customFormat="false" ht="15" hidden="false" customHeight="false" outlineLevel="0" collapsed="false">
      <c r="A32" s="0" t="s">
        <v>152</v>
      </c>
      <c r="B32" s="0" t="n">
        <f aca="false">IF(B27&gt;B28,B31*(1+B28/100)/((B27-B28)/100),B31*B29)</f>
        <v>18265.4068901427</v>
      </c>
    </row>
    <row r="33" customFormat="false" ht="15" hidden="false" customHeight="false" outlineLevel="0" collapsed="false">
      <c r="A33" s="0" t="s">
        <v>153</v>
      </c>
      <c r="B33" s="0" t="n">
        <f aca="false">B31*B29</f>
        <v>19412.509738316</v>
      </c>
    </row>
    <row r="34" customFormat="false" ht="15" hidden="false" customHeight="false" outlineLevel="0" collapsed="false">
      <c r="A34" s="0" t="s">
        <v>154</v>
      </c>
      <c r="B34" s="0" t="n">
        <f aca="false">MAX(0,MIN(B32,B33))</f>
        <v>18265.4068901427</v>
      </c>
    </row>
    <row r="35" customFormat="false" ht="15" hidden="false" customHeight="false" outlineLevel="0" collapsed="false">
      <c r="A35" s="0" t="s">
        <v>155</v>
      </c>
      <c r="B35" s="0" t="n">
        <f aca="false">B34/(1+B27/100)^L4</f>
        <v>7715.50526274327</v>
      </c>
    </row>
    <row r="36" customFormat="false" ht="15" hidden="false" customHeight="false" outlineLevel="0" collapsed="false">
      <c r="A36" s="0" t="s">
        <v>156</v>
      </c>
      <c r="B36" s="0" t="n">
        <f aca="false">B30+B35</f>
        <v>11936.2739141982</v>
      </c>
    </row>
    <row r="37" customFormat="false" ht="15" hidden="false" customHeight="false" outlineLevel="0" collapsed="false">
      <c r="A37" s="0" t="s">
        <v>157</v>
      </c>
      <c r="B37" s="0" t="n">
        <f aca="false">B36+Assumptions!$B$5-Assumptions!$B$4</f>
        <v>12360.5739141982</v>
      </c>
    </row>
    <row r="38" customFormat="false" ht="15" hidden="false" customHeight="false" outlineLevel="0" collapsed="false">
      <c r="A38" s="0" t="s">
        <v>158</v>
      </c>
      <c r="B38" s="0" t="n">
        <f aca="false">B37/Assumptions!$B$3*Assumptions!$B$10</f>
        <v>16.8467720607219</v>
      </c>
    </row>
    <row r="39" customFormat="false" ht="15" hidden="false" customHeight="false" outlineLevel="0" collapsed="false">
      <c r="A39" s="0" t="s">
        <v>159</v>
      </c>
      <c r="B39" s="4" t="n">
        <f aca="false">B38/Assumptions!$B$2-1</f>
        <v>-0.534619556333649</v>
      </c>
    </row>
    <row r="41" customFormat="false" ht="15" hidden="false" customHeight="false" outlineLevel="0" collapsed="false">
      <c r="A41" s="0" t="s">
        <v>160</v>
      </c>
      <c r="B41" s="0" t="n">
        <f aca="false">SUMPRODUCT(-C10:L10/(1+$B$27/100)^C4:L4)</f>
        <v>136.810727294944</v>
      </c>
    </row>
    <row r="42" customFormat="false" ht="15" hidden="false" customHeight="false" outlineLevel="0" collapsed="false">
      <c r="A42" s="0" t="s">
        <v>161</v>
      </c>
      <c r="B42" s="0" t="n">
        <f aca="false">IF(B27&gt;B28,-L10*(1+B28/100)/((B27-B28)/100),-L10*20)/(1+B27/100)^L4</f>
        <v>228.942388866519</v>
      </c>
    </row>
    <row r="43" customFormat="false" ht="15" hidden="false" customHeight="false" outlineLevel="0" collapsed="false">
      <c r="A43" s="0" t="s">
        <v>162</v>
      </c>
      <c r="B43" s="0" t="n">
        <f aca="false">(B37+B41+B42)/Assumptions!$B$3*Assumptions!$B$10</f>
        <v>17.3452731352872</v>
      </c>
    </row>
    <row r="45" customFormat="false" ht="15" hidden="false" customHeight="false" outlineLevel="0" collapsed="false">
      <c r="A45" s="0" t="s">
        <v>103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163</v>
      </c>
      <c r="B46" s="0" t="n">
        <f aca="false">MAX(0,MIN(IF(B45&gt;B28,B31*(1+B28/100)/((B45-B28)/100),B31*B29),B31*B29))</f>
        <v>8735.62938224218</v>
      </c>
    </row>
    <row r="47" customFormat="false" ht="15" hidden="false" customHeight="false" outlineLevel="0" collapsed="false">
      <c r="A47" s="0" t="s">
        <v>164</v>
      </c>
      <c r="B47" s="0" t="n">
        <f aca="false">(SUMPRODUCT(C19:L19/(1+B45/100)^C4:L4)+B46/(1+B45/100)^L4+Assumptions!$B$5-Assumptions!$B$4)/Assumptions!$B$3*Assumptions!$B$10</f>
        <v>7.82645109138357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166</v>
      </c>
    </row>
    <row r="3" customFormat="false" ht="15" hidden="false" customHeight="false" outlineLevel="0" collapsed="false">
      <c r="A3" s="0" t="s">
        <v>135</v>
      </c>
      <c r="B3" s="0" t="s">
        <v>97</v>
      </c>
      <c r="C3" s="2" t="s">
        <v>110</v>
      </c>
      <c r="D3" s="2" t="s">
        <v>111</v>
      </c>
      <c r="E3" s="2" t="s">
        <v>112</v>
      </c>
      <c r="F3" s="2" t="s">
        <v>113</v>
      </c>
      <c r="G3" s="2" t="s">
        <v>114</v>
      </c>
      <c r="H3" s="2" t="s">
        <v>115</v>
      </c>
      <c r="I3" s="2" t="s">
        <v>116</v>
      </c>
      <c r="J3" s="2" t="s">
        <v>117</v>
      </c>
      <c r="K3" s="2" t="s">
        <v>118</v>
      </c>
      <c r="L3" s="2" t="s">
        <v>119</v>
      </c>
    </row>
    <row r="4" customFormat="false" ht="15" hidden="false" customHeight="false" outlineLevel="0" collapsed="false">
      <c r="A4" s="0" t="s">
        <v>136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120</v>
      </c>
      <c r="C5" s="4" t="n">
        <f aca="false">Assumptions!C41</f>
        <v>11.3</v>
      </c>
      <c r="D5" s="4" t="n">
        <f aca="false">Assumptions!D41</f>
        <v>13</v>
      </c>
      <c r="E5" s="4" t="n">
        <f aca="false">Assumptions!E41</f>
        <v>13</v>
      </c>
      <c r="F5" s="4" t="n">
        <f aca="false">Assumptions!F41</f>
        <v>12</v>
      </c>
      <c r="G5" s="4" t="n">
        <f aca="false">Assumptions!G41</f>
        <v>10.5</v>
      </c>
      <c r="H5" s="4" t="n">
        <f aca="false">Assumptions!H41</f>
        <v>9</v>
      </c>
      <c r="I5" s="4" t="n">
        <f aca="false">Assumptions!I41</f>
        <v>7.5</v>
      </c>
      <c r="J5" s="4" t="n">
        <f aca="false">Assumptions!J41</f>
        <v>6.5</v>
      </c>
      <c r="K5" s="4" t="n">
        <f aca="false">Assumptions!K41</f>
        <v>5.5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63</v>
      </c>
      <c r="B6" s="3" t="n">
        <v>2308.4</v>
      </c>
      <c r="C6" s="0" t="n">
        <f aca="false">B6*(1+C5/100)</f>
        <v>2569.2492</v>
      </c>
      <c r="D6" s="0" t="n">
        <f aca="false">C6*(1+D5/100)</f>
        <v>2903.251596</v>
      </c>
      <c r="E6" s="0" t="n">
        <f aca="false">D6*(1+E5/100)</f>
        <v>3280.67430348</v>
      </c>
      <c r="F6" s="0" t="n">
        <f aca="false">E6*(1+F5/100)</f>
        <v>3674.3552198976</v>
      </c>
      <c r="G6" s="0" t="n">
        <f aca="false">F6*(1+G5/100)</f>
        <v>4060.16251798685</v>
      </c>
      <c r="H6" s="0" t="n">
        <f aca="false">G6*(1+H5/100)</f>
        <v>4425.57714460566</v>
      </c>
      <c r="I6" s="0" t="n">
        <f aca="false">H6*(1+I5/100)</f>
        <v>4757.49543045109</v>
      </c>
      <c r="J6" s="0" t="n">
        <f aca="false">I6*(1+J5/100)</f>
        <v>5066.73263343041</v>
      </c>
      <c r="K6" s="0" t="n">
        <f aca="false">J6*(1+K5/100)</f>
        <v>5345.40292826908</v>
      </c>
      <c r="L6" s="0" t="n">
        <f aca="false">K6*(1+L5/100)</f>
        <v>5585.94606004119</v>
      </c>
    </row>
    <row r="7" customFormat="false" ht="15" hidden="false" customHeight="false" outlineLevel="0" collapsed="false">
      <c r="A7" s="0" t="s">
        <v>121</v>
      </c>
      <c r="C7" s="4" t="n">
        <f aca="false">Assumptions!C42</f>
        <v>35.6</v>
      </c>
      <c r="D7" s="4" t="n">
        <f aca="false">Assumptions!D42</f>
        <v>36.4</v>
      </c>
      <c r="E7" s="4" t="n">
        <f aca="false">Assumptions!E42</f>
        <v>37.2</v>
      </c>
      <c r="F7" s="4" t="n">
        <f aca="false">Assumptions!F42</f>
        <v>38</v>
      </c>
      <c r="G7" s="4" t="n">
        <f aca="false">Assumptions!G42</f>
        <v>38.5</v>
      </c>
      <c r="H7" s="4" t="n">
        <f aca="false">Assumptions!H42</f>
        <v>39</v>
      </c>
      <c r="I7" s="4" t="n">
        <f aca="false">Assumptions!I42</f>
        <v>39.5</v>
      </c>
      <c r="J7" s="4" t="n">
        <f aca="false">Assumptions!J42</f>
        <v>39.5</v>
      </c>
      <c r="K7" s="4" t="n">
        <f aca="false">Assumptions!K42</f>
        <v>39.5</v>
      </c>
      <c r="L7" s="4" t="n">
        <f aca="false">Assumptions!L42</f>
        <v>39.5</v>
      </c>
    </row>
    <row r="8" customFormat="false" ht="15" hidden="false" customHeight="false" outlineLevel="0" collapsed="false">
      <c r="A8" s="0" t="s">
        <v>69</v>
      </c>
      <c r="C8" s="0" t="n">
        <f aca="false">C6*C7/100</f>
        <v>914.6527152</v>
      </c>
      <c r="D8" s="0" t="n">
        <f aca="false">D6*D7/100</f>
        <v>1056.783580944</v>
      </c>
      <c r="E8" s="0" t="n">
        <f aca="false">E6*E7/100</f>
        <v>1220.41084089456</v>
      </c>
      <c r="F8" s="0" t="n">
        <f aca="false">F6*F7/100</f>
        <v>1396.25498356109</v>
      </c>
      <c r="G8" s="0" t="n">
        <f aca="false">G6*G7/100</f>
        <v>1563.16256942494</v>
      </c>
      <c r="H8" s="0" t="n">
        <f aca="false">H6*H7/100</f>
        <v>1725.97508639621</v>
      </c>
      <c r="I8" s="0" t="n">
        <f aca="false">I6*I7/100</f>
        <v>1879.21069502818</v>
      </c>
      <c r="J8" s="0" t="n">
        <f aca="false">J6*J7/100</f>
        <v>2001.35939020501</v>
      </c>
      <c r="K8" s="0" t="n">
        <f aca="false">K6*K7/100</f>
        <v>2111.43415666629</v>
      </c>
      <c r="L8" s="0" t="n">
        <f aca="false">L6*L7/100</f>
        <v>2206.44869371627</v>
      </c>
    </row>
    <row r="9" customFormat="false" ht="15" hidden="false" customHeight="false" outlineLevel="0" collapsed="false">
      <c r="A9" s="0" t="s">
        <v>122</v>
      </c>
      <c r="C9" s="4" t="n">
        <f aca="false">Assumptions!C43</f>
        <v>0.58</v>
      </c>
      <c r="D9" s="4" t="n">
        <f aca="false">Assumptions!D43</f>
        <v>0.56</v>
      </c>
      <c r="E9" s="4" t="n">
        <f aca="false">Assumptions!E43</f>
        <v>0.55</v>
      </c>
      <c r="F9" s="4" t="n">
        <f aca="false">Assumptions!F43</f>
        <v>0.53</v>
      </c>
      <c r="G9" s="4" t="n">
        <f aca="false">Assumptions!G43</f>
        <v>0.52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137</v>
      </c>
      <c r="C10" s="0" t="n">
        <f aca="false">-C6*C9/100</f>
        <v>-14.90164536</v>
      </c>
      <c r="D10" s="0" t="n">
        <f aca="false">-D6*D9/100</f>
        <v>-16.2582089376</v>
      </c>
      <c r="E10" s="0" t="n">
        <f aca="false">-E6*E9/100</f>
        <v>-18.04370866914</v>
      </c>
      <c r="F10" s="0" t="n">
        <f aca="false">-F6*F9/100</f>
        <v>-19.4740826654573</v>
      </c>
      <c r="G10" s="0" t="n">
        <f aca="false">-G6*G9/100</f>
        <v>-21.1128450935316</v>
      </c>
      <c r="H10" s="0" t="n">
        <f aca="false">-H6*H9/100</f>
        <v>-22.1278857230283</v>
      </c>
      <c r="I10" s="0" t="n">
        <f aca="false">-I6*I9/100</f>
        <v>-23.7874771522554</v>
      </c>
      <c r="J10" s="0" t="n">
        <f aca="false">-J6*J9/100</f>
        <v>-25.333663167152</v>
      </c>
      <c r="K10" s="0" t="n">
        <f aca="false">-K6*K9/100</f>
        <v>-26.7270146413454</v>
      </c>
      <c r="L10" s="0" t="n">
        <f aca="false">-L6*L9/100</f>
        <v>-27.9297303002059</v>
      </c>
    </row>
    <row r="11" customFormat="false" ht="15" hidden="false" customHeight="false" outlineLevel="0" collapsed="false">
      <c r="A11" s="0" t="s">
        <v>138</v>
      </c>
      <c r="C11" s="0" t="n">
        <f aca="false">C8+C10+C24</f>
        <v>871.48932864</v>
      </c>
      <c r="D11" s="0" t="n">
        <f aca="false">D8+D10+D24</f>
        <v>1010.0412302484</v>
      </c>
      <c r="E11" s="0" t="n">
        <f aca="false">E8+E10+E24</f>
        <v>1169.56038919062</v>
      </c>
      <c r="F11" s="0" t="n">
        <f aca="false">F8+F10+F24</f>
        <v>1340.03734869665</v>
      </c>
      <c r="G11" s="0" t="n">
        <f aca="false">G8+G10+G24</f>
        <v>1501.44809915154</v>
      </c>
      <c r="H11" s="0" t="n">
        <f aca="false">H8+H10+H24</f>
        <v>1659.59142922712</v>
      </c>
      <c r="I11" s="0" t="n">
        <f aca="false">I8+I10+I24</f>
        <v>1807.84826357141</v>
      </c>
      <c r="J11" s="0" t="n">
        <f aca="false">J8+J10+J24</f>
        <v>1925.35840070356</v>
      </c>
      <c r="K11" s="0" t="n">
        <f aca="false">K8+K10+K24</f>
        <v>2031.25311274225</v>
      </c>
      <c r="L11" s="0" t="n">
        <f aca="false">L8+L10+L24</f>
        <v>2122.65950281565</v>
      </c>
    </row>
    <row r="12" customFormat="false" ht="15" hidden="false" customHeight="false" outlineLevel="0" collapsed="false">
      <c r="A12" s="0" t="s">
        <v>139</v>
      </c>
      <c r="C12" s="4" t="n">
        <f aca="false">-C6*Assumptions!C45/100</f>
        <v>-151.5857028</v>
      </c>
      <c r="D12" s="4" t="n">
        <f aca="false">-D6*Assumptions!D45/100</f>
        <v>-182.904850548</v>
      </c>
      <c r="E12" s="4" t="n">
        <f aca="false">-E6*Assumptions!E45/100</f>
        <v>-219.80517833316</v>
      </c>
      <c r="F12" s="4" t="n">
        <f aca="false">-F6*Assumptions!F45/100</f>
        <v>-249.856154953037</v>
      </c>
      <c r="G12" s="4" t="n">
        <f aca="false">-G6*Assumptions!G45/100</f>
        <v>-267.970726187132</v>
      </c>
      <c r="H12" s="4" t="n">
        <f aca="false">-H6*Assumptions!H45/100</f>
        <v>-283.236937254763</v>
      </c>
      <c r="I12" s="4" t="n">
        <f aca="false">-I6*Assumptions!I45/100</f>
        <v>-294.964716687968</v>
      </c>
      <c r="J12" s="4" t="n">
        <f aca="false">-J6*Assumptions!J45/100</f>
        <v>-304.003958005825</v>
      </c>
      <c r="K12" s="4" t="n">
        <f aca="false">-K6*Assumptions!K45/100</f>
        <v>-315.378772767876</v>
      </c>
      <c r="L12" s="4" t="n">
        <f aca="false">-L6*Assumptions!L45/100</f>
        <v>-323.984871482389</v>
      </c>
    </row>
    <row r="13" customFormat="false" ht="15" hidden="false" customHeight="false" outlineLevel="0" collapsed="false">
      <c r="A13" s="0" t="s">
        <v>140</v>
      </c>
      <c r="C13" s="0" t="n">
        <f aca="false">C11+C12</f>
        <v>719.90362584</v>
      </c>
      <c r="D13" s="0" t="n">
        <f aca="false">D11+D12</f>
        <v>827.1363797004</v>
      </c>
      <c r="E13" s="0" t="n">
        <f aca="false">E11+E12</f>
        <v>949.75521085746</v>
      </c>
      <c r="F13" s="0" t="n">
        <f aca="false">F11+F12</f>
        <v>1090.18119374362</v>
      </c>
      <c r="G13" s="0" t="n">
        <f aca="false">G11+G12</f>
        <v>1233.4773729644</v>
      </c>
      <c r="H13" s="0" t="n">
        <f aca="false">H11+H12</f>
        <v>1376.35449197236</v>
      </c>
      <c r="I13" s="0" t="n">
        <f aca="false">I11+I12</f>
        <v>1512.88354688345</v>
      </c>
      <c r="J13" s="0" t="n">
        <f aca="false">J11+J12</f>
        <v>1621.35444269773</v>
      </c>
      <c r="K13" s="0" t="n">
        <f aca="false">K11+K12</f>
        <v>1715.87433997438</v>
      </c>
      <c r="L13" s="0" t="n">
        <f aca="false">L11+L12</f>
        <v>1798.67463133326</v>
      </c>
    </row>
    <row r="14" customFormat="false" ht="15" hidden="false" customHeight="false" outlineLevel="0" collapsed="false">
      <c r="A14" s="0" t="s">
        <v>126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25.5</v>
      </c>
      <c r="H14" s="4" t="n">
        <f aca="false">Assumptions!H47</f>
        <v>25.5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141</v>
      </c>
      <c r="C15" s="0" t="n">
        <f aca="false">C13-MAX(0,C13)*C14/100</f>
        <v>543.5272375092</v>
      </c>
      <c r="D15" s="0" t="n">
        <f aca="false">D13-MAX(0,D13)*D14/100</f>
        <v>624.487966673802</v>
      </c>
      <c r="E15" s="0" t="n">
        <f aca="false">E13-MAX(0,E13)*E14/100</f>
        <v>712.316408143095</v>
      </c>
      <c r="F15" s="0" t="n">
        <f aca="false">F13-MAX(0,F13)*F14/100</f>
        <v>817.635895307713</v>
      </c>
      <c r="G15" s="0" t="n">
        <f aca="false">G13-MAX(0,G13)*G14/100</f>
        <v>918.940642858481</v>
      </c>
      <c r="H15" s="0" t="n">
        <f aca="false">H13-MAX(0,H13)*H14/100</f>
        <v>1025.38409651941</v>
      </c>
      <c r="I15" s="0" t="n">
        <f aca="false">I13-MAX(0,I13)*I14/100</f>
        <v>1119.53382469375</v>
      </c>
      <c r="J15" s="0" t="n">
        <f aca="false">J13-MAX(0,J13)*J14/100</f>
        <v>1199.80228759632</v>
      </c>
      <c r="K15" s="0" t="n">
        <f aca="false">K13-MAX(0,K13)*K14/100</f>
        <v>1269.74701158104</v>
      </c>
      <c r="L15" s="0" t="n">
        <f aca="false">L13-MAX(0,L13)*L14/100</f>
        <v>1331.01922718662</v>
      </c>
    </row>
    <row r="16" customFormat="false" ht="15" hidden="false" customHeight="false" outlineLevel="0" collapsed="false">
      <c r="A16" s="0" t="s">
        <v>142</v>
      </c>
      <c r="C16" s="0" t="n">
        <f aca="false">-C12</f>
        <v>151.5857028</v>
      </c>
      <c r="D16" s="0" t="n">
        <f aca="false">-D12</f>
        <v>182.904850548</v>
      </c>
      <c r="E16" s="0" t="n">
        <f aca="false">-E12</f>
        <v>219.80517833316</v>
      </c>
      <c r="F16" s="0" t="n">
        <f aca="false">-F12</f>
        <v>249.856154953037</v>
      </c>
      <c r="G16" s="0" t="n">
        <f aca="false">-G12</f>
        <v>267.970726187132</v>
      </c>
      <c r="H16" s="0" t="n">
        <f aca="false">-H12</f>
        <v>283.236937254763</v>
      </c>
      <c r="I16" s="0" t="n">
        <f aca="false">-I12</f>
        <v>294.964716687968</v>
      </c>
      <c r="J16" s="0" t="n">
        <f aca="false">-J12</f>
        <v>304.003958005825</v>
      </c>
      <c r="K16" s="0" t="n">
        <f aca="false">-K12</f>
        <v>315.378772767876</v>
      </c>
      <c r="L16" s="0" t="n">
        <f aca="false">-L12</f>
        <v>323.984871482389</v>
      </c>
    </row>
    <row r="17" customFormat="false" ht="15" hidden="false" customHeight="false" outlineLevel="0" collapsed="false">
      <c r="A17" s="0" t="s">
        <v>143</v>
      </c>
      <c r="C17" s="4" t="n">
        <f aca="false">-C6*Assumptions!C46/100</f>
        <v>-231.232428</v>
      </c>
      <c r="D17" s="4" t="n">
        <f aca="false">-D6*Assumptions!D46/100</f>
        <v>-267.099146832</v>
      </c>
      <c r="E17" s="4" t="n">
        <f aca="false">-E6*Assumptions!E46/100</f>
        <v>-272.29596718884</v>
      </c>
      <c r="F17" s="4" t="n">
        <f aca="false">-F6*Assumptions!F46/100</f>
        <v>-264.553575832627</v>
      </c>
      <c r="G17" s="4" t="n">
        <f aca="false">-G6*Assumptions!G46/100</f>
        <v>-276.091051223106</v>
      </c>
      <c r="H17" s="4" t="n">
        <f aca="false">-H6*Assumptions!H46/100</f>
        <v>-278.811360110157</v>
      </c>
      <c r="I17" s="4" t="n">
        <f aca="false">-I6*Assumptions!I46/100</f>
        <v>-290.207221257516</v>
      </c>
      <c r="J17" s="4" t="n">
        <f aca="false">-J6*Assumptions!J46/100</f>
        <v>-304.003958005825</v>
      </c>
      <c r="K17" s="4" t="n">
        <f aca="false">-K6*Assumptions!K46/100</f>
        <v>-315.378772767876</v>
      </c>
      <c r="L17" s="4" t="n">
        <f aca="false">-L6*Assumptions!L46/100</f>
        <v>-329.57081754243</v>
      </c>
    </row>
    <row r="18" customFormat="false" ht="15" hidden="false" customHeight="false" outlineLevel="0" collapsed="false">
      <c r="A18" s="0" t="s">
        <v>144</v>
      </c>
      <c r="C18" s="4" t="n">
        <f aca="false">(C6-B6)*Assumptions!$B$51/100</f>
        <v>-20.867936</v>
      </c>
      <c r="D18" s="4" t="n">
        <f aca="false">(D6-C6)*Assumptions!$B$51/100</f>
        <v>-26.72019168</v>
      </c>
      <c r="E18" s="4" t="n">
        <f aca="false">(E6-D6)*Assumptions!$B$51/100</f>
        <v>-30.1938165984</v>
      </c>
      <c r="F18" s="4" t="n">
        <f aca="false">(F6-E6)*Assumptions!$B$51/100</f>
        <v>-31.494473313408</v>
      </c>
      <c r="G18" s="4" t="n">
        <f aca="false">(G6-F6)*Assumptions!$B$51/100</f>
        <v>-30.8645838471398</v>
      </c>
      <c r="H18" s="4" t="n">
        <f aca="false">(H6-G6)*Assumptions!$B$51/100</f>
        <v>-29.2331701295053</v>
      </c>
      <c r="I18" s="4" t="n">
        <f aca="false">(I6-H6)*Assumptions!$B$51/100</f>
        <v>-26.5534628676339</v>
      </c>
      <c r="J18" s="4" t="n">
        <f aca="false">(J6-I6)*Assumptions!$B$51/100</f>
        <v>-24.7389762383456</v>
      </c>
      <c r="K18" s="4" t="n">
        <f aca="false">(K6-J6)*Assumptions!$B$51/100</f>
        <v>-22.2936235870938</v>
      </c>
      <c r="L18" s="4" t="n">
        <f aca="false">(L6-K6)*Assumptions!$B$51/100</f>
        <v>-19.2434505417687</v>
      </c>
    </row>
    <row r="19" customFormat="false" ht="15" hidden="false" customHeight="false" outlineLevel="0" collapsed="false">
      <c r="A19" s="0" t="s">
        <v>145</v>
      </c>
      <c r="C19" s="0" t="n">
        <f aca="false">C15+C16+C17+C18</f>
        <v>443.0125763092</v>
      </c>
      <c r="D19" s="0" t="n">
        <f aca="false">D15+D16+D17+D18</f>
        <v>513.573478709802</v>
      </c>
      <c r="E19" s="0" t="n">
        <f aca="false">E15+E16+E17+E18</f>
        <v>629.631802689015</v>
      </c>
      <c r="F19" s="0" t="n">
        <f aca="false">F15+F16+F17+F18</f>
        <v>771.444001114715</v>
      </c>
      <c r="G19" s="0" t="n">
        <f aca="false">G15+G16+G17+G18</f>
        <v>879.955733975368</v>
      </c>
      <c r="H19" s="0" t="n">
        <f aca="false">H15+H16+H17+H18</f>
        <v>1000.57650353451</v>
      </c>
      <c r="I19" s="0" t="n">
        <f aca="false">I15+I16+I17+I18</f>
        <v>1097.73785725657</v>
      </c>
      <c r="J19" s="0" t="n">
        <f aca="false">J15+J16+J17+J18</f>
        <v>1175.06331135798</v>
      </c>
      <c r="K19" s="0" t="n">
        <f aca="false">K15+K16+K17+K18</f>
        <v>1247.45338799394</v>
      </c>
      <c r="L19" s="0" t="n">
        <f aca="false">L15+L16+L17+L18</f>
        <v>1306.18983058481</v>
      </c>
    </row>
    <row r="20" customFormat="false" ht="15" hidden="false" customHeight="false" outlineLevel="0" collapsed="false">
      <c r="A20" s="0" t="s">
        <v>146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147</v>
      </c>
      <c r="C21" s="0" t="n">
        <f aca="false">C19*C20</f>
        <v>406.433556246973</v>
      </c>
      <c r="D21" s="0" t="n">
        <f aca="false">D19*D20</f>
        <v>432.26452210235</v>
      </c>
      <c r="E21" s="0" t="n">
        <f aca="false">E19*E20</f>
        <v>486.191276557525</v>
      </c>
      <c r="F21" s="0" t="n">
        <f aca="false">F19*F20</f>
        <v>546.510379314672</v>
      </c>
      <c r="G21" s="0" t="n">
        <f aca="false">G19*G20</f>
        <v>571.910850063789</v>
      </c>
      <c r="H21" s="0" t="n">
        <f aca="false">H19*H20</f>
        <v>596.611077100674</v>
      </c>
      <c r="I21" s="0" t="n">
        <f aca="false">I19*I20</f>
        <v>600.500199780268</v>
      </c>
      <c r="J21" s="0" t="n">
        <f aca="false">J19*J20</f>
        <v>589.72465245119</v>
      </c>
      <c r="K21" s="0" t="n">
        <f aca="false">K19*K20</f>
        <v>574.362193484138</v>
      </c>
      <c r="L21" s="0" t="n">
        <f aca="false">L19*L20</f>
        <v>551.748700296271</v>
      </c>
    </row>
    <row r="23" customFormat="false" ht="15" hidden="false" customHeight="false" outlineLevel="0" collapsed="false">
      <c r="A23" s="0" t="s">
        <v>123</v>
      </c>
      <c r="C23" s="4" t="n">
        <f aca="false">Assumptions!C44</f>
        <v>1.1</v>
      </c>
      <c r="D23" s="4" t="n">
        <f aca="false">Assumptions!D44</f>
        <v>1.05</v>
      </c>
      <c r="E23" s="4" t="n">
        <f aca="false">Assumptions!E44</f>
        <v>1</v>
      </c>
      <c r="F23" s="4" t="n">
        <f aca="false">Assumptions!F44</f>
        <v>1</v>
      </c>
      <c r="G23" s="4" t="n">
        <f aca="false">Assumptions!G44</f>
        <v>1</v>
      </c>
      <c r="H23" s="4" t="n">
        <f aca="false">Assumptions!H44</f>
        <v>1</v>
      </c>
      <c r="I23" s="4" t="n">
        <f aca="false">Assumptions!I44</f>
        <v>1</v>
      </c>
      <c r="J23" s="4" t="n">
        <f aca="false">Assumptions!J44</f>
        <v>1</v>
      </c>
      <c r="K23" s="4" t="n">
        <f aca="false">Assumptions!K44</f>
        <v>1</v>
      </c>
      <c r="L23" s="4" t="n">
        <f aca="false">Assumptions!L44</f>
        <v>1</v>
      </c>
    </row>
    <row r="24" customFormat="false" ht="15" hidden="false" customHeight="false" outlineLevel="0" collapsed="false">
      <c r="A24" s="0" t="s">
        <v>148</v>
      </c>
      <c r="C24" s="0" t="n">
        <f aca="false">-C6*C23/100</f>
        <v>-28.2617412</v>
      </c>
      <c r="D24" s="0" t="n">
        <f aca="false">-D6*D23/100</f>
        <v>-30.484141758</v>
      </c>
      <c r="E24" s="0" t="n">
        <f aca="false">-E6*E23/100</f>
        <v>-32.8067430348</v>
      </c>
      <c r="F24" s="0" t="n">
        <f aca="false">-F6*F23/100</f>
        <v>-36.743552198976</v>
      </c>
      <c r="G24" s="0" t="n">
        <f aca="false">-G6*G23/100</f>
        <v>-40.6016251798685</v>
      </c>
      <c r="H24" s="0" t="n">
        <f aca="false">-H6*H23/100</f>
        <v>-44.2557714460566</v>
      </c>
      <c r="I24" s="0" t="n">
        <f aca="false">-I6*I23/100</f>
        <v>-47.5749543045109</v>
      </c>
      <c r="J24" s="0" t="n">
        <f aca="false">-J6*J23/100</f>
        <v>-50.6673263343041</v>
      </c>
      <c r="K24" s="0" t="n">
        <f aca="false">-K6*K23/100</f>
        <v>-53.4540292826908</v>
      </c>
      <c r="L24" s="0" t="n">
        <f aca="false">-L6*L23/100</f>
        <v>-55.8594606004119</v>
      </c>
    </row>
    <row r="26" customFormat="false" ht="15" hidden="false" customHeight="false" outlineLevel="0" collapsed="false">
      <c r="A26" s="2" t="s">
        <v>149</v>
      </c>
    </row>
    <row r="27" customFormat="false" ht="15" hidden="false" customHeight="false" outlineLevel="0" collapsed="false">
      <c r="A27" s="0" t="s">
        <v>127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128</v>
      </c>
      <c r="B28" s="4" t="n">
        <f aca="false">Assumptions!$B$49</f>
        <v>4</v>
      </c>
    </row>
    <row r="29" customFormat="false" ht="15" hidden="false" customHeight="false" outlineLevel="0" collapsed="false">
      <c r="A29" s="0" t="s">
        <v>129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150</v>
      </c>
      <c r="B30" s="0" t="n">
        <f aca="false">SUM(C21:L21)</f>
        <v>5356.25740739785</v>
      </c>
    </row>
    <row r="31" customFormat="false" ht="15" hidden="false" customHeight="false" outlineLevel="0" collapsed="false">
      <c r="A31" s="0" t="s">
        <v>151</v>
      </c>
      <c r="B31" s="0" t="n">
        <f aca="false">L19</f>
        <v>1306.18983058481</v>
      </c>
    </row>
    <row r="32" customFormat="false" ht="15" hidden="false" customHeight="false" outlineLevel="0" collapsed="false">
      <c r="A32" s="0" t="s">
        <v>152</v>
      </c>
      <c r="B32" s="0" t="n">
        <f aca="false">IF(B27&gt;B28,B31*(1+B28/100)/((B27-B28)/100),B31*B29)</f>
        <v>27168.7484761639</v>
      </c>
    </row>
    <row r="33" customFormat="false" ht="15" hidden="false" customHeight="false" outlineLevel="0" collapsed="false">
      <c r="A33" s="0" t="s">
        <v>153</v>
      </c>
      <c r="B33" s="0" t="n">
        <f aca="false">B31*B29</f>
        <v>26123.7966116961</v>
      </c>
    </row>
    <row r="34" customFormat="false" ht="15" hidden="false" customHeight="false" outlineLevel="0" collapsed="false">
      <c r="A34" s="0" t="s">
        <v>154</v>
      </c>
      <c r="B34" s="0" t="n">
        <f aca="false">MAX(0,MIN(B32,B33))</f>
        <v>26123.7966116961</v>
      </c>
    </row>
    <row r="35" customFormat="false" ht="15" hidden="false" customHeight="false" outlineLevel="0" collapsed="false">
      <c r="A35" s="0" t="s">
        <v>155</v>
      </c>
      <c r="B35" s="0" t="n">
        <f aca="false">B34/(1+B27/100)^L4</f>
        <v>11034.9740059254</v>
      </c>
    </row>
    <row r="36" customFormat="false" ht="15" hidden="false" customHeight="false" outlineLevel="0" collapsed="false">
      <c r="A36" s="0" t="s">
        <v>156</v>
      </c>
      <c r="B36" s="0" t="n">
        <f aca="false">B30+B35</f>
        <v>16391.2314133233</v>
      </c>
    </row>
    <row r="37" customFormat="false" ht="15" hidden="false" customHeight="false" outlineLevel="0" collapsed="false">
      <c r="A37" s="0" t="s">
        <v>157</v>
      </c>
      <c r="B37" s="0" t="n">
        <f aca="false">B36+Assumptions!$B$5-Assumptions!$B$4</f>
        <v>16815.5314133233</v>
      </c>
    </row>
    <row r="38" customFormat="false" ht="15" hidden="false" customHeight="false" outlineLevel="0" collapsed="false">
      <c r="A38" s="0" t="s">
        <v>158</v>
      </c>
      <c r="B38" s="0" t="n">
        <f aca="false">B37/Assumptions!$B$3*Assumptions!$B$10</f>
        <v>22.9186303780573</v>
      </c>
    </row>
    <row r="39" customFormat="false" ht="15" hidden="false" customHeight="false" outlineLevel="0" collapsed="false">
      <c r="A39" s="0" t="s">
        <v>159</v>
      </c>
      <c r="B39" s="4" t="n">
        <f aca="false">B38/Assumptions!$B$2-1</f>
        <v>-0.366888663589576</v>
      </c>
    </row>
    <row r="41" customFormat="false" ht="15" hidden="false" customHeight="false" outlineLevel="0" collapsed="false">
      <c r="A41" s="0" t="s">
        <v>160</v>
      </c>
      <c r="B41" s="0" t="n">
        <f aca="false">SUMPRODUCT(-C10:L10/(1+$B$27/100)^C4:L4)</f>
        <v>131.830820091974</v>
      </c>
    </row>
    <row r="42" customFormat="false" ht="15" hidden="false" customHeight="false" outlineLevel="0" collapsed="false">
      <c r="A42" s="0" t="s">
        <v>161</v>
      </c>
      <c r="B42" s="0" t="n">
        <f aca="false">IF(B27&gt;B28,-L10*(1+B28/100)/((B27-B28)/100),-L10*20)/(1+B27/100)^L4</f>
        <v>245.39465417977</v>
      </c>
    </row>
    <row r="43" customFormat="false" ht="15" hidden="false" customHeight="false" outlineLevel="0" collapsed="false">
      <c r="A43" s="0" t="s">
        <v>162</v>
      </c>
      <c r="B43" s="0" t="n">
        <f aca="false">(B37+B41+B42)/Assumptions!$B$3*Assumptions!$B$10</f>
        <v>23.4327676361384</v>
      </c>
    </row>
    <row r="45" customFormat="false" ht="15" hidden="false" customHeight="false" outlineLevel="0" collapsed="false">
      <c r="A45" s="0" t="s">
        <v>103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163</v>
      </c>
      <c r="B46" s="0" t="n">
        <f aca="false">MAX(0,MIN(IF(B45&gt;B28,B31*(1+B28/100)/((B45-B28)/100),B31*B29),B31*B29))</f>
        <v>12349.4311255291</v>
      </c>
    </row>
    <row r="47" customFormat="false" ht="15" hidden="false" customHeight="false" outlineLevel="0" collapsed="false">
      <c r="A47" s="0" t="s">
        <v>164</v>
      </c>
      <c r="B47" s="0" t="n">
        <f aca="false">(SUMPRODUCT(C19:L19/(1+B45/100)^C4:L4)+B46/(1+B45/100)^L4+Assumptions!$B$5-Assumptions!$B$4)/Assumptions!$B$3*Assumptions!$B$10</f>
        <v>10.1537678942199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167</v>
      </c>
    </row>
    <row r="3" customFormat="false" ht="15" hidden="false" customHeight="false" outlineLevel="0" collapsed="false">
      <c r="A3" s="2" t="s">
        <v>168</v>
      </c>
      <c r="B3" s="2" t="s">
        <v>169</v>
      </c>
      <c r="C3" s="2" t="s">
        <v>159</v>
      </c>
      <c r="D3" s="2" t="s">
        <v>170</v>
      </c>
      <c r="E3" s="2" t="s">
        <v>162</v>
      </c>
      <c r="F3" s="2" t="s">
        <v>171</v>
      </c>
    </row>
    <row r="4" customFormat="false" ht="15" hidden="false" customHeight="false" outlineLevel="0" collapsed="false">
      <c r="A4" s="0" t="s">
        <v>172</v>
      </c>
      <c r="B4" s="4" t="n">
        <f aca="false">DCF_Bear!$B$38</f>
        <v>9.9192588725564</v>
      </c>
      <c r="C4" s="0" t="n">
        <f aca="false">B4/Assumptions!$B$2-1</f>
        <v>-0.725987323962531</v>
      </c>
      <c r="D4" s="4" t="n">
        <f aca="false">Assumptions!$B$24</f>
        <v>0.2</v>
      </c>
      <c r="E4" s="4" t="n">
        <f aca="false">DCF_Bear!$B$43</f>
        <v>10.3024509172886</v>
      </c>
      <c r="F4" s="4" t="n">
        <f aca="false">DCF_Bear!$B$47</f>
        <v>5.28592579292435</v>
      </c>
    </row>
    <row r="5" customFormat="false" ht="15" hidden="false" customHeight="false" outlineLevel="0" collapsed="false">
      <c r="A5" s="0" t="s">
        <v>173</v>
      </c>
      <c r="B5" s="4" t="n">
        <f aca="false">DCF_Base!$B$38</f>
        <v>16.8467720607219</v>
      </c>
      <c r="C5" s="0" t="n">
        <f aca="false">B5/Assumptions!$B$2-1</f>
        <v>-0.534619556333649</v>
      </c>
      <c r="D5" s="4" t="n">
        <f aca="false">Assumptions!$B$38</f>
        <v>0.5</v>
      </c>
      <c r="E5" s="4" t="n">
        <f aca="false">DCF_Base!$B$43</f>
        <v>17.3452731352872</v>
      </c>
      <c r="F5" s="4" t="n">
        <f aca="false">DCF_Base!$B$47</f>
        <v>7.82645109138357</v>
      </c>
    </row>
    <row r="6" customFormat="false" ht="15" hidden="false" customHeight="false" outlineLevel="0" collapsed="false">
      <c r="A6" s="0" t="s">
        <v>174</v>
      </c>
      <c r="B6" s="4" t="n">
        <f aca="false">DCF_Bull!$B$38</f>
        <v>22.9186303780573</v>
      </c>
      <c r="C6" s="0" t="n">
        <f aca="false">B6/Assumptions!$B$2-1</f>
        <v>-0.366888663589576</v>
      </c>
      <c r="D6" s="4" t="n">
        <f aca="false">Assumptions!$B$52</f>
        <v>0.3</v>
      </c>
      <c r="E6" s="4" t="n">
        <f aca="false">DCF_Bull!$B$43</f>
        <v>23.4327676361384</v>
      </c>
      <c r="F6" s="4" t="n">
        <f aca="false">DCF_Bull!$B$47</f>
        <v>10.1537678942199</v>
      </c>
    </row>
    <row r="8" customFormat="false" ht="15" hidden="false" customHeight="false" outlineLevel="0" collapsed="false">
      <c r="A8" s="0" t="s">
        <v>175</v>
      </c>
      <c r="B8" s="0" t="n">
        <f aca="false">SUMPRODUCT(B4:B6,D4:D6)</f>
        <v>17.2828269182894</v>
      </c>
    </row>
    <row r="9" customFormat="false" ht="15" hidden="false" customHeight="false" outlineLevel="0" collapsed="false">
      <c r="A9" s="0" t="s">
        <v>176</v>
      </c>
      <c r="B9" s="0" t="n">
        <f aca="false">SUMPRODUCT(E4:E6,D4:D6)</f>
        <v>17.7629570419428</v>
      </c>
    </row>
    <row r="10" customFormat="false" ht="15" hidden="false" customHeight="false" outlineLevel="0" collapsed="false">
      <c r="A10" s="0" t="s">
        <v>177</v>
      </c>
      <c r="B10" s="0" t="n">
        <f aca="false">1-Assumptions!$B$2/B8</f>
        <v>-1.09456474748883</v>
      </c>
    </row>
    <row r="11" customFormat="false" ht="15" hidden="false" customHeight="false" outlineLevel="0" collapsed="false">
      <c r="A11" s="0" t="s">
        <v>178</v>
      </c>
      <c r="B11" s="0" t="n">
        <f aca="false">IF(ABS(B9-B8)&gt;0.01*ABS(B8),(Assumptions!$B$2-B8)/(B9-B8)*100,"n/a")</f>
        <v>3940.00962442576</v>
      </c>
    </row>
    <row r="12" customFormat="false" ht="15" hidden="false" customHeight="false" outlineLevel="0" collapsed="false">
      <c r="A12" s="0" t="s">
        <v>179</v>
      </c>
      <c r="B12" s="0" t="n">
        <f aca="false">SUMPRODUCT(F4:F6,D4:D6)</f>
        <v>8.01654107254262</v>
      </c>
    </row>
    <row r="14" customFormat="false" ht="15" hidden="false" customHeight="false" outlineLevel="0" collapsed="false">
      <c r="A14" s="2" t="s">
        <v>180</v>
      </c>
      <c r="C14" s="0" t="s">
        <v>181</v>
      </c>
    </row>
    <row r="15" customFormat="false" ht="15" hidden="false" customHeight="false" outlineLevel="0" collapsed="false">
      <c r="A15" s="0" t="s">
        <v>182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16.8467720607219</v>
      </c>
      <c r="C15" s="3" t="n">
        <v>9</v>
      </c>
    </row>
    <row r="16" customFormat="false" ht="15" hidden="false" customHeight="false" outlineLevel="0" collapsed="false">
      <c r="A16" s="0" t="s">
        <v>183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14.1663665483338</v>
      </c>
      <c r="C16" s="3" t="n">
        <v>10</v>
      </c>
    </row>
    <row r="17" customFormat="false" ht="15" hidden="false" customHeight="false" outlineLevel="0" collapsed="false">
      <c r="A17" s="0" t="s">
        <v>184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12.2084968469499</v>
      </c>
      <c r="C17" s="3" t="n">
        <v>11</v>
      </c>
    </row>
    <row r="18" customFormat="false" ht="15" hidden="false" customHeight="false" outlineLevel="0" collapsed="false">
      <c r="A18" s="0" t="s">
        <v>185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10.7177081265379</v>
      </c>
      <c r="C18" s="3" t="n">
        <v>12</v>
      </c>
    </row>
    <row r="19" customFormat="false" ht="15" hidden="false" customHeight="false" outlineLevel="0" collapsed="false">
      <c r="A19" s="0" t="s">
        <v>186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7.82645109138357</v>
      </c>
      <c r="C19" s="3" t="n">
        <v>15</v>
      </c>
    </row>
    <row r="21" customFormat="false" ht="15" hidden="false" customHeight="false" outlineLevel="0" collapsed="false">
      <c r="A21" s="2" t="s">
        <v>187</v>
      </c>
    </row>
    <row r="22" customFormat="false" ht="15" hidden="false" customHeight="false" outlineLevel="0" collapsed="false">
      <c r="B22" s="3" t="n">
        <v>2.5</v>
      </c>
      <c r="C22" s="3" t="n">
        <v>3</v>
      </c>
      <c r="D22" s="3" t="n">
        <v>3.5</v>
      </c>
      <c r="E22" s="3" t="n">
        <v>4</v>
      </c>
      <c r="F22" s="3" t="n">
        <v>4.5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20.4204324275387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20.4204324275387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20.4204324275387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20.4204324275387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20.4204324275387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18.0584367668068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18.8940220336589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18.8940220336589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18.8940220336589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18.8940220336589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15.1429853471829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15.9238875908883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16.8467720607219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17.5071848006029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17.5071848006029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13.0155105957756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13.5498365737491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14.1663665483338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14.8856515186827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15.7357155745496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11.397269174856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11.77753214615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12.2084968469499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12.7010279335784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13.2693330335343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2026-09-22T11:40:36Z</dcterms:created>
  <dc:creator>openpyxl</dc:creator>
  <dc:description/>
  <dc:language>en-NZ</dc:language>
  <cp:lastModifiedBy/>
  <dcterms:modified xsi:type="dcterms:W3CDTF">2026-09-22T11:40:36Z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