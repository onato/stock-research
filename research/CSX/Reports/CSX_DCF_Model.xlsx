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<sst xmlns="http://schemas.openxmlformats.org/spreadsheetml/2006/main" count="390" uniqueCount="175">
  <si>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</si>
  <si>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CSX</t>
  </si>
  <si>
    <t xml:space="preserve">Company</t>
  </si>
  <si>
    <t xml:space="preserve">CSX Corporation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</si>
  <si>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</si>
  <si>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</si>
  <si>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</si>
  <si>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</si>
  <si>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</si>
  <si>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</si>
  <si>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</si>
  <si>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</si>
  <si>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</si>
  <si>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</si>
  <si>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</si>
  <si>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</si>
  <si>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</si>
  <si>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</si>
  <si>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</si>
  <si>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</si>
  <si>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</si>
  <si>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2026-09-26T01:10:52Z</t>
  </si>
  <si>
    <t xml:space="preserve">Drivers file</t>
  </si>
  <si>
    <t xml:space="preserve">CSX_Drivers.json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</si>
  <si>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</si>
  <si>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</si>
  <si>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</si>
  <si>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railroad is durable, hard-to-replicate infrastructure with pricing power, but it is also a heavy reinvester: capex has run 15-21% of revenue against D&amp;A of ~11%, so owner FCF is materially below net income plus depreciation. The model values the unlevered owner FCF from a component build (EBITDA -&gt; SBC -&gt; D&amp;A -&gt; 24% cash tax on EBIT -&gt; capex -&gt; working capital) at an 8% USD WACC, deducts $17.5B net debt at the June 2026 balance sheet, and divides by a flat 1,859M diluted shares.
key_risks_to_valuation: Capex intensity: each 1pp of revenue in perpetual capex is ~$150M/yr of FCF, roughly $1.4/share; Margin durability of the 2026 cost programme after the 2025 CEO change; UP-NS merger approval and its traffic diversion from eastern single-line competition; Export coal price/volume (thermal and met) and industrial cycle; Terminal value share is high for a low-growth, long-duration asset; the market price embeds a lower discount rate than 8%</t>
  </si>
  <si>
    <t xml:space="preserve">Data sources</t>
  </si>
  <si>
    <t xml:space="preserve">price: Yahoo Finance chart API at inputs.price_as_of; 52-week range 33.58-53.60
financials: SEC EDGAR XBRL companyfacts (CIK 277948): FY2025 10-K and Q1/Q2 2026 10-Qs; CSX_Metrics.csv (core_metrics from XBRL)
qualitative: Company filings via XBRL; CSX_Analysis.json not yet available at build time</t>
  </si>
  <si>
    <t xml:space="preserve">Scenario narrative: bear</t>
  </si>
  <si>
    <t xml:space="preserve">An industrial/freight recession in 2027 flattens volumes, export and domestic coal (roughly an eighth of revenue) accelerates its decline, and a merged UP-NS transcontinental diverts eastern single-line intermodal and chemicals traffic. Service slips again (as in 2022 and 2025), cost savings leak back and EBITDA margin settles at ~45%; capex stays elevated at 16.5% for resilience (weather hardening, PTC/tech renewal). Terminal growth 2% and a 15x cap reflect a structurally slower franchise.</t>
  </si>
  <si>
    <t xml:space="preserve">Scenario narrative: base</t>
  </si>
  <si>
    <t xml:space="preserve">CSX consolidates the 2026 operating recovery: the Blue Ridge (Helene) line and the Howard Street Tunnel double-stack clearance are finished, the post-2025 management change's cost programme holds EBITDA margin near 48%, and volumes grow with the eastern-US industrial economy plus modest intermodal share gains from trucks. Export coal drifts lower and is offset by merchandise pricing above rail inflation. The Union Pacific-Norfolk Southern combination (if approved by the STB) competes for some eastern single-line traffic but CSX keeps its franchise via interline partnerships (BNSF). Capex settles at ~15.5% of revenue.</t>
  </si>
  <si>
    <t xml:space="preserve">Scenario narrative: bull</t>
  </si>
  <si>
    <t xml:space="preserve">Precision-scheduled-railroading discipline returns CSX to peer-leading margins (EBITDA ~51%, operating ratio high-50s), Howard Street double-stack and I-95 corridor reshoring/nearshoring drive intermodal and merchandise growth of 4-5%, and capex intensity falls to ~14.5% once the catch-up projects roll off. Rail-merger consolidation (a BNSF or CPKC combination answering UP-NS) is optionality not modelled in the flows, but the growth path reflects the network gaining single-line reach through partnerships.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</si>
  <si>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</si>
  <si>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</si>
  <si>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</si>
  <si>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</si>
  <si>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</si>
  <si>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</si>
  <si>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</si>
  <si>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</si>
  <si>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</si>
  <si>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</si>
  <si>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</si>
  <si>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</si>
  <si>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</si>
  <si>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</si>
  <si>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</si>
  <si>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</si>
  <si>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</si>
  <si>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</si>
  <si>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</si>
  <si>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</si>
  <si>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</si>
  <si>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</si>
  <si>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</si>
  <si>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</si>
  <si>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</si>
  <si>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</si>
  <si>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</si>
  <si>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</si>
  <si>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</si>
  <si>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</si>
  <si>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</si>
  <si>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</si>
  <si>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</si>
  <si>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</si>
  <si>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</si>
  <si>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</si>
  <si>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</si>
  <si>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</si>
  <si>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</si>
  <si>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</si>
  <si>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</si>
  <si>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</si>
  <si>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</si>
  <si>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</si>
  <si>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</si>
  <si>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</si>
  <si>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</si>
  <si>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</si>
  <si>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</si>
  <si>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</si>
  <si>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</si>
  <si>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</si>
  <si>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</si>
  <si>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</si>
  <si>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</si>
  <si>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</si>
  <si>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</si>
  <si>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</si>
  <si>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</si>
  <si>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</si>
  <si>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</si>
  <si>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</si>
  <si>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</si>
  <si>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</si>
  <si>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</si>
  <si>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</si>
  <si>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</si>
  <si>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</si>
  <si>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</si>
  <si>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</si>
  <si>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</si>
  <si>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</si>
  <si>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</si>
  <si>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</si>
  <si>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</si>
  <si>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</si>
  <si>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</si>
  <si>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</si>
  <si>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</si>
  <si>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</si>
  <si>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</si>
  <si>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</si>
  <si>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</si>
  <si>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</si>
  <si>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CSX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</si>
  <si>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</si>
  <si>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</si>
  <si>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</si>
  <si>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</si>
  <si>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</si>
  <si>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</si>
  <si>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</si>
  <si>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</si>
  <si>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</si>
  <si>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</si>
  <si>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</si>
  <si>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</si>
  <si>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</si>
  <si>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</si>
  <si>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</si>
  <si>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</si>
  <si>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</si>
  <si>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</si>
  <si>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</si>
  <si>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</si>
  <si>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</si>
  <si>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</si>
  <si>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</si>
  <si>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</si>
  <si>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</si>
  <si>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</si>
  <si>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</si>
  <si>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</si>
  <si>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</si>
  <si>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</si>
  <si>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CSX owner-FCF component DCF: base case (millions, USD)</t>
  </si>
  <si>
    <t xml:space="preserve">CSX owner-FCF component DCF: bull case (millions, USD)</t>
  </si>
  <si>
    <t xml:space="preserve">CSX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</si>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</sst>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46.78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9031</v>
      </c>
      <c r="S2" s="0" t="n">
        <v>461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10030</v>
      </c>
      <c r="F3" s="0" t="n">
        <v>2260</v>
      </c>
      <c r="G3" s="0" t="n">
        <v>22.5324027916251</v>
      </c>
      <c r="I3" s="0" t="n">
        <v>1336</v>
      </c>
      <c r="J3" s="0" t="n">
        <v>13.3200398803589</v>
      </c>
      <c r="K3" s="0" t="n">
        <v>3.11</v>
      </c>
      <c r="L3" s="0" t="n">
        <v>2184</v>
      </c>
      <c r="M3" s="0" t="n">
        <v>-1773</v>
      </c>
      <c r="N3" s="0" t="n">
        <v>411</v>
      </c>
      <c r="O3" s="0" t="n">
        <v>8633</v>
      </c>
      <c r="S3" s="0" t="n">
        <v>368</v>
      </c>
      <c r="T3" s="0" t="n">
        <v>407.864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11255</v>
      </c>
      <c r="F4" s="0" t="n">
        <v>2751</v>
      </c>
      <c r="G4" s="0" t="n">
        <v>24.4424700133274</v>
      </c>
      <c r="I4" s="0" t="n">
        <v>1355</v>
      </c>
      <c r="J4" s="0" t="n">
        <v>12.0390937361173</v>
      </c>
      <c r="K4" s="0" t="n">
        <v>3.39</v>
      </c>
      <c r="L4" s="0" t="n">
        <v>2893</v>
      </c>
      <c r="M4" s="0" t="n">
        <v>1719</v>
      </c>
      <c r="N4" s="0" t="n">
        <v>1174</v>
      </c>
      <c r="O4" s="0" t="n">
        <v>7985</v>
      </c>
      <c r="P4" s="0" t="n">
        <v>26288</v>
      </c>
      <c r="Q4" s="0" t="n">
        <v>18220</v>
      </c>
      <c r="R4" s="0" t="n">
        <v>7831</v>
      </c>
      <c r="S4" s="0" t="n">
        <v>669</v>
      </c>
      <c r="T4" s="0" t="n">
        <v>408.62</v>
      </c>
      <c r="U4" s="0" t="n">
        <v>38</v>
      </c>
      <c r="V4" s="0" t="n">
        <v>0.77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9041</v>
      </c>
      <c r="F5" s="0" t="n">
        <v>2270</v>
      </c>
      <c r="G5" s="0" t="n">
        <v>25.1078420528703</v>
      </c>
      <c r="I5" s="0" t="n">
        <v>1143</v>
      </c>
      <c r="J5" s="0" t="n">
        <v>12.6424068134056</v>
      </c>
      <c r="K5" s="0" t="n">
        <v>0.97</v>
      </c>
      <c r="L5" s="0" t="n">
        <v>2039</v>
      </c>
      <c r="M5" s="0" t="n">
        <v>1426</v>
      </c>
      <c r="N5" s="0" t="n">
        <v>613</v>
      </c>
      <c r="O5" s="0" t="n">
        <v>8768</v>
      </c>
      <c r="P5" s="0" t="n">
        <v>26887</v>
      </c>
      <c r="Q5" s="0" t="n">
        <v>18119</v>
      </c>
      <c r="R5" s="0" t="n">
        <v>8121</v>
      </c>
      <c r="S5" s="0" t="n">
        <v>1029</v>
      </c>
      <c r="T5" s="0" t="n">
        <v>1187</v>
      </c>
      <c r="U5" s="0" t="n">
        <v>17</v>
      </c>
      <c r="V5" s="0" t="n">
        <v>0.29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10636</v>
      </c>
      <c r="F6" s="0" t="n">
        <v>3071</v>
      </c>
      <c r="G6" s="0" t="n">
        <v>28.8736367055284</v>
      </c>
      <c r="I6" s="0" t="n">
        <v>1563</v>
      </c>
      <c r="J6" s="0" t="n">
        <v>14.6953742008274</v>
      </c>
      <c r="K6" s="0" t="n">
        <v>1.37</v>
      </c>
      <c r="L6" s="0" t="n">
        <v>3261</v>
      </c>
      <c r="M6" s="0" t="n">
        <v>1840</v>
      </c>
      <c r="N6" s="0" t="n">
        <v>1421</v>
      </c>
      <c r="O6" s="0" t="n">
        <v>8798</v>
      </c>
      <c r="P6" s="0" t="n">
        <v>28141</v>
      </c>
      <c r="Q6" s="0" t="n">
        <v>19441</v>
      </c>
      <c r="R6" s="0" t="n">
        <v>9277</v>
      </c>
      <c r="S6" s="0" t="n">
        <v>1292</v>
      </c>
      <c r="T6" s="0" t="n">
        <v>1154</v>
      </c>
      <c r="U6" s="0" t="n">
        <v>62</v>
      </c>
      <c r="V6" s="0" t="n">
        <v>0.33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11795</v>
      </c>
      <c r="F7" s="0" t="n">
        <v>3470</v>
      </c>
      <c r="G7" s="0" t="n">
        <v>29.4192454429843</v>
      </c>
      <c r="I7" s="0" t="n">
        <v>1854</v>
      </c>
      <c r="J7" s="0" t="n">
        <v>15.7185247986435</v>
      </c>
      <c r="K7" s="0" t="n">
        <v>1.71</v>
      </c>
      <c r="L7" s="0" t="n">
        <v>3491</v>
      </c>
      <c r="M7" s="0" t="n">
        <v>2297</v>
      </c>
      <c r="N7" s="0" t="n">
        <v>1194</v>
      </c>
      <c r="O7" s="0" t="n">
        <v>8598</v>
      </c>
      <c r="P7" s="0" t="n">
        <v>29491</v>
      </c>
      <c r="Q7" s="0" t="n">
        <v>20893</v>
      </c>
      <c r="R7" s="0" t="n">
        <v>9748</v>
      </c>
      <c r="S7" s="0" t="n">
        <v>783</v>
      </c>
      <c r="T7" s="0" t="n">
        <v>1089</v>
      </c>
      <c r="U7" s="0" t="n">
        <v>30</v>
      </c>
      <c r="V7" s="0" t="n">
        <v>0.45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11763</v>
      </c>
      <c r="F8" s="0" t="n">
        <v>3464</v>
      </c>
      <c r="G8" s="0" t="n">
        <v>29.4482699991499</v>
      </c>
      <c r="I8" s="0" t="n">
        <v>1863</v>
      </c>
      <c r="J8" s="0" t="n">
        <v>15.8377964804897</v>
      </c>
      <c r="K8" s="0" t="n">
        <v>1.8</v>
      </c>
      <c r="L8" s="0" t="n">
        <v>2946</v>
      </c>
      <c r="M8" s="0" t="n">
        <v>2341</v>
      </c>
      <c r="N8" s="0" t="n">
        <v>605</v>
      </c>
      <c r="O8" s="0" t="n">
        <v>9136</v>
      </c>
      <c r="P8" s="0" t="n">
        <v>30723</v>
      </c>
      <c r="Q8" s="0" t="n">
        <v>21587</v>
      </c>
      <c r="R8" s="0" t="n">
        <v>9832</v>
      </c>
      <c r="S8" s="0" t="n">
        <v>784</v>
      </c>
      <c r="T8" s="0" t="n">
        <v>1040</v>
      </c>
      <c r="U8" s="0" t="n">
        <v>14</v>
      </c>
      <c r="V8" s="0" t="n">
        <v>0.54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12026</v>
      </c>
      <c r="F9" s="0" t="n">
        <v>3473</v>
      </c>
      <c r="G9" s="0" t="n">
        <v>28.8790952935307</v>
      </c>
      <c r="I9" s="0" t="n">
        <v>1864</v>
      </c>
      <c r="J9" s="0" t="n">
        <v>15.4997505404956</v>
      </c>
      <c r="K9" s="0" t="n">
        <v>1.83</v>
      </c>
      <c r="L9" s="0" t="n">
        <v>3267</v>
      </c>
      <c r="M9" s="0" t="n">
        <v>2313</v>
      </c>
      <c r="N9" s="0" t="n">
        <v>954</v>
      </c>
      <c r="O9" s="0" t="n">
        <v>10504</v>
      </c>
      <c r="P9" s="0" t="n">
        <v>31782</v>
      </c>
      <c r="Q9" s="0" t="n">
        <v>21278</v>
      </c>
      <c r="R9" s="0" t="n">
        <v>9555</v>
      </c>
      <c r="S9" s="0" t="n">
        <v>592</v>
      </c>
      <c r="T9" s="0" t="n">
        <v>1019</v>
      </c>
      <c r="U9" s="0" t="n">
        <v>14</v>
      </c>
      <c r="V9" s="0" t="n">
        <v>0.59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12669</v>
      </c>
      <c r="F10" s="0" t="n">
        <v>3613</v>
      </c>
      <c r="G10" s="0" t="n">
        <v>28.5184308153761</v>
      </c>
      <c r="I10" s="0" t="n">
        <v>1927</v>
      </c>
      <c r="J10" s="0" t="n">
        <v>15.210355987055</v>
      </c>
      <c r="K10" s="0" t="n">
        <v>1.93</v>
      </c>
      <c r="L10" s="0" t="n">
        <v>3343</v>
      </c>
      <c r="M10" s="0" t="n">
        <v>2449</v>
      </c>
      <c r="N10" s="0" t="n">
        <v>894</v>
      </c>
      <c r="O10" s="0" t="n">
        <v>11176</v>
      </c>
      <c r="P10" s="0" t="n">
        <v>33053</v>
      </c>
      <c r="Q10" s="0" t="n">
        <v>21877</v>
      </c>
      <c r="R10" s="0" t="n">
        <v>9742</v>
      </c>
      <c r="S10" s="0" t="n">
        <v>669</v>
      </c>
      <c r="T10" s="0" t="n">
        <v>1002</v>
      </c>
      <c r="U10" s="0" t="n">
        <v>33</v>
      </c>
      <c r="V10" s="0" t="n">
        <v>0.63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11811</v>
      </c>
      <c r="F11" s="0" t="n">
        <v>3584</v>
      </c>
      <c r="G11" s="0" t="n">
        <v>30.3445940225214</v>
      </c>
      <c r="I11" s="0" t="n">
        <v>1968</v>
      </c>
      <c r="J11" s="0" t="n">
        <v>16.6624333248667</v>
      </c>
      <c r="K11" s="0" t="n">
        <v>2</v>
      </c>
      <c r="L11" s="0" t="n">
        <v>3370</v>
      </c>
      <c r="M11" s="0" t="n">
        <v>2562</v>
      </c>
      <c r="N11" s="0" t="n">
        <v>808</v>
      </c>
      <c r="O11" s="0" t="n">
        <v>11668</v>
      </c>
      <c r="P11" s="0" t="n">
        <v>34745</v>
      </c>
      <c r="Q11" s="0" t="n">
        <v>23077</v>
      </c>
      <c r="R11" s="0" t="n">
        <v>10535</v>
      </c>
      <c r="S11" s="0" t="n">
        <v>628</v>
      </c>
      <c r="T11" s="0" t="n">
        <v>984</v>
      </c>
      <c r="U11" s="0" t="n">
        <v>12</v>
      </c>
      <c r="V11" s="0" t="n">
        <v>0.7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11069</v>
      </c>
      <c r="F12" s="0" t="n">
        <v>3413</v>
      </c>
      <c r="G12" s="0" t="n">
        <v>30.8338603306532</v>
      </c>
      <c r="I12" s="0" t="n">
        <v>1714</v>
      </c>
      <c r="J12" s="0" t="n">
        <v>15.484686963592</v>
      </c>
      <c r="K12" s="0" t="n">
        <v>1.81</v>
      </c>
      <c r="L12" s="0" t="n">
        <v>3041</v>
      </c>
      <c r="M12" s="0" t="n">
        <v>2398</v>
      </c>
      <c r="N12" s="0" t="n">
        <v>643</v>
      </c>
      <c r="O12" s="0" t="n">
        <v>11694</v>
      </c>
      <c r="P12" s="0" t="n">
        <v>35414</v>
      </c>
      <c r="Q12" s="0" t="n">
        <v>23720</v>
      </c>
      <c r="R12" s="0" t="n">
        <v>11293</v>
      </c>
      <c r="S12" s="0" t="n">
        <v>603</v>
      </c>
      <c r="T12" s="0" t="n">
        <v>948</v>
      </c>
      <c r="U12" s="0" t="n">
        <v>37</v>
      </c>
      <c r="V12" s="0" t="n">
        <v>0.72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11408</v>
      </c>
      <c r="F13" s="0" t="n">
        <v>3720</v>
      </c>
      <c r="G13" s="0" t="n">
        <v>32.6086956521739</v>
      </c>
      <c r="I13" s="0" t="n">
        <v>5471</v>
      </c>
      <c r="J13" s="0" t="n">
        <v>47.9575736325386</v>
      </c>
      <c r="K13" s="0" t="n">
        <v>6.01</v>
      </c>
      <c r="L13" s="0" t="n">
        <v>3472</v>
      </c>
      <c r="M13" s="0" t="n">
        <v>2040</v>
      </c>
      <c r="N13" s="0" t="n">
        <v>1432</v>
      </c>
      <c r="O13" s="0" t="n">
        <v>14721</v>
      </c>
      <c r="P13" s="0" t="n">
        <v>35739</v>
      </c>
      <c r="Q13" s="0" t="n">
        <v>21018</v>
      </c>
      <c r="R13" s="0" t="n">
        <v>11809</v>
      </c>
      <c r="S13" s="0" t="n">
        <v>401</v>
      </c>
      <c r="T13" s="0" t="n">
        <v>914</v>
      </c>
      <c r="U13" s="0" t="n">
        <v>89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12250</v>
      </c>
      <c r="F14" s="0" t="n">
        <v>4869</v>
      </c>
      <c r="G14" s="0" t="n">
        <v>39.7469387755102</v>
      </c>
      <c r="I14" s="0" t="n">
        <v>3309</v>
      </c>
      <c r="J14" s="0" t="n">
        <v>27.0122448979592</v>
      </c>
      <c r="K14" s="0" t="n">
        <v>3.86</v>
      </c>
      <c r="L14" s="0" t="n">
        <v>4641</v>
      </c>
      <c r="M14" s="0" t="n">
        <v>1745</v>
      </c>
      <c r="N14" s="0" t="n">
        <v>2896</v>
      </c>
      <c r="O14" s="0" t="n">
        <v>12580</v>
      </c>
      <c r="P14" s="0" t="n">
        <v>36729</v>
      </c>
      <c r="Q14" s="0" t="n">
        <v>24149</v>
      </c>
      <c r="R14" s="0" t="n">
        <v>14757</v>
      </c>
      <c r="S14" s="0" t="n">
        <v>858</v>
      </c>
      <c r="T14" s="0" t="n">
        <v>861</v>
      </c>
      <c r="U14" s="0" t="n">
        <v>51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11937</v>
      </c>
      <c r="F15" s="0" t="n">
        <v>4965</v>
      </c>
      <c r="G15" s="0" t="n">
        <v>41.5933651671274</v>
      </c>
      <c r="I15" s="0" t="n">
        <v>3331</v>
      </c>
      <c r="J15" s="0" t="n">
        <v>27.9048337103125</v>
      </c>
      <c r="K15" s="0" t="n">
        <v>4.18</v>
      </c>
      <c r="L15" s="0" t="n">
        <v>4850</v>
      </c>
      <c r="M15" s="0" t="n">
        <v>1657</v>
      </c>
      <c r="N15" s="0" t="n">
        <v>3193</v>
      </c>
      <c r="O15" s="0" t="n">
        <v>11863</v>
      </c>
      <c r="P15" s="0" t="n">
        <v>38257</v>
      </c>
      <c r="Q15" s="0" t="n">
        <v>26394</v>
      </c>
      <c r="R15" s="0" t="n">
        <v>16238</v>
      </c>
      <c r="S15" s="0" t="n">
        <v>958</v>
      </c>
      <c r="T15" s="0" t="n">
        <v>2395</v>
      </c>
      <c r="U15" s="0" t="n">
        <v>74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10583</v>
      </c>
      <c r="F16" s="0" t="n">
        <v>4362</v>
      </c>
      <c r="G16" s="0" t="n">
        <v>41.2170462061797</v>
      </c>
      <c r="H16" s="0" t="n">
        <v>5745</v>
      </c>
      <c r="I16" s="0" t="n">
        <v>2765</v>
      </c>
      <c r="J16" s="0" t="n">
        <v>26.1268071435321</v>
      </c>
      <c r="K16" s="0" t="n">
        <v>3.61</v>
      </c>
      <c r="L16" s="0" t="n">
        <v>4263</v>
      </c>
      <c r="M16" s="0" t="n">
        <v>1626</v>
      </c>
      <c r="N16" s="0" t="n">
        <v>2637</v>
      </c>
      <c r="O16" s="0" t="n">
        <v>13110</v>
      </c>
      <c r="P16" s="0" t="n">
        <v>39793</v>
      </c>
      <c r="Q16" s="0" t="n">
        <v>26683</v>
      </c>
      <c r="R16" s="0" t="n">
        <v>16705</v>
      </c>
      <c r="S16" s="0" t="n">
        <v>3129</v>
      </c>
      <c r="T16" s="0" t="n">
        <v>2305</v>
      </c>
      <c r="U16" s="0" t="n">
        <v>29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12522</v>
      </c>
      <c r="F17" s="0" t="n">
        <v>5594</v>
      </c>
      <c r="G17" s="0" t="n">
        <v>44.673374860246</v>
      </c>
      <c r="H17" s="0" t="n">
        <v>7014</v>
      </c>
      <c r="I17" s="0" t="n">
        <v>3781</v>
      </c>
      <c r="J17" s="0" t="n">
        <v>30.1948570515892</v>
      </c>
      <c r="K17" s="0" t="n">
        <v>1.68</v>
      </c>
      <c r="L17" s="0" t="n">
        <v>5099</v>
      </c>
      <c r="M17" s="0" t="n">
        <v>1791</v>
      </c>
      <c r="N17" s="0" t="n">
        <v>3308</v>
      </c>
      <c r="O17" s="0" t="n">
        <v>13451</v>
      </c>
      <c r="P17" s="0" t="n">
        <v>40531</v>
      </c>
      <c r="Q17" s="0" t="n">
        <v>27031</v>
      </c>
      <c r="R17" s="0" t="n">
        <v>16366</v>
      </c>
      <c r="S17" s="0" t="n">
        <v>2239</v>
      </c>
      <c r="T17" s="0" t="n">
        <v>2255</v>
      </c>
      <c r="U17" s="0" t="n">
        <v>107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14853</v>
      </c>
      <c r="F18" s="0" t="n">
        <v>5954</v>
      </c>
      <c r="G18" s="0" t="n">
        <v>40.0861778765233</v>
      </c>
      <c r="H18" s="0" t="n">
        <v>7456</v>
      </c>
      <c r="I18" s="0" t="n">
        <v>4114</v>
      </c>
      <c r="J18" s="0" t="n">
        <v>27.6981081263045</v>
      </c>
      <c r="K18" s="0" t="n">
        <v>1.93</v>
      </c>
      <c r="L18" s="0" t="n">
        <v>5526</v>
      </c>
      <c r="M18" s="0" t="n">
        <v>2113</v>
      </c>
      <c r="N18" s="0" t="n">
        <v>3413</v>
      </c>
      <c r="O18" s="0" t="n">
        <v>12469</v>
      </c>
      <c r="P18" s="0" t="n">
        <v>41682</v>
      </c>
      <c r="Q18" s="0" t="n">
        <v>29213</v>
      </c>
      <c r="R18" s="0" t="n">
        <v>18047</v>
      </c>
      <c r="S18" s="0" t="n">
        <v>1958</v>
      </c>
      <c r="T18" s="0" t="n">
        <v>2141</v>
      </c>
      <c r="U18" s="0" t="n">
        <v>74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14657</v>
      </c>
      <c r="F19" s="0" t="n">
        <v>5499</v>
      </c>
      <c r="G19" s="0" t="n">
        <v>37.517909531282</v>
      </c>
      <c r="H19" s="0" t="n">
        <v>7106</v>
      </c>
      <c r="I19" s="0" t="n">
        <v>3668</v>
      </c>
      <c r="J19" s="0" t="n">
        <v>25.0255850446886</v>
      </c>
      <c r="K19" s="0" t="n">
        <v>1.83</v>
      </c>
      <c r="L19" s="0" t="n">
        <v>5514</v>
      </c>
      <c r="M19" s="0" t="n">
        <v>2257</v>
      </c>
      <c r="N19" s="0" t="n">
        <v>3257</v>
      </c>
      <c r="O19" s="0" t="n">
        <v>11985</v>
      </c>
      <c r="P19" s="0" t="n">
        <v>42200</v>
      </c>
      <c r="Q19" s="0" t="n">
        <v>30227</v>
      </c>
      <c r="R19" s="0" t="n">
        <v>18533</v>
      </c>
      <c r="T19" s="0" t="n">
        <v>2013</v>
      </c>
      <c r="U19" s="0" t="n">
        <v>60</v>
      </c>
      <c r="V19" s="0" t="n">
        <v>0.44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14540</v>
      </c>
      <c r="F20" s="0" t="n">
        <v>5245</v>
      </c>
      <c r="G20" s="0" t="n">
        <v>36.0729023383769</v>
      </c>
      <c r="H20" s="0" t="n">
        <v>6903</v>
      </c>
      <c r="I20" s="0" t="n">
        <v>3470</v>
      </c>
      <c r="J20" s="0" t="n">
        <v>23.8651994497937</v>
      </c>
      <c r="K20" s="0" t="n">
        <v>1.79</v>
      </c>
      <c r="L20" s="0" t="n">
        <v>5247</v>
      </c>
      <c r="M20" s="0" t="n">
        <v>2529</v>
      </c>
      <c r="N20" s="0" t="n">
        <v>2718</v>
      </c>
      <c r="O20" s="0" t="n">
        <v>12507</v>
      </c>
      <c r="P20" s="0" t="n">
        <v>42764</v>
      </c>
      <c r="Q20" s="0" t="n">
        <v>30257</v>
      </c>
      <c r="R20" s="0" t="n">
        <v>18503</v>
      </c>
      <c r="T20" s="0" t="n">
        <v>1943</v>
      </c>
      <c r="U20" s="0" t="n">
        <v>40</v>
      </c>
      <c r="V20" s="0" t="n">
        <v>0.48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14092</v>
      </c>
      <c r="F21" s="0" t="n">
        <v>4521</v>
      </c>
      <c r="G21" s="0" t="n">
        <v>32.0820323587851</v>
      </c>
      <c r="H21" s="0" t="n">
        <v>6201</v>
      </c>
      <c r="I21" s="0" t="n">
        <v>2889</v>
      </c>
      <c r="J21" s="0" t="n">
        <v>20.5009934714732</v>
      </c>
      <c r="K21" s="0" t="n">
        <v>1.54</v>
      </c>
      <c r="L21" s="0" t="n">
        <v>4613</v>
      </c>
      <c r="M21" s="0" t="n">
        <v>2902</v>
      </c>
      <c r="N21" s="0" t="n">
        <v>1711</v>
      </c>
      <c r="O21" s="0" t="n">
        <v>13160</v>
      </c>
      <c r="P21" s="0" t="n">
        <v>43682</v>
      </c>
      <c r="Q21" s="0" t="n">
        <v>30522</v>
      </c>
      <c r="R21" s="0" t="n">
        <v>18873</v>
      </c>
      <c r="T21" s="0" t="n">
        <v>1873</v>
      </c>
      <c r="U21" s="0" t="n">
        <v>54</v>
      </c>
      <c r="V21" s="0" t="n">
        <v>0.52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46.78</v>
      </c>
    </row>
    <row r="3" customFormat="false" ht="15" hidden="false" customHeight="false" outlineLevel="0" collapsed="false">
      <c r="A3" s="0" t="s">
        <v>86</v>
      </c>
      <c r="B3" s="3" t="n">
        <v>1859</v>
      </c>
    </row>
    <row r="4" customFormat="false" ht="15" hidden="false" customHeight="false" outlineLevel="0" collapsed="false">
      <c r="A4" s="0" t="s">
        <v>87</v>
      </c>
      <c r="B4" s="3" t="n">
        <v>17474</v>
      </c>
    </row>
    <row r="5" customFormat="false" ht="15" hidden="false" customHeight="false" outlineLevel="0" collapsed="false">
      <c r="A5" s="0" t="s">
        <v>88</v>
      </c>
      <c r="B5" s="3" t="n">
        <v>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14092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3</v>
      </c>
      <c r="D13" s="3" t="n">
        <v>0</v>
      </c>
      <c r="E13" s="3" t="n">
        <v>1.5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46</v>
      </c>
      <c r="D14" s="3" t="n">
        <v>44</v>
      </c>
      <c r="E14" s="3" t="n">
        <v>44</v>
      </c>
      <c r="F14" s="3" t="n">
        <v>44.5</v>
      </c>
      <c r="G14" s="3" t="n">
        <v>45</v>
      </c>
      <c r="H14" s="3" t="n">
        <v>45</v>
      </c>
      <c r="I14" s="3" t="n">
        <v>45</v>
      </c>
      <c r="J14" s="3" t="n">
        <v>45</v>
      </c>
      <c r="K14" s="3" t="n">
        <v>45</v>
      </c>
      <c r="L14" s="3" t="n">
        <v>45</v>
      </c>
    </row>
    <row r="15" customFormat="false" ht="15" hidden="false" customHeight="false" outlineLevel="0" collapsed="false">
      <c r="A15" s="0" t="s">
        <v>108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11.3</v>
      </c>
      <c r="D17" s="3" t="n">
        <v>11.6</v>
      </c>
      <c r="E17" s="3" t="n">
        <v>11.6</v>
      </c>
      <c r="F17" s="3" t="n">
        <v>11.5</v>
      </c>
      <c r="G17" s="3" t="n">
        <v>11.5</v>
      </c>
      <c r="H17" s="3" t="n">
        <v>11.5</v>
      </c>
      <c r="I17" s="3" t="n">
        <v>11.5</v>
      </c>
      <c r="J17" s="3" t="n">
        <v>11.5</v>
      </c>
      <c r="K17" s="3" t="n">
        <v>11.5</v>
      </c>
      <c r="L17" s="3" t="n">
        <v>11.5</v>
      </c>
    </row>
    <row r="18" customFormat="false" ht="15" hidden="false" customHeight="false" outlineLevel="0" collapsed="false">
      <c r="A18" s="0" t="s">
        <v>111</v>
      </c>
      <c r="C18" s="3" t="n">
        <v>17</v>
      </c>
      <c r="D18" s="3" t="n">
        <v>17</v>
      </c>
      <c r="E18" s="3" t="n">
        <v>16.5</v>
      </c>
      <c r="F18" s="3" t="n">
        <v>16.5</v>
      </c>
      <c r="G18" s="3" t="n">
        <v>16.5</v>
      </c>
      <c r="H18" s="3" t="n">
        <v>16.5</v>
      </c>
      <c r="I18" s="3" t="n">
        <v>16.5</v>
      </c>
      <c r="J18" s="3" t="n">
        <v>16.5</v>
      </c>
      <c r="K18" s="3" t="n">
        <v>16.5</v>
      </c>
      <c r="L18" s="3" t="n">
        <v>16.5</v>
      </c>
    </row>
    <row r="19" customFormat="false" ht="15" hidden="false" customHeight="false" outlineLevel="0" collapsed="false">
      <c r="A19" s="0" t="s">
        <v>112</v>
      </c>
      <c r="C19" s="3" t="n">
        <v>24</v>
      </c>
      <c r="D19" s="3" t="n">
        <v>24</v>
      </c>
      <c r="E19" s="3" t="n">
        <v>24</v>
      </c>
      <c r="F19" s="3" t="n">
        <v>24</v>
      </c>
      <c r="G19" s="3" t="n">
        <v>24</v>
      </c>
      <c r="H19" s="3" t="n">
        <v>24</v>
      </c>
      <c r="I19" s="3" t="n">
        <v>24</v>
      </c>
      <c r="J19" s="3" t="n">
        <v>24</v>
      </c>
      <c r="K19" s="3" t="n">
        <v>24</v>
      </c>
      <c r="L19" s="3" t="n">
        <v>24</v>
      </c>
    </row>
    <row r="20" customFormat="false" ht="15" hidden="false" customHeight="false" outlineLevel="0" collapsed="false">
      <c r="A20" s="0" t="s">
        <v>113</v>
      </c>
      <c r="B20" s="3" t="n">
        <v>8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15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5</v>
      </c>
      <c r="D27" s="3" t="n">
        <v>3.5</v>
      </c>
      <c r="E27" s="3" t="n">
        <v>3.5</v>
      </c>
      <c r="F27" s="3" t="n">
        <v>3.5</v>
      </c>
      <c r="G27" s="3" t="n">
        <v>3</v>
      </c>
      <c r="H27" s="3" t="n">
        <v>3</v>
      </c>
      <c r="I27" s="3" t="n">
        <v>3</v>
      </c>
      <c r="J27" s="3" t="n">
        <v>2.5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47</v>
      </c>
      <c r="D28" s="3" t="n">
        <v>47.5</v>
      </c>
      <c r="E28" s="3" t="n">
        <v>48</v>
      </c>
      <c r="F28" s="3" t="n">
        <v>48</v>
      </c>
      <c r="G28" s="3" t="n">
        <v>48</v>
      </c>
      <c r="H28" s="3" t="n">
        <v>48</v>
      </c>
      <c r="I28" s="3" t="n">
        <v>48</v>
      </c>
      <c r="J28" s="3" t="n">
        <v>48</v>
      </c>
      <c r="K28" s="3" t="n">
        <v>48</v>
      </c>
      <c r="L28" s="3" t="n">
        <v>48</v>
      </c>
    </row>
    <row r="29" customFormat="false" ht="15" hidden="false" customHeight="false" outlineLevel="0" collapsed="false">
      <c r="A29" s="0" t="s">
        <v>108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11.2</v>
      </c>
      <c r="D31" s="3" t="n">
        <v>11.2</v>
      </c>
      <c r="E31" s="3" t="n">
        <v>11.1</v>
      </c>
      <c r="F31" s="3" t="n">
        <v>11</v>
      </c>
      <c r="G31" s="3" t="n">
        <v>11</v>
      </c>
      <c r="H31" s="3" t="n">
        <v>11</v>
      </c>
      <c r="I31" s="3" t="n">
        <v>11</v>
      </c>
      <c r="J31" s="3" t="n">
        <v>11</v>
      </c>
      <c r="K31" s="3" t="n">
        <v>11</v>
      </c>
      <c r="L31" s="3" t="n">
        <v>11</v>
      </c>
    </row>
    <row r="32" customFormat="false" ht="15" hidden="false" customHeight="false" outlineLevel="0" collapsed="false">
      <c r="A32" s="0" t="s">
        <v>111</v>
      </c>
      <c r="C32" s="3" t="n">
        <v>16.5</v>
      </c>
      <c r="D32" s="3" t="n">
        <v>16</v>
      </c>
      <c r="E32" s="3" t="n">
        <v>15.5</v>
      </c>
      <c r="F32" s="3" t="n">
        <v>15.5</v>
      </c>
      <c r="G32" s="3" t="n">
        <v>15.5</v>
      </c>
      <c r="H32" s="3" t="n">
        <v>15.5</v>
      </c>
      <c r="I32" s="3" t="n">
        <v>15.5</v>
      </c>
      <c r="J32" s="3" t="n">
        <v>15.5</v>
      </c>
      <c r="K32" s="3" t="n">
        <v>15.5</v>
      </c>
      <c r="L32" s="3" t="n">
        <v>15.5</v>
      </c>
    </row>
    <row r="33" customFormat="false" ht="15" hidden="false" customHeight="false" outlineLevel="0" collapsed="false">
      <c r="A33" s="0" t="s">
        <v>112</v>
      </c>
      <c r="C33" s="3" t="n">
        <v>24</v>
      </c>
      <c r="D33" s="3" t="n">
        <v>24</v>
      </c>
      <c r="E33" s="3" t="n">
        <v>24</v>
      </c>
      <c r="F33" s="3" t="n">
        <v>24</v>
      </c>
      <c r="G33" s="3" t="n">
        <v>24</v>
      </c>
      <c r="H33" s="3" t="n">
        <v>24</v>
      </c>
      <c r="I33" s="3" t="n">
        <v>24</v>
      </c>
      <c r="J33" s="3" t="n">
        <v>24</v>
      </c>
      <c r="K33" s="3" t="n">
        <v>24</v>
      </c>
      <c r="L33" s="3" t="n">
        <v>24</v>
      </c>
    </row>
    <row r="34" customFormat="false" ht="15" hidden="false" customHeight="false" outlineLevel="0" collapsed="false">
      <c r="A34" s="0" t="s">
        <v>113</v>
      </c>
      <c r="B34" s="3" t="n">
        <v>8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20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6</v>
      </c>
      <c r="D41" s="3" t="n">
        <v>5</v>
      </c>
      <c r="E41" s="3" t="n">
        <v>5</v>
      </c>
      <c r="F41" s="3" t="n">
        <v>4.5</v>
      </c>
      <c r="G41" s="3" t="n">
        <v>4</v>
      </c>
      <c r="H41" s="3" t="n">
        <v>3.5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48</v>
      </c>
      <c r="D42" s="3" t="n">
        <v>49</v>
      </c>
      <c r="E42" s="3" t="n">
        <v>50</v>
      </c>
      <c r="F42" s="3" t="n">
        <v>50.5</v>
      </c>
      <c r="G42" s="3" t="n">
        <v>51</v>
      </c>
      <c r="H42" s="3" t="n">
        <v>51</v>
      </c>
      <c r="I42" s="3" t="n">
        <v>51</v>
      </c>
      <c r="J42" s="3" t="n">
        <v>51</v>
      </c>
      <c r="K42" s="3" t="n">
        <v>51</v>
      </c>
      <c r="L42" s="3" t="n">
        <v>51</v>
      </c>
    </row>
    <row r="43" customFormat="false" ht="15" hidden="false" customHeight="false" outlineLevel="0" collapsed="false">
      <c r="A43" s="0" t="s">
        <v>108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11.2</v>
      </c>
      <c r="D45" s="3" t="n">
        <v>11.1</v>
      </c>
      <c r="E45" s="3" t="n">
        <v>11</v>
      </c>
      <c r="F45" s="3" t="n">
        <v>10.8</v>
      </c>
      <c r="G45" s="3" t="n">
        <v>10.7</v>
      </c>
      <c r="H45" s="3" t="n">
        <v>10.6</v>
      </c>
      <c r="I45" s="3" t="n">
        <v>10.5</v>
      </c>
      <c r="J45" s="3" t="n">
        <v>10.5</v>
      </c>
      <c r="K45" s="3" t="n">
        <v>10.5</v>
      </c>
      <c r="L45" s="3" t="n">
        <v>10.5</v>
      </c>
    </row>
    <row r="46" customFormat="false" ht="15" hidden="false" customHeight="false" outlineLevel="0" collapsed="false">
      <c r="A46" s="0" t="s">
        <v>111</v>
      </c>
      <c r="C46" s="3" t="n">
        <v>16</v>
      </c>
      <c r="D46" s="3" t="n">
        <v>15</v>
      </c>
      <c r="E46" s="3" t="n">
        <v>14.5</v>
      </c>
      <c r="F46" s="3" t="n">
        <v>14.5</v>
      </c>
      <c r="G46" s="3" t="n">
        <v>14.5</v>
      </c>
      <c r="H46" s="3" t="n">
        <v>14.5</v>
      </c>
      <c r="I46" s="3" t="n">
        <v>14.5</v>
      </c>
      <c r="J46" s="3" t="n">
        <v>14.5</v>
      </c>
      <c r="K46" s="3" t="n">
        <v>14.5</v>
      </c>
      <c r="L46" s="3" t="n">
        <v>14.5</v>
      </c>
    </row>
    <row r="47" customFormat="false" ht="15" hidden="false" customHeight="false" outlineLevel="0" collapsed="false">
      <c r="A47" s="0" t="s">
        <v>112</v>
      </c>
      <c r="C47" s="3" t="n">
        <v>24</v>
      </c>
      <c r="D47" s="3" t="n">
        <v>24</v>
      </c>
      <c r="E47" s="3" t="n">
        <v>24</v>
      </c>
      <c r="F47" s="3" t="n">
        <v>24</v>
      </c>
      <c r="G47" s="3" t="n">
        <v>24</v>
      </c>
      <c r="H47" s="3" t="n">
        <v>24</v>
      </c>
      <c r="I47" s="3" t="n">
        <v>24</v>
      </c>
      <c r="J47" s="3" t="n">
        <v>24</v>
      </c>
      <c r="K47" s="3" t="n">
        <v>24</v>
      </c>
      <c r="L47" s="3" t="n">
        <v>24</v>
      </c>
    </row>
    <row r="48" customFormat="false" ht="15" hidden="false" customHeight="false" outlineLevel="0" collapsed="false">
      <c r="A48" s="0" t="s">
        <v>113</v>
      </c>
      <c r="B48" s="3" t="n">
        <v>8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20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3</v>
      </c>
      <c r="D5" s="4" t="n">
        <f aca="false">Assumptions!D13</f>
        <v>0</v>
      </c>
      <c r="E5" s="4" t="n">
        <f aca="false">Assumptions!E13</f>
        <v>1.5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14092</v>
      </c>
      <c r="C6" s="0" t="n">
        <f aca="false">B6*(1+C5/100)</f>
        <v>14514.76</v>
      </c>
      <c r="D6" s="0" t="n">
        <f aca="false">C6*(1+D5/100)</f>
        <v>14514.76</v>
      </c>
      <c r="E6" s="0" t="n">
        <f aca="false">D6*(1+E5/100)</f>
        <v>14732.4814</v>
      </c>
      <c r="F6" s="0" t="n">
        <f aca="false">E6*(1+F5/100)</f>
        <v>15027.131028</v>
      </c>
      <c r="G6" s="0" t="n">
        <f aca="false">F6*(1+G5/100)</f>
        <v>15327.67364856</v>
      </c>
      <c r="H6" s="0" t="n">
        <f aca="false">G6*(1+H5/100)</f>
        <v>15634.2271215312</v>
      </c>
      <c r="I6" s="0" t="n">
        <f aca="false">H6*(1+I5/100)</f>
        <v>15946.9116639618</v>
      </c>
      <c r="J6" s="0" t="n">
        <f aca="false">I6*(1+J5/100)</f>
        <v>16265.8498972411</v>
      </c>
      <c r="K6" s="0" t="n">
        <f aca="false">J6*(1+K5/100)</f>
        <v>16591.1668951859</v>
      </c>
      <c r="L6" s="0" t="n">
        <f aca="false">K6*(1+L5/100)</f>
        <v>16922.9902330896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46</v>
      </c>
      <c r="D7" s="4" t="n">
        <f aca="false">Assumptions!D14</f>
        <v>44</v>
      </c>
      <c r="E7" s="4" t="n">
        <f aca="false">Assumptions!E14</f>
        <v>44</v>
      </c>
      <c r="F7" s="4" t="n">
        <f aca="false">Assumptions!F14</f>
        <v>44.5</v>
      </c>
      <c r="G7" s="4" t="n">
        <f aca="false">Assumptions!G14</f>
        <v>45</v>
      </c>
      <c r="H7" s="4" t="n">
        <f aca="false">Assumptions!H14</f>
        <v>45</v>
      </c>
      <c r="I7" s="4" t="n">
        <f aca="false">Assumptions!I14</f>
        <v>45</v>
      </c>
      <c r="J7" s="4" t="n">
        <f aca="false">Assumptions!J14</f>
        <v>45</v>
      </c>
      <c r="K7" s="4" t="n">
        <f aca="false">Assumptions!K14</f>
        <v>45</v>
      </c>
      <c r="L7" s="4" t="n">
        <f aca="false">Assumptions!L14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6676.7896</v>
      </c>
      <c r="D8" s="0" t="n">
        <f aca="false">D6*D7/100</f>
        <v>6386.4944</v>
      </c>
      <c r="E8" s="0" t="n">
        <f aca="false">E6*E7/100</f>
        <v>6482.291816</v>
      </c>
      <c r="F8" s="0" t="n">
        <f aca="false">F6*F7/100</f>
        <v>6687.07330746</v>
      </c>
      <c r="G8" s="0" t="n">
        <f aca="false">G6*G7/100</f>
        <v>6897.453141852</v>
      </c>
      <c r="H8" s="0" t="n">
        <f aca="false">H6*H7/100</f>
        <v>7035.40220468904</v>
      </c>
      <c r="I8" s="0" t="n">
        <f aca="false">I6*I7/100</f>
        <v>7176.11024878282</v>
      </c>
      <c r="J8" s="0" t="n">
        <f aca="false">J6*J7/100</f>
        <v>7319.63245375848</v>
      </c>
      <c r="K8" s="0" t="n">
        <f aca="false">K6*K7/100</f>
        <v>7466.02510283365</v>
      </c>
      <c r="L8" s="0" t="n">
        <f aca="false">L6*L7/100</f>
        <v>7615.34560489032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-58.05904</v>
      </c>
      <c r="D10" s="0" t="n">
        <f aca="false">-D6*D9/100</f>
        <v>-58.05904</v>
      </c>
      <c r="E10" s="0" t="n">
        <f aca="false">-E6*E9/100</f>
        <v>-58.9299256</v>
      </c>
      <c r="F10" s="0" t="n">
        <f aca="false">-F6*F9/100</f>
        <v>-60.108524112</v>
      </c>
      <c r="G10" s="0" t="n">
        <f aca="false">-G6*G9/100</f>
        <v>-61.31069459424</v>
      </c>
      <c r="H10" s="0" t="n">
        <f aca="false">-H6*H9/100</f>
        <v>-62.5369084861248</v>
      </c>
      <c r="I10" s="0" t="n">
        <f aca="false">-I6*I9/100</f>
        <v>-63.7876466558473</v>
      </c>
      <c r="J10" s="0" t="n">
        <f aca="false">-J6*J9/100</f>
        <v>-65.0633995889642</v>
      </c>
      <c r="K10" s="0" t="n">
        <f aca="false">-K6*K9/100</f>
        <v>-66.3646675807435</v>
      </c>
      <c r="L10" s="0" t="n">
        <f aca="false">-L6*L9/100</f>
        <v>-67.6919609323584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6618.73056</v>
      </c>
      <c r="D11" s="0" t="n">
        <f aca="false">D8+D10+D24</f>
        <v>6328.43536</v>
      </c>
      <c r="E11" s="0" t="n">
        <f aca="false">E8+E10+E24</f>
        <v>6423.3618904</v>
      </c>
      <c r="F11" s="0" t="n">
        <f aca="false">F8+F10+F24</f>
        <v>6626.964783348</v>
      </c>
      <c r="G11" s="0" t="n">
        <f aca="false">G8+G10+G24</f>
        <v>6836.14244725776</v>
      </c>
      <c r="H11" s="0" t="n">
        <f aca="false">H8+H10+H24</f>
        <v>6972.86529620292</v>
      </c>
      <c r="I11" s="0" t="n">
        <f aca="false">I8+I10+I24</f>
        <v>7112.32260212697</v>
      </c>
      <c r="J11" s="0" t="n">
        <f aca="false">J8+J10+J24</f>
        <v>7254.56905416951</v>
      </c>
      <c r="K11" s="0" t="n">
        <f aca="false">K8+K10+K24</f>
        <v>7399.66043525291</v>
      </c>
      <c r="L11" s="0" t="n">
        <f aca="false">L8+L10+L24</f>
        <v>7547.65364395796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-1640.16788</v>
      </c>
      <c r="D12" s="4" t="n">
        <f aca="false">-D6*Assumptions!D17/100</f>
        <v>-1683.71216</v>
      </c>
      <c r="E12" s="4" t="n">
        <f aca="false">-E6*Assumptions!E17/100</f>
        <v>-1708.9678424</v>
      </c>
      <c r="F12" s="4" t="n">
        <f aca="false">-F6*Assumptions!F17/100</f>
        <v>-1728.12006822</v>
      </c>
      <c r="G12" s="4" t="n">
        <f aca="false">-G6*Assumptions!G17/100</f>
        <v>-1762.6824695844</v>
      </c>
      <c r="H12" s="4" t="n">
        <f aca="false">-H6*Assumptions!H17/100</f>
        <v>-1797.93611897609</v>
      </c>
      <c r="I12" s="4" t="n">
        <f aca="false">-I6*Assumptions!I17/100</f>
        <v>-1833.89484135561</v>
      </c>
      <c r="J12" s="4" t="n">
        <f aca="false">-J6*Assumptions!J17/100</f>
        <v>-1870.57273818272</v>
      </c>
      <c r="K12" s="4" t="n">
        <f aca="false">-K6*Assumptions!K17/100</f>
        <v>-1907.98419294638</v>
      </c>
      <c r="L12" s="4" t="n">
        <f aca="false">-L6*Assumptions!L17/100</f>
        <v>-1946.1438768053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4978.56268</v>
      </c>
      <c r="D13" s="0" t="n">
        <f aca="false">D11+D12</f>
        <v>4644.7232</v>
      </c>
      <c r="E13" s="0" t="n">
        <f aca="false">E11+E12</f>
        <v>4714.394048</v>
      </c>
      <c r="F13" s="0" t="n">
        <f aca="false">F11+F12</f>
        <v>4898.844715128</v>
      </c>
      <c r="G13" s="0" t="n">
        <f aca="false">G11+G12</f>
        <v>5073.45997767336</v>
      </c>
      <c r="H13" s="0" t="n">
        <f aca="false">H11+H12</f>
        <v>5174.92917722683</v>
      </c>
      <c r="I13" s="0" t="n">
        <f aca="false">I11+I12</f>
        <v>5278.42776077136</v>
      </c>
      <c r="J13" s="0" t="n">
        <f aca="false">J11+J12</f>
        <v>5383.99631598679</v>
      </c>
      <c r="K13" s="0" t="n">
        <f aca="false">K11+K12</f>
        <v>5491.67624230653</v>
      </c>
      <c r="L13" s="0" t="n">
        <f aca="false">L11+L12</f>
        <v>5601.50976715266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24</v>
      </c>
      <c r="D14" s="4" t="n">
        <f aca="false">Assumptions!D19</f>
        <v>24</v>
      </c>
      <c r="E14" s="4" t="n">
        <f aca="false">Assumptions!E19</f>
        <v>24</v>
      </c>
      <c r="F14" s="4" t="n">
        <f aca="false">Assumptions!F19</f>
        <v>24</v>
      </c>
      <c r="G14" s="4" t="n">
        <f aca="false">Assumptions!G19</f>
        <v>24</v>
      </c>
      <c r="H14" s="4" t="n">
        <f aca="false">Assumptions!H19</f>
        <v>24</v>
      </c>
      <c r="I14" s="4" t="n">
        <f aca="false">Assumptions!I19</f>
        <v>24</v>
      </c>
      <c r="J14" s="4" t="n">
        <f aca="false">Assumptions!J19</f>
        <v>24</v>
      </c>
      <c r="K14" s="4" t="n">
        <f aca="false">Assumptions!K19</f>
        <v>24</v>
      </c>
      <c r="L14" s="4" t="n">
        <f aca="false">Assumptions!L19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3783.7076368</v>
      </c>
      <c r="D15" s="0" t="n">
        <f aca="false">D13-MAX(0,D13)*D14/100</f>
        <v>3529.989632</v>
      </c>
      <c r="E15" s="0" t="n">
        <f aca="false">E13-MAX(0,E13)*E14/100</f>
        <v>3582.93947648</v>
      </c>
      <c r="F15" s="0" t="n">
        <f aca="false">F13-MAX(0,F13)*F14/100</f>
        <v>3723.12198349728</v>
      </c>
      <c r="G15" s="0" t="n">
        <f aca="false">G13-MAX(0,G13)*G14/100</f>
        <v>3855.82958303175</v>
      </c>
      <c r="H15" s="0" t="n">
        <f aca="false">H13-MAX(0,H13)*H14/100</f>
        <v>3932.94617469239</v>
      </c>
      <c r="I15" s="0" t="n">
        <f aca="false">I13-MAX(0,I13)*I14/100</f>
        <v>4011.60509818624</v>
      </c>
      <c r="J15" s="0" t="n">
        <f aca="false">J13-MAX(0,J13)*J14/100</f>
        <v>4091.83720014996</v>
      </c>
      <c r="K15" s="0" t="n">
        <f aca="false">K13-MAX(0,K13)*K14/100</f>
        <v>4173.67394415296</v>
      </c>
      <c r="L15" s="0" t="n">
        <f aca="false">L13-MAX(0,L13)*L14/100</f>
        <v>4257.14742303602</v>
      </c>
    </row>
    <row r="16" customFormat="false" ht="15" hidden="false" customHeight="false" outlineLevel="0" collapsed="false">
      <c r="A16" s="0" t="s">
        <v>128</v>
      </c>
      <c r="C16" s="0" t="n">
        <f aca="false">-C12</f>
        <v>1640.16788</v>
      </c>
      <c r="D16" s="0" t="n">
        <f aca="false">-D12</f>
        <v>1683.71216</v>
      </c>
      <c r="E16" s="0" t="n">
        <f aca="false">-E12</f>
        <v>1708.9678424</v>
      </c>
      <c r="F16" s="0" t="n">
        <f aca="false">-F12</f>
        <v>1728.12006822</v>
      </c>
      <c r="G16" s="0" t="n">
        <f aca="false">-G12</f>
        <v>1762.6824695844</v>
      </c>
      <c r="H16" s="0" t="n">
        <f aca="false">-H12</f>
        <v>1797.93611897609</v>
      </c>
      <c r="I16" s="0" t="n">
        <f aca="false">-I12</f>
        <v>1833.89484135561</v>
      </c>
      <c r="J16" s="0" t="n">
        <f aca="false">-J12</f>
        <v>1870.57273818272</v>
      </c>
      <c r="K16" s="0" t="n">
        <f aca="false">-K12</f>
        <v>1907.98419294638</v>
      </c>
      <c r="L16" s="0" t="n">
        <f aca="false">-L12</f>
        <v>1946.1438768053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-2467.5092</v>
      </c>
      <c r="D17" s="4" t="n">
        <f aca="false">-D6*Assumptions!D18/100</f>
        <v>-2467.5092</v>
      </c>
      <c r="E17" s="4" t="n">
        <f aca="false">-E6*Assumptions!E18/100</f>
        <v>-2430.859431</v>
      </c>
      <c r="F17" s="4" t="n">
        <f aca="false">-F6*Assumptions!F18/100</f>
        <v>-2479.47661962</v>
      </c>
      <c r="G17" s="4" t="n">
        <f aca="false">-G6*Assumptions!G18/100</f>
        <v>-2529.0661520124</v>
      </c>
      <c r="H17" s="4" t="n">
        <f aca="false">-H6*Assumptions!H18/100</f>
        <v>-2579.64747505265</v>
      </c>
      <c r="I17" s="4" t="n">
        <f aca="false">-I6*Assumptions!I18/100</f>
        <v>-2631.2404245537</v>
      </c>
      <c r="J17" s="4" t="n">
        <f aca="false">-J6*Assumptions!J18/100</f>
        <v>-2683.86523304478</v>
      </c>
      <c r="K17" s="4" t="n">
        <f aca="false">-K6*Assumptions!K18/100</f>
        <v>-2737.54253770567</v>
      </c>
      <c r="L17" s="4" t="n">
        <f aca="false">-L6*Assumptions!L18/100</f>
        <v>-2792.29338845979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-21.138</v>
      </c>
      <c r="D18" s="4" t="n">
        <f aca="false">(D6-C6)*Assumptions!$B$23/100</f>
        <v>-0</v>
      </c>
      <c r="E18" s="4" t="n">
        <f aca="false">(E6-D6)*Assumptions!$B$23/100</f>
        <v>-10.8860699999999</v>
      </c>
      <c r="F18" s="4" t="n">
        <f aca="false">(F6-E6)*Assumptions!$B$23/100</f>
        <v>-14.7324814000001</v>
      </c>
      <c r="G18" s="4" t="n">
        <f aca="false">(G6-F6)*Assumptions!$B$23/100</f>
        <v>-15.027131028</v>
      </c>
      <c r="H18" s="4" t="n">
        <f aca="false">(H6-G6)*Assumptions!$B$23/100</f>
        <v>-15.32767364856</v>
      </c>
      <c r="I18" s="4" t="n">
        <f aca="false">(I6-H6)*Assumptions!$B$23/100</f>
        <v>-15.6342271215312</v>
      </c>
      <c r="J18" s="4" t="n">
        <f aca="false">(J6-I6)*Assumptions!$B$23/100</f>
        <v>-15.9469116639619</v>
      </c>
      <c r="K18" s="4" t="n">
        <f aca="false">(K6-J6)*Assumptions!$B$23/100</f>
        <v>-16.2658498972412</v>
      </c>
      <c r="L18" s="4" t="n">
        <f aca="false">(L6-K6)*Assumptions!$B$23/100</f>
        <v>-16.591166895186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2935.2283168</v>
      </c>
      <c r="D19" s="0" t="n">
        <f aca="false">D15+D16+D17+D18</f>
        <v>2746.192592</v>
      </c>
      <c r="E19" s="0" t="n">
        <f aca="false">E15+E16+E17+E18</f>
        <v>2850.16181788</v>
      </c>
      <c r="F19" s="0" t="n">
        <f aca="false">F15+F16+F17+F18</f>
        <v>2957.03295069728</v>
      </c>
      <c r="G19" s="0" t="n">
        <f aca="false">G15+G16+G17+G18</f>
        <v>3074.41876957575</v>
      </c>
      <c r="H19" s="0" t="n">
        <f aca="false">H15+H16+H17+H18</f>
        <v>3135.90714496727</v>
      </c>
      <c r="I19" s="0" t="n">
        <f aca="false">I15+I16+I17+I18</f>
        <v>3198.62528786661</v>
      </c>
      <c r="J19" s="0" t="n">
        <f aca="false">J15+J16+J17+J18</f>
        <v>3262.59779362395</v>
      </c>
      <c r="K19" s="0" t="n">
        <f aca="false">K15+K16+K17+K18</f>
        <v>3327.84974949643</v>
      </c>
      <c r="L19" s="0" t="n">
        <f aca="false">L15+L16+L17+L18</f>
        <v>3394.40674448635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2717.80399703704</v>
      </c>
      <c r="D21" s="0" t="n">
        <f aca="false">D19*D20</f>
        <v>2354.41751714678</v>
      </c>
      <c r="E21" s="0" t="n">
        <f aca="false">E19*E20</f>
        <v>2262.5503431578</v>
      </c>
      <c r="F21" s="0" t="n">
        <f aca="false">F19*F20</f>
        <v>2173.50749446528</v>
      </c>
      <c r="G21" s="0" t="n">
        <f aca="false">G19*G20</f>
        <v>2092.39775521844</v>
      </c>
      <c r="H21" s="0" t="n">
        <f aca="false">H19*H20</f>
        <v>1976.15343548409</v>
      </c>
      <c r="I21" s="0" t="n">
        <f aca="false">I19*I20</f>
        <v>1866.36713351275</v>
      </c>
      <c r="J21" s="0" t="n">
        <f aca="false">J19*J20</f>
        <v>1762.68007053982</v>
      </c>
      <c r="K21" s="0" t="n">
        <f aca="false">K19*K20</f>
        <v>1664.75339995427</v>
      </c>
      <c r="L21" s="0" t="n">
        <f aca="false">L19*L20</f>
        <v>1572.26709995681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20442.8982464731</v>
      </c>
    </row>
    <row r="31" customFormat="false" ht="15" hidden="false" customHeight="false" outlineLevel="0" collapsed="false">
      <c r="A31" s="0" t="s">
        <v>137</v>
      </c>
      <c r="B31" s="0" t="n">
        <f aca="false">L19</f>
        <v>3394.40674448635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57704.914656268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50916.1011672953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50916.1011672953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23584.0064993522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44026.9047458252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26552.9047458252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14.2834345055542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-0.694667924207905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412.55710397905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533.026083492371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14.7920860318971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26633.0375336622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2.2814504748806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14092</v>
      </c>
      <c r="C6" s="0" t="n">
        <f aca="false">B6*(1+C5/100)</f>
        <v>14796.6</v>
      </c>
      <c r="D6" s="0" t="n">
        <f aca="false">C6*(1+D5/100)</f>
        <v>15314.481</v>
      </c>
      <c r="E6" s="0" t="n">
        <f aca="false">D6*(1+E5/100)</f>
        <v>15850.487835</v>
      </c>
      <c r="F6" s="0" t="n">
        <f aca="false">E6*(1+F5/100)</f>
        <v>16405.254909225</v>
      </c>
      <c r="G6" s="0" t="n">
        <f aca="false">F6*(1+G5/100)</f>
        <v>16897.4125565018</v>
      </c>
      <c r="H6" s="0" t="n">
        <f aca="false">G6*(1+H5/100)</f>
        <v>17404.3349331968</v>
      </c>
      <c r="I6" s="0" t="n">
        <f aca="false">H6*(1+I5/100)</f>
        <v>17926.4649811927</v>
      </c>
      <c r="J6" s="0" t="n">
        <f aca="false">I6*(1+J5/100)</f>
        <v>18374.6266057225</v>
      </c>
      <c r="K6" s="0" t="n">
        <f aca="false">J6*(1+K5/100)</f>
        <v>18833.9922708656</v>
      </c>
      <c r="L6" s="0" t="n">
        <f aca="false">K6*(1+L5/100)</f>
        <v>19304.8420776372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47</v>
      </c>
      <c r="D7" s="4" t="n">
        <f aca="false">Assumptions!D28</f>
        <v>47.5</v>
      </c>
      <c r="E7" s="4" t="n">
        <f aca="false">Assumptions!E28</f>
        <v>48</v>
      </c>
      <c r="F7" s="4" t="n">
        <f aca="false">Assumptions!F28</f>
        <v>48</v>
      </c>
      <c r="G7" s="4" t="n">
        <f aca="false">Assumptions!G28</f>
        <v>48</v>
      </c>
      <c r="H7" s="4" t="n">
        <f aca="false">Assumptions!H28</f>
        <v>48</v>
      </c>
      <c r="I7" s="4" t="n">
        <f aca="false">Assumptions!I28</f>
        <v>48</v>
      </c>
      <c r="J7" s="4" t="n">
        <f aca="false">Assumptions!J28</f>
        <v>48</v>
      </c>
      <c r="K7" s="4" t="n">
        <f aca="false">Assumptions!K28</f>
        <v>48</v>
      </c>
      <c r="L7" s="4" t="n">
        <f aca="false">Assumptions!L28</f>
        <v>48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6954.402</v>
      </c>
      <c r="D8" s="0" t="n">
        <f aca="false">D6*D7/100</f>
        <v>7274.378475</v>
      </c>
      <c r="E8" s="0" t="n">
        <f aca="false">E6*E7/100</f>
        <v>7608.2341608</v>
      </c>
      <c r="F8" s="0" t="n">
        <f aca="false">F6*F7/100</f>
        <v>7874.522356428</v>
      </c>
      <c r="G8" s="0" t="n">
        <f aca="false">G6*G7/100</f>
        <v>8110.75802712084</v>
      </c>
      <c r="H8" s="0" t="n">
        <f aca="false">H6*H7/100</f>
        <v>8354.08076793447</v>
      </c>
      <c r="I8" s="0" t="n">
        <f aca="false">I6*I7/100</f>
        <v>8604.7031909725</v>
      </c>
      <c r="J8" s="0" t="n">
        <f aca="false">J6*J7/100</f>
        <v>8819.82077074681</v>
      </c>
      <c r="K8" s="0" t="n">
        <f aca="false">K6*K7/100</f>
        <v>9040.31629001548</v>
      </c>
      <c r="L8" s="0" t="n">
        <f aca="false">L6*L7/100</f>
        <v>9266.32419726587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-59.1864</v>
      </c>
      <c r="D10" s="0" t="n">
        <f aca="false">-D6*D9/100</f>
        <v>-61.257924</v>
      </c>
      <c r="E10" s="0" t="n">
        <f aca="false">-E6*E9/100</f>
        <v>-63.40195134</v>
      </c>
      <c r="F10" s="0" t="n">
        <f aca="false">-F6*F9/100</f>
        <v>-65.6210196369</v>
      </c>
      <c r="G10" s="0" t="n">
        <f aca="false">-G6*G9/100</f>
        <v>-67.589650226007</v>
      </c>
      <c r="H10" s="0" t="n">
        <f aca="false">-H6*H9/100</f>
        <v>-69.6173397327872</v>
      </c>
      <c r="I10" s="0" t="n">
        <f aca="false">-I6*I9/100</f>
        <v>-71.7058599247708</v>
      </c>
      <c r="J10" s="0" t="n">
        <f aca="false">-J6*J9/100</f>
        <v>-73.4985064228901</v>
      </c>
      <c r="K10" s="0" t="n">
        <f aca="false">-K6*K9/100</f>
        <v>-75.3359690834623</v>
      </c>
      <c r="L10" s="0" t="n">
        <f aca="false">-L6*L9/100</f>
        <v>-77.2193683105489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6895.2156</v>
      </c>
      <c r="D11" s="0" t="n">
        <f aca="false">D8+D10+D24</f>
        <v>7213.120551</v>
      </c>
      <c r="E11" s="0" t="n">
        <f aca="false">E8+E10+E24</f>
        <v>7544.83220946</v>
      </c>
      <c r="F11" s="0" t="n">
        <f aca="false">F8+F10+F24</f>
        <v>7808.9013367911</v>
      </c>
      <c r="G11" s="0" t="n">
        <f aca="false">G8+G10+G24</f>
        <v>8043.16837689483</v>
      </c>
      <c r="H11" s="0" t="n">
        <f aca="false">H8+H10+H24</f>
        <v>8284.46342820168</v>
      </c>
      <c r="I11" s="0" t="n">
        <f aca="false">I8+I10+I24</f>
        <v>8532.99733104773</v>
      </c>
      <c r="J11" s="0" t="n">
        <f aca="false">J8+J10+J24</f>
        <v>8746.32226432392</v>
      </c>
      <c r="K11" s="0" t="n">
        <f aca="false">K8+K10+K24</f>
        <v>8964.98032093202</v>
      </c>
      <c r="L11" s="0" t="n">
        <f aca="false">L8+L10+L24</f>
        <v>9189.10482895532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-1657.2192</v>
      </c>
      <c r="D12" s="4" t="n">
        <f aca="false">-D6*Assumptions!D31/100</f>
        <v>-1715.221872</v>
      </c>
      <c r="E12" s="4" t="n">
        <f aca="false">-E6*Assumptions!E31/100</f>
        <v>-1759.404149685</v>
      </c>
      <c r="F12" s="4" t="n">
        <f aca="false">-F6*Assumptions!F31/100</f>
        <v>-1804.57804001475</v>
      </c>
      <c r="G12" s="4" t="n">
        <f aca="false">-G6*Assumptions!G31/100</f>
        <v>-1858.71538121519</v>
      </c>
      <c r="H12" s="4" t="n">
        <f aca="false">-H6*Assumptions!H31/100</f>
        <v>-1914.47684265165</v>
      </c>
      <c r="I12" s="4" t="n">
        <f aca="false">-I6*Assumptions!I31/100</f>
        <v>-1971.9111479312</v>
      </c>
      <c r="J12" s="4" t="n">
        <f aca="false">-J6*Assumptions!J31/100</f>
        <v>-2021.20892662948</v>
      </c>
      <c r="K12" s="4" t="n">
        <f aca="false">-K6*Assumptions!K31/100</f>
        <v>-2071.73914979521</v>
      </c>
      <c r="L12" s="4" t="n">
        <f aca="false">-L6*Assumptions!L31/100</f>
        <v>-2123.53262854009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5237.9964</v>
      </c>
      <c r="D13" s="0" t="n">
        <f aca="false">D11+D12</f>
        <v>5497.898679</v>
      </c>
      <c r="E13" s="0" t="n">
        <f aca="false">E11+E12</f>
        <v>5785.428059775</v>
      </c>
      <c r="F13" s="0" t="n">
        <f aca="false">F11+F12</f>
        <v>6004.32329677635</v>
      </c>
      <c r="G13" s="0" t="n">
        <f aca="false">G11+G12</f>
        <v>6184.45299567964</v>
      </c>
      <c r="H13" s="0" t="n">
        <f aca="false">H11+H12</f>
        <v>6369.98658555003</v>
      </c>
      <c r="I13" s="0" t="n">
        <f aca="false">I11+I12</f>
        <v>6561.08618311653</v>
      </c>
      <c r="J13" s="0" t="n">
        <f aca="false">J11+J12</f>
        <v>6725.11333769444</v>
      </c>
      <c r="K13" s="0" t="n">
        <f aca="false">K11+K12</f>
        <v>6893.2411711368</v>
      </c>
      <c r="L13" s="0" t="n">
        <f aca="false">L11+L12</f>
        <v>7065.57220041522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24</v>
      </c>
      <c r="D14" s="4" t="n">
        <f aca="false">Assumptions!D33</f>
        <v>24</v>
      </c>
      <c r="E14" s="4" t="n">
        <f aca="false">Assumptions!E33</f>
        <v>24</v>
      </c>
      <c r="F14" s="4" t="n">
        <f aca="false">Assumptions!F33</f>
        <v>24</v>
      </c>
      <c r="G14" s="4" t="n">
        <f aca="false">Assumptions!G33</f>
        <v>24</v>
      </c>
      <c r="H14" s="4" t="n">
        <f aca="false">Assumptions!H33</f>
        <v>24</v>
      </c>
      <c r="I14" s="4" t="n">
        <f aca="false">Assumptions!I33</f>
        <v>24</v>
      </c>
      <c r="J14" s="4" t="n">
        <f aca="false">Assumptions!J33</f>
        <v>24</v>
      </c>
      <c r="K14" s="4" t="n">
        <f aca="false">Assumptions!K33</f>
        <v>24</v>
      </c>
      <c r="L14" s="4" t="n">
        <f aca="false">Assumptions!L33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3980.877264</v>
      </c>
      <c r="D15" s="0" t="n">
        <f aca="false">D13-MAX(0,D13)*D14/100</f>
        <v>4178.40299604</v>
      </c>
      <c r="E15" s="0" t="n">
        <f aca="false">E13-MAX(0,E13)*E14/100</f>
        <v>4396.925325429</v>
      </c>
      <c r="F15" s="0" t="n">
        <f aca="false">F13-MAX(0,F13)*F14/100</f>
        <v>4563.28570555002</v>
      </c>
      <c r="G15" s="0" t="n">
        <f aca="false">G13-MAX(0,G13)*G14/100</f>
        <v>4700.18427671653</v>
      </c>
      <c r="H15" s="0" t="n">
        <f aca="false">H13-MAX(0,H13)*H14/100</f>
        <v>4841.18980501802</v>
      </c>
      <c r="I15" s="0" t="n">
        <f aca="false">I13-MAX(0,I13)*I14/100</f>
        <v>4986.42549916856</v>
      </c>
      <c r="J15" s="0" t="n">
        <f aca="false">J13-MAX(0,J13)*J14/100</f>
        <v>5111.08613664778</v>
      </c>
      <c r="K15" s="0" t="n">
        <f aca="false">K13-MAX(0,K13)*K14/100</f>
        <v>5238.86329006397</v>
      </c>
      <c r="L15" s="0" t="n">
        <f aca="false">L13-MAX(0,L13)*L14/100</f>
        <v>5369.83487231557</v>
      </c>
    </row>
    <row r="16" customFormat="false" ht="15" hidden="false" customHeight="false" outlineLevel="0" collapsed="false">
      <c r="A16" s="0" t="s">
        <v>128</v>
      </c>
      <c r="C16" s="0" t="n">
        <f aca="false">-C12</f>
        <v>1657.2192</v>
      </c>
      <c r="D16" s="0" t="n">
        <f aca="false">-D12</f>
        <v>1715.221872</v>
      </c>
      <c r="E16" s="0" t="n">
        <f aca="false">-E12</f>
        <v>1759.404149685</v>
      </c>
      <c r="F16" s="0" t="n">
        <f aca="false">-F12</f>
        <v>1804.57804001475</v>
      </c>
      <c r="G16" s="0" t="n">
        <f aca="false">-G12</f>
        <v>1858.71538121519</v>
      </c>
      <c r="H16" s="0" t="n">
        <f aca="false">-H12</f>
        <v>1914.47684265165</v>
      </c>
      <c r="I16" s="0" t="n">
        <f aca="false">-I12</f>
        <v>1971.9111479312</v>
      </c>
      <c r="J16" s="0" t="n">
        <f aca="false">-J12</f>
        <v>2021.20892662948</v>
      </c>
      <c r="K16" s="0" t="n">
        <f aca="false">-K12</f>
        <v>2071.73914979521</v>
      </c>
      <c r="L16" s="0" t="n">
        <f aca="false">-L12</f>
        <v>2123.53262854009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-2441.439</v>
      </c>
      <c r="D17" s="4" t="n">
        <f aca="false">-D6*Assumptions!D32/100</f>
        <v>-2450.31696</v>
      </c>
      <c r="E17" s="4" t="n">
        <f aca="false">-E6*Assumptions!E32/100</f>
        <v>-2456.825614425</v>
      </c>
      <c r="F17" s="4" t="n">
        <f aca="false">-F6*Assumptions!F32/100</f>
        <v>-2542.81451092988</v>
      </c>
      <c r="G17" s="4" t="n">
        <f aca="false">-G6*Assumptions!G32/100</f>
        <v>-2619.09894625777</v>
      </c>
      <c r="H17" s="4" t="n">
        <f aca="false">-H6*Assumptions!H32/100</f>
        <v>-2697.6719146455</v>
      </c>
      <c r="I17" s="4" t="n">
        <f aca="false">-I6*Assumptions!I32/100</f>
        <v>-2778.60207208487</v>
      </c>
      <c r="J17" s="4" t="n">
        <f aca="false">-J6*Assumptions!J32/100</f>
        <v>-2848.06712388699</v>
      </c>
      <c r="K17" s="4" t="n">
        <f aca="false">-K6*Assumptions!K32/100</f>
        <v>-2919.26880198417</v>
      </c>
      <c r="L17" s="4" t="n">
        <f aca="false">-L6*Assumptions!L32/100</f>
        <v>-2992.25052203377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-35.23</v>
      </c>
      <c r="D18" s="4" t="n">
        <f aca="false">(D6-C6)*Assumptions!$B$37/100</f>
        <v>-25.89405</v>
      </c>
      <c r="E18" s="4" t="n">
        <f aca="false">(E6-D6)*Assumptions!$B$37/100</f>
        <v>-26.8003417499999</v>
      </c>
      <c r="F18" s="4" t="n">
        <f aca="false">(F6-E6)*Assumptions!$B$37/100</f>
        <v>-27.73835371125</v>
      </c>
      <c r="G18" s="4" t="n">
        <f aca="false">(G6-F6)*Assumptions!$B$37/100</f>
        <v>-24.6078823638376</v>
      </c>
      <c r="H18" s="4" t="n">
        <f aca="false">(H6-G6)*Assumptions!$B$37/100</f>
        <v>-25.3461188347526</v>
      </c>
      <c r="I18" s="4" t="n">
        <f aca="false">(I6-H6)*Assumptions!$B$37/100</f>
        <v>-26.1065023997951</v>
      </c>
      <c r="J18" s="4" t="n">
        <f aca="false">(J6-I6)*Assumptions!$B$37/100</f>
        <v>-22.4080812264909</v>
      </c>
      <c r="K18" s="4" t="n">
        <f aca="false">(K6-J6)*Assumptions!$B$37/100</f>
        <v>-22.9682832571531</v>
      </c>
      <c r="L18" s="4" t="n">
        <f aca="false">(L6-K6)*Assumptions!$B$37/100</f>
        <v>-23.542490338582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3161.427464</v>
      </c>
      <c r="D19" s="0" t="n">
        <f aca="false">D15+D16+D17+D18</f>
        <v>3417.41385804</v>
      </c>
      <c r="E19" s="0" t="n">
        <f aca="false">E15+E16+E17+E18</f>
        <v>3672.703518939</v>
      </c>
      <c r="F19" s="0" t="n">
        <f aca="false">F15+F16+F17+F18</f>
        <v>3797.31088092365</v>
      </c>
      <c r="G19" s="0" t="n">
        <f aca="false">G15+G16+G17+G18</f>
        <v>3915.19282931011</v>
      </c>
      <c r="H19" s="0" t="n">
        <f aca="false">H15+H16+H17+H18</f>
        <v>4032.64861418941</v>
      </c>
      <c r="I19" s="0" t="n">
        <f aca="false">I15+I16+I17+I18</f>
        <v>4153.6280726151</v>
      </c>
      <c r="J19" s="0" t="n">
        <f aca="false">J15+J16+J17+J18</f>
        <v>4261.81985816377</v>
      </c>
      <c r="K19" s="0" t="n">
        <f aca="false">K15+K16+K17+K18</f>
        <v>4368.36535461787</v>
      </c>
      <c r="L19" s="0" t="n">
        <f aca="false">L15+L16+L17+L18</f>
        <v>4477.57448848331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2927.24765185185</v>
      </c>
      <c r="D21" s="0" t="n">
        <f aca="false">D19*D20</f>
        <v>2929.88156553498</v>
      </c>
      <c r="E21" s="0" t="n">
        <f aca="false">E19*E20</f>
        <v>2915.51046504201</v>
      </c>
      <c r="F21" s="0" t="n">
        <f aca="false">F19*F20</f>
        <v>2791.13685782768</v>
      </c>
      <c r="G21" s="0" t="n">
        <f aca="false">G19*G20</f>
        <v>2664.6144527755</v>
      </c>
      <c r="H21" s="0" t="n">
        <f aca="false">H19*H20</f>
        <v>2541.25267255441</v>
      </c>
      <c r="I21" s="0" t="n">
        <f aca="false">I19*I20</f>
        <v>2423.60208586208</v>
      </c>
      <c r="J21" s="0" t="n">
        <f aca="false">J19*J20</f>
        <v>2302.52866071851</v>
      </c>
      <c r="K21" s="0" t="n">
        <f aca="false">K19*K20</f>
        <v>2185.27025670044</v>
      </c>
      <c r="L21" s="0" t="n">
        <f aca="false">L19*L20</f>
        <v>2073.98334547958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25755.028014347</v>
      </c>
    </row>
    <row r="31" customFormat="false" ht="15" hidden="false" customHeight="false" outlineLevel="0" collapsed="false">
      <c r="A31" s="0" t="s">
        <v>137</v>
      </c>
      <c r="B31" s="0" t="n">
        <f aca="false">L19</f>
        <v>4477.57448848331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83445.7063762799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89551.4897696662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83445.7063762799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38651.5078021195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64406.5358164665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46932.5358164665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25.2461193203155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-0.460322374512281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450.758939186161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666.576295806283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25.8471603289182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36716.1108055632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5.65572267774746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6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4.5</v>
      </c>
      <c r="G5" s="4" t="n">
        <f aca="false">Assumptions!G41</f>
        <v>4</v>
      </c>
      <c r="H5" s="4" t="n">
        <f aca="false">Assumptions!H41</f>
        <v>3.5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14092</v>
      </c>
      <c r="C6" s="0" t="n">
        <f aca="false">B6*(1+C5/100)</f>
        <v>14937.52</v>
      </c>
      <c r="D6" s="0" t="n">
        <f aca="false">C6*(1+D5/100)</f>
        <v>15684.396</v>
      </c>
      <c r="E6" s="0" t="n">
        <f aca="false">D6*(1+E5/100)</f>
        <v>16468.6158</v>
      </c>
      <c r="F6" s="0" t="n">
        <f aca="false">E6*(1+F5/100)</f>
        <v>17209.703511</v>
      </c>
      <c r="G6" s="0" t="n">
        <f aca="false">F6*(1+G5/100)</f>
        <v>17898.09165144</v>
      </c>
      <c r="H6" s="0" t="n">
        <f aca="false">G6*(1+H5/100)</f>
        <v>18524.5248592404</v>
      </c>
      <c r="I6" s="0" t="n">
        <f aca="false">H6*(1+I5/100)</f>
        <v>19172.8832293138</v>
      </c>
      <c r="J6" s="0" t="n">
        <f aca="false">I6*(1+J5/100)</f>
        <v>19748.0697261932</v>
      </c>
      <c r="K6" s="0" t="n">
        <f aca="false">J6*(1+K5/100)</f>
        <v>20340.511817979</v>
      </c>
      <c r="L6" s="0" t="n">
        <f aca="false">K6*(1+L5/100)</f>
        <v>20950.7271725184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48</v>
      </c>
      <c r="D7" s="4" t="n">
        <f aca="false">Assumptions!D42</f>
        <v>49</v>
      </c>
      <c r="E7" s="4" t="n">
        <f aca="false">Assumptions!E42</f>
        <v>50</v>
      </c>
      <c r="F7" s="4" t="n">
        <f aca="false">Assumptions!F42</f>
        <v>50.5</v>
      </c>
      <c r="G7" s="4" t="n">
        <f aca="false">Assumptions!G42</f>
        <v>51</v>
      </c>
      <c r="H7" s="4" t="n">
        <f aca="false">Assumptions!H42</f>
        <v>51</v>
      </c>
      <c r="I7" s="4" t="n">
        <f aca="false">Assumptions!I42</f>
        <v>51</v>
      </c>
      <c r="J7" s="4" t="n">
        <f aca="false">Assumptions!J42</f>
        <v>51</v>
      </c>
      <c r="K7" s="4" t="n">
        <f aca="false">Assumptions!K42</f>
        <v>51</v>
      </c>
      <c r="L7" s="4" t="n">
        <f aca="false">Assumptions!L42</f>
        <v>51</v>
      </c>
    </row>
    <row r="8" customFormat="false" ht="15" hidden="false" customHeight="false" outlineLevel="0" collapsed="false">
      <c r="A8" s="0" t="s">
        <v>43</v>
      </c>
      <c r="C8" s="0" t="n">
        <f aca="false">C6*C7/100</f>
        <v>7170.0096</v>
      </c>
      <c r="D8" s="0" t="n">
        <f aca="false">D6*D7/100</f>
        <v>7685.35404</v>
      </c>
      <c r="E8" s="0" t="n">
        <f aca="false">E6*E7/100</f>
        <v>8234.3079</v>
      </c>
      <c r="F8" s="0" t="n">
        <f aca="false">F6*F7/100</f>
        <v>8690.900273055</v>
      </c>
      <c r="G8" s="0" t="n">
        <f aca="false">G6*G7/100</f>
        <v>9128.0267422344</v>
      </c>
      <c r="H8" s="0" t="n">
        <f aca="false">H6*H7/100</f>
        <v>9447.5076782126</v>
      </c>
      <c r="I8" s="0" t="n">
        <f aca="false">I6*I7/100</f>
        <v>9778.17044695004</v>
      </c>
      <c r="J8" s="0" t="n">
        <f aca="false">J6*J7/100</f>
        <v>10071.5155603585</v>
      </c>
      <c r="K8" s="0" t="n">
        <f aca="false">K6*K7/100</f>
        <v>10373.6610271693</v>
      </c>
      <c r="L8" s="0" t="n">
        <f aca="false">L6*L7/100</f>
        <v>10684.8708579844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-59.75008</v>
      </c>
      <c r="D10" s="0" t="n">
        <f aca="false">-D6*D9/100</f>
        <v>-62.737584</v>
      </c>
      <c r="E10" s="0" t="n">
        <f aca="false">-E6*E9/100</f>
        <v>-65.8744632</v>
      </c>
      <c r="F10" s="0" t="n">
        <f aca="false">-F6*F9/100</f>
        <v>-68.838814044</v>
      </c>
      <c r="G10" s="0" t="n">
        <f aca="false">-G6*G9/100</f>
        <v>-71.59236660576</v>
      </c>
      <c r="H10" s="0" t="n">
        <f aca="false">-H6*H9/100</f>
        <v>-74.0980994369616</v>
      </c>
      <c r="I10" s="0" t="n">
        <f aca="false">-I6*I9/100</f>
        <v>-76.6915329172552</v>
      </c>
      <c r="J10" s="0" t="n">
        <f aca="false">-J6*J9/100</f>
        <v>-78.9922789047729</v>
      </c>
      <c r="K10" s="0" t="n">
        <f aca="false">-K6*K9/100</f>
        <v>-81.3620472719161</v>
      </c>
      <c r="L10" s="0" t="n">
        <f aca="false">-L6*L9/100</f>
        <v>-83.8029086900736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7110.25952</v>
      </c>
      <c r="D11" s="0" t="n">
        <f aca="false">D8+D10+D24</f>
        <v>7622.616456</v>
      </c>
      <c r="E11" s="0" t="n">
        <f aca="false">E8+E10+E24</f>
        <v>8168.4334368</v>
      </c>
      <c r="F11" s="0" t="n">
        <f aca="false">F8+F10+F24</f>
        <v>8622.061459011</v>
      </c>
      <c r="G11" s="0" t="n">
        <f aca="false">G8+G10+G24</f>
        <v>9056.43437562864</v>
      </c>
      <c r="H11" s="0" t="n">
        <f aca="false">H8+H10+H24</f>
        <v>9373.40957877564</v>
      </c>
      <c r="I11" s="0" t="n">
        <f aca="false">I8+I10+I24</f>
        <v>9701.47891403279</v>
      </c>
      <c r="J11" s="0" t="n">
        <f aca="false">J8+J10+J24</f>
        <v>9992.52328145377</v>
      </c>
      <c r="K11" s="0" t="n">
        <f aca="false">K8+K10+K24</f>
        <v>10292.2989798974</v>
      </c>
      <c r="L11" s="0" t="n">
        <f aca="false">L8+L10+L24</f>
        <v>10601.0679492943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-1673.00224</v>
      </c>
      <c r="D12" s="4" t="n">
        <f aca="false">-D6*Assumptions!D45/100</f>
        <v>-1740.967956</v>
      </c>
      <c r="E12" s="4" t="n">
        <f aca="false">-E6*Assumptions!E45/100</f>
        <v>-1811.547738</v>
      </c>
      <c r="F12" s="4" t="n">
        <f aca="false">-F6*Assumptions!F45/100</f>
        <v>-1858.647979188</v>
      </c>
      <c r="G12" s="4" t="n">
        <f aca="false">-G6*Assumptions!G45/100</f>
        <v>-1915.09580670408</v>
      </c>
      <c r="H12" s="4" t="n">
        <f aca="false">-H6*Assumptions!H45/100</f>
        <v>-1963.59963507948</v>
      </c>
      <c r="I12" s="4" t="n">
        <f aca="false">-I6*Assumptions!I45/100</f>
        <v>-2013.15273907795</v>
      </c>
      <c r="J12" s="4" t="n">
        <f aca="false">-J6*Assumptions!J45/100</f>
        <v>-2073.54732125029</v>
      </c>
      <c r="K12" s="4" t="n">
        <f aca="false">-K6*Assumptions!K45/100</f>
        <v>-2135.7537408878</v>
      </c>
      <c r="L12" s="4" t="n">
        <f aca="false">-L6*Assumptions!L45/100</f>
        <v>-2199.82635311443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5437.25728</v>
      </c>
      <c r="D13" s="0" t="n">
        <f aca="false">D11+D12</f>
        <v>5881.6485</v>
      </c>
      <c r="E13" s="0" t="n">
        <f aca="false">E11+E12</f>
        <v>6356.8856988</v>
      </c>
      <c r="F13" s="0" t="n">
        <f aca="false">F11+F12</f>
        <v>6763.413479823</v>
      </c>
      <c r="G13" s="0" t="n">
        <f aca="false">G11+G12</f>
        <v>7141.33856892456</v>
      </c>
      <c r="H13" s="0" t="n">
        <f aca="false">H11+H12</f>
        <v>7409.80994369616</v>
      </c>
      <c r="I13" s="0" t="n">
        <f aca="false">I11+I12</f>
        <v>7688.32617495484</v>
      </c>
      <c r="J13" s="0" t="n">
        <f aca="false">J11+J12</f>
        <v>7918.97596020348</v>
      </c>
      <c r="K13" s="0" t="n">
        <f aca="false">K11+K12</f>
        <v>8156.54523900959</v>
      </c>
      <c r="L13" s="0" t="n">
        <f aca="false">L11+L12</f>
        <v>8401.24159617987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24</v>
      </c>
      <c r="D14" s="4" t="n">
        <f aca="false">Assumptions!D47</f>
        <v>24</v>
      </c>
      <c r="E14" s="4" t="n">
        <f aca="false">Assumptions!E47</f>
        <v>24</v>
      </c>
      <c r="F14" s="4" t="n">
        <f aca="false">Assumptions!F47</f>
        <v>24</v>
      </c>
      <c r="G14" s="4" t="n">
        <f aca="false">Assumptions!G47</f>
        <v>24</v>
      </c>
      <c r="H14" s="4" t="n">
        <f aca="false">Assumptions!H47</f>
        <v>24</v>
      </c>
      <c r="I14" s="4" t="n">
        <f aca="false">Assumptions!I47</f>
        <v>24</v>
      </c>
      <c r="J14" s="4" t="n">
        <f aca="false">Assumptions!J47</f>
        <v>24</v>
      </c>
      <c r="K14" s="4" t="n">
        <f aca="false">Assumptions!K47</f>
        <v>24</v>
      </c>
      <c r="L14" s="4" t="n">
        <f aca="false">Assumptions!L47</f>
        <v>24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4132.3155328</v>
      </c>
      <c r="D15" s="0" t="n">
        <f aca="false">D13-MAX(0,D13)*D14/100</f>
        <v>4470.05286</v>
      </c>
      <c r="E15" s="0" t="n">
        <f aca="false">E13-MAX(0,E13)*E14/100</f>
        <v>4831.233131088</v>
      </c>
      <c r="F15" s="0" t="n">
        <f aca="false">F13-MAX(0,F13)*F14/100</f>
        <v>5140.19424466548</v>
      </c>
      <c r="G15" s="0" t="n">
        <f aca="false">G13-MAX(0,G13)*G14/100</f>
        <v>5427.41731238267</v>
      </c>
      <c r="H15" s="0" t="n">
        <f aca="false">H13-MAX(0,H13)*H14/100</f>
        <v>5631.45555720908</v>
      </c>
      <c r="I15" s="0" t="n">
        <f aca="false">I13-MAX(0,I13)*I14/100</f>
        <v>5843.12789296568</v>
      </c>
      <c r="J15" s="0" t="n">
        <f aca="false">J13-MAX(0,J13)*J14/100</f>
        <v>6018.42172975465</v>
      </c>
      <c r="K15" s="0" t="n">
        <f aca="false">K13-MAX(0,K13)*K14/100</f>
        <v>6198.97438164729</v>
      </c>
      <c r="L15" s="0" t="n">
        <f aca="false">L13-MAX(0,L13)*L14/100</f>
        <v>6384.9436130967</v>
      </c>
    </row>
    <row r="16" customFormat="false" ht="15" hidden="false" customHeight="false" outlineLevel="0" collapsed="false">
      <c r="A16" s="0" t="s">
        <v>128</v>
      </c>
      <c r="C16" s="0" t="n">
        <f aca="false">-C12</f>
        <v>1673.00224</v>
      </c>
      <c r="D16" s="0" t="n">
        <f aca="false">-D12</f>
        <v>1740.967956</v>
      </c>
      <c r="E16" s="0" t="n">
        <f aca="false">-E12</f>
        <v>1811.547738</v>
      </c>
      <c r="F16" s="0" t="n">
        <f aca="false">-F12</f>
        <v>1858.647979188</v>
      </c>
      <c r="G16" s="0" t="n">
        <f aca="false">-G12</f>
        <v>1915.09580670408</v>
      </c>
      <c r="H16" s="0" t="n">
        <f aca="false">-H12</f>
        <v>1963.59963507948</v>
      </c>
      <c r="I16" s="0" t="n">
        <f aca="false">-I12</f>
        <v>2013.15273907795</v>
      </c>
      <c r="J16" s="0" t="n">
        <f aca="false">-J12</f>
        <v>2073.54732125029</v>
      </c>
      <c r="K16" s="0" t="n">
        <f aca="false">-K12</f>
        <v>2135.7537408878</v>
      </c>
      <c r="L16" s="0" t="n">
        <f aca="false">-L12</f>
        <v>2199.82635311443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-2390.0032</v>
      </c>
      <c r="D17" s="4" t="n">
        <f aca="false">-D6*Assumptions!D46/100</f>
        <v>-2352.6594</v>
      </c>
      <c r="E17" s="4" t="n">
        <f aca="false">-E6*Assumptions!E46/100</f>
        <v>-2387.949291</v>
      </c>
      <c r="F17" s="4" t="n">
        <f aca="false">-F6*Assumptions!F46/100</f>
        <v>-2495.407009095</v>
      </c>
      <c r="G17" s="4" t="n">
        <f aca="false">-G6*Assumptions!G46/100</f>
        <v>-2595.2232894588</v>
      </c>
      <c r="H17" s="4" t="n">
        <f aca="false">-H6*Assumptions!H46/100</f>
        <v>-2686.05610458986</v>
      </c>
      <c r="I17" s="4" t="n">
        <f aca="false">-I6*Assumptions!I46/100</f>
        <v>-2780.0680682505</v>
      </c>
      <c r="J17" s="4" t="n">
        <f aca="false">-J6*Assumptions!J46/100</f>
        <v>-2863.47011029802</v>
      </c>
      <c r="K17" s="4" t="n">
        <f aca="false">-K6*Assumptions!K46/100</f>
        <v>-2949.37421360696</v>
      </c>
      <c r="L17" s="4" t="n">
        <f aca="false">-L6*Assumptions!L46/100</f>
        <v>-3037.85544001517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-42.276</v>
      </c>
      <c r="D18" s="4" t="n">
        <f aca="false">(D6-C6)*Assumptions!$B$51/100</f>
        <v>-37.3438</v>
      </c>
      <c r="E18" s="4" t="n">
        <f aca="false">(E6-D6)*Assumptions!$B$51/100</f>
        <v>-39.2109899999999</v>
      </c>
      <c r="F18" s="4" t="n">
        <f aca="false">(F6-E6)*Assumptions!$B$51/100</f>
        <v>-37.05438555</v>
      </c>
      <c r="G18" s="4" t="n">
        <f aca="false">(G6-F6)*Assumptions!$B$51/100</f>
        <v>-34.4194070220001</v>
      </c>
      <c r="H18" s="4" t="n">
        <f aca="false">(H6-G6)*Assumptions!$B$51/100</f>
        <v>-31.3216603900199</v>
      </c>
      <c r="I18" s="4" t="n">
        <f aca="false">(I6-H6)*Assumptions!$B$51/100</f>
        <v>-32.4179185036706</v>
      </c>
      <c r="J18" s="4" t="n">
        <f aca="false">(J6-I6)*Assumptions!$B$51/100</f>
        <v>-28.7593248439707</v>
      </c>
      <c r="K18" s="4" t="n">
        <f aca="false">(K6-J6)*Assumptions!$B$51/100</f>
        <v>-29.6221045892898</v>
      </c>
      <c r="L18" s="4" t="n">
        <f aca="false">(L6-K6)*Assumptions!$B$51/100</f>
        <v>-30.5107677269685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3373.0385728</v>
      </c>
      <c r="D19" s="0" t="n">
        <f aca="false">D15+D16+D17+D18</f>
        <v>3821.017616</v>
      </c>
      <c r="E19" s="0" t="n">
        <f aca="false">E15+E16+E17+E18</f>
        <v>4215.620588088</v>
      </c>
      <c r="F19" s="0" t="n">
        <f aca="false">F15+F16+F17+F18</f>
        <v>4466.38082920848</v>
      </c>
      <c r="G19" s="0" t="n">
        <f aca="false">G15+G16+G17+G18</f>
        <v>4712.87042260595</v>
      </c>
      <c r="H19" s="0" t="n">
        <f aca="false">H15+H16+H17+H18</f>
        <v>4877.67742730869</v>
      </c>
      <c r="I19" s="0" t="n">
        <f aca="false">I15+I16+I17+I18</f>
        <v>5043.79464528945</v>
      </c>
      <c r="J19" s="0" t="n">
        <f aca="false">J15+J16+J17+J18</f>
        <v>5199.73961586295</v>
      </c>
      <c r="K19" s="0" t="n">
        <f aca="false">K15+K16+K17+K18</f>
        <v>5355.73180433884</v>
      </c>
      <c r="L19" s="0" t="n">
        <f aca="false">L15+L16+L17+L18</f>
        <v>5516.403758469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3123.1838637037</v>
      </c>
      <c r="D21" s="0" t="n">
        <f aca="false">D19*D20</f>
        <v>3275.90673525377</v>
      </c>
      <c r="E21" s="0" t="n">
        <f aca="false">E19*E20</f>
        <v>3346.49553873266</v>
      </c>
      <c r="F21" s="0" t="n">
        <f aca="false">F19*F20</f>
        <v>3282.92324342601</v>
      </c>
      <c r="G21" s="0" t="n">
        <f aca="false">G19*G20</f>
        <v>3207.50041942297</v>
      </c>
      <c r="H21" s="0" t="n">
        <f aca="false">H19*H20</f>
        <v>3073.76416442326</v>
      </c>
      <c r="I21" s="0" t="n">
        <f aca="false">I19*I20</f>
        <v>2943.00573120098</v>
      </c>
      <c r="J21" s="0" t="n">
        <f aca="false">J19*J20</f>
        <v>2809.25752196301</v>
      </c>
      <c r="K21" s="0" t="n">
        <f aca="false">K19*K20</f>
        <v>2679.19930335361</v>
      </c>
      <c r="L21" s="0" t="n">
        <f aca="false">L19*L20</f>
        <v>2555.16229856872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30296.3988200487</v>
      </c>
    </row>
    <row r="31" customFormat="false" ht="15" hidden="false" customHeight="false" outlineLevel="0" collapsed="false">
      <c r="A31" s="0" t="s">
        <v>137</v>
      </c>
      <c r="B31" s="0" t="n">
        <f aca="false">L19</f>
        <v>5516.403758469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113637.917424461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110328.07516938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110328.07516938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51103.2459713744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81399.644791423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63925.644791423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34.3871139276079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-0.264918470978883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474.366388890064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799.629408708628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35.0724263523517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47349.1322601923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8.77441884849343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14.2834345055542</v>
      </c>
      <c r="C4" s="0" t="n">
        <f aca="false">B4/Assumptions!$B$2-1</f>
        <v>-0.694667924207905</v>
      </c>
      <c r="D4" s="4" t="n">
        <f aca="false">Assumptions!$B$24</f>
        <v>0.2</v>
      </c>
      <c r="E4" s="4" t="n">
        <f aca="false">DCF_Bear!$B$43</f>
        <v>14.7920860318971</v>
      </c>
      <c r="F4" s="4" t="n">
        <f aca="false">DCF_Bear!$B$47</f>
        <v>2.2814504748806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25.2461193203155</v>
      </c>
      <c r="C5" s="0" t="n">
        <f aca="false">B5/Assumptions!$B$2-1</f>
        <v>-0.460322374512281</v>
      </c>
      <c r="D5" s="4" t="n">
        <f aca="false">Assumptions!$B$38</f>
        <v>0.5</v>
      </c>
      <c r="E5" s="4" t="n">
        <f aca="false">DCF_Base!$B$43</f>
        <v>25.8471603289182</v>
      </c>
      <c r="F5" s="4" t="n">
        <f aca="false">DCF_Base!$B$47</f>
        <v>5.65572267774746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34.3871139276079</v>
      </c>
      <c r="C6" s="0" t="n">
        <f aca="false">B6/Assumptions!$B$2-1</f>
        <v>-0.264918470978883</v>
      </c>
      <c r="D6" s="4" t="n">
        <f aca="false">Assumptions!$B$52</f>
        <v>0.3</v>
      </c>
      <c r="E6" s="4" t="n">
        <f aca="false">DCF_Bull!$B$43</f>
        <v>35.0724263523517</v>
      </c>
      <c r="F6" s="4" t="n">
        <f aca="false">DCF_Bull!$B$47</f>
        <v>8.77441884849343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25.7958807395509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26.403725276544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-0.813467835129026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3452.21812212954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5.91647708839788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25.2461193203155</v>
      </c>
      <c r="C15" s="3" t="n">
        <v>8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19.8586828823799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15.9096058907166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12.891157373171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10.509392033631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5.65572267774746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32.7795949313124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32.7795949313124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32.7795949313124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32.7795949313124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32.7795949313124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27.7375781450496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29.6298428508502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29.6298428508502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29.6298428508502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29.6298428508502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21.8757803334657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23.4205190357719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25.2461193203155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26.7674528907685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26.7674528907685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17.5838456477473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18.6400200781124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19.8586828823799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21.2804561540252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22.9607336568788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14.3072865525515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15.0583737423164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15.9096058907166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16.8824426317454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18.0049465637017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2026-09-26T01:10:52Z</dcterms:created>
  <dc:creator>openpyxl</dc:creator>
  <dc:description/>
  <dc:language>en-NZ</dc:language>
  <cp:lastModifiedBy/>
  <dcterms:modified xsi:type="dcterms:W3CDTF">2026-09-26T01:10:52Z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