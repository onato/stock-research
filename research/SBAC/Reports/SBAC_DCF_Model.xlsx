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<sst xmlns="http://schemas.openxmlformats.org/spreadsheetml/2006/main" count="387" uniqueCount="175">
  <si>
    <t xml:space="preserve">Ticker</t>
  </si>
  <si>
    <t xml:space="preserve">SBAC</t>
  </si>
  <si>
    <t xml:space="preserve">Company</t>
  </si>
  <si>
    <t xml:space="preserve">SBA Communications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</si>
  <si>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</si>
  <si>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</si>
  <si>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</si>
  <si>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</si>
  <si>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2026-10-01T20:00:00Z regular close (Yahoo chart API)</t>
  </si>
  <si>
    <t xml:space="preserve">Balance sheet date</t>
  </si>
  <si>
    <t xml:space="preserve">2026-06-30</t>
  </si>
  <si>
    <t xml:space="preserve">Model</t>
  </si>
  <si>
    <t xml:space="preserve">REIT AFFO capitalisation at cost of equity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</si>
  <si>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</si>
  <si>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</si>
  <si>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</si>
  <si>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</si>
  <si>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</si>
  <si>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</si>
  <si>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</si>
  <si>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</si>
  <si>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2026-10-02T08:36:02Z</t>
  </si>
  <si>
    <t xml:space="preserve">Drivers file</t>
  </si>
  <si>
    <t xml:space="preserve">SBAC_Drivers.json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</si>
  <si>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</si>
  <si>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</si>
  <si>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</si>
  <si>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post-interest AFFO stream SBA actually distributes or reinvests, net of SBC, at the cost of equity; never subtract net debt (it is already inside AFFO through net cash interest). Growth is organic only, because discretionary build/acquisition capex is not deducted. The key judgment is how much of the 2027-31 refinancing wave eats operating leverage.
key_risks_to_valuation: Carrier churn: T-Mobile/AT&amp;T/Verizon are ~66.5% of revenue; EchoStar has already defaulted; further consolidation or network-sharing would repeat the FY26 churn.; Refinancing: ~$5.5B of 1.6-3.9% coupon debt rolls 2026-2031; every 100bp on that tranche is ~$55M (~4.5%) of AFFO.; Cost of equity: the 10y UST is the dominant lever; +/-50bp on the 9.75% CoE moves base IV by roughly 8%.; FX: ~30% of site leasing revenue is BRL/ZAR/Central America - USD AFFO absorbs EM depreciation.; Capital allocation: discretionary capex ($455-475M/yr) and buybacks are assumed to earn the cost of capital; value-destructive acquisitions would make the base too high.</t>
  </si>
  <si>
    <t xml:space="preserve">Data sources</t>
  </si>
  <si>
    <t xml:space="preserve">price: Yahoo Finance chart API at inputs.price_as_of; 52-week range 157.35-224.46 (trading at the low).
financials: SBAC_Metrics.csv (SEC XBRL, FY2007-Q2 2026) for history; SEC EDGAR 8-K ex99.1 earnings releases of 2026-02-26 (Q4-25, FY26 initial outlook) and 2026-08-03 (Q2-26, updated FY26 outlook, AFFO reconciliation, net-debt table) for AFFO, non-cash compensation, notional debt and guidance.
qualitative: SBAC_Analysis.json (2026-10).</t>
  </si>
  <si>
    <t xml:space="preserve">Scenario narrative: bear</t>
  </si>
  <si>
    <t xml:space="preserve">Carrier consolidation or another tenant failure repeats the 2025-26 churn, EM currencies fall, and refinancing at 6%+ outruns growth: house AFFO stalls in nominal terms for several years, valued at a 10.5% cost of equity.</t>
  </si>
  <si>
    <t xml:space="preserve">Scenario narrative: base</t>
  </si>
  <si>
    <t xml:space="preserve">Tower leasing resumes ~4% organic growth in 2027 once the Sprint and EchoStar churn ($112M, ~4% of site leasing revenue) rolls off, but the refinancing of 2020-21 tower securities and senior notes at ~5%+ absorbs most of the operating leverage until ~2031. House AFFO (company AFFO less the SBC add-back) grows ~4%/yr from $11.34/share, capitalised at a 9.75% cost of equity.</t>
  </si>
  <si>
    <t xml:space="preserve">Scenario narrative: bull</t>
  </si>
  <si>
    <t xml:space="preserve">A 5G mid-band/Auction 115 amendment cycle plus Central America and Brazil colocation push organic growth back to 5-5.5%, rates ease so the refi wave is cheap, and the IG rating lowers the equity's risk premium: AFFO/share compounds ~7%.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</si>
  <si>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</si>
  <si>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</si>
  <si>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</si>
  <si>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</si>
  <si>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</si>
  <si>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</si>
  <si>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</si>
  <si>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</si>
  <si>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</si>
  <si>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</si>
  <si>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</si>
  <si>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</si>
  <si>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</si>
  <si>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</si>
  <si>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</si>
  <si>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</si>
  <si>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</si>
  <si>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</si>
  <si>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</si>
  <si>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</si>
  <si>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</si>
  <si>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</si>
  <si>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</si>
  <si>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</si>
  <si>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</si>
  <si>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</si>
  <si>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</si>
  <si>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</si>
  <si>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</si>
  <si>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</si>
  <si>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</si>
  <si>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</si>
  <si>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</si>
  <si>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</si>
  <si>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</si>
  <si>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</si>
  <si>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</si>
  <si>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</si>
  <si>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</si>
  <si>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</si>
  <si>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</si>
  <si>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</si>
  <si>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</si>
  <si>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</si>
  <si>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</si>
  <si>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</si>
  <si>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</si>
  <si>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</si>
  <si>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</si>
  <si>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</si>
  <si>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</si>
  <si>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</si>
  <si>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</si>
  <si>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</si>
  <si>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</si>
  <si>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 (guidance midpoint, Q2-26 outlook)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</si>
  <si>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</si>
  <si>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</si>
  <si>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</si>
  <si>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</si>
  <si>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</si>
  <si>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</si>
  <si>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</si>
  <si>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</si>
  <si>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</si>
  <si>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</si>
  <si>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</si>
  <si>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</si>
  <si>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</si>
  <si>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</si>
  <si>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</si>
  <si>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</si>
  <si>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</si>
  <si>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</si>
  <si>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</si>
  <si>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</si>
  <si>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</si>
  <si>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</si>
  <si>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</si>
  <si>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</si>
  <si>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</si>
  <si>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</si>
  <si>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</si>
  <si>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</si>
  <si>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SBAC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</si>
  <si>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</si>
  <si>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</si>
  <si>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</si>
  <si>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</si>
  <si>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</si>
  <si>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</si>
  <si>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</si>
  <si>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</si>
  <si>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</si>
  <si>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</si>
  <si>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</si>
  <si>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</si>
  <si>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</si>
  <si>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</si>
  <si>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</si>
  <si>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</si>
  <si>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</si>
  <si>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</si>
  <si>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</si>
  <si>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</si>
  <si>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</si>
  <si>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</si>
  <si>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</si>
  <si>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</si>
  <si>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</si>
  <si>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</si>
  <si>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</si>
  <si>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</si>
  <si>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</si>
  <si>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</si>
  <si>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SBAC owner-FCF component DCF: base case (millions, USD)</t>
  </si>
  <si>
    <t xml:space="preserve">SBAC owner-FCF component DCF: bull case (millions, USD)</t>
  </si>
  <si>
    <t xml:space="preserve">SBAC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</si>
  <si>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</si>
  <si>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</si>
  <si>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</si>
  <si>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</si>
  <si>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</si>
  <si>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</si>
  <si>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</si>
  <si>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</si>
  <si>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</si>
  <si>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</si>
  <si>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</si>
  <si>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</si>
  <si>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</si>
  <si>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</si>
  <si>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</si>
  <si>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9.75%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</si>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</sst>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158.02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396.357</v>
      </c>
      <c r="S2" s="0" t="n">
        <v>70.272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474.954</v>
      </c>
      <c r="F3" s="0" t="n">
        <v>45.582</v>
      </c>
      <c r="G3" s="0" t="n">
        <v>9.59713993355146</v>
      </c>
      <c r="I3" s="0" t="n">
        <v>-67.164</v>
      </c>
      <c r="J3" s="0" t="n">
        <v>-14.1411589332862</v>
      </c>
      <c r="L3" s="0" t="n">
        <v>173.696</v>
      </c>
      <c r="M3" s="0" t="n">
        <v>36.166</v>
      </c>
      <c r="N3" s="0" t="n">
        <v>137.53</v>
      </c>
      <c r="O3" s="0" t="n">
        <v>650.51</v>
      </c>
      <c r="S3" s="0" t="n">
        <v>78.856</v>
      </c>
      <c r="U3" s="0" t="n">
        <v>7.207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555.513</v>
      </c>
      <c r="C4" s="0" t="n">
        <v>180.543</v>
      </c>
      <c r="F4" s="0" t="n">
        <v>54.954</v>
      </c>
      <c r="G4" s="0" t="n">
        <v>9.89247776379671</v>
      </c>
      <c r="I4" s="0" t="n">
        <v>-141.119</v>
      </c>
      <c r="J4" s="0" t="n">
        <v>-25.4033658978278</v>
      </c>
      <c r="L4" s="0" t="n">
        <v>222.572</v>
      </c>
      <c r="M4" s="0" t="n">
        <v>46.743</v>
      </c>
      <c r="N4" s="0" t="n">
        <v>175.829</v>
      </c>
      <c r="O4" s="0" t="n">
        <v>599.949</v>
      </c>
      <c r="P4" s="0" t="n">
        <v>3313.646</v>
      </c>
      <c r="R4" s="0" t="n">
        <v>2489.05</v>
      </c>
      <c r="S4" s="0" t="n">
        <v>161.317</v>
      </c>
      <c r="T4" s="0" t="n">
        <v>117.082</v>
      </c>
      <c r="U4" s="0" t="n">
        <v>8.2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626.619</v>
      </c>
      <c r="C5" s="0" t="n">
        <v>199.442</v>
      </c>
      <c r="F5" s="0" t="n">
        <v>74.273</v>
      </c>
      <c r="G5" s="0" t="n">
        <v>11.8529760508379</v>
      </c>
      <c r="I5" s="0" t="n">
        <v>-194.674</v>
      </c>
      <c r="J5" s="0" t="n">
        <v>-31.067363102619</v>
      </c>
      <c r="L5" s="0" t="n">
        <v>201.14</v>
      </c>
      <c r="M5" s="0" t="n">
        <v>66.618</v>
      </c>
      <c r="N5" s="0" t="n">
        <v>134.522</v>
      </c>
      <c r="O5" s="0" t="n">
        <v>317.11</v>
      </c>
      <c r="P5" s="0" t="n">
        <v>3400.175</v>
      </c>
      <c r="R5" s="0" t="n">
        <v>2827.45</v>
      </c>
      <c r="S5" s="0" t="n">
        <v>64.254</v>
      </c>
      <c r="T5" s="0" t="n">
        <v>114.832</v>
      </c>
      <c r="U5" s="0" t="n">
        <v>10.501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698.17</v>
      </c>
      <c r="C6" s="0" t="n">
        <v>202.921</v>
      </c>
      <c r="F6" s="0" t="n">
        <v>110.659</v>
      </c>
      <c r="G6" s="0" t="n">
        <v>15.8498646461464</v>
      </c>
      <c r="I6" s="0" t="n">
        <v>-126.892</v>
      </c>
      <c r="J6" s="0" t="n">
        <v>-18.1749430654425</v>
      </c>
      <c r="L6" s="0" t="n">
        <v>249.058</v>
      </c>
      <c r="M6" s="0" t="n">
        <v>508.828</v>
      </c>
      <c r="N6" s="0" t="n">
        <v>-259.77</v>
      </c>
      <c r="O6" s="0" t="n">
        <v>-11.313</v>
      </c>
      <c r="P6" s="0" t="n">
        <v>3606.399</v>
      </c>
      <c r="R6" s="0" t="n">
        <v>3359.485</v>
      </c>
      <c r="S6" s="0" t="n">
        <v>47.316</v>
      </c>
      <c r="T6" s="0" t="n">
        <v>109.675</v>
      </c>
      <c r="U6" s="0" t="n">
        <v>11.469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954.084</v>
      </c>
      <c r="C7" s="0" t="n">
        <v>279.507</v>
      </c>
      <c r="D7" s="0" t="n">
        <v>674.577</v>
      </c>
      <c r="E7" s="0" t="n">
        <v>70.7041518356874</v>
      </c>
      <c r="F7" s="0" t="n">
        <v>147.146</v>
      </c>
      <c r="G7" s="0" t="n">
        <v>15.4227510365964</v>
      </c>
      <c r="I7" s="0" t="n">
        <v>-181.39</v>
      </c>
      <c r="J7" s="0" t="n">
        <v>-19.0119528259566</v>
      </c>
      <c r="L7" s="0" t="n">
        <v>340.914</v>
      </c>
      <c r="M7" s="0" t="n">
        <v>2368.498</v>
      </c>
      <c r="N7" s="0" t="n">
        <v>-2027.584</v>
      </c>
      <c r="O7" s="0" t="n">
        <v>652.991</v>
      </c>
      <c r="P7" s="0" t="n">
        <v>6615.911</v>
      </c>
      <c r="R7" s="0" t="n">
        <v>5831.454</v>
      </c>
      <c r="S7" s="0" t="n">
        <v>233.099</v>
      </c>
      <c r="T7" s="0" t="n">
        <v>109.675</v>
      </c>
      <c r="U7" s="0" t="n">
        <v>13.968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1304.866</v>
      </c>
      <c r="C8" s="0" t="n">
        <v>408.253</v>
      </c>
      <c r="D8" s="0" t="n">
        <v>896.613</v>
      </c>
      <c r="E8" s="0" t="n">
        <v>68.7130326025814</v>
      </c>
      <c r="F8" s="0" t="n">
        <v>229.645</v>
      </c>
      <c r="G8" s="0" t="n">
        <v>17.5991251208936</v>
      </c>
      <c r="I8" s="0" t="n">
        <v>-55.909</v>
      </c>
      <c r="J8" s="0" t="n">
        <v>-4.28465451624918</v>
      </c>
      <c r="L8" s="0" t="n">
        <v>497.587</v>
      </c>
      <c r="M8" s="0" t="n">
        <v>847.511</v>
      </c>
      <c r="N8" s="0" t="n">
        <v>-349.924</v>
      </c>
      <c r="O8" s="0" t="n">
        <v>356.966</v>
      </c>
      <c r="P8" s="0" t="n">
        <v>6783.188</v>
      </c>
      <c r="R8" s="0" t="n">
        <v>6358.493</v>
      </c>
      <c r="S8" s="0" t="n">
        <v>122.112</v>
      </c>
      <c r="U8" s="0" t="n">
        <v>17.205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1526.996</v>
      </c>
      <c r="C9" s="0" t="n">
        <v>428.485</v>
      </c>
      <c r="D9" s="0" t="n">
        <v>1098.511</v>
      </c>
      <c r="E9" s="0" t="n">
        <v>71.9393502013103</v>
      </c>
      <c r="F9" s="0" t="n">
        <v>336.523</v>
      </c>
      <c r="G9" s="0" t="n">
        <v>22.0382371663056</v>
      </c>
      <c r="I9" s="0" t="n">
        <v>-24.295</v>
      </c>
      <c r="J9" s="0" t="n">
        <v>-1.59103232752411</v>
      </c>
      <c r="K9" s="0" t="n">
        <v>-0.19</v>
      </c>
      <c r="M9" s="0" t="n">
        <v>1797.763</v>
      </c>
      <c r="O9" s="0" t="n">
        <v>-660.8</v>
      </c>
      <c r="P9" s="0" t="n">
        <v>7841.125</v>
      </c>
      <c r="R9" s="0" t="n">
        <v>7893.299</v>
      </c>
      <c r="S9" s="0" t="n">
        <v>39.443</v>
      </c>
      <c r="T9" s="0" t="n">
        <v>128.919</v>
      </c>
      <c r="U9" s="0" t="n">
        <v>22.671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1638.474</v>
      </c>
      <c r="C10" s="0" t="n">
        <v>444.399</v>
      </c>
      <c r="D10" s="0" t="n">
        <v>1194.075</v>
      </c>
      <c r="E10" s="0" t="n">
        <v>72.8772626236364</v>
      </c>
      <c r="F10" s="0" t="n">
        <v>312.456</v>
      </c>
      <c r="G10" s="0" t="n">
        <v>19.069939468066</v>
      </c>
      <c r="I10" s="0" t="n">
        <v>-175.656</v>
      </c>
      <c r="J10" s="0" t="n">
        <v>-10.7207071946213</v>
      </c>
      <c r="K10" s="0" t="n">
        <v>-1.37</v>
      </c>
      <c r="L10" s="0" t="n">
        <v>723.03</v>
      </c>
      <c r="M10" s="0" t="n">
        <v>820.864</v>
      </c>
      <c r="N10" s="0" t="n">
        <v>-97.8340000000001</v>
      </c>
      <c r="O10" s="0" t="n">
        <v>-1706.144</v>
      </c>
      <c r="P10" s="0" t="n">
        <v>7312.98</v>
      </c>
      <c r="R10" s="0" t="n">
        <v>8472.07</v>
      </c>
      <c r="S10" s="0" t="n">
        <v>118.039</v>
      </c>
      <c r="T10" s="0" t="n">
        <v>127.794</v>
      </c>
      <c r="U10" s="0" t="n">
        <v>28.747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1633.125</v>
      </c>
      <c r="C11" s="0" t="n">
        <v>420.897</v>
      </c>
      <c r="D11" s="0" t="n">
        <v>1212.228</v>
      </c>
      <c r="E11" s="0" t="n">
        <v>74.2275086107922</v>
      </c>
      <c r="F11" s="0" t="n">
        <v>387.308</v>
      </c>
      <c r="G11" s="0" t="n">
        <v>23.7157596632224</v>
      </c>
      <c r="I11" s="0" t="n">
        <v>76.238</v>
      </c>
      <c r="J11" s="0" t="n">
        <v>4.66822809031764</v>
      </c>
      <c r="K11" s="0" t="n">
        <v>0.61</v>
      </c>
      <c r="L11" s="0" t="n">
        <v>742.525</v>
      </c>
      <c r="M11" s="0" t="n">
        <v>418.203</v>
      </c>
      <c r="N11" s="0" t="n">
        <v>324.322</v>
      </c>
      <c r="O11" s="0" t="n">
        <v>-1995.921</v>
      </c>
      <c r="P11" s="0" t="n">
        <v>7360.945</v>
      </c>
      <c r="R11" s="0" t="n">
        <v>9402.74</v>
      </c>
      <c r="S11" s="0" t="n">
        <v>146.109</v>
      </c>
      <c r="T11" s="0" t="n">
        <v>125.144</v>
      </c>
      <c r="U11" s="0" t="n">
        <v>32.915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1727.674</v>
      </c>
      <c r="C12" s="0" t="n">
        <v>446.312</v>
      </c>
      <c r="D12" s="0" t="n">
        <v>1281.362</v>
      </c>
      <c r="E12" s="0" t="n">
        <v>74.1668856508809</v>
      </c>
      <c r="F12" s="0" t="n">
        <v>458.501</v>
      </c>
      <c r="G12" s="0" t="n">
        <v>26.5386293942028</v>
      </c>
      <c r="I12" s="0" t="n">
        <v>103.654</v>
      </c>
      <c r="J12" s="0" t="n">
        <v>5.99962724449173</v>
      </c>
      <c r="K12" s="0" t="n">
        <v>0.86</v>
      </c>
      <c r="L12" s="0" t="n">
        <v>818.47</v>
      </c>
      <c r="M12" s="0" t="n">
        <v>588.845</v>
      </c>
      <c r="N12" s="0" t="n">
        <v>229.625</v>
      </c>
      <c r="O12" s="0" t="n">
        <v>-2599.114</v>
      </c>
      <c r="P12" s="0" t="n">
        <v>7320.205</v>
      </c>
      <c r="R12" s="0" t="n">
        <v>9330.686</v>
      </c>
      <c r="S12" s="0" t="n">
        <v>68.783</v>
      </c>
      <c r="T12" s="0" t="n">
        <v>121.022</v>
      </c>
      <c r="U12" s="0" t="n">
        <v>38.249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1865.695</v>
      </c>
      <c r="C13" s="0" t="n">
        <v>468.795</v>
      </c>
      <c r="D13" s="0" t="n">
        <v>1396.9</v>
      </c>
      <c r="E13" s="0" t="n">
        <v>74.8729025912596</v>
      </c>
      <c r="F13" s="0" t="n">
        <v>544.166</v>
      </c>
      <c r="G13" s="0" t="n">
        <v>29.166932430006</v>
      </c>
      <c r="I13" s="0" t="n">
        <v>47.451</v>
      </c>
      <c r="J13" s="0" t="n">
        <v>2.5433417573612</v>
      </c>
      <c r="K13" s="0" t="n">
        <v>0.41</v>
      </c>
      <c r="L13" s="0" t="n">
        <v>850.618</v>
      </c>
      <c r="M13" s="0" t="n">
        <v>602.68</v>
      </c>
      <c r="N13" s="0" t="n">
        <v>247.938</v>
      </c>
      <c r="O13" s="0" t="n">
        <v>-3376.823</v>
      </c>
      <c r="P13" s="0" t="n">
        <v>7213.707</v>
      </c>
      <c r="R13" s="0" t="n">
        <v>10880.281</v>
      </c>
      <c r="S13" s="0" t="n">
        <v>143.444</v>
      </c>
      <c r="T13" s="0" t="n">
        <v>116.515</v>
      </c>
      <c r="U13" s="0" t="n">
        <v>42.327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2014.645</v>
      </c>
      <c r="C14" s="0" t="n">
        <v>493.031</v>
      </c>
      <c r="D14" s="0" t="n">
        <v>1521.614</v>
      </c>
      <c r="E14" s="0" t="n">
        <v>75.5276487917226</v>
      </c>
      <c r="F14" s="0" t="n">
        <v>583.488</v>
      </c>
      <c r="G14" s="0" t="n">
        <v>28.9623233869987</v>
      </c>
      <c r="I14" s="0" t="n">
        <v>147.284</v>
      </c>
      <c r="J14" s="0" t="n">
        <v>7.31066763623368</v>
      </c>
      <c r="K14" s="0" t="n">
        <v>1.3</v>
      </c>
      <c r="L14" s="0" t="n">
        <v>970.045</v>
      </c>
      <c r="M14" s="0" t="n">
        <v>931.692</v>
      </c>
      <c r="N14" s="0" t="n">
        <v>38.353</v>
      </c>
      <c r="O14" s="0" t="n">
        <v>-3667.007</v>
      </c>
      <c r="P14" s="0" t="n">
        <v>9759.941</v>
      </c>
      <c r="R14" s="0" t="n">
        <v>10856.515</v>
      </c>
      <c r="S14" s="0" t="n">
        <v>108.309</v>
      </c>
      <c r="T14" s="0" t="n">
        <v>114.693</v>
      </c>
      <c r="U14" s="0" t="n">
        <v>73.214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2083.138</v>
      </c>
      <c r="C15" s="0" t="n">
        <v>476.528</v>
      </c>
      <c r="D15" s="0" t="n">
        <v>1606.61</v>
      </c>
      <c r="E15" s="0" t="n">
        <v>77.1245111941696</v>
      </c>
      <c r="F15" s="0" t="n">
        <v>633.694</v>
      </c>
      <c r="G15" s="0" t="n">
        <v>30.4201641945949</v>
      </c>
      <c r="I15" s="0" t="n">
        <v>24.104</v>
      </c>
      <c r="J15" s="0" t="n">
        <v>1.15710048974192</v>
      </c>
      <c r="K15" s="0" t="n">
        <v>0.22</v>
      </c>
      <c r="L15" s="0" t="n">
        <v>1126.033</v>
      </c>
      <c r="M15" s="0" t="n">
        <v>401.071</v>
      </c>
      <c r="N15" s="0" t="n">
        <v>724.962</v>
      </c>
      <c r="O15" s="0" t="n">
        <v>-4824.382</v>
      </c>
      <c r="P15" s="0" t="n">
        <v>9158.018</v>
      </c>
      <c r="R15" s="0" t="n">
        <v>11119.796</v>
      </c>
      <c r="S15" s="0" t="n">
        <v>308.56</v>
      </c>
      <c r="T15" s="0" t="n">
        <v>113.465</v>
      </c>
      <c r="U15" s="0" t="n">
        <v>68.89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2308.834</v>
      </c>
      <c r="C16" s="0" t="n">
        <v>545.484</v>
      </c>
      <c r="D16" s="0" t="n">
        <v>1763.35</v>
      </c>
      <c r="E16" s="0" t="n">
        <v>76.3740485457162</v>
      </c>
      <c r="F16" s="0" t="n">
        <v>782.495</v>
      </c>
      <c r="G16" s="0" t="n">
        <v>33.8913494863641</v>
      </c>
      <c r="I16" s="0" t="n">
        <v>237.624</v>
      </c>
      <c r="J16" s="0" t="n">
        <v>10.2919482301456</v>
      </c>
      <c r="K16" s="0" t="n">
        <v>2.17</v>
      </c>
      <c r="L16" s="0" t="n">
        <v>1189.896</v>
      </c>
      <c r="M16" s="0" t="n">
        <v>1393.498</v>
      </c>
      <c r="N16" s="0" t="n">
        <v>-203.602</v>
      </c>
      <c r="O16" s="0" t="n">
        <v>-5283.404</v>
      </c>
      <c r="P16" s="0" t="n">
        <v>9801.699</v>
      </c>
      <c r="R16" s="0" t="n">
        <v>12326.694</v>
      </c>
      <c r="S16" s="0" t="n">
        <v>367.278</v>
      </c>
      <c r="T16" s="0" t="n">
        <v>111.177</v>
      </c>
      <c r="U16" s="0" t="n">
        <v>84.402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2633.454</v>
      </c>
      <c r="C17" s="0" t="n">
        <v>668.65</v>
      </c>
      <c r="D17" s="0" t="n">
        <v>1964.804</v>
      </c>
      <c r="E17" s="0" t="n">
        <v>74.6093913164992</v>
      </c>
      <c r="F17" s="0" t="n">
        <v>925.408</v>
      </c>
      <c r="G17" s="0" t="n">
        <v>35.1404657153685</v>
      </c>
      <c r="I17" s="0" t="n">
        <v>461.429</v>
      </c>
      <c r="J17" s="0" t="n">
        <v>17.5218173546984</v>
      </c>
      <c r="K17" s="0" t="n">
        <v>4.27</v>
      </c>
      <c r="L17" s="0" t="n">
        <v>1285.7</v>
      </c>
      <c r="M17" s="0" t="n">
        <v>1394.395</v>
      </c>
      <c r="N17" s="0" t="n">
        <v>-108.695</v>
      </c>
      <c r="O17" s="0" t="n">
        <v>-5276.315</v>
      </c>
      <c r="P17" s="0" t="n">
        <v>10585.041</v>
      </c>
      <c r="R17" s="0" t="n">
        <v>12892.162</v>
      </c>
      <c r="S17" s="0" t="n">
        <v>143.708</v>
      </c>
      <c r="T17" s="0" t="n">
        <v>109.386</v>
      </c>
      <c r="U17" s="0" t="n">
        <v>99.909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2711.584</v>
      </c>
      <c r="C18" s="0" t="n">
        <v>612.622</v>
      </c>
      <c r="D18" s="0" t="n">
        <v>2098.962</v>
      </c>
      <c r="E18" s="0" t="n">
        <v>77.4072276573398</v>
      </c>
      <c r="F18" s="0" t="n">
        <v>923.659</v>
      </c>
      <c r="G18" s="0" t="n">
        <v>34.063447785501</v>
      </c>
      <c r="I18" s="0" t="n">
        <v>501.812</v>
      </c>
      <c r="J18" s="0" t="n">
        <v>18.50623104429</v>
      </c>
      <c r="K18" s="0" t="n">
        <v>4.64</v>
      </c>
      <c r="L18" s="0" t="n">
        <v>1544.393</v>
      </c>
      <c r="M18" s="0" t="n">
        <v>368.613</v>
      </c>
      <c r="N18" s="0" t="n">
        <v>1175.78</v>
      </c>
      <c r="O18" s="0" t="n">
        <v>-5170.882</v>
      </c>
      <c r="P18" s="0" t="n">
        <v>10178.441</v>
      </c>
      <c r="R18" s="0" t="n">
        <v>12967.46</v>
      </c>
      <c r="S18" s="0" t="n">
        <v>208.547</v>
      </c>
      <c r="T18" s="0" t="n">
        <v>108.907</v>
      </c>
      <c r="U18" s="0" t="n">
        <v>87.919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2679.634</v>
      </c>
      <c r="C19" s="0" t="n">
        <v>581.727</v>
      </c>
      <c r="D19" s="0" t="n">
        <v>2097.907</v>
      </c>
      <c r="E19" s="0" t="n">
        <v>78.2908038933675</v>
      </c>
      <c r="F19" s="0" t="n">
        <v>1435.763</v>
      </c>
      <c r="G19" s="0" t="n">
        <v>53.5805636142846</v>
      </c>
      <c r="I19" s="0" t="n">
        <v>749.536</v>
      </c>
      <c r="J19" s="0" t="n">
        <v>27.9715811935511</v>
      </c>
      <c r="K19" s="0" t="n">
        <v>6.96</v>
      </c>
      <c r="L19" s="0" t="n">
        <v>1334.866</v>
      </c>
      <c r="M19" s="0" t="n">
        <v>528.296</v>
      </c>
      <c r="N19" s="0" t="n">
        <v>806.57</v>
      </c>
      <c r="O19" s="0" t="n">
        <v>-5109.938</v>
      </c>
      <c r="P19" s="0" t="n">
        <v>11417.336</v>
      </c>
      <c r="R19" s="0" t="n">
        <v>14779.651</v>
      </c>
      <c r="S19" s="0" t="n">
        <v>189.841</v>
      </c>
      <c r="T19" s="0" t="n">
        <v>108.08</v>
      </c>
      <c r="U19" s="0" t="n">
        <v>74.374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2815.139</v>
      </c>
      <c r="C20" s="0" t="n">
        <v>690.972</v>
      </c>
      <c r="D20" s="0" t="n">
        <v>2124.167</v>
      </c>
      <c r="E20" s="0" t="n">
        <v>75.45513738398</v>
      </c>
      <c r="F20" s="0" t="n">
        <v>1342.786</v>
      </c>
      <c r="G20" s="0" t="n">
        <v>47.6987459589029</v>
      </c>
      <c r="I20" s="0" t="n">
        <v>1054.456</v>
      </c>
      <c r="J20" s="0" t="n">
        <v>37.4566229234152</v>
      </c>
      <c r="K20" s="0" t="n">
        <v>9.83</v>
      </c>
      <c r="L20" s="0" t="n">
        <v>1291.328</v>
      </c>
      <c r="M20" s="0" t="n">
        <v>1290.133</v>
      </c>
      <c r="N20" s="0" t="n">
        <v>1.19499999999994</v>
      </c>
      <c r="O20" s="0" t="n">
        <v>-4853.519</v>
      </c>
      <c r="P20" s="0" t="n">
        <v>11575.012</v>
      </c>
      <c r="R20" s="0" t="n">
        <v>14836.07</v>
      </c>
      <c r="S20" s="0" t="n">
        <v>264.568</v>
      </c>
      <c r="T20" s="0" t="n">
        <v>107.533</v>
      </c>
      <c r="U20" s="0" t="n">
        <v>75.734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158.02</v>
      </c>
    </row>
    <row r="3" customFormat="false" ht="15" hidden="false" customHeight="false" outlineLevel="0" collapsed="false">
      <c r="A3" s="0" t="s">
        <v>85</v>
      </c>
      <c r="B3" s="3" t="n">
        <v>106.3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2863.5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1.5</v>
      </c>
      <c r="D13" s="3" t="n">
        <v>2</v>
      </c>
      <c r="E13" s="3" t="n">
        <v>2.5</v>
      </c>
      <c r="F13" s="3" t="n">
        <v>2.5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44.6</v>
      </c>
      <c r="D14" s="3" t="n">
        <v>44.2</v>
      </c>
      <c r="E14" s="3" t="n">
        <v>43.9</v>
      </c>
      <c r="F14" s="3" t="n">
        <v>43.6</v>
      </c>
      <c r="G14" s="3" t="n">
        <v>43.4</v>
      </c>
      <c r="H14" s="3" t="n">
        <v>43.4</v>
      </c>
      <c r="I14" s="3" t="n">
        <v>43.4</v>
      </c>
      <c r="J14" s="3" t="n">
        <v>43.4</v>
      </c>
      <c r="K14" s="3" t="n">
        <v>43.4</v>
      </c>
      <c r="L14" s="3" t="n">
        <v>43.4</v>
      </c>
    </row>
    <row r="15" customFormat="false" ht="15" hidden="false" customHeight="false" outlineLevel="0" collapsed="false">
      <c r="A15" s="0" t="s">
        <v>108</v>
      </c>
      <c r="C15" s="3" t="n">
        <v>3</v>
      </c>
      <c r="D15" s="3" t="n">
        <v>3</v>
      </c>
      <c r="E15" s="3" t="n">
        <v>3</v>
      </c>
      <c r="F15" s="3" t="n">
        <v>3</v>
      </c>
      <c r="G15" s="3" t="n">
        <v>3</v>
      </c>
      <c r="H15" s="3" t="n">
        <v>3</v>
      </c>
      <c r="I15" s="3" t="n">
        <v>3</v>
      </c>
      <c r="J15" s="3" t="n">
        <v>3</v>
      </c>
      <c r="K15" s="3" t="n">
        <v>3</v>
      </c>
      <c r="L15" s="3" t="n">
        <v>3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112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113</v>
      </c>
      <c r="B20" s="3" t="n">
        <v>10.5</v>
      </c>
    </row>
    <row r="21" customFormat="false" ht="15" hidden="false" customHeight="false" outlineLevel="0" collapsed="false">
      <c r="A21" s="0" t="s">
        <v>114</v>
      </c>
      <c r="B21" s="3" t="n">
        <v>1.5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4</v>
      </c>
      <c r="D27" s="3" t="n">
        <v>4</v>
      </c>
      <c r="E27" s="3" t="n">
        <v>4</v>
      </c>
      <c r="F27" s="3" t="n">
        <v>3.5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45.3</v>
      </c>
      <c r="D28" s="3" t="n">
        <v>45.3</v>
      </c>
      <c r="E28" s="3" t="n">
        <v>45.4</v>
      </c>
      <c r="F28" s="3" t="n">
        <v>45.5</v>
      </c>
      <c r="G28" s="3" t="n">
        <v>45.6</v>
      </c>
      <c r="H28" s="3" t="n">
        <v>46</v>
      </c>
      <c r="I28" s="3" t="n">
        <v>46.4</v>
      </c>
      <c r="J28" s="3" t="n">
        <v>46.8</v>
      </c>
      <c r="K28" s="3" t="n">
        <v>47</v>
      </c>
      <c r="L28" s="3" t="n">
        <v>47</v>
      </c>
    </row>
    <row r="29" customFormat="false" ht="15" hidden="false" customHeight="false" outlineLevel="0" collapsed="false">
      <c r="A29" s="0" t="s">
        <v>108</v>
      </c>
      <c r="C29" s="3" t="n">
        <v>2.9</v>
      </c>
      <c r="D29" s="3" t="n">
        <v>2.85</v>
      </c>
      <c r="E29" s="3" t="n">
        <v>2.8</v>
      </c>
      <c r="F29" s="3" t="n">
        <v>2.75</v>
      </c>
      <c r="G29" s="3" t="n">
        <v>2.7</v>
      </c>
      <c r="H29" s="3" t="n">
        <v>2.7</v>
      </c>
      <c r="I29" s="3" t="n">
        <v>2.7</v>
      </c>
      <c r="J29" s="3" t="n">
        <v>2.7</v>
      </c>
      <c r="K29" s="3" t="n">
        <v>2.7</v>
      </c>
      <c r="L29" s="3" t="n">
        <v>2.7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112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113</v>
      </c>
      <c r="B34" s="3" t="n">
        <v>9.75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16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5</v>
      </c>
      <c r="D41" s="3" t="n">
        <v>5.5</v>
      </c>
      <c r="E41" s="3" t="n">
        <v>5.5</v>
      </c>
      <c r="F41" s="3" t="n">
        <v>5</v>
      </c>
      <c r="G41" s="3" t="n">
        <v>5</v>
      </c>
      <c r="H41" s="3" t="n">
        <v>4.5</v>
      </c>
      <c r="I41" s="3" t="n">
        <v>4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45.6</v>
      </c>
      <c r="D42" s="3" t="n">
        <v>46</v>
      </c>
      <c r="E42" s="3" t="n">
        <v>46.4</v>
      </c>
      <c r="F42" s="3" t="n">
        <v>46.8</v>
      </c>
      <c r="G42" s="3" t="n">
        <v>47.2</v>
      </c>
      <c r="H42" s="3" t="n">
        <v>47.6</v>
      </c>
      <c r="I42" s="3" t="n">
        <v>48</v>
      </c>
      <c r="J42" s="3" t="n">
        <v>48.4</v>
      </c>
      <c r="K42" s="3" t="n">
        <v>48.7</v>
      </c>
      <c r="L42" s="3" t="n">
        <v>49</v>
      </c>
    </row>
    <row r="43" customFormat="false" ht="15" hidden="false" customHeight="false" outlineLevel="0" collapsed="false">
      <c r="A43" s="0" t="s">
        <v>108</v>
      </c>
      <c r="C43" s="3" t="n">
        <v>2.85</v>
      </c>
      <c r="D43" s="3" t="n">
        <v>2.8</v>
      </c>
      <c r="E43" s="3" t="n">
        <v>2.7</v>
      </c>
      <c r="F43" s="3" t="n">
        <v>2.65</v>
      </c>
      <c r="G43" s="3" t="n">
        <v>2.6</v>
      </c>
      <c r="H43" s="3" t="n">
        <v>2.6</v>
      </c>
      <c r="I43" s="3" t="n">
        <v>2.6</v>
      </c>
      <c r="J43" s="3" t="n">
        <v>2.6</v>
      </c>
      <c r="K43" s="3" t="n">
        <v>2.6</v>
      </c>
      <c r="L43" s="3" t="n">
        <v>2.6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111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112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18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1.5</v>
      </c>
      <c r="D5" s="4" t="n">
        <f aca="false">Assumptions!D13</f>
        <v>2</v>
      </c>
      <c r="E5" s="4" t="n">
        <f aca="false">Assumptions!E13</f>
        <v>2.5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2863.5</v>
      </c>
      <c r="C6" s="0" t="n">
        <f aca="false">B6*(1+C5/100)</f>
        <v>2906.4525</v>
      </c>
      <c r="D6" s="0" t="n">
        <f aca="false">C6*(1+D5/100)</f>
        <v>2964.58155</v>
      </c>
      <c r="E6" s="0" t="n">
        <f aca="false">D6*(1+E5/100)</f>
        <v>3038.69608875</v>
      </c>
      <c r="F6" s="0" t="n">
        <f aca="false">E6*(1+F5/100)</f>
        <v>3114.66349096875</v>
      </c>
      <c r="G6" s="0" t="n">
        <f aca="false">F6*(1+G5/100)</f>
        <v>3192.53007824297</v>
      </c>
      <c r="H6" s="0" t="n">
        <f aca="false">G6*(1+H5/100)</f>
        <v>3272.34333019904</v>
      </c>
      <c r="I6" s="0" t="n">
        <f aca="false">H6*(1+I5/100)</f>
        <v>3337.79019680302</v>
      </c>
      <c r="J6" s="0" t="n">
        <f aca="false">I6*(1+J5/100)</f>
        <v>3404.54600073908</v>
      </c>
      <c r="K6" s="0" t="n">
        <f aca="false">J6*(1+K5/100)</f>
        <v>3472.63692075387</v>
      </c>
      <c r="L6" s="0" t="n">
        <f aca="false">K6*(1+L5/100)</f>
        <v>3542.08965916894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44.6</v>
      </c>
      <c r="D7" s="4" t="n">
        <f aca="false">Assumptions!D14</f>
        <v>44.2</v>
      </c>
      <c r="E7" s="4" t="n">
        <f aca="false">Assumptions!E14</f>
        <v>43.9</v>
      </c>
      <c r="F7" s="4" t="n">
        <f aca="false">Assumptions!F14</f>
        <v>43.6</v>
      </c>
      <c r="G7" s="4" t="n">
        <f aca="false">Assumptions!G14</f>
        <v>43.4</v>
      </c>
      <c r="H7" s="4" t="n">
        <f aca="false">Assumptions!H14</f>
        <v>43.4</v>
      </c>
      <c r="I7" s="4" t="n">
        <f aca="false">Assumptions!I14</f>
        <v>43.4</v>
      </c>
      <c r="J7" s="4" t="n">
        <f aca="false">Assumptions!J14</f>
        <v>43.4</v>
      </c>
      <c r="K7" s="4" t="n">
        <f aca="false">Assumptions!K14</f>
        <v>43.4</v>
      </c>
      <c r="L7" s="4" t="n">
        <f aca="false">Assumptions!L14</f>
        <v>43.4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1296.277815</v>
      </c>
      <c r="D8" s="0" t="n">
        <f aca="false">D6*D7/100</f>
        <v>1310.3450451</v>
      </c>
      <c r="E8" s="0" t="n">
        <f aca="false">E6*E7/100</f>
        <v>1333.98758296125</v>
      </c>
      <c r="F8" s="0" t="n">
        <f aca="false">F6*F7/100</f>
        <v>1357.99328206237</v>
      </c>
      <c r="G8" s="0" t="n">
        <f aca="false">G6*G7/100</f>
        <v>1385.55805395745</v>
      </c>
      <c r="H8" s="0" t="n">
        <f aca="false">H6*H7/100</f>
        <v>1420.19700530638</v>
      </c>
      <c r="I8" s="0" t="n">
        <f aca="false">I6*I7/100</f>
        <v>1448.60094541251</v>
      </c>
      <c r="J8" s="0" t="n">
        <f aca="false">J6*J7/100</f>
        <v>1477.57296432076</v>
      </c>
      <c r="K8" s="0" t="n">
        <f aca="false">K6*K7/100</f>
        <v>1507.12442360718</v>
      </c>
      <c r="L8" s="0" t="n">
        <f aca="false">L6*L7/100</f>
        <v>1537.26691207932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3</v>
      </c>
      <c r="D9" s="4" t="n">
        <f aca="false">Assumptions!D15</f>
        <v>3</v>
      </c>
      <c r="E9" s="4" t="n">
        <f aca="false">Assumptions!E15</f>
        <v>3</v>
      </c>
      <c r="F9" s="4" t="n">
        <f aca="false">Assumptions!F15</f>
        <v>3</v>
      </c>
      <c r="G9" s="4" t="n">
        <f aca="false">Assumptions!G15</f>
        <v>3</v>
      </c>
      <c r="H9" s="4" t="n">
        <f aca="false">Assumptions!H15</f>
        <v>3</v>
      </c>
      <c r="I9" s="4" t="n">
        <f aca="false">Assumptions!I15</f>
        <v>3</v>
      </c>
      <c r="J9" s="4" t="n">
        <f aca="false">Assumptions!J15</f>
        <v>3</v>
      </c>
      <c r="K9" s="4" t="n">
        <f aca="false">Assumptions!K15</f>
        <v>3</v>
      </c>
      <c r="L9" s="4" t="n">
        <f aca="false">Assumptions!L15</f>
        <v>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-87.193575</v>
      </c>
      <c r="D10" s="0" t="n">
        <f aca="false">-D6*D9/100</f>
        <v>-88.9374465</v>
      </c>
      <c r="E10" s="0" t="n">
        <f aca="false">-E6*E9/100</f>
        <v>-91.1608826625</v>
      </c>
      <c r="F10" s="0" t="n">
        <f aca="false">-F6*F9/100</f>
        <v>-93.4399047290625</v>
      </c>
      <c r="G10" s="0" t="n">
        <f aca="false">-G6*G9/100</f>
        <v>-95.775902347289</v>
      </c>
      <c r="H10" s="0" t="n">
        <f aca="false">-H6*H9/100</f>
        <v>-98.1702999059713</v>
      </c>
      <c r="I10" s="0" t="n">
        <f aca="false">-I6*I9/100</f>
        <v>-100.133705904091</v>
      </c>
      <c r="J10" s="0" t="n">
        <f aca="false">-J6*J9/100</f>
        <v>-102.136380022173</v>
      </c>
      <c r="K10" s="0" t="n">
        <f aca="false">-K6*K9/100</f>
        <v>-104.179107622616</v>
      </c>
      <c r="L10" s="0" t="n">
        <f aca="false">-L6*L9/100</f>
        <v>-106.262689775068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1209.08424</v>
      </c>
      <c r="D11" s="0" t="n">
        <f aca="false">D8+D10+D24</f>
        <v>1221.4075986</v>
      </c>
      <c r="E11" s="0" t="n">
        <f aca="false">E8+E10+E24</f>
        <v>1242.82670029875</v>
      </c>
      <c r="F11" s="0" t="n">
        <f aca="false">F8+F10+F24</f>
        <v>1264.55337733331</v>
      </c>
      <c r="G11" s="0" t="n">
        <f aca="false">G8+G10+G24</f>
        <v>1289.78215161016</v>
      </c>
      <c r="H11" s="0" t="n">
        <f aca="false">H8+H10+H24</f>
        <v>1322.02670540041</v>
      </c>
      <c r="I11" s="0" t="n">
        <f aca="false">I8+I10+I24</f>
        <v>1348.46723950842</v>
      </c>
      <c r="J11" s="0" t="n">
        <f aca="false">J8+J10+J24</f>
        <v>1375.43658429859</v>
      </c>
      <c r="K11" s="0" t="n">
        <f aca="false">K8+K10+K24</f>
        <v>1402.94531598456</v>
      </c>
      <c r="L11" s="0" t="n">
        <f aca="false">L8+L10+L24</f>
        <v>1431.00422230425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1209.08424</v>
      </c>
      <c r="D13" s="0" t="n">
        <f aca="false">D11+D12</f>
        <v>1221.4075986</v>
      </c>
      <c r="E13" s="0" t="n">
        <f aca="false">E11+E12</f>
        <v>1242.82670029875</v>
      </c>
      <c r="F13" s="0" t="n">
        <f aca="false">F11+F12</f>
        <v>1264.55337733331</v>
      </c>
      <c r="G13" s="0" t="n">
        <f aca="false">G11+G12</f>
        <v>1289.78215161016</v>
      </c>
      <c r="H13" s="0" t="n">
        <f aca="false">H11+H12</f>
        <v>1322.02670540041</v>
      </c>
      <c r="I13" s="0" t="n">
        <f aca="false">I11+I12</f>
        <v>1348.46723950842</v>
      </c>
      <c r="J13" s="0" t="n">
        <f aca="false">J11+J12</f>
        <v>1375.43658429859</v>
      </c>
      <c r="K13" s="0" t="n">
        <f aca="false">K11+K12</f>
        <v>1402.94531598456</v>
      </c>
      <c r="L13" s="0" t="n">
        <f aca="false">L11+L12</f>
        <v>1431.00422230425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1209.08424</v>
      </c>
      <c r="D15" s="0" t="n">
        <f aca="false">D13-MAX(0,D13)*D14/100</f>
        <v>1221.4075986</v>
      </c>
      <c r="E15" s="0" t="n">
        <f aca="false">E13-MAX(0,E13)*E14/100</f>
        <v>1242.82670029875</v>
      </c>
      <c r="F15" s="0" t="n">
        <f aca="false">F13-MAX(0,F13)*F14/100</f>
        <v>1264.55337733331</v>
      </c>
      <c r="G15" s="0" t="n">
        <f aca="false">G13-MAX(0,G13)*G14/100</f>
        <v>1289.78215161016</v>
      </c>
      <c r="H15" s="0" t="n">
        <f aca="false">H13-MAX(0,H13)*H14/100</f>
        <v>1322.02670540041</v>
      </c>
      <c r="I15" s="0" t="n">
        <f aca="false">I13-MAX(0,I13)*I14/100</f>
        <v>1348.46723950842</v>
      </c>
      <c r="J15" s="0" t="n">
        <f aca="false">J13-MAX(0,J13)*J14/100</f>
        <v>1375.43658429859</v>
      </c>
      <c r="K15" s="0" t="n">
        <f aca="false">K13-MAX(0,K13)*K14/100</f>
        <v>1402.94531598456</v>
      </c>
      <c r="L15" s="0" t="n">
        <f aca="false">L13-MAX(0,L13)*L14/100</f>
        <v>1431.00422230425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1209.08424</v>
      </c>
      <c r="D19" s="0" t="n">
        <f aca="false">D15+D16+D17+D18</f>
        <v>1221.4075986</v>
      </c>
      <c r="E19" s="0" t="n">
        <f aca="false">E15+E16+E17+E18</f>
        <v>1242.82670029875</v>
      </c>
      <c r="F19" s="0" t="n">
        <f aca="false">F15+F16+F17+F18</f>
        <v>1264.55337733331</v>
      </c>
      <c r="G19" s="0" t="n">
        <f aca="false">G15+G16+G17+G18</f>
        <v>1289.78215161016</v>
      </c>
      <c r="H19" s="0" t="n">
        <f aca="false">H15+H16+H17+H18</f>
        <v>1322.02670540041</v>
      </c>
      <c r="I19" s="0" t="n">
        <f aca="false">I15+I16+I17+I18</f>
        <v>1348.46723950842</v>
      </c>
      <c r="J19" s="0" t="n">
        <f aca="false">J15+J16+J17+J18</f>
        <v>1375.43658429859</v>
      </c>
      <c r="K19" s="0" t="n">
        <f aca="false">K15+K16+K17+K18</f>
        <v>1402.94531598456</v>
      </c>
      <c r="L19" s="0" t="n">
        <f aca="false">L15+L16+L17+L18</f>
        <v>1431.00422230425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1094.19388235294</v>
      </c>
      <c r="D21" s="0" t="n">
        <f aca="false">D19*D20</f>
        <v>1000.31334215106</v>
      </c>
      <c r="E21" s="0" t="n">
        <f aca="false">E19*E20</f>
        <v>921.13596815727</v>
      </c>
      <c r="F21" s="0" t="n">
        <f aca="false">F19*F20</f>
        <v>848.18005099879</v>
      </c>
      <c r="G21" s="0" t="n">
        <f aca="false">G19*G20</f>
        <v>782.897619683478</v>
      </c>
      <c r="H21" s="0" t="n">
        <f aca="false">H19*H20</f>
        <v>726.217249027661</v>
      </c>
      <c r="I21" s="0" t="n">
        <f aca="false">I19*I20</f>
        <v>670.354383717841</v>
      </c>
      <c r="J21" s="0" t="n">
        <f aca="false">J19*J20</f>
        <v>618.788661893391</v>
      </c>
      <c r="K21" s="0" t="n">
        <f aca="false">K19*K20</f>
        <v>571.189534055438</v>
      </c>
      <c r="L21" s="0" t="n">
        <f aca="false">L19*L20</f>
        <v>527.251877589635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7760.52256962751</v>
      </c>
    </row>
    <row r="31" customFormat="false" ht="15" hidden="false" customHeight="false" outlineLevel="0" collapsed="false">
      <c r="A31" s="0" t="s">
        <v>137</v>
      </c>
      <c r="B31" s="0" t="n">
        <f aca="false">L19</f>
        <v>1431.00422230425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16138.5476182091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18603.0548899553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16138.5476182091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5946.229508372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13706.7520779995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13706.7520779995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128.944045888989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-0.184001734660241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571.343811888051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441.551696166237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138.472696011795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10759.0317454727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85.5737843298054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4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2863.5</v>
      </c>
      <c r="C6" s="0" t="n">
        <f aca="false">B6*(1+C5/100)</f>
        <v>2978.04</v>
      </c>
      <c r="D6" s="0" t="n">
        <f aca="false">C6*(1+D5/100)</f>
        <v>3097.1616</v>
      </c>
      <c r="E6" s="0" t="n">
        <f aca="false">D6*(1+E5/100)</f>
        <v>3221.048064</v>
      </c>
      <c r="F6" s="0" t="n">
        <f aca="false">E6*(1+F5/100)</f>
        <v>3333.78474624</v>
      </c>
      <c r="G6" s="0" t="n">
        <f aca="false">F6*(1+G5/100)</f>
        <v>3450.4672123584</v>
      </c>
      <c r="H6" s="0" t="n">
        <f aca="false">G6*(1+H5/100)</f>
        <v>3571.23356479094</v>
      </c>
      <c r="I6" s="0" t="n">
        <f aca="false">H6*(1+I5/100)</f>
        <v>3678.37057173467</v>
      </c>
      <c r="J6" s="0" t="n">
        <f aca="false">I6*(1+J5/100)</f>
        <v>3788.72168888671</v>
      </c>
      <c r="K6" s="0" t="n">
        <f aca="false">J6*(1+K5/100)</f>
        <v>3902.38333955331</v>
      </c>
      <c r="L6" s="0" t="n">
        <f aca="false">K6*(1+L5/100)</f>
        <v>4019.45483973991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45.3</v>
      </c>
      <c r="D7" s="4" t="n">
        <f aca="false">Assumptions!D28</f>
        <v>45.3</v>
      </c>
      <c r="E7" s="4" t="n">
        <f aca="false">Assumptions!E28</f>
        <v>45.4</v>
      </c>
      <c r="F7" s="4" t="n">
        <f aca="false">Assumptions!F28</f>
        <v>45.5</v>
      </c>
      <c r="G7" s="4" t="n">
        <f aca="false">Assumptions!G28</f>
        <v>45.6</v>
      </c>
      <c r="H7" s="4" t="n">
        <f aca="false">Assumptions!H28</f>
        <v>46</v>
      </c>
      <c r="I7" s="4" t="n">
        <f aca="false">Assumptions!I28</f>
        <v>46.4</v>
      </c>
      <c r="J7" s="4" t="n">
        <f aca="false">Assumptions!J28</f>
        <v>46.8</v>
      </c>
      <c r="K7" s="4" t="n">
        <f aca="false">Assumptions!K28</f>
        <v>47</v>
      </c>
      <c r="L7" s="4" t="n">
        <f aca="false">Assumptions!L28</f>
        <v>47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1349.05212</v>
      </c>
      <c r="D8" s="0" t="n">
        <f aca="false">D6*D7/100</f>
        <v>1403.0142048</v>
      </c>
      <c r="E8" s="0" t="n">
        <f aca="false">E6*E7/100</f>
        <v>1462.355821056</v>
      </c>
      <c r="F8" s="0" t="n">
        <f aca="false">F6*F7/100</f>
        <v>1516.8720595392</v>
      </c>
      <c r="G8" s="0" t="n">
        <f aca="false">G6*G7/100</f>
        <v>1573.41304883543</v>
      </c>
      <c r="H8" s="0" t="n">
        <f aca="false">H6*H7/100</f>
        <v>1642.76743980383</v>
      </c>
      <c r="I8" s="0" t="n">
        <f aca="false">I6*I7/100</f>
        <v>1706.76394528489</v>
      </c>
      <c r="J8" s="0" t="n">
        <f aca="false">J6*J7/100</f>
        <v>1773.12175039898</v>
      </c>
      <c r="K8" s="0" t="n">
        <f aca="false">K6*K7/100</f>
        <v>1834.12016959006</v>
      </c>
      <c r="L8" s="0" t="n">
        <f aca="false">L6*L7/100</f>
        <v>1889.14377467776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2.9</v>
      </c>
      <c r="D9" s="4" t="n">
        <f aca="false">Assumptions!D29</f>
        <v>2.85</v>
      </c>
      <c r="E9" s="4" t="n">
        <f aca="false">Assumptions!E29</f>
        <v>2.8</v>
      </c>
      <c r="F9" s="4" t="n">
        <f aca="false">Assumptions!F29</f>
        <v>2.75</v>
      </c>
      <c r="G9" s="4" t="n">
        <f aca="false">Assumptions!G29</f>
        <v>2.7</v>
      </c>
      <c r="H9" s="4" t="n">
        <f aca="false">Assumptions!H29</f>
        <v>2.7</v>
      </c>
      <c r="I9" s="4" t="n">
        <f aca="false">Assumptions!I29</f>
        <v>2.7</v>
      </c>
      <c r="J9" s="4" t="n">
        <f aca="false">Assumptions!J29</f>
        <v>2.7</v>
      </c>
      <c r="K9" s="4" t="n">
        <f aca="false">Assumptions!K29</f>
        <v>2.7</v>
      </c>
      <c r="L9" s="4" t="n">
        <f aca="false">Assumptions!L29</f>
        <v>2.7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-86.36316</v>
      </c>
      <c r="D10" s="0" t="n">
        <f aca="false">-D6*D9/100</f>
        <v>-88.2691056</v>
      </c>
      <c r="E10" s="0" t="n">
        <f aca="false">-E6*E9/100</f>
        <v>-90.189345792</v>
      </c>
      <c r="F10" s="0" t="n">
        <f aca="false">-F6*F9/100</f>
        <v>-91.6790805216</v>
      </c>
      <c r="G10" s="0" t="n">
        <f aca="false">-G6*G9/100</f>
        <v>-93.1626147336768</v>
      </c>
      <c r="H10" s="0" t="n">
        <f aca="false">-H6*H9/100</f>
        <v>-96.4233062493555</v>
      </c>
      <c r="I10" s="0" t="n">
        <f aca="false">-I6*I9/100</f>
        <v>-99.3160054368361</v>
      </c>
      <c r="J10" s="0" t="n">
        <f aca="false">-J6*J9/100</f>
        <v>-102.295485599941</v>
      </c>
      <c r="K10" s="0" t="n">
        <f aca="false">-K6*K9/100</f>
        <v>-105.364350167939</v>
      </c>
      <c r="L10" s="0" t="n">
        <f aca="false">-L6*L9/100</f>
        <v>-108.525280672978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1262.68896</v>
      </c>
      <c r="D11" s="0" t="n">
        <f aca="false">D8+D10+D24</f>
        <v>1314.7450992</v>
      </c>
      <c r="E11" s="0" t="n">
        <f aca="false">E8+E10+E24</f>
        <v>1372.166475264</v>
      </c>
      <c r="F11" s="0" t="n">
        <f aca="false">F8+F10+F24</f>
        <v>1425.1929790176</v>
      </c>
      <c r="G11" s="0" t="n">
        <f aca="false">G8+G10+G24</f>
        <v>1480.25043410175</v>
      </c>
      <c r="H11" s="0" t="n">
        <f aca="false">H8+H10+H24</f>
        <v>1546.34413355448</v>
      </c>
      <c r="I11" s="0" t="n">
        <f aca="false">I8+I10+I24</f>
        <v>1607.44793984805</v>
      </c>
      <c r="J11" s="0" t="n">
        <f aca="false">J8+J10+J24</f>
        <v>1670.82626479904</v>
      </c>
      <c r="K11" s="0" t="n">
        <f aca="false">K8+K10+K24</f>
        <v>1728.75581942212</v>
      </c>
      <c r="L11" s="0" t="n">
        <f aca="false">L8+L10+L24</f>
        <v>1780.61849400478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1262.68896</v>
      </c>
      <c r="D13" s="0" t="n">
        <f aca="false">D11+D12</f>
        <v>1314.7450992</v>
      </c>
      <c r="E13" s="0" t="n">
        <f aca="false">E11+E12</f>
        <v>1372.166475264</v>
      </c>
      <c r="F13" s="0" t="n">
        <f aca="false">F11+F12</f>
        <v>1425.1929790176</v>
      </c>
      <c r="G13" s="0" t="n">
        <f aca="false">G11+G12</f>
        <v>1480.25043410175</v>
      </c>
      <c r="H13" s="0" t="n">
        <f aca="false">H11+H12</f>
        <v>1546.34413355448</v>
      </c>
      <c r="I13" s="0" t="n">
        <f aca="false">I11+I12</f>
        <v>1607.44793984805</v>
      </c>
      <c r="J13" s="0" t="n">
        <f aca="false">J11+J12</f>
        <v>1670.82626479904</v>
      </c>
      <c r="K13" s="0" t="n">
        <f aca="false">K11+K12</f>
        <v>1728.75581942212</v>
      </c>
      <c r="L13" s="0" t="n">
        <f aca="false">L11+L12</f>
        <v>1780.61849400478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1262.68896</v>
      </c>
      <c r="D15" s="0" t="n">
        <f aca="false">D13-MAX(0,D13)*D14/100</f>
        <v>1314.7450992</v>
      </c>
      <c r="E15" s="0" t="n">
        <f aca="false">E13-MAX(0,E13)*E14/100</f>
        <v>1372.166475264</v>
      </c>
      <c r="F15" s="0" t="n">
        <f aca="false">F13-MAX(0,F13)*F14/100</f>
        <v>1425.1929790176</v>
      </c>
      <c r="G15" s="0" t="n">
        <f aca="false">G13-MAX(0,G13)*G14/100</f>
        <v>1480.25043410175</v>
      </c>
      <c r="H15" s="0" t="n">
        <f aca="false">H13-MAX(0,H13)*H14/100</f>
        <v>1546.34413355448</v>
      </c>
      <c r="I15" s="0" t="n">
        <f aca="false">I13-MAX(0,I13)*I14/100</f>
        <v>1607.44793984805</v>
      </c>
      <c r="J15" s="0" t="n">
        <f aca="false">J13-MAX(0,J13)*J14/100</f>
        <v>1670.82626479904</v>
      </c>
      <c r="K15" s="0" t="n">
        <f aca="false">K13-MAX(0,K13)*K14/100</f>
        <v>1728.75581942212</v>
      </c>
      <c r="L15" s="0" t="n">
        <f aca="false">L13-MAX(0,L13)*L14/100</f>
        <v>1780.61849400478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1262.68896</v>
      </c>
      <c r="D19" s="0" t="n">
        <f aca="false">D15+D16+D17+D18</f>
        <v>1314.7450992</v>
      </c>
      <c r="E19" s="0" t="n">
        <f aca="false">E15+E16+E17+E18</f>
        <v>1372.166475264</v>
      </c>
      <c r="F19" s="0" t="n">
        <f aca="false">F15+F16+F17+F18</f>
        <v>1425.1929790176</v>
      </c>
      <c r="G19" s="0" t="n">
        <f aca="false">G15+G16+G17+G18</f>
        <v>1480.25043410175</v>
      </c>
      <c r="H19" s="0" t="n">
        <f aca="false">H15+H16+H17+H18</f>
        <v>1546.34413355448</v>
      </c>
      <c r="I19" s="0" t="n">
        <f aca="false">I15+I16+I17+I18</f>
        <v>1607.44793984805</v>
      </c>
      <c r="J19" s="0" t="n">
        <f aca="false">J15+J16+J17+J18</f>
        <v>1670.82626479904</v>
      </c>
      <c r="K19" s="0" t="n">
        <f aca="false">K15+K16+K17+K18</f>
        <v>1728.75581942212</v>
      </c>
      <c r="L19" s="0" t="n">
        <f aca="false">L15+L16+L17+L18</f>
        <v>1780.61849400478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0.911161731207289</v>
      </c>
      <c r="D20" s="0" t="n">
        <f aca="false">1/(1+$B$27/100)^D4</f>
        <v>0.830215700416665</v>
      </c>
      <c r="E20" s="0" t="n">
        <f aca="false">1/(1+$B$27/100)^E4</f>
        <v>0.756460774867121</v>
      </c>
      <c r="F20" s="0" t="n">
        <f aca="false">1/(1+$B$27/100)^F4</f>
        <v>0.689258109218333</v>
      </c>
      <c r="G20" s="0" t="n">
        <f aca="false">1/(1+$B$27/100)^G4</f>
        <v>0.628025612044039</v>
      </c>
      <c r="H20" s="0" t="n">
        <f aca="false">1/(1+$B$27/100)^H4</f>
        <v>0.572232903912564</v>
      </c>
      <c r="I20" s="0" t="n">
        <f aca="false">1/(1+$B$27/100)^I4</f>
        <v>0.521396723382747</v>
      </c>
      <c r="J20" s="0" t="n">
        <f aca="false">1/(1+$B$27/100)^J4</f>
        <v>0.475076741123232</v>
      </c>
      <c r="K20" s="0" t="n">
        <f aca="false">1/(1+$B$27/100)^K4</f>
        <v>0.432871745898161</v>
      </c>
      <c r="L20" s="0" t="n">
        <f aca="false">1/(1+$B$27/100)^L4</f>
        <v>0.39441616938329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1150.51385876993</v>
      </c>
      <c r="D21" s="0" t="n">
        <f aca="false">D19*D20</f>
        <v>1091.52202340171</v>
      </c>
      <c r="E21" s="0" t="n">
        <f aca="false">E19*E20</f>
        <v>1037.99011512489</v>
      </c>
      <c r="F21" s="0" t="n">
        <f aca="false">F19*F20</f>
        <v>982.325817988914</v>
      </c>
      <c r="G21" s="0" t="n">
        <f aca="false">G19*G20</f>
        <v>929.635184855209</v>
      </c>
      <c r="H21" s="0" t="n">
        <f aca="false">H19*H20</f>
        <v>884.868993992037</v>
      </c>
      <c r="I21" s="0" t="n">
        <f aca="false">I19*I20</f>
        <v>838.11808884512</v>
      </c>
      <c r="J21" s="0" t="n">
        <f aca="false">J19*J20</f>
        <v>793.770696863829</v>
      </c>
      <c r="K21" s="0" t="n">
        <f aca="false">K19*K20</f>
        <v>748.329549784858</v>
      </c>
      <c r="L21" s="0" t="n">
        <f aca="false">L19*L20</f>
        <v>702.304725538409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9.75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9159.3790551649</v>
      </c>
    </row>
    <row r="31" customFormat="false" ht="15" hidden="false" customHeight="false" outlineLevel="0" collapsed="false">
      <c r="A31" s="0" t="s">
        <v>137</v>
      </c>
      <c r="B31" s="0" t="n">
        <f aca="false">L19</f>
        <v>1780.61849400478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25174.2614669642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28489.8959040765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25174.2614669642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9929.13577485337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19088.5148300183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19088.5148300183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179.572105644575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0.136388467564704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585.868173925988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605.161774088129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190.776526604256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14601.0716508392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102.586069582738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5</v>
      </c>
      <c r="D5" s="4" t="n">
        <f aca="false">Assumptions!D41</f>
        <v>5.5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2863.5</v>
      </c>
      <c r="C6" s="0" t="n">
        <f aca="false">B6*(1+C5/100)</f>
        <v>3006.675</v>
      </c>
      <c r="D6" s="0" t="n">
        <f aca="false">C6*(1+D5/100)</f>
        <v>3172.042125</v>
      </c>
      <c r="E6" s="0" t="n">
        <f aca="false">D6*(1+E5/100)</f>
        <v>3346.504441875</v>
      </c>
      <c r="F6" s="0" t="n">
        <f aca="false">E6*(1+F5/100)</f>
        <v>3513.82966396875</v>
      </c>
      <c r="G6" s="0" t="n">
        <f aca="false">F6*(1+G5/100)</f>
        <v>3689.52114716719</v>
      </c>
      <c r="H6" s="0" t="n">
        <f aca="false">G6*(1+H5/100)</f>
        <v>3855.54959878971</v>
      </c>
      <c r="I6" s="0" t="n">
        <f aca="false">H6*(1+I5/100)</f>
        <v>4009.7715827413</v>
      </c>
      <c r="J6" s="0" t="n">
        <f aca="false">I6*(1+J5/100)</f>
        <v>4170.16244605095</v>
      </c>
      <c r="K6" s="0" t="n">
        <f aca="false">J6*(1+K5/100)</f>
        <v>4316.11813166274</v>
      </c>
      <c r="L6" s="0" t="n">
        <f aca="false">K6*(1+L5/100)</f>
        <v>4467.18226627093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45.6</v>
      </c>
      <c r="D7" s="4" t="n">
        <f aca="false">Assumptions!D42</f>
        <v>46</v>
      </c>
      <c r="E7" s="4" t="n">
        <f aca="false">Assumptions!E42</f>
        <v>46.4</v>
      </c>
      <c r="F7" s="4" t="n">
        <f aca="false">Assumptions!F42</f>
        <v>46.8</v>
      </c>
      <c r="G7" s="4" t="n">
        <f aca="false">Assumptions!G42</f>
        <v>47.2</v>
      </c>
      <c r="H7" s="4" t="n">
        <f aca="false">Assumptions!H42</f>
        <v>47.6</v>
      </c>
      <c r="I7" s="4" t="n">
        <f aca="false">Assumptions!I42</f>
        <v>48</v>
      </c>
      <c r="J7" s="4" t="n">
        <f aca="false">Assumptions!J42</f>
        <v>48.4</v>
      </c>
      <c r="K7" s="4" t="n">
        <f aca="false">Assumptions!K42</f>
        <v>48.7</v>
      </c>
      <c r="L7" s="4" t="n">
        <f aca="false">Assumptions!L42</f>
        <v>49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1371.0438</v>
      </c>
      <c r="D8" s="0" t="n">
        <f aca="false">D6*D7/100</f>
        <v>1459.1393775</v>
      </c>
      <c r="E8" s="0" t="n">
        <f aca="false">E6*E7/100</f>
        <v>1552.77806103</v>
      </c>
      <c r="F8" s="0" t="n">
        <f aca="false">F6*F7/100</f>
        <v>1644.47228273738</v>
      </c>
      <c r="G8" s="0" t="n">
        <f aca="false">G6*G7/100</f>
        <v>1741.45398146291</v>
      </c>
      <c r="H8" s="0" t="n">
        <f aca="false">H6*H7/100</f>
        <v>1835.2416090239</v>
      </c>
      <c r="I8" s="0" t="n">
        <f aca="false">I6*I7/100</f>
        <v>1924.69035971582</v>
      </c>
      <c r="J8" s="0" t="n">
        <f aca="false">J6*J7/100</f>
        <v>2018.35862388866</v>
      </c>
      <c r="K8" s="0" t="n">
        <f aca="false">K6*K7/100</f>
        <v>2101.94953011975</v>
      </c>
      <c r="L8" s="0" t="n">
        <f aca="false">L6*L7/100</f>
        <v>2188.91931047276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2.85</v>
      </c>
      <c r="D9" s="4" t="n">
        <f aca="false">Assumptions!D43</f>
        <v>2.8</v>
      </c>
      <c r="E9" s="4" t="n">
        <f aca="false">Assumptions!E43</f>
        <v>2.7</v>
      </c>
      <c r="F9" s="4" t="n">
        <f aca="false">Assumptions!F43</f>
        <v>2.65</v>
      </c>
      <c r="G9" s="4" t="n">
        <f aca="false">Assumptions!G43</f>
        <v>2.6</v>
      </c>
      <c r="H9" s="4" t="n">
        <f aca="false">Assumptions!H43</f>
        <v>2.6</v>
      </c>
      <c r="I9" s="4" t="n">
        <f aca="false">Assumptions!I43</f>
        <v>2.6</v>
      </c>
      <c r="J9" s="4" t="n">
        <f aca="false">Assumptions!J43</f>
        <v>2.6</v>
      </c>
      <c r="K9" s="4" t="n">
        <f aca="false">Assumptions!K43</f>
        <v>2.6</v>
      </c>
      <c r="L9" s="4" t="n">
        <f aca="false">Assumptions!L43</f>
        <v>2.6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-85.6902375</v>
      </c>
      <c r="D10" s="0" t="n">
        <f aca="false">-D6*D9/100</f>
        <v>-88.8171795</v>
      </c>
      <c r="E10" s="0" t="n">
        <f aca="false">-E6*E9/100</f>
        <v>-90.355619930625</v>
      </c>
      <c r="F10" s="0" t="n">
        <f aca="false">-F6*F9/100</f>
        <v>-93.1164860951719</v>
      </c>
      <c r="G10" s="0" t="n">
        <f aca="false">-G6*G9/100</f>
        <v>-95.9275498263469</v>
      </c>
      <c r="H10" s="0" t="n">
        <f aca="false">-H6*H9/100</f>
        <v>-100.244289568533</v>
      </c>
      <c r="I10" s="0" t="n">
        <f aca="false">-I6*I9/100</f>
        <v>-104.254061151274</v>
      </c>
      <c r="J10" s="0" t="n">
        <f aca="false">-J6*J9/100</f>
        <v>-108.424223597325</v>
      </c>
      <c r="K10" s="0" t="n">
        <f aca="false">-K6*K9/100</f>
        <v>-112.219071423231</v>
      </c>
      <c r="L10" s="0" t="n">
        <f aca="false">-L6*L9/100</f>
        <v>-116.146738923044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1285.3535625</v>
      </c>
      <c r="D11" s="0" t="n">
        <f aca="false">D8+D10+D24</f>
        <v>1370.322198</v>
      </c>
      <c r="E11" s="0" t="n">
        <f aca="false">E8+E10+E24</f>
        <v>1462.42244109938</v>
      </c>
      <c r="F11" s="0" t="n">
        <f aca="false">F8+F10+F24</f>
        <v>1551.3557966422</v>
      </c>
      <c r="G11" s="0" t="n">
        <f aca="false">G8+G10+G24</f>
        <v>1645.52643163657</v>
      </c>
      <c r="H11" s="0" t="n">
        <f aca="false">H8+H10+H24</f>
        <v>1734.99731945537</v>
      </c>
      <c r="I11" s="0" t="n">
        <f aca="false">I8+I10+I24</f>
        <v>1820.43629856455</v>
      </c>
      <c r="J11" s="0" t="n">
        <f aca="false">J8+J10+J24</f>
        <v>1909.93440029134</v>
      </c>
      <c r="K11" s="0" t="n">
        <f aca="false">K8+K10+K24</f>
        <v>1989.73045869652</v>
      </c>
      <c r="L11" s="0" t="n">
        <f aca="false">L8+L10+L24</f>
        <v>2072.77257154971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1285.3535625</v>
      </c>
      <c r="D13" s="0" t="n">
        <f aca="false">D11+D12</f>
        <v>1370.322198</v>
      </c>
      <c r="E13" s="0" t="n">
        <f aca="false">E11+E12</f>
        <v>1462.42244109938</v>
      </c>
      <c r="F13" s="0" t="n">
        <f aca="false">F11+F12</f>
        <v>1551.3557966422</v>
      </c>
      <c r="G13" s="0" t="n">
        <f aca="false">G11+G12</f>
        <v>1645.52643163657</v>
      </c>
      <c r="H13" s="0" t="n">
        <f aca="false">H11+H12</f>
        <v>1734.99731945537</v>
      </c>
      <c r="I13" s="0" t="n">
        <f aca="false">I11+I12</f>
        <v>1820.43629856455</v>
      </c>
      <c r="J13" s="0" t="n">
        <f aca="false">J11+J12</f>
        <v>1909.93440029134</v>
      </c>
      <c r="K13" s="0" t="n">
        <f aca="false">K11+K12</f>
        <v>1989.73045869652</v>
      </c>
      <c r="L13" s="0" t="n">
        <f aca="false">L11+L12</f>
        <v>2072.77257154971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1285.3535625</v>
      </c>
      <c r="D15" s="0" t="n">
        <f aca="false">D13-MAX(0,D13)*D14/100</f>
        <v>1370.322198</v>
      </c>
      <c r="E15" s="0" t="n">
        <f aca="false">E13-MAX(0,E13)*E14/100</f>
        <v>1462.42244109938</v>
      </c>
      <c r="F15" s="0" t="n">
        <f aca="false">F13-MAX(0,F13)*F14/100</f>
        <v>1551.3557966422</v>
      </c>
      <c r="G15" s="0" t="n">
        <f aca="false">G13-MAX(0,G13)*G14/100</f>
        <v>1645.52643163657</v>
      </c>
      <c r="H15" s="0" t="n">
        <f aca="false">H13-MAX(0,H13)*H14/100</f>
        <v>1734.99731945537</v>
      </c>
      <c r="I15" s="0" t="n">
        <f aca="false">I13-MAX(0,I13)*I14/100</f>
        <v>1820.43629856455</v>
      </c>
      <c r="J15" s="0" t="n">
        <f aca="false">J13-MAX(0,J13)*J14/100</f>
        <v>1909.93440029134</v>
      </c>
      <c r="K15" s="0" t="n">
        <f aca="false">K13-MAX(0,K13)*K14/100</f>
        <v>1989.73045869652</v>
      </c>
      <c r="L15" s="0" t="n">
        <f aca="false">L13-MAX(0,L13)*L14/100</f>
        <v>2072.77257154971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1285.3535625</v>
      </c>
      <c r="D19" s="0" t="n">
        <f aca="false">D15+D16+D17+D18</f>
        <v>1370.322198</v>
      </c>
      <c r="E19" s="0" t="n">
        <f aca="false">E15+E16+E17+E18</f>
        <v>1462.42244109938</v>
      </c>
      <c r="F19" s="0" t="n">
        <f aca="false">F15+F16+F17+F18</f>
        <v>1551.3557966422</v>
      </c>
      <c r="G19" s="0" t="n">
        <f aca="false">G15+G16+G17+G18</f>
        <v>1645.52643163657</v>
      </c>
      <c r="H19" s="0" t="n">
        <f aca="false">H15+H16+H17+H18</f>
        <v>1734.99731945537</v>
      </c>
      <c r="I19" s="0" t="n">
        <f aca="false">I15+I16+I17+I18</f>
        <v>1820.43629856455</v>
      </c>
      <c r="J19" s="0" t="n">
        <f aca="false">J15+J16+J17+J18</f>
        <v>1909.93440029134</v>
      </c>
      <c r="K19" s="0" t="n">
        <f aca="false">K15+K16+K17+K18</f>
        <v>1989.73045869652</v>
      </c>
      <c r="L19" s="0" t="n">
        <f aca="false">L15+L16+L17+L18</f>
        <v>2072.77257154971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1179.22345183486</v>
      </c>
      <c r="D21" s="0" t="n">
        <f aca="false">D19*D20</f>
        <v>1153.37277838566</v>
      </c>
      <c r="E21" s="0" t="n">
        <f aca="false">E19*E20</f>
        <v>1129.25844988751</v>
      </c>
      <c r="F21" s="0" t="n">
        <f aca="false">F19*F20</f>
        <v>1099.01955767347</v>
      </c>
      <c r="G21" s="0" t="n">
        <f aca="false">G19*G20</f>
        <v>1069.47927490412</v>
      </c>
      <c r="H21" s="0" t="n">
        <f aca="false">H19*H20</f>
        <v>1034.52221381426</v>
      </c>
      <c r="I21" s="0" t="n">
        <f aca="false">I19*I20</f>
        <v>995.840995870622</v>
      </c>
      <c r="J21" s="0" t="n">
        <f aca="false">J19*J20</f>
        <v>958.531671893252</v>
      </c>
      <c r="K21" s="0" t="n">
        <f aca="false">K19*K20</f>
        <v>916.12717693359</v>
      </c>
      <c r="L21" s="0" t="n">
        <f aca="false">L19*L20</f>
        <v>875.561534459566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10410.9371056569</v>
      </c>
    </row>
    <row r="31" customFormat="false" ht="15" hidden="false" customHeight="false" outlineLevel="0" collapsed="false">
      <c r="A31" s="0" t="s">
        <v>137</v>
      </c>
      <c r="B31" s="0" t="n">
        <f aca="false">L19</f>
        <v>2072.77257154971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35582.5958116034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37309.9062878948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35582.5958116034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15030.4730082225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25441.4101138795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25441.4101138795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239.335937101406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0.514592691440362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623.401862126508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842.22478063316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253.123581906295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17791.2979058017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116.228160550268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128.944045888989</v>
      </c>
      <c r="C4" s="0" t="n">
        <f aca="false">B4/Assumptions!$B$2-1</f>
        <v>-0.184001734660241</v>
      </c>
      <c r="D4" s="4" t="n">
        <f aca="false">Assumptions!$B$24</f>
        <v>0.2</v>
      </c>
      <c r="E4" s="4" t="n">
        <f aca="false">DCF_Bear!$B$43</f>
        <v>138.472696011795</v>
      </c>
      <c r="F4" s="4" t="n">
        <f aca="false">DCF_Bear!$B$47</f>
        <v>85.5737843298054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179.572105644575</v>
      </c>
      <c r="C5" s="0" t="n">
        <f aca="false">B5/Assumptions!$B$2-1</f>
        <v>0.136388467564704</v>
      </c>
      <c r="D5" s="4" t="n">
        <f aca="false">Assumptions!$B$38</f>
        <v>0.5</v>
      </c>
      <c r="E5" s="4" t="n">
        <f aca="false">DCF_Base!$B$43</f>
        <v>190.776526604256</v>
      </c>
      <c r="F5" s="4" t="n">
        <f aca="false">DCF_Base!$B$47</f>
        <v>102.586069582738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239.335937101406</v>
      </c>
      <c r="C6" s="0" t="n">
        <f aca="false">B6/Assumptions!$B$2-1</f>
        <v>0.514592691440362</v>
      </c>
      <c r="D6" s="4" t="n">
        <f aca="false">Assumptions!$B$52</f>
        <v>0.3</v>
      </c>
      <c r="E6" s="4" t="n">
        <f aca="false">DCF_Bull!$B$43</f>
        <v>253.123581906295</v>
      </c>
      <c r="F6" s="4" t="n">
        <f aca="false">DCF_Bull!$B$47</f>
        <v>116.228160550268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187.375643130507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199.019877076375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0.156667337547499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-252.104546052363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103.276239822411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200.80125963815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179.572105644575</v>
      </c>
      <c r="C16" s="3" t="n">
        <v>9.75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173.443524869711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152.552246808515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136.083522542307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102.586069582738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7.75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221.744900061171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221.744900061171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221.744900061171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221.744900061171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221.744900061171</v>
      </c>
    </row>
    <row r="25" customFormat="false" ht="15" hidden="false" customHeight="false" outlineLevel="0" collapsed="false">
      <c r="A25" s="3" t="n">
        <v>8.75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191.638915859472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199.683478718386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206.119129005517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206.119129005517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206.119129005517</v>
      </c>
    </row>
    <row r="26" customFormat="false" ht="15" hidden="false" customHeight="false" outlineLevel="0" collapsed="false">
      <c r="A26" s="3" t="n">
        <v>9.75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167.449250944735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173.119618465628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179.572105644575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186.980516850032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191.874455915141</v>
      </c>
    </row>
    <row r="27" customFormat="false" ht="15" hidden="false" customHeight="false" outlineLevel="0" collapsed="false">
      <c r="A27" s="3" t="n">
        <v>10.75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148.540692609193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152.668925786055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157.297550863143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162.523417885662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168.470094152666</v>
      </c>
    </row>
    <row r="28" customFormat="false" ht="15" hidden="false" customHeight="false" outlineLevel="0" collapsed="false">
      <c r="A28" s="3" t="n">
        <v>11.75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133.364166247669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136.44771878467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139.864628352699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143.672041871359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147.940960058948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2026-10-02T08:36:02Z</dcterms:created>
  <dc:creator>openpyxl</dc:creator>
  <dc:description/>
  <dc:language>en-NZ</dc:language>
  <cp:lastModifiedBy/>
  <dcterms:modified xsi:type="dcterms:W3CDTF">2026-10-02T08:36:02Z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