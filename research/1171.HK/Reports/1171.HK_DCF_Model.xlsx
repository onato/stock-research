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<sst xmlns="http://schemas.openxmlformats.org/spreadsheetml/2006/main" count="360" uniqueCount="170">
  <si>
    <t xml:space="preserve">Ticker</t>
  </si>
  <si>
    <t xml:space="preserve">1171.HK</t>
  </si>
  <si>
    <t xml:space="preserve">Company</t>
  </si>
  <si>
    <t xml:space="preserve">Yankuang Energy Group Company Limited</t>
  </si>
  <si>
    <t xml:space="preserve">Valuation date</t>
  </si>
  <si>
    <t xml:space="preserve">2026-10-16</t>
  </si>
  <si>
    <t xml:space="preserve">Current price</t>
  </si>
  <si>
    <t xml:space="preserve">Price as of</t>
  </si>
  <si>
    <t xml:space="preserve">2026-10-16T03:59:50Z (intraday HKEX print, 11:59 HKT, before the lunch break; 52-week range 9.53-17.42)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</si>
  <si>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</si>
  <si>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</si>
  <si>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</si>
  <si>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</si>
  <si>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</si>
  <si>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</si>
  <si>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</si>
  <si>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</si>
  <si>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</si>
  <si>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</si>
  <si>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</si>
  <si>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</si>
  <si>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</si>
  <si>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2026-10-16T05:15:56Z</t>
  </si>
  <si>
    <t xml:space="preserve">Drivers file</t>
  </si>
  <si>
    <t xml:space="preserve">1171.HK_Drivers.json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</si>
  <si>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</si>
  <si>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</si>
  <si>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</si>
  <si>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mid-cycle owner-FCF valuation of a leveraged, SOE-controlled coal cyclical, built on cash EBITDA (not the PBT-derived figure, which carries associates' profits and recurring 'one-off' gains) with a recurring working-capital leakage allowance, consolidated flows with NCI and perpetual capital securities deducted once at carrying value, and a 10x-14x FCF exit cap that binds in every scenario. The headline finding is that reported earnings and the dividend overstate what reaches the ordinary shareholder: FY2023-25 consolidated unlevered FCF averaged RMB9.8bn/yr while ordinary dividends alone averaged RMB14.2bn/yr, the gap funded by RMB67bn of added net debt and RMB18bn of perpetuals. The H-share's 49% discount to the A-share is consistent with that reading. House and street bases coincide (SBC 0.06% of revenue).
key_risks_to_valuation: NCI valuation: deducted at book RMB72.9bn, the top of a RMB58-73bn range; every RMB10bn is ~HK$1.17/share; Working-capital leakage assumption (3pp base): each 1pp of revenue is ~RMB1.5bn/yr of FCF, roughly HK$1.5-2.0/share of value at 8%; Mid-cycle gross cash EBITDA margin (30% base vs 34.7% FY2018-25 median): each 1pp is ~RMB1.5bn/yr of EBITDA; Related-party dropdowns (RMB16.4bn power assets, Kestrel) assumed value-neutral; overpayment would be a direct deduction; Terminal cap multiple (12x) rather than Gordon sets the exit; a 10x cap removes ~HK$1.5/share from the base; A/H price gap: the valuation is of the H-share at the HKD quote; the A-share at CNY 19.04 implies the market attaches very different values to the same economic share</t>
  </si>
  <si>
    <t xml:space="preserve">Data sources</t>
  </si>
  <si>
    <t xml:space="preserve">price: Yahoo Finance chart API for 1171.HK at inputs.price_as_of (HKD, intraday); CNYHKD=X and 600188.SS from the same endpoint for the fx_note parity check; 52-week range 9.53-17.42.
financials: research/1171.HK/Reports/1171.HK_Metrics.csv and the kpis table (FY2018-FY2025 annual, H1 FY2023-FY2026 interim) via make dcf-context; FY2025 annual report consolidated cash flow statement (1171.HK_Annual_FY2025.txt:10835-10960) for the cash-EBITDA and working-capital reconciliation; 2026 interim report condensed balance sheet and cash flow (1171.HK_HalfYear_H1-2026.txt:6225-6505) for the 30 June 2026 anchors; cash-EBITDA history from each annual report's 'Operating cash flows before movements in working capital' line.
qualitative: research/1171.HK/Reports/1171.HK_Analysis.json (2026-10-16): segment mix, FY2026 guidance (186-190Mt coal, RMB19.8bn capex, 50% payout), 15th Five-Year Plan capacity targets, pending acquisitions, bull/bear axes.</t>
  </si>
  <si>
    <t xml:space="preserve">Scenario narrative: bear</t>
  </si>
  <si>
    <t xml:space="preserve">China's coal share of generation keeps falling as renewables approach half the mix; after FY2026, thermal prices retreat to a permanent FY2020/FY2025-type trough and the chemicals segment loses its oil-linked cushion. Revenue drops ~10% in FY2027 and then erodes ~1%/yr as new capacity only offsets price. Gross cash EBITDA sits at 26.5% and the FY2023-25 working-capital drain (6.5% of revenue, mostly to related parties) persists, leaving ~22% net. Capex is cut to D&amp;A as in FY2020/FY2022, but RMB86bn of net debt, RMB32bn of perpetuals and RMB73bn of NCI rank ahead of the ordinary shares, so the equity absorbs the whole shortfall: this scenario values the H-share at or below zero, i.e. the ordinary equity does not survive a permanent trough on the current capital structure. Dividends were paid through FY2023-25 by adding RMB67bn of net debt and RMB18bn of perpetuals; in this case that stops.</t>
  </si>
  <si>
    <t xml:space="preserve">Scenario narrative: base</t>
  </si>
  <si>
    <t xml:space="preserve">Coal and coal-chemical prices settle at a mid-cycle below the FY2018-25 median: domestic supply-demand 'relatively balanced with periodic tightness' as management frames 2026, with the Middle-East-driven oil/gas premium supporting coal-to-chemicals spreads. Volume grows ~6%/yr from the seven-mine build-out (+70Mt by ~2031) while realised prices drift down 2-3%/yr under renewables substitution, netting to ~3% revenue growth that fades to 1%. Cash conversion improves only halfway: the working-capital drain (related-party prepayments, mining-rights payables) halves from the FY2023-25 pace rather than disappearing. Capex stays above D&amp;A to FY2030 and settles at 12%. The parent's power-asset dropdown and Yancoal's Kestrel purchase are paid at roughly fair value. Exit at 12x FCF, the cap binding over Gordon at 8%/1%.</t>
  </si>
  <si>
    <t xml:space="preserve">Scenario narrative: bull</t>
  </si>
  <si>
    <t xml:space="preserve">The H1 FY2026 recovery (+57% attributable profit) holds: tighter domestic supply after capacity verification, sustained seaborne thermal and met-coal prices (Kestrel adds premium coking coal), and high-end chemicals reaching &gt;70% of the chemicals mix lift gross cash EBITDA back to the historical median (33%). Related-party receivables are collected, mining-rights payables run off, and leakage falls to 1.5pp. The new mines ramp on schedule so revenue compounds ~4-5% through FY2030, capex fades to maintenance plus 1pp, and coal-power integration damps the cycle enough for a 14x exit. This requires several independent things to go right (price, delivery, governance), which is why it carries the smallest weight.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</si>
  <si>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</si>
  <si>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</si>
  <si>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</si>
  <si>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</si>
  <si>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</si>
  <si>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</si>
  <si>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</si>
  <si>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</si>
  <si>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</si>
  <si>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</si>
  <si>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</si>
  <si>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</si>
  <si>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</si>
  <si>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</si>
  <si>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</si>
  <si>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</si>
  <si>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</si>
  <si>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</si>
  <si>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</si>
  <si>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</si>
  <si>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</si>
  <si>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</si>
  <si>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</si>
  <si>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</si>
  <si>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</si>
  <si>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</si>
  <si>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</si>
  <si>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MinorityDividendsPaid</t>
  </si>
  <si>
    <t xml:space="preserve">NonControllingInterestProfit</t>
  </si>
  <si>
    <t xml:space="preserve">NonControllingInterests</t>
  </si>
  <si>
    <t xml:space="preserve">PerpetualCapitalSecurities</t>
  </si>
  <si>
    <t xml:space="preserve">ProfitAfterTaxTotal</t>
  </si>
  <si>
    <t xml:space="preserve">RestrictedCash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</si>
  <si>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</si>
  <si>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</si>
  <si>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</si>
  <si>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</si>
  <si>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</si>
  <si>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</si>
  <si>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</si>
  <si>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</si>
  <si>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</si>
  <si>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</si>
  <si>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</si>
  <si>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</si>
  <si>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</si>
  <si>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</si>
  <si>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</si>
  <si>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</si>
  <si>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</si>
  <si>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</si>
  <si>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</si>
  <si>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</si>
  <si>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</si>
  <si>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</si>
  <si>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</si>
  <si>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</si>
  <si>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</si>
  <si>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</si>
  <si>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</si>
  <si>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</si>
  <si>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</si>
  <si>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</si>
  <si>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</si>
  <si>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</si>
  <si>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</si>
  <si>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</si>
  <si>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</si>
  <si>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</si>
  <si>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</si>
  <si>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</si>
  <si>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</si>
  <si>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</si>
  <si>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</si>
  <si>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</si>
  <si>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</si>
  <si>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</si>
  <si>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</si>
  <si>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1171.HK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</si>
  <si>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</si>
  <si>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</si>
  <si>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</si>
  <si>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</si>
  <si>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</si>
  <si>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</si>
  <si>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</si>
  <si>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</si>
  <si>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</si>
  <si>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</si>
  <si>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</si>
  <si>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</si>
  <si>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</si>
  <si>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</si>
  <si>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</si>
  <si>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</si>
  <si>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</si>
  <si>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</si>
  <si>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</si>
  <si>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</si>
  <si>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</si>
  <si>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</si>
  <si>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</si>
  <si>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</si>
  <si>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</si>
  <si>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</si>
  <si>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</si>
  <si>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</si>
  <si>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</si>
  <si>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</si>
  <si>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1171.HK owner-FCF component DCF: base case (millions, CNY)</t>
  </si>
  <si>
    <t xml:space="preserve">1171.HK owner-FCF component DCF: bull case (millions, CNY)</t>
  </si>
  <si>
    <t xml:space="preserve">1171.HK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</si>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</sst>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11.37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</row>
    <row r="2" customFormat="false" ht="15" hidden="false" customHeight="false" outlineLevel="0" collapsed="false">
      <c r="A2" s="0" t="s">
        <v>70</v>
      </c>
      <c r="B2" s="0" t="n">
        <v>67447.104</v>
      </c>
      <c r="C2" s="0" t="n">
        <v>43140.566</v>
      </c>
      <c r="D2" s="0" t="n">
        <v>24306.538</v>
      </c>
      <c r="E2" s="0" t="n">
        <v>36</v>
      </c>
      <c r="F2" s="0" t="n">
        <v>19543.492</v>
      </c>
      <c r="G2" s="0" t="n">
        <v>29</v>
      </c>
      <c r="H2" s="0" t="n">
        <v>25866.399</v>
      </c>
      <c r="I2" s="0" t="n">
        <v>8582.556</v>
      </c>
      <c r="J2" s="0" t="n">
        <v>12.7</v>
      </c>
      <c r="K2" s="0" t="n">
        <v>1.75</v>
      </c>
      <c r="L2" s="0" t="n">
        <v>18243.311</v>
      </c>
      <c r="M2" s="0" t="n">
        <v>4582.314</v>
      </c>
      <c r="N2" s="0" t="n">
        <v>13660.997</v>
      </c>
      <c r="O2" s="0" t="n">
        <v>52077.36</v>
      </c>
      <c r="P2" s="0" t="n">
        <v>206003.615</v>
      </c>
      <c r="Q2" s="0" t="n">
        <v>118958.626</v>
      </c>
      <c r="R2" s="0" t="n">
        <v>68677.923</v>
      </c>
      <c r="S2" s="0" t="n">
        <v>27372.942</v>
      </c>
      <c r="T2" s="0" t="n">
        <v>4912.016</v>
      </c>
      <c r="U2" s="0" t="n">
        <v>33.097</v>
      </c>
      <c r="AA2" s="0" t="s">
        <v>18</v>
      </c>
      <c r="AB2" s="0" t="s">
        <v>14</v>
      </c>
      <c r="AF2" s="0" t="n">
        <v>10316.444</v>
      </c>
      <c r="AG2" s="0" t="n">
        <v>11322.692</v>
      </c>
      <c r="AH2" s="0" t="n">
        <v>3436.572</v>
      </c>
    </row>
    <row r="3" customFormat="false" ht="15" hidden="false" customHeight="false" outlineLevel="0" collapsed="false">
      <c r="A3" s="0" t="s">
        <v>71</v>
      </c>
      <c r="B3" s="0" t="n">
        <v>67804.644</v>
      </c>
      <c r="C3" s="0" t="n">
        <v>46775.158</v>
      </c>
      <c r="D3" s="0" t="n">
        <v>21029.486</v>
      </c>
      <c r="E3" s="0" t="n">
        <v>31</v>
      </c>
      <c r="F3" s="0" t="n">
        <v>17738.076</v>
      </c>
      <c r="G3" s="0" t="n">
        <v>26.2</v>
      </c>
      <c r="H3" s="0" t="n">
        <v>23567.976</v>
      </c>
      <c r="I3" s="0" t="n">
        <v>9388.645</v>
      </c>
      <c r="J3" s="0" t="n">
        <v>13.8</v>
      </c>
      <c r="K3" s="0" t="n">
        <v>1.91</v>
      </c>
      <c r="L3" s="0" t="n">
        <v>16411.202</v>
      </c>
      <c r="M3" s="0" t="n">
        <v>4578.325</v>
      </c>
      <c r="N3" s="0" t="n">
        <v>11832.877</v>
      </c>
      <c r="O3" s="0" t="n">
        <v>54119.8</v>
      </c>
      <c r="P3" s="0" t="n">
        <v>210760.571</v>
      </c>
      <c r="Q3" s="0" t="n">
        <v>125411.966</v>
      </c>
      <c r="R3" s="0" t="n">
        <v>65375.491</v>
      </c>
      <c r="S3" s="0" t="n">
        <v>22789.951</v>
      </c>
      <c r="T3" s="0" t="n">
        <v>4912.016</v>
      </c>
      <c r="U3" s="0" t="n">
        <v>8.203</v>
      </c>
      <c r="AA3" s="0" t="s">
        <v>18</v>
      </c>
      <c r="AB3" s="0" t="s">
        <v>14</v>
      </c>
      <c r="AF3" s="0" t="n">
        <v>10311.611</v>
      </c>
      <c r="AG3" s="0" t="n">
        <v>11826.779</v>
      </c>
      <c r="AH3" s="0" t="n">
        <v>4273.655</v>
      </c>
    </row>
    <row r="4" customFormat="false" ht="15" hidden="false" customHeight="false" outlineLevel="0" collapsed="false">
      <c r="A4" s="0" t="s">
        <v>72</v>
      </c>
      <c r="B4" s="0" t="n">
        <v>69123.02</v>
      </c>
      <c r="C4" s="0" t="n">
        <v>55030.653</v>
      </c>
      <c r="D4" s="0" t="n">
        <v>14092.367</v>
      </c>
      <c r="E4" s="0" t="n">
        <v>20.4</v>
      </c>
      <c r="F4" s="0" t="n">
        <v>10239.383</v>
      </c>
      <c r="G4" s="0" t="n">
        <v>14.8</v>
      </c>
      <c r="H4" s="0" t="n">
        <v>18774.306</v>
      </c>
      <c r="I4" s="0" t="n">
        <v>6318</v>
      </c>
      <c r="J4" s="0" t="n">
        <v>9.1</v>
      </c>
      <c r="K4" s="0" t="n">
        <v>1.29</v>
      </c>
      <c r="L4" s="0" t="n">
        <v>6958.798</v>
      </c>
      <c r="M4" s="0" t="n">
        <v>2044.288</v>
      </c>
      <c r="N4" s="0" t="n">
        <v>4914.51</v>
      </c>
      <c r="O4" s="0" t="n">
        <v>57894.751</v>
      </c>
      <c r="P4" s="0" t="n">
        <v>273009.258</v>
      </c>
      <c r="Q4" s="0" t="n">
        <v>180926.048</v>
      </c>
      <c r="R4" s="0" t="n">
        <v>92262.944</v>
      </c>
      <c r="S4" s="0" t="n">
        <v>17116.46</v>
      </c>
      <c r="T4" s="0" t="n">
        <v>4860</v>
      </c>
      <c r="U4" s="0" t="n">
        <v>24.557</v>
      </c>
      <c r="AA4" s="0" t="s">
        <v>18</v>
      </c>
      <c r="AB4" s="0" t="s">
        <v>14</v>
      </c>
      <c r="AF4" s="0" t="n">
        <v>5217.667</v>
      </c>
      <c r="AG4" s="0" t="n">
        <v>5557.321</v>
      </c>
      <c r="AH4" s="0" t="n">
        <v>6415.643</v>
      </c>
    </row>
    <row r="5" customFormat="false" ht="15" hidden="false" customHeight="false" outlineLevel="0" collapsed="false">
      <c r="A5" s="0" t="s">
        <v>73</v>
      </c>
      <c r="B5" s="0" t="n">
        <v>108615.647</v>
      </c>
      <c r="C5" s="0" t="n">
        <v>68680.488</v>
      </c>
      <c r="D5" s="0" t="n">
        <v>39935.159</v>
      </c>
      <c r="E5" s="0" t="n">
        <v>36.8</v>
      </c>
      <c r="F5" s="0" t="n">
        <v>29608.143</v>
      </c>
      <c r="G5" s="0" t="n">
        <v>27.3</v>
      </c>
      <c r="H5" s="0" t="n">
        <v>40735.882</v>
      </c>
      <c r="I5" s="0" t="n">
        <v>16941.435</v>
      </c>
      <c r="J5" s="0" t="n">
        <v>15.6</v>
      </c>
      <c r="K5" s="0" t="n">
        <v>3.47</v>
      </c>
      <c r="L5" s="0" t="n">
        <v>29815.724</v>
      </c>
      <c r="M5" s="0" t="n">
        <v>10843.941</v>
      </c>
      <c r="N5" s="0" t="n">
        <v>18971.783</v>
      </c>
      <c r="O5" s="0" t="n">
        <v>68657.66</v>
      </c>
      <c r="P5" s="0" t="n">
        <v>301959.007</v>
      </c>
      <c r="Q5" s="0" t="n">
        <v>194002.521</v>
      </c>
      <c r="R5" s="0" t="n">
        <v>103400.097</v>
      </c>
      <c r="S5" s="0" t="n">
        <v>40044.795</v>
      </c>
      <c r="T5" s="0" t="n">
        <v>4874.184</v>
      </c>
      <c r="U5" s="0" t="n">
        <v>19.349</v>
      </c>
      <c r="AA5" s="0" t="s">
        <v>18</v>
      </c>
      <c r="AB5" s="0" t="s">
        <v>14</v>
      </c>
      <c r="AD5" s="0" t="n">
        <v>1699.101</v>
      </c>
      <c r="AF5" s="0" t="n">
        <v>8118.1</v>
      </c>
      <c r="AG5" s="0" t="n">
        <v>18819.2</v>
      </c>
      <c r="AH5" s="0" t="n">
        <v>5367.672</v>
      </c>
    </row>
    <row r="6" customFormat="false" ht="15" hidden="false" customHeight="false" outlineLevel="0" collapsed="false">
      <c r="A6" s="0" t="s">
        <v>74</v>
      </c>
      <c r="B6" s="0" t="n">
        <v>154601.505</v>
      </c>
      <c r="C6" s="0" t="n">
        <v>80814.847</v>
      </c>
      <c r="D6" s="0" t="n">
        <v>73786.658</v>
      </c>
      <c r="E6" s="0" t="n">
        <v>47.7</v>
      </c>
      <c r="F6" s="0" t="n">
        <v>59671.453</v>
      </c>
      <c r="G6" s="0" t="n">
        <v>38.6</v>
      </c>
      <c r="H6" s="0" t="n">
        <v>71064.843</v>
      </c>
      <c r="I6" s="0" t="n">
        <v>30407.538</v>
      </c>
      <c r="J6" s="0" t="n">
        <v>19.7</v>
      </c>
      <c r="K6" s="0" t="n">
        <v>6.13</v>
      </c>
      <c r="L6" s="0" t="n">
        <v>61873.689</v>
      </c>
      <c r="M6" s="0" t="n">
        <v>3374.318</v>
      </c>
      <c r="N6" s="0" t="n">
        <v>58499.371</v>
      </c>
      <c r="O6" s="0" t="n">
        <v>89852.379</v>
      </c>
      <c r="P6" s="0" t="n">
        <v>308603.503</v>
      </c>
      <c r="Q6" s="0" t="n">
        <v>169385.851</v>
      </c>
      <c r="R6" s="0" t="n">
        <v>76163.662</v>
      </c>
      <c r="S6" s="0" t="n">
        <v>38624.29</v>
      </c>
      <c r="T6" s="0" t="n">
        <v>4948.704</v>
      </c>
      <c r="U6" s="0" t="n">
        <v>314.085</v>
      </c>
      <c r="AA6" s="0" t="s">
        <v>18</v>
      </c>
      <c r="AB6" s="0" t="s">
        <v>14</v>
      </c>
      <c r="AD6" s="0" t="n">
        <v>8216.729</v>
      </c>
      <c r="AE6" s="0" t="n">
        <v>36116.659</v>
      </c>
      <c r="AF6" s="0" t="n">
        <v>13248.614</v>
      </c>
      <c r="AG6" s="0" t="n">
        <v>39086.211</v>
      </c>
      <c r="AH6" s="0" t="n">
        <v>6081.4</v>
      </c>
    </row>
    <row r="7" customFormat="false" ht="15" hidden="false" customHeight="false" outlineLevel="0" collapsed="false">
      <c r="A7" s="0" t="s">
        <v>75</v>
      </c>
      <c r="B7" s="0" t="n">
        <v>118434.27</v>
      </c>
      <c r="C7" s="0" t="n">
        <v>74519.273</v>
      </c>
      <c r="D7" s="0" t="n">
        <v>43914.997</v>
      </c>
      <c r="E7" s="0" t="n">
        <v>37.1</v>
      </c>
      <c r="F7" s="0" t="n">
        <v>34548.719</v>
      </c>
      <c r="G7" s="0" t="n">
        <v>29.2</v>
      </c>
      <c r="H7" s="0" t="n">
        <v>50021.708</v>
      </c>
      <c r="I7" s="0" t="n">
        <v>17778.972</v>
      </c>
      <c r="J7" s="0" t="n">
        <v>15</v>
      </c>
      <c r="K7" s="0" t="n">
        <v>2.38</v>
      </c>
      <c r="L7" s="0" t="n">
        <v>22615.51</v>
      </c>
      <c r="M7" s="0" t="n">
        <v>6946.151</v>
      </c>
      <c r="N7" s="0" t="n">
        <v>15669.359</v>
      </c>
      <c r="O7" s="0" t="n">
        <v>86901.568</v>
      </c>
      <c r="P7" s="0" t="n">
        <v>414317.629</v>
      </c>
      <c r="Q7" s="0" t="n">
        <v>247582.466</v>
      </c>
      <c r="R7" s="0" t="n">
        <v>100187.984</v>
      </c>
      <c r="S7" s="0" t="n">
        <v>30268.2</v>
      </c>
      <c r="T7" s="0" t="n">
        <v>7439.371</v>
      </c>
      <c r="U7" s="0" t="n">
        <v>290.075</v>
      </c>
      <c r="AA7" s="0" t="s">
        <v>18</v>
      </c>
      <c r="AB7" s="0" t="s">
        <v>14</v>
      </c>
      <c r="AC7" s="0" t="n">
        <v>4989.284</v>
      </c>
      <c r="AD7" s="0" t="n">
        <v>4734.427</v>
      </c>
      <c r="AE7" s="0" t="n">
        <v>63291.818</v>
      </c>
      <c r="AF7" s="0" t="n">
        <v>16541.777</v>
      </c>
      <c r="AG7" s="0" t="n">
        <v>22958.142</v>
      </c>
      <c r="AH7" s="0" t="n">
        <v>7272.336</v>
      </c>
    </row>
    <row r="8" customFormat="false" ht="15" hidden="false" customHeight="false" outlineLevel="0" collapsed="false">
      <c r="A8" s="0" t="s">
        <v>76</v>
      </c>
      <c r="B8" s="0" t="n">
        <v>124534.194</v>
      </c>
      <c r="C8" s="0" t="n">
        <v>82704.597</v>
      </c>
      <c r="D8" s="0" t="n">
        <v>41829.597</v>
      </c>
      <c r="E8" s="0" t="n">
        <v>33.6</v>
      </c>
      <c r="F8" s="0" t="n">
        <v>31004.335</v>
      </c>
      <c r="G8" s="0" t="n">
        <v>24.9</v>
      </c>
      <c r="H8" s="0" t="n">
        <v>45834.437</v>
      </c>
      <c r="I8" s="0" t="n">
        <v>14056.067</v>
      </c>
      <c r="J8" s="0" t="n">
        <v>11.3</v>
      </c>
      <c r="K8" s="0" t="n">
        <v>1.42</v>
      </c>
      <c r="L8" s="0" t="n">
        <v>23139.743</v>
      </c>
      <c r="M8" s="0" t="n">
        <v>17501.659</v>
      </c>
      <c r="N8" s="0" t="n">
        <v>5638.084</v>
      </c>
      <c r="O8" s="0" t="n">
        <v>58610.077</v>
      </c>
      <c r="P8" s="0" t="n">
        <v>356350.37</v>
      </c>
      <c r="Q8" s="0" t="n">
        <v>224364.93</v>
      </c>
      <c r="R8" s="0" t="n">
        <v>110796.061</v>
      </c>
      <c r="S8" s="0" t="n">
        <v>30495.219</v>
      </c>
      <c r="T8" s="0" t="n">
        <v>10039.86</v>
      </c>
      <c r="U8" s="0" t="n">
        <v>134.212</v>
      </c>
      <c r="AA8" s="0" t="s">
        <v>18</v>
      </c>
      <c r="AB8" s="0" t="s">
        <v>14</v>
      </c>
      <c r="AC8" s="0" t="n">
        <v>2964.137</v>
      </c>
      <c r="AD8" s="0" t="n">
        <v>5926.603</v>
      </c>
      <c r="AE8" s="0" t="n">
        <v>50108.142</v>
      </c>
      <c r="AF8" s="0" t="n">
        <v>23267.221</v>
      </c>
      <c r="AG8" s="0" t="n">
        <v>20614.535</v>
      </c>
      <c r="AH8" s="0" t="n">
        <v>7834.925</v>
      </c>
    </row>
    <row r="9" customFormat="false" ht="15" hidden="false" customHeight="false" outlineLevel="0" collapsed="false">
      <c r="A9" s="0" t="s">
        <v>77</v>
      </c>
      <c r="B9" s="0" t="n">
        <v>133340.597</v>
      </c>
      <c r="C9" s="0" t="n">
        <v>99696.311</v>
      </c>
      <c r="D9" s="0" t="n">
        <v>33644.286</v>
      </c>
      <c r="E9" s="0" t="n">
        <v>25.2</v>
      </c>
      <c r="F9" s="0" t="n">
        <v>23405.696</v>
      </c>
      <c r="G9" s="0" t="n">
        <v>17.6</v>
      </c>
      <c r="H9" s="0" t="n">
        <v>39209.623</v>
      </c>
      <c r="I9" s="0" t="n">
        <v>8524.664</v>
      </c>
      <c r="J9" s="0" t="n">
        <v>6.4</v>
      </c>
      <c r="K9" s="0" t="n">
        <v>0.85</v>
      </c>
      <c r="L9" s="0" t="n">
        <v>16640.257</v>
      </c>
      <c r="M9" s="0" t="n">
        <v>16040.15</v>
      </c>
      <c r="N9" s="0" t="n">
        <v>600.107</v>
      </c>
      <c r="O9" s="0" t="n">
        <v>71288.661</v>
      </c>
      <c r="P9" s="0" t="n">
        <v>451972.364</v>
      </c>
      <c r="Q9" s="0" t="n">
        <v>281073.638</v>
      </c>
      <c r="R9" s="0" t="n">
        <v>131311.708</v>
      </c>
      <c r="S9" s="0" t="n">
        <v>26676.555</v>
      </c>
      <c r="T9" s="0" t="n">
        <v>10037.481</v>
      </c>
      <c r="U9" s="0" t="n">
        <v>84.459</v>
      </c>
      <c r="AA9" s="0" t="s">
        <v>18</v>
      </c>
      <c r="AB9" s="0" t="s">
        <v>14</v>
      </c>
      <c r="AC9" s="0" t="n">
        <v>4207.135</v>
      </c>
      <c r="AD9" s="0" t="n">
        <v>5736.887</v>
      </c>
      <c r="AE9" s="0" t="n">
        <v>69842.227</v>
      </c>
      <c r="AF9" s="0" t="n">
        <v>29767.838</v>
      </c>
      <c r="AG9" s="0" t="n">
        <v>14890.269</v>
      </c>
      <c r="AH9" s="0" t="n">
        <v>10748.13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11.37</v>
      </c>
    </row>
    <row r="3" customFormat="false" ht="15" hidden="false" customHeight="false" outlineLevel="0" collapsed="false">
      <c r="A3" s="0" t="s">
        <v>81</v>
      </c>
      <c r="B3" s="3" t="n">
        <v>10036.852</v>
      </c>
    </row>
    <row r="4" customFormat="false" ht="15" hidden="false" customHeight="false" outlineLevel="0" collapsed="false">
      <c r="A4" s="0" t="s">
        <v>82</v>
      </c>
      <c r="B4" s="3" t="n">
        <v>86062.5</v>
      </c>
    </row>
    <row r="5" customFormat="false" ht="15" hidden="false" customHeight="false" outlineLevel="0" collapsed="false">
      <c r="A5" s="0" t="s">
        <v>83</v>
      </c>
      <c r="B5" s="3" t="n">
        <v>-70115.9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133340.6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1.1728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5</v>
      </c>
      <c r="D13" s="3" t="n">
        <v>-10</v>
      </c>
      <c r="E13" s="3" t="n">
        <v>-2</v>
      </c>
      <c r="F13" s="3" t="n">
        <v>0</v>
      </c>
      <c r="G13" s="3" t="n">
        <v>0</v>
      </c>
      <c r="H13" s="3" t="n">
        <v>0</v>
      </c>
      <c r="I13" s="3" t="n">
        <v>-0.5</v>
      </c>
      <c r="J13" s="3" t="n">
        <v>-1</v>
      </c>
      <c r="K13" s="3" t="n">
        <v>-1</v>
      </c>
      <c r="L13" s="3" t="n">
        <v>-1</v>
      </c>
    </row>
    <row r="14" customFormat="false" ht="15" hidden="false" customHeight="false" outlineLevel="0" collapsed="false">
      <c r="A14" s="0" t="s">
        <v>102</v>
      </c>
      <c r="C14" s="3" t="n">
        <v>23.5</v>
      </c>
      <c r="D14" s="3" t="n">
        <v>22</v>
      </c>
      <c r="E14" s="3" t="n">
        <v>22</v>
      </c>
      <c r="F14" s="3" t="n">
        <v>22</v>
      </c>
      <c r="G14" s="3" t="n">
        <v>22</v>
      </c>
      <c r="H14" s="3" t="n">
        <v>22</v>
      </c>
      <c r="I14" s="3" t="n">
        <v>22</v>
      </c>
      <c r="J14" s="3" t="n">
        <v>22</v>
      </c>
      <c r="K14" s="3" t="n">
        <v>22</v>
      </c>
      <c r="L14" s="3" t="n">
        <v>22</v>
      </c>
    </row>
    <row r="15" customFormat="false" ht="15" hidden="false" customHeight="false" outlineLevel="0" collapsed="false">
      <c r="A15" s="0" t="s">
        <v>103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104</v>
      </c>
      <c r="C16" s="3" t="n">
        <v>0.5</v>
      </c>
      <c r="D16" s="3" t="n">
        <v>0.5</v>
      </c>
      <c r="E16" s="3" t="n">
        <v>0.5</v>
      </c>
      <c r="F16" s="3" t="n">
        <v>0.5</v>
      </c>
      <c r="G16" s="3" t="n">
        <v>0.5</v>
      </c>
      <c r="H16" s="3" t="n">
        <v>0.5</v>
      </c>
      <c r="I16" s="3" t="n">
        <v>0.5</v>
      </c>
      <c r="J16" s="3" t="n">
        <v>0.5</v>
      </c>
      <c r="K16" s="3" t="n">
        <v>0.5</v>
      </c>
      <c r="L16" s="3" t="n">
        <v>0.5</v>
      </c>
    </row>
    <row r="17" customFormat="false" ht="15" hidden="false" customHeight="false" outlineLevel="0" collapsed="false">
      <c r="A17" s="0" t="s">
        <v>105</v>
      </c>
      <c r="C17" s="3" t="n">
        <v>11.5</v>
      </c>
      <c r="D17" s="3" t="n">
        <v>11.5</v>
      </c>
      <c r="E17" s="3" t="n">
        <v>11.5</v>
      </c>
      <c r="F17" s="3" t="n">
        <v>11.5</v>
      </c>
      <c r="G17" s="3" t="n">
        <v>11.5</v>
      </c>
      <c r="H17" s="3" t="n">
        <v>11.5</v>
      </c>
      <c r="I17" s="3" t="n">
        <v>11.5</v>
      </c>
      <c r="J17" s="3" t="n">
        <v>11.5</v>
      </c>
      <c r="K17" s="3" t="n">
        <v>11.5</v>
      </c>
      <c r="L17" s="3" t="n">
        <v>11.5</v>
      </c>
    </row>
    <row r="18" customFormat="false" ht="15" hidden="false" customHeight="false" outlineLevel="0" collapsed="false">
      <c r="A18" s="0" t="s">
        <v>106</v>
      </c>
      <c r="C18" s="3" t="n">
        <v>14</v>
      </c>
      <c r="D18" s="3" t="n">
        <v>12.5</v>
      </c>
      <c r="E18" s="3" t="n">
        <v>12</v>
      </c>
      <c r="F18" s="3" t="n">
        <v>11.5</v>
      </c>
      <c r="G18" s="3" t="n">
        <v>11.5</v>
      </c>
      <c r="H18" s="3" t="n">
        <v>11</v>
      </c>
      <c r="I18" s="3" t="n">
        <v>11</v>
      </c>
      <c r="J18" s="3" t="n">
        <v>11</v>
      </c>
      <c r="K18" s="3" t="n">
        <v>11</v>
      </c>
      <c r="L18" s="3" t="n">
        <v>11</v>
      </c>
    </row>
    <row r="19" customFormat="false" ht="15" hidden="false" customHeight="false" outlineLevel="0" collapsed="false">
      <c r="A19" s="0" t="s">
        <v>107</v>
      </c>
      <c r="C19" s="3" t="n">
        <v>23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108</v>
      </c>
      <c r="B20" s="3" t="n">
        <v>8</v>
      </c>
    </row>
    <row r="21" customFormat="false" ht="15" hidden="false" customHeight="false" outlineLevel="0" collapsed="false">
      <c r="A21" s="0" t="s">
        <v>109</v>
      </c>
      <c r="B21" s="3" t="n">
        <v>0</v>
      </c>
    </row>
    <row r="22" customFormat="false" ht="15" hidden="false" customHeight="false" outlineLevel="0" collapsed="false">
      <c r="A22" s="0" t="s">
        <v>110</v>
      </c>
      <c r="B22" s="3" t="n">
        <v>10</v>
      </c>
    </row>
    <row r="23" customFormat="false" ht="15" hidden="false" customHeight="false" outlineLevel="0" collapsed="false">
      <c r="A23" s="0" t="s">
        <v>111</v>
      </c>
      <c r="B23" s="3" t="n">
        <v>-5</v>
      </c>
    </row>
    <row r="24" customFormat="false" ht="15" hidden="false" customHeight="false" outlineLevel="0" collapsed="false">
      <c r="A24" s="0" t="s">
        <v>112</v>
      </c>
      <c r="B24" s="3" t="n">
        <v>0.25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8</v>
      </c>
      <c r="D27" s="3" t="n">
        <v>2</v>
      </c>
      <c r="E27" s="3" t="n">
        <v>3.5</v>
      </c>
      <c r="F27" s="3" t="n">
        <v>3.5</v>
      </c>
      <c r="G27" s="3" t="n">
        <v>3.5</v>
      </c>
      <c r="H27" s="3" t="n">
        <v>3</v>
      </c>
      <c r="I27" s="3" t="n">
        <v>2.5</v>
      </c>
      <c r="J27" s="3" t="n">
        <v>2</v>
      </c>
      <c r="K27" s="3" t="n">
        <v>1.5</v>
      </c>
      <c r="L27" s="3" t="n">
        <v>1</v>
      </c>
    </row>
    <row r="28" customFormat="false" ht="15" hidden="false" customHeight="false" outlineLevel="0" collapsed="false">
      <c r="A28" s="0" t="s">
        <v>102</v>
      </c>
      <c r="C28" s="3" t="n">
        <v>24.5</v>
      </c>
      <c r="D28" s="3" t="n">
        <v>27</v>
      </c>
      <c r="E28" s="3" t="n">
        <v>27</v>
      </c>
      <c r="F28" s="3" t="n">
        <v>27</v>
      </c>
      <c r="G28" s="3" t="n">
        <v>27</v>
      </c>
      <c r="H28" s="3" t="n">
        <v>27</v>
      </c>
      <c r="I28" s="3" t="n">
        <v>27</v>
      </c>
      <c r="J28" s="3" t="n">
        <v>27</v>
      </c>
      <c r="K28" s="3" t="n">
        <v>27</v>
      </c>
      <c r="L28" s="3" t="n">
        <v>27</v>
      </c>
    </row>
    <row r="29" customFormat="false" ht="15" hidden="false" customHeight="false" outlineLevel="0" collapsed="false">
      <c r="A29" s="0" t="s">
        <v>103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104</v>
      </c>
      <c r="C30" s="3" t="n">
        <v>0.5</v>
      </c>
      <c r="D30" s="3" t="n">
        <v>0.5</v>
      </c>
      <c r="E30" s="3" t="n">
        <v>0.5</v>
      </c>
      <c r="F30" s="3" t="n">
        <v>0.5</v>
      </c>
      <c r="G30" s="3" t="n">
        <v>0.5</v>
      </c>
      <c r="H30" s="3" t="n">
        <v>0.5</v>
      </c>
      <c r="I30" s="3" t="n">
        <v>0.5</v>
      </c>
      <c r="J30" s="3" t="n">
        <v>0.5</v>
      </c>
      <c r="K30" s="3" t="n">
        <v>0.5</v>
      </c>
      <c r="L30" s="3" t="n">
        <v>0.5</v>
      </c>
    </row>
    <row r="31" customFormat="false" ht="15" hidden="false" customHeight="false" outlineLevel="0" collapsed="false">
      <c r="A31" s="0" t="s">
        <v>105</v>
      </c>
      <c r="C31" s="3" t="n">
        <v>11.5</v>
      </c>
      <c r="D31" s="3" t="n">
        <v>11.5</v>
      </c>
      <c r="E31" s="3" t="n">
        <v>11.5</v>
      </c>
      <c r="F31" s="3" t="n">
        <v>11.5</v>
      </c>
      <c r="G31" s="3" t="n">
        <v>11.5</v>
      </c>
      <c r="H31" s="3" t="n">
        <v>11.5</v>
      </c>
      <c r="I31" s="3" t="n">
        <v>11.5</v>
      </c>
      <c r="J31" s="3" t="n">
        <v>11.5</v>
      </c>
      <c r="K31" s="3" t="n">
        <v>11.5</v>
      </c>
      <c r="L31" s="3" t="n">
        <v>11.5</v>
      </c>
    </row>
    <row r="32" customFormat="false" ht="15" hidden="false" customHeight="false" outlineLevel="0" collapsed="false">
      <c r="A32" s="0" t="s">
        <v>106</v>
      </c>
      <c r="C32" s="3" t="n">
        <v>14</v>
      </c>
      <c r="D32" s="3" t="n">
        <v>13.5</v>
      </c>
      <c r="E32" s="3" t="n">
        <v>13.5</v>
      </c>
      <c r="F32" s="3" t="n">
        <v>13</v>
      </c>
      <c r="G32" s="3" t="n">
        <v>13</v>
      </c>
      <c r="H32" s="3" t="n">
        <v>12.5</v>
      </c>
      <c r="I32" s="3" t="n">
        <v>12</v>
      </c>
      <c r="J32" s="3" t="n">
        <v>12</v>
      </c>
      <c r="K32" s="3" t="n">
        <v>12</v>
      </c>
      <c r="L32" s="3" t="n">
        <v>12</v>
      </c>
    </row>
    <row r="33" customFormat="false" ht="15" hidden="false" customHeight="false" outlineLevel="0" collapsed="false">
      <c r="A33" s="0" t="s">
        <v>107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108</v>
      </c>
      <c r="B34" s="3" t="n">
        <v>8</v>
      </c>
    </row>
    <row r="35" customFormat="false" ht="15" hidden="false" customHeight="false" outlineLevel="0" collapsed="false">
      <c r="A35" s="0" t="s">
        <v>109</v>
      </c>
      <c r="B35" s="3" t="n">
        <v>1</v>
      </c>
    </row>
    <row r="36" customFormat="false" ht="15" hidden="false" customHeight="false" outlineLevel="0" collapsed="false">
      <c r="A36" s="0" t="s">
        <v>110</v>
      </c>
      <c r="B36" s="3" t="n">
        <v>12</v>
      </c>
    </row>
    <row r="37" customFormat="false" ht="15" hidden="false" customHeight="false" outlineLevel="0" collapsed="false">
      <c r="A37" s="0" t="s">
        <v>111</v>
      </c>
      <c r="B37" s="3" t="n">
        <v>-5</v>
      </c>
    </row>
    <row r="38" customFormat="false" ht="15" hidden="false" customHeight="false" outlineLevel="0" collapsed="false">
      <c r="A38" s="0" t="s">
        <v>112</v>
      </c>
      <c r="B38" s="3" t="n">
        <v>0.55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10</v>
      </c>
      <c r="D41" s="3" t="n">
        <v>5</v>
      </c>
      <c r="E41" s="3" t="n">
        <v>5</v>
      </c>
      <c r="F41" s="3" t="n">
        <v>4.5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2.5</v>
      </c>
      <c r="L41" s="3" t="n">
        <v>2</v>
      </c>
    </row>
    <row r="42" customFormat="false" ht="15" hidden="false" customHeight="false" outlineLevel="0" collapsed="false">
      <c r="A42" s="0" t="s">
        <v>102</v>
      </c>
      <c r="C42" s="3" t="n">
        <v>25.5</v>
      </c>
      <c r="D42" s="3" t="n">
        <v>31.5</v>
      </c>
      <c r="E42" s="3" t="n">
        <v>31.5</v>
      </c>
      <c r="F42" s="3" t="n">
        <v>31.5</v>
      </c>
      <c r="G42" s="3" t="n">
        <v>31.5</v>
      </c>
      <c r="H42" s="3" t="n">
        <v>31.5</v>
      </c>
      <c r="I42" s="3" t="n">
        <v>31.5</v>
      </c>
      <c r="J42" s="3" t="n">
        <v>31.5</v>
      </c>
      <c r="K42" s="3" t="n">
        <v>31.5</v>
      </c>
      <c r="L42" s="3" t="n">
        <v>31.5</v>
      </c>
    </row>
    <row r="43" customFormat="false" ht="15" hidden="false" customHeight="false" outlineLevel="0" collapsed="false">
      <c r="A43" s="0" t="s">
        <v>103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104</v>
      </c>
      <c r="C44" s="3" t="n">
        <v>0.5</v>
      </c>
      <c r="D44" s="3" t="n">
        <v>0.5</v>
      </c>
      <c r="E44" s="3" t="n">
        <v>0.5</v>
      </c>
      <c r="F44" s="3" t="n">
        <v>0.5</v>
      </c>
      <c r="G44" s="3" t="n">
        <v>0.5</v>
      </c>
      <c r="H44" s="3" t="n">
        <v>0.5</v>
      </c>
      <c r="I44" s="3" t="n">
        <v>0.5</v>
      </c>
      <c r="J44" s="3" t="n">
        <v>0.5</v>
      </c>
      <c r="K44" s="3" t="n">
        <v>0.5</v>
      </c>
      <c r="L44" s="3" t="n">
        <v>0.5</v>
      </c>
    </row>
    <row r="45" customFormat="false" ht="15" hidden="false" customHeight="false" outlineLevel="0" collapsed="false">
      <c r="A45" s="0" t="s">
        <v>105</v>
      </c>
      <c r="C45" s="3" t="n">
        <v>11.5</v>
      </c>
      <c r="D45" s="3" t="n">
        <v>11.5</v>
      </c>
      <c r="E45" s="3" t="n">
        <v>11.5</v>
      </c>
      <c r="F45" s="3" t="n">
        <v>11.5</v>
      </c>
      <c r="G45" s="3" t="n">
        <v>11.5</v>
      </c>
      <c r="H45" s="3" t="n">
        <v>11.5</v>
      </c>
      <c r="I45" s="3" t="n">
        <v>11.5</v>
      </c>
      <c r="J45" s="3" t="n">
        <v>11.5</v>
      </c>
      <c r="K45" s="3" t="n">
        <v>11.5</v>
      </c>
      <c r="L45" s="3" t="n">
        <v>11.5</v>
      </c>
    </row>
    <row r="46" customFormat="false" ht="15" hidden="false" customHeight="false" outlineLevel="0" collapsed="false">
      <c r="A46" s="0" t="s">
        <v>106</v>
      </c>
      <c r="C46" s="3" t="n">
        <v>14</v>
      </c>
      <c r="D46" s="3" t="n">
        <v>13.5</v>
      </c>
      <c r="E46" s="3" t="n">
        <v>13</v>
      </c>
      <c r="F46" s="3" t="n">
        <v>12.5</v>
      </c>
      <c r="G46" s="3" t="n">
        <v>12</v>
      </c>
      <c r="H46" s="3" t="n">
        <v>12</v>
      </c>
      <c r="I46" s="3" t="n">
        <v>11.5</v>
      </c>
      <c r="J46" s="3" t="n">
        <v>11.5</v>
      </c>
      <c r="K46" s="3" t="n">
        <v>11.5</v>
      </c>
      <c r="L46" s="3" t="n">
        <v>11.5</v>
      </c>
    </row>
    <row r="47" customFormat="false" ht="15" hidden="false" customHeight="false" outlineLevel="0" collapsed="false">
      <c r="A47" s="0" t="s">
        <v>107</v>
      </c>
      <c r="C47" s="3" t="n">
        <v>23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108</v>
      </c>
      <c r="B48" s="3" t="n">
        <v>8</v>
      </c>
    </row>
    <row r="49" customFormat="false" ht="15" hidden="false" customHeight="false" outlineLevel="0" collapsed="false">
      <c r="A49" s="0" t="s">
        <v>109</v>
      </c>
      <c r="B49" s="3" t="n">
        <v>2</v>
      </c>
    </row>
    <row r="50" customFormat="false" ht="15" hidden="false" customHeight="false" outlineLevel="0" collapsed="false">
      <c r="A50" s="0" t="s">
        <v>110</v>
      </c>
      <c r="B50" s="3" t="n">
        <v>14</v>
      </c>
    </row>
    <row r="51" customFormat="false" ht="15" hidden="false" customHeight="false" outlineLevel="0" collapsed="false">
      <c r="A51" s="0" t="s">
        <v>111</v>
      </c>
      <c r="B51" s="3" t="n">
        <v>-5</v>
      </c>
    </row>
    <row r="52" customFormat="false" ht="15" hidden="false" customHeight="false" outlineLevel="0" collapsed="false">
      <c r="A52" s="0" t="s">
        <v>112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5</v>
      </c>
      <c r="D5" s="4" t="n">
        <f aca="false">Assumptions!D13</f>
        <v>-10</v>
      </c>
      <c r="E5" s="4" t="n">
        <f aca="false">Assumptions!E13</f>
        <v>-2</v>
      </c>
      <c r="F5" s="4" t="n">
        <f aca="false">Assumptions!F13</f>
        <v>0</v>
      </c>
      <c r="G5" s="4" t="n">
        <f aca="false">Assumptions!G13</f>
        <v>0</v>
      </c>
      <c r="H5" s="4" t="n">
        <f aca="false">Assumptions!H13</f>
        <v>0</v>
      </c>
      <c r="I5" s="4" t="n">
        <f aca="false">Assumptions!I13</f>
        <v>-0.5</v>
      </c>
      <c r="J5" s="4" t="n">
        <f aca="false">Assumptions!J13</f>
        <v>-1</v>
      </c>
      <c r="K5" s="4" t="n">
        <f aca="false">Assumptions!K13</f>
        <v>-1</v>
      </c>
      <c r="L5" s="4" t="n">
        <f aca="false">Assumptions!L13</f>
        <v>-1</v>
      </c>
    </row>
    <row r="6" customFormat="false" ht="15" hidden="false" customHeight="false" outlineLevel="0" collapsed="false">
      <c r="A6" s="0" t="s">
        <v>38</v>
      </c>
      <c r="B6" s="3" t="n">
        <v>133340.6</v>
      </c>
      <c r="C6" s="0" t="n">
        <f aca="false">B6*(1+C5/100)</f>
        <v>140007.63</v>
      </c>
      <c r="D6" s="0" t="n">
        <f aca="false">C6*(1+D5/100)</f>
        <v>126006.867</v>
      </c>
      <c r="E6" s="0" t="n">
        <f aca="false">D6*(1+E5/100)</f>
        <v>123486.72966</v>
      </c>
      <c r="F6" s="0" t="n">
        <f aca="false">E6*(1+F5/100)</f>
        <v>123486.72966</v>
      </c>
      <c r="G6" s="0" t="n">
        <f aca="false">F6*(1+G5/100)</f>
        <v>123486.72966</v>
      </c>
      <c r="H6" s="0" t="n">
        <f aca="false">G6*(1+H5/100)</f>
        <v>123486.72966</v>
      </c>
      <c r="I6" s="0" t="n">
        <f aca="false">H6*(1+I5/100)</f>
        <v>122869.2960117</v>
      </c>
      <c r="J6" s="0" t="n">
        <f aca="false">I6*(1+J5/100)</f>
        <v>121640.603051583</v>
      </c>
      <c r="K6" s="0" t="n">
        <f aca="false">J6*(1+K5/100)</f>
        <v>120424.197021067</v>
      </c>
      <c r="L6" s="0" t="n">
        <f aca="false">K6*(1+L5/100)</f>
        <v>119219.955050857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23.5</v>
      </c>
      <c r="D7" s="4" t="n">
        <f aca="false">Assumptions!D14</f>
        <v>22</v>
      </c>
      <c r="E7" s="4" t="n">
        <f aca="false">Assumptions!E14</f>
        <v>22</v>
      </c>
      <c r="F7" s="4" t="n">
        <f aca="false">Assumptions!F14</f>
        <v>22</v>
      </c>
      <c r="G7" s="4" t="n">
        <f aca="false">Assumptions!G14</f>
        <v>22</v>
      </c>
      <c r="H7" s="4" t="n">
        <f aca="false">Assumptions!H14</f>
        <v>22</v>
      </c>
      <c r="I7" s="4" t="n">
        <f aca="false">Assumptions!I14</f>
        <v>22</v>
      </c>
      <c r="J7" s="4" t="n">
        <f aca="false">Assumptions!J14</f>
        <v>22</v>
      </c>
      <c r="K7" s="4" t="n">
        <f aca="false">Assumptions!K14</f>
        <v>22</v>
      </c>
      <c r="L7" s="4" t="n">
        <f aca="false">Assumptions!L14</f>
        <v>22</v>
      </c>
    </row>
    <row r="8" customFormat="false" ht="15" hidden="false" customHeight="false" outlineLevel="0" collapsed="false">
      <c r="A8" s="0" t="s">
        <v>44</v>
      </c>
      <c r="C8" s="0" t="n">
        <f aca="false">C6*C7/100</f>
        <v>32901.79305</v>
      </c>
      <c r="D8" s="0" t="n">
        <f aca="false">D6*D7/100</f>
        <v>27721.51074</v>
      </c>
      <c r="E8" s="0" t="n">
        <f aca="false">E6*E7/100</f>
        <v>27167.0805252</v>
      </c>
      <c r="F8" s="0" t="n">
        <f aca="false">F6*F7/100</f>
        <v>27167.0805252</v>
      </c>
      <c r="G8" s="0" t="n">
        <f aca="false">G6*G7/100</f>
        <v>27167.0805252</v>
      </c>
      <c r="H8" s="0" t="n">
        <f aca="false">H6*H7/100</f>
        <v>27167.0805252</v>
      </c>
      <c r="I8" s="0" t="n">
        <f aca="false">I6*I7/100</f>
        <v>27031.245122574</v>
      </c>
      <c r="J8" s="0" t="n">
        <f aca="false">J6*J7/100</f>
        <v>26760.9326713483</v>
      </c>
      <c r="K8" s="0" t="n">
        <f aca="false">K6*K7/100</f>
        <v>26493.3233446348</v>
      </c>
      <c r="L8" s="0" t="n">
        <f aca="false">L6*L7/100</f>
        <v>26228.3901111884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32201.7549</v>
      </c>
      <c r="D11" s="0" t="n">
        <f aca="false">D8+D10+D24</f>
        <v>27091.476405</v>
      </c>
      <c r="E11" s="0" t="n">
        <f aca="false">E8+E10+E24</f>
        <v>26549.6468769</v>
      </c>
      <c r="F11" s="0" t="n">
        <f aca="false">F8+F10+F24</f>
        <v>26549.6468769</v>
      </c>
      <c r="G11" s="0" t="n">
        <f aca="false">G8+G10+G24</f>
        <v>26549.6468769</v>
      </c>
      <c r="H11" s="0" t="n">
        <f aca="false">H8+H10+H24</f>
        <v>26549.6468769</v>
      </c>
      <c r="I11" s="0" t="n">
        <f aca="false">I8+I10+I24</f>
        <v>26416.8986425155</v>
      </c>
      <c r="J11" s="0" t="n">
        <f aca="false">J8+J10+J24</f>
        <v>26152.7296560904</v>
      </c>
      <c r="K11" s="0" t="n">
        <f aca="false">K8+K10+K24</f>
        <v>25891.2023595294</v>
      </c>
      <c r="L11" s="0" t="n">
        <f aca="false">L8+L10+L24</f>
        <v>25632.2903359342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-16100.87745</v>
      </c>
      <c r="D12" s="4" t="n">
        <f aca="false">-D6*Assumptions!D17/100</f>
        <v>-14490.789705</v>
      </c>
      <c r="E12" s="4" t="n">
        <f aca="false">-E6*Assumptions!E17/100</f>
        <v>-14200.9739109</v>
      </c>
      <c r="F12" s="4" t="n">
        <f aca="false">-F6*Assumptions!F17/100</f>
        <v>-14200.9739109</v>
      </c>
      <c r="G12" s="4" t="n">
        <f aca="false">-G6*Assumptions!G17/100</f>
        <v>-14200.9739109</v>
      </c>
      <c r="H12" s="4" t="n">
        <f aca="false">-H6*Assumptions!H17/100</f>
        <v>-14200.9739109</v>
      </c>
      <c r="I12" s="4" t="n">
        <f aca="false">-I6*Assumptions!I17/100</f>
        <v>-14129.9690413455</v>
      </c>
      <c r="J12" s="4" t="n">
        <f aca="false">-J6*Assumptions!J17/100</f>
        <v>-13988.669350932</v>
      </c>
      <c r="K12" s="4" t="n">
        <f aca="false">-K6*Assumptions!K17/100</f>
        <v>-13848.7826574227</v>
      </c>
      <c r="L12" s="4" t="n">
        <f aca="false">-L6*Assumptions!L17/100</f>
        <v>-13710.2948308485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16100.87745</v>
      </c>
      <c r="D13" s="0" t="n">
        <f aca="false">D11+D12</f>
        <v>12600.6867</v>
      </c>
      <c r="E13" s="0" t="n">
        <f aca="false">E11+E12</f>
        <v>12348.672966</v>
      </c>
      <c r="F13" s="0" t="n">
        <f aca="false">F11+F12</f>
        <v>12348.672966</v>
      </c>
      <c r="G13" s="0" t="n">
        <f aca="false">G11+G12</f>
        <v>12348.672966</v>
      </c>
      <c r="H13" s="0" t="n">
        <f aca="false">H11+H12</f>
        <v>12348.672966</v>
      </c>
      <c r="I13" s="0" t="n">
        <f aca="false">I11+I12</f>
        <v>12286.92960117</v>
      </c>
      <c r="J13" s="0" t="n">
        <f aca="false">J11+J12</f>
        <v>12164.0603051583</v>
      </c>
      <c r="K13" s="0" t="n">
        <f aca="false">K11+K12</f>
        <v>12042.4197021067</v>
      </c>
      <c r="L13" s="0" t="n">
        <f aca="false">L11+L12</f>
        <v>11921.9955050857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23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12397.6756365</v>
      </c>
      <c r="D15" s="0" t="n">
        <f aca="false">D13-MAX(0,D13)*D14/100</f>
        <v>9702.528759</v>
      </c>
      <c r="E15" s="0" t="n">
        <f aca="false">E13-MAX(0,E13)*E14/100</f>
        <v>9508.47818382</v>
      </c>
      <c r="F15" s="0" t="n">
        <f aca="false">F13-MAX(0,F13)*F14/100</f>
        <v>9508.47818382</v>
      </c>
      <c r="G15" s="0" t="n">
        <f aca="false">G13-MAX(0,G13)*G14/100</f>
        <v>9508.47818382</v>
      </c>
      <c r="H15" s="0" t="n">
        <f aca="false">H13-MAX(0,H13)*H14/100</f>
        <v>9508.47818382</v>
      </c>
      <c r="I15" s="0" t="n">
        <f aca="false">I13-MAX(0,I13)*I14/100</f>
        <v>9460.9357929009</v>
      </c>
      <c r="J15" s="0" t="n">
        <f aca="false">J13-MAX(0,J13)*J14/100</f>
        <v>9366.3264349719</v>
      </c>
      <c r="K15" s="0" t="n">
        <f aca="false">K13-MAX(0,K13)*K14/100</f>
        <v>9272.66317062217</v>
      </c>
      <c r="L15" s="0" t="n">
        <f aca="false">L13-MAX(0,L13)*L14/100</f>
        <v>9179.93653891595</v>
      </c>
    </row>
    <row r="16" customFormat="false" ht="15" hidden="false" customHeight="false" outlineLevel="0" collapsed="false">
      <c r="A16" s="0" t="s">
        <v>123</v>
      </c>
      <c r="C16" s="0" t="n">
        <f aca="false">-C12</f>
        <v>16100.87745</v>
      </c>
      <c r="D16" s="0" t="n">
        <f aca="false">-D12</f>
        <v>14490.789705</v>
      </c>
      <c r="E16" s="0" t="n">
        <f aca="false">-E12</f>
        <v>14200.9739109</v>
      </c>
      <c r="F16" s="0" t="n">
        <f aca="false">-F12</f>
        <v>14200.9739109</v>
      </c>
      <c r="G16" s="0" t="n">
        <f aca="false">-G12</f>
        <v>14200.9739109</v>
      </c>
      <c r="H16" s="0" t="n">
        <f aca="false">-H12</f>
        <v>14200.9739109</v>
      </c>
      <c r="I16" s="0" t="n">
        <f aca="false">-I12</f>
        <v>14129.9690413455</v>
      </c>
      <c r="J16" s="0" t="n">
        <f aca="false">-J12</f>
        <v>13988.669350932</v>
      </c>
      <c r="K16" s="0" t="n">
        <f aca="false">-K12</f>
        <v>13848.7826574227</v>
      </c>
      <c r="L16" s="0" t="n">
        <f aca="false">-L12</f>
        <v>13710.2948308485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-19601.0682</v>
      </c>
      <c r="D17" s="4" t="n">
        <f aca="false">-D6*Assumptions!D18/100</f>
        <v>-15750.858375</v>
      </c>
      <c r="E17" s="4" t="n">
        <f aca="false">-E6*Assumptions!E18/100</f>
        <v>-14818.4075592</v>
      </c>
      <c r="F17" s="4" t="n">
        <f aca="false">-F6*Assumptions!F18/100</f>
        <v>-14200.9739109</v>
      </c>
      <c r="G17" s="4" t="n">
        <f aca="false">-G6*Assumptions!G18/100</f>
        <v>-14200.9739109</v>
      </c>
      <c r="H17" s="4" t="n">
        <f aca="false">-H6*Assumptions!H18/100</f>
        <v>-13583.5402626</v>
      </c>
      <c r="I17" s="4" t="n">
        <f aca="false">-I6*Assumptions!I18/100</f>
        <v>-13515.622561287</v>
      </c>
      <c r="J17" s="4" t="n">
        <f aca="false">-J6*Assumptions!J18/100</f>
        <v>-13380.4663356741</v>
      </c>
      <c r="K17" s="4" t="n">
        <f aca="false">-K6*Assumptions!K18/100</f>
        <v>-13246.6616723174</v>
      </c>
      <c r="L17" s="4" t="n">
        <f aca="false">-L6*Assumptions!L18/100</f>
        <v>-13114.1950555942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-333.3515</v>
      </c>
      <c r="D18" s="4" t="n">
        <f aca="false">(D6-C6)*Assumptions!$B$23/100</f>
        <v>700.03815</v>
      </c>
      <c r="E18" s="4" t="n">
        <f aca="false">(E6-D6)*Assumptions!$B$23/100</f>
        <v>126.006867</v>
      </c>
      <c r="F18" s="4" t="n">
        <f aca="false">(F6-E6)*Assumptions!$B$23/100</f>
        <v>-0</v>
      </c>
      <c r="G18" s="4" t="n">
        <f aca="false">(G6-F6)*Assumptions!$B$23/100</f>
        <v>-0</v>
      </c>
      <c r="H18" s="4" t="n">
        <f aca="false">(H6-G6)*Assumptions!$B$23/100</f>
        <v>-0</v>
      </c>
      <c r="I18" s="4" t="n">
        <f aca="false">(I6-H6)*Assumptions!$B$23/100</f>
        <v>30.8716824149997</v>
      </c>
      <c r="J18" s="4" t="n">
        <f aca="false">(J6-I6)*Assumptions!$B$23/100</f>
        <v>61.4346480058499</v>
      </c>
      <c r="K18" s="4" t="n">
        <f aca="false">(K6-J6)*Assumptions!$B$23/100</f>
        <v>60.8203015257917</v>
      </c>
      <c r="L18" s="4" t="n">
        <f aca="false">(L6-K6)*Assumptions!$B$23/100</f>
        <v>60.2120985105335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8564.1333865</v>
      </c>
      <c r="D19" s="0" t="n">
        <f aca="false">D15+D16+D17+D18</f>
        <v>9142.498239</v>
      </c>
      <c r="E19" s="0" t="n">
        <f aca="false">E15+E16+E17+E18</f>
        <v>9017.05140252</v>
      </c>
      <c r="F19" s="0" t="n">
        <f aca="false">F15+F16+F17+F18</f>
        <v>9508.47818382</v>
      </c>
      <c r="G19" s="0" t="n">
        <f aca="false">G15+G16+G17+G18</f>
        <v>9508.47818382</v>
      </c>
      <c r="H19" s="0" t="n">
        <f aca="false">H15+H16+H17+H18</f>
        <v>10125.91183212</v>
      </c>
      <c r="I19" s="0" t="n">
        <f aca="false">I15+I16+I17+I18</f>
        <v>10106.1539553744</v>
      </c>
      <c r="J19" s="0" t="n">
        <f aca="false">J15+J16+J17+J18</f>
        <v>10035.9640982357</v>
      </c>
      <c r="K19" s="0" t="n">
        <f aca="false">K15+K16+K17+K18</f>
        <v>9935.6044572533</v>
      </c>
      <c r="L19" s="0" t="n">
        <f aca="false">L15+L16+L17+L18</f>
        <v>9836.24841268077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7929.75313564815</v>
      </c>
      <c r="D21" s="0" t="n">
        <f aca="false">D19*D20</f>
        <v>7838.21865483539</v>
      </c>
      <c r="E21" s="0" t="n">
        <f aca="false">E19*E20</f>
        <v>7158.02612225651</v>
      </c>
      <c r="F21" s="0" t="n">
        <f aca="false">F19*F20</f>
        <v>6989.0153197715</v>
      </c>
      <c r="G21" s="0" t="n">
        <f aca="false">G19*G20</f>
        <v>6471.31048126991</v>
      </c>
      <c r="H21" s="0" t="n">
        <f aca="false">H19*H20</f>
        <v>6381.04208109827</v>
      </c>
      <c r="I21" s="0" t="n">
        <f aca="false">I19*I20</f>
        <v>5896.84376600139</v>
      </c>
      <c r="J21" s="0" t="n">
        <f aca="false">J19*J20</f>
        <v>5422.11912825566</v>
      </c>
      <c r="K21" s="0" t="n">
        <f aca="false">K19*K20</f>
        <v>4970.27586756768</v>
      </c>
      <c r="L21" s="0" t="n">
        <f aca="false">L19*L20</f>
        <v>4556.08621193704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0.5</v>
      </c>
      <c r="D23" s="4" t="n">
        <f aca="false">Assumptions!D16</f>
        <v>0.5</v>
      </c>
      <c r="E23" s="4" t="n">
        <f aca="false">Assumptions!E16</f>
        <v>0.5</v>
      </c>
      <c r="F23" s="4" t="n">
        <f aca="false">Assumptions!F16</f>
        <v>0.5</v>
      </c>
      <c r="G23" s="4" t="n">
        <f aca="false">Assumptions!G16</f>
        <v>0.5</v>
      </c>
      <c r="H23" s="4" t="n">
        <f aca="false">Assumptions!H16</f>
        <v>0.5</v>
      </c>
      <c r="I23" s="4" t="n">
        <f aca="false">Assumptions!I16</f>
        <v>0.5</v>
      </c>
      <c r="J23" s="4" t="n">
        <f aca="false">Assumptions!J16</f>
        <v>0.5</v>
      </c>
      <c r="K23" s="4" t="n">
        <f aca="false">Assumptions!K16</f>
        <v>0.5</v>
      </c>
      <c r="L23" s="4" t="n">
        <f aca="false">Assumptions!L16</f>
        <v>0.5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-700.03815</v>
      </c>
      <c r="D24" s="0" t="n">
        <f aca="false">-D6*D23/100</f>
        <v>-630.034335</v>
      </c>
      <c r="E24" s="0" t="n">
        <f aca="false">-E6*E23/100</f>
        <v>-617.4336483</v>
      </c>
      <c r="F24" s="0" t="n">
        <f aca="false">-F6*F23/100</f>
        <v>-617.4336483</v>
      </c>
      <c r="G24" s="0" t="n">
        <f aca="false">-G6*G23/100</f>
        <v>-617.4336483</v>
      </c>
      <c r="H24" s="0" t="n">
        <f aca="false">-H6*H23/100</f>
        <v>-617.4336483</v>
      </c>
      <c r="I24" s="0" t="n">
        <f aca="false">-I6*I23/100</f>
        <v>-614.3464800585</v>
      </c>
      <c r="J24" s="0" t="n">
        <f aca="false">-J6*J23/100</f>
        <v>-608.203015257915</v>
      </c>
      <c r="K24" s="0" t="n">
        <f aca="false">-K6*K23/100</f>
        <v>-602.120985105336</v>
      </c>
      <c r="L24" s="0" t="n">
        <f aca="false">-L6*L23/100</f>
        <v>-596.099775254283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63612.6907686415</v>
      </c>
    </row>
    <row r="31" customFormat="false" ht="15" hidden="false" customHeight="false" outlineLevel="0" collapsed="false">
      <c r="A31" s="0" t="s">
        <v>132</v>
      </c>
      <c r="B31" s="0" t="n">
        <f aca="false">L19</f>
        <v>9836.24841268077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122953.10515851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98362.4841268077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98362.4841268077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45560.8621193704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109173.552888012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-47004.8471119881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-5.49248755415937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-1.4830683864696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-5.49248755415937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65574.9894178718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-10.8439670307016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8</v>
      </c>
      <c r="D5" s="4" t="n">
        <f aca="false">Assumptions!D27</f>
        <v>2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</v>
      </c>
      <c r="K5" s="4" t="n">
        <f aca="false">Assumptions!K27</f>
        <v>1.5</v>
      </c>
      <c r="L5" s="4" t="n">
        <f aca="false">Assumptions!L27</f>
        <v>1</v>
      </c>
    </row>
    <row r="6" customFormat="false" ht="15" hidden="false" customHeight="false" outlineLevel="0" collapsed="false">
      <c r="A6" s="0" t="s">
        <v>38</v>
      </c>
      <c r="B6" s="3" t="n">
        <v>133340.6</v>
      </c>
      <c r="C6" s="0" t="n">
        <f aca="false">B6*(1+C5/100)</f>
        <v>144007.848</v>
      </c>
      <c r="D6" s="0" t="n">
        <f aca="false">C6*(1+D5/100)</f>
        <v>146888.00496</v>
      </c>
      <c r="E6" s="0" t="n">
        <f aca="false">D6*(1+E5/100)</f>
        <v>152029.0851336</v>
      </c>
      <c r="F6" s="0" t="n">
        <f aca="false">E6*(1+F5/100)</f>
        <v>157350.103113276</v>
      </c>
      <c r="G6" s="0" t="n">
        <f aca="false">F6*(1+G5/100)</f>
        <v>162857.356722241</v>
      </c>
      <c r="H6" s="0" t="n">
        <f aca="false">G6*(1+H5/100)</f>
        <v>167743.077423908</v>
      </c>
      <c r="I6" s="0" t="n">
        <f aca="false">H6*(1+I5/100)</f>
        <v>171936.654359506</v>
      </c>
      <c r="J6" s="0" t="n">
        <f aca="false">I6*(1+J5/100)</f>
        <v>175375.387446696</v>
      </c>
      <c r="K6" s="0" t="n">
        <f aca="false">J6*(1+K5/100)</f>
        <v>178006.018258396</v>
      </c>
      <c r="L6" s="0" t="n">
        <f aca="false">K6*(1+L5/100)</f>
        <v>179786.07844098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24.5</v>
      </c>
      <c r="D7" s="4" t="n">
        <f aca="false">Assumptions!D28</f>
        <v>27</v>
      </c>
      <c r="E7" s="4" t="n">
        <f aca="false">Assumptions!E28</f>
        <v>27</v>
      </c>
      <c r="F7" s="4" t="n">
        <f aca="false">Assumptions!F28</f>
        <v>27</v>
      </c>
      <c r="G7" s="4" t="n">
        <f aca="false">Assumptions!G28</f>
        <v>27</v>
      </c>
      <c r="H7" s="4" t="n">
        <f aca="false">Assumptions!H28</f>
        <v>27</v>
      </c>
      <c r="I7" s="4" t="n">
        <f aca="false">Assumptions!I28</f>
        <v>27</v>
      </c>
      <c r="J7" s="4" t="n">
        <f aca="false">Assumptions!J28</f>
        <v>27</v>
      </c>
      <c r="K7" s="4" t="n">
        <f aca="false">Assumptions!K28</f>
        <v>27</v>
      </c>
      <c r="L7" s="4" t="n">
        <f aca="false">Assumptions!L28</f>
        <v>27</v>
      </c>
    </row>
    <row r="8" customFormat="false" ht="15" hidden="false" customHeight="false" outlineLevel="0" collapsed="false">
      <c r="A8" s="0" t="s">
        <v>44</v>
      </c>
      <c r="C8" s="0" t="n">
        <f aca="false">C6*C7/100</f>
        <v>35281.92276</v>
      </c>
      <c r="D8" s="0" t="n">
        <f aca="false">D6*D7/100</f>
        <v>39659.7613392</v>
      </c>
      <c r="E8" s="0" t="n">
        <f aca="false">E6*E7/100</f>
        <v>41047.852986072</v>
      </c>
      <c r="F8" s="0" t="n">
        <f aca="false">F6*F7/100</f>
        <v>42484.5278405845</v>
      </c>
      <c r="G8" s="0" t="n">
        <f aca="false">G6*G7/100</f>
        <v>43971.486315005</v>
      </c>
      <c r="H8" s="0" t="n">
        <f aca="false">H6*H7/100</f>
        <v>45290.6309044551</v>
      </c>
      <c r="I8" s="0" t="n">
        <f aca="false">I6*I7/100</f>
        <v>46422.8966770665</v>
      </c>
      <c r="J8" s="0" t="n">
        <f aca="false">J6*J7/100</f>
        <v>47351.3546106078</v>
      </c>
      <c r="K8" s="0" t="n">
        <f aca="false">K6*K7/100</f>
        <v>48061.6249297669</v>
      </c>
      <c r="L8" s="0" t="n">
        <f aca="false">L6*L7/100</f>
        <v>48542.2411790646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34561.88352</v>
      </c>
      <c r="D11" s="0" t="n">
        <f aca="false">D8+D10+D24</f>
        <v>38925.3213144</v>
      </c>
      <c r="E11" s="0" t="n">
        <f aca="false">E8+E10+E24</f>
        <v>40287.707560404</v>
      </c>
      <c r="F11" s="0" t="n">
        <f aca="false">F8+F10+F24</f>
        <v>41697.7773250181</v>
      </c>
      <c r="G11" s="0" t="n">
        <f aca="false">G8+G10+G24</f>
        <v>43157.1995313938</v>
      </c>
      <c r="H11" s="0" t="n">
        <f aca="false">H8+H10+H24</f>
        <v>44451.9155173356</v>
      </c>
      <c r="I11" s="0" t="n">
        <f aca="false">I8+I10+I24</f>
        <v>45563.213405269</v>
      </c>
      <c r="J11" s="0" t="n">
        <f aca="false">J8+J10+J24</f>
        <v>46474.4776733744</v>
      </c>
      <c r="K11" s="0" t="n">
        <f aca="false">K8+K10+K24</f>
        <v>47171.594838475</v>
      </c>
      <c r="L11" s="0" t="n">
        <f aca="false">L8+L10+L24</f>
        <v>47643.3107868597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-16560.90252</v>
      </c>
      <c r="D12" s="4" t="n">
        <f aca="false">-D6*Assumptions!D31/100</f>
        <v>-16892.1205704</v>
      </c>
      <c r="E12" s="4" t="n">
        <f aca="false">-E6*Assumptions!E31/100</f>
        <v>-17483.344790364</v>
      </c>
      <c r="F12" s="4" t="n">
        <f aca="false">-F6*Assumptions!F31/100</f>
        <v>-18095.2618580267</v>
      </c>
      <c r="G12" s="4" t="n">
        <f aca="false">-G6*Assumptions!G31/100</f>
        <v>-18728.5960230577</v>
      </c>
      <c r="H12" s="4" t="n">
        <f aca="false">-H6*Assumptions!H31/100</f>
        <v>-19290.4539037494</v>
      </c>
      <c r="I12" s="4" t="n">
        <f aca="false">-I6*Assumptions!I31/100</f>
        <v>-19772.7152513431</v>
      </c>
      <c r="J12" s="4" t="n">
        <f aca="false">-J6*Assumptions!J31/100</f>
        <v>-20168.16955637</v>
      </c>
      <c r="K12" s="4" t="n">
        <f aca="false">-K6*Assumptions!K31/100</f>
        <v>-20470.6920997156</v>
      </c>
      <c r="L12" s="4" t="n">
        <f aca="false">-L6*Assumptions!L31/100</f>
        <v>-20675.3990207127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18000.981</v>
      </c>
      <c r="D13" s="0" t="n">
        <f aca="false">D11+D12</f>
        <v>22033.200744</v>
      </c>
      <c r="E13" s="0" t="n">
        <f aca="false">E11+E12</f>
        <v>22804.36277004</v>
      </c>
      <c r="F13" s="0" t="n">
        <f aca="false">F11+F12</f>
        <v>23602.5154669914</v>
      </c>
      <c r="G13" s="0" t="n">
        <f aca="false">G11+G12</f>
        <v>24428.6035083361</v>
      </c>
      <c r="H13" s="0" t="n">
        <f aca="false">H11+H12</f>
        <v>25161.4616135862</v>
      </c>
      <c r="I13" s="0" t="n">
        <f aca="false">I11+I12</f>
        <v>25790.4981539258</v>
      </c>
      <c r="J13" s="0" t="n">
        <f aca="false">J11+J12</f>
        <v>26306.3081170043</v>
      </c>
      <c r="K13" s="0" t="n">
        <f aca="false">K11+K12</f>
        <v>26700.9027387594</v>
      </c>
      <c r="L13" s="0" t="n">
        <f aca="false">L11+L12</f>
        <v>26967.911766147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13860.75537</v>
      </c>
      <c r="D15" s="0" t="n">
        <f aca="false">D13-MAX(0,D13)*D14/100</f>
        <v>16965.56457288</v>
      </c>
      <c r="E15" s="0" t="n">
        <f aca="false">E13-MAX(0,E13)*E14/100</f>
        <v>17559.3593329308</v>
      </c>
      <c r="F15" s="0" t="n">
        <f aca="false">F13-MAX(0,F13)*F14/100</f>
        <v>18173.9369095834</v>
      </c>
      <c r="G15" s="0" t="n">
        <f aca="false">G13-MAX(0,G13)*G14/100</f>
        <v>18810.0247014188</v>
      </c>
      <c r="H15" s="0" t="n">
        <f aca="false">H13-MAX(0,H13)*H14/100</f>
        <v>19374.3254424614</v>
      </c>
      <c r="I15" s="0" t="n">
        <f aca="false">I13-MAX(0,I13)*I14/100</f>
        <v>19858.6835785229</v>
      </c>
      <c r="J15" s="0" t="n">
        <f aca="false">J13-MAX(0,J13)*J14/100</f>
        <v>20255.8572500933</v>
      </c>
      <c r="K15" s="0" t="n">
        <f aca="false">K13-MAX(0,K13)*K14/100</f>
        <v>20559.6951088448</v>
      </c>
      <c r="L15" s="0" t="n">
        <f aca="false">L13-MAX(0,L13)*L14/100</f>
        <v>20765.2920599332</v>
      </c>
    </row>
    <row r="16" customFormat="false" ht="15" hidden="false" customHeight="false" outlineLevel="0" collapsed="false">
      <c r="A16" s="0" t="s">
        <v>123</v>
      </c>
      <c r="C16" s="0" t="n">
        <f aca="false">-C12</f>
        <v>16560.90252</v>
      </c>
      <c r="D16" s="0" t="n">
        <f aca="false">-D12</f>
        <v>16892.1205704</v>
      </c>
      <c r="E16" s="0" t="n">
        <f aca="false">-E12</f>
        <v>17483.344790364</v>
      </c>
      <c r="F16" s="0" t="n">
        <f aca="false">-F12</f>
        <v>18095.2618580267</v>
      </c>
      <c r="G16" s="0" t="n">
        <f aca="false">-G12</f>
        <v>18728.5960230577</v>
      </c>
      <c r="H16" s="0" t="n">
        <f aca="false">-H12</f>
        <v>19290.4539037494</v>
      </c>
      <c r="I16" s="0" t="n">
        <f aca="false">-I12</f>
        <v>19772.7152513431</v>
      </c>
      <c r="J16" s="0" t="n">
        <f aca="false">-J12</f>
        <v>20168.16955637</v>
      </c>
      <c r="K16" s="0" t="n">
        <f aca="false">-K12</f>
        <v>20470.6920997156</v>
      </c>
      <c r="L16" s="0" t="n">
        <f aca="false">-L12</f>
        <v>20675.3990207127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-20161.09872</v>
      </c>
      <c r="D17" s="4" t="n">
        <f aca="false">-D6*Assumptions!D32/100</f>
        <v>-19829.8806696</v>
      </c>
      <c r="E17" s="4" t="n">
        <f aca="false">-E6*Assumptions!E32/100</f>
        <v>-20523.926493036</v>
      </c>
      <c r="F17" s="4" t="n">
        <f aca="false">-F6*Assumptions!F32/100</f>
        <v>-20455.5134047259</v>
      </c>
      <c r="G17" s="4" t="n">
        <f aca="false">-G6*Assumptions!G32/100</f>
        <v>-21171.4563738913</v>
      </c>
      <c r="H17" s="4" t="n">
        <f aca="false">-H6*Assumptions!H32/100</f>
        <v>-20967.8846779885</v>
      </c>
      <c r="I17" s="4" t="n">
        <f aca="false">-I6*Assumptions!I32/100</f>
        <v>-20632.3985231407</v>
      </c>
      <c r="J17" s="4" t="n">
        <f aca="false">-J6*Assumptions!J32/100</f>
        <v>-21045.0464936035</v>
      </c>
      <c r="K17" s="4" t="n">
        <f aca="false">-K6*Assumptions!K32/100</f>
        <v>-21360.7221910075</v>
      </c>
      <c r="L17" s="4" t="n">
        <f aca="false">-L6*Assumptions!L32/100</f>
        <v>-21574.3294129176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-533.362400000001</v>
      </c>
      <c r="D18" s="4" t="n">
        <f aca="false">(D6-C6)*Assumptions!$B$37/100</f>
        <v>-144.007848</v>
      </c>
      <c r="E18" s="4" t="n">
        <f aca="false">(E6-D6)*Assumptions!$B$37/100</f>
        <v>-257.05400868</v>
      </c>
      <c r="F18" s="4" t="n">
        <f aca="false">(F6-E6)*Assumptions!$B$37/100</f>
        <v>-266.0508989838</v>
      </c>
      <c r="G18" s="4" t="n">
        <f aca="false">(G6-F6)*Assumptions!$B$37/100</f>
        <v>-275.362680448232</v>
      </c>
      <c r="H18" s="4" t="n">
        <f aca="false">(H6-G6)*Assumptions!$B$37/100</f>
        <v>-244.286035083361</v>
      </c>
      <c r="I18" s="4" t="n">
        <f aca="false">(I6-H6)*Assumptions!$B$37/100</f>
        <v>-209.678846779885</v>
      </c>
      <c r="J18" s="4" t="n">
        <f aca="false">(J6-I6)*Assumptions!$B$37/100</f>
        <v>-171.936654359505</v>
      </c>
      <c r="K18" s="4" t="n">
        <f aca="false">(K6-J6)*Assumptions!$B$37/100</f>
        <v>-131.531540585021</v>
      </c>
      <c r="L18" s="4" t="n">
        <f aca="false">(L6-K6)*Assumptions!$B$37/100</f>
        <v>-89.0030091291978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9727.19677</v>
      </c>
      <c r="D19" s="0" t="n">
        <f aca="false">D15+D16+D17+D18</f>
        <v>13883.79662568</v>
      </c>
      <c r="E19" s="0" t="n">
        <f aca="false">E15+E16+E17+E18</f>
        <v>14261.7236215788</v>
      </c>
      <c r="F19" s="0" t="n">
        <f aca="false">F15+F16+F17+F18</f>
        <v>15547.6344639004</v>
      </c>
      <c r="G19" s="0" t="n">
        <f aca="false">G15+G16+G17+G18</f>
        <v>16091.801670137</v>
      </c>
      <c r="H19" s="0" t="n">
        <f aca="false">H15+H16+H17+H18</f>
        <v>17452.6086331389</v>
      </c>
      <c r="I19" s="0" t="n">
        <f aca="false">I15+I16+I17+I18</f>
        <v>18789.3214599455</v>
      </c>
      <c r="J19" s="0" t="n">
        <f aca="false">J15+J16+J17+J18</f>
        <v>19207.0436585004</v>
      </c>
      <c r="K19" s="0" t="n">
        <f aca="false">K15+K16+K17+K18</f>
        <v>19538.1334769678</v>
      </c>
      <c r="L19" s="0" t="n">
        <f aca="false">L15+L16+L17+L18</f>
        <v>19777.3586585991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9006.66367592593</v>
      </c>
      <c r="D21" s="0" t="n">
        <f aca="false">D19*D20</f>
        <v>11903.1178203704</v>
      </c>
      <c r="E21" s="0" t="n">
        <f aca="false">E19*E20</f>
        <v>11321.4160233282</v>
      </c>
      <c r="F21" s="0" t="n">
        <f aca="false">F19*F20</f>
        <v>11427.9754713338</v>
      </c>
      <c r="G21" s="0" t="n">
        <f aca="false">G19*G20</f>
        <v>10951.8098266949</v>
      </c>
      <c r="H21" s="0" t="n">
        <f aca="false">H19*H20</f>
        <v>10998.103870482</v>
      </c>
      <c r="I21" s="0" t="n">
        <f aca="false">I19*I20</f>
        <v>10963.3886053709</v>
      </c>
      <c r="J21" s="0" t="n">
        <f aca="false">J19*J20</f>
        <v>10376.9680519587</v>
      </c>
      <c r="K21" s="0" t="n">
        <f aca="false">K19*K20</f>
        <v>9773.9310915297</v>
      </c>
      <c r="L21" s="0" t="n">
        <f aca="false">L19*L20</f>
        <v>9160.74374217835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0.5</v>
      </c>
      <c r="D23" s="4" t="n">
        <f aca="false">Assumptions!D30</f>
        <v>0.5</v>
      </c>
      <c r="E23" s="4" t="n">
        <f aca="false">Assumptions!E30</f>
        <v>0.5</v>
      </c>
      <c r="F23" s="4" t="n">
        <f aca="false">Assumptions!F30</f>
        <v>0.5</v>
      </c>
      <c r="G23" s="4" t="n">
        <f aca="false">Assumptions!G30</f>
        <v>0.5</v>
      </c>
      <c r="H23" s="4" t="n">
        <f aca="false">Assumptions!H30</f>
        <v>0.5</v>
      </c>
      <c r="I23" s="4" t="n">
        <f aca="false">Assumptions!I30</f>
        <v>0.5</v>
      </c>
      <c r="J23" s="4" t="n">
        <f aca="false">Assumptions!J30</f>
        <v>0.5</v>
      </c>
      <c r="K23" s="4" t="n">
        <f aca="false">Assumptions!K30</f>
        <v>0.5</v>
      </c>
      <c r="L23" s="4" t="n">
        <f aca="false">Assumptions!L30</f>
        <v>0.5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-720.03924</v>
      </c>
      <c r="D24" s="0" t="n">
        <f aca="false">-D6*D23/100</f>
        <v>-734.4400248</v>
      </c>
      <c r="E24" s="0" t="n">
        <f aca="false">-E6*E23/100</f>
        <v>-760.145425668</v>
      </c>
      <c r="F24" s="0" t="n">
        <f aca="false">-F6*F23/100</f>
        <v>-786.75051556638</v>
      </c>
      <c r="G24" s="0" t="n">
        <f aca="false">-G6*G23/100</f>
        <v>-814.286783611203</v>
      </c>
      <c r="H24" s="0" t="n">
        <f aca="false">-H6*H23/100</f>
        <v>-838.715387119539</v>
      </c>
      <c r="I24" s="0" t="n">
        <f aca="false">-I6*I23/100</f>
        <v>-859.683271797528</v>
      </c>
      <c r="J24" s="0" t="n">
        <f aca="false">-J6*J23/100</f>
        <v>-876.876937233478</v>
      </c>
      <c r="K24" s="0" t="n">
        <f aca="false">-K6*K23/100</f>
        <v>-890.030091291981</v>
      </c>
      <c r="L24" s="0" t="n">
        <f aca="false">-L6*L23/100</f>
        <v>-898.9303922049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105884.118179173</v>
      </c>
    </row>
    <row r="31" customFormat="false" ht="15" hidden="false" customHeight="false" outlineLevel="0" collapsed="false">
      <c r="A31" s="0" t="s">
        <v>132</v>
      </c>
      <c r="B31" s="0" t="n">
        <f aca="false">L19</f>
        <v>19777.3586585991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285359.032074073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237328.303903189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237328.303903189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109928.92490614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215813.043085313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59634.643085313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6.96827146703519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-0.387135315124433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6.96827146703519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142679.516037036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-5.18298936706955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10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38</v>
      </c>
      <c r="B6" s="3" t="n">
        <v>133340.6</v>
      </c>
      <c r="C6" s="0" t="n">
        <f aca="false">B6*(1+C5/100)</f>
        <v>146674.66</v>
      </c>
      <c r="D6" s="0" t="n">
        <f aca="false">C6*(1+D5/100)</f>
        <v>154008.393</v>
      </c>
      <c r="E6" s="0" t="n">
        <f aca="false">D6*(1+E5/100)</f>
        <v>161708.81265</v>
      </c>
      <c r="F6" s="0" t="n">
        <f aca="false">E6*(1+F5/100)</f>
        <v>168985.70921925</v>
      </c>
      <c r="G6" s="0" t="n">
        <f aca="false">F6*(1+G5/100)</f>
        <v>175745.13758802</v>
      </c>
      <c r="H6" s="0" t="n">
        <f aca="false">G6*(1+H5/100)</f>
        <v>181896.217403601</v>
      </c>
      <c r="I6" s="0" t="n">
        <f aca="false">H6*(1+I5/100)</f>
        <v>187353.103925709</v>
      </c>
      <c r="J6" s="0" t="n">
        <f aca="false">I6*(1+J5/100)</f>
        <v>192973.69704348</v>
      </c>
      <c r="K6" s="0" t="n">
        <f aca="false">J6*(1+K5/100)</f>
        <v>197798.039469567</v>
      </c>
      <c r="L6" s="0" t="n">
        <f aca="false">K6*(1+L5/100)</f>
        <v>201754.000258958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25.5</v>
      </c>
      <c r="D7" s="4" t="n">
        <f aca="false">Assumptions!D42</f>
        <v>31.5</v>
      </c>
      <c r="E7" s="4" t="n">
        <f aca="false">Assumptions!E42</f>
        <v>31.5</v>
      </c>
      <c r="F7" s="4" t="n">
        <f aca="false">Assumptions!F42</f>
        <v>31.5</v>
      </c>
      <c r="G7" s="4" t="n">
        <f aca="false">Assumptions!G42</f>
        <v>31.5</v>
      </c>
      <c r="H7" s="4" t="n">
        <f aca="false">Assumptions!H42</f>
        <v>31.5</v>
      </c>
      <c r="I7" s="4" t="n">
        <f aca="false">Assumptions!I42</f>
        <v>31.5</v>
      </c>
      <c r="J7" s="4" t="n">
        <f aca="false">Assumptions!J42</f>
        <v>31.5</v>
      </c>
      <c r="K7" s="4" t="n">
        <f aca="false">Assumptions!K42</f>
        <v>31.5</v>
      </c>
      <c r="L7" s="4" t="n">
        <f aca="false">Assumptions!L42</f>
        <v>31.5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37402.0383</v>
      </c>
      <c r="D8" s="0" t="n">
        <f aca="false">D6*D7/100</f>
        <v>48512.643795</v>
      </c>
      <c r="E8" s="0" t="n">
        <f aca="false">E6*E7/100</f>
        <v>50938.27598475</v>
      </c>
      <c r="F8" s="0" t="n">
        <f aca="false">F6*F7/100</f>
        <v>53230.4984040638</v>
      </c>
      <c r="G8" s="0" t="n">
        <f aca="false">G6*G7/100</f>
        <v>55359.7183402263</v>
      </c>
      <c r="H8" s="0" t="n">
        <f aca="false">H6*H7/100</f>
        <v>57297.3084821342</v>
      </c>
      <c r="I8" s="0" t="n">
        <f aca="false">I6*I7/100</f>
        <v>59016.2277365982</v>
      </c>
      <c r="J8" s="0" t="n">
        <f aca="false">J6*J7/100</f>
        <v>60786.7145686962</v>
      </c>
      <c r="K8" s="0" t="n">
        <f aca="false">K6*K7/100</f>
        <v>62306.3824329136</v>
      </c>
      <c r="L8" s="0" t="n">
        <f aca="false">L6*L7/100</f>
        <v>63552.5100815719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36668.665</v>
      </c>
      <c r="D11" s="0" t="n">
        <f aca="false">D8+D10+D24</f>
        <v>47742.60183</v>
      </c>
      <c r="E11" s="0" t="n">
        <f aca="false">E8+E10+E24</f>
        <v>50129.7319215</v>
      </c>
      <c r="F11" s="0" t="n">
        <f aca="false">F8+F10+F24</f>
        <v>52385.5698579675</v>
      </c>
      <c r="G11" s="0" t="n">
        <f aca="false">G8+G10+G24</f>
        <v>54480.9926522862</v>
      </c>
      <c r="H11" s="0" t="n">
        <f aca="false">H8+H10+H24</f>
        <v>56387.8273951162</v>
      </c>
      <c r="I11" s="0" t="n">
        <f aca="false">I8+I10+I24</f>
        <v>58079.4622169697</v>
      </c>
      <c r="J11" s="0" t="n">
        <f aca="false">J8+J10+J24</f>
        <v>59821.8460834788</v>
      </c>
      <c r="K11" s="0" t="n">
        <f aca="false">K8+K10+K24</f>
        <v>61317.3922355658</v>
      </c>
      <c r="L11" s="0" t="n">
        <f aca="false">L8+L10+L24</f>
        <v>62543.7400802771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-16867.5859</v>
      </c>
      <c r="D12" s="4" t="n">
        <f aca="false">-D6*Assumptions!D45/100</f>
        <v>-17710.965195</v>
      </c>
      <c r="E12" s="4" t="n">
        <f aca="false">-E6*Assumptions!E45/100</f>
        <v>-18596.51345475</v>
      </c>
      <c r="F12" s="4" t="n">
        <f aca="false">-F6*Assumptions!F45/100</f>
        <v>-19433.3565602138</v>
      </c>
      <c r="G12" s="4" t="n">
        <f aca="false">-G6*Assumptions!G45/100</f>
        <v>-20210.6908226223</v>
      </c>
      <c r="H12" s="4" t="n">
        <f aca="false">-H6*Assumptions!H45/100</f>
        <v>-20918.0650014141</v>
      </c>
      <c r="I12" s="4" t="n">
        <f aca="false">-I6*Assumptions!I45/100</f>
        <v>-21545.6069514565</v>
      </c>
      <c r="J12" s="4" t="n">
        <f aca="false">-J6*Assumptions!J45/100</f>
        <v>-22191.9751600002</v>
      </c>
      <c r="K12" s="4" t="n">
        <f aca="false">-K6*Assumptions!K45/100</f>
        <v>-22746.7745390002</v>
      </c>
      <c r="L12" s="4" t="n">
        <f aca="false">-L6*Assumptions!L45/100</f>
        <v>-23201.7100297802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19801.0791</v>
      </c>
      <c r="D13" s="0" t="n">
        <f aca="false">D11+D12</f>
        <v>30031.636635</v>
      </c>
      <c r="E13" s="0" t="n">
        <f aca="false">E11+E12</f>
        <v>31533.21846675</v>
      </c>
      <c r="F13" s="0" t="n">
        <f aca="false">F11+F12</f>
        <v>32952.2132977538</v>
      </c>
      <c r="G13" s="0" t="n">
        <f aca="false">G11+G12</f>
        <v>34270.3018296639</v>
      </c>
      <c r="H13" s="0" t="n">
        <f aca="false">H11+H12</f>
        <v>35469.7623937021</v>
      </c>
      <c r="I13" s="0" t="n">
        <f aca="false">I11+I12</f>
        <v>36533.8552655132</v>
      </c>
      <c r="J13" s="0" t="n">
        <f aca="false">J11+J12</f>
        <v>37629.8709234786</v>
      </c>
      <c r="K13" s="0" t="n">
        <f aca="false">K11+K12</f>
        <v>38570.6176965656</v>
      </c>
      <c r="L13" s="0" t="n">
        <f aca="false">L11+L12</f>
        <v>39342.0300504969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15246.830907</v>
      </c>
      <c r="D15" s="0" t="n">
        <f aca="false">D13-MAX(0,D13)*D14/100</f>
        <v>23124.36020895</v>
      </c>
      <c r="E15" s="0" t="n">
        <f aca="false">E13-MAX(0,E13)*E14/100</f>
        <v>24280.5782193975</v>
      </c>
      <c r="F15" s="0" t="n">
        <f aca="false">F13-MAX(0,F13)*F14/100</f>
        <v>25373.2042392704</v>
      </c>
      <c r="G15" s="0" t="n">
        <f aca="false">G13-MAX(0,G13)*G14/100</f>
        <v>26388.1324088412</v>
      </c>
      <c r="H15" s="0" t="n">
        <f aca="false">H13-MAX(0,H13)*H14/100</f>
        <v>27311.7170431507</v>
      </c>
      <c r="I15" s="0" t="n">
        <f aca="false">I13-MAX(0,I13)*I14/100</f>
        <v>28131.0685544452</v>
      </c>
      <c r="J15" s="0" t="n">
        <f aca="false">J13-MAX(0,J13)*J14/100</f>
        <v>28975.0006110785</v>
      </c>
      <c r="K15" s="0" t="n">
        <f aca="false">K13-MAX(0,K13)*K14/100</f>
        <v>29699.3756263555</v>
      </c>
      <c r="L15" s="0" t="n">
        <f aca="false">L13-MAX(0,L13)*L14/100</f>
        <v>30293.3631388826</v>
      </c>
    </row>
    <row r="16" customFormat="false" ht="15" hidden="false" customHeight="false" outlineLevel="0" collapsed="false">
      <c r="A16" s="0" t="s">
        <v>123</v>
      </c>
      <c r="C16" s="0" t="n">
        <f aca="false">-C12</f>
        <v>16867.5859</v>
      </c>
      <c r="D16" s="0" t="n">
        <f aca="false">-D12</f>
        <v>17710.965195</v>
      </c>
      <c r="E16" s="0" t="n">
        <f aca="false">-E12</f>
        <v>18596.51345475</v>
      </c>
      <c r="F16" s="0" t="n">
        <f aca="false">-F12</f>
        <v>19433.3565602138</v>
      </c>
      <c r="G16" s="0" t="n">
        <f aca="false">-G12</f>
        <v>20210.6908226223</v>
      </c>
      <c r="H16" s="0" t="n">
        <f aca="false">-H12</f>
        <v>20918.0650014141</v>
      </c>
      <c r="I16" s="0" t="n">
        <f aca="false">-I12</f>
        <v>21545.6069514565</v>
      </c>
      <c r="J16" s="0" t="n">
        <f aca="false">-J12</f>
        <v>22191.9751600002</v>
      </c>
      <c r="K16" s="0" t="n">
        <f aca="false">-K12</f>
        <v>22746.7745390002</v>
      </c>
      <c r="L16" s="0" t="n">
        <f aca="false">-L12</f>
        <v>23201.7100297802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-20534.4524</v>
      </c>
      <c r="D17" s="4" t="n">
        <f aca="false">-D6*Assumptions!D46/100</f>
        <v>-20791.133055</v>
      </c>
      <c r="E17" s="4" t="n">
        <f aca="false">-E6*Assumptions!E46/100</f>
        <v>-21022.1456445</v>
      </c>
      <c r="F17" s="4" t="n">
        <f aca="false">-F6*Assumptions!F46/100</f>
        <v>-21123.2136524063</v>
      </c>
      <c r="G17" s="4" t="n">
        <f aca="false">-G6*Assumptions!G46/100</f>
        <v>-21089.4165105624</v>
      </c>
      <c r="H17" s="4" t="n">
        <f aca="false">-H6*Assumptions!H46/100</f>
        <v>-21827.5460884321</v>
      </c>
      <c r="I17" s="4" t="n">
        <f aca="false">-I6*Assumptions!I46/100</f>
        <v>-21545.6069514565</v>
      </c>
      <c r="J17" s="4" t="n">
        <f aca="false">-J6*Assumptions!J46/100</f>
        <v>-22191.9751600002</v>
      </c>
      <c r="K17" s="4" t="n">
        <f aca="false">-K6*Assumptions!K46/100</f>
        <v>-22746.7745390002</v>
      </c>
      <c r="L17" s="4" t="n">
        <f aca="false">-L6*Assumptions!L46/100</f>
        <v>-23201.7100297802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-666.703000000001</v>
      </c>
      <c r="D18" s="4" t="n">
        <f aca="false">(D6-C6)*Assumptions!$B$51/100</f>
        <v>-366.68665</v>
      </c>
      <c r="E18" s="4" t="n">
        <f aca="false">(E6-D6)*Assumptions!$B$51/100</f>
        <v>-385.0209825</v>
      </c>
      <c r="F18" s="4" t="n">
        <f aca="false">(F6-E6)*Assumptions!$B$51/100</f>
        <v>-363.844828462499</v>
      </c>
      <c r="G18" s="4" t="n">
        <f aca="false">(G6-F6)*Assumptions!$B$51/100</f>
        <v>-337.9714184385</v>
      </c>
      <c r="H18" s="4" t="n">
        <f aca="false">(H6-G6)*Assumptions!$B$51/100</f>
        <v>-307.553990779034</v>
      </c>
      <c r="I18" s="4" t="n">
        <f aca="false">(I6-H6)*Assumptions!$B$51/100</f>
        <v>-272.844326105401</v>
      </c>
      <c r="J18" s="4" t="n">
        <f aca="false">(J6-I6)*Assumptions!$B$51/100</f>
        <v>-281.029655888563</v>
      </c>
      <c r="K18" s="4" t="n">
        <f aca="false">(K6-J6)*Assumptions!$B$51/100</f>
        <v>-241.217121304349</v>
      </c>
      <c r="L18" s="4" t="n">
        <f aca="false">(L6-K6)*Assumptions!$B$51/100</f>
        <v>-197.798039469567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10913.261407</v>
      </c>
      <c r="D19" s="0" t="n">
        <f aca="false">D15+D16+D17+D18</f>
        <v>19677.50569895</v>
      </c>
      <c r="E19" s="0" t="n">
        <f aca="false">E15+E16+E17+E18</f>
        <v>21469.9250471475</v>
      </c>
      <c r="F19" s="0" t="n">
        <f aca="false">F15+F16+F17+F18</f>
        <v>23319.5023186154</v>
      </c>
      <c r="G19" s="0" t="n">
        <f aca="false">G15+G16+G17+G18</f>
        <v>25171.4353024626</v>
      </c>
      <c r="H19" s="0" t="n">
        <f aca="false">H15+H16+H17+H18</f>
        <v>26094.6819653536</v>
      </c>
      <c r="I19" s="0" t="n">
        <f aca="false">I15+I16+I17+I18</f>
        <v>27858.2242283398</v>
      </c>
      <c r="J19" s="0" t="n">
        <f aca="false">J15+J16+J17+J18</f>
        <v>28693.97095519</v>
      </c>
      <c r="K19" s="0" t="n">
        <f aca="false">K15+K16+K17+K18</f>
        <v>29458.1585050511</v>
      </c>
      <c r="L19" s="0" t="n">
        <f aca="false">L15+L16+L17+L18</f>
        <v>30095.565099413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10104.8716731481</v>
      </c>
      <c r="D21" s="0" t="n">
        <f aca="false">D19*D20</f>
        <v>16870.2895224194</v>
      </c>
      <c r="E21" s="0" t="n">
        <f aca="false">E19*E20</f>
        <v>17043.5187147122</v>
      </c>
      <c r="F21" s="0" t="n">
        <f aca="false">F19*F20</f>
        <v>17140.5303565384</v>
      </c>
      <c r="G21" s="0" t="n">
        <f aca="false">G19*G20</f>
        <v>17131.2559120783</v>
      </c>
      <c r="H21" s="0" t="n">
        <f aca="false">H19*H20</f>
        <v>16444.0759977402</v>
      </c>
      <c r="I21" s="0" t="n">
        <f aca="false">I19*I20</f>
        <v>16255.0062662951</v>
      </c>
      <c r="J21" s="0" t="n">
        <f aca="false">J19*J20</f>
        <v>15502.4596798926</v>
      </c>
      <c r="K21" s="0" t="n">
        <f aca="false">K19*K20</f>
        <v>14736.4133657466</v>
      </c>
      <c r="L21" s="0" t="n">
        <f aca="false">L19*L20</f>
        <v>13940.0697742768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0.5</v>
      </c>
      <c r="D23" s="4" t="n">
        <f aca="false">Assumptions!D44</f>
        <v>0.5</v>
      </c>
      <c r="E23" s="4" t="n">
        <f aca="false">Assumptions!E44</f>
        <v>0.5</v>
      </c>
      <c r="F23" s="4" t="n">
        <f aca="false">Assumptions!F44</f>
        <v>0.5</v>
      </c>
      <c r="G23" s="4" t="n">
        <f aca="false">Assumptions!G44</f>
        <v>0.5</v>
      </c>
      <c r="H23" s="4" t="n">
        <f aca="false">Assumptions!H44</f>
        <v>0.5</v>
      </c>
      <c r="I23" s="4" t="n">
        <f aca="false">Assumptions!I44</f>
        <v>0.5</v>
      </c>
      <c r="J23" s="4" t="n">
        <f aca="false">Assumptions!J44</f>
        <v>0.5</v>
      </c>
      <c r="K23" s="4" t="n">
        <f aca="false">Assumptions!K44</f>
        <v>0.5</v>
      </c>
      <c r="L23" s="4" t="n">
        <f aca="false">Assumptions!L44</f>
        <v>0.5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-733.3733</v>
      </c>
      <c r="D24" s="0" t="n">
        <f aca="false">-D6*D23/100</f>
        <v>-770.041965</v>
      </c>
      <c r="E24" s="0" t="n">
        <f aca="false">-E6*E23/100</f>
        <v>-808.54406325</v>
      </c>
      <c r="F24" s="0" t="n">
        <f aca="false">-F6*F23/100</f>
        <v>-844.92854609625</v>
      </c>
      <c r="G24" s="0" t="n">
        <f aca="false">-G6*G23/100</f>
        <v>-878.7256879401</v>
      </c>
      <c r="H24" s="0" t="n">
        <f aca="false">-H6*H23/100</f>
        <v>-909.481087018003</v>
      </c>
      <c r="I24" s="0" t="n">
        <f aca="false">-I6*I23/100</f>
        <v>-936.765519628544</v>
      </c>
      <c r="J24" s="0" t="n">
        <f aca="false">-J6*J23/100</f>
        <v>-964.8684852174</v>
      </c>
      <c r="K24" s="0" t="n">
        <f aca="false">-K6*K23/100</f>
        <v>-988.990197347835</v>
      </c>
      <c r="L24" s="0" t="n">
        <f aca="false">-L6*L23/100</f>
        <v>-1008.77000129479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155168.491262848</v>
      </c>
    </row>
    <row r="31" customFormat="false" ht="15" hidden="false" customHeight="false" outlineLevel="0" collapsed="false">
      <c r="A31" s="0" t="s">
        <v>132</v>
      </c>
      <c r="B31" s="0" t="n">
        <f aca="false">L19</f>
        <v>30095.565099413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511624.606690021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421337.911391782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421337.911391782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195160.976839875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350329.468102723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194151.068102723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22.6864332233726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0.995288761950095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22.6864332233726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236134.433856933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1.57410402360084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-5.49248755415937</v>
      </c>
      <c r="C4" s="0" t="n">
        <f aca="false">B4/Assumptions!$B$2-1</f>
        <v>-1.4830683864696</v>
      </c>
      <c r="D4" s="4" t="n">
        <f aca="false">Assumptions!$B$24</f>
        <v>0.25</v>
      </c>
      <c r="E4" s="4" t="n">
        <f aca="false">DCF_Bear!$B$43</f>
        <v>-5.49248755415937</v>
      </c>
      <c r="F4" s="4" t="n">
        <f aca="false">DCF_Bear!$B$47</f>
        <v>-10.8439670307016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6.96827146703519</v>
      </c>
      <c r="C5" s="0" t="n">
        <f aca="false">B5/Assumptions!$B$2-1</f>
        <v>-0.387135315124433</v>
      </c>
      <c r="D5" s="4" t="n">
        <f aca="false">Assumptions!$B$38</f>
        <v>0.55</v>
      </c>
      <c r="E5" s="4" t="n">
        <f aca="false">DCF_Base!$B$43</f>
        <v>6.96827146703519</v>
      </c>
      <c r="F5" s="4" t="n">
        <f aca="false">DCF_Base!$B$47</f>
        <v>-5.18298936706955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22.6864332233726</v>
      </c>
      <c r="C6" s="0" t="n">
        <f aca="false">B6/Assumptions!$B$2-1</f>
        <v>0.995288761950095</v>
      </c>
      <c r="D6" s="4" t="n">
        <f aca="false">Assumptions!$B$52</f>
        <v>0.2</v>
      </c>
      <c r="E6" s="4" t="n">
        <f aca="false">DCF_Bull!$B$43</f>
        <v>22.6864332233726</v>
      </c>
      <c r="F6" s="4" t="n">
        <f aca="false">DCF_Bull!$B$47</f>
        <v>1.57410402360084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6.99671406300403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6.99671406300403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-0.625048543875796</v>
      </c>
    </row>
    <row r="11" customFormat="false" ht="15" hidden="false" customHeight="false" outlineLevel="0" collapsed="false">
      <c r="A11" s="0" t="s">
        <v>159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-5.24681510484347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6.96827146703519</v>
      </c>
      <c r="C15" s="3" t="n">
        <v>8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5.2396688272521</v>
      </c>
      <c r="C16" s="3" t="n">
        <v>9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2.96788948720416</v>
      </c>
      <c r="C17" s="3" t="n">
        <v>10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0.670784612015944</v>
      </c>
      <c r="C18" s="3" t="n">
        <v>11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-1.201490935311</v>
      </c>
      <c r="C19" s="3" t="n">
        <v>12</v>
      </c>
    </row>
    <row r="20" customFormat="false" ht="15" hidden="false" customHeight="false" outlineLevel="0" collapsed="false">
      <c r="A20" s="0" t="s">
        <v>168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-5.18298936706955</v>
      </c>
      <c r="C20" s="3" t="n">
        <v>15</v>
      </c>
    </row>
    <row r="22" customFormat="false" ht="15" hidden="false" customHeight="false" outlineLevel="0" collapsed="false">
      <c r="A22" s="2" t="s">
        <v>169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10.9429708714755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10.9429708714755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10.9429708714755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10.9429708714755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10.9429708714755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8.8631904561999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8.8631904561999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8.8631904561999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8.8631904561999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8.8631904561999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6.96827146703519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6.96827146703519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6.96827146703519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6.96827146703519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6.96827146703519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4.37195358831306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5.06740183128626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5.2396688272521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5.2396688272521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5.2396688272521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1.87891413355504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2.39474456423094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2.96788948720416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3.60846322464482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3.66087380316269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2026-10-16T05:15:56Z</dcterms:created>
  <dc:creator>openpyxl</dc:creator>
  <dc:description/>
  <dc:language>en-NZ</dc:language>
  <cp:lastModifiedBy/>
  <dcterms:modified xsi:type="dcterms:W3CDTF">2026-10-16T05:15:56Z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