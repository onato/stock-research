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<sst xmlns="http://schemas.openxmlformats.org/spreadsheetml/2006/main" count="358" uniqueCount="166">
  <si>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</si>
  <si>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1896.HK</t>
  </si>
  <si>
    <t xml:space="preserve">Company</t>
  </si>
  <si>
    <t xml:space="preserve">Maoyan Entertainment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</si>
  <si>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</si>
  <si>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</si>
  <si>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</si>
  <si>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</si>
  <si>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</si>
  <si>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</si>
  <si>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</si>
  <si>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</si>
  <si>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</si>
  <si>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</si>
  <si>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</si>
  <si>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</si>
  <si>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</si>
  <si>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</si>
  <si>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</si>
  <si>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</si>
  <si>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</si>
  <si>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</si>
  <si>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2026-10-16T22:22:03Z</t>
  </si>
  <si>
    <t xml:space="preserve">Drivers file</t>
  </si>
  <si>
    <t xml:space="preserve">1896.HK_Drivers.json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</si>
  <si>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</si>
  <si>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</si>
  <si>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</si>
  <si>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Maoyan is a hit-driven, box-office-cyclical ticketing and film-distribution platform priced near its net cash and investments. The valuation charges the FY2026 trough explicitly in year one, normalises to the historical average margin, deducts the seasonal box-office float and the declared dividend from June cash, and adds treasury bonds, wealth-management products and strategic stakes at carrying value. The weighted value says the market is pricing a near-permanent bear case.
key_risks_to_valuation: Structural decline in China cinema attendance (2026 moviegoers -34% YoY) rather than a cyclical trough; Dependence on Tencent (WeChat/QQ) traffic for ticketing; renegotiated terms would compress margin; Content and co-investment impairments; RMB4.66bn intangibles (largely goodwill) at risk of write-down; Ticketing competition from Douyin and Alibaba Pictures/Taopiaopiao; Cayman/VIE structure and PRC regulatory risk on entertainment content; Bridge relies on the June 2026 balance sheet adjusted for seasonal float; the true year-end float and scrip take-up may differ; CNY/HKD rate is not refreshed by refresh_price.py</t>
  </si>
  <si>
    <t xml:space="preserve">Data sources</t>
  </si>
  <si>
    <t xml:space="preserve">price: Yahoo Finance chart API at inputs.price_as_of; 52-week range 3.565-8.16 HKD
financials: 1896.HK_Metrics.csv (core_metrics, FY2018-FY2025 annual + H1 FY2023-FY2026), FY2025 Annual Report (EBITDA reconciliation, cash-flow statement), H1 FY2026 Interim Report (balance sheet, notes 4.5, 11, 12, 15, 22)
qualitative: H1 FY2026 interim business review and outlook; FY2025 annual report outlook. 1896.HK_Analysis.json was not yet written at build time.</t>
  </si>
  <si>
    <t xml:space="preserve">Scenario narrative: bear</t>
  </si>
  <si>
    <t xml:space="preserve">Cinema attendance is in structural decline as short video and micro-dramas take leisure time; ticketing commissions erode under Douyin/Taopiaopiao competition and dependence on Tencent's traffic terms; content investment keeps producing impairments. Revenue stalls and margin caps at 12%. Even here the business stays cash-generative and the balance sheet is not at risk.</t>
  </si>
  <si>
    <t xml:space="preserve">Scenario narrative: base</t>
  </si>
  <si>
    <t xml:space="preserve">Cyclical trough, not structural break: FY2026 is a box-office down-year after the Ne Zha 2 peak (H1 national box office -40.6%, Maoyan revenue -27.6%, near-breakeven EBITDA), FY2027 recovers partially and the business returns to its long-run ~17% EBITDA margin on ~RMB4.3-4.9bn revenue. Ticketing remains anchored by the WeChat/QQ traffic relationship with Tencent; live-performance ticketing grows ahead of film; content wins and losses roughly average out as they have over FY2019-25.</t>
  </si>
  <si>
    <t xml:space="preserve">Scenario narrative: bull</t>
  </si>
  <si>
    <t xml:space="preserve">China box office rebounds to RMB50bn+ and offline performance keeps growing high-single-digit; Maoyan's distribution franchise (Pegasus, six straight years with a top-two Spring Festival film) and IP/derivative operations lift margin to ~20%. The large net-cash and investment balance (~RMB3.1bn against a ~RMB3.6bn market cap) supports dividends and buybacks.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</si>
  <si>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</si>
  <si>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</si>
  <si>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</si>
  <si>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</si>
  <si>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</si>
  <si>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</si>
  <si>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</si>
  <si>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</si>
  <si>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</si>
  <si>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</si>
  <si>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</si>
  <si>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</si>
  <si>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</si>
  <si>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</si>
  <si>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</si>
  <si>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</si>
  <si>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</si>
  <si>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</si>
  <si>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</si>
  <si>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</si>
  <si>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</si>
  <si>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</si>
  <si>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</si>
  <si>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</si>
  <si>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</si>
  <si>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</si>
  <si>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</si>
  <si>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</si>
  <si>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TermDeposits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</si>
  <si>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</si>
  <si>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</si>
  <si>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</si>
  <si>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</si>
  <si>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</si>
  <si>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</si>
  <si>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</si>
  <si>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</si>
  <si>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</si>
  <si>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</si>
  <si>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</si>
  <si>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</si>
  <si>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</si>
  <si>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</si>
  <si>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</si>
  <si>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</si>
  <si>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</si>
  <si>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</si>
  <si>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</si>
  <si>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</si>
  <si>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</si>
  <si>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</si>
  <si>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</si>
  <si>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</si>
  <si>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</si>
  <si>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</si>
  <si>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</si>
  <si>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</si>
  <si>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</si>
  <si>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</si>
  <si>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</si>
  <si>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</si>
  <si>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</si>
  <si>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</si>
  <si>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</si>
  <si>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</si>
  <si>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</si>
  <si>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</si>
  <si>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</si>
  <si>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</si>
  <si>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</si>
  <si>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</si>
  <si>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</si>
  <si>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</si>
  <si>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</si>
  <si>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</si>
  <si>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1896.HK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</si>
  <si>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</si>
  <si>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</si>
  <si>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</si>
  <si>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</si>
  <si>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</si>
  <si>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</si>
  <si>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</si>
  <si>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</si>
  <si>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</si>
  <si>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</si>
  <si>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</si>
  <si>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</si>
  <si>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</si>
  <si>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</si>
  <si>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</si>
  <si>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</si>
  <si>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</si>
  <si>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</si>
  <si>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</si>
  <si>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</si>
  <si>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</si>
  <si>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</si>
  <si>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</si>
  <si>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</si>
  <si>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</si>
  <si>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</si>
  <si>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</si>
  <si>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</si>
  <si>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</si>
  <si>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</si>
  <si>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1896.HK owner-FCF component DCF: base case (millions, CNY)</t>
  </si>
  <si>
    <t xml:space="preserve">1896.HK owner-FCF component DCF: bull case (millions, CNY)</t>
  </si>
  <si>
    <t xml:space="preserve">1896.HK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</si>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</sst>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3.66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2547.98</v>
      </c>
      <c r="F2" s="0" t="n">
        <v>-66</v>
      </c>
      <c r="G2" s="0" t="n">
        <v>-2.6</v>
      </c>
      <c r="H2" s="0" t="n">
        <v>-17.5</v>
      </c>
      <c r="I2" s="0" t="n">
        <v>-75.469</v>
      </c>
      <c r="J2" s="0" t="n">
        <v>-3</v>
      </c>
      <c r="K2" s="0" t="n">
        <v>-0.08</v>
      </c>
      <c r="L2" s="0" t="n">
        <v>1074.06</v>
      </c>
      <c r="S2" s="0" t="n">
        <v>1170.13</v>
      </c>
      <c r="T2" s="0" t="n">
        <v>959.76</v>
      </c>
      <c r="U2" s="0" t="n">
        <v>184.5</v>
      </c>
      <c r="AA2" s="0" t="s">
        <v>18</v>
      </c>
      <c r="AB2" s="0" t="s">
        <v>14</v>
      </c>
      <c r="AC2" s="0" t="n">
        <v>169.3</v>
      </c>
    </row>
    <row r="3" customFormat="false" ht="15" hidden="false" customHeight="false" outlineLevel="0" collapsed="false">
      <c r="A3" s="0" t="s">
        <v>67</v>
      </c>
      <c r="B3" s="0" t="n">
        <v>3754.959</v>
      </c>
      <c r="C3" s="0" t="n">
        <v>1398.713</v>
      </c>
      <c r="D3" s="0" t="n">
        <v>2356.246</v>
      </c>
      <c r="E3" s="0" t="n">
        <v>62.8</v>
      </c>
      <c r="F3" s="0" t="n">
        <v>-139.444</v>
      </c>
      <c r="G3" s="0" t="n">
        <v>-3.7</v>
      </c>
      <c r="H3" s="0" t="n">
        <v>9.1</v>
      </c>
      <c r="I3" s="0" t="n">
        <v>-137.088</v>
      </c>
      <c r="J3" s="0" t="n">
        <v>-3.7</v>
      </c>
      <c r="K3" s="0" t="n">
        <v>-0.14</v>
      </c>
      <c r="L3" s="0" t="n">
        <v>-1124.866</v>
      </c>
      <c r="M3" s="0" t="n">
        <v>14.454</v>
      </c>
      <c r="N3" s="0" t="n">
        <v>-1139.32</v>
      </c>
      <c r="O3" s="0" t="n">
        <v>5701.949</v>
      </c>
      <c r="P3" s="0" t="n">
        <v>9076.398</v>
      </c>
      <c r="Q3" s="0" t="n">
        <v>3369.85</v>
      </c>
      <c r="R3" s="0" t="n">
        <v>600</v>
      </c>
      <c r="S3" s="0" t="n">
        <v>1536.456</v>
      </c>
      <c r="T3" s="0" t="n">
        <v>959.98</v>
      </c>
      <c r="U3" s="0" t="n">
        <v>161.9</v>
      </c>
      <c r="AA3" s="0" t="s">
        <v>18</v>
      </c>
      <c r="AB3" s="0" t="s">
        <v>14</v>
      </c>
      <c r="AC3" s="0" t="n">
        <v>229.2</v>
      </c>
      <c r="AD3" s="0" t="n">
        <v>0</v>
      </c>
    </row>
    <row r="4" customFormat="false" ht="15" hidden="false" customHeight="false" outlineLevel="0" collapsed="false">
      <c r="A4" s="0" t="s">
        <v>68</v>
      </c>
      <c r="B4" s="0" t="n">
        <v>4267.514</v>
      </c>
      <c r="C4" s="0" t="n">
        <v>1610.367</v>
      </c>
      <c r="D4" s="0" t="n">
        <v>2657.147</v>
      </c>
      <c r="E4" s="0" t="n">
        <v>62.3</v>
      </c>
      <c r="F4" s="0" t="n">
        <v>675.939</v>
      </c>
      <c r="G4" s="0" t="n">
        <v>15.8</v>
      </c>
      <c r="H4" s="0" t="n">
        <v>839.9</v>
      </c>
      <c r="I4" s="0" t="n">
        <v>463.456</v>
      </c>
      <c r="J4" s="0" t="n">
        <v>10.9</v>
      </c>
      <c r="K4" s="0" t="n">
        <v>0.42</v>
      </c>
      <c r="L4" s="0" t="n">
        <v>-939.858</v>
      </c>
      <c r="M4" s="0" t="n">
        <v>22.401</v>
      </c>
      <c r="N4" s="0" t="n">
        <v>-962.259</v>
      </c>
      <c r="O4" s="0" t="n">
        <v>8288.043</v>
      </c>
      <c r="P4" s="0" t="n">
        <v>11351.245</v>
      </c>
      <c r="Q4" s="0" t="n">
        <v>3063.202</v>
      </c>
      <c r="R4" s="0" t="n">
        <v>1161.6</v>
      </c>
      <c r="S4" s="0" t="n">
        <v>1540.414</v>
      </c>
      <c r="T4" s="0" t="n">
        <v>1111.036</v>
      </c>
      <c r="U4" s="0" t="n">
        <v>103.2</v>
      </c>
      <c r="AA4" s="0" t="s">
        <v>18</v>
      </c>
      <c r="AB4" s="0" t="s">
        <v>14</v>
      </c>
      <c r="AC4" s="0" t="n">
        <v>946.4</v>
      </c>
      <c r="AD4" s="0" t="n">
        <v>100</v>
      </c>
    </row>
    <row r="5" customFormat="false" ht="15" hidden="false" customHeight="false" outlineLevel="0" collapsed="false">
      <c r="A5" s="0" t="s">
        <v>69</v>
      </c>
      <c r="B5" s="0" t="n">
        <v>1365.69</v>
      </c>
      <c r="C5" s="0" t="n">
        <v>828.356</v>
      </c>
      <c r="D5" s="0" t="n">
        <v>537.334</v>
      </c>
      <c r="E5" s="0" t="n">
        <v>39.3</v>
      </c>
      <c r="F5" s="0" t="n">
        <v>-604.144</v>
      </c>
      <c r="G5" s="0" t="n">
        <v>-44.2</v>
      </c>
      <c r="H5" s="0" t="n">
        <v>-432.9</v>
      </c>
      <c r="I5" s="0" t="n">
        <v>-646.272</v>
      </c>
      <c r="J5" s="0" t="n">
        <v>-47.3</v>
      </c>
      <c r="K5" s="0" t="n">
        <v>-0.57</v>
      </c>
      <c r="L5" s="0" t="n">
        <v>294.146</v>
      </c>
      <c r="M5" s="0" t="n">
        <v>12.587</v>
      </c>
      <c r="N5" s="0" t="n">
        <v>281.559</v>
      </c>
      <c r="O5" s="0" t="n">
        <v>7623.059</v>
      </c>
      <c r="P5" s="0" t="n">
        <v>10608.542</v>
      </c>
      <c r="Q5" s="0" t="n">
        <v>2985.483</v>
      </c>
      <c r="R5" s="0" t="n">
        <v>1013.467</v>
      </c>
      <c r="S5" s="0" t="n">
        <v>2140.149</v>
      </c>
      <c r="T5" s="0" t="n">
        <v>1132.904</v>
      </c>
      <c r="U5" s="0" t="n">
        <v>72.6</v>
      </c>
      <c r="AA5" s="0" t="s">
        <v>18</v>
      </c>
      <c r="AB5" s="0" t="s">
        <v>14</v>
      </c>
      <c r="AC5" s="0" t="n">
        <v>-360.3</v>
      </c>
      <c r="AD5" s="0" t="n">
        <v>0</v>
      </c>
    </row>
    <row r="6" customFormat="false" ht="15" hidden="false" customHeight="false" outlineLevel="0" collapsed="false">
      <c r="A6" s="0" t="s">
        <v>70</v>
      </c>
      <c r="B6" s="0" t="n">
        <v>3323.415</v>
      </c>
      <c r="C6" s="0" t="n">
        <v>1481.184</v>
      </c>
      <c r="D6" s="0" t="n">
        <v>1842.231</v>
      </c>
      <c r="E6" s="0" t="n">
        <v>55.4</v>
      </c>
      <c r="F6" s="0" t="n">
        <v>538.283</v>
      </c>
      <c r="G6" s="0" t="n">
        <v>16.2</v>
      </c>
      <c r="H6" s="0" t="n">
        <v>709.3</v>
      </c>
      <c r="I6" s="0" t="n">
        <v>368.502</v>
      </c>
      <c r="J6" s="0" t="n">
        <v>11.1</v>
      </c>
      <c r="K6" s="0" t="n">
        <v>0.32</v>
      </c>
      <c r="L6" s="0" t="n">
        <v>579.263</v>
      </c>
      <c r="M6" s="0" t="n">
        <v>19.571</v>
      </c>
      <c r="N6" s="0" t="n">
        <v>559.692</v>
      </c>
      <c r="O6" s="0" t="n">
        <v>7987.672</v>
      </c>
      <c r="P6" s="0" t="n">
        <v>11028.335</v>
      </c>
      <c r="Q6" s="0" t="n">
        <v>3040.663</v>
      </c>
      <c r="R6" s="0" t="n">
        <v>512.5</v>
      </c>
      <c r="S6" s="0" t="n">
        <v>2519.989</v>
      </c>
      <c r="T6" s="0" t="n">
        <v>1139.858</v>
      </c>
      <c r="U6" s="0" t="n">
        <v>33.4</v>
      </c>
      <c r="AA6" s="0" t="s">
        <v>18</v>
      </c>
      <c r="AB6" s="0" t="s">
        <v>14</v>
      </c>
      <c r="AC6" s="0" t="n">
        <v>742.7</v>
      </c>
      <c r="AD6" s="0" t="n">
        <v>50.051</v>
      </c>
    </row>
    <row r="7" customFormat="false" ht="15" hidden="false" customHeight="false" outlineLevel="0" collapsed="false">
      <c r="A7" s="0" t="s">
        <v>71</v>
      </c>
      <c r="B7" s="0" t="n">
        <v>2319.477</v>
      </c>
      <c r="C7" s="0" t="n">
        <v>1299.507</v>
      </c>
      <c r="D7" s="0" t="n">
        <v>1019.97</v>
      </c>
      <c r="E7" s="0" t="n">
        <v>44</v>
      </c>
      <c r="F7" s="0" t="n">
        <v>162.087</v>
      </c>
      <c r="G7" s="0" t="n">
        <v>7</v>
      </c>
      <c r="H7" s="0" t="n">
        <v>311.3</v>
      </c>
      <c r="I7" s="0" t="n">
        <v>105.19</v>
      </c>
      <c r="J7" s="0" t="n">
        <v>4.5</v>
      </c>
      <c r="K7" s="0" t="n">
        <v>0.09</v>
      </c>
      <c r="L7" s="0" t="n">
        <v>75.216</v>
      </c>
      <c r="M7" s="0" t="n">
        <v>12.307</v>
      </c>
      <c r="N7" s="0" t="n">
        <v>62.909</v>
      </c>
      <c r="O7" s="0" t="n">
        <v>8172.36</v>
      </c>
      <c r="P7" s="0" t="n">
        <v>10258.018</v>
      </c>
      <c r="Q7" s="0" t="n">
        <v>2084.243</v>
      </c>
      <c r="R7" s="0" t="n">
        <v>335</v>
      </c>
      <c r="S7" s="0" t="n">
        <v>1720.875</v>
      </c>
      <c r="T7" s="0" t="n">
        <v>1143.702</v>
      </c>
      <c r="U7" s="0" t="n">
        <v>8.8</v>
      </c>
      <c r="AA7" s="0" t="s">
        <v>18</v>
      </c>
      <c r="AB7" s="0" t="s">
        <v>14</v>
      </c>
      <c r="AC7" s="0" t="n">
        <v>320.1</v>
      </c>
      <c r="AD7" s="0" t="n">
        <v>515.285</v>
      </c>
    </row>
    <row r="8" customFormat="false" ht="15" hidden="false" customHeight="false" outlineLevel="0" collapsed="false">
      <c r="A8" s="0" t="s">
        <v>72</v>
      </c>
      <c r="B8" s="0" t="n">
        <v>4757.369</v>
      </c>
      <c r="C8" s="0" t="n">
        <v>2372.504</v>
      </c>
      <c r="D8" s="0" t="n">
        <v>2384.865</v>
      </c>
      <c r="E8" s="0" t="n">
        <v>50.1</v>
      </c>
      <c r="F8" s="0" t="n">
        <v>1098.225</v>
      </c>
      <c r="G8" s="0" t="n">
        <v>23.1</v>
      </c>
      <c r="H8" s="0" t="n">
        <v>1219.7</v>
      </c>
      <c r="I8" s="0" t="n">
        <v>910.412</v>
      </c>
      <c r="J8" s="0" t="n">
        <v>19.1</v>
      </c>
      <c r="K8" s="0" t="n">
        <v>0.79</v>
      </c>
      <c r="L8" s="0" t="n">
        <v>1495.509</v>
      </c>
      <c r="M8" s="0" t="n">
        <v>24.638</v>
      </c>
      <c r="N8" s="0" t="n">
        <v>1470.871</v>
      </c>
      <c r="O8" s="0" t="n">
        <v>9041.188</v>
      </c>
      <c r="P8" s="0" t="n">
        <v>12540.096</v>
      </c>
      <c r="Q8" s="0" t="n">
        <v>3501.819</v>
      </c>
      <c r="R8" s="0" t="n">
        <v>250</v>
      </c>
      <c r="S8" s="0" t="n">
        <v>2147.222</v>
      </c>
      <c r="T8" s="0" t="n">
        <v>1145.419</v>
      </c>
      <c r="U8" s="0" t="n">
        <v>30</v>
      </c>
      <c r="AA8" s="0" t="s">
        <v>18</v>
      </c>
      <c r="AB8" s="0" t="s">
        <v>14</v>
      </c>
      <c r="AC8" s="0" t="n">
        <v>1249.7</v>
      </c>
      <c r="AD8" s="0" t="n">
        <v>1277.048</v>
      </c>
    </row>
    <row r="9" customFormat="false" ht="15" hidden="false" customHeight="false" outlineLevel="0" collapsed="false">
      <c r="A9" s="0" t="s">
        <v>73</v>
      </c>
      <c r="B9" s="0" t="n">
        <v>4082.178</v>
      </c>
      <c r="C9" s="0" t="n">
        <v>2457.176</v>
      </c>
      <c r="D9" s="0" t="n">
        <v>1625.002</v>
      </c>
      <c r="E9" s="0" t="n">
        <v>39.8</v>
      </c>
      <c r="F9" s="0" t="n">
        <v>195.88</v>
      </c>
      <c r="G9" s="0" t="n">
        <v>4.8</v>
      </c>
      <c r="H9" s="0" t="n">
        <v>322.6</v>
      </c>
      <c r="I9" s="0" t="n">
        <v>181.905</v>
      </c>
      <c r="J9" s="0" t="n">
        <v>4.5</v>
      </c>
      <c r="K9" s="0" t="n">
        <v>0.16</v>
      </c>
      <c r="L9" s="0" t="n">
        <v>-846.262</v>
      </c>
      <c r="M9" s="0" t="n">
        <v>14.346</v>
      </c>
      <c r="N9" s="0" t="n">
        <v>-860.608</v>
      </c>
      <c r="O9" s="0" t="n">
        <v>9048.312</v>
      </c>
      <c r="P9" s="0" t="n">
        <v>12505.595</v>
      </c>
      <c r="Q9" s="0" t="n">
        <v>3457.283</v>
      </c>
      <c r="R9" s="0" t="n">
        <v>470.442</v>
      </c>
      <c r="S9" s="0" t="n">
        <v>903.058</v>
      </c>
      <c r="T9" s="0" t="n">
        <v>1146.159</v>
      </c>
      <c r="U9" s="0" t="n">
        <v>39</v>
      </c>
      <c r="AA9" s="0" t="s">
        <v>18</v>
      </c>
      <c r="AB9" s="0" t="s">
        <v>14</v>
      </c>
      <c r="AC9" s="0" t="n">
        <v>361.6</v>
      </c>
      <c r="AD9" s="0" t="n">
        <v>1458.033</v>
      </c>
    </row>
    <row r="10" customFormat="false" ht="15" hidden="false" customHeight="false" outlineLevel="0" collapsed="false">
      <c r="A10" s="0" t="s">
        <v>74</v>
      </c>
      <c r="B10" s="0" t="n">
        <v>4631.482</v>
      </c>
      <c r="C10" s="0" t="n">
        <v>2627.403</v>
      </c>
      <c r="D10" s="0" t="n">
        <v>2004.079</v>
      </c>
      <c r="E10" s="0" t="n">
        <v>43.3</v>
      </c>
      <c r="F10" s="0" t="n">
        <v>724.378</v>
      </c>
      <c r="G10" s="0" t="n">
        <v>15.6</v>
      </c>
      <c r="H10" s="0" t="n">
        <v>835.7</v>
      </c>
      <c r="I10" s="0" t="n">
        <v>563.649</v>
      </c>
      <c r="J10" s="0" t="n">
        <v>12.2</v>
      </c>
      <c r="K10" s="0" t="n">
        <v>0.49</v>
      </c>
      <c r="L10" s="0" t="n">
        <v>1197.24</v>
      </c>
      <c r="M10" s="0" t="n">
        <v>5.742</v>
      </c>
      <c r="N10" s="0" t="n">
        <v>1191.498</v>
      </c>
      <c r="O10" s="0" t="n">
        <v>9283.828</v>
      </c>
      <c r="P10" s="0" t="n">
        <v>12724.503</v>
      </c>
      <c r="Q10" s="0" t="n">
        <v>3431.866</v>
      </c>
      <c r="R10" s="0" t="n">
        <v>94.539</v>
      </c>
      <c r="S10" s="0" t="n">
        <v>2138.935</v>
      </c>
      <c r="T10" s="0" t="n">
        <v>1148.107</v>
      </c>
      <c r="U10" s="0" t="n">
        <v>25.1</v>
      </c>
      <c r="AA10" s="0" t="s">
        <v>18</v>
      </c>
      <c r="AB10" s="0" t="s">
        <v>14</v>
      </c>
      <c r="AC10" s="0" t="n">
        <v>860.8</v>
      </c>
      <c r="AD10" s="0" t="n">
        <v>65.994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3.66</v>
      </c>
    </row>
    <row r="3" customFormat="false" ht="15" hidden="false" customHeight="false" outlineLevel="0" collapsed="false">
      <c r="A3" s="0" t="s">
        <v>78</v>
      </c>
      <c r="B3" s="3" t="n">
        <v>1159.7</v>
      </c>
    </row>
    <row r="4" customFormat="false" ht="15" hidden="false" customHeight="false" outlineLevel="0" collapsed="false">
      <c r="A4" s="0" t="s">
        <v>79</v>
      </c>
      <c r="B4" s="3" t="n">
        <v>-3077.9</v>
      </c>
    </row>
    <row r="5" customFormat="false" ht="15" hidden="false" customHeight="false" outlineLevel="0" collapsed="false">
      <c r="A5" s="0" t="s">
        <v>80</v>
      </c>
      <c r="B5" s="3" t="n">
        <v>40.1289999999999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4631.482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1.1724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-22</v>
      </c>
      <c r="D13" s="3" t="n">
        <v>5</v>
      </c>
      <c r="E13" s="3" t="n">
        <v>3</v>
      </c>
      <c r="F13" s="3" t="n">
        <v>2</v>
      </c>
      <c r="G13" s="3" t="n">
        <v>2</v>
      </c>
      <c r="H13" s="3" t="n">
        <v>2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5</v>
      </c>
      <c r="D14" s="3" t="n">
        <v>10</v>
      </c>
      <c r="E14" s="3" t="n">
        <v>11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100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101</v>
      </c>
      <c r="C16" s="3" t="n">
        <v>0.7</v>
      </c>
      <c r="D16" s="3" t="n">
        <v>0.7</v>
      </c>
      <c r="E16" s="3" t="n">
        <v>0.7</v>
      </c>
      <c r="F16" s="3" t="n">
        <v>0.7</v>
      </c>
      <c r="G16" s="3" t="n">
        <v>0.7</v>
      </c>
      <c r="H16" s="3" t="n">
        <v>0.7</v>
      </c>
      <c r="I16" s="3" t="n">
        <v>0.7</v>
      </c>
      <c r="J16" s="3" t="n">
        <v>0.7</v>
      </c>
      <c r="K16" s="3" t="n">
        <v>0.7</v>
      </c>
      <c r="L16" s="3" t="n">
        <v>0.7</v>
      </c>
    </row>
    <row r="17" customFormat="false" ht="15" hidden="false" customHeight="false" outlineLevel="0" collapsed="false">
      <c r="A17" s="0" t="s">
        <v>102</v>
      </c>
      <c r="C17" s="3" t="n">
        <v>0.35</v>
      </c>
      <c r="D17" s="3" t="n">
        <v>0.35</v>
      </c>
      <c r="E17" s="3" t="n">
        <v>0.35</v>
      </c>
      <c r="F17" s="3" t="n">
        <v>0.35</v>
      </c>
      <c r="G17" s="3" t="n">
        <v>0.35</v>
      </c>
      <c r="H17" s="3" t="n">
        <v>0.35</v>
      </c>
      <c r="I17" s="3" t="n">
        <v>0.35</v>
      </c>
      <c r="J17" s="3" t="n">
        <v>0.35</v>
      </c>
      <c r="K17" s="3" t="n">
        <v>0.35</v>
      </c>
      <c r="L17" s="3" t="n">
        <v>0.35</v>
      </c>
    </row>
    <row r="18" customFormat="false" ht="15" hidden="false" customHeight="false" outlineLevel="0" collapsed="false">
      <c r="A18" s="0" t="s">
        <v>103</v>
      </c>
      <c r="C18" s="3" t="n">
        <v>0.4</v>
      </c>
      <c r="D18" s="3" t="n">
        <v>0.4</v>
      </c>
      <c r="E18" s="3" t="n">
        <v>0.4</v>
      </c>
      <c r="F18" s="3" t="n">
        <v>0.4</v>
      </c>
      <c r="G18" s="3" t="n">
        <v>0.4</v>
      </c>
      <c r="H18" s="3" t="n">
        <v>0.4</v>
      </c>
      <c r="I18" s="3" t="n">
        <v>0.4</v>
      </c>
      <c r="J18" s="3" t="n">
        <v>0.4</v>
      </c>
      <c r="K18" s="3" t="n">
        <v>0.4</v>
      </c>
      <c r="L18" s="3" t="n">
        <v>0.4</v>
      </c>
    </row>
    <row r="19" customFormat="false" ht="15" hidden="false" customHeight="false" outlineLevel="0" collapsed="false">
      <c r="A19" s="0" t="s">
        <v>104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105</v>
      </c>
      <c r="B20" s="3" t="n">
        <v>10</v>
      </c>
    </row>
    <row r="21" customFormat="false" ht="15" hidden="false" customHeight="false" outlineLevel="0" collapsed="false">
      <c r="A21" s="0" t="s">
        <v>106</v>
      </c>
      <c r="B21" s="3" t="n">
        <v>1</v>
      </c>
    </row>
    <row r="22" customFormat="false" ht="15" hidden="false" customHeight="false" outlineLevel="0" collapsed="false">
      <c r="A22" s="0" t="s">
        <v>107</v>
      </c>
      <c r="B22" s="3" t="n">
        <v>10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-18</v>
      </c>
      <c r="D27" s="3" t="n">
        <v>12</v>
      </c>
      <c r="E27" s="3" t="n">
        <v>6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8</v>
      </c>
      <c r="D28" s="3" t="n">
        <v>14.5</v>
      </c>
      <c r="E28" s="3" t="n">
        <v>16</v>
      </c>
      <c r="F28" s="3" t="n">
        <v>16.5</v>
      </c>
      <c r="G28" s="3" t="n">
        <v>17</v>
      </c>
      <c r="H28" s="3" t="n">
        <v>17</v>
      </c>
      <c r="I28" s="3" t="n">
        <v>17</v>
      </c>
      <c r="J28" s="3" t="n">
        <v>17</v>
      </c>
      <c r="K28" s="3" t="n">
        <v>17</v>
      </c>
      <c r="L28" s="3" t="n">
        <v>17</v>
      </c>
    </row>
    <row r="29" customFormat="false" ht="15" hidden="false" customHeight="false" outlineLevel="0" collapsed="false">
      <c r="A29" s="0" t="s">
        <v>100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101</v>
      </c>
      <c r="C30" s="3" t="n">
        <v>0.7</v>
      </c>
      <c r="D30" s="3" t="n">
        <v>0.7</v>
      </c>
      <c r="E30" s="3" t="n">
        <v>0.7</v>
      </c>
      <c r="F30" s="3" t="n">
        <v>0.7</v>
      </c>
      <c r="G30" s="3" t="n">
        <v>0.7</v>
      </c>
      <c r="H30" s="3" t="n">
        <v>0.7</v>
      </c>
      <c r="I30" s="3" t="n">
        <v>0.7</v>
      </c>
      <c r="J30" s="3" t="n">
        <v>0.7</v>
      </c>
      <c r="K30" s="3" t="n">
        <v>0.7</v>
      </c>
      <c r="L30" s="3" t="n">
        <v>0.7</v>
      </c>
    </row>
    <row r="31" customFormat="false" ht="15" hidden="false" customHeight="false" outlineLevel="0" collapsed="false">
      <c r="A31" s="0" t="s">
        <v>102</v>
      </c>
      <c r="C31" s="3" t="n">
        <v>0.35</v>
      </c>
      <c r="D31" s="3" t="n">
        <v>0.35</v>
      </c>
      <c r="E31" s="3" t="n">
        <v>0.35</v>
      </c>
      <c r="F31" s="3" t="n">
        <v>0.35</v>
      </c>
      <c r="G31" s="3" t="n">
        <v>0.35</v>
      </c>
      <c r="H31" s="3" t="n">
        <v>0.35</v>
      </c>
      <c r="I31" s="3" t="n">
        <v>0.35</v>
      </c>
      <c r="J31" s="3" t="n">
        <v>0.35</v>
      </c>
      <c r="K31" s="3" t="n">
        <v>0.35</v>
      </c>
      <c r="L31" s="3" t="n">
        <v>0.35</v>
      </c>
    </row>
    <row r="32" customFormat="false" ht="15" hidden="false" customHeight="false" outlineLevel="0" collapsed="false">
      <c r="A32" s="0" t="s">
        <v>103</v>
      </c>
      <c r="C32" s="3" t="n">
        <v>0.4</v>
      </c>
      <c r="D32" s="3" t="n">
        <v>0.4</v>
      </c>
      <c r="E32" s="3" t="n">
        <v>0.4</v>
      </c>
      <c r="F32" s="3" t="n">
        <v>0.4</v>
      </c>
      <c r="G32" s="3" t="n">
        <v>0.4</v>
      </c>
      <c r="H32" s="3" t="n">
        <v>0.4</v>
      </c>
      <c r="I32" s="3" t="n">
        <v>0.4</v>
      </c>
      <c r="J32" s="3" t="n">
        <v>0.4</v>
      </c>
      <c r="K32" s="3" t="n">
        <v>0.4</v>
      </c>
      <c r="L32" s="3" t="n">
        <v>0.4</v>
      </c>
    </row>
    <row r="33" customFormat="false" ht="15" hidden="false" customHeight="false" outlineLevel="0" collapsed="false">
      <c r="A33" s="0" t="s">
        <v>104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105</v>
      </c>
      <c r="B34" s="3" t="n">
        <v>10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-15</v>
      </c>
      <c r="D41" s="3" t="n">
        <v>16</v>
      </c>
      <c r="E41" s="3" t="n">
        <v>8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10</v>
      </c>
      <c r="D42" s="3" t="n">
        <v>17</v>
      </c>
      <c r="E42" s="3" t="n">
        <v>19</v>
      </c>
      <c r="F42" s="3" t="n">
        <v>19.5</v>
      </c>
      <c r="G42" s="3" t="n">
        <v>20</v>
      </c>
      <c r="H42" s="3" t="n">
        <v>20</v>
      </c>
      <c r="I42" s="3" t="n">
        <v>20</v>
      </c>
      <c r="J42" s="3" t="n">
        <v>20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100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101</v>
      </c>
      <c r="C44" s="3" t="n">
        <v>0.7</v>
      </c>
      <c r="D44" s="3" t="n">
        <v>0.7</v>
      </c>
      <c r="E44" s="3" t="n">
        <v>0.7</v>
      </c>
      <c r="F44" s="3" t="n">
        <v>0.7</v>
      </c>
      <c r="G44" s="3" t="n">
        <v>0.7</v>
      </c>
      <c r="H44" s="3" t="n">
        <v>0.7</v>
      </c>
      <c r="I44" s="3" t="n">
        <v>0.7</v>
      </c>
      <c r="J44" s="3" t="n">
        <v>0.7</v>
      </c>
      <c r="K44" s="3" t="n">
        <v>0.7</v>
      </c>
      <c r="L44" s="3" t="n">
        <v>0.7</v>
      </c>
    </row>
    <row r="45" customFormat="false" ht="15" hidden="false" customHeight="false" outlineLevel="0" collapsed="false">
      <c r="A45" s="0" t="s">
        <v>102</v>
      </c>
      <c r="C45" s="3" t="n">
        <v>0.35</v>
      </c>
      <c r="D45" s="3" t="n">
        <v>0.35</v>
      </c>
      <c r="E45" s="3" t="n">
        <v>0.35</v>
      </c>
      <c r="F45" s="3" t="n">
        <v>0.35</v>
      </c>
      <c r="G45" s="3" t="n">
        <v>0.35</v>
      </c>
      <c r="H45" s="3" t="n">
        <v>0.35</v>
      </c>
      <c r="I45" s="3" t="n">
        <v>0.35</v>
      </c>
      <c r="J45" s="3" t="n">
        <v>0.35</v>
      </c>
      <c r="K45" s="3" t="n">
        <v>0.35</v>
      </c>
      <c r="L45" s="3" t="n">
        <v>0.35</v>
      </c>
    </row>
    <row r="46" customFormat="false" ht="15" hidden="false" customHeight="false" outlineLevel="0" collapsed="false">
      <c r="A46" s="0" t="s">
        <v>103</v>
      </c>
      <c r="C46" s="3" t="n">
        <v>0.4</v>
      </c>
      <c r="D46" s="3" t="n">
        <v>0.4</v>
      </c>
      <c r="E46" s="3" t="n">
        <v>0.4</v>
      </c>
      <c r="F46" s="3" t="n">
        <v>0.4</v>
      </c>
      <c r="G46" s="3" t="n">
        <v>0.4</v>
      </c>
      <c r="H46" s="3" t="n">
        <v>0.4</v>
      </c>
      <c r="I46" s="3" t="n">
        <v>0.4</v>
      </c>
      <c r="J46" s="3" t="n">
        <v>0.4</v>
      </c>
      <c r="K46" s="3" t="n">
        <v>0.4</v>
      </c>
      <c r="L46" s="3" t="n">
        <v>0.4</v>
      </c>
    </row>
    <row r="47" customFormat="false" ht="15" hidden="false" customHeight="false" outlineLevel="0" collapsed="false">
      <c r="A47" s="0" t="s">
        <v>104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105</v>
      </c>
      <c r="B48" s="3" t="n">
        <v>10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13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-22</v>
      </c>
      <c r="D5" s="4" t="n">
        <f aca="false">Assumptions!D13</f>
        <v>5</v>
      </c>
      <c r="E5" s="4" t="n">
        <f aca="false">Assumptions!E13</f>
        <v>3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4631.482</v>
      </c>
      <c r="C6" s="0" t="n">
        <f aca="false">B6*(1+C5/100)</f>
        <v>3612.55596</v>
      </c>
      <c r="D6" s="0" t="n">
        <f aca="false">C6*(1+D5/100)</f>
        <v>3793.183758</v>
      </c>
      <c r="E6" s="0" t="n">
        <f aca="false">D6*(1+E5/100)</f>
        <v>3906.97927074</v>
      </c>
      <c r="F6" s="0" t="n">
        <f aca="false">E6*(1+F5/100)</f>
        <v>3985.1188561548</v>
      </c>
      <c r="G6" s="0" t="n">
        <f aca="false">F6*(1+G5/100)</f>
        <v>4064.8212332779</v>
      </c>
      <c r="H6" s="0" t="n">
        <f aca="false">G6*(1+H5/100)</f>
        <v>4146.11765794345</v>
      </c>
      <c r="I6" s="0" t="n">
        <f aca="false">H6*(1+I5/100)</f>
        <v>4208.30942281261</v>
      </c>
      <c r="J6" s="0" t="n">
        <f aca="false">I6*(1+J5/100)</f>
        <v>4271.43406415479</v>
      </c>
      <c r="K6" s="0" t="n">
        <f aca="false">J6*(1+K5/100)</f>
        <v>4335.50557511712</v>
      </c>
      <c r="L6" s="0" t="n">
        <f aca="false">K6*(1+L5/100)</f>
        <v>4400.53815874387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5</v>
      </c>
      <c r="D7" s="4" t="n">
        <f aca="false">Assumptions!D14</f>
        <v>10</v>
      </c>
      <c r="E7" s="4" t="n">
        <f aca="false">Assumptions!E14</f>
        <v>11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180.627798</v>
      </c>
      <c r="D8" s="0" t="n">
        <f aca="false">D6*D7/100</f>
        <v>379.3183758</v>
      </c>
      <c r="E8" s="0" t="n">
        <f aca="false">E6*E7/100</f>
        <v>429.7677197814</v>
      </c>
      <c r="F8" s="0" t="n">
        <f aca="false">F6*F7/100</f>
        <v>478.214262738576</v>
      </c>
      <c r="G8" s="0" t="n">
        <f aca="false">G6*G7/100</f>
        <v>487.778547993348</v>
      </c>
      <c r="H8" s="0" t="n">
        <f aca="false">H6*H7/100</f>
        <v>497.534118953215</v>
      </c>
      <c r="I8" s="0" t="n">
        <f aca="false">I6*I7/100</f>
        <v>504.997130737513</v>
      </c>
      <c r="J8" s="0" t="n">
        <f aca="false">J6*J7/100</f>
        <v>512.572087698575</v>
      </c>
      <c r="K8" s="0" t="n">
        <f aca="false">K6*K7/100</f>
        <v>520.260669014054</v>
      </c>
      <c r="L8" s="0" t="n">
        <f aca="false">L6*L7/100</f>
        <v>528.064579049265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-18.0627798</v>
      </c>
      <c r="D10" s="0" t="n">
        <f aca="false">-D6*D9/100</f>
        <v>-18.96591879</v>
      </c>
      <c r="E10" s="0" t="n">
        <f aca="false">-E6*E9/100</f>
        <v>-19.5348963537</v>
      </c>
      <c r="F10" s="0" t="n">
        <f aca="false">-F6*F9/100</f>
        <v>-19.925594280774</v>
      </c>
      <c r="G10" s="0" t="n">
        <f aca="false">-G6*G9/100</f>
        <v>-20.3241061663895</v>
      </c>
      <c r="H10" s="0" t="n">
        <f aca="false">-H6*H9/100</f>
        <v>-20.7305882897173</v>
      </c>
      <c r="I10" s="0" t="n">
        <f aca="false">-I6*I9/100</f>
        <v>-21.041547114063</v>
      </c>
      <c r="J10" s="0" t="n">
        <f aca="false">-J6*J9/100</f>
        <v>-21.357170320774</v>
      </c>
      <c r="K10" s="0" t="n">
        <f aca="false">-K6*K9/100</f>
        <v>-21.6775278755856</v>
      </c>
      <c r="L10" s="0" t="n">
        <f aca="false">-L6*L9/100</f>
        <v>-22.0026907937194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137.27712648</v>
      </c>
      <c r="D11" s="0" t="n">
        <f aca="false">D8+D10+D24</f>
        <v>333.800170704</v>
      </c>
      <c r="E11" s="0" t="n">
        <f aca="false">E8+E10+E24</f>
        <v>382.88396853252</v>
      </c>
      <c r="F11" s="0" t="n">
        <f aca="false">F8+F10+F24</f>
        <v>430.392836464718</v>
      </c>
      <c r="G11" s="0" t="n">
        <f aca="false">G8+G10+G24</f>
        <v>439.000693194013</v>
      </c>
      <c r="H11" s="0" t="n">
        <f aca="false">H8+H10+H24</f>
        <v>447.780707057893</v>
      </c>
      <c r="I11" s="0" t="n">
        <f aca="false">I8+I10+I24</f>
        <v>454.497417663761</v>
      </c>
      <c r="J11" s="0" t="n">
        <f aca="false">J8+J10+J24</f>
        <v>461.314878928718</v>
      </c>
      <c r="K11" s="0" t="n">
        <f aca="false">K8+K10+K24</f>
        <v>468.234602112649</v>
      </c>
      <c r="L11" s="0" t="n">
        <f aca="false">L8+L10+L24</f>
        <v>475.258121144338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-12.64394586</v>
      </c>
      <c r="D12" s="4" t="n">
        <f aca="false">-D6*Assumptions!D17/100</f>
        <v>-13.276143153</v>
      </c>
      <c r="E12" s="4" t="n">
        <f aca="false">-E6*Assumptions!E17/100</f>
        <v>-13.67442744759</v>
      </c>
      <c r="F12" s="4" t="n">
        <f aca="false">-F6*Assumptions!F17/100</f>
        <v>-13.9479159965418</v>
      </c>
      <c r="G12" s="4" t="n">
        <f aca="false">-G6*Assumptions!G17/100</f>
        <v>-14.2268743164726</v>
      </c>
      <c r="H12" s="4" t="n">
        <f aca="false">-H6*Assumptions!H17/100</f>
        <v>-14.5114118028021</v>
      </c>
      <c r="I12" s="4" t="n">
        <f aca="false">-I6*Assumptions!I17/100</f>
        <v>-14.7290829798441</v>
      </c>
      <c r="J12" s="4" t="n">
        <f aca="false">-J6*Assumptions!J17/100</f>
        <v>-14.9500192245418</v>
      </c>
      <c r="K12" s="4" t="n">
        <f aca="false">-K6*Assumptions!K17/100</f>
        <v>-15.1742695129099</v>
      </c>
      <c r="L12" s="4" t="n">
        <f aca="false">-L6*Assumptions!L17/100</f>
        <v>-15.4018835556036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124.63318062</v>
      </c>
      <c r="D13" s="0" t="n">
        <f aca="false">D11+D12</f>
        <v>320.524027551</v>
      </c>
      <c r="E13" s="0" t="n">
        <f aca="false">E11+E12</f>
        <v>369.20954108493</v>
      </c>
      <c r="F13" s="0" t="n">
        <f aca="false">F11+F12</f>
        <v>416.444920468177</v>
      </c>
      <c r="G13" s="0" t="n">
        <f aca="false">G11+G12</f>
        <v>424.77381887754</v>
      </c>
      <c r="H13" s="0" t="n">
        <f aca="false">H11+H12</f>
        <v>433.269295255091</v>
      </c>
      <c r="I13" s="0" t="n">
        <f aca="false">I11+I12</f>
        <v>439.768334683917</v>
      </c>
      <c r="J13" s="0" t="n">
        <f aca="false">J11+J12</f>
        <v>446.364859704176</v>
      </c>
      <c r="K13" s="0" t="n">
        <f aca="false">K11+K12</f>
        <v>453.060332599739</v>
      </c>
      <c r="L13" s="0" t="n">
        <f aca="false">L11+L12</f>
        <v>459.856237588735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89.7358900464</v>
      </c>
      <c r="D15" s="0" t="n">
        <f aca="false">D13-MAX(0,D13)*D14/100</f>
        <v>230.77729983672</v>
      </c>
      <c r="E15" s="0" t="n">
        <f aca="false">E13-MAX(0,E13)*E14/100</f>
        <v>265.83086958115</v>
      </c>
      <c r="F15" s="0" t="n">
        <f aca="false">F13-MAX(0,F13)*F14/100</f>
        <v>299.840342737087</v>
      </c>
      <c r="G15" s="0" t="n">
        <f aca="false">G13-MAX(0,G13)*G14/100</f>
        <v>305.837149591829</v>
      </c>
      <c r="H15" s="0" t="n">
        <f aca="false">H13-MAX(0,H13)*H14/100</f>
        <v>311.953892583666</v>
      </c>
      <c r="I15" s="0" t="n">
        <f aca="false">I13-MAX(0,I13)*I14/100</f>
        <v>316.63320097242</v>
      </c>
      <c r="J15" s="0" t="n">
        <f aca="false">J13-MAX(0,J13)*J14/100</f>
        <v>321.382698987007</v>
      </c>
      <c r="K15" s="0" t="n">
        <f aca="false">K13-MAX(0,K13)*K14/100</f>
        <v>326.203439471812</v>
      </c>
      <c r="L15" s="0" t="n">
        <f aca="false">L13-MAX(0,L13)*L14/100</f>
        <v>331.096491063889</v>
      </c>
    </row>
    <row r="16" customFormat="false" ht="15" hidden="false" customHeight="false" outlineLevel="0" collapsed="false">
      <c r="A16" s="0" t="s">
        <v>120</v>
      </c>
      <c r="C16" s="0" t="n">
        <f aca="false">-C12</f>
        <v>12.64394586</v>
      </c>
      <c r="D16" s="0" t="n">
        <f aca="false">-D12</f>
        <v>13.276143153</v>
      </c>
      <c r="E16" s="0" t="n">
        <f aca="false">-E12</f>
        <v>13.67442744759</v>
      </c>
      <c r="F16" s="0" t="n">
        <f aca="false">-F12</f>
        <v>13.9479159965418</v>
      </c>
      <c r="G16" s="0" t="n">
        <f aca="false">-G12</f>
        <v>14.2268743164726</v>
      </c>
      <c r="H16" s="0" t="n">
        <f aca="false">-H12</f>
        <v>14.5114118028021</v>
      </c>
      <c r="I16" s="0" t="n">
        <f aca="false">-I12</f>
        <v>14.7290829798441</v>
      </c>
      <c r="J16" s="0" t="n">
        <f aca="false">-J12</f>
        <v>14.9500192245418</v>
      </c>
      <c r="K16" s="0" t="n">
        <f aca="false">-K12</f>
        <v>15.1742695129099</v>
      </c>
      <c r="L16" s="0" t="n">
        <f aca="false">-L12</f>
        <v>15.4018835556036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-14.45022384</v>
      </c>
      <c r="D17" s="4" t="n">
        <f aca="false">-D6*Assumptions!D18/100</f>
        <v>-15.172735032</v>
      </c>
      <c r="E17" s="4" t="n">
        <f aca="false">-E6*Assumptions!E18/100</f>
        <v>-15.62791708296</v>
      </c>
      <c r="F17" s="4" t="n">
        <f aca="false">-F6*Assumptions!F18/100</f>
        <v>-15.9404754246192</v>
      </c>
      <c r="G17" s="4" t="n">
        <f aca="false">-G6*Assumptions!G18/100</f>
        <v>-16.2592849331116</v>
      </c>
      <c r="H17" s="4" t="n">
        <f aca="false">-H6*Assumptions!H18/100</f>
        <v>-16.5844706317738</v>
      </c>
      <c r="I17" s="4" t="n">
        <f aca="false">-I6*Assumptions!I18/100</f>
        <v>-16.8332376912504</v>
      </c>
      <c r="J17" s="4" t="n">
        <f aca="false">-J6*Assumptions!J18/100</f>
        <v>-17.0857362566192</v>
      </c>
      <c r="K17" s="4" t="n">
        <f aca="false">-K6*Assumptions!K18/100</f>
        <v>-17.3420223004685</v>
      </c>
      <c r="L17" s="4" t="n">
        <f aca="false">-L6*Assumptions!L18/100</f>
        <v>-17.6021526349755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87.9296120664</v>
      </c>
      <c r="D19" s="0" t="n">
        <f aca="false">D15+D16+D17+D18</f>
        <v>228.88070795772</v>
      </c>
      <c r="E19" s="0" t="n">
        <f aca="false">E15+E16+E17+E18</f>
        <v>263.87737994578</v>
      </c>
      <c r="F19" s="0" t="n">
        <f aca="false">F15+F16+F17+F18</f>
        <v>297.84778330901</v>
      </c>
      <c r="G19" s="0" t="n">
        <f aca="false">G15+G16+G17+G18</f>
        <v>303.80473897519</v>
      </c>
      <c r="H19" s="0" t="n">
        <f aca="false">H15+H16+H17+H18</f>
        <v>309.880833754694</v>
      </c>
      <c r="I19" s="0" t="n">
        <f aca="false">I15+I16+I17+I18</f>
        <v>314.529046261014</v>
      </c>
      <c r="J19" s="0" t="n">
        <f aca="false">J15+J16+J17+J18</f>
        <v>319.246981954929</v>
      </c>
      <c r="K19" s="0" t="n">
        <f aca="false">K15+K16+K17+K18</f>
        <v>324.035686684253</v>
      </c>
      <c r="L19" s="0" t="n">
        <f aca="false">L15+L16+L17+L18</f>
        <v>328.896221984517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79.9360109694545</v>
      </c>
      <c r="D21" s="0" t="n">
        <f aca="false">D19*D20</f>
        <v>189.157609882413</v>
      </c>
      <c r="E21" s="0" t="n">
        <f aca="false">E19*E20</f>
        <v>198.254981176393</v>
      </c>
      <c r="F21" s="0" t="n">
        <f aca="false">F19*F20</f>
        <v>203.434043650713</v>
      </c>
      <c r="G21" s="0" t="n">
        <f aca="false">G19*G20</f>
        <v>188.638840476116</v>
      </c>
      <c r="H21" s="0" t="n">
        <f aca="false">H19*H20</f>
        <v>174.919652077853</v>
      </c>
      <c r="I21" s="0" t="n">
        <f aca="false">I19*I20</f>
        <v>161.403133508201</v>
      </c>
      <c r="J21" s="0" t="n">
        <f aca="false">J19*J20</f>
        <v>148.931073191658</v>
      </c>
      <c r="K21" s="0" t="n">
        <f aca="false">K19*K20</f>
        <v>137.422762990484</v>
      </c>
      <c r="L21" s="0" t="n">
        <f aca="false">L19*L20</f>
        <v>126.803731304856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0.7</v>
      </c>
      <c r="D23" s="4" t="n">
        <f aca="false">Assumptions!D16</f>
        <v>0.7</v>
      </c>
      <c r="E23" s="4" t="n">
        <f aca="false">Assumptions!E16</f>
        <v>0.7</v>
      </c>
      <c r="F23" s="4" t="n">
        <f aca="false">Assumptions!F16</f>
        <v>0.7</v>
      </c>
      <c r="G23" s="4" t="n">
        <f aca="false">Assumptions!G16</f>
        <v>0.7</v>
      </c>
      <c r="H23" s="4" t="n">
        <f aca="false">Assumptions!H16</f>
        <v>0.7</v>
      </c>
      <c r="I23" s="4" t="n">
        <f aca="false">Assumptions!I16</f>
        <v>0.7</v>
      </c>
      <c r="J23" s="4" t="n">
        <f aca="false">Assumptions!J16</f>
        <v>0.7</v>
      </c>
      <c r="K23" s="4" t="n">
        <f aca="false">Assumptions!K16</f>
        <v>0.7</v>
      </c>
      <c r="L23" s="4" t="n">
        <f aca="false">Assumptions!L16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-25.28789172</v>
      </c>
      <c r="D24" s="0" t="n">
        <f aca="false">-D6*D23/100</f>
        <v>-26.552286306</v>
      </c>
      <c r="E24" s="0" t="n">
        <f aca="false">-E6*E23/100</f>
        <v>-27.34885489518</v>
      </c>
      <c r="F24" s="0" t="n">
        <f aca="false">-F6*F23/100</f>
        <v>-27.8958319930836</v>
      </c>
      <c r="G24" s="0" t="n">
        <f aca="false">-G6*G23/100</f>
        <v>-28.4537486329453</v>
      </c>
      <c r="H24" s="0" t="n">
        <f aca="false">-H6*H23/100</f>
        <v>-29.0228236056042</v>
      </c>
      <c r="I24" s="0" t="n">
        <f aca="false">-I6*I23/100</f>
        <v>-29.4581659596882</v>
      </c>
      <c r="J24" s="0" t="n">
        <f aca="false">-J6*J23/100</f>
        <v>-29.9000384490836</v>
      </c>
      <c r="K24" s="0" t="n">
        <f aca="false">-K6*K23/100</f>
        <v>-30.3485390258198</v>
      </c>
      <c r="L24" s="0" t="n">
        <f aca="false">-L6*L23/100</f>
        <v>-30.8037671112071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1608.90183922814</v>
      </c>
    </row>
    <row r="31" customFormat="false" ht="15" hidden="false" customHeight="false" outlineLevel="0" collapsed="false">
      <c r="A31" s="0" t="s">
        <v>129</v>
      </c>
      <c r="B31" s="0" t="n">
        <f aca="false">L19</f>
        <v>328.896221984517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3690.94649115958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3288.96221984517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3288.96221984517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1268.03731304856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2876.9391522767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5994.9681522767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6.06061969623972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0.655907020830526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123.140171284161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95.1979964751172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6.28134890886452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2372.75131574544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5.03341704502916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-18</v>
      </c>
      <c r="D5" s="4" t="n">
        <f aca="false">Assumptions!D27</f>
        <v>12</v>
      </c>
      <c r="E5" s="4" t="n">
        <f aca="false">Assumptions!E27</f>
        <v>6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4631.482</v>
      </c>
      <c r="C6" s="0" t="n">
        <f aca="false">B6*(1+C5/100)</f>
        <v>3797.81524</v>
      </c>
      <c r="D6" s="0" t="n">
        <f aca="false">C6*(1+D5/100)</f>
        <v>4253.5530688</v>
      </c>
      <c r="E6" s="0" t="n">
        <f aca="false">D6*(1+E5/100)</f>
        <v>4508.766252928</v>
      </c>
      <c r="F6" s="0" t="n">
        <f aca="false">E6*(1+F5/100)</f>
        <v>4689.11690304512</v>
      </c>
      <c r="G6" s="0" t="n">
        <f aca="false">F6*(1+G5/100)</f>
        <v>4853.2359946517</v>
      </c>
      <c r="H6" s="0" t="n">
        <f aca="false">G6*(1+H5/100)</f>
        <v>4998.83307449125</v>
      </c>
      <c r="I6" s="0" t="n">
        <f aca="false">H6*(1+I5/100)</f>
        <v>5148.79806672599</v>
      </c>
      <c r="J6" s="0" t="n">
        <f aca="false">I6*(1+J5/100)</f>
        <v>5277.51801839414</v>
      </c>
      <c r="K6" s="0" t="n">
        <f aca="false">J6*(1+K5/100)</f>
        <v>5409.45596885399</v>
      </c>
      <c r="L6" s="0" t="n">
        <f aca="false">K6*(1+L5/100)</f>
        <v>5544.69236807534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8</v>
      </c>
      <c r="D7" s="4" t="n">
        <f aca="false">Assumptions!D28</f>
        <v>14.5</v>
      </c>
      <c r="E7" s="4" t="n">
        <f aca="false">Assumptions!E28</f>
        <v>16</v>
      </c>
      <c r="F7" s="4" t="n">
        <f aca="false">Assumptions!F28</f>
        <v>16.5</v>
      </c>
      <c r="G7" s="4" t="n">
        <f aca="false">Assumptions!G28</f>
        <v>17</v>
      </c>
      <c r="H7" s="4" t="n">
        <f aca="false">Assumptions!H28</f>
        <v>17</v>
      </c>
      <c r="I7" s="4" t="n">
        <f aca="false">Assumptions!I28</f>
        <v>17</v>
      </c>
      <c r="J7" s="4" t="n">
        <f aca="false">Assumptions!J28</f>
        <v>17</v>
      </c>
      <c r="K7" s="4" t="n">
        <f aca="false">Assumptions!K28</f>
        <v>17</v>
      </c>
      <c r="L7" s="4" t="n">
        <f aca="false">Assumptions!L28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303.8252192</v>
      </c>
      <c r="D8" s="0" t="n">
        <f aca="false">D6*D7/100</f>
        <v>616.765194976</v>
      </c>
      <c r="E8" s="0" t="n">
        <f aca="false">E6*E7/100</f>
        <v>721.40260046848</v>
      </c>
      <c r="F8" s="0" t="n">
        <f aca="false">F6*F7/100</f>
        <v>773.704289002445</v>
      </c>
      <c r="G8" s="0" t="n">
        <f aca="false">G6*G7/100</f>
        <v>825.050119090789</v>
      </c>
      <c r="H8" s="0" t="n">
        <f aca="false">H6*H7/100</f>
        <v>849.801622663513</v>
      </c>
      <c r="I8" s="0" t="n">
        <f aca="false">I6*I7/100</f>
        <v>875.295671343418</v>
      </c>
      <c r="J8" s="0" t="n">
        <f aca="false">J6*J7/100</f>
        <v>897.178063127004</v>
      </c>
      <c r="K8" s="0" t="n">
        <f aca="false">K6*K7/100</f>
        <v>919.607514705179</v>
      </c>
      <c r="L8" s="0" t="n">
        <f aca="false">L6*L7/100</f>
        <v>942.597702572808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-18.9890762</v>
      </c>
      <c r="D10" s="0" t="n">
        <f aca="false">-D6*D9/100</f>
        <v>-21.267765344</v>
      </c>
      <c r="E10" s="0" t="n">
        <f aca="false">-E6*E9/100</f>
        <v>-22.54383126464</v>
      </c>
      <c r="F10" s="0" t="n">
        <f aca="false">-F6*F9/100</f>
        <v>-23.4455845152256</v>
      </c>
      <c r="G10" s="0" t="n">
        <f aca="false">-G6*G9/100</f>
        <v>-24.2661799732585</v>
      </c>
      <c r="H10" s="0" t="n">
        <f aca="false">-H6*H9/100</f>
        <v>-24.9941653724563</v>
      </c>
      <c r="I10" s="0" t="n">
        <f aca="false">-I6*I9/100</f>
        <v>-25.74399033363</v>
      </c>
      <c r="J10" s="0" t="n">
        <f aca="false">-J6*J9/100</f>
        <v>-26.3875900919707</v>
      </c>
      <c r="K10" s="0" t="n">
        <f aca="false">-K6*K9/100</f>
        <v>-27.04727984427</v>
      </c>
      <c r="L10" s="0" t="n">
        <f aca="false">-L6*L9/100</f>
        <v>-27.7234618403767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258.25143632</v>
      </c>
      <c r="D11" s="0" t="n">
        <f aca="false">D8+D10+D24</f>
        <v>565.7225581504</v>
      </c>
      <c r="E11" s="0" t="n">
        <f aca="false">E8+E10+E24</f>
        <v>667.297405433344</v>
      </c>
      <c r="F11" s="0" t="n">
        <f aca="false">F8+F10+F24</f>
        <v>717.434886165904</v>
      </c>
      <c r="G11" s="0" t="n">
        <f aca="false">G8+G10+G24</f>
        <v>766.811287154969</v>
      </c>
      <c r="H11" s="0" t="n">
        <f aca="false">H8+H10+H24</f>
        <v>789.815625769618</v>
      </c>
      <c r="I11" s="0" t="n">
        <f aca="false">I8+I10+I24</f>
        <v>813.510094542706</v>
      </c>
      <c r="J11" s="0" t="n">
        <f aca="false">J8+J10+J24</f>
        <v>833.847846906274</v>
      </c>
      <c r="K11" s="0" t="n">
        <f aca="false">K8+K10+K24</f>
        <v>854.694043078931</v>
      </c>
      <c r="L11" s="0" t="n">
        <f aca="false">L8+L10+L24</f>
        <v>876.061394155904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-13.29235334</v>
      </c>
      <c r="D12" s="4" t="n">
        <f aca="false">-D6*Assumptions!D31/100</f>
        <v>-14.8874357408</v>
      </c>
      <c r="E12" s="4" t="n">
        <f aca="false">-E6*Assumptions!E31/100</f>
        <v>-15.780681885248</v>
      </c>
      <c r="F12" s="4" t="n">
        <f aca="false">-F6*Assumptions!F31/100</f>
        <v>-16.4119091606579</v>
      </c>
      <c r="G12" s="4" t="n">
        <f aca="false">-G6*Assumptions!G31/100</f>
        <v>-16.986325981281</v>
      </c>
      <c r="H12" s="4" t="n">
        <f aca="false">-H6*Assumptions!H31/100</f>
        <v>-17.4959157607194</v>
      </c>
      <c r="I12" s="4" t="n">
        <f aca="false">-I6*Assumptions!I31/100</f>
        <v>-18.020793233541</v>
      </c>
      <c r="J12" s="4" t="n">
        <f aca="false">-J6*Assumptions!J31/100</f>
        <v>-18.4713130643795</v>
      </c>
      <c r="K12" s="4" t="n">
        <f aca="false">-K6*Assumptions!K31/100</f>
        <v>-18.933095890989</v>
      </c>
      <c r="L12" s="4" t="n">
        <f aca="false">-L6*Assumptions!L31/100</f>
        <v>-19.4064232882637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244.95908298</v>
      </c>
      <c r="D13" s="0" t="n">
        <f aca="false">D11+D12</f>
        <v>550.8351224096</v>
      </c>
      <c r="E13" s="0" t="n">
        <f aca="false">E11+E12</f>
        <v>651.516723548096</v>
      </c>
      <c r="F13" s="0" t="n">
        <f aca="false">F11+F12</f>
        <v>701.022977005246</v>
      </c>
      <c r="G13" s="0" t="n">
        <f aca="false">G11+G12</f>
        <v>749.824961173688</v>
      </c>
      <c r="H13" s="0" t="n">
        <f aca="false">H11+H12</f>
        <v>772.319710008899</v>
      </c>
      <c r="I13" s="0" t="n">
        <f aca="false">I11+I12</f>
        <v>795.489301309165</v>
      </c>
      <c r="J13" s="0" t="n">
        <f aca="false">J11+J12</f>
        <v>815.376533841895</v>
      </c>
      <c r="K13" s="0" t="n">
        <f aca="false">K11+K12</f>
        <v>835.760947187942</v>
      </c>
      <c r="L13" s="0" t="n">
        <f aca="false">L11+L12</f>
        <v>856.65497086764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181.2697214052</v>
      </c>
      <c r="D15" s="0" t="n">
        <f aca="false">D13-MAX(0,D13)*D14/100</f>
        <v>407.617990583104</v>
      </c>
      <c r="E15" s="0" t="n">
        <f aca="false">E13-MAX(0,E13)*E14/100</f>
        <v>482.122375425591</v>
      </c>
      <c r="F15" s="0" t="n">
        <f aca="false">F13-MAX(0,F13)*F14/100</f>
        <v>518.757002983882</v>
      </c>
      <c r="G15" s="0" t="n">
        <f aca="false">G13-MAX(0,G13)*G14/100</f>
        <v>554.870471268529</v>
      </c>
      <c r="H15" s="0" t="n">
        <f aca="false">H13-MAX(0,H13)*H14/100</f>
        <v>571.516585406585</v>
      </c>
      <c r="I15" s="0" t="n">
        <f aca="false">I13-MAX(0,I13)*I14/100</f>
        <v>588.662082968782</v>
      </c>
      <c r="J15" s="0" t="n">
        <f aca="false">J13-MAX(0,J13)*J14/100</f>
        <v>603.378635043002</v>
      </c>
      <c r="K15" s="0" t="n">
        <f aca="false">K13-MAX(0,K13)*K14/100</f>
        <v>618.463100919077</v>
      </c>
      <c r="L15" s="0" t="n">
        <f aca="false">L13-MAX(0,L13)*L14/100</f>
        <v>633.924678442054</v>
      </c>
    </row>
    <row r="16" customFormat="false" ht="15" hidden="false" customHeight="false" outlineLevel="0" collapsed="false">
      <c r="A16" s="0" t="s">
        <v>120</v>
      </c>
      <c r="C16" s="0" t="n">
        <f aca="false">-C12</f>
        <v>13.29235334</v>
      </c>
      <c r="D16" s="0" t="n">
        <f aca="false">-D12</f>
        <v>14.8874357408</v>
      </c>
      <c r="E16" s="0" t="n">
        <f aca="false">-E12</f>
        <v>15.780681885248</v>
      </c>
      <c r="F16" s="0" t="n">
        <f aca="false">-F12</f>
        <v>16.4119091606579</v>
      </c>
      <c r="G16" s="0" t="n">
        <f aca="false">-G12</f>
        <v>16.986325981281</v>
      </c>
      <c r="H16" s="0" t="n">
        <f aca="false">-H12</f>
        <v>17.4959157607194</v>
      </c>
      <c r="I16" s="0" t="n">
        <f aca="false">-I12</f>
        <v>18.020793233541</v>
      </c>
      <c r="J16" s="0" t="n">
        <f aca="false">-J12</f>
        <v>18.4713130643795</v>
      </c>
      <c r="K16" s="0" t="n">
        <f aca="false">-K12</f>
        <v>18.933095890989</v>
      </c>
      <c r="L16" s="0" t="n">
        <f aca="false">-L12</f>
        <v>19.4064232882637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-15.19126096</v>
      </c>
      <c r="D17" s="4" t="n">
        <f aca="false">-D6*Assumptions!D32/100</f>
        <v>-17.0142122752</v>
      </c>
      <c r="E17" s="4" t="n">
        <f aca="false">-E6*Assumptions!E32/100</f>
        <v>-18.035065011712</v>
      </c>
      <c r="F17" s="4" t="n">
        <f aca="false">-F6*Assumptions!F32/100</f>
        <v>-18.7564676121805</v>
      </c>
      <c r="G17" s="4" t="n">
        <f aca="false">-G6*Assumptions!G32/100</f>
        <v>-19.4129439786068</v>
      </c>
      <c r="H17" s="4" t="n">
        <f aca="false">-H6*Assumptions!H32/100</f>
        <v>-19.995332297965</v>
      </c>
      <c r="I17" s="4" t="n">
        <f aca="false">-I6*Assumptions!I32/100</f>
        <v>-20.595192266904</v>
      </c>
      <c r="J17" s="4" t="n">
        <f aca="false">-J6*Assumptions!J32/100</f>
        <v>-21.1100720735766</v>
      </c>
      <c r="K17" s="4" t="n">
        <f aca="false">-K6*Assumptions!K32/100</f>
        <v>-21.637823875416</v>
      </c>
      <c r="L17" s="4" t="n">
        <f aca="false">-L6*Assumptions!L32/100</f>
        <v>-22.1787694723014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179.3708137852</v>
      </c>
      <c r="D19" s="0" t="n">
        <f aca="false">D15+D16+D17+D18</f>
        <v>405.491214048704</v>
      </c>
      <c r="E19" s="0" t="n">
        <f aca="false">E15+E16+E17+E18</f>
        <v>479.867992299127</v>
      </c>
      <c r="F19" s="0" t="n">
        <f aca="false">F15+F16+F17+F18</f>
        <v>516.412444532359</v>
      </c>
      <c r="G19" s="0" t="n">
        <f aca="false">G15+G16+G17+G18</f>
        <v>552.443853271203</v>
      </c>
      <c r="H19" s="0" t="n">
        <f aca="false">H15+H16+H17+H18</f>
        <v>569.017168869339</v>
      </c>
      <c r="I19" s="0" t="n">
        <f aca="false">I15+I16+I17+I18</f>
        <v>586.087683935419</v>
      </c>
      <c r="J19" s="0" t="n">
        <f aca="false">J15+J16+J17+J18</f>
        <v>600.739876033805</v>
      </c>
      <c r="K19" s="0" t="n">
        <f aca="false">K15+K16+K17+K18</f>
        <v>615.75837293465</v>
      </c>
      <c r="L19" s="0" t="n">
        <f aca="false">L15+L16+L17+L18</f>
        <v>631.152332258016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163.064376168364</v>
      </c>
      <c r="D21" s="0" t="n">
        <f aca="false">D19*D20</f>
        <v>335.116705825375</v>
      </c>
      <c r="E21" s="0" t="n">
        <f aca="false">E19*E20</f>
        <v>360.531925093259</v>
      </c>
      <c r="F21" s="0" t="n">
        <f aca="false">F19*F20</f>
        <v>352.71664813357</v>
      </c>
      <c r="G21" s="0" t="n">
        <f aca="false">G19*G20</f>
        <v>343.024168289053</v>
      </c>
      <c r="H21" s="0" t="n">
        <f aca="false">H19*H20</f>
        <v>321.19535757975</v>
      </c>
      <c r="I21" s="0" t="n">
        <f aca="false">I19*I20</f>
        <v>300.755653006493</v>
      </c>
      <c r="J21" s="0" t="n">
        <f aca="false">J19*J20</f>
        <v>280.24958575605</v>
      </c>
      <c r="K21" s="0" t="n">
        <f aca="false">K19*K20</f>
        <v>261.141659454501</v>
      </c>
      <c r="L21" s="0" t="n">
        <f aca="false">L19*L20</f>
        <v>243.336546309876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0.7</v>
      </c>
      <c r="D23" s="4" t="n">
        <f aca="false">Assumptions!D30</f>
        <v>0.7</v>
      </c>
      <c r="E23" s="4" t="n">
        <f aca="false">Assumptions!E30</f>
        <v>0.7</v>
      </c>
      <c r="F23" s="4" t="n">
        <f aca="false">Assumptions!F30</f>
        <v>0.7</v>
      </c>
      <c r="G23" s="4" t="n">
        <f aca="false">Assumptions!G30</f>
        <v>0.7</v>
      </c>
      <c r="H23" s="4" t="n">
        <f aca="false">Assumptions!H30</f>
        <v>0.7</v>
      </c>
      <c r="I23" s="4" t="n">
        <f aca="false">Assumptions!I30</f>
        <v>0.7</v>
      </c>
      <c r="J23" s="4" t="n">
        <f aca="false">Assumptions!J30</f>
        <v>0.7</v>
      </c>
      <c r="K23" s="4" t="n">
        <f aca="false">Assumptions!K30</f>
        <v>0.7</v>
      </c>
      <c r="L23" s="4" t="n">
        <f aca="false">Assumptions!L30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-26.58470668</v>
      </c>
      <c r="D24" s="0" t="n">
        <f aca="false">-D6*D23/100</f>
        <v>-29.7748714816</v>
      </c>
      <c r="E24" s="0" t="n">
        <f aca="false">-E6*E23/100</f>
        <v>-31.561363770496</v>
      </c>
      <c r="F24" s="0" t="n">
        <f aca="false">-F6*F23/100</f>
        <v>-32.8238183213159</v>
      </c>
      <c r="G24" s="0" t="n">
        <f aca="false">-G6*G23/100</f>
        <v>-33.9726519625619</v>
      </c>
      <c r="H24" s="0" t="n">
        <f aca="false">-H6*H23/100</f>
        <v>-34.9918315214388</v>
      </c>
      <c r="I24" s="0" t="n">
        <f aca="false">-I6*I23/100</f>
        <v>-36.0415864670819</v>
      </c>
      <c r="J24" s="0" t="n">
        <f aca="false">-J6*J23/100</f>
        <v>-36.942626128759</v>
      </c>
      <c r="K24" s="0" t="n">
        <f aca="false">-K6*K23/100</f>
        <v>-37.8661917819779</v>
      </c>
      <c r="L24" s="0" t="n">
        <f aca="false">-L6*L23/100</f>
        <v>-38.8128465765274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2961.13262561629</v>
      </c>
    </row>
    <row r="31" customFormat="false" ht="15" hidden="false" customHeight="false" outlineLevel="0" collapsed="false">
      <c r="A31" s="0" t="s">
        <v>129</v>
      </c>
      <c r="B31" s="0" t="n">
        <f aca="false">L19</f>
        <v>631.152332258016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8047.19223628971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7573.82798709619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7573.82798709619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2920.03855571851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5881.1711813348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8999.2001813348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9.09775139484084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1.4857244248199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144.64659403768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136.27958207199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9.38175402385781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4952.1182992552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6.75710606557071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-15</v>
      </c>
      <c r="D5" s="4" t="n">
        <f aca="false">Assumptions!D41</f>
        <v>16</v>
      </c>
      <c r="E5" s="4" t="n">
        <f aca="false">Assumptions!E41</f>
        <v>8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4631.482</v>
      </c>
      <c r="C6" s="0" t="n">
        <f aca="false">B6*(1+C5/100)</f>
        <v>3936.7597</v>
      </c>
      <c r="D6" s="0" t="n">
        <f aca="false">C6*(1+D5/100)</f>
        <v>4566.641252</v>
      </c>
      <c r="E6" s="0" t="n">
        <f aca="false">D6*(1+E5/100)</f>
        <v>4931.97255216</v>
      </c>
      <c r="F6" s="0" t="n">
        <f aca="false">E6*(1+F5/100)</f>
        <v>5227.8909052896</v>
      </c>
      <c r="G6" s="0" t="n">
        <f aca="false">F6*(1+G5/100)</f>
        <v>5489.28545055408</v>
      </c>
      <c r="H6" s="0" t="n">
        <f aca="false">G6*(1+H5/100)</f>
        <v>5708.85686857624</v>
      </c>
      <c r="I6" s="0" t="n">
        <f aca="false">H6*(1+I5/100)</f>
        <v>5908.66685897641</v>
      </c>
      <c r="J6" s="0" t="n">
        <f aca="false">I6*(1+J5/100)</f>
        <v>6085.9268647457</v>
      </c>
      <c r="K6" s="0" t="n">
        <f aca="false">J6*(1+K5/100)</f>
        <v>6268.50467068808</v>
      </c>
      <c r="L6" s="0" t="n">
        <f aca="false">K6*(1+L5/100)</f>
        <v>6456.55981080872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10</v>
      </c>
      <c r="D7" s="4" t="n">
        <f aca="false">Assumptions!D42</f>
        <v>17</v>
      </c>
      <c r="E7" s="4" t="n">
        <f aca="false">Assumptions!E42</f>
        <v>19</v>
      </c>
      <c r="F7" s="4" t="n">
        <f aca="false">Assumptions!F42</f>
        <v>19.5</v>
      </c>
      <c r="G7" s="4" t="n">
        <f aca="false">Assumptions!G42</f>
        <v>20</v>
      </c>
      <c r="H7" s="4" t="n">
        <f aca="false">Assumptions!H42</f>
        <v>20</v>
      </c>
      <c r="I7" s="4" t="n">
        <f aca="false">Assumptions!I42</f>
        <v>20</v>
      </c>
      <c r="J7" s="4" t="n">
        <f aca="false">Assumptions!J42</f>
        <v>20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393.67597</v>
      </c>
      <c r="D8" s="0" t="n">
        <f aca="false">D6*D7/100</f>
        <v>776.32901284</v>
      </c>
      <c r="E8" s="0" t="n">
        <f aca="false">E6*E7/100</f>
        <v>937.0747849104</v>
      </c>
      <c r="F8" s="0" t="n">
        <f aca="false">F6*F7/100</f>
        <v>1019.43872653147</v>
      </c>
      <c r="G8" s="0" t="n">
        <f aca="false">G6*G7/100</f>
        <v>1097.85709011082</v>
      </c>
      <c r="H8" s="0" t="n">
        <f aca="false">H6*H7/100</f>
        <v>1141.77137371525</v>
      </c>
      <c r="I8" s="0" t="n">
        <f aca="false">I6*I7/100</f>
        <v>1181.73337179528</v>
      </c>
      <c r="J8" s="0" t="n">
        <f aca="false">J6*J7/100</f>
        <v>1217.18537294914</v>
      </c>
      <c r="K8" s="0" t="n">
        <f aca="false">K6*K7/100</f>
        <v>1253.70093413762</v>
      </c>
      <c r="L8" s="0" t="n">
        <f aca="false">L6*L7/100</f>
        <v>1291.31196216174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-19.6837985</v>
      </c>
      <c r="D10" s="0" t="n">
        <f aca="false">-D6*D9/100</f>
        <v>-22.83320626</v>
      </c>
      <c r="E10" s="0" t="n">
        <f aca="false">-E6*E9/100</f>
        <v>-24.6598627608</v>
      </c>
      <c r="F10" s="0" t="n">
        <f aca="false">-F6*F9/100</f>
        <v>-26.139454526448</v>
      </c>
      <c r="G10" s="0" t="n">
        <f aca="false">-G6*G9/100</f>
        <v>-27.4464272527704</v>
      </c>
      <c r="H10" s="0" t="n">
        <f aca="false">-H6*H9/100</f>
        <v>-28.5442843428812</v>
      </c>
      <c r="I10" s="0" t="n">
        <f aca="false">-I6*I9/100</f>
        <v>-29.5433342948821</v>
      </c>
      <c r="J10" s="0" t="n">
        <f aca="false">-J6*J9/100</f>
        <v>-30.4296343237285</v>
      </c>
      <c r="K10" s="0" t="n">
        <f aca="false">-K6*K9/100</f>
        <v>-31.3425233534404</v>
      </c>
      <c r="L10" s="0" t="n">
        <f aca="false">-L6*L9/100</f>
        <v>-32.2827990540436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346.4348536</v>
      </c>
      <c r="D11" s="0" t="n">
        <f aca="false">D8+D10+D24</f>
        <v>721.529317816</v>
      </c>
      <c r="E11" s="0" t="n">
        <f aca="false">E8+E10+E24</f>
        <v>877.89111428448</v>
      </c>
      <c r="F11" s="0" t="n">
        <f aca="false">F8+F10+F24</f>
        <v>956.704035667997</v>
      </c>
      <c r="G11" s="0" t="n">
        <f aca="false">G8+G10+G24</f>
        <v>1031.98566470417</v>
      </c>
      <c r="H11" s="0" t="n">
        <f aca="false">H8+H10+H24</f>
        <v>1073.26509129233</v>
      </c>
      <c r="I11" s="0" t="n">
        <f aca="false">I8+I10+I24</f>
        <v>1110.82936948757</v>
      </c>
      <c r="J11" s="0" t="n">
        <f aca="false">J8+J10+J24</f>
        <v>1144.15425057219</v>
      </c>
      <c r="K11" s="0" t="n">
        <f aca="false">K8+K10+K24</f>
        <v>1178.47887808936</v>
      </c>
      <c r="L11" s="0" t="n">
        <f aca="false">L8+L10+L24</f>
        <v>1213.83324443204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-13.77865895</v>
      </c>
      <c r="D12" s="4" t="n">
        <f aca="false">-D6*Assumptions!D45/100</f>
        <v>-15.983244382</v>
      </c>
      <c r="E12" s="4" t="n">
        <f aca="false">-E6*Assumptions!E45/100</f>
        <v>-17.26190393256</v>
      </c>
      <c r="F12" s="4" t="n">
        <f aca="false">-F6*Assumptions!F45/100</f>
        <v>-18.2976181685136</v>
      </c>
      <c r="G12" s="4" t="n">
        <f aca="false">-G6*Assumptions!G45/100</f>
        <v>-19.2124990769393</v>
      </c>
      <c r="H12" s="4" t="n">
        <f aca="false">-H6*Assumptions!H45/100</f>
        <v>-19.9809990400169</v>
      </c>
      <c r="I12" s="4" t="n">
        <f aca="false">-I6*Assumptions!I45/100</f>
        <v>-20.6803340064174</v>
      </c>
      <c r="J12" s="4" t="n">
        <f aca="false">-J6*Assumptions!J45/100</f>
        <v>-21.30074402661</v>
      </c>
      <c r="K12" s="4" t="n">
        <f aca="false">-K6*Assumptions!K45/100</f>
        <v>-21.9397663474083</v>
      </c>
      <c r="L12" s="4" t="n">
        <f aca="false">-L6*Assumptions!L45/100</f>
        <v>-22.5979593378305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332.65619465</v>
      </c>
      <c r="D13" s="0" t="n">
        <f aca="false">D11+D12</f>
        <v>705.546073434</v>
      </c>
      <c r="E13" s="0" t="n">
        <f aca="false">E11+E12</f>
        <v>860.62921035192</v>
      </c>
      <c r="F13" s="0" t="n">
        <f aca="false">F11+F12</f>
        <v>938.406417499483</v>
      </c>
      <c r="G13" s="0" t="n">
        <f aca="false">G11+G12</f>
        <v>1012.77316562723</v>
      </c>
      <c r="H13" s="0" t="n">
        <f aca="false">H11+H12</f>
        <v>1053.28409225232</v>
      </c>
      <c r="I13" s="0" t="n">
        <f aca="false">I11+I12</f>
        <v>1090.14903548115</v>
      </c>
      <c r="J13" s="0" t="n">
        <f aca="false">J11+J12</f>
        <v>1122.85350654558</v>
      </c>
      <c r="K13" s="0" t="n">
        <f aca="false">K11+K12</f>
        <v>1156.53911174195</v>
      </c>
      <c r="L13" s="0" t="n">
        <f aca="false">L11+L12</f>
        <v>1191.23528509421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249.4921459875</v>
      </c>
      <c r="D15" s="0" t="n">
        <f aca="false">D13-MAX(0,D13)*D14/100</f>
        <v>529.1595550755</v>
      </c>
      <c r="E15" s="0" t="n">
        <f aca="false">E13-MAX(0,E13)*E14/100</f>
        <v>645.47190776394</v>
      </c>
      <c r="F15" s="0" t="n">
        <f aca="false">F13-MAX(0,F13)*F14/100</f>
        <v>703.804813124612</v>
      </c>
      <c r="G15" s="0" t="n">
        <f aca="false">G13-MAX(0,G13)*G14/100</f>
        <v>759.579874220421</v>
      </c>
      <c r="H15" s="0" t="n">
        <f aca="false">H13-MAX(0,H13)*H14/100</f>
        <v>789.963069189238</v>
      </c>
      <c r="I15" s="0" t="n">
        <f aca="false">I13-MAX(0,I13)*I14/100</f>
        <v>817.611776610861</v>
      </c>
      <c r="J15" s="0" t="n">
        <f aca="false">J13-MAX(0,J13)*J14/100</f>
        <v>842.140129909187</v>
      </c>
      <c r="K15" s="0" t="n">
        <f aca="false">K13-MAX(0,K13)*K14/100</f>
        <v>867.404333806462</v>
      </c>
      <c r="L15" s="0" t="n">
        <f aca="false">L13-MAX(0,L13)*L14/100</f>
        <v>893.426463820656</v>
      </c>
    </row>
    <row r="16" customFormat="false" ht="15" hidden="false" customHeight="false" outlineLevel="0" collapsed="false">
      <c r="A16" s="0" t="s">
        <v>120</v>
      </c>
      <c r="C16" s="0" t="n">
        <f aca="false">-C12</f>
        <v>13.77865895</v>
      </c>
      <c r="D16" s="0" t="n">
        <f aca="false">-D12</f>
        <v>15.983244382</v>
      </c>
      <c r="E16" s="0" t="n">
        <f aca="false">-E12</f>
        <v>17.26190393256</v>
      </c>
      <c r="F16" s="0" t="n">
        <f aca="false">-F12</f>
        <v>18.2976181685136</v>
      </c>
      <c r="G16" s="0" t="n">
        <f aca="false">-G12</f>
        <v>19.2124990769393</v>
      </c>
      <c r="H16" s="0" t="n">
        <f aca="false">-H12</f>
        <v>19.9809990400169</v>
      </c>
      <c r="I16" s="0" t="n">
        <f aca="false">-I12</f>
        <v>20.6803340064174</v>
      </c>
      <c r="J16" s="0" t="n">
        <f aca="false">-J12</f>
        <v>21.30074402661</v>
      </c>
      <c r="K16" s="0" t="n">
        <f aca="false">-K12</f>
        <v>21.9397663474083</v>
      </c>
      <c r="L16" s="0" t="n">
        <f aca="false">-L12</f>
        <v>22.5979593378305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-15.7470388</v>
      </c>
      <c r="D17" s="4" t="n">
        <f aca="false">-D6*Assumptions!D46/100</f>
        <v>-18.266565008</v>
      </c>
      <c r="E17" s="4" t="n">
        <f aca="false">-E6*Assumptions!E46/100</f>
        <v>-19.72789020864</v>
      </c>
      <c r="F17" s="4" t="n">
        <f aca="false">-F6*Assumptions!F46/100</f>
        <v>-20.9115636211584</v>
      </c>
      <c r="G17" s="4" t="n">
        <f aca="false">-G6*Assumptions!G46/100</f>
        <v>-21.9571418022163</v>
      </c>
      <c r="H17" s="4" t="n">
        <f aca="false">-H6*Assumptions!H46/100</f>
        <v>-22.835427474305</v>
      </c>
      <c r="I17" s="4" t="n">
        <f aca="false">-I6*Assumptions!I46/100</f>
        <v>-23.6346674359056</v>
      </c>
      <c r="J17" s="4" t="n">
        <f aca="false">-J6*Assumptions!J46/100</f>
        <v>-24.3437074589828</v>
      </c>
      <c r="K17" s="4" t="n">
        <f aca="false">-K6*Assumptions!K46/100</f>
        <v>-25.0740186827523</v>
      </c>
      <c r="L17" s="4" t="n">
        <f aca="false">-L6*Assumptions!L46/100</f>
        <v>-25.8262392432349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247.5237661375</v>
      </c>
      <c r="D19" s="0" t="n">
        <f aca="false">D15+D16+D17+D18</f>
        <v>526.8762344495</v>
      </c>
      <c r="E19" s="0" t="n">
        <f aca="false">E15+E16+E17+E18</f>
        <v>643.00592148786</v>
      </c>
      <c r="F19" s="0" t="n">
        <f aca="false">F15+F16+F17+F18</f>
        <v>701.190867671968</v>
      </c>
      <c r="G19" s="0" t="n">
        <f aca="false">G15+G16+G17+G18</f>
        <v>756.835231495144</v>
      </c>
      <c r="H19" s="0" t="n">
        <f aca="false">H15+H16+H17+H18</f>
        <v>787.10864075495</v>
      </c>
      <c r="I19" s="0" t="n">
        <f aca="false">I15+I16+I17+I18</f>
        <v>814.657443181373</v>
      </c>
      <c r="J19" s="0" t="n">
        <f aca="false">J15+J16+J17+J18</f>
        <v>839.097166476814</v>
      </c>
      <c r="K19" s="0" t="n">
        <f aca="false">K15+K16+K17+K18</f>
        <v>864.270081471118</v>
      </c>
      <c r="L19" s="0" t="n">
        <f aca="false">L15+L16+L17+L18</f>
        <v>890.198183915252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225.021605579545</v>
      </c>
      <c r="D21" s="0" t="n">
        <f aca="false">D19*D20</f>
        <v>435.434904503719</v>
      </c>
      <c r="E21" s="0" t="n">
        <f aca="false">E19*E20</f>
        <v>483.099865881187</v>
      </c>
      <c r="F21" s="0" t="n">
        <f aca="false">F19*F20</f>
        <v>478.922797399063</v>
      </c>
      <c r="G21" s="0" t="n">
        <f aca="false">G19*G20</f>
        <v>469.935133277746</v>
      </c>
      <c r="H21" s="0" t="n">
        <f aca="false">H19*H20</f>
        <v>444.302307826233</v>
      </c>
      <c r="I21" s="0" t="n">
        <f aca="false">I19*I20</f>
        <v>418.048080545592</v>
      </c>
      <c r="J21" s="0" t="n">
        <f aca="false">J19*J20</f>
        <v>391.445020874509</v>
      </c>
      <c r="K21" s="0" t="n">
        <f aca="false">K19*K20</f>
        <v>366.534883182494</v>
      </c>
      <c r="L21" s="0" t="n">
        <f aca="false">L19*L20</f>
        <v>343.209936070881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0.7</v>
      </c>
      <c r="D23" s="4" t="n">
        <f aca="false">Assumptions!D44</f>
        <v>0.7</v>
      </c>
      <c r="E23" s="4" t="n">
        <f aca="false">Assumptions!E44</f>
        <v>0.7</v>
      </c>
      <c r="F23" s="4" t="n">
        <f aca="false">Assumptions!F44</f>
        <v>0.7</v>
      </c>
      <c r="G23" s="4" t="n">
        <f aca="false">Assumptions!G44</f>
        <v>0.7</v>
      </c>
      <c r="H23" s="4" t="n">
        <f aca="false">Assumptions!H44</f>
        <v>0.7</v>
      </c>
      <c r="I23" s="4" t="n">
        <f aca="false">Assumptions!I44</f>
        <v>0.7</v>
      </c>
      <c r="J23" s="4" t="n">
        <f aca="false">Assumptions!J44</f>
        <v>0.7</v>
      </c>
      <c r="K23" s="4" t="n">
        <f aca="false">Assumptions!K44</f>
        <v>0.7</v>
      </c>
      <c r="L23" s="4" t="n">
        <f aca="false">Assumptions!L44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-27.5573179</v>
      </c>
      <c r="D24" s="0" t="n">
        <f aca="false">-D6*D23/100</f>
        <v>-31.966488764</v>
      </c>
      <c r="E24" s="0" t="n">
        <f aca="false">-E6*E23/100</f>
        <v>-34.52380786512</v>
      </c>
      <c r="F24" s="0" t="n">
        <f aca="false">-F6*F23/100</f>
        <v>-36.5952363370272</v>
      </c>
      <c r="G24" s="0" t="n">
        <f aca="false">-G6*G23/100</f>
        <v>-38.4249981538786</v>
      </c>
      <c r="H24" s="0" t="n">
        <f aca="false">-H6*H23/100</f>
        <v>-39.9619980800337</v>
      </c>
      <c r="I24" s="0" t="n">
        <f aca="false">-I6*I23/100</f>
        <v>-41.3606680128349</v>
      </c>
      <c r="J24" s="0" t="n">
        <f aca="false">-J6*J23/100</f>
        <v>-42.6014880532199</v>
      </c>
      <c r="K24" s="0" t="n">
        <f aca="false">-K6*K23/100</f>
        <v>-43.8795326948165</v>
      </c>
      <c r="L24" s="0" t="n">
        <f aca="false">-L6*L23/100</f>
        <v>-45.195918675661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4055.95453514097</v>
      </c>
    </row>
    <row r="31" customFormat="false" ht="15" hidden="false" customHeight="false" outlineLevel="0" collapsed="false">
      <c r="A31" s="0" t="s">
        <v>129</v>
      </c>
      <c r="B31" s="0" t="n">
        <f aca="false">L19</f>
        <v>890.198183915252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12166.0418468418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11572.5763908983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11572.5763908983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4461.72916892146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8517.68370406243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11635.7127040624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11.7631366510673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2.2139717625867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161.395032863307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170.101026036943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12.0982629591252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7299.62510810506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8.21151775337465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6.06061969623972</v>
      </c>
      <c r="C4" s="0" t="n">
        <f aca="false">B4/Assumptions!$B$2-1</f>
        <v>0.655907020830526</v>
      </c>
      <c r="D4" s="4" t="n">
        <f aca="false">Assumptions!$B$24</f>
        <v>0.25</v>
      </c>
      <c r="E4" s="4" t="n">
        <f aca="false">DCF_Bear!$B$43</f>
        <v>6.28134890886452</v>
      </c>
      <c r="F4" s="4" t="n">
        <f aca="false">DCF_Bear!$B$47</f>
        <v>5.03341704502916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9.09775139484084</v>
      </c>
      <c r="C5" s="0" t="n">
        <f aca="false">B5/Assumptions!$B$2-1</f>
        <v>1.4857244248199</v>
      </c>
      <c r="D5" s="4" t="n">
        <f aca="false">Assumptions!$B$38</f>
        <v>0.5</v>
      </c>
      <c r="E5" s="4" t="n">
        <f aca="false">DCF_Base!$B$43</f>
        <v>9.38175402385781</v>
      </c>
      <c r="F5" s="4" t="n">
        <f aca="false">DCF_Base!$B$47</f>
        <v>6.75710606557071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11.7631366510673</v>
      </c>
      <c r="C6" s="0" t="n">
        <f aca="false">B6/Assumptions!$B$2-1</f>
        <v>2.2139717625867</v>
      </c>
      <c r="D6" s="4" t="n">
        <f aca="false">Assumptions!$B$52</f>
        <v>0.25</v>
      </c>
      <c r="E6" s="4" t="n">
        <f aca="false">DCF_Bull!$B$43</f>
        <v>12.0982629591252</v>
      </c>
      <c r="F6" s="4" t="n">
        <f aca="false">DCF_Bull!$B$47</f>
        <v>8.21151775337465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9.00481478424719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9.28577997892633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0.593550773925665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-1902.30494220145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6.68978673238631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9.53336158909609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9.09775139484084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8.54962924433001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7.96501305043617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6.75710606557071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10.010331291825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10.010331291825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10.010331291825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10.010331291825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10.010331291825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9.53336158909609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9.53336158909609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9.53336158909609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9.53336158909609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9.53336158909609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8.90641701063651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9.08328072712791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9.09775139484084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9.09775139484084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9.09775139484084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8.27247915337172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8.40376077540459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8.54962924433001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8.69944010430746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8.69944010430746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7.75583820594337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7.85544527474946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7.96501305043617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8.08611427619517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8.22067119370516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2026-10-16T22:22:03Z</dcterms:created>
  <dc:creator>openpyxl</dc:creator>
  <dc:description/>
  <dc:language>en-NZ</dc:language>
  <cp:lastModifiedBy/>
  <dcterms:modified xsi:type="dcterms:W3CDTF">2026-10-16T22:22:03Z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