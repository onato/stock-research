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<sst xmlns="http://schemas.openxmlformats.org/spreadsheetml/2006/main" count="379" uniqueCount="178">
  <si>
    <t xml:space="preserve">Ticker</t>
  </si>
  <si>
    <t xml:space="preserve">H78.SI</t>
  </si>
  <si>
    <t xml:space="preserve">Company</t>
  </si>
  <si>
    <t xml:space="preserve">Hongkong Land Holdings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</si>
  <si>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</si>
  <si>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</si>
  <si>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</si>
  <si>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</si>
  <si>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2026-10-23T09:04:18Z SGX (SES) regular close</t>
  </si>
  <si>
    <t xml:space="preserve">Balance sheet date</t>
  </si>
  <si>
    <t xml:space="preserve">2026-06-30</t>
  </si>
  <si>
    <t xml:space="preserve">Model</t>
  </si>
  <si>
    <t xml:space="preserve">Underlying profit capitalisation at cost of equity, prime-property AFFO-equivalent stream plus build-to-sell wind-down in the equity bridge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</si>
  <si>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</si>
  <si>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</si>
  <si>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</si>
  <si>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</si>
  <si>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</si>
  <si>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</si>
  <si>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</si>
  <si>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</si>
  <si>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2026-10-24T03:47:22Z</t>
  </si>
  <si>
    <t xml:space="preserve">Drivers file</t>
  </si>
  <si>
    <t xml:space="preserve">H78.SI_Drivers.json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</si>
  <si>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</si>
  <si>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</si>
  <si>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</si>
  <si>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Hongkong Land is valued as what a minority holder of the listed equity actually receives: the recurring post-interest earnings of the prime portfolio, capitalised at a USD cost of equity, plus the cash still to come out of the build-to-sell wind-down. On that basis the stock is not cheap. The 44% discount to NAV (US$8.20 against US$14.71) is the market applying an equity return to assets the valuers mark at 2.9-3.5% private-market cap rates; an 8.5% cost of equity on a 1.6% ROE stream only reaches NAV if the assets are sold. The NAV case is real but it is a different trade: it pays off only through disposals at book (MBFC T3, the HKEX floors and the SCPREF seeding at NAV show HKL can do this) or a take-private by Jardine Matheson (~54% owner). Neither is a live corporate action, so neither is modelled. The buyback at 0.56x NAV adds to NAV per share, but on the earnings basis it is roughly value-neutral, because the 2.9% earnings yield bought back is about the yield given up by selling assets.
nav_cross_check: nav_per_share: 14.71
nav_date: 2026-06-30
price_to_nav: 0.557
underlying_roe_pct: 1.6
note: Underlying profit FY2026E ~US$508m on shareholders' funds US$31.4bn. Investment property valuation US$34.7bn attributable at FY2025 (HK office cap rates 2.90-3.50%, HK retail 4.25-5.00%).
key_risks_to_valuation: Cost of equity: terminal value is 59% of base value. A 1pp lower CoE (7.5%) lifts base value about 11% to US$5.75, and even at 6.5% the 20x terminal cap binds at US$6.41, still below the price. The market price cannot be reached on the earnings stream at any plausible equity rate; it is paying for NAV realisation.; NAV realisation: if HKL keeps selling or fund-seeding assets at valuation and buys back stock below NAV, realised value per share can run well above this earnings-based figure.; A Jardine Matheson take-private at a NAV-referenced price would make this model irrelevant.; The build-to-sell haircut (25%) is a judgment on mainland China residential pricing; each 10pp is ~US$0.16/share.; Hong Kong Central office oversupply: new supply including HKL's own One Causeway Bay could reverse the 2026 rent recovery.; Interest rates: 41% of debt is floating; higher HIBOR/SORA lifts net financing charges in the post-interest stream directly.</t>
  </si>
  <si>
    <t xml:space="preserve">Data sources</t>
  </si>
  <si>
    <t xml:space="preserve">price: Yahoo Finance chart API (H78.SI, SGX, USD) at inputs.price_as_of; 52-week range 5.92-9.12.
financials: H78.SI_Metrics.csv and kpis (underlying profit, NAV per share, net debt, buybacks); H1 FY2026 interim results (balance sheet, cash flow, notes 1, 4, 7, 8, 11, 12, 15, outlook); FY2025 annual report (adjusted FCF reconciliation, valuation and capitalisation rates table, buyback programme, borrowing cost).
qualitative: H78.SI_Analysis.json (business model, Strategic Vision 2035, Tomorrow's CENTRAL, Westbund Central, SCPREF, risks).</t>
  </si>
  <si>
    <t xml:space="preserve">Scenario narrative: bear</t>
  </si>
  <si>
    <t xml:space="preserve">Structural office oversupply in Hong Kong reasserts itself after the 2026 bounce, the mainland stays weak, and capital recycling sells income without equal redeployment. Underlying profit drifts ~1-2% a year after FY2026; the business is a low-growth 1.6%-ROE landlord whose value rests on its asset base rather than its earnings.</t>
  </si>
  <si>
    <t xml:space="preserve">Scenario narrative: base</t>
  </si>
  <si>
    <t xml:space="preserve">Hong Kong Central office rents, which bottomed in Q3 2025, stabilise in 2027 and grow modestly from 2028; LANDMARK's Tomorrow's CENTRAL programme completes on schedule with positive reversions; Westbund Central Phases 2-3 and the Suzhou/Chongqing malls lease up; cost saves and fund fees add a few percent. Underlying profit compounds ~5.5% a year to ~US$826m by FY2035. The build-to-sell book is realised at ~75% of carrying value over 3-4 years and pays for the committed pipeline.</t>
  </si>
  <si>
    <t xml:space="preserve">Scenario narrative: bull</t>
  </si>
  <si>
    <t xml:space="preserve">A genuine Central office upcycle on the Hong Kong IPO pipeline and limited new supply, LANDMARK established as Asia's ultra-luxury flagship, the third-party capital platform scaling toward the 2035 AUM target, and the mainland commercial assets stabilising. Underlying profit roughly doubles by FY2035.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</si>
  <si>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</si>
  <si>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</si>
  <si>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</si>
  <si>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</si>
  <si>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</si>
  <si>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</si>
  <si>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</si>
  <si>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</si>
  <si>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</si>
  <si>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</si>
  <si>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</si>
  <si>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</si>
  <si>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</si>
  <si>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</si>
  <si>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</si>
  <si>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</si>
  <si>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</si>
  <si>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</si>
  <si>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</si>
  <si>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</si>
  <si>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</si>
  <si>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</si>
  <si>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</si>
  <si>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</si>
  <si>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</si>
  <si>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</si>
  <si>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</si>
  <si>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AdjustedFreeCashFlow</t>
  </si>
  <si>
    <t xml:space="preserve">DilutedEPS</t>
  </si>
  <si>
    <t xml:space="preserve">EffectiveCashTaxRate</t>
  </si>
  <si>
    <t xml:space="preserve">InvestmentPropertyCapex</t>
  </si>
  <si>
    <t xml:space="preserve">InvestmentPropertyFairValueChange</t>
  </si>
  <si>
    <t xml:space="preserve">NAVPerShare</t>
  </si>
  <si>
    <t xml:space="preserve">NonControllingInterests</t>
  </si>
  <si>
    <t xml:space="preserve">UnderlyingEPS</t>
  </si>
  <si>
    <t xml:space="preserve">UnderlyingProfit</t>
  </si>
  <si>
    <t xml:space="preserve">NTAPerShare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</si>
  <si>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</si>
  <si>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</si>
  <si>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</si>
  <si>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</si>
  <si>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</si>
  <si>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</si>
  <si>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</si>
  <si>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</si>
  <si>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</si>
  <si>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</si>
  <si>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</si>
  <si>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</si>
  <si>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</si>
  <si>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</si>
  <si>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</si>
  <si>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</si>
  <si>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</si>
  <si>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</si>
  <si>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</si>
  <si>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</si>
  <si>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</si>
  <si>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</si>
  <si>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</si>
  <si>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</si>
  <si>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</si>
  <si>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</si>
  <si>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</si>
  <si>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</si>
  <si>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</si>
  <si>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</si>
  <si>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</si>
  <si>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</si>
  <si>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</si>
  <si>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</si>
  <si>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</si>
  <si>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</si>
  <si>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</si>
  <si>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</si>
  <si>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</si>
  <si>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</si>
  <si>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</si>
  <si>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</si>
  <si>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</si>
  <si>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</si>
  <si>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</si>
  <si>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</si>
  <si>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</si>
  <si>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</si>
  <si>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</si>
  <si>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</si>
  <si>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H78.SI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</si>
  <si>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</si>
  <si>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</si>
  <si>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</si>
  <si>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</si>
  <si>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</si>
  <si>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</si>
  <si>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</si>
  <si>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</si>
  <si>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</si>
  <si>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</si>
  <si>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</si>
  <si>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</si>
  <si>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</si>
  <si>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</si>
  <si>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</si>
  <si>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</si>
  <si>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</si>
  <si>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</si>
  <si>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</si>
  <si>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</si>
  <si>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</si>
  <si>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</si>
  <si>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</si>
  <si>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</si>
  <si>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</si>
  <si>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</si>
  <si>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</si>
  <si>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</si>
  <si>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</si>
  <si>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</si>
  <si>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H78.SI owner-FCF component DCF: base case (millions, USD)</t>
  </si>
  <si>
    <t xml:space="preserve">H78.SI owner-FCF component DCF: bull case (millions, USD)</t>
  </si>
  <si>
    <t xml:space="preserve">H78.SI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</si>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</sst>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79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  <c r="AH1" s="2" t="s">
        <v>68</v>
      </c>
      <c r="AI1" s="2" t="s">
        <v>69</v>
      </c>
      <c r="AJ1" s="2" t="s">
        <v>70</v>
      </c>
      <c r="AK1" s="2" t="s">
        <v>71</v>
      </c>
      <c r="AL1" s="2" t="s">
        <v>72</v>
      </c>
    </row>
    <row r="2" customFormat="false" ht="15" hidden="false" customHeight="false" outlineLevel="0" collapsed="false">
      <c r="A2" s="0" t="s">
        <v>73</v>
      </c>
      <c r="B2" s="0" t="n">
        <v>1857.1</v>
      </c>
      <c r="F2" s="0" t="n">
        <v>834.7</v>
      </c>
      <c r="G2" s="0" t="n">
        <v>44.9</v>
      </c>
      <c r="I2" s="0" t="n">
        <v>1189.6</v>
      </c>
      <c r="J2" s="0" t="n">
        <v>64.1</v>
      </c>
      <c r="K2" s="0" t="n">
        <v>0.5056</v>
      </c>
      <c r="L2" s="0" t="n">
        <v>907.9</v>
      </c>
      <c r="M2" s="0" t="n">
        <v>174.2</v>
      </c>
      <c r="N2" s="0" t="n">
        <v>733.7</v>
      </c>
      <c r="O2" s="0" t="n">
        <v>26857</v>
      </c>
      <c r="P2" s="0" t="n">
        <v>32995.9</v>
      </c>
      <c r="Q2" s="0" t="n">
        <v>6096.8</v>
      </c>
      <c r="R2" s="0" t="n">
        <v>4431.5</v>
      </c>
      <c r="S2" s="0" t="n">
        <v>1406.3</v>
      </c>
      <c r="T2" s="0" t="n">
        <v>2353.8</v>
      </c>
      <c r="AA2" s="0" t="s">
        <v>17</v>
      </c>
      <c r="AB2" s="0" t="s">
        <v>14</v>
      </c>
      <c r="AE2" s="0" t="n">
        <v>10.249</v>
      </c>
      <c r="AF2" s="0" t="n">
        <v>174.2</v>
      </c>
      <c r="AG2" s="0" t="n">
        <v>-81.9</v>
      </c>
      <c r="AH2" s="0" t="n">
        <v>11.41</v>
      </c>
      <c r="AI2" s="0" t="n">
        <v>42.1</v>
      </c>
      <c r="AJ2" s="0" t="n">
        <v>0.3973</v>
      </c>
      <c r="AK2" s="0" t="n">
        <v>934.8</v>
      </c>
      <c r="AL2" s="0" t="n">
        <v>11.41</v>
      </c>
    </row>
    <row r="3" customFormat="false" ht="15" hidden="false" customHeight="false" outlineLevel="0" collapsed="false">
      <c r="A3" s="0" t="s">
        <v>74</v>
      </c>
      <c r="B3" s="0" t="n">
        <v>1876.3</v>
      </c>
      <c r="F3" s="0" t="n">
        <v>1091.3</v>
      </c>
      <c r="G3" s="0" t="n">
        <v>58.2</v>
      </c>
      <c r="I3" s="0" t="n">
        <v>1327.4</v>
      </c>
      <c r="J3" s="0" t="n">
        <v>70.7</v>
      </c>
      <c r="K3" s="0" t="n">
        <v>0.5642</v>
      </c>
      <c r="L3" s="0" t="n">
        <v>699</v>
      </c>
      <c r="M3" s="0" t="n">
        <v>174.4</v>
      </c>
      <c r="N3" s="0" t="n">
        <v>524.6</v>
      </c>
      <c r="O3" s="0" t="n">
        <v>27548.1</v>
      </c>
      <c r="P3" s="0" t="n">
        <v>33632.5</v>
      </c>
      <c r="Q3" s="0" t="n">
        <v>6034.1</v>
      </c>
      <c r="R3" s="0" t="n">
        <v>4319.6</v>
      </c>
      <c r="S3" s="0" t="n">
        <v>1662.6</v>
      </c>
      <c r="T3" s="0" t="n">
        <v>2352.5</v>
      </c>
      <c r="AA3" s="0" t="s">
        <v>17</v>
      </c>
      <c r="AB3" s="0" t="s">
        <v>14</v>
      </c>
      <c r="AE3" s="0" t="n">
        <v>8.7355</v>
      </c>
      <c r="AF3" s="0" t="n">
        <v>174.4</v>
      </c>
      <c r="AG3" s="0" t="n">
        <v>15.9</v>
      </c>
      <c r="AH3" s="0" t="n">
        <v>11.71</v>
      </c>
      <c r="AI3" s="0" t="n">
        <v>50.3</v>
      </c>
      <c r="AJ3" s="0" t="n">
        <v>0.3952</v>
      </c>
      <c r="AK3" s="0" t="n">
        <v>929.9</v>
      </c>
      <c r="AL3" s="0" t="n">
        <v>11.71</v>
      </c>
    </row>
    <row r="4" customFormat="false" ht="15" hidden="false" customHeight="false" outlineLevel="0" collapsed="false">
      <c r="A4" s="0" t="s">
        <v>75</v>
      </c>
      <c r="B4" s="0" t="n">
        <v>1932.1</v>
      </c>
      <c r="C4" s="0" t="n">
        <v>-904.6</v>
      </c>
      <c r="D4" s="0" t="n">
        <v>1027.5</v>
      </c>
      <c r="E4" s="0" t="n">
        <v>53.2</v>
      </c>
      <c r="F4" s="0" t="n">
        <v>2007.6</v>
      </c>
      <c r="G4" s="0" t="n">
        <v>103.9</v>
      </c>
      <c r="I4" s="0" t="n">
        <v>2011.7</v>
      </c>
      <c r="J4" s="0" t="n">
        <v>104.1</v>
      </c>
      <c r="K4" s="0" t="n">
        <v>0.855</v>
      </c>
      <c r="L4" s="0" t="n">
        <v>896.2</v>
      </c>
      <c r="M4" s="0" t="n">
        <v>210.1</v>
      </c>
      <c r="N4" s="0" t="n">
        <v>686.1</v>
      </c>
      <c r="O4" s="0" t="n">
        <v>28685</v>
      </c>
      <c r="P4" s="0" t="n">
        <v>34372.1</v>
      </c>
      <c r="Q4" s="0" t="n">
        <v>5651.7</v>
      </c>
      <c r="R4" s="0" t="n">
        <v>3909.7</v>
      </c>
      <c r="S4" s="0" t="n">
        <v>1569.2</v>
      </c>
      <c r="T4" s="0" t="n">
        <v>2353.2</v>
      </c>
      <c r="V4" s="0" t="n">
        <v>0.19</v>
      </c>
      <c r="AA4" s="0" t="s">
        <v>17</v>
      </c>
      <c r="AB4" s="0" t="s">
        <v>14</v>
      </c>
      <c r="AE4" s="0" t="n">
        <v>8.1572</v>
      </c>
      <c r="AF4" s="0" t="n">
        <v>210.1</v>
      </c>
      <c r="AG4" s="0" t="n">
        <v>999.9</v>
      </c>
      <c r="AH4" s="0" t="n">
        <v>12.19</v>
      </c>
      <c r="AI4" s="0" t="n">
        <v>35.4</v>
      </c>
      <c r="AJ4" s="0" t="n">
        <v>0.3844</v>
      </c>
      <c r="AK4" s="0" t="n">
        <v>904.5</v>
      </c>
      <c r="AL4" s="0" t="n">
        <v>12.19</v>
      </c>
    </row>
    <row r="5" customFormat="false" ht="15" hidden="false" customHeight="false" outlineLevel="0" collapsed="false">
      <c r="A5" s="0" t="s">
        <v>76</v>
      </c>
      <c r="B5" s="0" t="n">
        <v>1993.9</v>
      </c>
      <c r="C5" s="0" t="n">
        <v>-923</v>
      </c>
      <c r="D5" s="0" t="n">
        <v>1070.9</v>
      </c>
      <c r="E5" s="0" t="n">
        <v>53.7</v>
      </c>
      <c r="F5" s="0" t="n">
        <v>3521.7</v>
      </c>
      <c r="G5" s="0" t="n">
        <v>176.6</v>
      </c>
      <c r="I5" s="0" t="n">
        <v>3346.3</v>
      </c>
      <c r="J5" s="0" t="n">
        <v>167.8</v>
      </c>
      <c r="K5" s="0" t="n">
        <v>1.4223</v>
      </c>
      <c r="L5" s="0" t="n">
        <v>1096.2</v>
      </c>
      <c r="M5" s="0" t="n">
        <v>239.5</v>
      </c>
      <c r="N5" s="0" t="n">
        <v>856.7</v>
      </c>
      <c r="O5" s="0" t="n">
        <v>31294.4</v>
      </c>
      <c r="P5" s="0" t="n">
        <v>36954.7</v>
      </c>
      <c r="Q5" s="0" t="n">
        <v>5640.3</v>
      </c>
      <c r="R5" s="0" t="n">
        <v>3916.4</v>
      </c>
      <c r="S5" s="0" t="n">
        <v>1908.9</v>
      </c>
      <c r="T5" s="0" t="n">
        <v>2353</v>
      </c>
      <c r="V5" s="0" t="n">
        <v>0.19</v>
      </c>
      <c r="AA5" s="0" t="s">
        <v>17</v>
      </c>
      <c r="AB5" s="0" t="s">
        <v>14</v>
      </c>
      <c r="AE5" s="0" t="n">
        <v>4.0035</v>
      </c>
      <c r="AF5" s="0" t="n">
        <v>239.5</v>
      </c>
      <c r="AG5" s="0" t="n">
        <v>2549.9</v>
      </c>
      <c r="AH5" s="0" t="n">
        <v>13.3</v>
      </c>
      <c r="AI5" s="0" t="n">
        <v>20</v>
      </c>
      <c r="AJ5" s="0" t="n">
        <v>0.3603</v>
      </c>
      <c r="AK5" s="0" t="n">
        <v>847.8</v>
      </c>
      <c r="AL5" s="0" t="n">
        <v>13.3</v>
      </c>
    </row>
    <row r="6" customFormat="false" ht="15" hidden="false" customHeight="false" outlineLevel="0" collapsed="false">
      <c r="A6" s="0" t="s">
        <v>77</v>
      </c>
      <c r="B6" s="0" t="n">
        <v>1959.8</v>
      </c>
      <c r="C6" s="0" t="n">
        <v>-933.5</v>
      </c>
      <c r="D6" s="0" t="n">
        <v>1026.3</v>
      </c>
      <c r="E6" s="0" t="n">
        <v>52.4</v>
      </c>
      <c r="F6" s="0" t="n">
        <v>5588.5</v>
      </c>
      <c r="G6" s="0" t="n">
        <v>285.2</v>
      </c>
      <c r="I6" s="0" t="n">
        <v>5585.4</v>
      </c>
      <c r="J6" s="0" t="n">
        <v>285</v>
      </c>
      <c r="K6" s="0" t="n">
        <v>2.3739</v>
      </c>
      <c r="L6" s="0" t="n">
        <v>800.2</v>
      </c>
      <c r="M6" s="0" t="n">
        <v>213.7</v>
      </c>
      <c r="N6" s="0" t="n">
        <v>586.5</v>
      </c>
      <c r="O6" s="0" t="n">
        <v>36773.7</v>
      </c>
      <c r="P6" s="0" t="n">
        <v>42951.5</v>
      </c>
      <c r="Q6" s="0" t="n">
        <v>6143.1</v>
      </c>
      <c r="R6" s="0" t="n">
        <v>4170.9</v>
      </c>
      <c r="S6" s="0" t="n">
        <v>1622.1</v>
      </c>
      <c r="T6" s="0" t="n">
        <v>2352.8</v>
      </c>
      <c r="V6" s="0" t="n">
        <v>0.2</v>
      </c>
      <c r="AA6" s="0" t="s">
        <v>17</v>
      </c>
      <c r="AB6" s="0" t="s">
        <v>14</v>
      </c>
      <c r="AE6" s="0" t="n">
        <v>2.3837</v>
      </c>
      <c r="AF6" s="0" t="n">
        <v>213.7</v>
      </c>
      <c r="AG6" s="0" t="n">
        <v>4677.9</v>
      </c>
      <c r="AH6" s="0" t="n">
        <v>15.63</v>
      </c>
      <c r="AI6" s="0" t="n">
        <v>34.7</v>
      </c>
      <c r="AJ6" s="0" t="n">
        <v>0.4121</v>
      </c>
      <c r="AK6" s="0" t="n">
        <v>969.7</v>
      </c>
      <c r="AL6" s="0" t="n">
        <v>15.63</v>
      </c>
    </row>
    <row r="7" customFormat="false" ht="15" hidden="false" customHeight="false" outlineLevel="0" collapsed="false">
      <c r="A7" s="0" t="s">
        <v>78</v>
      </c>
      <c r="B7" s="0" t="n">
        <v>2665.4</v>
      </c>
      <c r="C7" s="0" t="n">
        <v>-1429.4</v>
      </c>
      <c r="D7" s="0" t="n">
        <v>1236</v>
      </c>
      <c r="E7" s="0" t="n">
        <v>46.4</v>
      </c>
      <c r="F7" s="0" t="n">
        <v>2331.8</v>
      </c>
      <c r="G7" s="0" t="n">
        <v>87.5</v>
      </c>
      <c r="I7" s="0" t="n">
        <v>2457.1</v>
      </c>
      <c r="J7" s="0" t="n">
        <v>92.2</v>
      </c>
      <c r="K7" s="0" t="n">
        <v>1.0492</v>
      </c>
      <c r="L7" s="0" t="n">
        <v>604.4</v>
      </c>
      <c r="M7" s="0" t="n">
        <v>150.4</v>
      </c>
      <c r="N7" s="0" t="n">
        <v>454</v>
      </c>
      <c r="O7" s="0" t="n">
        <v>38341.5</v>
      </c>
      <c r="P7" s="0" t="n">
        <v>44963</v>
      </c>
      <c r="Q7" s="0" t="n">
        <v>6593.5</v>
      </c>
      <c r="R7" s="0" t="n">
        <v>4939</v>
      </c>
      <c r="S7" s="0" t="n">
        <v>1375.2</v>
      </c>
      <c r="T7" s="0" t="n">
        <v>2333.6</v>
      </c>
      <c r="V7" s="0" t="n">
        <v>0.22</v>
      </c>
      <c r="AA7" s="0" t="s">
        <v>17</v>
      </c>
      <c r="AB7" s="0" t="s">
        <v>14</v>
      </c>
      <c r="AE7" s="0" t="n">
        <v>6.4428</v>
      </c>
      <c r="AF7" s="0" t="n">
        <v>150.4</v>
      </c>
      <c r="AG7" s="0" t="n">
        <v>1222.4</v>
      </c>
      <c r="AH7" s="0" t="n">
        <v>16.43</v>
      </c>
      <c r="AI7" s="0" t="n">
        <v>28</v>
      </c>
      <c r="AJ7" s="0" t="n">
        <v>0.4424</v>
      </c>
      <c r="AK7" s="0" t="n">
        <v>1036.1</v>
      </c>
      <c r="AL7" s="0" t="n">
        <v>16.43</v>
      </c>
    </row>
    <row r="8" customFormat="false" ht="15" hidden="false" customHeight="false" outlineLevel="0" collapsed="false">
      <c r="A8" s="0" t="s">
        <v>79</v>
      </c>
      <c r="B8" s="0" t="n">
        <v>2319.7</v>
      </c>
      <c r="C8" s="0" t="n">
        <v>-989.6</v>
      </c>
      <c r="D8" s="0" t="n">
        <v>1330.1</v>
      </c>
      <c r="E8" s="0" t="n">
        <v>57.3</v>
      </c>
      <c r="F8" s="0" t="n">
        <v>350.6</v>
      </c>
      <c r="G8" s="0" t="n">
        <v>15.1</v>
      </c>
      <c r="I8" s="0" t="n">
        <v>198</v>
      </c>
      <c r="J8" s="0" t="n">
        <v>8.5</v>
      </c>
      <c r="K8" s="0" t="n">
        <v>0.0848</v>
      </c>
      <c r="L8" s="0" t="n">
        <v>1182.1</v>
      </c>
      <c r="M8" s="0" t="n">
        <v>143.7</v>
      </c>
      <c r="N8" s="0" t="n">
        <v>1038.4</v>
      </c>
      <c r="O8" s="0" t="n">
        <v>38246.8</v>
      </c>
      <c r="P8" s="0" t="n">
        <v>45259.2</v>
      </c>
      <c r="Q8" s="0" t="n">
        <v>6969.4</v>
      </c>
      <c r="R8" s="0" t="n">
        <v>5015.2</v>
      </c>
      <c r="S8" s="0" t="n">
        <v>1424</v>
      </c>
      <c r="T8" s="0" t="n">
        <v>2333.5</v>
      </c>
      <c r="V8" s="0" t="n">
        <v>0.22</v>
      </c>
      <c r="AA8" s="0" t="s">
        <v>17</v>
      </c>
      <c r="AB8" s="0" t="s">
        <v>14</v>
      </c>
      <c r="AE8" s="0" t="n">
        <v>24.6111</v>
      </c>
      <c r="AF8" s="0" t="n">
        <v>143.7</v>
      </c>
      <c r="AG8" s="0" t="n">
        <v>-854.2</v>
      </c>
      <c r="AH8" s="0" t="n">
        <v>16.39</v>
      </c>
      <c r="AI8" s="0" t="n">
        <v>43</v>
      </c>
      <c r="AJ8" s="0" t="n">
        <v>0.4612</v>
      </c>
      <c r="AK8" s="0" t="n">
        <v>1076.4</v>
      </c>
      <c r="AL8" s="0" t="n">
        <v>16.39</v>
      </c>
    </row>
    <row r="9" customFormat="false" ht="15" hidden="false" customHeight="false" outlineLevel="0" collapsed="false">
      <c r="A9" s="0" t="s">
        <v>80</v>
      </c>
      <c r="B9" s="0" t="n">
        <v>2094.2</v>
      </c>
      <c r="C9" s="0" t="n">
        <v>-982.6</v>
      </c>
      <c r="D9" s="0" t="n">
        <v>1111.6</v>
      </c>
      <c r="E9" s="0" t="n">
        <v>53.1</v>
      </c>
      <c r="F9" s="0" t="n">
        <v>-2483.4</v>
      </c>
      <c r="G9" s="0" t="n">
        <v>-118.6</v>
      </c>
      <c r="I9" s="0" t="n">
        <v>-2647.4</v>
      </c>
      <c r="J9" s="0" t="n">
        <v>-126.4</v>
      </c>
      <c r="K9" s="0" t="n">
        <v>-1.1343</v>
      </c>
      <c r="L9" s="0" t="n">
        <v>981.1</v>
      </c>
      <c r="M9" s="0" t="n">
        <v>4628.2</v>
      </c>
      <c r="N9" s="0" t="n">
        <v>-3647.1</v>
      </c>
      <c r="O9" s="0" t="n">
        <v>35709.1</v>
      </c>
      <c r="P9" s="0" t="n">
        <v>44261.8</v>
      </c>
      <c r="Q9" s="0" t="n">
        <v>8523.3</v>
      </c>
      <c r="R9" s="0" t="n">
        <v>6564.9</v>
      </c>
      <c r="S9" s="0" t="n">
        <v>1996.6</v>
      </c>
      <c r="T9" s="0" t="n">
        <v>2333.9</v>
      </c>
      <c r="V9" s="0" t="n">
        <v>0.22</v>
      </c>
      <c r="AA9" s="0" t="s">
        <v>17</v>
      </c>
      <c r="AB9" s="0" t="s">
        <v>14</v>
      </c>
      <c r="AF9" s="0" t="n">
        <v>4628.2</v>
      </c>
      <c r="AG9" s="0" t="n">
        <v>-3443.4</v>
      </c>
      <c r="AH9" s="0" t="n">
        <v>15.3</v>
      </c>
      <c r="AI9" s="0" t="n">
        <v>29.4</v>
      </c>
      <c r="AJ9" s="0" t="n">
        <v>0.4127</v>
      </c>
      <c r="AK9" s="0" t="n">
        <v>963.3</v>
      </c>
      <c r="AL9" s="0" t="n">
        <v>15.3</v>
      </c>
    </row>
    <row r="10" customFormat="false" ht="15" hidden="false" customHeight="false" outlineLevel="0" collapsed="false">
      <c r="A10" s="0" t="s">
        <v>81</v>
      </c>
      <c r="B10" s="0" t="n">
        <v>2384.3</v>
      </c>
      <c r="C10" s="0" t="n">
        <v>-1283.9</v>
      </c>
      <c r="D10" s="0" t="n">
        <v>1100.4</v>
      </c>
      <c r="E10" s="0" t="n">
        <v>46.2</v>
      </c>
      <c r="F10" s="0" t="n">
        <v>-429.5</v>
      </c>
      <c r="G10" s="0" t="n">
        <v>-18</v>
      </c>
      <c r="I10" s="0" t="n">
        <v>-349.2</v>
      </c>
      <c r="J10" s="0" t="n">
        <v>-14.6</v>
      </c>
      <c r="K10" s="0" t="n">
        <v>-0.15</v>
      </c>
      <c r="L10" s="0" t="n">
        <v>528.6</v>
      </c>
      <c r="M10" s="0" t="n">
        <v>100.4</v>
      </c>
      <c r="N10" s="0" t="n">
        <v>428.2</v>
      </c>
      <c r="O10" s="0" t="n">
        <v>34583.8</v>
      </c>
      <c r="P10" s="0" t="n">
        <v>43862.6</v>
      </c>
      <c r="Q10" s="0" t="n">
        <v>9244.4</v>
      </c>
      <c r="R10" s="0" t="n">
        <v>6583.2</v>
      </c>
      <c r="S10" s="0" t="n">
        <v>1479.5</v>
      </c>
      <c r="T10" s="0" t="n">
        <v>2297.9</v>
      </c>
      <c r="V10" s="0" t="n">
        <v>0.22</v>
      </c>
      <c r="AA10" s="0" t="s">
        <v>17</v>
      </c>
      <c r="AB10" s="0" t="s">
        <v>14</v>
      </c>
      <c r="AF10" s="0" t="n">
        <v>100.4</v>
      </c>
      <c r="AG10" s="0" t="n">
        <v>-1375.5</v>
      </c>
      <c r="AH10" s="0" t="n">
        <v>15.05</v>
      </c>
      <c r="AI10" s="0" t="n">
        <v>34.4</v>
      </c>
      <c r="AJ10" s="0" t="n">
        <v>0.4149</v>
      </c>
      <c r="AK10" s="0" t="n">
        <v>966</v>
      </c>
      <c r="AL10" s="0" t="n">
        <v>15.05</v>
      </c>
    </row>
    <row r="11" customFormat="false" ht="15" hidden="false" customHeight="false" outlineLevel="0" collapsed="false">
      <c r="A11" s="0" t="s">
        <v>82</v>
      </c>
      <c r="B11" s="0" t="n">
        <v>2244.4</v>
      </c>
      <c r="C11" s="0" t="n">
        <v>-1223.7</v>
      </c>
      <c r="D11" s="0" t="n">
        <v>1020.7</v>
      </c>
      <c r="E11" s="0" t="n">
        <v>45.5</v>
      </c>
      <c r="F11" s="0" t="n">
        <v>286.7</v>
      </c>
      <c r="G11" s="0" t="n">
        <v>12.8</v>
      </c>
      <c r="I11" s="0" t="n">
        <v>202.7</v>
      </c>
      <c r="J11" s="0" t="n">
        <v>9</v>
      </c>
      <c r="K11" s="0" t="n">
        <v>0.0899</v>
      </c>
      <c r="L11" s="0" t="n">
        <v>858.3</v>
      </c>
      <c r="M11" s="0" t="n">
        <v>94.6</v>
      </c>
      <c r="N11" s="0" t="n">
        <v>763.7</v>
      </c>
      <c r="O11" s="0" t="n">
        <v>33303.4</v>
      </c>
      <c r="P11" s="0" t="n">
        <v>42596.8</v>
      </c>
      <c r="Q11" s="0" t="n">
        <v>9269.7</v>
      </c>
      <c r="R11" s="0" t="n">
        <v>6990.5</v>
      </c>
      <c r="S11" s="0" t="n">
        <v>1173.4</v>
      </c>
      <c r="T11" s="0" t="n">
        <v>2227.7</v>
      </c>
      <c r="V11" s="0" t="n">
        <v>0.22</v>
      </c>
      <c r="AA11" s="0" t="s">
        <v>17</v>
      </c>
      <c r="AB11" s="0" t="s">
        <v>14</v>
      </c>
      <c r="AE11" s="0" t="n">
        <v>38.5591</v>
      </c>
      <c r="AF11" s="0" t="n">
        <v>94.6</v>
      </c>
      <c r="AG11" s="0" t="n">
        <v>-559.3</v>
      </c>
      <c r="AH11" s="0" t="n">
        <v>14.95</v>
      </c>
      <c r="AI11" s="0" t="n">
        <v>23.7</v>
      </c>
      <c r="AJ11" s="0" t="n">
        <v>0.3444</v>
      </c>
      <c r="AK11" s="0" t="n">
        <v>776.1</v>
      </c>
      <c r="AL11" s="0" t="n">
        <v>14.95</v>
      </c>
    </row>
    <row r="12" customFormat="false" ht="15" hidden="false" customHeight="false" outlineLevel="0" collapsed="false">
      <c r="A12" s="0" t="s">
        <v>83</v>
      </c>
      <c r="B12" s="0" t="n">
        <v>1844.3</v>
      </c>
      <c r="C12" s="0" t="n">
        <v>-913.6</v>
      </c>
      <c r="D12" s="0" t="n">
        <v>930.7</v>
      </c>
      <c r="E12" s="0" t="n">
        <v>50.5</v>
      </c>
      <c r="F12" s="0" t="n">
        <v>-512.6</v>
      </c>
      <c r="G12" s="0" t="n">
        <v>-27.8</v>
      </c>
      <c r="I12" s="0" t="n">
        <v>-582.3</v>
      </c>
      <c r="J12" s="0" t="n">
        <v>-31.6</v>
      </c>
      <c r="K12" s="0" t="n">
        <v>-0.2629</v>
      </c>
      <c r="L12" s="0" t="n">
        <v>701.6</v>
      </c>
      <c r="M12" s="0" t="n">
        <v>85.3</v>
      </c>
      <c r="N12" s="0" t="n">
        <v>616.3</v>
      </c>
      <c r="O12" s="0" t="n">
        <v>31965.4</v>
      </c>
      <c r="P12" s="0" t="n">
        <v>40767.9</v>
      </c>
      <c r="Q12" s="0" t="n">
        <v>8780.6</v>
      </c>
      <c r="R12" s="0" t="n">
        <v>6566.9</v>
      </c>
      <c r="S12" s="0" t="n">
        <v>1195.6</v>
      </c>
      <c r="T12" s="0" t="n">
        <v>2206</v>
      </c>
      <c r="V12" s="0" t="n">
        <v>0.22</v>
      </c>
      <c r="AA12" s="0" t="s">
        <v>17</v>
      </c>
      <c r="AB12" s="0" t="s">
        <v>14</v>
      </c>
      <c r="AF12" s="0" t="n">
        <v>85.3</v>
      </c>
      <c r="AG12" s="0" t="n">
        <v>-1323.5</v>
      </c>
      <c r="AH12" s="0" t="n">
        <v>14.49</v>
      </c>
      <c r="AI12" s="0" t="n">
        <v>21.9</v>
      </c>
      <c r="AJ12" s="0" t="n">
        <v>0.3315</v>
      </c>
      <c r="AK12" s="0" t="n">
        <v>734.2</v>
      </c>
      <c r="AL12" s="0" t="n">
        <v>14.49</v>
      </c>
    </row>
    <row r="13" customFormat="false" ht="15" hidden="false" customHeight="false" outlineLevel="0" collapsed="false">
      <c r="A13" s="0" t="s">
        <v>84</v>
      </c>
      <c r="B13" s="0" t="n">
        <v>2002.1</v>
      </c>
      <c r="C13" s="0" t="n">
        <v>-1265.4</v>
      </c>
      <c r="D13" s="0" t="n">
        <v>736.7</v>
      </c>
      <c r="E13" s="0" t="n">
        <v>36.8</v>
      </c>
      <c r="F13" s="0" t="n">
        <v>-1311.7</v>
      </c>
      <c r="G13" s="0" t="n">
        <v>-65.5</v>
      </c>
      <c r="I13" s="0" t="n">
        <v>-1384.9</v>
      </c>
      <c r="J13" s="0" t="n">
        <v>-69.2</v>
      </c>
      <c r="K13" s="0" t="n">
        <v>-0.6276</v>
      </c>
      <c r="L13" s="0" t="n">
        <v>670.6</v>
      </c>
      <c r="M13" s="0" t="n">
        <v>78.5</v>
      </c>
      <c r="N13" s="0" t="n">
        <v>592.1</v>
      </c>
      <c r="O13" s="0" t="n">
        <v>29940.1</v>
      </c>
      <c r="P13" s="0" t="n">
        <v>39052.4</v>
      </c>
      <c r="Q13" s="0" t="n">
        <v>9083.9</v>
      </c>
      <c r="R13" s="0" t="n">
        <v>6165.3</v>
      </c>
      <c r="S13" s="0" t="n">
        <v>1073.4</v>
      </c>
      <c r="T13" s="0" t="n">
        <v>2206.3</v>
      </c>
      <c r="U13" s="0" t="n">
        <v>1.4</v>
      </c>
      <c r="V13" s="0" t="n">
        <v>0.23</v>
      </c>
      <c r="AA13" s="0" t="s">
        <v>17</v>
      </c>
      <c r="AB13" s="0" t="s">
        <v>14</v>
      </c>
      <c r="AC13" s="0" t="n">
        <v>808</v>
      </c>
      <c r="AD13" s="0" t="n">
        <v>-0.6276</v>
      </c>
      <c r="AF13" s="0" t="n">
        <v>78.5</v>
      </c>
      <c r="AG13" s="0" t="n">
        <v>-1887.6</v>
      </c>
      <c r="AH13" s="0" t="n">
        <v>13.57</v>
      </c>
      <c r="AI13" s="0" t="n">
        <v>28.4</v>
      </c>
      <c r="AJ13" s="0" t="n">
        <v>0.1856</v>
      </c>
      <c r="AK13" s="0" t="n">
        <v>409.6</v>
      </c>
      <c r="AL13" s="0" t="n">
        <v>13.57</v>
      </c>
    </row>
    <row r="14" customFormat="false" ht="15" hidden="false" customHeight="false" outlineLevel="0" collapsed="false">
      <c r="A14" s="0" t="s">
        <v>85</v>
      </c>
      <c r="B14" s="0" t="n">
        <v>1448.3</v>
      </c>
      <c r="C14" s="0" t="n">
        <v>-953.5</v>
      </c>
      <c r="D14" s="0" t="n">
        <v>494.8</v>
      </c>
      <c r="E14" s="0" t="n">
        <v>34.2</v>
      </c>
      <c r="F14" s="0" t="n">
        <v>892.7</v>
      </c>
      <c r="G14" s="0" t="n">
        <v>61.6</v>
      </c>
      <c r="I14" s="0" t="n">
        <v>1263.4</v>
      </c>
      <c r="J14" s="0" t="n">
        <v>87.2</v>
      </c>
      <c r="K14" s="0" t="n">
        <v>0.5785</v>
      </c>
      <c r="L14" s="0" t="n">
        <v>584.4</v>
      </c>
      <c r="M14" s="0" t="n">
        <v>164.2</v>
      </c>
      <c r="N14" s="0" t="n">
        <v>420.2</v>
      </c>
      <c r="O14" s="0" t="n">
        <v>30798.4</v>
      </c>
      <c r="P14" s="0" t="n">
        <v>40057.4</v>
      </c>
      <c r="Q14" s="0" t="n">
        <v>9224.2</v>
      </c>
      <c r="R14" s="0" t="n">
        <v>6141.7</v>
      </c>
      <c r="S14" s="0" t="n">
        <v>2552</v>
      </c>
      <c r="T14" s="0" t="n">
        <v>2153.7</v>
      </c>
      <c r="U14" s="0" t="n">
        <v>7.3</v>
      </c>
      <c r="V14" s="0" t="n">
        <v>0.25</v>
      </c>
      <c r="AA14" s="0" t="s">
        <v>17</v>
      </c>
      <c r="AB14" s="0" t="s">
        <v>14</v>
      </c>
      <c r="AC14" s="0" t="n">
        <v>810</v>
      </c>
      <c r="AD14" s="0" t="n">
        <v>0.5769</v>
      </c>
      <c r="AE14" s="0" t="n">
        <v>8.1938</v>
      </c>
      <c r="AF14" s="0" t="n">
        <v>164.2</v>
      </c>
      <c r="AG14" s="0" t="n">
        <v>514.2</v>
      </c>
      <c r="AH14" s="0" t="n">
        <v>14.3</v>
      </c>
      <c r="AI14" s="0" t="n">
        <v>34.8</v>
      </c>
      <c r="AJ14" s="0" t="n">
        <v>0.2098</v>
      </c>
      <c r="AK14" s="0" t="n">
        <v>458.2</v>
      </c>
      <c r="AL14" s="0" t="n">
        <v>14.3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86</v>
      </c>
      <c r="B1" s="2" t="s">
        <v>87</v>
      </c>
    </row>
    <row r="2" customFormat="false" ht="15" hidden="false" customHeight="false" outlineLevel="0" collapsed="false">
      <c r="A2" s="0" t="s">
        <v>88</v>
      </c>
      <c r="B2" s="3" t="n">
        <v>8.2</v>
      </c>
    </row>
    <row r="3" customFormat="false" ht="15" hidden="false" customHeight="false" outlineLevel="0" collapsed="false">
      <c r="A3" s="0" t="s">
        <v>89</v>
      </c>
      <c r="B3" s="3" t="n">
        <v>2139.7</v>
      </c>
    </row>
    <row r="4" customFormat="false" ht="15" hidden="false" customHeight="false" outlineLevel="0" collapsed="false">
      <c r="A4" s="0" t="s">
        <v>90</v>
      </c>
      <c r="B4" s="3" t="n">
        <v>0</v>
      </c>
    </row>
    <row r="5" customFormat="false" ht="15" hidden="false" customHeight="false" outlineLevel="0" collapsed="false">
      <c r="A5" s="0" t="s">
        <v>91</v>
      </c>
      <c r="B5" s="3" t="n">
        <v>1766.3</v>
      </c>
    </row>
    <row r="6" customFormat="false" ht="15" hidden="false" customHeight="false" outlineLevel="0" collapsed="false">
      <c r="A6" s="0" t="s">
        <v>92</v>
      </c>
      <c r="B6" s="3" t="n">
        <v>15</v>
      </c>
    </row>
    <row r="7" customFormat="false" ht="15" hidden="false" customHeight="false" outlineLevel="0" collapsed="false">
      <c r="A7" s="0" t="s">
        <v>93</v>
      </c>
      <c r="B7" s="3" t="n">
        <v>458.2</v>
      </c>
    </row>
    <row r="8" customFormat="false" ht="15" hidden="false" customHeight="false" outlineLevel="0" collapsed="false">
      <c r="A8" s="0" t="s">
        <v>94</v>
      </c>
      <c r="B8" s="3" t="s">
        <v>85</v>
      </c>
    </row>
    <row r="9" customFormat="false" ht="15" hidden="false" customHeight="false" outlineLevel="0" collapsed="false">
      <c r="A9" s="0" t="s">
        <v>95</v>
      </c>
      <c r="B9" s="3" t="s">
        <v>96</v>
      </c>
    </row>
    <row r="10" customFormat="false" ht="15" hidden="false" customHeight="false" outlineLevel="0" collapsed="false">
      <c r="A10" s="0" t="s">
        <v>97</v>
      </c>
      <c r="B10" s="3" t="n">
        <v>1</v>
      </c>
    </row>
    <row r="12" customFormat="false" ht="15" hidden="false" customHeight="false" outlineLevel="0" collapsed="false">
      <c r="A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105</v>
      </c>
      <c r="J12" s="2" t="s">
        <v>106</v>
      </c>
      <c r="K12" s="2" t="s">
        <v>107</v>
      </c>
      <c r="L12" s="2" t="s">
        <v>108</v>
      </c>
    </row>
    <row r="13" customFormat="false" ht="15" hidden="false" customHeight="false" outlineLevel="0" collapsed="false">
      <c r="A13" s="0" t="s">
        <v>109</v>
      </c>
      <c r="C13" s="3" t="n">
        <v>8</v>
      </c>
      <c r="D13" s="3" t="n">
        <v>2</v>
      </c>
      <c r="E13" s="3" t="n">
        <v>1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110</v>
      </c>
      <c r="C14" s="3" t="n">
        <v>100</v>
      </c>
      <c r="D14" s="3" t="n">
        <v>100</v>
      </c>
      <c r="E14" s="3" t="n">
        <v>100</v>
      </c>
      <c r="F14" s="3" t="n">
        <v>100</v>
      </c>
      <c r="G14" s="3" t="n">
        <v>100</v>
      </c>
      <c r="H14" s="3" t="n">
        <v>100</v>
      </c>
      <c r="I14" s="3" t="n">
        <v>100</v>
      </c>
      <c r="J14" s="3" t="n">
        <v>100</v>
      </c>
      <c r="K14" s="3" t="n">
        <v>100</v>
      </c>
      <c r="L14" s="3" t="n">
        <v>100</v>
      </c>
    </row>
    <row r="15" customFormat="false" ht="15" hidden="false" customHeight="false" outlineLevel="0" collapsed="false">
      <c r="A15" s="0" t="s">
        <v>111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112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113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114</v>
      </c>
      <c r="C18" s="3" t="n">
        <v>14</v>
      </c>
      <c r="D18" s="3" t="n">
        <v>14</v>
      </c>
      <c r="E18" s="3" t="n">
        <v>14</v>
      </c>
      <c r="F18" s="3" t="n">
        <v>14</v>
      </c>
      <c r="G18" s="3" t="n">
        <v>14</v>
      </c>
      <c r="H18" s="3" t="n">
        <v>14</v>
      </c>
      <c r="I18" s="3" t="n">
        <v>14</v>
      </c>
      <c r="J18" s="3" t="n">
        <v>14</v>
      </c>
      <c r="K18" s="3" t="n">
        <v>14</v>
      </c>
      <c r="L18" s="3" t="n">
        <v>14</v>
      </c>
    </row>
    <row r="19" customFormat="false" ht="15" hidden="false" customHeight="false" outlineLevel="0" collapsed="false">
      <c r="A19" s="0" t="s">
        <v>115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116</v>
      </c>
      <c r="B20" s="3" t="n">
        <v>8.5</v>
      </c>
    </row>
    <row r="21" customFormat="false" ht="15" hidden="false" customHeight="false" outlineLevel="0" collapsed="false">
      <c r="A21" s="0" t="s">
        <v>117</v>
      </c>
      <c r="B21" s="3" t="n">
        <v>1.5</v>
      </c>
    </row>
    <row r="22" customFormat="false" ht="15" hidden="false" customHeight="false" outlineLevel="0" collapsed="false">
      <c r="A22" s="0" t="s">
        <v>118</v>
      </c>
      <c r="B22" s="3" t="n">
        <v>20</v>
      </c>
    </row>
    <row r="23" customFormat="false" ht="15" hidden="false" customHeight="false" outlineLevel="0" collapsed="false">
      <c r="A23" s="0" t="s">
        <v>119</v>
      </c>
      <c r="B23" s="3" t="n">
        <v>0</v>
      </c>
    </row>
    <row r="24" customFormat="false" ht="15" hidden="false" customHeight="false" outlineLevel="0" collapsed="false">
      <c r="A24" s="0" t="s">
        <v>120</v>
      </c>
      <c r="B24" s="3" t="n">
        <v>0.2</v>
      </c>
    </row>
    <row r="26" customFormat="false" ht="15" hidden="false" customHeight="false" outlineLevel="0" collapsed="false">
      <c r="A26" s="2" t="s">
        <v>121</v>
      </c>
      <c r="C26" s="2" t="s">
        <v>99</v>
      </c>
      <c r="D26" s="2" t="s">
        <v>100</v>
      </c>
      <c r="E26" s="2" t="s">
        <v>101</v>
      </c>
      <c r="F26" s="2" t="s">
        <v>102</v>
      </c>
      <c r="G26" s="2" t="s">
        <v>103</v>
      </c>
      <c r="H26" s="2" t="s">
        <v>104</v>
      </c>
      <c r="I26" s="2" t="s">
        <v>105</v>
      </c>
      <c r="J26" s="2" t="s">
        <v>106</v>
      </c>
      <c r="K26" s="2" t="s">
        <v>107</v>
      </c>
      <c r="L26" s="2" t="s">
        <v>108</v>
      </c>
    </row>
    <row r="27" customFormat="false" ht="15" hidden="false" customHeight="false" outlineLevel="0" collapsed="false">
      <c r="A27" s="0" t="s">
        <v>109</v>
      </c>
      <c r="C27" s="3" t="n">
        <v>11</v>
      </c>
      <c r="D27" s="3" t="n">
        <v>9</v>
      </c>
      <c r="E27" s="3" t="n">
        <v>8</v>
      </c>
      <c r="F27" s="3" t="n">
        <v>7</v>
      </c>
      <c r="G27" s="3" t="n">
        <v>6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110</v>
      </c>
      <c r="C28" s="3" t="n">
        <v>100</v>
      </c>
      <c r="D28" s="3" t="n">
        <v>100</v>
      </c>
      <c r="E28" s="3" t="n">
        <v>100</v>
      </c>
      <c r="F28" s="3" t="n">
        <v>100</v>
      </c>
      <c r="G28" s="3" t="n">
        <v>100</v>
      </c>
      <c r="H28" s="3" t="n">
        <v>100</v>
      </c>
      <c r="I28" s="3" t="n">
        <v>100</v>
      </c>
      <c r="J28" s="3" t="n">
        <v>100</v>
      </c>
      <c r="K28" s="3" t="n">
        <v>100</v>
      </c>
      <c r="L28" s="3" t="n">
        <v>100</v>
      </c>
    </row>
    <row r="29" customFormat="false" ht="15" hidden="false" customHeight="false" outlineLevel="0" collapsed="false">
      <c r="A29" s="0" t="s">
        <v>111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112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113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114</v>
      </c>
      <c r="C32" s="3" t="n">
        <v>12</v>
      </c>
      <c r="D32" s="3" t="n">
        <v>12</v>
      </c>
      <c r="E32" s="3" t="n">
        <v>12</v>
      </c>
      <c r="F32" s="3" t="n">
        <v>12</v>
      </c>
      <c r="G32" s="3" t="n">
        <v>12</v>
      </c>
      <c r="H32" s="3" t="n">
        <v>12</v>
      </c>
      <c r="I32" s="3" t="n">
        <v>12</v>
      </c>
      <c r="J32" s="3" t="n">
        <v>12</v>
      </c>
      <c r="K32" s="3" t="n">
        <v>12</v>
      </c>
      <c r="L32" s="3" t="n">
        <v>12</v>
      </c>
    </row>
    <row r="33" customFormat="false" ht="15" hidden="false" customHeight="false" outlineLevel="0" collapsed="false">
      <c r="A33" s="0" t="s">
        <v>115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116</v>
      </c>
      <c r="B34" s="3" t="n">
        <v>8.5</v>
      </c>
    </row>
    <row r="35" customFormat="false" ht="15" hidden="false" customHeight="false" outlineLevel="0" collapsed="false">
      <c r="A35" s="0" t="s">
        <v>117</v>
      </c>
      <c r="B35" s="3" t="n">
        <v>2.5</v>
      </c>
    </row>
    <row r="36" customFormat="false" ht="15" hidden="false" customHeight="false" outlineLevel="0" collapsed="false">
      <c r="A36" s="0" t="s">
        <v>118</v>
      </c>
      <c r="B36" s="3" t="n">
        <v>20</v>
      </c>
    </row>
    <row r="37" customFormat="false" ht="15" hidden="false" customHeight="false" outlineLevel="0" collapsed="false">
      <c r="A37" s="0" t="s">
        <v>119</v>
      </c>
      <c r="B37" s="3" t="n">
        <v>0</v>
      </c>
    </row>
    <row r="38" customFormat="false" ht="15" hidden="false" customHeight="false" outlineLevel="0" collapsed="false">
      <c r="A38" s="0" t="s">
        <v>120</v>
      </c>
      <c r="B38" s="3" t="n">
        <v>0.5</v>
      </c>
    </row>
    <row r="40" customFormat="false" ht="15" hidden="false" customHeight="false" outlineLevel="0" collapsed="false">
      <c r="A40" s="2" t="s">
        <v>122</v>
      </c>
      <c r="C40" s="2" t="s">
        <v>99</v>
      </c>
      <c r="D40" s="2" t="s">
        <v>100</v>
      </c>
      <c r="E40" s="2" t="s">
        <v>101</v>
      </c>
      <c r="F40" s="2" t="s">
        <v>102</v>
      </c>
      <c r="G40" s="2" t="s">
        <v>103</v>
      </c>
      <c r="H40" s="2" t="s">
        <v>104</v>
      </c>
      <c r="I40" s="2" t="s">
        <v>105</v>
      </c>
      <c r="J40" s="2" t="s">
        <v>106</v>
      </c>
      <c r="K40" s="2" t="s">
        <v>107</v>
      </c>
      <c r="L40" s="2" t="s">
        <v>108</v>
      </c>
    </row>
    <row r="41" customFormat="false" ht="15" hidden="false" customHeight="false" outlineLevel="0" collapsed="false">
      <c r="A41" s="0" t="s">
        <v>109</v>
      </c>
      <c r="C41" s="3" t="n">
        <v>13</v>
      </c>
      <c r="D41" s="3" t="n">
        <v>12</v>
      </c>
      <c r="E41" s="3" t="n">
        <v>11</v>
      </c>
      <c r="F41" s="3" t="n">
        <v>10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110</v>
      </c>
      <c r="C42" s="3" t="n">
        <v>100</v>
      </c>
      <c r="D42" s="3" t="n">
        <v>100</v>
      </c>
      <c r="E42" s="3" t="n">
        <v>100</v>
      </c>
      <c r="F42" s="3" t="n">
        <v>100</v>
      </c>
      <c r="G42" s="3" t="n">
        <v>100</v>
      </c>
      <c r="H42" s="3" t="n">
        <v>100</v>
      </c>
      <c r="I42" s="3" t="n">
        <v>100</v>
      </c>
      <c r="J42" s="3" t="n">
        <v>100</v>
      </c>
      <c r="K42" s="3" t="n">
        <v>100</v>
      </c>
      <c r="L42" s="3" t="n">
        <v>100</v>
      </c>
    </row>
    <row r="43" customFormat="false" ht="15" hidden="false" customHeight="false" outlineLevel="0" collapsed="false">
      <c r="A43" s="0" t="s">
        <v>111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112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113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114</v>
      </c>
      <c r="C46" s="3" t="n">
        <v>11</v>
      </c>
      <c r="D46" s="3" t="n">
        <v>11</v>
      </c>
      <c r="E46" s="3" t="n">
        <v>11</v>
      </c>
      <c r="F46" s="3" t="n">
        <v>11</v>
      </c>
      <c r="G46" s="3" t="n">
        <v>11</v>
      </c>
      <c r="H46" s="3" t="n">
        <v>11</v>
      </c>
      <c r="I46" s="3" t="n">
        <v>11</v>
      </c>
      <c r="J46" s="3" t="n">
        <v>11</v>
      </c>
      <c r="K46" s="3" t="n">
        <v>11</v>
      </c>
      <c r="L46" s="3" t="n">
        <v>11</v>
      </c>
    </row>
    <row r="47" customFormat="false" ht="15" hidden="false" customHeight="false" outlineLevel="0" collapsed="false">
      <c r="A47" s="0" t="s">
        <v>115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116</v>
      </c>
      <c r="B48" s="3" t="n">
        <v>8.5</v>
      </c>
    </row>
    <row r="49" customFormat="false" ht="15" hidden="false" customHeight="false" outlineLevel="0" collapsed="false">
      <c r="A49" s="0" t="s">
        <v>117</v>
      </c>
      <c r="B49" s="3" t="n">
        <v>3</v>
      </c>
    </row>
    <row r="50" customFormat="false" ht="15" hidden="false" customHeight="false" outlineLevel="0" collapsed="false">
      <c r="A50" s="0" t="s">
        <v>118</v>
      </c>
      <c r="B50" s="3" t="n">
        <v>20</v>
      </c>
    </row>
    <row r="51" customFormat="false" ht="15" hidden="false" customHeight="false" outlineLevel="0" collapsed="false">
      <c r="A51" s="0" t="s">
        <v>119</v>
      </c>
      <c r="B51" s="3" t="n">
        <v>0</v>
      </c>
    </row>
    <row r="52" customFormat="false" ht="15" hidden="false" customHeight="false" outlineLevel="0" collapsed="false">
      <c r="A52" s="0" t="s">
        <v>120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123</v>
      </c>
    </row>
    <row r="3" customFormat="false" ht="15" hidden="false" customHeight="false" outlineLevel="0" collapsed="false">
      <c r="A3" s="0" t="s">
        <v>124</v>
      </c>
      <c r="B3" s="0" t="s">
        <v>85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Assumptions!C13</f>
        <v>8</v>
      </c>
      <c r="D5" s="4" t="n">
        <f aca="false">Assumptions!D13</f>
        <v>2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458.2</v>
      </c>
      <c r="C6" s="0" t="n">
        <f aca="false">B6*(1+C5/100)</f>
        <v>494.856</v>
      </c>
      <c r="D6" s="0" t="n">
        <f aca="false">C6*(1+D5/100)</f>
        <v>504.75312</v>
      </c>
      <c r="E6" s="0" t="n">
        <f aca="false">D6*(1+E5/100)</f>
        <v>509.8006512</v>
      </c>
      <c r="F6" s="0" t="n">
        <f aca="false">E6*(1+F5/100)</f>
        <v>514.898657712</v>
      </c>
      <c r="G6" s="0" t="n">
        <f aca="false">F6*(1+G5/100)</f>
        <v>522.62213757768</v>
      </c>
      <c r="H6" s="0" t="n">
        <f aca="false">G6*(1+H5/100)</f>
        <v>533.074580329234</v>
      </c>
      <c r="I6" s="0" t="n">
        <f aca="false">H6*(1+I5/100)</f>
        <v>543.736071935818</v>
      </c>
      <c r="J6" s="0" t="n">
        <f aca="false">I6*(1+J5/100)</f>
        <v>554.610793374535</v>
      </c>
      <c r="K6" s="0" t="n">
        <f aca="false">J6*(1+K5/100)</f>
        <v>565.703009242025</v>
      </c>
      <c r="L6" s="0" t="n">
        <f aca="false">K6*(1+L5/100)</f>
        <v>577.017069426866</v>
      </c>
    </row>
    <row r="7" customFormat="false" ht="15" hidden="false" customHeight="false" outlineLevel="0" collapsed="false">
      <c r="A7" s="0" t="s">
        <v>110</v>
      </c>
      <c r="C7" s="4" t="n">
        <f aca="false">Assumptions!C14</f>
        <v>100</v>
      </c>
      <c r="D7" s="4" t="n">
        <f aca="false">Assumptions!D14</f>
        <v>100</v>
      </c>
      <c r="E7" s="4" t="n">
        <f aca="false">Assumptions!E14</f>
        <v>100</v>
      </c>
      <c r="F7" s="4" t="n">
        <f aca="false">Assumptions!F14</f>
        <v>100</v>
      </c>
      <c r="G7" s="4" t="n">
        <f aca="false">Assumptions!G14</f>
        <v>100</v>
      </c>
      <c r="H7" s="4" t="n">
        <f aca="false">Assumptions!H14</f>
        <v>100</v>
      </c>
      <c r="I7" s="4" t="n">
        <f aca="false">Assumptions!I14</f>
        <v>100</v>
      </c>
      <c r="J7" s="4" t="n">
        <f aca="false">Assumptions!J14</f>
        <v>100</v>
      </c>
      <c r="K7" s="4" t="n">
        <f aca="false">Assumptions!K14</f>
        <v>100</v>
      </c>
      <c r="L7" s="4" t="n">
        <f aca="false">Assumptions!L14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494.856</v>
      </c>
      <c r="D8" s="0" t="n">
        <f aca="false">D6*D7/100</f>
        <v>504.75312</v>
      </c>
      <c r="E8" s="0" t="n">
        <f aca="false">E6*E7/100</f>
        <v>509.8006512</v>
      </c>
      <c r="F8" s="0" t="n">
        <f aca="false">F6*F7/100</f>
        <v>514.898657712</v>
      </c>
      <c r="G8" s="0" t="n">
        <f aca="false">G6*G7/100</f>
        <v>522.62213757768</v>
      </c>
      <c r="H8" s="0" t="n">
        <f aca="false">H6*H7/100</f>
        <v>533.074580329234</v>
      </c>
      <c r="I8" s="0" t="n">
        <f aca="false">I6*I7/100</f>
        <v>543.736071935818</v>
      </c>
      <c r="J8" s="0" t="n">
        <f aca="false">J6*J7/100</f>
        <v>554.610793374535</v>
      </c>
      <c r="K8" s="0" t="n">
        <f aca="false">K6*K7/100</f>
        <v>565.703009242025</v>
      </c>
      <c r="L8" s="0" t="n">
        <f aca="false">L6*L7/100</f>
        <v>577.017069426866</v>
      </c>
    </row>
    <row r="9" customFormat="false" ht="15" hidden="false" customHeight="false" outlineLevel="0" collapsed="false">
      <c r="A9" s="0" t="s">
        <v>111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494.856</v>
      </c>
      <c r="D11" s="0" t="n">
        <f aca="false">D8+D10+D24</f>
        <v>504.75312</v>
      </c>
      <c r="E11" s="0" t="n">
        <f aca="false">E8+E10+E24</f>
        <v>509.8006512</v>
      </c>
      <c r="F11" s="0" t="n">
        <f aca="false">F8+F10+F24</f>
        <v>514.898657712</v>
      </c>
      <c r="G11" s="0" t="n">
        <f aca="false">G8+G10+G24</f>
        <v>522.62213757768</v>
      </c>
      <c r="H11" s="0" t="n">
        <f aca="false">H8+H10+H24</f>
        <v>533.074580329234</v>
      </c>
      <c r="I11" s="0" t="n">
        <f aca="false">I8+I10+I24</f>
        <v>543.736071935818</v>
      </c>
      <c r="J11" s="0" t="n">
        <f aca="false">J8+J10+J24</f>
        <v>554.610793374535</v>
      </c>
      <c r="K11" s="0" t="n">
        <f aca="false">K8+K10+K24</f>
        <v>565.703009242025</v>
      </c>
      <c r="L11" s="0" t="n">
        <f aca="false">L8+L10+L24</f>
        <v>577.017069426866</v>
      </c>
    </row>
    <row r="12" customFormat="false" ht="15" hidden="false" customHeight="false" outlineLevel="0" collapsed="false">
      <c r="A12" s="0" t="s">
        <v>128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494.856</v>
      </c>
      <c r="D13" s="0" t="n">
        <f aca="false">D11+D12</f>
        <v>504.75312</v>
      </c>
      <c r="E13" s="0" t="n">
        <f aca="false">E11+E12</f>
        <v>509.8006512</v>
      </c>
      <c r="F13" s="0" t="n">
        <f aca="false">F11+F12</f>
        <v>514.898657712</v>
      </c>
      <c r="G13" s="0" t="n">
        <f aca="false">G11+G12</f>
        <v>522.62213757768</v>
      </c>
      <c r="H13" s="0" t="n">
        <f aca="false">H11+H12</f>
        <v>533.074580329234</v>
      </c>
      <c r="I13" s="0" t="n">
        <f aca="false">I11+I12</f>
        <v>543.736071935818</v>
      </c>
      <c r="J13" s="0" t="n">
        <f aca="false">J11+J12</f>
        <v>554.610793374535</v>
      </c>
      <c r="K13" s="0" t="n">
        <f aca="false">K11+K12</f>
        <v>565.703009242025</v>
      </c>
      <c r="L13" s="0" t="n">
        <f aca="false">L11+L12</f>
        <v>577.017069426866</v>
      </c>
    </row>
    <row r="14" customFormat="false" ht="15" hidden="false" customHeight="false" outlineLevel="0" collapsed="false">
      <c r="A14" s="0" t="s">
        <v>115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494.856</v>
      </c>
      <c r="D15" s="0" t="n">
        <f aca="false">D13-MAX(0,D13)*D14/100</f>
        <v>504.75312</v>
      </c>
      <c r="E15" s="0" t="n">
        <f aca="false">E13-MAX(0,E13)*E14/100</f>
        <v>509.8006512</v>
      </c>
      <c r="F15" s="0" t="n">
        <f aca="false">F13-MAX(0,F13)*F14/100</f>
        <v>514.898657712</v>
      </c>
      <c r="G15" s="0" t="n">
        <f aca="false">G13-MAX(0,G13)*G14/100</f>
        <v>522.62213757768</v>
      </c>
      <c r="H15" s="0" t="n">
        <f aca="false">H13-MAX(0,H13)*H14/100</f>
        <v>533.074580329234</v>
      </c>
      <c r="I15" s="0" t="n">
        <f aca="false">I13-MAX(0,I13)*I14/100</f>
        <v>543.736071935818</v>
      </c>
      <c r="J15" s="0" t="n">
        <f aca="false">J13-MAX(0,J13)*J14/100</f>
        <v>554.610793374535</v>
      </c>
      <c r="K15" s="0" t="n">
        <f aca="false">K13-MAX(0,K13)*K14/100</f>
        <v>565.703009242025</v>
      </c>
      <c r="L15" s="0" t="n">
        <f aca="false">L13-MAX(0,L13)*L14/100</f>
        <v>577.017069426866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-C6*Assumptions!C18/100</f>
        <v>-69.27984</v>
      </c>
      <c r="D17" s="4" t="n">
        <f aca="false">-D6*Assumptions!D18/100</f>
        <v>-70.6654368</v>
      </c>
      <c r="E17" s="4" t="n">
        <f aca="false">-E6*Assumptions!E18/100</f>
        <v>-71.372091168</v>
      </c>
      <c r="F17" s="4" t="n">
        <f aca="false">-F6*Assumptions!F18/100</f>
        <v>-72.08581207968</v>
      </c>
      <c r="G17" s="4" t="n">
        <f aca="false">-G6*Assumptions!G18/100</f>
        <v>-73.1670992608752</v>
      </c>
      <c r="H17" s="4" t="n">
        <f aca="false">-H6*Assumptions!H18/100</f>
        <v>-74.6304412460927</v>
      </c>
      <c r="I17" s="4" t="n">
        <f aca="false">-I6*Assumptions!I18/100</f>
        <v>-76.1230500710146</v>
      </c>
      <c r="J17" s="4" t="n">
        <f aca="false">-J6*Assumptions!J18/100</f>
        <v>-77.6455110724348</v>
      </c>
      <c r="K17" s="4" t="n">
        <f aca="false">-K6*Assumptions!K18/100</f>
        <v>-79.1984212938835</v>
      </c>
      <c r="L17" s="4" t="n">
        <f aca="false">-L6*Assumptions!L18/100</f>
        <v>-80.7823897197612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425.57616</v>
      </c>
      <c r="D19" s="0" t="n">
        <f aca="false">D15+D16+D17+D18</f>
        <v>434.0876832</v>
      </c>
      <c r="E19" s="0" t="n">
        <f aca="false">E15+E16+E17+E18</f>
        <v>438.428560032</v>
      </c>
      <c r="F19" s="0" t="n">
        <f aca="false">F15+F16+F17+F18</f>
        <v>442.81284563232</v>
      </c>
      <c r="G19" s="0" t="n">
        <f aca="false">G15+G16+G17+G18</f>
        <v>449.455038316805</v>
      </c>
      <c r="H19" s="0" t="n">
        <f aca="false">H15+H16+H17+H18</f>
        <v>458.444139083141</v>
      </c>
      <c r="I19" s="0" t="n">
        <f aca="false">I15+I16+I17+I18</f>
        <v>467.613021864804</v>
      </c>
      <c r="J19" s="0" t="n">
        <f aca="false">J15+J16+J17+J18</f>
        <v>476.9652823021</v>
      </c>
      <c r="K19" s="0" t="n">
        <f aca="false">K15+K16+K17+K18</f>
        <v>486.504587948142</v>
      </c>
      <c r="L19" s="0" t="n">
        <f aca="false">L15+L16+L17+L18</f>
        <v>496.234679707105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392.236092165899</v>
      </c>
      <c r="D21" s="0" t="n">
        <f aca="false">D19*D20</f>
        <v>368.73807742785</v>
      </c>
      <c r="E21" s="0" t="n">
        <f aca="false">E19*E20</f>
        <v>343.249270232376</v>
      </c>
      <c r="F21" s="0" t="n">
        <f aca="false">F19*F20</f>
        <v>319.522362151797</v>
      </c>
      <c r="G21" s="0" t="n">
        <f aca="false">G19*G20</f>
        <v>298.90801620652</v>
      </c>
      <c r="H21" s="0" t="n">
        <f aca="false">H19*H20</f>
        <v>281.001084360046</v>
      </c>
      <c r="I21" s="0" t="n">
        <f aca="false">I19*I20</f>
        <v>264.166918015896</v>
      </c>
      <c r="J21" s="0" t="n">
        <f aca="false">J19*J20</f>
        <v>248.341250116326</v>
      </c>
      <c r="K21" s="0" t="n">
        <f aca="false">K19*K20</f>
        <v>233.463663703827</v>
      </c>
      <c r="L21" s="0" t="n">
        <f aca="false">L19*L20</f>
        <v>219.477361269958</v>
      </c>
    </row>
    <row r="23" customFormat="false" ht="15" hidden="false" customHeight="false" outlineLevel="0" collapsed="false">
      <c r="A23" s="0" t="s">
        <v>112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117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118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2969.10409565049</v>
      </c>
    </row>
    <row r="31" customFormat="false" ht="15" hidden="false" customHeight="false" outlineLevel="0" collapsed="false">
      <c r="A31" s="0" t="s">
        <v>140</v>
      </c>
      <c r="B31" s="0" t="n">
        <f aca="false">L19</f>
        <v>496.234679707105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7195.40285575302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9924.69359414209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7195.40285575302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3182.42173841439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6151.52583406488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7917.82583406488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3.70043736695092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-0.548727150371839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3.70043736695092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3730.94962890897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2.30995617487533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0" t="s">
        <v>124</v>
      </c>
      <c r="B3" s="0" t="s">
        <v>85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Assumptions!C27</f>
        <v>11</v>
      </c>
      <c r="D5" s="4" t="n">
        <f aca="false">Assumptions!D27</f>
        <v>9</v>
      </c>
      <c r="E5" s="4" t="n">
        <f aca="false">Assumptions!E27</f>
        <v>8</v>
      </c>
      <c r="F5" s="4" t="n">
        <f aca="false">Assumptions!F27</f>
        <v>7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458.2</v>
      </c>
      <c r="C6" s="0" t="n">
        <f aca="false">B6*(1+C5/100)</f>
        <v>508.602</v>
      </c>
      <c r="D6" s="0" t="n">
        <f aca="false">C6*(1+D5/100)</f>
        <v>554.37618</v>
      </c>
      <c r="E6" s="0" t="n">
        <f aca="false">D6*(1+E5/100)</f>
        <v>598.7262744</v>
      </c>
      <c r="F6" s="0" t="n">
        <f aca="false">E6*(1+F5/100)</f>
        <v>640.637113608</v>
      </c>
      <c r="G6" s="0" t="n">
        <f aca="false">F6*(1+G5/100)</f>
        <v>679.07534042448</v>
      </c>
      <c r="H6" s="0" t="n">
        <f aca="false">G6*(1+H5/100)</f>
        <v>713.029107445704</v>
      </c>
      <c r="I6" s="0" t="n">
        <f aca="false">H6*(1+I5/100)</f>
        <v>745.115417280761</v>
      </c>
      <c r="J6" s="0" t="n">
        <f aca="false">I6*(1+J5/100)</f>
        <v>774.920033971992</v>
      </c>
      <c r="K6" s="0" t="n">
        <f aca="false">J6*(1+K5/100)</f>
        <v>802.042235161011</v>
      </c>
      <c r="L6" s="0" t="n">
        <f aca="false">K6*(1+L5/100)</f>
        <v>826.103502215842</v>
      </c>
    </row>
    <row r="7" customFormat="false" ht="15" hidden="false" customHeight="false" outlineLevel="0" collapsed="false">
      <c r="A7" s="0" t="s">
        <v>110</v>
      </c>
      <c r="C7" s="4" t="n">
        <f aca="false">Assumptions!C28</f>
        <v>100</v>
      </c>
      <c r="D7" s="4" t="n">
        <f aca="false">Assumptions!D28</f>
        <v>100</v>
      </c>
      <c r="E7" s="4" t="n">
        <f aca="false">Assumptions!E28</f>
        <v>100</v>
      </c>
      <c r="F7" s="4" t="n">
        <f aca="false">Assumptions!F28</f>
        <v>100</v>
      </c>
      <c r="G7" s="4" t="n">
        <f aca="false">Assumptions!G28</f>
        <v>100</v>
      </c>
      <c r="H7" s="4" t="n">
        <f aca="false">Assumptions!H28</f>
        <v>100</v>
      </c>
      <c r="I7" s="4" t="n">
        <f aca="false">Assumptions!I28</f>
        <v>100</v>
      </c>
      <c r="J7" s="4" t="n">
        <f aca="false">Assumptions!J28</f>
        <v>100</v>
      </c>
      <c r="K7" s="4" t="n">
        <f aca="false">Assumptions!K28</f>
        <v>100</v>
      </c>
      <c r="L7" s="4" t="n">
        <f aca="false">Assumptions!L28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508.602</v>
      </c>
      <c r="D8" s="0" t="n">
        <f aca="false">D6*D7/100</f>
        <v>554.37618</v>
      </c>
      <c r="E8" s="0" t="n">
        <f aca="false">E6*E7/100</f>
        <v>598.7262744</v>
      </c>
      <c r="F8" s="0" t="n">
        <f aca="false">F6*F7/100</f>
        <v>640.637113608</v>
      </c>
      <c r="G8" s="0" t="n">
        <f aca="false">G6*G7/100</f>
        <v>679.07534042448</v>
      </c>
      <c r="H8" s="0" t="n">
        <f aca="false">H6*H7/100</f>
        <v>713.029107445704</v>
      </c>
      <c r="I8" s="0" t="n">
        <f aca="false">I6*I7/100</f>
        <v>745.115417280761</v>
      </c>
      <c r="J8" s="0" t="n">
        <f aca="false">J6*J7/100</f>
        <v>774.920033971992</v>
      </c>
      <c r="K8" s="0" t="n">
        <f aca="false">K6*K7/100</f>
        <v>802.042235161011</v>
      </c>
      <c r="L8" s="0" t="n">
        <f aca="false">L6*L7/100</f>
        <v>826.103502215842</v>
      </c>
    </row>
    <row r="9" customFormat="false" ht="15" hidden="false" customHeight="false" outlineLevel="0" collapsed="false">
      <c r="A9" s="0" t="s">
        <v>111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508.602</v>
      </c>
      <c r="D11" s="0" t="n">
        <f aca="false">D8+D10+D24</f>
        <v>554.37618</v>
      </c>
      <c r="E11" s="0" t="n">
        <f aca="false">E8+E10+E24</f>
        <v>598.7262744</v>
      </c>
      <c r="F11" s="0" t="n">
        <f aca="false">F8+F10+F24</f>
        <v>640.637113608</v>
      </c>
      <c r="G11" s="0" t="n">
        <f aca="false">G8+G10+G24</f>
        <v>679.07534042448</v>
      </c>
      <c r="H11" s="0" t="n">
        <f aca="false">H8+H10+H24</f>
        <v>713.029107445704</v>
      </c>
      <c r="I11" s="0" t="n">
        <f aca="false">I8+I10+I24</f>
        <v>745.115417280761</v>
      </c>
      <c r="J11" s="0" t="n">
        <f aca="false">J8+J10+J24</f>
        <v>774.920033971992</v>
      </c>
      <c r="K11" s="0" t="n">
        <f aca="false">K8+K10+K24</f>
        <v>802.042235161011</v>
      </c>
      <c r="L11" s="0" t="n">
        <f aca="false">L8+L10+L24</f>
        <v>826.103502215842</v>
      </c>
    </row>
    <row r="12" customFormat="false" ht="15" hidden="false" customHeight="false" outlineLevel="0" collapsed="false">
      <c r="A12" s="0" t="s">
        <v>128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508.602</v>
      </c>
      <c r="D13" s="0" t="n">
        <f aca="false">D11+D12</f>
        <v>554.37618</v>
      </c>
      <c r="E13" s="0" t="n">
        <f aca="false">E11+E12</f>
        <v>598.7262744</v>
      </c>
      <c r="F13" s="0" t="n">
        <f aca="false">F11+F12</f>
        <v>640.637113608</v>
      </c>
      <c r="G13" s="0" t="n">
        <f aca="false">G11+G12</f>
        <v>679.07534042448</v>
      </c>
      <c r="H13" s="0" t="n">
        <f aca="false">H11+H12</f>
        <v>713.029107445704</v>
      </c>
      <c r="I13" s="0" t="n">
        <f aca="false">I11+I12</f>
        <v>745.115417280761</v>
      </c>
      <c r="J13" s="0" t="n">
        <f aca="false">J11+J12</f>
        <v>774.920033971992</v>
      </c>
      <c r="K13" s="0" t="n">
        <f aca="false">K11+K12</f>
        <v>802.042235161011</v>
      </c>
      <c r="L13" s="0" t="n">
        <f aca="false">L11+L12</f>
        <v>826.103502215842</v>
      </c>
    </row>
    <row r="14" customFormat="false" ht="15" hidden="false" customHeight="false" outlineLevel="0" collapsed="false">
      <c r="A14" s="0" t="s">
        <v>115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508.602</v>
      </c>
      <c r="D15" s="0" t="n">
        <f aca="false">D13-MAX(0,D13)*D14/100</f>
        <v>554.37618</v>
      </c>
      <c r="E15" s="0" t="n">
        <f aca="false">E13-MAX(0,E13)*E14/100</f>
        <v>598.7262744</v>
      </c>
      <c r="F15" s="0" t="n">
        <f aca="false">F13-MAX(0,F13)*F14/100</f>
        <v>640.637113608</v>
      </c>
      <c r="G15" s="0" t="n">
        <f aca="false">G13-MAX(0,G13)*G14/100</f>
        <v>679.07534042448</v>
      </c>
      <c r="H15" s="0" t="n">
        <f aca="false">H13-MAX(0,H13)*H14/100</f>
        <v>713.029107445704</v>
      </c>
      <c r="I15" s="0" t="n">
        <f aca="false">I13-MAX(0,I13)*I14/100</f>
        <v>745.115417280761</v>
      </c>
      <c r="J15" s="0" t="n">
        <f aca="false">J13-MAX(0,J13)*J14/100</f>
        <v>774.920033971992</v>
      </c>
      <c r="K15" s="0" t="n">
        <f aca="false">K13-MAX(0,K13)*K14/100</f>
        <v>802.042235161011</v>
      </c>
      <c r="L15" s="0" t="n">
        <f aca="false">L13-MAX(0,L13)*L14/100</f>
        <v>826.103502215842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-C6*Assumptions!C32/100</f>
        <v>-61.03224</v>
      </c>
      <c r="D17" s="4" t="n">
        <f aca="false">-D6*Assumptions!D32/100</f>
        <v>-66.5251416</v>
      </c>
      <c r="E17" s="4" t="n">
        <f aca="false">-E6*Assumptions!E32/100</f>
        <v>-71.847152928</v>
      </c>
      <c r="F17" s="4" t="n">
        <f aca="false">-F6*Assumptions!F32/100</f>
        <v>-76.87645363296</v>
      </c>
      <c r="G17" s="4" t="n">
        <f aca="false">-G6*Assumptions!G32/100</f>
        <v>-81.4890408509376</v>
      </c>
      <c r="H17" s="4" t="n">
        <f aca="false">-H6*Assumptions!H32/100</f>
        <v>-85.5634928934845</v>
      </c>
      <c r="I17" s="4" t="n">
        <f aca="false">-I6*Assumptions!I32/100</f>
        <v>-89.4138500736913</v>
      </c>
      <c r="J17" s="4" t="n">
        <f aca="false">-J6*Assumptions!J32/100</f>
        <v>-92.990404076639</v>
      </c>
      <c r="K17" s="4" t="n">
        <f aca="false">-K6*Assumptions!K32/100</f>
        <v>-96.2450682193213</v>
      </c>
      <c r="L17" s="4" t="n">
        <f aca="false">-L6*Assumptions!L32/100</f>
        <v>-99.132420265901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447.56976</v>
      </c>
      <c r="D19" s="0" t="n">
        <f aca="false">D15+D16+D17+D18</f>
        <v>487.8510384</v>
      </c>
      <c r="E19" s="0" t="n">
        <f aca="false">E15+E16+E17+E18</f>
        <v>526.879121472</v>
      </c>
      <c r="F19" s="0" t="n">
        <f aca="false">F15+F16+F17+F18</f>
        <v>563.76065997504</v>
      </c>
      <c r="G19" s="0" t="n">
        <f aca="false">G15+G16+G17+G18</f>
        <v>597.586299573543</v>
      </c>
      <c r="H19" s="0" t="n">
        <f aca="false">H15+H16+H17+H18</f>
        <v>627.46561455222</v>
      </c>
      <c r="I19" s="0" t="n">
        <f aca="false">I15+I16+I17+I18</f>
        <v>655.70156720707</v>
      </c>
      <c r="J19" s="0" t="n">
        <f aca="false">J15+J16+J17+J18</f>
        <v>681.929629895353</v>
      </c>
      <c r="K19" s="0" t="n">
        <f aca="false">K15+K16+K17+K18</f>
        <v>705.79716694169</v>
      </c>
      <c r="L19" s="0" t="n">
        <f aca="false">L15+L16+L17+L18</f>
        <v>726.971081949941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412.50669124424</v>
      </c>
      <c r="D21" s="0" t="n">
        <f aca="false">D19*D20</f>
        <v>414.407643738453</v>
      </c>
      <c r="E21" s="0" t="n">
        <f aca="false">E19*E20</f>
        <v>412.497931094497</v>
      </c>
      <c r="F21" s="0" t="n">
        <f aca="false">F19*F20</f>
        <v>406.795194719919</v>
      </c>
      <c r="G21" s="0" t="n">
        <f aca="false">G19*G20</f>
        <v>397.422033551257</v>
      </c>
      <c r="H21" s="0" t="n">
        <f aca="false">H19*H20</f>
        <v>384.601967952829</v>
      </c>
      <c r="I21" s="0" t="n">
        <f aca="false">I19*I20</f>
        <v>370.423093558255</v>
      </c>
      <c r="J21" s="0" t="n">
        <f aca="false">J19*J20</f>
        <v>355.059923779341</v>
      </c>
      <c r="K21" s="0" t="n">
        <f aca="false">K19*K20</f>
        <v>338.697715310247</v>
      </c>
      <c r="L21" s="0" t="n">
        <f aca="false">L19*L20</f>
        <v>321.52870670005</v>
      </c>
    </row>
    <row r="23" customFormat="false" ht="15" hidden="false" customHeight="false" outlineLevel="0" collapsed="false">
      <c r="A23" s="0" t="s">
        <v>112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117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118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3813.94090164909</v>
      </c>
    </row>
    <row r="31" customFormat="false" ht="15" hidden="false" customHeight="false" outlineLevel="0" collapsed="false">
      <c r="A31" s="0" t="s">
        <v>140</v>
      </c>
      <c r="B31" s="0" t="n">
        <f aca="false">L19</f>
        <v>726.971081949941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12419.0893166448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14539.4216389988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12419.0893166448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5492.78207279253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9306.72297444161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11073.0229744416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5.17503527337553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-0.368898137393228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5.17503527337553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5961.16287198951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2.84375350746819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0" t="s">
        <v>124</v>
      </c>
      <c r="B3" s="0" t="s">
        <v>85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</row>
    <row r="4" customFormat="false" ht="15" hidden="false" customHeight="false" outlineLevel="0" collapsed="false">
      <c r="A4" s="0" t="s">
        <v>125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109</v>
      </c>
      <c r="C5" s="4" t="n">
        <f aca="false">Assumptions!C41</f>
        <v>13</v>
      </c>
      <c r="D5" s="4" t="n">
        <f aca="false">Assumptions!D41</f>
        <v>12</v>
      </c>
      <c r="E5" s="4" t="n">
        <f aca="false">Assumptions!E41</f>
        <v>11</v>
      </c>
      <c r="F5" s="4" t="n">
        <f aca="false">Assumptions!F41</f>
        <v>10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458.2</v>
      </c>
      <c r="C6" s="0" t="n">
        <f aca="false">B6*(1+C5/100)</f>
        <v>517.766</v>
      </c>
      <c r="D6" s="0" t="n">
        <f aca="false">C6*(1+D5/100)</f>
        <v>579.89792</v>
      </c>
      <c r="E6" s="0" t="n">
        <f aca="false">D6*(1+E5/100)</f>
        <v>643.6866912</v>
      </c>
      <c r="F6" s="0" t="n">
        <f aca="false">E6*(1+F5/100)</f>
        <v>708.05536032</v>
      </c>
      <c r="G6" s="0" t="n">
        <f aca="false">F6*(1+G5/100)</f>
        <v>764.6997891456</v>
      </c>
      <c r="H6" s="0" t="n">
        <f aca="false">G6*(1+H5/100)</f>
        <v>818.228774385792</v>
      </c>
      <c r="I6" s="0" t="n">
        <f aca="false">H6*(1+I5/100)</f>
        <v>867.32250084894</v>
      </c>
      <c r="J6" s="0" t="n">
        <f aca="false">I6*(1+J5/100)</f>
        <v>910.688625891387</v>
      </c>
      <c r="K6" s="0" t="n">
        <f aca="false">J6*(1+K5/100)</f>
        <v>947.116170927042</v>
      </c>
      <c r="L6" s="0" t="n">
        <f aca="false">K6*(1+L5/100)</f>
        <v>980.265236909489</v>
      </c>
    </row>
    <row r="7" customFormat="false" ht="15" hidden="false" customHeight="false" outlineLevel="0" collapsed="false">
      <c r="A7" s="0" t="s">
        <v>110</v>
      </c>
      <c r="C7" s="4" t="n">
        <f aca="false">Assumptions!C42</f>
        <v>100</v>
      </c>
      <c r="D7" s="4" t="n">
        <f aca="false">Assumptions!D42</f>
        <v>100</v>
      </c>
      <c r="E7" s="4" t="n">
        <f aca="false">Assumptions!E42</f>
        <v>100</v>
      </c>
      <c r="F7" s="4" t="n">
        <f aca="false">Assumptions!F42</f>
        <v>100</v>
      </c>
      <c r="G7" s="4" t="n">
        <f aca="false">Assumptions!G42</f>
        <v>100</v>
      </c>
      <c r="H7" s="4" t="n">
        <f aca="false">Assumptions!H42</f>
        <v>100</v>
      </c>
      <c r="I7" s="4" t="n">
        <f aca="false">Assumptions!I42</f>
        <v>100</v>
      </c>
      <c r="J7" s="4" t="n">
        <f aca="false">Assumptions!J42</f>
        <v>100</v>
      </c>
      <c r="K7" s="4" t="n">
        <f aca="false">Assumptions!K42</f>
        <v>100</v>
      </c>
      <c r="L7" s="4" t="n">
        <f aca="false">Assumptions!L42</f>
        <v>100</v>
      </c>
    </row>
    <row r="8" customFormat="false" ht="15" hidden="false" customHeight="false" outlineLevel="0" collapsed="false">
      <c r="A8" s="0" t="s">
        <v>43</v>
      </c>
      <c r="C8" s="0" t="n">
        <f aca="false">C6*C7/100</f>
        <v>517.766</v>
      </c>
      <c r="D8" s="0" t="n">
        <f aca="false">D6*D7/100</f>
        <v>579.89792</v>
      </c>
      <c r="E8" s="0" t="n">
        <f aca="false">E6*E7/100</f>
        <v>643.6866912</v>
      </c>
      <c r="F8" s="0" t="n">
        <f aca="false">F6*F7/100</f>
        <v>708.05536032</v>
      </c>
      <c r="G8" s="0" t="n">
        <f aca="false">G6*G7/100</f>
        <v>764.6997891456</v>
      </c>
      <c r="H8" s="0" t="n">
        <f aca="false">H6*H7/100</f>
        <v>818.228774385792</v>
      </c>
      <c r="I8" s="0" t="n">
        <f aca="false">I6*I7/100</f>
        <v>867.32250084894</v>
      </c>
      <c r="J8" s="0" t="n">
        <f aca="false">J6*J7/100</f>
        <v>910.688625891387</v>
      </c>
      <c r="K8" s="0" t="n">
        <f aca="false">K6*K7/100</f>
        <v>947.116170927042</v>
      </c>
      <c r="L8" s="0" t="n">
        <f aca="false">L6*L7/100</f>
        <v>980.265236909489</v>
      </c>
    </row>
    <row r="9" customFormat="false" ht="15" hidden="false" customHeight="false" outlineLevel="0" collapsed="false">
      <c r="A9" s="0" t="s">
        <v>111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126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127</v>
      </c>
      <c r="C11" s="0" t="n">
        <f aca="false">C8+C10+C24</f>
        <v>517.766</v>
      </c>
      <c r="D11" s="0" t="n">
        <f aca="false">D8+D10+D24</f>
        <v>579.89792</v>
      </c>
      <c r="E11" s="0" t="n">
        <f aca="false">E8+E10+E24</f>
        <v>643.6866912</v>
      </c>
      <c r="F11" s="0" t="n">
        <f aca="false">F8+F10+F24</f>
        <v>708.05536032</v>
      </c>
      <c r="G11" s="0" t="n">
        <f aca="false">G8+G10+G24</f>
        <v>764.6997891456</v>
      </c>
      <c r="H11" s="0" t="n">
        <f aca="false">H8+H10+H24</f>
        <v>818.228774385792</v>
      </c>
      <c r="I11" s="0" t="n">
        <f aca="false">I8+I10+I24</f>
        <v>867.32250084894</v>
      </c>
      <c r="J11" s="0" t="n">
        <f aca="false">J8+J10+J24</f>
        <v>910.688625891387</v>
      </c>
      <c r="K11" s="0" t="n">
        <f aca="false">K8+K10+K24</f>
        <v>947.116170927042</v>
      </c>
      <c r="L11" s="0" t="n">
        <f aca="false">L8+L10+L24</f>
        <v>980.265236909489</v>
      </c>
    </row>
    <row r="12" customFormat="false" ht="15" hidden="false" customHeight="false" outlineLevel="0" collapsed="false">
      <c r="A12" s="0" t="s">
        <v>128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129</v>
      </c>
      <c r="C13" s="0" t="n">
        <f aca="false">C11+C12</f>
        <v>517.766</v>
      </c>
      <c r="D13" s="0" t="n">
        <f aca="false">D11+D12</f>
        <v>579.89792</v>
      </c>
      <c r="E13" s="0" t="n">
        <f aca="false">E11+E12</f>
        <v>643.6866912</v>
      </c>
      <c r="F13" s="0" t="n">
        <f aca="false">F11+F12</f>
        <v>708.05536032</v>
      </c>
      <c r="G13" s="0" t="n">
        <f aca="false">G11+G12</f>
        <v>764.6997891456</v>
      </c>
      <c r="H13" s="0" t="n">
        <f aca="false">H11+H12</f>
        <v>818.228774385792</v>
      </c>
      <c r="I13" s="0" t="n">
        <f aca="false">I11+I12</f>
        <v>867.32250084894</v>
      </c>
      <c r="J13" s="0" t="n">
        <f aca="false">J11+J12</f>
        <v>910.688625891387</v>
      </c>
      <c r="K13" s="0" t="n">
        <f aca="false">K11+K12</f>
        <v>947.116170927042</v>
      </c>
      <c r="L13" s="0" t="n">
        <f aca="false">L11+L12</f>
        <v>980.265236909489</v>
      </c>
    </row>
    <row r="14" customFormat="false" ht="15" hidden="false" customHeight="false" outlineLevel="0" collapsed="false">
      <c r="A14" s="0" t="s">
        <v>115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130</v>
      </c>
      <c r="C15" s="0" t="n">
        <f aca="false">C13-MAX(0,C13)*C14/100</f>
        <v>517.766</v>
      </c>
      <c r="D15" s="0" t="n">
        <f aca="false">D13-MAX(0,D13)*D14/100</f>
        <v>579.89792</v>
      </c>
      <c r="E15" s="0" t="n">
        <f aca="false">E13-MAX(0,E13)*E14/100</f>
        <v>643.6866912</v>
      </c>
      <c r="F15" s="0" t="n">
        <f aca="false">F13-MAX(0,F13)*F14/100</f>
        <v>708.05536032</v>
      </c>
      <c r="G15" s="0" t="n">
        <f aca="false">G13-MAX(0,G13)*G14/100</f>
        <v>764.6997891456</v>
      </c>
      <c r="H15" s="0" t="n">
        <f aca="false">H13-MAX(0,H13)*H14/100</f>
        <v>818.228774385792</v>
      </c>
      <c r="I15" s="0" t="n">
        <f aca="false">I13-MAX(0,I13)*I14/100</f>
        <v>867.32250084894</v>
      </c>
      <c r="J15" s="0" t="n">
        <f aca="false">J13-MAX(0,J13)*J14/100</f>
        <v>910.688625891387</v>
      </c>
      <c r="K15" s="0" t="n">
        <f aca="false">K13-MAX(0,K13)*K14/100</f>
        <v>947.116170927042</v>
      </c>
      <c r="L15" s="0" t="n">
        <f aca="false">L13-MAX(0,L13)*L14/100</f>
        <v>980.265236909489</v>
      </c>
    </row>
    <row r="16" customFormat="false" ht="15" hidden="false" customHeight="false" outlineLevel="0" collapsed="false">
      <c r="A16" s="0" t="s">
        <v>131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132</v>
      </c>
      <c r="C17" s="4" t="n">
        <f aca="false">-C6*Assumptions!C46/100</f>
        <v>-56.95426</v>
      </c>
      <c r="D17" s="4" t="n">
        <f aca="false">-D6*Assumptions!D46/100</f>
        <v>-63.7887712</v>
      </c>
      <c r="E17" s="4" t="n">
        <f aca="false">-E6*Assumptions!E46/100</f>
        <v>-70.805536032</v>
      </c>
      <c r="F17" s="4" t="n">
        <f aca="false">-F6*Assumptions!F46/100</f>
        <v>-77.8860896352</v>
      </c>
      <c r="G17" s="4" t="n">
        <f aca="false">-G6*Assumptions!G46/100</f>
        <v>-84.116976806016</v>
      </c>
      <c r="H17" s="4" t="n">
        <f aca="false">-H6*Assumptions!H46/100</f>
        <v>-90.0051651824371</v>
      </c>
      <c r="I17" s="4" t="n">
        <f aca="false">-I6*Assumptions!I46/100</f>
        <v>-95.4054750933834</v>
      </c>
      <c r="J17" s="4" t="n">
        <f aca="false">-J6*Assumptions!J46/100</f>
        <v>-100.175748848053</v>
      </c>
      <c r="K17" s="4" t="n">
        <f aca="false">-K6*Assumptions!K46/100</f>
        <v>-104.182778801975</v>
      </c>
      <c r="L17" s="4" t="n">
        <f aca="false">-L6*Assumptions!L46/100</f>
        <v>-107.829176060044</v>
      </c>
    </row>
    <row r="18" customFormat="false" ht="15" hidden="false" customHeight="false" outlineLevel="0" collapsed="false">
      <c r="A18" s="0" t="s">
        <v>133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134</v>
      </c>
      <c r="C19" s="0" t="n">
        <f aca="false">C15+C16+C17+C18</f>
        <v>460.81174</v>
      </c>
      <c r="D19" s="0" t="n">
        <f aca="false">D15+D16+D17+D18</f>
        <v>516.1091488</v>
      </c>
      <c r="E19" s="0" t="n">
        <f aca="false">E15+E16+E17+E18</f>
        <v>572.881155168</v>
      </c>
      <c r="F19" s="0" t="n">
        <f aca="false">F15+F16+F17+F18</f>
        <v>630.1692706848</v>
      </c>
      <c r="G19" s="0" t="n">
        <f aca="false">G15+G16+G17+G18</f>
        <v>680.582812339584</v>
      </c>
      <c r="H19" s="0" t="n">
        <f aca="false">H15+H16+H17+H18</f>
        <v>728.223609203355</v>
      </c>
      <c r="I19" s="0" t="n">
        <f aca="false">I15+I16+I17+I18</f>
        <v>771.917025755556</v>
      </c>
      <c r="J19" s="0" t="n">
        <f aca="false">J15+J16+J17+J18</f>
        <v>810.512877043334</v>
      </c>
      <c r="K19" s="0" t="n">
        <f aca="false">K15+K16+K17+K18</f>
        <v>842.933392125068</v>
      </c>
      <c r="L19" s="0" t="n">
        <f aca="false">L15+L16+L17+L18</f>
        <v>872.436060849445</v>
      </c>
    </row>
    <row r="20" customFormat="false" ht="15" hidden="false" customHeight="false" outlineLevel="0" collapsed="false">
      <c r="A20" s="0" t="s">
        <v>135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136</v>
      </c>
      <c r="C21" s="0" t="n">
        <f aca="false">C19*C20</f>
        <v>424.711281105991</v>
      </c>
      <c r="D21" s="0" t="n">
        <f aca="false">D19*D20</f>
        <v>438.411645012636</v>
      </c>
      <c r="E21" s="0" t="n">
        <f aca="false">E19*E20</f>
        <v>448.513295819379</v>
      </c>
      <c r="F21" s="0" t="n">
        <f aca="false">F19*F20</f>
        <v>454.713940462043</v>
      </c>
      <c r="G21" s="0" t="n">
        <f aca="false">G19*G20</f>
        <v>452.618484515213</v>
      </c>
      <c r="H21" s="0" t="n">
        <f aca="false">H19*H20</f>
        <v>446.361086111777</v>
      </c>
      <c r="I21" s="0" t="n">
        <f aca="false">I19*I20</f>
        <v>436.076268459432</v>
      </c>
      <c r="J21" s="0" t="n">
        <f aca="false">J19*J20</f>
        <v>422.009292057515</v>
      </c>
      <c r="K21" s="0" t="n">
        <f aca="false">K19*K20</f>
        <v>404.506602525176</v>
      </c>
      <c r="L21" s="0" t="n">
        <f aca="false">L19*L20</f>
        <v>385.865745265951</v>
      </c>
    </row>
    <row r="23" customFormat="false" ht="15" hidden="false" customHeight="false" outlineLevel="0" collapsed="false">
      <c r="A23" s="0" t="s">
        <v>112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137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138</v>
      </c>
    </row>
    <row r="27" customFormat="false" ht="15" hidden="false" customHeight="false" outlineLevel="0" collapsed="false">
      <c r="A27" s="0" t="s">
        <v>116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117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118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139</v>
      </c>
      <c r="B30" s="0" t="n">
        <f aca="false">SUM(C21:L21)</f>
        <v>4313.78764133511</v>
      </c>
    </row>
    <row r="31" customFormat="false" ht="15" hidden="false" customHeight="false" outlineLevel="0" collapsed="false">
      <c r="A31" s="0" t="s">
        <v>140</v>
      </c>
      <c r="B31" s="0" t="n">
        <f aca="false">L19</f>
        <v>872.436060849445</v>
      </c>
    </row>
    <row r="32" customFormat="false" ht="15" hidden="false" customHeight="false" outlineLevel="0" collapsed="false">
      <c r="A32" s="0" t="s">
        <v>141</v>
      </c>
      <c r="B32" s="0" t="n">
        <f aca="false">IF(B27&gt;B28,B31*(1+B28/100)/((B27-B28)/100),B31*B29)</f>
        <v>16338.3480486351</v>
      </c>
    </row>
    <row r="33" customFormat="false" ht="15" hidden="false" customHeight="false" outlineLevel="0" collapsed="false">
      <c r="A33" s="0" t="s">
        <v>142</v>
      </c>
      <c r="B33" s="0" t="n">
        <f aca="false">B31*B29</f>
        <v>17448.7212169889</v>
      </c>
    </row>
    <row r="34" customFormat="false" ht="15" hidden="false" customHeight="false" outlineLevel="0" collapsed="false">
      <c r="A34" s="0" t="s">
        <v>143</v>
      </c>
      <c r="B34" s="0" t="n">
        <f aca="false">MAX(0,MIN(B32,B33))</f>
        <v>16338.3480486351</v>
      </c>
    </row>
    <row r="35" customFormat="false" ht="15" hidden="false" customHeight="false" outlineLevel="0" collapsed="false">
      <c r="A35" s="0" t="s">
        <v>144</v>
      </c>
      <c r="B35" s="0" t="n">
        <f aca="false">B34/(1+B27/100)^L4</f>
        <v>7226.21304770781</v>
      </c>
    </row>
    <row r="36" customFormat="false" ht="15" hidden="false" customHeight="false" outlineLevel="0" collapsed="false">
      <c r="A36" s="0" t="s">
        <v>145</v>
      </c>
      <c r="B36" s="0" t="n">
        <f aca="false">B30+B35</f>
        <v>11540.0006890429</v>
      </c>
    </row>
    <row r="37" customFormat="false" ht="15" hidden="false" customHeight="false" outlineLevel="0" collapsed="false">
      <c r="A37" s="0" t="s">
        <v>146</v>
      </c>
      <c r="B37" s="0" t="n">
        <f aca="false">B36+Assumptions!$B$5-Assumptions!$B$4</f>
        <v>13306.3006890429</v>
      </c>
    </row>
    <row r="38" customFormat="false" ht="15" hidden="false" customHeight="false" outlineLevel="0" collapsed="false">
      <c r="A38" s="0" t="s">
        <v>147</v>
      </c>
      <c r="B38" s="0" t="n">
        <f aca="false">B37/Assumptions!$B$3*Assumptions!$B$10</f>
        <v>6.21876930833431</v>
      </c>
    </row>
    <row r="39" customFormat="false" ht="15" hidden="false" customHeight="false" outlineLevel="0" collapsed="false">
      <c r="A39" s="0" t="s">
        <v>148</v>
      </c>
      <c r="B39" s="4" t="n">
        <f aca="false">B38/Assumptions!$B$2-1</f>
        <v>-0.241613498983621</v>
      </c>
    </row>
    <row r="41" customFormat="false" ht="15" hidden="false" customHeight="false" outlineLevel="0" collapsed="false">
      <c r="A41" s="0" t="s">
        <v>149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150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151</v>
      </c>
      <c r="B43" s="0" t="n">
        <f aca="false">(B37+B41+B42)/Assumptions!$B$3*Assumptions!$B$10</f>
        <v>6.21876930833431</v>
      </c>
    </row>
    <row r="45" customFormat="false" ht="15" hidden="false" customHeight="false" outlineLevel="0" collapsed="false">
      <c r="A45" s="0" t="s">
        <v>92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152</v>
      </c>
      <c r="B46" s="0" t="n">
        <f aca="false">MAX(0,MIN(IF(B45&gt;B28,B31*(1+B28/100)/((B45-B28)/100),B31*B29),B31*B29))</f>
        <v>7488.40952229107</v>
      </c>
    </row>
    <row r="47" customFormat="false" ht="15" hidden="false" customHeight="false" outlineLevel="0" collapsed="false">
      <c r="A47" s="0" t="s">
        <v>153</v>
      </c>
      <c r="B47" s="0" t="n">
        <f aca="false">(SUMPRODUCT(C19:L19/(1+B45/100)^C4:L4)+B46/(1+B45/100)^L4+Assumptions!$B$5-Assumptions!$B$4)/Assumptions!$B$3*Assumptions!$B$10</f>
        <v>3.18216448545029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156</v>
      </c>
    </row>
    <row r="3" customFormat="false" ht="15" hidden="false" customHeight="false" outlineLevel="0" collapsed="false">
      <c r="A3" s="2" t="s">
        <v>157</v>
      </c>
      <c r="B3" s="2" t="s">
        <v>158</v>
      </c>
      <c r="C3" s="2" t="s">
        <v>148</v>
      </c>
      <c r="D3" s="2" t="s">
        <v>159</v>
      </c>
      <c r="E3" s="2" t="s">
        <v>151</v>
      </c>
      <c r="F3" s="2" t="s">
        <v>160</v>
      </c>
    </row>
    <row r="4" customFormat="false" ht="15" hidden="false" customHeight="false" outlineLevel="0" collapsed="false">
      <c r="A4" s="0" t="s">
        <v>161</v>
      </c>
      <c r="B4" s="4" t="n">
        <f aca="false">DCF_Bear!$B$38</f>
        <v>3.70043736695092</v>
      </c>
      <c r="C4" s="0" t="n">
        <f aca="false">B4/Assumptions!$B$2-1</f>
        <v>-0.548727150371839</v>
      </c>
      <c r="D4" s="4" t="n">
        <f aca="false">Assumptions!$B$24</f>
        <v>0.2</v>
      </c>
      <c r="E4" s="4" t="n">
        <f aca="false">DCF_Bear!$B$43</f>
        <v>3.70043736695092</v>
      </c>
      <c r="F4" s="4" t="n">
        <f aca="false">DCF_Bear!$B$47</f>
        <v>2.30995617487533</v>
      </c>
    </row>
    <row r="5" customFormat="false" ht="15" hidden="false" customHeight="false" outlineLevel="0" collapsed="false">
      <c r="A5" s="0" t="s">
        <v>162</v>
      </c>
      <c r="B5" s="4" t="n">
        <f aca="false">DCF_Base!$B$38</f>
        <v>5.17503527337553</v>
      </c>
      <c r="C5" s="0" t="n">
        <f aca="false">B5/Assumptions!$B$2-1</f>
        <v>-0.368898137393228</v>
      </c>
      <c r="D5" s="4" t="n">
        <f aca="false">Assumptions!$B$38</f>
        <v>0.5</v>
      </c>
      <c r="E5" s="4" t="n">
        <f aca="false">DCF_Base!$B$43</f>
        <v>5.17503527337553</v>
      </c>
      <c r="F5" s="4" t="n">
        <f aca="false">DCF_Base!$B$47</f>
        <v>2.84375350746819</v>
      </c>
    </row>
    <row r="6" customFormat="false" ht="15" hidden="false" customHeight="false" outlineLevel="0" collapsed="false">
      <c r="A6" s="0" t="s">
        <v>163</v>
      </c>
      <c r="B6" s="4" t="n">
        <f aca="false">DCF_Bull!$B$38</f>
        <v>6.21876930833431</v>
      </c>
      <c r="C6" s="0" t="n">
        <f aca="false">B6/Assumptions!$B$2-1</f>
        <v>-0.241613498983621</v>
      </c>
      <c r="D6" s="4" t="n">
        <f aca="false">Assumptions!$B$52</f>
        <v>0.3</v>
      </c>
      <c r="E6" s="4" t="n">
        <f aca="false">DCF_Bull!$B$43</f>
        <v>6.21876930833431</v>
      </c>
      <c r="F6" s="4" t="n">
        <f aca="false">DCF_Bull!$B$47</f>
        <v>3.18216448545029</v>
      </c>
    </row>
    <row r="8" customFormat="false" ht="15" hidden="false" customHeight="false" outlineLevel="0" collapsed="false">
      <c r="A8" s="0" t="s">
        <v>164</v>
      </c>
      <c r="B8" s="0" t="n">
        <f aca="false">SUMPRODUCT(B4:B6,D4:D6)</f>
        <v>5.19323590257824</v>
      </c>
    </row>
    <row r="9" customFormat="false" ht="15" hidden="false" customHeight="false" outlineLevel="0" collapsed="false">
      <c r="A9" s="0" t="s">
        <v>165</v>
      </c>
      <c r="B9" s="0" t="n">
        <f aca="false">SUMPRODUCT(E4:E6,D4:D6)</f>
        <v>5.19323590257824</v>
      </c>
    </row>
    <row r="10" customFormat="false" ht="15" hidden="false" customHeight="false" outlineLevel="0" collapsed="false">
      <c r="A10" s="0" t="s">
        <v>166</v>
      </c>
      <c r="B10" s="0" t="n">
        <f aca="false">1-Assumptions!$B$2/B8</f>
        <v>-0.578976991191373</v>
      </c>
    </row>
    <row r="11" customFormat="false" ht="15" hidden="false" customHeight="false" outlineLevel="0" collapsed="false">
      <c r="A11" s="0" t="s">
        <v>167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168</v>
      </c>
      <c r="B12" s="0" t="n">
        <f aca="false">SUMPRODUCT(F4:F6,D4:D6)</f>
        <v>2.83851733434425</v>
      </c>
    </row>
    <row r="14" customFormat="false" ht="15" hidden="false" customHeight="false" outlineLevel="0" collapsed="false">
      <c r="A14" s="2" t="s">
        <v>169</v>
      </c>
      <c r="C14" s="0" t="s">
        <v>170</v>
      </c>
    </row>
    <row r="15" customFormat="false" ht="15" hidden="false" customHeight="false" outlineLevel="0" collapsed="false">
      <c r="A15" s="0" t="s">
        <v>171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5.17503527337553</v>
      </c>
      <c r="C15" s="3" t="n">
        <v>8.5</v>
      </c>
    </row>
    <row r="16" customFormat="false" ht="15" hidden="false" customHeight="false" outlineLevel="0" collapsed="false">
      <c r="A16" s="0" t="s">
        <v>172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4.82856754586838</v>
      </c>
      <c r="C16" s="3" t="n">
        <v>9</v>
      </c>
    </row>
    <row r="17" customFormat="false" ht="15" hidden="false" customHeight="false" outlineLevel="0" collapsed="false">
      <c r="A17" s="0" t="s">
        <v>173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4.27499241807159</v>
      </c>
      <c r="C17" s="3" t="n">
        <v>10</v>
      </c>
    </row>
    <row r="18" customFormat="false" ht="15" hidden="false" customHeight="false" outlineLevel="0" collapsed="false">
      <c r="A18" s="0" t="s">
        <v>174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3.85253013752422</v>
      </c>
      <c r="C18" s="3" t="n">
        <v>11</v>
      </c>
    </row>
    <row r="19" customFormat="false" ht="15" hidden="false" customHeight="false" outlineLevel="0" collapsed="false">
      <c r="A19" s="0" t="s">
        <v>175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3.51972685069664</v>
      </c>
      <c r="C19" s="3" t="n">
        <v>12</v>
      </c>
    </row>
    <row r="20" customFormat="false" ht="15" hidden="false" customHeight="false" outlineLevel="0" collapsed="false">
      <c r="A20" s="0" t="s">
        <v>176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2.84375350746819</v>
      </c>
      <c r="C20" s="3" t="n">
        <v>15</v>
      </c>
    </row>
    <row r="22" customFormat="false" ht="15" hidden="false" customHeight="false" outlineLevel="0" collapsed="false">
      <c r="A22" s="2" t="s">
        <v>177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6.41421461471144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6.41421461471144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6.41421461471144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6.41421461471144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6.41421461471144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5.48637971390849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5.75487961805734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5.99465627664609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5.99465627664609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5.99465627664609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4.78684261756312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4.96600845870731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5.17503527337553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5.42206696343797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5.61331730413146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4.26380390480115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4.3889035074258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4.53187448185398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4.69684099080956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4.8893019179244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3.85832952533138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3.94873866068459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4.05044893795694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4.16572058553228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4.29745961133267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2026-10-24T03:47:22Z</dcterms:created>
  <dc:creator>openpyxl</dc:creator>
  <dc:description/>
  <dc:language>en-NZ</dc:language>
  <cp:lastModifiedBy/>
  <dcterms:modified xsi:type="dcterms:W3CDTF">2026-10-24T03:47:22Z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