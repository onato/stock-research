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<sst xmlns="http://schemas.openxmlformats.org/spreadsheetml/2006/main" count="384" uniqueCount="173">
  <si>
    <t xml:space="preserve">Ticker</t>
  </si>
  <si>
    <t xml:space="preserve">NXPI</t>
  </si>
  <si>
    <t xml:space="preserve">Company</t>
  </si>
  <si>
    <t xml:space="preserve">NXP Semiconductors N.V.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</si>
  <si>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</si>
  <si>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</si>
  <si>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</si>
  <si>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</si>
  <si>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2026-10-01T20:00:00Z regular close (Yahoo Finance chart API)</t>
  </si>
  <si>
    <t xml:space="preserve">Balance sheet date</t>
  </si>
  <si>
    <t xml:space="preserve">2026-06-28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</si>
  <si>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</si>
  <si>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</si>
  <si>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</si>
  <si>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</si>
  <si>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</si>
  <si>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</si>
  <si>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</si>
  <si>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</si>
  <si>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</si>
  <si>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</si>
  <si>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2026-10-02T03:06:14Z</t>
  </si>
  <si>
    <t xml:space="preserve">Drivers file</t>
  </si>
  <si>
    <t xml:space="preserve">NXPI_Drivers.json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</si>
  <si>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</si>
  <si>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</si>
  <si>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</si>
  <si>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NXP as a cyclical compounder of automotive and industrial silicon content on a mid-cycle owner-FCF basis: start from a trough fiscal year, let the visible FY2026-27 recovery in, then fade growth and margin to through-cycle averages rather than extrapolating the upcycle. Charge SBC in full, hold the diluted count flat, fund the hybrid-foundry JVs through a capex allowance rather than crediting them as assets, deduct the SSMC minority once, and cap the terminal at 15x FCF so no scenario depends on a multiple the market does not already pay. Risk is charged once, through the 25/50/25 weights, not through scenario-specific discount rates.
key_risks_to_valuation: China exposure (35-39% of revenue): tariff or export-control escalation, or accelerated domestic substitution in legacy-node MCU/analog, would push the path toward the bear case; this is the single largest swing factor; Cycle timing: the base averages the next inventory correction into the fade rather than placing it; a 2027-28 downturn would front-load the damage and the bear (-6% in 2028, 34% margin) shows the size; Margin target execution: management's ~60% non-GAAP gross margin depends on factory utilisation and the VSMC/ESMC ramp; a stall in the high-50s leaves pre-SBC EBITDA nearer 38% than 41%; Capital allocation: the Analysis JSON's reported ~$3.3B Ambarella deal is not in NXP's filings and is excluded; any large cash acquisition would add its net consideration to net debt (roughly -$12/share per $3B) and must be rebuilt in; Capex understatement risk: reported PP&amp;E capex of 2-3% flatters FCF while JV equity calls run through investing; the 5% allowance is a judgment and if the true all-in capacity cost is 6-7% the base falls several percent; Anchor vintage: fy0 is FY2025 with a June-2026 balance sheet, so ~1% of value is double-counted H1 2026 retained cash; the Q3 dividend ($256M, payable 2026-10-08) is not yet deducted</t>
  </si>
  <si>
    <t xml:space="preserve">Data sources</t>
  </si>
  <si>
    <t xml:space="preserve">price: Yahoo Finance chart API regular close at inputs.price_as_of; 52-week range 183.00-339.95
financials: NXPI_Metrics.csv (SEC XBRL companyfacts, FY2009-Q1 2026); Q2 2026 10-Q (accession 0001413447-26-000045, filed 2026-07-28) read directly from EDGAR for the 2026-06-28 balance sheet, H1 2026 cash flow, diluted share count, NCI, equity-accounted investees and the MEMS divestiture note; Q2 2026 earnings release (exhibit 99.1 to 8-K 0001413447-26-000044) for non-GAAP margins and Q3 2026 guidance; 8-Ks of 2026-08-28 (dividend) and 2026-09-02 (EIB facility) checked for post-quarter events
qualitative: NXPI_Analysis.json (2026-10-02) for business model, competitive axes, China exposure, management's 2027 framework and bull/bear points; its Ambarella acquisition claim was tested against EDGAR and not substantiated</t>
  </si>
  <si>
    <t xml:space="preserve">Scenario narrative: bear</t>
  </si>
  <si>
    <t xml:space="preserve">Trade escalation and Chinese import substitution in legacy-node automotive/industrial chips flatten 2027, a 2028 channel-inventory correction cuts revenue 6% and takes the margin to 34% on under-utilised fabs, and the recovery is to a structurally lower 37% as STMicro and Chinese vendors take share and pricing. NXP has to lift capex to protect supply. Even so owner FCF stays positive throughout; the bear is a value-of-growth and multiple reset, not a solvency case, which is why net debt at 1.7x EBITDA is not a going-concern axis.</t>
  </si>
  <si>
    <t xml:space="preserve">Scenario narrative: base</t>
  </si>
  <si>
    <t xml:space="preserve">NXP's axes are (1) the automotive content cycle versus unit production, (2) China at 35-39% of revenue under US-China trade policy, (3) factory utilisation driving the gross-margin path toward management's ~60% non-GAAP target, and (4) capital allocation after the TTTech/Kinara/Aviva string and the MEMS divestiture. The base takes the nine visible months of FY2026 (+16%), management's double-digit 2027, and then a through-cycle fade to ~4% growth at a ~40% pre-SBC EBITDA margin, a touch below the FY2022 peak, with capex at 5% to fund the VSMC/ESMC hybrid-foundry model. It does not time the next downturn but averages it into the path, and it charges SBC (~3% of revenue) in full with a flat diluted count.</t>
  </si>
  <si>
    <t xml:space="preserve">Scenario narrative: bull</t>
  </si>
  <si>
    <t xml:space="preserve">Content per vehicle compounds faster than expected as software-defined-vehicle architectures, imaging radar and BMS ramp across OEM platforms NXP has already won, TTTech middleware and Kinara edge-AI pull through i.MX processors in industrial, and the comm-infra cycle turns. Gross margin passes 60% on utilisation and mix, opex leverage lifts pre-SBC EBITDA to 43.5%, and no inventory correction lands inside the ten years. The 15x cap still binds, so the bull is a margin-and-growth story, not a multiple story.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</si>
  <si>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</si>
  <si>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</si>
  <si>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</si>
  <si>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</si>
  <si>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</si>
  <si>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</si>
  <si>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</si>
  <si>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</si>
  <si>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</si>
  <si>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</si>
  <si>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</si>
  <si>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</si>
  <si>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</si>
  <si>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</si>
  <si>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</si>
  <si>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</si>
  <si>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</si>
  <si>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</si>
  <si>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</si>
  <si>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</si>
  <si>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</si>
  <si>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</si>
  <si>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</si>
  <si>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</si>
  <si>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</si>
  <si>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</si>
  <si>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</si>
  <si>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</si>
  <si>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</si>
  <si>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</si>
  <si>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</si>
  <si>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</si>
  <si>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</si>
  <si>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</si>
  <si>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</si>
  <si>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</si>
  <si>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</si>
  <si>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</si>
  <si>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</si>
  <si>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</si>
  <si>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</si>
  <si>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</si>
  <si>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</si>
  <si>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</si>
  <si>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</si>
  <si>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</si>
  <si>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</si>
  <si>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</si>
  <si>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</si>
  <si>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</si>
  <si>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</si>
  <si>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</si>
  <si>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</si>
  <si>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</si>
  <si>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</si>
  <si>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</si>
  <si>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</si>
  <si>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</si>
  <si>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</si>
  <si>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</si>
  <si>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</si>
  <si>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</si>
  <si>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</si>
  <si>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</si>
  <si>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</si>
  <si>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</si>
  <si>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</si>
  <si>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</si>
  <si>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</si>
  <si>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</si>
  <si>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</si>
  <si>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</si>
  <si>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</si>
  <si>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</si>
  <si>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</si>
  <si>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</si>
  <si>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</si>
  <si>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</si>
  <si>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</si>
  <si>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</si>
  <si>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</si>
  <si>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</si>
  <si>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NXPI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</si>
  <si>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</si>
  <si>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</si>
  <si>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</si>
  <si>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</si>
  <si>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</si>
  <si>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</si>
  <si>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</si>
  <si>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</si>
  <si>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</si>
  <si>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</si>
  <si>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</si>
  <si>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</si>
  <si>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</si>
  <si>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</si>
  <si>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</si>
  <si>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</si>
  <si>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</si>
  <si>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</si>
  <si>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</si>
  <si>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</si>
  <si>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</si>
  <si>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</si>
  <si>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</si>
  <si>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</si>
  <si>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</si>
  <si>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</si>
  <si>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</si>
  <si>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</si>
  <si>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</si>
  <si>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</si>
  <si>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NXPI owner-FCF component DCF: base case (millions, USD)</t>
  </si>
  <si>
    <t xml:space="preserve">NXPI owner-FCF component DCF: bull case (millions, USD)</t>
  </si>
  <si>
    <t xml:space="preserve">NXPI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</si>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</sst>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239.19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1182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3519</v>
      </c>
      <c r="C3" s="0" t="n">
        <v>2621</v>
      </c>
      <c r="D3" s="0" t="n">
        <v>898</v>
      </c>
      <c r="E3" s="0" t="n">
        <v>25.5186132423984</v>
      </c>
      <c r="F3" s="0" t="n">
        <v>-931</v>
      </c>
      <c r="G3" s="0" t="n">
        <v>-26.4563796533106</v>
      </c>
      <c r="H3" s="0" t="n">
        <v>-113</v>
      </c>
      <c r="I3" s="0" t="n">
        <v>-167</v>
      </c>
      <c r="J3" s="0" t="n">
        <v>-4.74566638249503</v>
      </c>
      <c r="M3" s="0" t="n">
        <v>92</v>
      </c>
      <c r="O3" s="0" t="n">
        <v>1041</v>
      </c>
      <c r="S3" s="0" t="n">
        <v>1026</v>
      </c>
      <c r="U3" s="0" t="n">
        <v>28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4402</v>
      </c>
      <c r="C4" s="0" t="n">
        <v>2579</v>
      </c>
      <c r="D4" s="0" t="n">
        <v>1823</v>
      </c>
      <c r="E4" s="0" t="n">
        <v>41.4129940935938</v>
      </c>
      <c r="F4" s="0" t="n">
        <v>273</v>
      </c>
      <c r="G4" s="0" t="n">
        <v>6.20172648796002</v>
      </c>
      <c r="H4" s="0" t="n">
        <v>957</v>
      </c>
      <c r="I4" s="0" t="n">
        <v>-456</v>
      </c>
      <c r="J4" s="0" t="n">
        <v>-10.358927760109</v>
      </c>
      <c r="M4" s="0" t="n">
        <v>258</v>
      </c>
      <c r="O4" s="0" t="n">
        <v>1219</v>
      </c>
      <c r="P4" s="0" t="n">
        <v>7637</v>
      </c>
      <c r="R4" s="0" t="n">
        <v>4128</v>
      </c>
      <c r="S4" s="0" t="n">
        <v>898</v>
      </c>
      <c r="U4" s="0" t="n">
        <v>12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4194</v>
      </c>
      <c r="C5" s="0" t="n">
        <v>2288</v>
      </c>
      <c r="D5" s="0" t="n">
        <v>1906</v>
      </c>
      <c r="E5" s="0" t="n">
        <v>45.445875059609</v>
      </c>
      <c r="F5" s="0" t="n">
        <v>357</v>
      </c>
      <c r="G5" s="0" t="n">
        <v>8.51216022889843</v>
      </c>
      <c r="H5" s="0" t="n">
        <v>948</v>
      </c>
      <c r="I5" s="0" t="n">
        <v>436</v>
      </c>
      <c r="J5" s="0" t="n">
        <v>10.3958035288507</v>
      </c>
      <c r="K5" s="0" t="n">
        <v>1.57</v>
      </c>
      <c r="M5" s="0" t="n">
        <v>221</v>
      </c>
      <c r="O5" s="0" t="n">
        <v>1357</v>
      </c>
      <c r="P5" s="0" t="n">
        <v>6612</v>
      </c>
      <c r="R5" s="0" t="n">
        <v>3799</v>
      </c>
      <c r="S5" s="0" t="n">
        <v>743</v>
      </c>
      <c r="T5" s="0" t="n">
        <v>248.812</v>
      </c>
      <c r="U5" s="0" t="n">
        <v>31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4358</v>
      </c>
      <c r="C6" s="0" t="n">
        <v>2370</v>
      </c>
      <c r="D6" s="0" t="n">
        <v>1988</v>
      </c>
      <c r="E6" s="0" t="n">
        <v>45.6172556218449</v>
      </c>
      <c r="F6" s="0" t="n">
        <v>412</v>
      </c>
      <c r="G6" s="0" t="n">
        <v>9.45387792565397</v>
      </c>
      <c r="H6" s="0" t="n">
        <v>945</v>
      </c>
      <c r="I6" s="0" t="n">
        <v>-115</v>
      </c>
      <c r="J6" s="0" t="n">
        <v>-2.63882514915099</v>
      </c>
      <c r="K6" s="0" t="n">
        <v>-0.46</v>
      </c>
      <c r="M6" s="0" t="n">
        <v>251</v>
      </c>
      <c r="O6" s="0" t="n">
        <v>1284</v>
      </c>
      <c r="P6" s="0" t="n">
        <v>6439</v>
      </c>
      <c r="R6" s="0" t="n">
        <v>3492</v>
      </c>
      <c r="S6" s="0" t="n">
        <v>617</v>
      </c>
      <c r="T6" s="0" t="n">
        <v>248.064</v>
      </c>
      <c r="U6" s="0" t="n">
        <v>52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4815</v>
      </c>
      <c r="C7" s="0" t="n">
        <v>2638</v>
      </c>
      <c r="D7" s="0" t="n">
        <v>2177</v>
      </c>
      <c r="E7" s="0" t="n">
        <v>45.2128764278297</v>
      </c>
      <c r="F7" s="0" t="n">
        <v>651</v>
      </c>
      <c r="G7" s="0" t="n">
        <v>13.5202492211838</v>
      </c>
      <c r="H7" s="0" t="n">
        <v>1165</v>
      </c>
      <c r="I7" s="0" t="n">
        <v>415</v>
      </c>
      <c r="J7" s="0" t="n">
        <v>8.61889927310488</v>
      </c>
      <c r="K7" s="0" t="n">
        <v>1.4</v>
      </c>
      <c r="M7" s="0" t="n">
        <v>215</v>
      </c>
      <c r="O7" s="0" t="n">
        <v>1546</v>
      </c>
      <c r="P7" s="0" t="n">
        <v>6449</v>
      </c>
      <c r="R7" s="0" t="n">
        <v>3321</v>
      </c>
      <c r="S7" s="0" t="n">
        <v>670</v>
      </c>
      <c r="T7" s="0" t="n">
        <v>255.05</v>
      </c>
      <c r="U7" s="0" t="n">
        <v>88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5647</v>
      </c>
      <c r="C8" s="0" t="n">
        <v>3007</v>
      </c>
      <c r="D8" s="0" t="n">
        <v>2640</v>
      </c>
      <c r="E8" s="0" t="n">
        <v>46.7504869842394</v>
      </c>
      <c r="F8" s="0" t="n">
        <v>1049</v>
      </c>
      <c r="G8" s="0" t="n">
        <v>18.5762351691163</v>
      </c>
      <c r="H8" s="0" t="n">
        <v>1454</v>
      </c>
      <c r="I8" s="0" t="n">
        <v>607</v>
      </c>
      <c r="J8" s="0" t="n">
        <v>10.7490703028157</v>
      </c>
      <c r="K8" s="0" t="n">
        <v>2.27</v>
      </c>
      <c r="M8" s="0" t="n">
        <v>329</v>
      </c>
      <c r="O8" s="0" t="n">
        <v>801</v>
      </c>
      <c r="P8" s="0" t="n">
        <v>6850</v>
      </c>
      <c r="R8" s="0" t="n">
        <v>3956</v>
      </c>
      <c r="S8" s="0" t="n">
        <v>1185</v>
      </c>
      <c r="T8" s="0" t="n">
        <v>248.609</v>
      </c>
      <c r="U8" s="0" t="n">
        <v>133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6101</v>
      </c>
      <c r="C9" s="0" t="n">
        <v>3314</v>
      </c>
      <c r="D9" s="0" t="n">
        <v>2787</v>
      </c>
      <c r="E9" s="0" t="n">
        <v>45.6810358957548</v>
      </c>
      <c r="F9" s="0" t="n">
        <v>2015</v>
      </c>
      <c r="G9" s="0" t="n">
        <v>33.0273725618751</v>
      </c>
      <c r="H9" s="0" t="n">
        <v>2532</v>
      </c>
      <c r="I9" s="0" t="n">
        <v>1599</v>
      </c>
      <c r="J9" s="0" t="n">
        <v>26.2088182265202</v>
      </c>
      <c r="K9" s="0" t="n">
        <v>6.36</v>
      </c>
      <c r="M9" s="0" t="n">
        <v>341</v>
      </c>
      <c r="O9" s="0" t="n">
        <v>11803</v>
      </c>
      <c r="P9" s="0" t="n">
        <v>26354</v>
      </c>
      <c r="R9" s="0" t="n">
        <v>9212</v>
      </c>
      <c r="S9" s="0" t="n">
        <v>1614</v>
      </c>
      <c r="T9" s="0" t="n">
        <v>250.116</v>
      </c>
      <c r="U9" s="0" t="n">
        <v>216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9498</v>
      </c>
      <c r="C10" s="0" t="n">
        <v>5429</v>
      </c>
      <c r="D10" s="0" t="n">
        <v>4069</v>
      </c>
      <c r="E10" s="0" t="n">
        <v>42.8405980206359</v>
      </c>
      <c r="F10" s="0" t="n">
        <v>-150</v>
      </c>
      <c r="G10" s="0" t="n">
        <v>-1.57927984838913</v>
      </c>
      <c r="H10" s="0" t="n">
        <v>2055</v>
      </c>
      <c r="I10" s="0" t="n">
        <v>259</v>
      </c>
      <c r="J10" s="0" t="n">
        <v>2.72688987155191</v>
      </c>
      <c r="K10" s="0" t="n">
        <v>0.59</v>
      </c>
      <c r="L10" s="0" t="n">
        <v>2303</v>
      </c>
      <c r="M10" s="0" t="n">
        <v>389</v>
      </c>
      <c r="N10" s="0" t="n">
        <v>1914</v>
      </c>
      <c r="O10" s="0" t="n">
        <v>11156</v>
      </c>
      <c r="P10" s="0" t="n">
        <v>24898</v>
      </c>
      <c r="R10" s="0" t="n">
        <v>9187</v>
      </c>
      <c r="S10" s="0" t="n">
        <v>1894</v>
      </c>
      <c r="T10" s="0" t="n">
        <v>347.607</v>
      </c>
      <c r="U10" s="0" t="n">
        <v>338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9256</v>
      </c>
      <c r="C11" s="0" t="n">
        <v>4637</v>
      </c>
      <c r="D11" s="0" t="n">
        <v>4619</v>
      </c>
      <c r="E11" s="0" t="n">
        <v>49.9027657735523</v>
      </c>
      <c r="F11" s="0" t="n">
        <v>2102</v>
      </c>
      <c r="G11" s="0" t="n">
        <v>22.7095937770095</v>
      </c>
      <c r="H11" s="0" t="n">
        <v>4275</v>
      </c>
      <c r="I11" s="0" t="n">
        <v>2272</v>
      </c>
      <c r="J11" s="0" t="n">
        <v>24.5462402765774</v>
      </c>
      <c r="K11" s="0" t="n">
        <v>6.54</v>
      </c>
      <c r="L11" s="0" t="n">
        <v>2447</v>
      </c>
      <c r="M11" s="0" t="n">
        <v>552</v>
      </c>
      <c r="N11" s="0" t="n">
        <v>1895</v>
      </c>
      <c r="O11" s="0" t="n">
        <v>13716</v>
      </c>
      <c r="P11" s="0" t="n">
        <v>24049</v>
      </c>
      <c r="R11" s="0" t="n">
        <v>6565</v>
      </c>
      <c r="S11" s="0" t="n">
        <v>3547</v>
      </c>
      <c r="T11" s="0" t="n">
        <v>345.802</v>
      </c>
      <c r="U11" s="0" t="n">
        <v>281</v>
      </c>
      <c r="V11" s="0" t="n">
        <v>0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9407</v>
      </c>
      <c r="C12" s="0" t="n">
        <v>4556</v>
      </c>
      <c r="D12" s="0" t="n">
        <v>4851</v>
      </c>
      <c r="E12" s="0" t="n">
        <v>51.5679812905283</v>
      </c>
      <c r="F12" s="0" t="n">
        <v>2710</v>
      </c>
      <c r="G12" s="0" t="n">
        <v>28.8083342191985</v>
      </c>
      <c r="H12" s="0" t="n">
        <v>4697</v>
      </c>
      <c r="I12" s="0" t="n">
        <v>2258</v>
      </c>
      <c r="J12" s="0" t="n">
        <v>24.0034017221218</v>
      </c>
      <c r="K12" s="0" t="n">
        <v>6.78</v>
      </c>
      <c r="L12" s="0" t="n">
        <v>4369</v>
      </c>
      <c r="M12" s="0" t="n">
        <v>611</v>
      </c>
      <c r="N12" s="0" t="n">
        <v>3758</v>
      </c>
      <c r="O12" s="0" t="n">
        <v>10690</v>
      </c>
      <c r="P12" s="0" t="n">
        <v>21530</v>
      </c>
      <c r="Q12" s="0" t="n">
        <v>10840</v>
      </c>
      <c r="R12" s="0" t="n">
        <v>7354</v>
      </c>
      <c r="S12" s="0" t="n">
        <v>2789</v>
      </c>
      <c r="T12" s="0" t="n">
        <v>328.606</v>
      </c>
      <c r="U12" s="0" t="n">
        <v>314</v>
      </c>
      <c r="V12" s="0" t="n">
        <v>0.5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8877</v>
      </c>
      <c r="C13" s="0" t="n">
        <v>4259</v>
      </c>
      <c r="D13" s="0" t="n">
        <v>4618</v>
      </c>
      <c r="E13" s="0" t="n">
        <v>52.0220795313732</v>
      </c>
      <c r="F13" s="0" t="n">
        <v>641</v>
      </c>
      <c r="G13" s="0" t="n">
        <v>7.22090796440239</v>
      </c>
      <c r="H13" s="0" t="n">
        <v>2688</v>
      </c>
      <c r="I13" s="0" t="n">
        <v>272</v>
      </c>
      <c r="J13" s="0" t="n">
        <v>3.06409823138448</v>
      </c>
      <c r="K13" s="0" t="n">
        <v>0.86</v>
      </c>
      <c r="L13" s="0" t="n">
        <v>2373</v>
      </c>
      <c r="M13" s="0" t="n">
        <v>526</v>
      </c>
      <c r="N13" s="0" t="n">
        <v>1847</v>
      </c>
      <c r="O13" s="0" t="n">
        <v>9655</v>
      </c>
      <c r="P13" s="0" t="n">
        <v>20016</v>
      </c>
      <c r="Q13" s="0" t="n">
        <v>10361</v>
      </c>
      <c r="R13" s="0" t="n">
        <v>7365</v>
      </c>
      <c r="S13" s="0" t="n">
        <v>1045</v>
      </c>
      <c r="T13" s="0" t="n">
        <v>285.911</v>
      </c>
      <c r="U13" s="0" t="n">
        <v>346</v>
      </c>
      <c r="V13" s="0" t="n">
        <v>1.25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8612</v>
      </c>
      <c r="C14" s="0" t="n">
        <v>4377</v>
      </c>
      <c r="D14" s="0" t="n">
        <v>4235</v>
      </c>
      <c r="E14" s="0" t="n">
        <v>49.1755689735253</v>
      </c>
      <c r="F14" s="0" t="n">
        <v>418</v>
      </c>
      <c r="G14" s="0" t="n">
        <v>4.85369252206224</v>
      </c>
      <c r="H14" s="0" t="n">
        <v>2406</v>
      </c>
      <c r="I14" s="0" t="n">
        <v>80</v>
      </c>
      <c r="J14" s="0" t="n">
        <v>0.928936367858802</v>
      </c>
      <c r="K14" s="0" t="n">
        <v>0.19</v>
      </c>
      <c r="L14" s="0" t="n">
        <v>2482</v>
      </c>
      <c r="M14" s="0" t="n">
        <v>392</v>
      </c>
      <c r="N14" s="0" t="n">
        <v>2090</v>
      </c>
      <c r="O14" s="0" t="n">
        <v>9151</v>
      </c>
      <c r="P14" s="0" t="n">
        <v>19847</v>
      </c>
      <c r="Q14" s="0" t="n">
        <v>10696</v>
      </c>
      <c r="R14" s="0" t="n">
        <v>7609</v>
      </c>
      <c r="S14" s="0" t="n">
        <v>2275</v>
      </c>
      <c r="T14" s="0" t="n">
        <v>283.809</v>
      </c>
      <c r="U14" s="0" t="n">
        <v>384</v>
      </c>
      <c r="V14" s="0" t="n">
        <v>1.5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11063</v>
      </c>
      <c r="C15" s="0" t="n">
        <v>4996</v>
      </c>
      <c r="D15" s="0" t="n">
        <v>6067</v>
      </c>
      <c r="E15" s="0" t="n">
        <v>54.8404591882853</v>
      </c>
      <c r="F15" s="0" t="n">
        <v>2583</v>
      </c>
      <c r="G15" s="0" t="n">
        <v>23.3480972611407</v>
      </c>
      <c r="H15" s="0" t="n">
        <v>3845</v>
      </c>
      <c r="I15" s="0" t="n">
        <v>1906</v>
      </c>
      <c r="J15" s="0" t="n">
        <v>17.2285998372955</v>
      </c>
      <c r="K15" s="0" t="n">
        <v>6.91</v>
      </c>
      <c r="L15" s="0" t="n">
        <v>3077</v>
      </c>
      <c r="M15" s="0" t="n">
        <v>767</v>
      </c>
      <c r="N15" s="0" t="n">
        <v>2310</v>
      </c>
      <c r="O15" s="0" t="n">
        <v>6770</v>
      </c>
      <c r="P15" s="0" t="n">
        <v>20864</v>
      </c>
      <c r="Q15" s="0" t="n">
        <v>14094</v>
      </c>
      <c r="R15" s="0" t="n">
        <v>10572</v>
      </c>
      <c r="S15" s="0" t="n">
        <v>2830</v>
      </c>
      <c r="T15" s="0" t="n">
        <v>275.646</v>
      </c>
      <c r="U15" s="0" t="n">
        <v>353</v>
      </c>
      <c r="V15" s="0" t="n">
        <v>2.25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13205</v>
      </c>
      <c r="C16" s="0" t="n">
        <v>5688</v>
      </c>
      <c r="D16" s="0" t="n">
        <v>7517</v>
      </c>
      <c r="E16" s="0" t="n">
        <v>56.9254070427868</v>
      </c>
      <c r="F16" s="0" t="n">
        <v>3797</v>
      </c>
      <c r="G16" s="0" t="n">
        <v>28.7542597500947</v>
      </c>
      <c r="H16" s="0" t="n">
        <v>5047</v>
      </c>
      <c r="I16" s="0" t="n">
        <v>2833</v>
      </c>
      <c r="J16" s="0" t="n">
        <v>21.4539946989777</v>
      </c>
      <c r="K16" s="0" t="n">
        <v>10.64</v>
      </c>
      <c r="L16" s="0" t="n">
        <v>3895</v>
      </c>
      <c r="M16" s="0" t="n">
        <v>1063</v>
      </c>
      <c r="N16" s="0" t="n">
        <v>2832</v>
      </c>
      <c r="O16" s="0" t="n">
        <v>7740</v>
      </c>
      <c r="P16" s="0" t="n">
        <v>23236</v>
      </c>
      <c r="Q16" s="0" t="n">
        <v>15496</v>
      </c>
      <c r="R16" s="0" t="n">
        <v>11165</v>
      </c>
      <c r="S16" s="0" t="n">
        <v>3845</v>
      </c>
      <c r="T16" s="0" t="n">
        <v>264.053</v>
      </c>
      <c r="U16" s="0" t="n">
        <v>364</v>
      </c>
      <c r="V16" s="0" t="n">
        <v>3.38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13276</v>
      </c>
      <c r="C17" s="0" t="n">
        <v>5723</v>
      </c>
      <c r="D17" s="0" t="n">
        <v>7553</v>
      </c>
      <c r="E17" s="0" t="n">
        <v>56.8921361855981</v>
      </c>
      <c r="F17" s="0" t="n">
        <v>3661</v>
      </c>
      <c r="G17" s="0" t="n">
        <v>27.5760771316662</v>
      </c>
      <c r="H17" s="0" t="n">
        <v>4767</v>
      </c>
      <c r="I17" s="0" t="n">
        <v>2822</v>
      </c>
      <c r="J17" s="0" t="n">
        <v>21.2564025308828</v>
      </c>
      <c r="K17" s="0" t="n">
        <v>10.83</v>
      </c>
      <c r="L17" s="0" t="n">
        <v>3513</v>
      </c>
      <c r="M17" s="0" t="n">
        <v>827</v>
      </c>
      <c r="N17" s="0" t="n">
        <v>2686</v>
      </c>
      <c r="O17" s="0" t="n">
        <v>8960</v>
      </c>
      <c r="P17" s="0" t="n">
        <v>24353</v>
      </c>
      <c r="Q17" s="0" t="n">
        <v>15393</v>
      </c>
      <c r="R17" s="0" t="n">
        <v>11175</v>
      </c>
      <c r="S17" s="0" t="n">
        <v>3862</v>
      </c>
      <c r="T17" s="0" t="n">
        <v>261.37</v>
      </c>
      <c r="U17" s="0" t="n">
        <v>411</v>
      </c>
      <c r="V17" s="0" t="n">
        <v>4.056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12614</v>
      </c>
      <c r="C18" s="0" t="n">
        <v>5495</v>
      </c>
      <c r="D18" s="0" t="n">
        <v>7119</v>
      </c>
      <c r="E18" s="0" t="n">
        <v>56.4372918978912</v>
      </c>
      <c r="F18" s="0" t="n">
        <v>3417</v>
      </c>
      <c r="G18" s="0" t="n">
        <v>27.088948787062</v>
      </c>
      <c r="H18" s="0" t="n">
        <v>4342</v>
      </c>
      <c r="I18" s="0" t="n">
        <v>2542</v>
      </c>
      <c r="J18" s="0" t="n">
        <v>20.1522118281275</v>
      </c>
      <c r="K18" s="0" t="n">
        <v>9.84</v>
      </c>
      <c r="L18" s="0" t="n">
        <v>2782</v>
      </c>
      <c r="M18" s="0" t="n">
        <v>727</v>
      </c>
      <c r="N18" s="0" t="n">
        <v>2055</v>
      </c>
      <c r="O18" s="0" t="n">
        <v>9531</v>
      </c>
      <c r="P18" s="0" t="n">
        <v>24385</v>
      </c>
      <c r="Q18" s="0" t="n">
        <v>14854</v>
      </c>
      <c r="R18" s="0" t="n">
        <v>10854</v>
      </c>
      <c r="S18" s="0" t="n">
        <v>3292</v>
      </c>
      <c r="T18" s="0" t="n">
        <v>257.848</v>
      </c>
      <c r="U18" s="0" t="n">
        <v>461</v>
      </c>
      <c r="V18" s="0" t="n">
        <v>4.056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12269</v>
      </c>
      <c r="C19" s="0" t="n">
        <v>5553</v>
      </c>
      <c r="D19" s="0" t="n">
        <v>6716</v>
      </c>
      <c r="E19" s="0" t="n">
        <v>54.7395875784498</v>
      </c>
      <c r="F19" s="0" t="n">
        <v>3047</v>
      </c>
      <c r="G19" s="0" t="n">
        <v>24.8349498736653</v>
      </c>
      <c r="H19" s="0" t="n">
        <v>3879</v>
      </c>
      <c r="I19" s="0" t="n">
        <v>2068</v>
      </c>
      <c r="J19" s="0" t="n">
        <v>16.8554894449425</v>
      </c>
      <c r="K19" s="0" t="n">
        <v>8</v>
      </c>
      <c r="L19" s="0" t="n">
        <v>2820</v>
      </c>
      <c r="M19" s="0" t="n">
        <v>397</v>
      </c>
      <c r="N19" s="0" t="n">
        <v>2423</v>
      </c>
      <c r="O19" s="0" t="n">
        <v>10451</v>
      </c>
      <c r="P19" s="0" t="n">
        <v>26560</v>
      </c>
      <c r="Q19" s="0" t="n">
        <v>16109</v>
      </c>
      <c r="R19" s="0" t="n">
        <v>12290</v>
      </c>
      <c r="S19" s="0" t="n">
        <v>3267</v>
      </c>
      <c r="T19" s="0" t="n">
        <v>254.331</v>
      </c>
      <c r="U19" s="0" t="n">
        <v>462</v>
      </c>
      <c r="V19" s="0" t="n">
        <v>4.056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239.19</v>
      </c>
    </row>
    <row r="3" customFormat="false" ht="15" hidden="false" customHeight="false" outlineLevel="0" collapsed="false">
      <c r="A3" s="0" t="s">
        <v>84</v>
      </c>
      <c r="B3" s="3" t="n">
        <v>254.021</v>
      </c>
    </row>
    <row r="4" customFormat="false" ht="15" hidden="false" customHeight="false" outlineLevel="0" collapsed="false">
      <c r="A4" s="0" t="s">
        <v>85</v>
      </c>
      <c r="B4" s="3" t="n">
        <v>7754</v>
      </c>
    </row>
    <row r="5" customFormat="false" ht="15" hidden="false" customHeight="false" outlineLevel="0" collapsed="false">
      <c r="A5" s="0" t="s">
        <v>86</v>
      </c>
      <c r="B5" s="3" t="n">
        <v>-362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12269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15</v>
      </c>
      <c r="D13" s="3" t="n">
        <v>4</v>
      </c>
      <c r="E13" s="3" t="n">
        <v>-6</v>
      </c>
      <c r="F13" s="3" t="n">
        <v>2</v>
      </c>
      <c r="G13" s="3" t="n">
        <v>4</v>
      </c>
      <c r="H13" s="3" t="n">
        <v>4</v>
      </c>
      <c r="I13" s="3" t="n">
        <v>3.5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105</v>
      </c>
      <c r="C14" s="3" t="n">
        <v>37.5</v>
      </c>
      <c r="D14" s="3" t="n">
        <v>37</v>
      </c>
      <c r="E14" s="3" t="n">
        <v>34</v>
      </c>
      <c r="F14" s="3" t="n">
        <v>35</v>
      </c>
      <c r="G14" s="3" t="n">
        <v>36</v>
      </c>
      <c r="H14" s="3" t="n">
        <v>36.5</v>
      </c>
      <c r="I14" s="3" t="n">
        <v>37</v>
      </c>
      <c r="J14" s="3" t="n">
        <v>37</v>
      </c>
      <c r="K14" s="3" t="n">
        <v>37</v>
      </c>
      <c r="L14" s="3" t="n">
        <v>37</v>
      </c>
    </row>
    <row r="15" customFormat="false" ht="15" hidden="false" customHeight="false" outlineLevel="0" collapsed="false">
      <c r="A15" s="0" t="s">
        <v>106</v>
      </c>
      <c r="C15" s="3" t="n">
        <v>3.4</v>
      </c>
      <c r="D15" s="3" t="n">
        <v>3.4</v>
      </c>
      <c r="E15" s="3" t="n">
        <v>3.5</v>
      </c>
      <c r="F15" s="3" t="n">
        <v>3.4</v>
      </c>
      <c r="G15" s="3" t="n">
        <v>3.3</v>
      </c>
      <c r="H15" s="3" t="n">
        <v>3.2</v>
      </c>
      <c r="I15" s="3" t="n">
        <v>3.2</v>
      </c>
      <c r="J15" s="3" t="n">
        <v>3.2</v>
      </c>
      <c r="K15" s="3" t="n">
        <v>3.2</v>
      </c>
      <c r="L15" s="3" t="n">
        <v>3.2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5.5</v>
      </c>
      <c r="D17" s="3" t="n">
        <v>5.4</v>
      </c>
      <c r="E17" s="3" t="n">
        <v>5.6</v>
      </c>
      <c r="F17" s="3" t="n">
        <v>5.4</v>
      </c>
      <c r="G17" s="3" t="n">
        <v>5.3</v>
      </c>
      <c r="H17" s="3" t="n">
        <v>5.2</v>
      </c>
      <c r="I17" s="3" t="n">
        <v>5.2</v>
      </c>
      <c r="J17" s="3" t="n">
        <v>5.2</v>
      </c>
      <c r="K17" s="3" t="n">
        <v>5.2</v>
      </c>
      <c r="L17" s="3" t="n">
        <v>5.2</v>
      </c>
    </row>
    <row r="18" customFormat="false" ht="15" hidden="false" customHeight="false" outlineLevel="0" collapsed="false">
      <c r="A18" s="0" t="s">
        <v>109</v>
      </c>
      <c r="C18" s="3" t="n">
        <v>5</v>
      </c>
      <c r="D18" s="3" t="n">
        <v>5</v>
      </c>
      <c r="E18" s="3" t="n">
        <v>4.5</v>
      </c>
      <c r="F18" s="3" t="n">
        <v>5</v>
      </c>
      <c r="G18" s="3" t="n">
        <v>5.5</v>
      </c>
      <c r="H18" s="3" t="n">
        <v>5.5</v>
      </c>
      <c r="I18" s="3" t="n">
        <v>5.5</v>
      </c>
      <c r="J18" s="3" t="n">
        <v>5.5</v>
      </c>
      <c r="K18" s="3" t="n">
        <v>5.5</v>
      </c>
      <c r="L18" s="3" t="n">
        <v>5.5</v>
      </c>
    </row>
    <row r="19" customFormat="false" ht="15" hidden="false" customHeight="false" outlineLevel="0" collapsed="false">
      <c r="A19" s="0" t="s">
        <v>110</v>
      </c>
      <c r="C19" s="3" t="n">
        <v>20</v>
      </c>
      <c r="D19" s="3" t="n">
        <v>20.5</v>
      </c>
      <c r="E19" s="3" t="n">
        <v>21</v>
      </c>
      <c r="F19" s="3" t="n">
        <v>21.5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111</v>
      </c>
      <c r="B20" s="3" t="n">
        <v>9.5</v>
      </c>
    </row>
    <row r="21" customFormat="false" ht="15" hidden="false" customHeight="false" outlineLevel="0" collapsed="false">
      <c r="A21" s="0" t="s">
        <v>112</v>
      </c>
      <c r="B21" s="3" t="n">
        <v>2.5</v>
      </c>
    </row>
    <row r="22" customFormat="false" ht="15" hidden="false" customHeight="false" outlineLevel="0" collapsed="false">
      <c r="A22" s="0" t="s">
        <v>113</v>
      </c>
      <c r="B22" s="3" t="n">
        <v>13</v>
      </c>
    </row>
    <row r="23" customFormat="false" ht="15" hidden="false" customHeight="false" outlineLevel="0" collapsed="false">
      <c r="A23" s="0" t="s">
        <v>114</v>
      </c>
      <c r="B23" s="3" t="n">
        <v>-15</v>
      </c>
    </row>
    <row r="24" customFormat="false" ht="15" hidden="false" customHeight="false" outlineLevel="0" collapsed="false">
      <c r="A24" s="0" t="s">
        <v>115</v>
      </c>
      <c r="B24" s="3" t="n">
        <v>0.25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16.2</v>
      </c>
      <c r="D27" s="3" t="n">
        <v>10</v>
      </c>
      <c r="E27" s="3" t="n">
        <v>7</v>
      </c>
      <c r="F27" s="3" t="n">
        <v>5</v>
      </c>
      <c r="G27" s="3" t="n">
        <v>5</v>
      </c>
      <c r="H27" s="3" t="n">
        <v>4.5</v>
      </c>
      <c r="I27" s="3" t="n">
        <v>4.5</v>
      </c>
      <c r="J27" s="3" t="n">
        <v>4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105</v>
      </c>
      <c r="C28" s="3" t="n">
        <v>38.5</v>
      </c>
      <c r="D28" s="3" t="n">
        <v>40.5</v>
      </c>
      <c r="E28" s="3" t="n">
        <v>41.5</v>
      </c>
      <c r="F28" s="3" t="n">
        <v>41.5</v>
      </c>
      <c r="G28" s="3" t="n">
        <v>41</v>
      </c>
      <c r="H28" s="3" t="n">
        <v>41</v>
      </c>
      <c r="I28" s="3" t="n">
        <v>40.5</v>
      </c>
      <c r="J28" s="3" t="n">
        <v>40.5</v>
      </c>
      <c r="K28" s="3" t="n">
        <v>40</v>
      </c>
      <c r="L28" s="3" t="n">
        <v>40</v>
      </c>
    </row>
    <row r="29" customFormat="false" ht="15" hidden="false" customHeight="false" outlineLevel="0" collapsed="false">
      <c r="A29" s="0" t="s">
        <v>106</v>
      </c>
      <c r="C29" s="3" t="n">
        <v>3.3</v>
      </c>
      <c r="D29" s="3" t="n">
        <v>3.2</v>
      </c>
      <c r="E29" s="3" t="n">
        <v>3.1</v>
      </c>
      <c r="F29" s="3" t="n">
        <v>3</v>
      </c>
      <c r="G29" s="3" t="n">
        <v>3</v>
      </c>
      <c r="H29" s="3" t="n">
        <v>3</v>
      </c>
      <c r="I29" s="3" t="n">
        <v>3</v>
      </c>
      <c r="J29" s="3" t="n">
        <v>3</v>
      </c>
      <c r="K29" s="3" t="n">
        <v>3</v>
      </c>
      <c r="L29" s="3" t="n">
        <v>3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5.5</v>
      </c>
      <c r="D31" s="3" t="n">
        <v>5.3</v>
      </c>
      <c r="E31" s="3" t="n">
        <v>5.2</v>
      </c>
      <c r="F31" s="3" t="n">
        <v>5</v>
      </c>
      <c r="G31" s="3" t="n">
        <v>5</v>
      </c>
      <c r="H31" s="3" t="n">
        <v>5</v>
      </c>
      <c r="I31" s="3" t="n">
        <v>5</v>
      </c>
      <c r="J31" s="3" t="n">
        <v>5</v>
      </c>
      <c r="K31" s="3" t="n">
        <v>5</v>
      </c>
      <c r="L31" s="3" t="n">
        <v>5</v>
      </c>
    </row>
    <row r="32" customFormat="false" ht="15" hidden="false" customHeight="false" outlineLevel="0" collapsed="false">
      <c r="A32" s="0" t="s">
        <v>109</v>
      </c>
      <c r="C32" s="3" t="n">
        <v>4.5</v>
      </c>
      <c r="D32" s="3" t="n">
        <v>5</v>
      </c>
      <c r="E32" s="3" t="n">
        <v>5</v>
      </c>
      <c r="F32" s="3" t="n">
        <v>5</v>
      </c>
      <c r="G32" s="3" t="n">
        <v>5</v>
      </c>
      <c r="H32" s="3" t="n">
        <v>5</v>
      </c>
      <c r="I32" s="3" t="n">
        <v>5</v>
      </c>
      <c r="J32" s="3" t="n">
        <v>5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110</v>
      </c>
      <c r="C33" s="3" t="n">
        <v>19.5</v>
      </c>
      <c r="D33" s="3" t="n">
        <v>20</v>
      </c>
      <c r="E33" s="3" t="n">
        <v>20</v>
      </c>
      <c r="F33" s="3" t="n">
        <v>20.5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111</v>
      </c>
      <c r="B34" s="3" t="n">
        <v>9.5</v>
      </c>
    </row>
    <row r="35" customFormat="false" ht="15" hidden="false" customHeight="false" outlineLevel="0" collapsed="false">
      <c r="A35" s="0" t="s">
        <v>112</v>
      </c>
      <c r="B35" s="3" t="n">
        <v>3</v>
      </c>
    </row>
    <row r="36" customFormat="false" ht="15" hidden="false" customHeight="false" outlineLevel="0" collapsed="false">
      <c r="A36" s="0" t="s">
        <v>113</v>
      </c>
      <c r="B36" s="3" t="n">
        <v>15</v>
      </c>
    </row>
    <row r="37" customFormat="false" ht="15" hidden="false" customHeight="false" outlineLevel="0" collapsed="false">
      <c r="A37" s="0" t="s">
        <v>114</v>
      </c>
      <c r="B37" s="3" t="n">
        <v>-15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18</v>
      </c>
      <c r="D41" s="3" t="n">
        <v>13</v>
      </c>
      <c r="E41" s="3" t="n">
        <v>10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105</v>
      </c>
      <c r="C42" s="3" t="n">
        <v>39</v>
      </c>
      <c r="D42" s="3" t="n">
        <v>41.5</v>
      </c>
      <c r="E42" s="3" t="n">
        <v>43</v>
      </c>
      <c r="F42" s="3" t="n">
        <v>43.5</v>
      </c>
      <c r="G42" s="3" t="n">
        <v>43.5</v>
      </c>
      <c r="H42" s="3" t="n">
        <v>43.5</v>
      </c>
      <c r="I42" s="3" t="n">
        <v>43</v>
      </c>
      <c r="J42" s="3" t="n">
        <v>43</v>
      </c>
      <c r="K42" s="3" t="n">
        <v>43</v>
      </c>
      <c r="L42" s="3" t="n">
        <v>43</v>
      </c>
    </row>
    <row r="43" customFormat="false" ht="15" hidden="false" customHeight="false" outlineLevel="0" collapsed="false">
      <c r="A43" s="0" t="s">
        <v>106</v>
      </c>
      <c r="C43" s="3" t="n">
        <v>3.2</v>
      </c>
      <c r="D43" s="3" t="n">
        <v>3.1</v>
      </c>
      <c r="E43" s="3" t="n">
        <v>3</v>
      </c>
      <c r="F43" s="3" t="n">
        <v>2.9</v>
      </c>
      <c r="G43" s="3" t="n">
        <v>2.8</v>
      </c>
      <c r="H43" s="3" t="n">
        <v>2.8</v>
      </c>
      <c r="I43" s="3" t="n">
        <v>2.8</v>
      </c>
      <c r="J43" s="3" t="n">
        <v>2.8</v>
      </c>
      <c r="K43" s="3" t="n">
        <v>2.8</v>
      </c>
      <c r="L43" s="3" t="n">
        <v>2.8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5.5</v>
      </c>
      <c r="D45" s="3" t="n">
        <v>5.3</v>
      </c>
      <c r="E45" s="3" t="n">
        <v>5.2</v>
      </c>
      <c r="F45" s="3" t="n">
        <v>5</v>
      </c>
      <c r="G45" s="3" t="n">
        <v>5</v>
      </c>
      <c r="H45" s="3" t="n">
        <v>5</v>
      </c>
      <c r="I45" s="3" t="n">
        <v>5</v>
      </c>
      <c r="J45" s="3" t="n">
        <v>5</v>
      </c>
      <c r="K45" s="3" t="n">
        <v>5</v>
      </c>
      <c r="L45" s="3" t="n">
        <v>5</v>
      </c>
    </row>
    <row r="46" customFormat="false" ht="15" hidden="false" customHeight="false" outlineLevel="0" collapsed="false">
      <c r="A46" s="0" t="s">
        <v>109</v>
      </c>
      <c r="C46" s="3" t="n">
        <v>4.5</v>
      </c>
      <c r="D46" s="3" t="n">
        <v>5</v>
      </c>
      <c r="E46" s="3" t="n">
        <v>5</v>
      </c>
      <c r="F46" s="3" t="n">
        <v>5</v>
      </c>
      <c r="G46" s="3" t="n">
        <v>5</v>
      </c>
      <c r="H46" s="3" t="n">
        <v>5</v>
      </c>
      <c r="I46" s="3" t="n">
        <v>5</v>
      </c>
      <c r="J46" s="3" t="n">
        <v>5</v>
      </c>
      <c r="K46" s="3" t="n">
        <v>5</v>
      </c>
      <c r="L46" s="3" t="n">
        <v>5</v>
      </c>
    </row>
    <row r="47" customFormat="false" ht="15" hidden="false" customHeight="false" outlineLevel="0" collapsed="false">
      <c r="A47" s="0" t="s">
        <v>110</v>
      </c>
      <c r="C47" s="3" t="n">
        <v>19.5</v>
      </c>
      <c r="D47" s="3" t="n">
        <v>20</v>
      </c>
      <c r="E47" s="3" t="n">
        <v>20</v>
      </c>
      <c r="F47" s="3" t="n">
        <v>20.5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111</v>
      </c>
      <c r="B48" s="3" t="n">
        <v>9.5</v>
      </c>
    </row>
    <row r="49" customFormat="false" ht="15" hidden="false" customHeight="false" outlineLevel="0" collapsed="false">
      <c r="A49" s="0" t="s">
        <v>112</v>
      </c>
      <c r="B49" s="3" t="n">
        <v>3.5</v>
      </c>
    </row>
    <row r="50" customFormat="false" ht="15" hidden="false" customHeight="false" outlineLevel="0" collapsed="false">
      <c r="A50" s="0" t="s">
        <v>113</v>
      </c>
      <c r="B50" s="3" t="n">
        <v>15</v>
      </c>
    </row>
    <row r="51" customFormat="false" ht="15" hidden="false" customHeight="false" outlineLevel="0" collapsed="false">
      <c r="A51" s="0" t="s">
        <v>114</v>
      </c>
      <c r="B51" s="3" t="n">
        <v>-12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15</v>
      </c>
      <c r="D5" s="4" t="n">
        <f aca="false">Assumptions!D13</f>
        <v>4</v>
      </c>
      <c r="E5" s="4" t="n">
        <f aca="false">Assumptions!E13</f>
        <v>-6</v>
      </c>
      <c r="F5" s="4" t="n">
        <f aca="false">Assumptions!F13</f>
        <v>2</v>
      </c>
      <c r="G5" s="4" t="n">
        <f aca="false">Assumptions!G13</f>
        <v>4</v>
      </c>
      <c r="H5" s="4" t="n">
        <f aca="false">Assumptions!H13</f>
        <v>4</v>
      </c>
      <c r="I5" s="4" t="n">
        <f aca="false">Assumptions!I13</f>
        <v>3.5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12269</v>
      </c>
      <c r="C6" s="0" t="n">
        <f aca="false">B6*(1+C5/100)</f>
        <v>14109.35</v>
      </c>
      <c r="D6" s="0" t="n">
        <f aca="false">C6*(1+D5/100)</f>
        <v>14673.724</v>
      </c>
      <c r="E6" s="0" t="n">
        <f aca="false">D6*(1+E5/100)</f>
        <v>13793.30056</v>
      </c>
      <c r="F6" s="0" t="n">
        <f aca="false">E6*(1+F5/100)</f>
        <v>14069.1665712</v>
      </c>
      <c r="G6" s="0" t="n">
        <f aca="false">F6*(1+G5/100)</f>
        <v>14631.933234048</v>
      </c>
      <c r="H6" s="0" t="n">
        <f aca="false">G6*(1+H5/100)</f>
        <v>15217.2105634099</v>
      </c>
      <c r="I6" s="0" t="n">
        <f aca="false">H6*(1+I5/100)</f>
        <v>15749.8129331293</v>
      </c>
      <c r="J6" s="0" t="n">
        <f aca="false">I6*(1+J5/100)</f>
        <v>16222.3073211231</v>
      </c>
      <c r="K6" s="0" t="n">
        <f aca="false">J6*(1+K5/100)</f>
        <v>16708.9765407568</v>
      </c>
      <c r="L6" s="0" t="n">
        <f aca="false">K6*(1+L5/100)</f>
        <v>17210.2458369795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37.5</v>
      </c>
      <c r="D7" s="4" t="n">
        <f aca="false">Assumptions!D14</f>
        <v>37</v>
      </c>
      <c r="E7" s="4" t="n">
        <f aca="false">Assumptions!E14</f>
        <v>34</v>
      </c>
      <c r="F7" s="4" t="n">
        <f aca="false">Assumptions!F14</f>
        <v>35</v>
      </c>
      <c r="G7" s="4" t="n">
        <f aca="false">Assumptions!G14</f>
        <v>36</v>
      </c>
      <c r="H7" s="4" t="n">
        <f aca="false">Assumptions!H14</f>
        <v>36.5</v>
      </c>
      <c r="I7" s="4" t="n">
        <f aca="false">Assumptions!I14</f>
        <v>37</v>
      </c>
      <c r="J7" s="4" t="n">
        <f aca="false">Assumptions!J14</f>
        <v>37</v>
      </c>
      <c r="K7" s="4" t="n">
        <f aca="false">Assumptions!K14</f>
        <v>37</v>
      </c>
      <c r="L7" s="4" t="n">
        <f aca="false">Assumptions!L14</f>
        <v>37</v>
      </c>
    </row>
    <row r="8" customFormat="false" ht="15" hidden="false" customHeight="false" outlineLevel="0" collapsed="false">
      <c r="A8" s="0" t="s">
        <v>43</v>
      </c>
      <c r="C8" s="0" t="n">
        <f aca="false">C6*C7/100</f>
        <v>5291.00625</v>
      </c>
      <c r="D8" s="0" t="n">
        <f aca="false">D6*D7/100</f>
        <v>5429.27788</v>
      </c>
      <c r="E8" s="0" t="n">
        <f aca="false">E6*E7/100</f>
        <v>4689.7221904</v>
      </c>
      <c r="F8" s="0" t="n">
        <f aca="false">F6*F7/100</f>
        <v>4924.20829992</v>
      </c>
      <c r="G8" s="0" t="n">
        <f aca="false">G6*G7/100</f>
        <v>5267.49596425728</v>
      </c>
      <c r="H8" s="0" t="n">
        <f aca="false">H6*H7/100</f>
        <v>5554.28185564462</v>
      </c>
      <c r="I8" s="0" t="n">
        <f aca="false">I6*I7/100</f>
        <v>5827.43078525783</v>
      </c>
      <c r="J8" s="0" t="n">
        <f aca="false">J6*J7/100</f>
        <v>6002.25370881556</v>
      </c>
      <c r="K8" s="0" t="n">
        <f aca="false">K6*K7/100</f>
        <v>6182.32132008003</v>
      </c>
      <c r="L8" s="0" t="n">
        <f aca="false">L6*L7/100</f>
        <v>6367.79095968243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3.4</v>
      </c>
      <c r="D9" s="4" t="n">
        <f aca="false">Assumptions!D15</f>
        <v>3.4</v>
      </c>
      <c r="E9" s="4" t="n">
        <f aca="false">Assumptions!E15</f>
        <v>3.5</v>
      </c>
      <c r="F9" s="4" t="n">
        <f aca="false">Assumptions!F15</f>
        <v>3.4</v>
      </c>
      <c r="G9" s="4" t="n">
        <f aca="false">Assumptions!G15</f>
        <v>3.3</v>
      </c>
      <c r="H9" s="4" t="n">
        <f aca="false">Assumptions!H15</f>
        <v>3.2</v>
      </c>
      <c r="I9" s="4" t="n">
        <f aca="false">Assumptions!I15</f>
        <v>3.2</v>
      </c>
      <c r="J9" s="4" t="n">
        <f aca="false">Assumptions!J15</f>
        <v>3.2</v>
      </c>
      <c r="K9" s="4" t="n">
        <f aca="false">Assumptions!K15</f>
        <v>3.2</v>
      </c>
      <c r="L9" s="4" t="n">
        <f aca="false">Assumptions!L15</f>
        <v>3.2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-479.7179</v>
      </c>
      <c r="D10" s="0" t="n">
        <f aca="false">-D6*D9/100</f>
        <v>-498.906616</v>
      </c>
      <c r="E10" s="0" t="n">
        <f aca="false">-E6*E9/100</f>
        <v>-482.7655196</v>
      </c>
      <c r="F10" s="0" t="n">
        <f aca="false">-F6*F9/100</f>
        <v>-478.3516634208</v>
      </c>
      <c r="G10" s="0" t="n">
        <f aca="false">-G6*G9/100</f>
        <v>-482.853796723584</v>
      </c>
      <c r="H10" s="0" t="n">
        <f aca="false">-H6*H9/100</f>
        <v>-486.950738029117</v>
      </c>
      <c r="I10" s="0" t="n">
        <f aca="false">-I6*I9/100</f>
        <v>-503.994013860137</v>
      </c>
      <c r="J10" s="0" t="n">
        <f aca="false">-J6*J9/100</f>
        <v>-519.113834275941</v>
      </c>
      <c r="K10" s="0" t="n">
        <f aca="false">-K6*K9/100</f>
        <v>-534.687249304219</v>
      </c>
      <c r="L10" s="0" t="n">
        <f aca="false">-L6*L9/100</f>
        <v>-550.727866783345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4811.28835</v>
      </c>
      <c r="D11" s="0" t="n">
        <f aca="false">D8+D10+D24</f>
        <v>4930.371264</v>
      </c>
      <c r="E11" s="0" t="n">
        <f aca="false">E8+E10+E24</f>
        <v>4206.9566708</v>
      </c>
      <c r="F11" s="0" t="n">
        <f aca="false">F8+F10+F24</f>
        <v>4445.8566364992</v>
      </c>
      <c r="G11" s="0" t="n">
        <f aca="false">G8+G10+G24</f>
        <v>4784.6421675337</v>
      </c>
      <c r="H11" s="0" t="n">
        <f aca="false">H8+H10+H24</f>
        <v>5067.3311176155</v>
      </c>
      <c r="I11" s="0" t="n">
        <f aca="false">I8+I10+I24</f>
        <v>5323.43677139769</v>
      </c>
      <c r="J11" s="0" t="n">
        <f aca="false">J8+J10+J24</f>
        <v>5483.13987453962</v>
      </c>
      <c r="K11" s="0" t="n">
        <f aca="false">K8+K10+K24</f>
        <v>5647.63407077581</v>
      </c>
      <c r="L11" s="0" t="n">
        <f aca="false">L8+L10+L24</f>
        <v>5817.06309289909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-776.01425</v>
      </c>
      <c r="D12" s="4" t="n">
        <f aca="false">-D6*Assumptions!D17/100</f>
        <v>-792.381096</v>
      </c>
      <c r="E12" s="4" t="n">
        <f aca="false">-E6*Assumptions!E17/100</f>
        <v>-772.42483136</v>
      </c>
      <c r="F12" s="4" t="n">
        <f aca="false">-F6*Assumptions!F17/100</f>
        <v>-759.7349948448</v>
      </c>
      <c r="G12" s="4" t="n">
        <f aca="false">-G6*Assumptions!G17/100</f>
        <v>-775.492461404544</v>
      </c>
      <c r="H12" s="4" t="n">
        <f aca="false">-H6*Assumptions!H17/100</f>
        <v>-791.294949297316</v>
      </c>
      <c r="I12" s="4" t="n">
        <f aca="false">-I6*Assumptions!I17/100</f>
        <v>-818.990272522722</v>
      </c>
      <c r="J12" s="4" t="n">
        <f aca="false">-J6*Assumptions!J17/100</f>
        <v>-843.559980698404</v>
      </c>
      <c r="K12" s="4" t="n">
        <f aca="false">-K6*Assumptions!K17/100</f>
        <v>-868.866780119356</v>
      </c>
      <c r="L12" s="4" t="n">
        <f aca="false">-L6*Assumptions!L17/100</f>
        <v>-894.932783522936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4035.2741</v>
      </c>
      <c r="D13" s="0" t="n">
        <f aca="false">D11+D12</f>
        <v>4137.990168</v>
      </c>
      <c r="E13" s="0" t="n">
        <f aca="false">E11+E12</f>
        <v>3434.53183944</v>
      </c>
      <c r="F13" s="0" t="n">
        <f aca="false">F11+F12</f>
        <v>3686.1216416544</v>
      </c>
      <c r="G13" s="0" t="n">
        <f aca="false">G11+G12</f>
        <v>4009.14970612915</v>
      </c>
      <c r="H13" s="0" t="n">
        <f aca="false">H11+H12</f>
        <v>4276.03616831819</v>
      </c>
      <c r="I13" s="0" t="n">
        <f aca="false">I11+I12</f>
        <v>4504.44649887497</v>
      </c>
      <c r="J13" s="0" t="n">
        <f aca="false">J11+J12</f>
        <v>4639.57989384122</v>
      </c>
      <c r="K13" s="0" t="n">
        <f aca="false">K11+K12</f>
        <v>4778.76729065646</v>
      </c>
      <c r="L13" s="0" t="n">
        <f aca="false">L11+L12</f>
        <v>4922.13030937615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20</v>
      </c>
      <c r="D14" s="4" t="n">
        <f aca="false">Assumptions!D19</f>
        <v>20.5</v>
      </c>
      <c r="E14" s="4" t="n">
        <f aca="false">Assumptions!E19</f>
        <v>21</v>
      </c>
      <c r="F14" s="4" t="n">
        <f aca="false">Assumptions!F19</f>
        <v>21.5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3228.21928</v>
      </c>
      <c r="D15" s="0" t="n">
        <f aca="false">D13-MAX(0,D13)*D14/100</f>
        <v>3289.70218356</v>
      </c>
      <c r="E15" s="0" t="n">
        <f aca="false">E13-MAX(0,E13)*E14/100</f>
        <v>2713.2801531576</v>
      </c>
      <c r="F15" s="0" t="n">
        <f aca="false">F13-MAX(0,F13)*F14/100</f>
        <v>2893.6054886987</v>
      </c>
      <c r="G15" s="0" t="n">
        <f aca="false">G13-MAX(0,G13)*G14/100</f>
        <v>3127.13677078074</v>
      </c>
      <c r="H15" s="0" t="n">
        <f aca="false">H13-MAX(0,H13)*H14/100</f>
        <v>3335.30821128819</v>
      </c>
      <c r="I15" s="0" t="n">
        <f aca="false">I13-MAX(0,I13)*I14/100</f>
        <v>3513.46826912248</v>
      </c>
      <c r="J15" s="0" t="n">
        <f aca="false">J13-MAX(0,J13)*J14/100</f>
        <v>3618.87231719615</v>
      </c>
      <c r="K15" s="0" t="n">
        <f aca="false">K13-MAX(0,K13)*K14/100</f>
        <v>3727.43848671204</v>
      </c>
      <c r="L15" s="0" t="n">
        <f aca="false">L13-MAX(0,L13)*L14/100</f>
        <v>3839.2616413134</v>
      </c>
    </row>
    <row r="16" customFormat="false" ht="15" hidden="false" customHeight="false" outlineLevel="0" collapsed="false">
      <c r="A16" s="0" t="s">
        <v>126</v>
      </c>
      <c r="C16" s="0" t="n">
        <f aca="false">-C12</f>
        <v>776.01425</v>
      </c>
      <c r="D16" s="0" t="n">
        <f aca="false">-D12</f>
        <v>792.381096</v>
      </c>
      <c r="E16" s="0" t="n">
        <f aca="false">-E12</f>
        <v>772.42483136</v>
      </c>
      <c r="F16" s="0" t="n">
        <f aca="false">-F12</f>
        <v>759.7349948448</v>
      </c>
      <c r="G16" s="0" t="n">
        <f aca="false">-G12</f>
        <v>775.492461404544</v>
      </c>
      <c r="H16" s="0" t="n">
        <f aca="false">-H12</f>
        <v>791.294949297316</v>
      </c>
      <c r="I16" s="0" t="n">
        <f aca="false">-I12</f>
        <v>818.990272522722</v>
      </c>
      <c r="J16" s="0" t="n">
        <f aca="false">-J12</f>
        <v>843.559980698404</v>
      </c>
      <c r="K16" s="0" t="n">
        <f aca="false">-K12</f>
        <v>868.866780119356</v>
      </c>
      <c r="L16" s="0" t="n">
        <f aca="false">-L12</f>
        <v>894.932783522936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-705.4675</v>
      </c>
      <c r="D17" s="4" t="n">
        <f aca="false">-D6*Assumptions!D18/100</f>
        <v>-733.6862</v>
      </c>
      <c r="E17" s="4" t="n">
        <f aca="false">-E6*Assumptions!E18/100</f>
        <v>-620.6985252</v>
      </c>
      <c r="F17" s="4" t="n">
        <f aca="false">-F6*Assumptions!F18/100</f>
        <v>-703.45832856</v>
      </c>
      <c r="G17" s="4" t="n">
        <f aca="false">-G6*Assumptions!G18/100</f>
        <v>-804.75632787264</v>
      </c>
      <c r="H17" s="4" t="n">
        <f aca="false">-H6*Assumptions!H18/100</f>
        <v>-836.946580987546</v>
      </c>
      <c r="I17" s="4" t="n">
        <f aca="false">-I6*Assumptions!I18/100</f>
        <v>-866.23971132211</v>
      </c>
      <c r="J17" s="4" t="n">
        <f aca="false">-J6*Assumptions!J18/100</f>
        <v>-892.226902661773</v>
      </c>
      <c r="K17" s="4" t="n">
        <f aca="false">-K6*Assumptions!K18/100</f>
        <v>-918.993709741626</v>
      </c>
      <c r="L17" s="4" t="n">
        <f aca="false">-L6*Assumptions!L18/100</f>
        <v>-946.563521033875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-276.0525</v>
      </c>
      <c r="D18" s="4" t="n">
        <f aca="false">(D6-C6)*Assumptions!$B$23/100</f>
        <v>-84.6561</v>
      </c>
      <c r="E18" s="4" t="n">
        <f aca="false">(E6-D6)*Assumptions!$B$23/100</f>
        <v>132.063516</v>
      </c>
      <c r="F18" s="4" t="n">
        <f aca="false">(F6-E6)*Assumptions!$B$23/100</f>
        <v>-41.37990168</v>
      </c>
      <c r="G18" s="4" t="n">
        <f aca="false">(G6-F6)*Assumptions!$B$23/100</f>
        <v>-84.4149994272</v>
      </c>
      <c r="H18" s="4" t="n">
        <f aca="false">(H6-G6)*Assumptions!$B$23/100</f>
        <v>-87.7915994042882</v>
      </c>
      <c r="I18" s="4" t="n">
        <f aca="false">(I6-H6)*Assumptions!$B$23/100</f>
        <v>-79.890355457902</v>
      </c>
      <c r="J18" s="4" t="n">
        <f aca="false">(J6-I6)*Assumptions!$B$23/100</f>
        <v>-70.8741581990817</v>
      </c>
      <c r="K18" s="4" t="n">
        <f aca="false">(K6-J6)*Assumptions!$B$23/100</f>
        <v>-73.000382945054</v>
      </c>
      <c r="L18" s="4" t="n">
        <f aca="false">(L6-K6)*Assumptions!$B$23/100</f>
        <v>-75.1903944334057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3022.71353</v>
      </c>
      <c r="D19" s="0" t="n">
        <f aca="false">D15+D16+D17+D18</f>
        <v>3263.74097956</v>
      </c>
      <c r="E19" s="0" t="n">
        <f aca="false">E15+E16+E17+E18</f>
        <v>2997.0699753176</v>
      </c>
      <c r="F19" s="0" t="n">
        <f aca="false">F15+F16+F17+F18</f>
        <v>2908.5022533035</v>
      </c>
      <c r="G19" s="0" t="n">
        <f aca="false">G15+G16+G17+G18</f>
        <v>3013.45790488544</v>
      </c>
      <c r="H19" s="0" t="n">
        <f aca="false">H15+H16+H17+H18</f>
        <v>3201.86498019367</v>
      </c>
      <c r="I19" s="0" t="n">
        <f aca="false">I15+I16+I17+I18</f>
        <v>3386.32847486519</v>
      </c>
      <c r="J19" s="0" t="n">
        <f aca="false">J15+J16+J17+J18</f>
        <v>3499.3312370337</v>
      </c>
      <c r="K19" s="0" t="n">
        <f aca="false">K15+K16+K17+K18</f>
        <v>3604.31117414471</v>
      </c>
      <c r="L19" s="0" t="n">
        <f aca="false">L15+L16+L17+L18</f>
        <v>3712.44050936905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2760.46897716895</v>
      </c>
      <c r="D21" s="0" t="n">
        <f aca="false">D19*D20</f>
        <v>2721.99577119743</v>
      </c>
      <c r="E21" s="0" t="n">
        <f aca="false">E19*E20</f>
        <v>2282.72988950981</v>
      </c>
      <c r="F21" s="0" t="n">
        <f aca="false">F19*F20</f>
        <v>2023.07939993715</v>
      </c>
      <c r="G21" s="0" t="n">
        <f aca="false">G19*G20</f>
        <v>1914.23182934555</v>
      </c>
      <c r="H21" s="0" t="n">
        <f aca="false">H19*H20</f>
        <v>1857.45499170427</v>
      </c>
      <c r="I21" s="0" t="n">
        <f aca="false">I19*I20</f>
        <v>1794.03226034995</v>
      </c>
      <c r="J21" s="0" t="n">
        <f aca="false">J19*J20</f>
        <v>1693.05902883902</v>
      </c>
      <c r="K21" s="0" t="n">
        <f aca="false">K19*K20</f>
        <v>1592.55780794903</v>
      </c>
      <c r="L21" s="0" t="n">
        <f aca="false">L19*L20</f>
        <v>1498.02241295662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20137.6323689578</v>
      </c>
    </row>
    <row r="31" customFormat="false" ht="15" hidden="false" customHeight="false" outlineLevel="0" collapsed="false">
      <c r="A31" s="0" t="s">
        <v>135</v>
      </c>
      <c r="B31" s="0" t="n">
        <f aca="false">L19</f>
        <v>3712.44050936905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54360.7360300468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48261.7266217977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48261.7266217977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19474.2913684361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39611.9237373939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31495.9237373939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123.98944865737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-0.48162779105577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3120.47769322576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3254.03099945466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149.083864838239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30442.0121768262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60.5475908098157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16.2</v>
      </c>
      <c r="D5" s="4" t="n">
        <f aca="false">Assumptions!D27</f>
        <v>10</v>
      </c>
      <c r="E5" s="4" t="n">
        <f aca="false">Assumptions!E27</f>
        <v>7</v>
      </c>
      <c r="F5" s="4" t="n">
        <f aca="false">Assumptions!F27</f>
        <v>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12269</v>
      </c>
      <c r="C6" s="0" t="n">
        <f aca="false">B6*(1+C5/100)</f>
        <v>14256.578</v>
      </c>
      <c r="D6" s="0" t="n">
        <f aca="false">C6*(1+D5/100)</f>
        <v>15682.2358</v>
      </c>
      <c r="E6" s="0" t="n">
        <f aca="false">D6*(1+E5/100)</f>
        <v>16779.992306</v>
      </c>
      <c r="F6" s="0" t="n">
        <f aca="false">E6*(1+F5/100)</f>
        <v>17618.9919213</v>
      </c>
      <c r="G6" s="0" t="n">
        <f aca="false">F6*(1+G5/100)</f>
        <v>18499.941517365</v>
      </c>
      <c r="H6" s="0" t="n">
        <f aca="false">G6*(1+H5/100)</f>
        <v>19332.4388856464</v>
      </c>
      <c r="I6" s="0" t="n">
        <f aca="false">H6*(1+I5/100)</f>
        <v>20202.3986355005</v>
      </c>
      <c r="J6" s="0" t="n">
        <f aca="false">I6*(1+J5/100)</f>
        <v>21010.4945809205</v>
      </c>
      <c r="K6" s="0" t="n">
        <f aca="false">J6*(1+K5/100)</f>
        <v>21850.9143641574</v>
      </c>
      <c r="L6" s="0" t="n">
        <f aca="false">K6*(1+L5/100)</f>
        <v>22615.6963669029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38.5</v>
      </c>
      <c r="D7" s="4" t="n">
        <f aca="false">Assumptions!D28</f>
        <v>40.5</v>
      </c>
      <c r="E7" s="4" t="n">
        <f aca="false">Assumptions!E28</f>
        <v>41.5</v>
      </c>
      <c r="F7" s="4" t="n">
        <f aca="false">Assumptions!F28</f>
        <v>41.5</v>
      </c>
      <c r="G7" s="4" t="n">
        <f aca="false">Assumptions!G28</f>
        <v>41</v>
      </c>
      <c r="H7" s="4" t="n">
        <f aca="false">Assumptions!H28</f>
        <v>41</v>
      </c>
      <c r="I7" s="4" t="n">
        <f aca="false">Assumptions!I28</f>
        <v>40.5</v>
      </c>
      <c r="J7" s="4" t="n">
        <f aca="false">Assumptions!J28</f>
        <v>40.5</v>
      </c>
      <c r="K7" s="4" t="n">
        <f aca="false">Assumptions!K28</f>
        <v>40</v>
      </c>
      <c r="L7" s="4" t="n">
        <f aca="false">Assumptions!L28</f>
        <v>40</v>
      </c>
    </row>
    <row r="8" customFormat="false" ht="15" hidden="false" customHeight="false" outlineLevel="0" collapsed="false">
      <c r="A8" s="0" t="s">
        <v>43</v>
      </c>
      <c r="C8" s="0" t="n">
        <f aca="false">C6*C7/100</f>
        <v>5488.78253</v>
      </c>
      <c r="D8" s="0" t="n">
        <f aca="false">D6*D7/100</f>
        <v>6351.305499</v>
      </c>
      <c r="E8" s="0" t="n">
        <f aca="false">E6*E7/100</f>
        <v>6963.69680699</v>
      </c>
      <c r="F8" s="0" t="n">
        <f aca="false">F6*F7/100</f>
        <v>7311.8816473395</v>
      </c>
      <c r="G8" s="0" t="n">
        <f aca="false">G6*G7/100</f>
        <v>7584.97602211965</v>
      </c>
      <c r="H8" s="0" t="n">
        <f aca="false">H6*H7/100</f>
        <v>7926.29994311503</v>
      </c>
      <c r="I8" s="0" t="n">
        <f aca="false">I6*I7/100</f>
        <v>8181.97144737771</v>
      </c>
      <c r="J8" s="0" t="n">
        <f aca="false">J6*J7/100</f>
        <v>8509.25030527282</v>
      </c>
      <c r="K8" s="0" t="n">
        <f aca="false">K6*K7/100</f>
        <v>8740.36574566294</v>
      </c>
      <c r="L8" s="0" t="n">
        <f aca="false">L6*L7/100</f>
        <v>9046.27854676115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3.3</v>
      </c>
      <c r="D9" s="4" t="n">
        <f aca="false">Assumptions!D29</f>
        <v>3.2</v>
      </c>
      <c r="E9" s="4" t="n">
        <f aca="false">Assumptions!E29</f>
        <v>3.1</v>
      </c>
      <c r="F9" s="4" t="n">
        <f aca="false">Assumptions!F29</f>
        <v>3</v>
      </c>
      <c r="G9" s="4" t="n">
        <f aca="false">Assumptions!G29</f>
        <v>3</v>
      </c>
      <c r="H9" s="4" t="n">
        <f aca="false">Assumptions!H29</f>
        <v>3</v>
      </c>
      <c r="I9" s="4" t="n">
        <f aca="false">Assumptions!I29</f>
        <v>3</v>
      </c>
      <c r="J9" s="4" t="n">
        <f aca="false">Assumptions!J29</f>
        <v>3</v>
      </c>
      <c r="K9" s="4" t="n">
        <f aca="false">Assumptions!K29</f>
        <v>3</v>
      </c>
      <c r="L9" s="4" t="n">
        <f aca="false">Assumptions!L29</f>
        <v>3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-470.467074</v>
      </c>
      <c r="D10" s="0" t="n">
        <f aca="false">-D6*D9/100</f>
        <v>-501.8315456</v>
      </c>
      <c r="E10" s="0" t="n">
        <f aca="false">-E6*E9/100</f>
        <v>-520.179761486</v>
      </c>
      <c r="F10" s="0" t="n">
        <f aca="false">-F6*F9/100</f>
        <v>-528.569757639</v>
      </c>
      <c r="G10" s="0" t="n">
        <f aca="false">-G6*G9/100</f>
        <v>-554.99824552095</v>
      </c>
      <c r="H10" s="0" t="n">
        <f aca="false">-H6*H9/100</f>
        <v>-579.973166569393</v>
      </c>
      <c r="I10" s="0" t="n">
        <f aca="false">-I6*I9/100</f>
        <v>-606.071959065015</v>
      </c>
      <c r="J10" s="0" t="n">
        <f aca="false">-J6*J9/100</f>
        <v>-630.314837427616</v>
      </c>
      <c r="K10" s="0" t="n">
        <f aca="false">-K6*K9/100</f>
        <v>-655.527430924721</v>
      </c>
      <c r="L10" s="0" t="n">
        <f aca="false">-L6*L9/100</f>
        <v>-678.470891007086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5018.315456</v>
      </c>
      <c r="D11" s="0" t="n">
        <f aca="false">D8+D10+D24</f>
        <v>5849.4739534</v>
      </c>
      <c r="E11" s="0" t="n">
        <f aca="false">E8+E10+E24</f>
        <v>6443.517045504</v>
      </c>
      <c r="F11" s="0" t="n">
        <f aca="false">F8+F10+F24</f>
        <v>6783.3118897005</v>
      </c>
      <c r="G11" s="0" t="n">
        <f aca="false">G8+G10+G24</f>
        <v>7029.9777765987</v>
      </c>
      <c r="H11" s="0" t="n">
        <f aca="false">H8+H10+H24</f>
        <v>7346.32677654564</v>
      </c>
      <c r="I11" s="0" t="n">
        <f aca="false">I8+I10+I24</f>
        <v>7575.89948831269</v>
      </c>
      <c r="J11" s="0" t="n">
        <f aca="false">J8+J10+J24</f>
        <v>7878.9354678452</v>
      </c>
      <c r="K11" s="0" t="n">
        <f aca="false">K8+K10+K24</f>
        <v>8084.83831473822</v>
      </c>
      <c r="L11" s="0" t="n">
        <f aca="false">L8+L10+L24</f>
        <v>8367.80765575406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-784.11179</v>
      </c>
      <c r="D12" s="4" t="n">
        <f aca="false">-D6*Assumptions!D31/100</f>
        <v>-831.1584974</v>
      </c>
      <c r="E12" s="4" t="n">
        <f aca="false">-E6*Assumptions!E31/100</f>
        <v>-872.559599912</v>
      </c>
      <c r="F12" s="4" t="n">
        <f aca="false">-F6*Assumptions!F31/100</f>
        <v>-880.949596065</v>
      </c>
      <c r="G12" s="4" t="n">
        <f aca="false">-G6*Assumptions!G31/100</f>
        <v>-924.99707586825</v>
      </c>
      <c r="H12" s="4" t="n">
        <f aca="false">-H6*Assumptions!H31/100</f>
        <v>-966.621944282321</v>
      </c>
      <c r="I12" s="4" t="n">
        <f aca="false">-I6*Assumptions!I31/100</f>
        <v>-1010.11993177503</v>
      </c>
      <c r="J12" s="4" t="n">
        <f aca="false">-J6*Assumptions!J31/100</f>
        <v>-1050.52472904603</v>
      </c>
      <c r="K12" s="4" t="n">
        <f aca="false">-K6*Assumptions!K31/100</f>
        <v>-1092.54571820787</v>
      </c>
      <c r="L12" s="4" t="n">
        <f aca="false">-L6*Assumptions!L31/100</f>
        <v>-1130.78481834514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4234.203666</v>
      </c>
      <c r="D13" s="0" t="n">
        <f aca="false">D11+D12</f>
        <v>5018.315456</v>
      </c>
      <c r="E13" s="0" t="n">
        <f aca="false">E11+E12</f>
        <v>5570.957445592</v>
      </c>
      <c r="F13" s="0" t="n">
        <f aca="false">F11+F12</f>
        <v>5902.3622936355</v>
      </c>
      <c r="G13" s="0" t="n">
        <f aca="false">G11+G12</f>
        <v>6104.98070073045</v>
      </c>
      <c r="H13" s="0" t="n">
        <f aca="false">H11+H12</f>
        <v>6379.70483226332</v>
      </c>
      <c r="I13" s="0" t="n">
        <f aca="false">I11+I12</f>
        <v>6565.77955653767</v>
      </c>
      <c r="J13" s="0" t="n">
        <f aca="false">J11+J12</f>
        <v>6828.41073879917</v>
      </c>
      <c r="K13" s="0" t="n">
        <f aca="false">K11+K12</f>
        <v>6992.29259653035</v>
      </c>
      <c r="L13" s="0" t="n">
        <f aca="false">L11+L12</f>
        <v>7237.02283740892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19.5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20.5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3408.53395113</v>
      </c>
      <c r="D15" s="0" t="n">
        <f aca="false">D13-MAX(0,D13)*D14/100</f>
        <v>4014.6523648</v>
      </c>
      <c r="E15" s="0" t="n">
        <f aca="false">E13-MAX(0,E13)*E14/100</f>
        <v>4456.7659564736</v>
      </c>
      <c r="F15" s="0" t="n">
        <f aca="false">F13-MAX(0,F13)*F14/100</f>
        <v>4692.37802344022</v>
      </c>
      <c r="G15" s="0" t="n">
        <f aca="false">G13-MAX(0,G13)*G14/100</f>
        <v>4822.93475357706</v>
      </c>
      <c r="H15" s="0" t="n">
        <f aca="false">H13-MAX(0,H13)*H14/100</f>
        <v>5039.96681748802</v>
      </c>
      <c r="I15" s="0" t="n">
        <f aca="false">I13-MAX(0,I13)*I14/100</f>
        <v>5186.96584966476</v>
      </c>
      <c r="J15" s="0" t="n">
        <f aca="false">J13-MAX(0,J13)*J14/100</f>
        <v>5394.44448365135</v>
      </c>
      <c r="K15" s="0" t="n">
        <f aca="false">K13-MAX(0,K13)*K14/100</f>
        <v>5523.91115125898</v>
      </c>
      <c r="L15" s="0" t="n">
        <f aca="false">L13-MAX(0,L13)*L14/100</f>
        <v>5717.24804155304</v>
      </c>
    </row>
    <row r="16" customFormat="false" ht="15" hidden="false" customHeight="false" outlineLevel="0" collapsed="false">
      <c r="A16" s="0" t="s">
        <v>126</v>
      </c>
      <c r="C16" s="0" t="n">
        <f aca="false">-C12</f>
        <v>784.11179</v>
      </c>
      <c r="D16" s="0" t="n">
        <f aca="false">-D12</f>
        <v>831.1584974</v>
      </c>
      <c r="E16" s="0" t="n">
        <f aca="false">-E12</f>
        <v>872.559599912</v>
      </c>
      <c r="F16" s="0" t="n">
        <f aca="false">-F12</f>
        <v>880.949596065</v>
      </c>
      <c r="G16" s="0" t="n">
        <f aca="false">-G12</f>
        <v>924.99707586825</v>
      </c>
      <c r="H16" s="0" t="n">
        <f aca="false">-H12</f>
        <v>966.621944282321</v>
      </c>
      <c r="I16" s="0" t="n">
        <f aca="false">-I12</f>
        <v>1010.11993177503</v>
      </c>
      <c r="J16" s="0" t="n">
        <f aca="false">-J12</f>
        <v>1050.52472904603</v>
      </c>
      <c r="K16" s="0" t="n">
        <f aca="false">-K12</f>
        <v>1092.54571820787</v>
      </c>
      <c r="L16" s="0" t="n">
        <f aca="false">-L12</f>
        <v>1130.78481834514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-641.54601</v>
      </c>
      <c r="D17" s="4" t="n">
        <f aca="false">-D6*Assumptions!D32/100</f>
        <v>-784.11179</v>
      </c>
      <c r="E17" s="4" t="n">
        <f aca="false">-E6*Assumptions!E32/100</f>
        <v>-838.9996153</v>
      </c>
      <c r="F17" s="4" t="n">
        <f aca="false">-F6*Assumptions!F32/100</f>
        <v>-880.949596065</v>
      </c>
      <c r="G17" s="4" t="n">
        <f aca="false">-G6*Assumptions!G32/100</f>
        <v>-924.99707586825</v>
      </c>
      <c r="H17" s="4" t="n">
        <f aca="false">-H6*Assumptions!H32/100</f>
        <v>-966.621944282321</v>
      </c>
      <c r="I17" s="4" t="n">
        <f aca="false">-I6*Assumptions!I32/100</f>
        <v>-1010.11993177503</v>
      </c>
      <c r="J17" s="4" t="n">
        <f aca="false">-J6*Assumptions!J32/100</f>
        <v>-1050.52472904603</v>
      </c>
      <c r="K17" s="4" t="n">
        <f aca="false">-K6*Assumptions!K32/100</f>
        <v>-1092.54571820787</v>
      </c>
      <c r="L17" s="4" t="n">
        <f aca="false">-L6*Assumptions!L32/100</f>
        <v>-1130.78481834514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-298.1367</v>
      </c>
      <c r="D18" s="4" t="n">
        <f aca="false">(D6-C6)*Assumptions!$B$37/100</f>
        <v>-213.84867</v>
      </c>
      <c r="E18" s="4" t="n">
        <f aca="false">(E6-D6)*Assumptions!$B$37/100</f>
        <v>-164.6634759</v>
      </c>
      <c r="F18" s="4" t="n">
        <f aca="false">(F6-E6)*Assumptions!$B$37/100</f>
        <v>-125.849942295</v>
      </c>
      <c r="G18" s="4" t="n">
        <f aca="false">(G6-F6)*Assumptions!$B$37/100</f>
        <v>-132.14243940975</v>
      </c>
      <c r="H18" s="4" t="n">
        <f aca="false">(H6-G6)*Assumptions!$B$37/100</f>
        <v>-124.874605242214</v>
      </c>
      <c r="I18" s="4" t="n">
        <f aca="false">(I6-H6)*Assumptions!$B$37/100</f>
        <v>-130.493962478113</v>
      </c>
      <c r="J18" s="4" t="n">
        <f aca="false">(J6-I6)*Assumptions!$B$37/100</f>
        <v>-121.214391813003</v>
      </c>
      <c r="K18" s="4" t="n">
        <f aca="false">(K6-J6)*Assumptions!$B$37/100</f>
        <v>-126.062967485523</v>
      </c>
      <c r="L18" s="4" t="n">
        <f aca="false">(L6-K6)*Assumptions!$B$37/100</f>
        <v>-114.717300411826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3252.96303113</v>
      </c>
      <c r="D19" s="0" t="n">
        <f aca="false">D15+D16+D17+D18</f>
        <v>3847.8504022</v>
      </c>
      <c r="E19" s="0" t="n">
        <f aca="false">E15+E16+E17+E18</f>
        <v>4325.6624651856</v>
      </c>
      <c r="F19" s="0" t="n">
        <f aca="false">F15+F16+F17+F18</f>
        <v>4566.52808114522</v>
      </c>
      <c r="G19" s="0" t="n">
        <f aca="false">G15+G16+G17+G18</f>
        <v>4690.79231416731</v>
      </c>
      <c r="H19" s="0" t="n">
        <f aca="false">H15+H16+H17+H18</f>
        <v>4915.09221224581</v>
      </c>
      <c r="I19" s="0" t="n">
        <f aca="false">I15+I16+I17+I18</f>
        <v>5056.47188718664</v>
      </c>
      <c r="J19" s="0" t="n">
        <f aca="false">J15+J16+J17+J18</f>
        <v>5273.23009183834</v>
      </c>
      <c r="K19" s="0" t="n">
        <f aca="false">K15+K16+K17+K18</f>
        <v>5397.84818377346</v>
      </c>
      <c r="L19" s="0" t="n">
        <f aca="false">L15+L16+L17+L18</f>
        <v>5602.53074114122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2970.74249418265</v>
      </c>
      <c r="D21" s="0" t="n">
        <f aca="false">D19*D20</f>
        <v>3209.14943574988</v>
      </c>
      <c r="E21" s="0" t="n">
        <f aca="false">E19*E20</f>
        <v>3294.65747631183</v>
      </c>
      <c r="F21" s="0" t="n">
        <f aca="false">F19*F20</f>
        <v>3176.35954371578</v>
      </c>
      <c r="G21" s="0" t="n">
        <f aca="false">G19*G20</f>
        <v>2979.7210500506</v>
      </c>
      <c r="H21" s="0" t="n">
        <f aca="false">H19*H20</f>
        <v>2851.32653025568</v>
      </c>
      <c r="I21" s="0" t="n">
        <f aca="false">I19*I20</f>
        <v>2678.85226034565</v>
      </c>
      <c r="J21" s="0" t="n">
        <f aca="false">J19*J20</f>
        <v>2551.31315482454</v>
      </c>
      <c r="K21" s="0" t="n">
        <f aca="false">K19*K20</f>
        <v>2385.02861042008</v>
      </c>
      <c r="L21" s="0" t="n">
        <f aca="false">L19*L20</f>
        <v>2260.70063569434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28357.851191551</v>
      </c>
    </row>
    <row r="31" customFormat="false" ht="15" hidden="false" customHeight="false" outlineLevel="0" collapsed="false">
      <c r="A31" s="0" t="s">
        <v>135</v>
      </c>
      <c r="B31" s="0" t="n">
        <f aca="false">L19</f>
        <v>5602.53074114122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88778.5640519301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84037.9611171183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84037.9611171183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33910.509535415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62268.3607269661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54152.3607269661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213.180645407136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-0.10873930596122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3490.50833491047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4338.24321085298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243.999953833461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48088.3888614621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102.216420843645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18</v>
      </c>
      <c r="D5" s="4" t="n">
        <f aca="false">Assumptions!D41</f>
        <v>13</v>
      </c>
      <c r="E5" s="4" t="n">
        <f aca="false">Assumptions!E41</f>
        <v>10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12269</v>
      </c>
      <c r="C6" s="0" t="n">
        <f aca="false">B6*(1+C5/100)</f>
        <v>14477.42</v>
      </c>
      <c r="D6" s="0" t="n">
        <f aca="false">C6*(1+D5/100)</f>
        <v>16359.4846</v>
      </c>
      <c r="E6" s="0" t="n">
        <f aca="false">D6*(1+E5/100)</f>
        <v>17995.43306</v>
      </c>
      <c r="F6" s="0" t="n">
        <f aca="false">E6*(1+F5/100)</f>
        <v>19435.0677048</v>
      </c>
      <c r="G6" s="0" t="n">
        <f aca="false">F6*(1+G5/100)</f>
        <v>20795.522444136</v>
      </c>
      <c r="H6" s="0" t="n">
        <f aca="false">G6*(1+H5/100)</f>
        <v>22043.2537907842</v>
      </c>
      <c r="I6" s="0" t="n">
        <f aca="false">H6*(1+I5/100)</f>
        <v>23145.4164803234</v>
      </c>
      <c r="J6" s="0" t="n">
        <f aca="false">I6*(1+J5/100)</f>
        <v>24302.6873043395</v>
      </c>
      <c r="K6" s="0" t="n">
        <f aca="false">J6*(1+K5/100)</f>
        <v>25396.3082330348</v>
      </c>
      <c r="L6" s="0" t="n">
        <f aca="false">K6*(1+L5/100)</f>
        <v>26412.1605623562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39</v>
      </c>
      <c r="D7" s="4" t="n">
        <f aca="false">Assumptions!D42</f>
        <v>41.5</v>
      </c>
      <c r="E7" s="4" t="n">
        <f aca="false">Assumptions!E42</f>
        <v>43</v>
      </c>
      <c r="F7" s="4" t="n">
        <f aca="false">Assumptions!F42</f>
        <v>43.5</v>
      </c>
      <c r="G7" s="4" t="n">
        <f aca="false">Assumptions!G42</f>
        <v>43.5</v>
      </c>
      <c r="H7" s="4" t="n">
        <f aca="false">Assumptions!H42</f>
        <v>43.5</v>
      </c>
      <c r="I7" s="4" t="n">
        <f aca="false">Assumptions!I42</f>
        <v>43</v>
      </c>
      <c r="J7" s="4" t="n">
        <f aca="false">Assumptions!J42</f>
        <v>43</v>
      </c>
      <c r="K7" s="4" t="n">
        <f aca="false">Assumptions!K42</f>
        <v>43</v>
      </c>
      <c r="L7" s="4" t="n">
        <f aca="false">Assumptions!L42</f>
        <v>43</v>
      </c>
    </row>
    <row r="8" customFormat="false" ht="15" hidden="false" customHeight="false" outlineLevel="0" collapsed="false">
      <c r="A8" s="0" t="s">
        <v>43</v>
      </c>
      <c r="C8" s="0" t="n">
        <f aca="false">C6*C7/100</f>
        <v>5646.1938</v>
      </c>
      <c r="D8" s="0" t="n">
        <f aca="false">D6*D7/100</f>
        <v>6789.186109</v>
      </c>
      <c r="E8" s="0" t="n">
        <f aca="false">E6*E7/100</f>
        <v>7738.0362158</v>
      </c>
      <c r="F8" s="0" t="n">
        <f aca="false">F6*F7/100</f>
        <v>8454.254451588</v>
      </c>
      <c r="G8" s="0" t="n">
        <f aca="false">G6*G7/100</f>
        <v>9046.05226319916</v>
      </c>
      <c r="H8" s="0" t="n">
        <f aca="false">H6*H7/100</f>
        <v>9588.81539899111</v>
      </c>
      <c r="I8" s="0" t="n">
        <f aca="false">I6*I7/100</f>
        <v>9952.52908653905</v>
      </c>
      <c r="J8" s="0" t="n">
        <f aca="false">J6*J7/100</f>
        <v>10450.155540866</v>
      </c>
      <c r="K8" s="0" t="n">
        <f aca="false">K6*K7/100</f>
        <v>10920.412540205</v>
      </c>
      <c r="L8" s="0" t="n">
        <f aca="false">L6*L7/100</f>
        <v>11357.2290418132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3.2</v>
      </c>
      <c r="D9" s="4" t="n">
        <f aca="false">Assumptions!D43</f>
        <v>3.1</v>
      </c>
      <c r="E9" s="4" t="n">
        <f aca="false">Assumptions!E43</f>
        <v>3</v>
      </c>
      <c r="F9" s="4" t="n">
        <f aca="false">Assumptions!F43</f>
        <v>2.9</v>
      </c>
      <c r="G9" s="4" t="n">
        <f aca="false">Assumptions!G43</f>
        <v>2.8</v>
      </c>
      <c r="H9" s="4" t="n">
        <f aca="false">Assumptions!H43</f>
        <v>2.8</v>
      </c>
      <c r="I9" s="4" t="n">
        <f aca="false">Assumptions!I43</f>
        <v>2.8</v>
      </c>
      <c r="J9" s="4" t="n">
        <f aca="false">Assumptions!J43</f>
        <v>2.8</v>
      </c>
      <c r="K9" s="4" t="n">
        <f aca="false">Assumptions!K43</f>
        <v>2.8</v>
      </c>
      <c r="L9" s="4" t="n">
        <f aca="false">Assumptions!L43</f>
        <v>2.8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-463.27744</v>
      </c>
      <c r="D10" s="0" t="n">
        <f aca="false">-D6*D9/100</f>
        <v>-507.1440226</v>
      </c>
      <c r="E10" s="0" t="n">
        <f aca="false">-E6*E9/100</f>
        <v>-539.8629918</v>
      </c>
      <c r="F10" s="0" t="n">
        <f aca="false">-F6*F9/100</f>
        <v>-563.6169634392</v>
      </c>
      <c r="G10" s="0" t="n">
        <f aca="false">-G6*G9/100</f>
        <v>-582.274628435808</v>
      </c>
      <c r="H10" s="0" t="n">
        <f aca="false">-H6*H9/100</f>
        <v>-617.211106141957</v>
      </c>
      <c r="I10" s="0" t="n">
        <f aca="false">-I6*I9/100</f>
        <v>-648.071661449054</v>
      </c>
      <c r="J10" s="0" t="n">
        <f aca="false">-J6*J9/100</f>
        <v>-680.475244521507</v>
      </c>
      <c r="K10" s="0" t="n">
        <f aca="false">-K6*K9/100</f>
        <v>-711.096630524975</v>
      </c>
      <c r="L10" s="0" t="n">
        <f aca="false">-L6*L9/100</f>
        <v>-739.540495745974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5182.91636</v>
      </c>
      <c r="D11" s="0" t="n">
        <f aca="false">D8+D10+D24</f>
        <v>6282.0420864</v>
      </c>
      <c r="E11" s="0" t="n">
        <f aca="false">E8+E10+E24</f>
        <v>7198.173224</v>
      </c>
      <c r="F11" s="0" t="n">
        <f aca="false">F8+F10+F24</f>
        <v>7890.6374881488</v>
      </c>
      <c r="G11" s="0" t="n">
        <f aca="false">G8+G10+G24</f>
        <v>8463.77763476335</v>
      </c>
      <c r="H11" s="0" t="n">
        <f aca="false">H8+H10+H24</f>
        <v>8971.60429284915</v>
      </c>
      <c r="I11" s="0" t="n">
        <f aca="false">I8+I10+I24</f>
        <v>9304.45742509</v>
      </c>
      <c r="J11" s="0" t="n">
        <f aca="false">J8+J10+J24</f>
        <v>9769.6802963445</v>
      </c>
      <c r="K11" s="0" t="n">
        <f aca="false">K8+K10+K24</f>
        <v>10209.31590968</v>
      </c>
      <c r="L11" s="0" t="n">
        <f aca="false">L8+L10+L24</f>
        <v>10617.6885460672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-796.2581</v>
      </c>
      <c r="D12" s="4" t="n">
        <f aca="false">-D6*Assumptions!D45/100</f>
        <v>-867.0526838</v>
      </c>
      <c r="E12" s="4" t="n">
        <f aca="false">-E6*Assumptions!E45/100</f>
        <v>-935.76251912</v>
      </c>
      <c r="F12" s="4" t="n">
        <f aca="false">-F6*Assumptions!F45/100</f>
        <v>-971.75338524</v>
      </c>
      <c r="G12" s="4" t="n">
        <f aca="false">-G6*Assumptions!G45/100</f>
        <v>-1039.7761222068</v>
      </c>
      <c r="H12" s="4" t="n">
        <f aca="false">-H6*Assumptions!H45/100</f>
        <v>-1102.16268953921</v>
      </c>
      <c r="I12" s="4" t="n">
        <f aca="false">-I6*Assumptions!I45/100</f>
        <v>-1157.27082401617</v>
      </c>
      <c r="J12" s="4" t="n">
        <f aca="false">-J6*Assumptions!J45/100</f>
        <v>-1215.13436521698</v>
      </c>
      <c r="K12" s="4" t="n">
        <f aca="false">-K6*Assumptions!K45/100</f>
        <v>-1269.81541165174</v>
      </c>
      <c r="L12" s="4" t="n">
        <f aca="false">-L6*Assumptions!L45/100</f>
        <v>-1320.60802811781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4386.65826</v>
      </c>
      <c r="D13" s="0" t="n">
        <f aca="false">D11+D12</f>
        <v>5414.9894026</v>
      </c>
      <c r="E13" s="0" t="n">
        <f aca="false">E11+E12</f>
        <v>6262.41070488</v>
      </c>
      <c r="F13" s="0" t="n">
        <f aca="false">F11+F12</f>
        <v>6918.8841029088</v>
      </c>
      <c r="G13" s="0" t="n">
        <f aca="false">G11+G12</f>
        <v>7424.00151255655</v>
      </c>
      <c r="H13" s="0" t="n">
        <f aca="false">H11+H12</f>
        <v>7869.44160330995</v>
      </c>
      <c r="I13" s="0" t="n">
        <f aca="false">I11+I12</f>
        <v>8147.18660107383</v>
      </c>
      <c r="J13" s="0" t="n">
        <f aca="false">J11+J12</f>
        <v>8554.54593112752</v>
      </c>
      <c r="K13" s="0" t="n">
        <f aca="false">K11+K12</f>
        <v>8939.50049802825</v>
      </c>
      <c r="L13" s="0" t="n">
        <f aca="false">L11+L12</f>
        <v>9297.08051794938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19.5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20.5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3531.2598993</v>
      </c>
      <c r="D15" s="0" t="n">
        <f aca="false">D13-MAX(0,D13)*D14/100</f>
        <v>4331.99152208</v>
      </c>
      <c r="E15" s="0" t="n">
        <f aca="false">E13-MAX(0,E13)*E14/100</f>
        <v>5009.928563904</v>
      </c>
      <c r="F15" s="0" t="n">
        <f aca="false">F13-MAX(0,F13)*F14/100</f>
        <v>5500.5128618125</v>
      </c>
      <c r="G15" s="0" t="n">
        <f aca="false">G13-MAX(0,G13)*G14/100</f>
        <v>5864.96119491968</v>
      </c>
      <c r="H15" s="0" t="n">
        <f aca="false">H13-MAX(0,H13)*H14/100</f>
        <v>6216.85886661486</v>
      </c>
      <c r="I15" s="0" t="n">
        <f aca="false">I13-MAX(0,I13)*I14/100</f>
        <v>6436.27741484832</v>
      </c>
      <c r="J15" s="0" t="n">
        <f aca="false">J13-MAX(0,J13)*J14/100</f>
        <v>6758.09128559074</v>
      </c>
      <c r="K15" s="0" t="n">
        <f aca="false">K13-MAX(0,K13)*K14/100</f>
        <v>7062.20539344232</v>
      </c>
      <c r="L15" s="0" t="n">
        <f aca="false">L13-MAX(0,L13)*L14/100</f>
        <v>7344.69360918001</v>
      </c>
    </row>
    <row r="16" customFormat="false" ht="15" hidden="false" customHeight="false" outlineLevel="0" collapsed="false">
      <c r="A16" s="0" t="s">
        <v>126</v>
      </c>
      <c r="C16" s="0" t="n">
        <f aca="false">-C12</f>
        <v>796.2581</v>
      </c>
      <c r="D16" s="0" t="n">
        <f aca="false">-D12</f>
        <v>867.0526838</v>
      </c>
      <c r="E16" s="0" t="n">
        <f aca="false">-E12</f>
        <v>935.76251912</v>
      </c>
      <c r="F16" s="0" t="n">
        <f aca="false">-F12</f>
        <v>971.75338524</v>
      </c>
      <c r="G16" s="0" t="n">
        <f aca="false">-G12</f>
        <v>1039.7761222068</v>
      </c>
      <c r="H16" s="0" t="n">
        <f aca="false">-H12</f>
        <v>1102.16268953921</v>
      </c>
      <c r="I16" s="0" t="n">
        <f aca="false">-I12</f>
        <v>1157.27082401617</v>
      </c>
      <c r="J16" s="0" t="n">
        <f aca="false">-J12</f>
        <v>1215.13436521698</v>
      </c>
      <c r="K16" s="0" t="n">
        <f aca="false">-K12</f>
        <v>1269.81541165174</v>
      </c>
      <c r="L16" s="0" t="n">
        <f aca="false">-L12</f>
        <v>1320.60802811781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-651.4839</v>
      </c>
      <c r="D17" s="4" t="n">
        <f aca="false">-D6*Assumptions!D46/100</f>
        <v>-817.97423</v>
      </c>
      <c r="E17" s="4" t="n">
        <f aca="false">-E6*Assumptions!E46/100</f>
        <v>-899.771653</v>
      </c>
      <c r="F17" s="4" t="n">
        <f aca="false">-F6*Assumptions!F46/100</f>
        <v>-971.75338524</v>
      </c>
      <c r="G17" s="4" t="n">
        <f aca="false">-G6*Assumptions!G46/100</f>
        <v>-1039.7761222068</v>
      </c>
      <c r="H17" s="4" t="n">
        <f aca="false">-H6*Assumptions!H46/100</f>
        <v>-1102.16268953921</v>
      </c>
      <c r="I17" s="4" t="n">
        <f aca="false">-I6*Assumptions!I46/100</f>
        <v>-1157.27082401617</v>
      </c>
      <c r="J17" s="4" t="n">
        <f aca="false">-J6*Assumptions!J46/100</f>
        <v>-1215.13436521698</v>
      </c>
      <c r="K17" s="4" t="n">
        <f aca="false">-K6*Assumptions!K46/100</f>
        <v>-1269.81541165174</v>
      </c>
      <c r="L17" s="4" t="n">
        <f aca="false">-L6*Assumptions!L46/100</f>
        <v>-1320.60802811781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-265.0104</v>
      </c>
      <c r="D18" s="4" t="n">
        <f aca="false">(D6-C6)*Assumptions!$B$51/100</f>
        <v>-225.847752</v>
      </c>
      <c r="E18" s="4" t="n">
        <f aca="false">(E6-D6)*Assumptions!$B$51/100</f>
        <v>-196.3138152</v>
      </c>
      <c r="F18" s="4" t="n">
        <f aca="false">(F6-E6)*Assumptions!$B$51/100</f>
        <v>-172.756157376</v>
      </c>
      <c r="G18" s="4" t="n">
        <f aca="false">(G6-F6)*Assumptions!$B$51/100</f>
        <v>-163.25456872032</v>
      </c>
      <c r="H18" s="4" t="n">
        <f aca="false">(H6-G6)*Assumptions!$B$51/100</f>
        <v>-149.727761597779</v>
      </c>
      <c r="I18" s="4" t="n">
        <f aca="false">(I6-H6)*Assumptions!$B$51/100</f>
        <v>-132.259522744705</v>
      </c>
      <c r="J18" s="4" t="n">
        <f aca="false">(J6-I6)*Assumptions!$B$51/100</f>
        <v>-138.87249888194</v>
      </c>
      <c r="K18" s="4" t="n">
        <f aca="false">(K6-J6)*Assumptions!$B$51/100</f>
        <v>-131.234511443433</v>
      </c>
      <c r="L18" s="4" t="n">
        <f aca="false">(L6-K6)*Assumptions!$B$51/100</f>
        <v>-121.902279518567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3411.0236993</v>
      </c>
      <c r="D19" s="0" t="n">
        <f aca="false">D15+D16+D17+D18</f>
        <v>4155.22222388</v>
      </c>
      <c r="E19" s="0" t="n">
        <f aca="false">E15+E16+E17+E18</f>
        <v>4849.605614824</v>
      </c>
      <c r="F19" s="0" t="n">
        <f aca="false">F15+F16+F17+F18</f>
        <v>5327.7567044365</v>
      </c>
      <c r="G19" s="0" t="n">
        <f aca="false">G15+G16+G17+G18</f>
        <v>5701.70662619936</v>
      </c>
      <c r="H19" s="0" t="n">
        <f aca="false">H15+H16+H17+H18</f>
        <v>6067.13110501708</v>
      </c>
      <c r="I19" s="0" t="n">
        <f aca="false">I15+I16+I17+I18</f>
        <v>6304.01789210362</v>
      </c>
      <c r="J19" s="0" t="n">
        <f aca="false">J15+J16+J17+J18</f>
        <v>6619.2187867088</v>
      </c>
      <c r="K19" s="0" t="n">
        <f aca="false">K15+K16+K17+K18</f>
        <v>6930.97088199889</v>
      </c>
      <c r="L19" s="0" t="n">
        <f aca="false">L15+L16+L17+L18</f>
        <v>7222.79132966145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3115.09013634703</v>
      </c>
      <c r="D21" s="0" t="n">
        <f aca="false">D19*D20</f>
        <v>3465.50090605283</v>
      </c>
      <c r="E21" s="0" t="n">
        <f aca="false">E19*E20</f>
        <v>3693.72079413001</v>
      </c>
      <c r="F21" s="0" t="n">
        <f aca="false">F19*F20</f>
        <v>3705.85060554113</v>
      </c>
      <c r="G21" s="0" t="n">
        <f aca="false">G19*G20</f>
        <v>3621.88178828274</v>
      </c>
      <c r="H21" s="0" t="n">
        <f aca="false">H19*H20</f>
        <v>3519.64340346937</v>
      </c>
      <c r="I21" s="0" t="n">
        <f aca="false">I19*I20</f>
        <v>3339.78571547388</v>
      </c>
      <c r="J21" s="0" t="n">
        <f aca="false">J19*J20</f>
        <v>3202.53424771468</v>
      </c>
      <c r="K21" s="0" t="n">
        <f aca="false">K19*K20</f>
        <v>3062.43586124718</v>
      </c>
      <c r="L21" s="0" t="n">
        <f aca="false">L19*L20</f>
        <v>2914.49876937705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33640.9422276359</v>
      </c>
    </row>
    <row r="31" customFormat="false" ht="15" hidden="false" customHeight="false" outlineLevel="0" collapsed="false">
      <c r="A31" s="0" t="s">
        <v>135</v>
      </c>
      <c r="B31" s="0" t="n">
        <f aca="false">L19</f>
        <v>7222.79132966145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124593.15043666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108341.869944922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108341.869944922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43717.4815406557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77358.4237682916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69242.4237682916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272.585431000947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0.139618842764946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3662.38719803977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5147.66015935644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307.267789378389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65005.121966953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134.013532101046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123.98944865737</v>
      </c>
      <c r="C4" s="0" t="n">
        <f aca="false">B4/Assumptions!$B$2-1</f>
        <v>-0.48162779105577</v>
      </c>
      <c r="D4" s="4" t="n">
        <f aca="false">Assumptions!$B$24</f>
        <v>0.25</v>
      </c>
      <c r="E4" s="4" t="n">
        <f aca="false">DCF_Bear!$B$43</f>
        <v>149.083864838239</v>
      </c>
      <c r="F4" s="4" t="n">
        <f aca="false">DCF_Bear!$B$47</f>
        <v>60.5475908098157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213.180645407136</v>
      </c>
      <c r="C5" s="0" t="n">
        <f aca="false">B5/Assumptions!$B$2-1</f>
        <v>-0.10873930596122</v>
      </c>
      <c r="D5" s="4" t="n">
        <f aca="false">Assumptions!$B$38</f>
        <v>0.5</v>
      </c>
      <c r="E5" s="4" t="n">
        <f aca="false">DCF_Base!$B$43</f>
        <v>243.999953833461</v>
      </c>
      <c r="F5" s="4" t="n">
        <f aca="false">DCF_Base!$B$47</f>
        <v>102.216420843645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272.585431000947</v>
      </c>
      <c r="C6" s="0" t="n">
        <f aca="false">B6/Assumptions!$B$2-1</f>
        <v>0.139618842764946</v>
      </c>
      <c r="D6" s="4" t="n">
        <f aca="false">Assumptions!$B$52</f>
        <v>0.25</v>
      </c>
      <c r="E6" s="4" t="n">
        <f aca="false">DCF_Bull!$B$43</f>
        <v>307.267789378389</v>
      </c>
      <c r="F6" s="4" t="n">
        <f aca="false">DCF_Bull!$B$47</f>
        <v>134.013532101046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205.734042618147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236.087890470887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-0.162617508294184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110.219823016055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99.7484911495376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222.125850280762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213.180645407136</v>
      </c>
      <c r="C16" s="3" t="n">
        <v>9.5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202.205315669243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172.155472310476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148.808335542644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102.216420843645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251.5786777653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251.5786777653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251.5786777653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251.5786777653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251.5786777653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231.491885610277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231.491885610277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231.491885610277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231.491885610277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231.491885610277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200.721120840379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210.002195262555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213.180645407136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213.180645407136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213.180645407136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172.089325403185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178.691928880153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186.174879487383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194.726823038502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196.46816901045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149.537895852825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154.380118002559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159.79201334638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165.880395608179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172.78056217155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2026-10-02T03:06:14Z</dcterms:created>
  <dc:creator>openpyxl</dc:creator>
  <dc:description/>
  <dc:language>en-NZ</dc:language>
  <cp:lastModifiedBy/>
  <dcterms:modified xsi:type="dcterms:W3CDTF">2026-10-02T03:06:14Z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