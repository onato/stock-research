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<sst xmlns="http://schemas.openxmlformats.org/spreadsheetml/2006/main" count="340" uniqueCount="161">
  <si>
    <t xml:space="preserve">Ticker</t>
  </si>
  <si>
    <t xml:space="preserve">0300.HK</t>
  </si>
  <si>
    <t xml:space="preserve">Company</t>
  </si>
  <si>
    <t xml:space="preserve">Midea Group Co., Ltd.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</si>
  <si>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</si>
  <si>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</si>
  <si>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</si>
  <si>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</si>
  <si>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regular-session close (HKEX), Yahoo regularMarketTime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</si>
  <si>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</si>
  <si>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</si>
  <si>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</si>
  <si>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</si>
  <si>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</si>
  <si>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</si>
  <si>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</si>
  <si>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</si>
  <si>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</si>
  <si>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</si>
  <si>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</si>
  <si>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</si>
  <si>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</si>
  <si>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2026-10-10T22:07:21Z</t>
  </si>
  <si>
    <t xml:space="preserve">Drivers file</t>
  </si>
  <si>
    <t xml:space="preserve">0300.HK_Drivers.json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</si>
  <si>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</si>
  <si>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</si>
  <si>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</si>
  <si>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Midea is valued as a mature global appliance and HVAC manufacturer with a very large net-cash balance. The operating business is valued on owner FCF built from components (adjusted EBITDA ex all interest and FX/fair-value gains, less SBC, lease cost, cash tax, capex, plus the working-capital release that a negative-working-capital model earns on growth); the ~RMB300bn of cash, deposits and constant-return products is added separately at book, net of borrowings, NCI, the declared FY2025 final dividend and an operating-cash reserve. Because that cash pile is roughly a quarter of the market value, the result depends less on terminal assumptions than a typical DCF, and the H-share's discount to the A-share line is a separate, observable risk.
key_risks_to_valuation: Cash pile quality: the bridge takes ~RMB216bn of deposits and constant-return products at book; part is pledged against note payables and part is effectively supplier-funded float that would unwind if revenue fell sharply.; Domestic price war and subsidy hangover: the AC price war and Xiaomi's share gains could push margins below the bear path.; Tariffs and geopolitics: US duties of ~50% on Chinese appliances, steel-derivative tariffs, German scrutiny of KUKA.; Earnings quality: H1 FY2026 profit ex non-recurring items fell ~25% while headline profit rose; this build reads it as mostly FX in the finance line (Q1 FY2026 operating margin rose), but the H1 filing has not been extracted to confirm.; Currency: flows in CNY, quote in HKD; a 5% CNY move shifts the HKD value by 5%, and the fx_rate is not refreshed automatically.; Terminal multiple: base caps the exit at 13x owner FCF against an observed ~11x EV/owner FCF today, so the base assumes modest re-rating; the bear's 11x is the no-re-rate reference.</t>
  </si>
  <si>
    <t xml:space="preserve">Data sources</t>
  </si>
  <si>
    <t xml:space="preserve">price: Yahoo Finance chart API at inputs.price_as_of (HKEX regular session); 52-week range 77.65-101.70. A-share 000333.SZ and CNY/HKD cross from the same API for the fx parity check.
financials: FY2025 and FY2024 Annual Reports (IFRS, RMB'000) for the income statement, balance sheet, cash-flow statement, Notes 12 (EPS), 15 (leases), 22 (constant-return products), 23, 35-36 (share capital, treasury); Q1 FY2026 quarterly report (CAS) for the 31-Mar-2026 share count and liquidity cross-check; 0300.HK_Metrics.csv and the kpis table for history.
qualitative: 0300.HK_Analysis.json (2026-10-11): segment mix, AVC market forecast, tariff and competition risks, H1 FY2026 interim headlines.</t>
  </si>
  <si>
    <t xml:space="preserve">Scenario narrative: bear</t>
  </si>
  <si>
    <t xml:space="preserve">China's property slump and the post-subsidy appliance downturn (AVC -6.7% for 2026) turn into a two-year price war: revenue falls in FY2027, AC pricing (-13.8% retail value in Q1 FY2026) drags margin to ~10.5%, US tariffs of ~50% on Chinese appliances and steel-derivative duties squeeze export economics, and the RMB60bn three-year R&amp;D push into robotics yields little. The H1 FY2026 25% fall in profit ex non-recurring items proves to be operating, not FX, and the ToB acquisitions dilute returns.</t>
  </si>
  <si>
    <t xml:space="preserve">Scenario narrative: base</t>
  </si>
  <si>
    <t xml:space="preserve">Domestic white goods shrink in value through 2026-27 as trade-in subsidies fade and the air-conditioner price war with Xiaomi and Gree runs on, but Midea holds share and cost leadership while overseas own-brand sales (self-operated in 50 countries, OBM &gt;45% of overseas Smart Home) and the ToB businesses (building tech, KUKA robotics, new energy, Carestream healthcare) carry group growth back to ~5%. Margin edges up ~0.5pp over five years on mix; tariffs are absorbed by the Egypt/Brazil/Thailand/Vietnam footprint. The RMB300bn liquidity pile stays on the balance sheet and is valued at book.</t>
  </si>
  <si>
    <t xml:space="preserve">Scenario narrative: bull</t>
  </si>
  <si>
    <t xml:space="preserve">Overseas OBM and ToB both compound at high single digits: Arbonia, Toshiba Elevator and Carestream integrate cleanly, KUKA and the humanoid/embodied-AI programme commercialise in factory automation, and the domestic market stabilises after the subsidy hangover. Mix and cost leadership take adjusted EBITDA margin to 13%, toward global HVAC/building-tech peers, and an Annto logistics spin-off crystallises value without changing the operating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</si>
  <si>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</si>
  <si>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</si>
  <si>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</si>
  <si>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</si>
  <si>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</si>
  <si>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</si>
  <si>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</si>
  <si>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</si>
  <si>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</si>
  <si>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</si>
  <si>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</si>
  <si>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</si>
  <si>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</si>
  <si>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</si>
  <si>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</si>
  <si>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</si>
  <si>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</si>
  <si>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</si>
  <si>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</si>
  <si>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</si>
  <si>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</si>
  <si>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</si>
  <si>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</si>
  <si>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</si>
  <si>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</si>
  <si>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</si>
  <si>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</si>
  <si>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ResearchAndDevelopment</t>
  </si>
  <si>
    <t xml:space="preserve">FY2023</t>
  </si>
  <si>
    <t xml:space="preserve">thousands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</si>
  <si>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</si>
  <si>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</si>
  <si>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</si>
  <si>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</si>
  <si>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</si>
  <si>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</si>
  <si>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</si>
  <si>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</si>
  <si>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</si>
  <si>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</si>
  <si>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</si>
  <si>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</si>
  <si>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</si>
  <si>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</si>
  <si>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</si>
  <si>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</si>
  <si>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</si>
  <si>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</si>
  <si>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</si>
  <si>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</si>
  <si>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</si>
  <si>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</si>
  <si>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</si>
  <si>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</si>
  <si>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</si>
  <si>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</si>
  <si>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</si>
  <si>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</si>
  <si>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</si>
  <si>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</si>
  <si>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</si>
  <si>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</si>
  <si>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</si>
  <si>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</si>
  <si>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</si>
  <si>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</si>
  <si>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</si>
  <si>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</si>
  <si>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</si>
  <si>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0300.HK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</si>
  <si>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</si>
  <si>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</si>
  <si>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</si>
  <si>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</si>
  <si>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</si>
  <si>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</si>
  <si>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</si>
  <si>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</si>
  <si>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</si>
  <si>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</si>
  <si>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</si>
  <si>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</si>
  <si>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</si>
  <si>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</si>
  <si>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</si>
  <si>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</si>
  <si>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</si>
  <si>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</si>
  <si>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</si>
  <si>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</si>
  <si>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</si>
  <si>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</si>
  <si>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</si>
  <si>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</si>
  <si>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</si>
  <si>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</si>
  <si>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</si>
  <si>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</si>
  <si>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</si>
  <si>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</si>
  <si>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0300.HK owner-FCF component DCF: base case (millions, CNY)</t>
  </si>
  <si>
    <t xml:space="preserve">0300.HK owner-FCF component DCF: bull case (millions, CNY)</t>
  </si>
  <si>
    <t xml:space="preserve">0300.HK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</si>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</sst>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93.65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373709804</v>
      </c>
      <c r="C2" s="0" t="n">
        <v>278248191</v>
      </c>
      <c r="D2" s="0" t="n">
        <v>95461613</v>
      </c>
      <c r="E2" s="0" t="n">
        <v>25.5</v>
      </c>
      <c r="F2" s="0" t="n">
        <v>41886124</v>
      </c>
      <c r="G2" s="0" t="n">
        <v>11.2</v>
      </c>
      <c r="H2" s="0" t="n">
        <v>49232884</v>
      </c>
      <c r="I2" s="0" t="n">
        <v>33721536</v>
      </c>
      <c r="J2" s="0" t="n">
        <v>9</v>
      </c>
      <c r="K2" s="0" t="n">
        <v>4.93</v>
      </c>
      <c r="L2" s="0" t="n">
        <v>57902611</v>
      </c>
      <c r="M2" s="0" t="n">
        <v>6314051</v>
      </c>
      <c r="N2" s="0" t="n">
        <v>51588560</v>
      </c>
      <c r="O2" s="0" t="n">
        <v>162877163</v>
      </c>
      <c r="P2" s="0" t="n">
        <v>486036015</v>
      </c>
      <c r="Q2" s="0" t="n">
        <v>311738065</v>
      </c>
      <c r="R2" s="0" t="n">
        <v>71466690</v>
      </c>
      <c r="S2" s="0" t="n">
        <v>59887260</v>
      </c>
      <c r="T2" s="0" t="n">
        <v>6849241</v>
      </c>
      <c r="U2" s="0" t="n">
        <v>1245456</v>
      </c>
      <c r="AA2" s="0" t="s">
        <v>66</v>
      </c>
      <c r="AB2" s="0" t="s">
        <v>14</v>
      </c>
      <c r="AC2" s="0" t="n">
        <v>14586346</v>
      </c>
    </row>
    <row r="3" customFormat="false" ht="15" hidden="false" customHeight="false" outlineLevel="0" collapsed="false">
      <c r="A3" s="0" t="s">
        <v>67</v>
      </c>
      <c r="B3" s="0" t="n">
        <v>409084266</v>
      </c>
      <c r="C3" s="0" t="n">
        <v>301982533</v>
      </c>
      <c r="D3" s="0" t="n">
        <v>107101733</v>
      </c>
      <c r="E3" s="0" t="n">
        <v>26.2</v>
      </c>
      <c r="F3" s="0" t="n">
        <v>46816744</v>
      </c>
      <c r="G3" s="0" t="n">
        <v>11.4</v>
      </c>
      <c r="H3" s="0" t="n">
        <v>54638213</v>
      </c>
      <c r="I3" s="0" t="n">
        <v>38538987</v>
      </c>
      <c r="J3" s="0" t="n">
        <v>9.4</v>
      </c>
      <c r="K3" s="0" t="n">
        <v>5.44</v>
      </c>
      <c r="L3" s="0" t="n">
        <v>60511572</v>
      </c>
      <c r="M3" s="0" t="n">
        <v>7839636</v>
      </c>
      <c r="N3" s="0" t="n">
        <v>52671936</v>
      </c>
      <c r="O3" s="0" t="n">
        <v>216750094</v>
      </c>
      <c r="P3" s="0" t="n">
        <v>604351853</v>
      </c>
      <c r="Q3" s="0" t="n">
        <v>376684462</v>
      </c>
      <c r="R3" s="0" t="n">
        <v>83307706</v>
      </c>
      <c r="S3" s="0" t="n">
        <v>55118728</v>
      </c>
      <c r="T3" s="0" t="n">
        <v>7113194</v>
      </c>
      <c r="U3" s="0" t="n">
        <v>1187785</v>
      </c>
      <c r="AA3" s="0" t="s">
        <v>66</v>
      </c>
      <c r="AB3" s="0" t="s">
        <v>14</v>
      </c>
      <c r="AC3" s="0" t="n">
        <v>16232771</v>
      </c>
    </row>
    <row r="4" customFormat="false" ht="15" hidden="false" customHeight="false" outlineLevel="0" collapsed="false">
      <c r="A4" s="0" t="s">
        <v>68</v>
      </c>
      <c r="B4" s="0" t="n">
        <v>458502407</v>
      </c>
      <c r="C4" s="0" t="n">
        <v>338462194</v>
      </c>
      <c r="D4" s="0" t="n">
        <v>120040213</v>
      </c>
      <c r="E4" s="0" t="n">
        <v>26.2</v>
      </c>
      <c r="F4" s="0" t="n">
        <v>54743159</v>
      </c>
      <c r="G4" s="0" t="n">
        <v>11.9</v>
      </c>
      <c r="H4" s="0" t="n">
        <v>64082854</v>
      </c>
      <c r="I4" s="0" t="n">
        <v>43945411</v>
      </c>
      <c r="J4" s="0" t="n">
        <v>9.6</v>
      </c>
      <c r="K4" s="0" t="n">
        <v>5.8</v>
      </c>
      <c r="L4" s="0" t="n">
        <v>53345930</v>
      </c>
      <c r="M4" s="0" t="n">
        <v>11141889</v>
      </c>
      <c r="N4" s="0" t="n">
        <v>42204041</v>
      </c>
      <c r="O4" s="0" t="n">
        <v>223221305</v>
      </c>
      <c r="P4" s="0" t="n">
        <v>608791766</v>
      </c>
      <c r="Q4" s="0" t="n">
        <v>372367543</v>
      </c>
      <c r="R4" s="0" t="n">
        <v>64184638</v>
      </c>
      <c r="S4" s="0" t="n">
        <v>68508670</v>
      </c>
      <c r="T4" s="0" t="n">
        <v>7608132</v>
      </c>
      <c r="U4" s="0" t="n">
        <v>873319</v>
      </c>
      <c r="AA4" s="0" t="s">
        <v>66</v>
      </c>
      <c r="AB4" s="0" t="s">
        <v>14</v>
      </c>
      <c r="AC4" s="0" t="n">
        <v>17787624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69</v>
      </c>
      <c r="B1" s="2" t="s">
        <v>70</v>
      </c>
    </row>
    <row r="2" customFormat="false" ht="15" hidden="false" customHeight="false" outlineLevel="0" collapsed="false">
      <c r="A2" s="0" t="s">
        <v>71</v>
      </c>
      <c r="B2" s="3" t="n">
        <v>93.65</v>
      </c>
    </row>
    <row r="3" customFormat="false" ht="15" hidden="false" customHeight="false" outlineLevel="0" collapsed="false">
      <c r="A3" s="0" t="s">
        <v>72</v>
      </c>
      <c r="B3" s="3" t="n">
        <v>7525</v>
      </c>
    </row>
    <row r="4" customFormat="false" ht="15" hidden="false" customHeight="false" outlineLevel="0" collapsed="false">
      <c r="A4" s="0" t="s">
        <v>73</v>
      </c>
      <c r="B4" s="3" t="n">
        <v>-21062.6</v>
      </c>
    </row>
    <row r="5" customFormat="false" ht="15" hidden="false" customHeight="false" outlineLevel="0" collapsed="false">
      <c r="A5" s="0" t="s">
        <v>74</v>
      </c>
      <c r="B5" s="3" t="n">
        <v>156316.2</v>
      </c>
    </row>
    <row r="6" customFormat="false" ht="15" hidden="false" customHeight="false" outlineLevel="0" collapsed="false">
      <c r="A6" s="0" t="s">
        <v>75</v>
      </c>
      <c r="B6" s="3" t="n">
        <v>15</v>
      </c>
    </row>
    <row r="7" customFormat="false" ht="15" hidden="false" customHeight="false" outlineLevel="0" collapsed="false">
      <c r="A7" s="0" t="s">
        <v>76</v>
      </c>
      <c r="B7" s="3" t="n">
        <v>458502.4</v>
      </c>
    </row>
    <row r="8" customFormat="false" ht="15" hidden="false" customHeight="false" outlineLevel="0" collapsed="false">
      <c r="A8" s="0" t="s">
        <v>77</v>
      </c>
      <c r="B8" s="3" t="s">
        <v>68</v>
      </c>
    </row>
    <row r="9" customFormat="false" ht="15" hidden="false" customHeight="false" outlineLevel="0" collapsed="false">
      <c r="A9" s="0" t="s">
        <v>78</v>
      </c>
      <c r="B9" s="3" t="s">
        <v>79</v>
      </c>
    </row>
    <row r="10" customFormat="false" ht="15" hidden="false" customHeight="false" outlineLevel="0" collapsed="false">
      <c r="A10" s="0" t="s">
        <v>80</v>
      </c>
      <c r="B10" s="3" t="n">
        <v>1.1742</v>
      </c>
    </row>
    <row r="12" customFormat="false" ht="15" hidden="false" customHeight="false" outlineLevel="0" collapsed="false">
      <c r="A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88</v>
      </c>
      <c r="J12" s="2" t="s">
        <v>89</v>
      </c>
      <c r="K12" s="2" t="s">
        <v>90</v>
      </c>
      <c r="L12" s="2" t="s">
        <v>91</v>
      </c>
    </row>
    <row r="13" customFormat="false" ht="15" hidden="false" customHeight="false" outlineLevel="0" collapsed="false">
      <c r="A13" s="0" t="s">
        <v>92</v>
      </c>
      <c r="C13" s="3" t="n">
        <v>1.5</v>
      </c>
      <c r="D13" s="3" t="n">
        <v>-1</v>
      </c>
      <c r="E13" s="3" t="n">
        <v>1.5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1.5</v>
      </c>
    </row>
    <row r="14" customFormat="false" ht="15" hidden="false" customHeight="false" outlineLevel="0" collapsed="false">
      <c r="A14" s="0" t="s">
        <v>93</v>
      </c>
      <c r="C14" s="3" t="n">
        <v>11.2</v>
      </c>
      <c r="D14" s="3" t="n">
        <v>10.6</v>
      </c>
      <c r="E14" s="3" t="n">
        <v>10.5</v>
      </c>
      <c r="F14" s="3" t="n">
        <v>10.6</v>
      </c>
      <c r="G14" s="3" t="n">
        <v>10.7</v>
      </c>
      <c r="H14" s="3" t="n">
        <v>10.8</v>
      </c>
      <c r="I14" s="3" t="n">
        <v>10.8</v>
      </c>
      <c r="J14" s="3" t="n">
        <v>10.8</v>
      </c>
      <c r="K14" s="3" t="n">
        <v>10.8</v>
      </c>
      <c r="L14" s="3" t="n">
        <v>10.8</v>
      </c>
    </row>
    <row r="15" customFormat="false" ht="15" hidden="false" customHeight="false" outlineLevel="0" collapsed="false">
      <c r="A15" s="0" t="s">
        <v>94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95</v>
      </c>
      <c r="C16" s="3" t="n">
        <v>0.35</v>
      </c>
      <c r="D16" s="3" t="n">
        <v>0.35</v>
      </c>
      <c r="E16" s="3" t="n">
        <v>0.35</v>
      </c>
      <c r="F16" s="3" t="n">
        <v>0.35</v>
      </c>
      <c r="G16" s="3" t="n">
        <v>0.35</v>
      </c>
      <c r="H16" s="3" t="n">
        <v>0.35</v>
      </c>
      <c r="I16" s="3" t="n">
        <v>0.35</v>
      </c>
      <c r="J16" s="3" t="n">
        <v>0.35</v>
      </c>
      <c r="K16" s="3" t="n">
        <v>0.35</v>
      </c>
      <c r="L16" s="3" t="n">
        <v>0.35</v>
      </c>
    </row>
    <row r="17" customFormat="false" ht="15" hidden="false" customHeight="false" outlineLevel="0" collapsed="false">
      <c r="A17" s="0" t="s">
        <v>96</v>
      </c>
      <c r="C17" s="3" t="n">
        <v>1.72</v>
      </c>
      <c r="D17" s="3" t="n">
        <v>1.76</v>
      </c>
      <c r="E17" s="3" t="n">
        <v>1.8</v>
      </c>
      <c r="F17" s="3" t="n">
        <v>1.82</v>
      </c>
      <c r="G17" s="3" t="n">
        <v>1.84</v>
      </c>
      <c r="H17" s="3" t="n">
        <v>1.86</v>
      </c>
      <c r="I17" s="3" t="n">
        <v>1.88</v>
      </c>
      <c r="J17" s="3" t="n">
        <v>1.9</v>
      </c>
      <c r="K17" s="3" t="n">
        <v>1.9</v>
      </c>
      <c r="L17" s="3" t="n">
        <v>1.9</v>
      </c>
    </row>
    <row r="18" customFormat="false" ht="15" hidden="false" customHeight="false" outlineLevel="0" collapsed="false">
      <c r="A18" s="0" t="s">
        <v>97</v>
      </c>
      <c r="C18" s="3" t="n">
        <v>2.4</v>
      </c>
      <c r="D18" s="3" t="n">
        <v>2.3</v>
      </c>
      <c r="E18" s="3" t="n">
        <v>2.2</v>
      </c>
      <c r="F18" s="3" t="n">
        <v>2.1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98</v>
      </c>
      <c r="C19" s="3" t="n">
        <v>16.5</v>
      </c>
      <c r="D19" s="3" t="n">
        <v>17</v>
      </c>
      <c r="E19" s="3" t="n">
        <v>17.5</v>
      </c>
      <c r="F19" s="3" t="n">
        <v>18</v>
      </c>
      <c r="G19" s="3" t="n">
        <v>18.5</v>
      </c>
      <c r="H19" s="3" t="n">
        <v>18.5</v>
      </c>
      <c r="I19" s="3" t="n">
        <v>18.5</v>
      </c>
      <c r="J19" s="3" t="n">
        <v>18.5</v>
      </c>
      <c r="K19" s="3" t="n">
        <v>18.5</v>
      </c>
      <c r="L19" s="3" t="n">
        <v>18.5</v>
      </c>
    </row>
    <row r="20" customFormat="false" ht="15" hidden="false" customHeight="false" outlineLevel="0" collapsed="false">
      <c r="A20" s="0" t="s">
        <v>99</v>
      </c>
      <c r="B20" s="3" t="n">
        <v>8.5</v>
      </c>
    </row>
    <row r="21" customFormat="false" ht="15" hidden="false" customHeight="false" outlineLevel="0" collapsed="false">
      <c r="A21" s="0" t="s">
        <v>100</v>
      </c>
      <c r="B21" s="3" t="n">
        <v>1.5</v>
      </c>
    </row>
    <row r="22" customFormat="false" ht="15" hidden="false" customHeight="false" outlineLevel="0" collapsed="false">
      <c r="A22" s="0" t="s">
        <v>101</v>
      </c>
      <c r="B22" s="3" t="n">
        <v>11</v>
      </c>
    </row>
    <row r="23" customFormat="false" ht="15" hidden="false" customHeight="false" outlineLevel="0" collapsed="false">
      <c r="A23" s="0" t="s">
        <v>102</v>
      </c>
      <c r="B23" s="3" t="n">
        <v>10</v>
      </c>
    </row>
    <row r="24" customFormat="false" ht="15" hidden="false" customHeight="false" outlineLevel="0" collapsed="false">
      <c r="A24" s="0" t="s">
        <v>103</v>
      </c>
      <c r="B24" s="3" t="n">
        <v>0.25</v>
      </c>
    </row>
    <row r="26" customFormat="false" ht="15" hidden="false" customHeight="false" outlineLevel="0" collapsed="false">
      <c r="A26" s="2" t="s">
        <v>104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 t="s">
        <v>87</v>
      </c>
      <c r="I26" s="2" t="s">
        <v>88</v>
      </c>
      <c r="J26" s="2" t="s">
        <v>89</v>
      </c>
      <c r="K26" s="2" t="s">
        <v>90</v>
      </c>
      <c r="L26" s="2" t="s">
        <v>91</v>
      </c>
    </row>
    <row r="27" customFormat="false" ht="15" hidden="false" customHeight="false" outlineLevel="0" collapsed="false">
      <c r="A27" s="0" t="s">
        <v>92</v>
      </c>
      <c r="C27" s="3" t="n">
        <v>4</v>
      </c>
      <c r="D27" s="3" t="n">
        <v>4.5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93</v>
      </c>
      <c r="C28" s="3" t="n">
        <v>11.8</v>
      </c>
      <c r="D28" s="3" t="n">
        <v>11.9</v>
      </c>
      <c r="E28" s="3" t="n">
        <v>12</v>
      </c>
      <c r="F28" s="3" t="n">
        <v>12.1</v>
      </c>
      <c r="G28" s="3" t="n">
        <v>12.2</v>
      </c>
      <c r="H28" s="3" t="n">
        <v>12.3</v>
      </c>
      <c r="I28" s="3" t="n">
        <v>12.3</v>
      </c>
      <c r="J28" s="3" t="n">
        <v>12.3</v>
      </c>
      <c r="K28" s="3" t="n">
        <v>12.3</v>
      </c>
      <c r="L28" s="3" t="n">
        <v>12.3</v>
      </c>
    </row>
    <row r="29" customFormat="false" ht="15" hidden="false" customHeight="false" outlineLevel="0" collapsed="false">
      <c r="A29" s="0" t="s">
        <v>94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95</v>
      </c>
      <c r="C30" s="3" t="n">
        <v>0.35</v>
      </c>
      <c r="D30" s="3" t="n">
        <v>0.35</v>
      </c>
      <c r="E30" s="3" t="n">
        <v>0.35</v>
      </c>
      <c r="F30" s="3" t="n">
        <v>0.35</v>
      </c>
      <c r="G30" s="3" t="n">
        <v>0.35</v>
      </c>
      <c r="H30" s="3" t="n">
        <v>0.35</v>
      </c>
      <c r="I30" s="3" t="n">
        <v>0.35</v>
      </c>
      <c r="J30" s="3" t="n">
        <v>0.35</v>
      </c>
      <c r="K30" s="3" t="n">
        <v>0.35</v>
      </c>
      <c r="L30" s="3" t="n">
        <v>0.35</v>
      </c>
    </row>
    <row r="31" customFormat="false" ht="15" hidden="false" customHeight="false" outlineLevel="0" collapsed="false">
      <c r="A31" s="0" t="s">
        <v>96</v>
      </c>
      <c r="C31" s="3" t="n">
        <v>1.72</v>
      </c>
      <c r="D31" s="3" t="n">
        <v>1.75</v>
      </c>
      <c r="E31" s="3" t="n">
        <v>1.78</v>
      </c>
      <c r="F31" s="3" t="n">
        <v>1.8</v>
      </c>
      <c r="G31" s="3" t="n">
        <v>1.82</v>
      </c>
      <c r="H31" s="3" t="n">
        <v>1.84</v>
      </c>
      <c r="I31" s="3" t="n">
        <v>1.86</v>
      </c>
      <c r="J31" s="3" t="n">
        <v>1.88</v>
      </c>
      <c r="K31" s="3" t="n">
        <v>1.9</v>
      </c>
      <c r="L31" s="3" t="n">
        <v>1.9</v>
      </c>
    </row>
    <row r="32" customFormat="false" ht="15" hidden="false" customHeight="false" outlineLevel="0" collapsed="false">
      <c r="A32" s="0" t="s">
        <v>97</v>
      </c>
      <c r="C32" s="3" t="n">
        <v>2.4</v>
      </c>
      <c r="D32" s="3" t="n">
        <v>2.4</v>
      </c>
      <c r="E32" s="3" t="n">
        <v>2.3</v>
      </c>
      <c r="F32" s="3" t="n">
        <v>2.3</v>
      </c>
      <c r="G32" s="3" t="n">
        <v>2.2</v>
      </c>
      <c r="H32" s="3" t="n">
        <v>2.2</v>
      </c>
      <c r="I32" s="3" t="n">
        <v>2.1</v>
      </c>
      <c r="J32" s="3" t="n">
        <v>2.1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98</v>
      </c>
      <c r="C33" s="3" t="n">
        <v>16.5</v>
      </c>
      <c r="D33" s="3" t="n">
        <v>16.75</v>
      </c>
      <c r="E33" s="3" t="n">
        <v>17</v>
      </c>
      <c r="F33" s="3" t="n">
        <v>17.25</v>
      </c>
      <c r="G33" s="3" t="n">
        <v>17.5</v>
      </c>
      <c r="H33" s="3" t="n">
        <v>17.5</v>
      </c>
      <c r="I33" s="3" t="n">
        <v>17.5</v>
      </c>
      <c r="J33" s="3" t="n">
        <v>17.5</v>
      </c>
      <c r="K33" s="3" t="n">
        <v>17.5</v>
      </c>
      <c r="L33" s="3" t="n">
        <v>17.5</v>
      </c>
    </row>
    <row r="34" customFormat="false" ht="15" hidden="false" customHeight="false" outlineLevel="0" collapsed="false">
      <c r="A34" s="0" t="s">
        <v>99</v>
      </c>
      <c r="B34" s="3" t="n">
        <v>8.5</v>
      </c>
    </row>
    <row r="35" customFormat="false" ht="15" hidden="false" customHeight="false" outlineLevel="0" collapsed="false">
      <c r="A35" s="0" t="s">
        <v>100</v>
      </c>
      <c r="B35" s="3" t="n">
        <v>2</v>
      </c>
    </row>
    <row r="36" customFormat="false" ht="15" hidden="false" customHeight="false" outlineLevel="0" collapsed="false">
      <c r="A36" s="0" t="s">
        <v>101</v>
      </c>
      <c r="B36" s="3" t="n">
        <v>13</v>
      </c>
    </row>
    <row r="37" customFormat="false" ht="15" hidden="false" customHeight="false" outlineLevel="0" collapsed="false">
      <c r="A37" s="0" t="s">
        <v>102</v>
      </c>
      <c r="B37" s="3" t="n">
        <v>10</v>
      </c>
    </row>
    <row r="38" customFormat="false" ht="15" hidden="false" customHeight="false" outlineLevel="0" collapsed="false">
      <c r="A38" s="0" t="s">
        <v>103</v>
      </c>
      <c r="B38" s="3" t="n">
        <v>0.5</v>
      </c>
    </row>
    <row r="40" customFormat="false" ht="15" hidden="false" customHeight="false" outlineLevel="0" collapsed="false">
      <c r="A40" s="2" t="s">
        <v>105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  <c r="H40" s="2" t="s">
        <v>87</v>
      </c>
      <c r="I40" s="2" t="s">
        <v>88</v>
      </c>
      <c r="J40" s="2" t="s">
        <v>89</v>
      </c>
      <c r="K40" s="2" t="s">
        <v>90</v>
      </c>
      <c r="L40" s="2" t="s">
        <v>91</v>
      </c>
    </row>
    <row r="41" customFormat="false" ht="15" hidden="false" customHeight="false" outlineLevel="0" collapsed="false">
      <c r="A41" s="0" t="s">
        <v>92</v>
      </c>
      <c r="C41" s="3" t="n">
        <v>5.5</v>
      </c>
      <c r="D41" s="3" t="n">
        <v>7</v>
      </c>
      <c r="E41" s="3" t="n">
        <v>7.5</v>
      </c>
      <c r="F41" s="3" t="n">
        <v>7.5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93</v>
      </c>
      <c r="C42" s="3" t="n">
        <v>12</v>
      </c>
      <c r="D42" s="3" t="n">
        <v>12.2</v>
      </c>
      <c r="E42" s="3" t="n">
        <v>12.4</v>
      </c>
      <c r="F42" s="3" t="n">
        <v>12.6</v>
      </c>
      <c r="G42" s="3" t="n">
        <v>12.8</v>
      </c>
      <c r="H42" s="3" t="n">
        <v>13</v>
      </c>
      <c r="I42" s="3" t="n">
        <v>13</v>
      </c>
      <c r="J42" s="3" t="n">
        <v>13</v>
      </c>
      <c r="K42" s="3" t="n">
        <v>13</v>
      </c>
      <c r="L42" s="3" t="n">
        <v>13</v>
      </c>
    </row>
    <row r="43" customFormat="false" ht="15" hidden="false" customHeight="false" outlineLevel="0" collapsed="false">
      <c r="A43" s="0" t="s">
        <v>94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95</v>
      </c>
      <c r="C44" s="3" t="n">
        <v>0.35</v>
      </c>
      <c r="D44" s="3" t="n">
        <v>0.35</v>
      </c>
      <c r="E44" s="3" t="n">
        <v>0.35</v>
      </c>
      <c r="F44" s="3" t="n">
        <v>0.35</v>
      </c>
      <c r="G44" s="3" t="n">
        <v>0.35</v>
      </c>
      <c r="H44" s="3" t="n">
        <v>0.35</v>
      </c>
      <c r="I44" s="3" t="n">
        <v>0.35</v>
      </c>
      <c r="J44" s="3" t="n">
        <v>0.35</v>
      </c>
      <c r="K44" s="3" t="n">
        <v>0.35</v>
      </c>
      <c r="L44" s="3" t="n">
        <v>0.35</v>
      </c>
    </row>
    <row r="45" customFormat="false" ht="15" hidden="false" customHeight="false" outlineLevel="0" collapsed="false">
      <c r="A45" s="0" t="s">
        <v>96</v>
      </c>
      <c r="C45" s="3" t="n">
        <v>1.72</v>
      </c>
      <c r="D45" s="3" t="n">
        <v>1.75</v>
      </c>
      <c r="E45" s="3" t="n">
        <v>1.78</v>
      </c>
      <c r="F45" s="3" t="n">
        <v>1.8</v>
      </c>
      <c r="G45" s="3" t="n">
        <v>1.82</v>
      </c>
      <c r="H45" s="3" t="n">
        <v>1.84</v>
      </c>
      <c r="I45" s="3" t="n">
        <v>1.86</v>
      </c>
      <c r="J45" s="3" t="n">
        <v>1.88</v>
      </c>
      <c r="K45" s="3" t="n">
        <v>1.9</v>
      </c>
      <c r="L45" s="3" t="n">
        <v>1.9</v>
      </c>
    </row>
    <row r="46" customFormat="false" ht="15" hidden="false" customHeight="false" outlineLevel="0" collapsed="false">
      <c r="A46" s="0" t="s">
        <v>97</v>
      </c>
      <c r="C46" s="3" t="n">
        <v>2.5</v>
      </c>
      <c r="D46" s="3" t="n">
        <v>2.5</v>
      </c>
      <c r="E46" s="3" t="n">
        <v>2.4</v>
      </c>
      <c r="F46" s="3" t="n">
        <v>2.4</v>
      </c>
      <c r="G46" s="3" t="n">
        <v>2.3</v>
      </c>
      <c r="H46" s="3" t="n">
        <v>2.2</v>
      </c>
      <c r="I46" s="3" t="n">
        <v>2.1</v>
      </c>
      <c r="J46" s="3" t="n">
        <v>2.1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98</v>
      </c>
      <c r="C47" s="3" t="n">
        <v>16.5</v>
      </c>
      <c r="D47" s="3" t="n">
        <v>16.5</v>
      </c>
      <c r="E47" s="3" t="n">
        <v>16.5</v>
      </c>
      <c r="F47" s="3" t="n">
        <v>16.75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99</v>
      </c>
      <c r="B48" s="3" t="n">
        <v>8.5</v>
      </c>
    </row>
    <row r="49" customFormat="false" ht="15" hidden="false" customHeight="false" outlineLevel="0" collapsed="false">
      <c r="A49" s="0" t="s">
        <v>100</v>
      </c>
      <c r="B49" s="3" t="n">
        <v>2.5</v>
      </c>
    </row>
    <row r="50" customFormat="false" ht="15" hidden="false" customHeight="false" outlineLevel="0" collapsed="false">
      <c r="A50" s="0" t="s">
        <v>101</v>
      </c>
      <c r="B50" s="3" t="n">
        <v>14</v>
      </c>
    </row>
    <row r="51" customFormat="false" ht="15" hidden="false" customHeight="false" outlineLevel="0" collapsed="false">
      <c r="A51" s="0" t="s">
        <v>102</v>
      </c>
      <c r="B51" s="3" t="n">
        <v>10</v>
      </c>
    </row>
    <row r="52" customFormat="false" ht="15" hidden="false" customHeight="false" outlineLevel="0" collapsed="false">
      <c r="A52" s="0" t="s">
        <v>103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106</v>
      </c>
    </row>
    <row r="3" customFormat="false" ht="15" hidden="false" customHeight="false" outlineLevel="0" collapsed="false">
      <c r="A3" s="0" t="s">
        <v>107</v>
      </c>
      <c r="B3" s="0" t="s">
        <v>68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Assumptions!C13</f>
        <v>1.5</v>
      </c>
      <c r="D5" s="4" t="n">
        <f aca="false">Assumptions!D13</f>
        <v>-1</v>
      </c>
      <c r="E5" s="4" t="n">
        <f aca="false">Assumptions!E13</f>
        <v>1.5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458502.4</v>
      </c>
      <c r="C6" s="0" t="n">
        <f aca="false">B6*(1+C5/100)</f>
        <v>465379.936</v>
      </c>
      <c r="D6" s="0" t="n">
        <f aca="false">C6*(1+D5/100)</f>
        <v>460726.13664</v>
      </c>
      <c r="E6" s="0" t="n">
        <f aca="false">D6*(1+E5/100)</f>
        <v>467637.0286896</v>
      </c>
      <c r="F6" s="0" t="n">
        <f aca="false">E6*(1+F5/100)</f>
        <v>479327.95440684</v>
      </c>
      <c r="G6" s="0" t="n">
        <f aca="false">F6*(1+G5/100)</f>
        <v>491311.153267011</v>
      </c>
      <c r="H6" s="0" t="n">
        <f aca="false">G6*(1+H5/100)</f>
        <v>503593.932098686</v>
      </c>
      <c r="I6" s="0" t="n">
        <f aca="false">H6*(1+I5/100)</f>
        <v>513665.81074066</v>
      </c>
      <c r="J6" s="0" t="n">
        <f aca="false">I6*(1+J5/100)</f>
        <v>523939.126955473</v>
      </c>
      <c r="K6" s="0" t="n">
        <f aca="false">J6*(1+K5/100)</f>
        <v>534417.909494583</v>
      </c>
      <c r="L6" s="0" t="n">
        <f aca="false">K6*(1+L5/100)</f>
        <v>542434.178137001</v>
      </c>
    </row>
    <row r="7" customFormat="false" ht="15" hidden="false" customHeight="false" outlineLevel="0" collapsed="false">
      <c r="A7" s="0" t="s">
        <v>93</v>
      </c>
      <c r="C7" s="4" t="n">
        <f aca="false">Assumptions!C14</f>
        <v>11.2</v>
      </c>
      <c r="D7" s="4" t="n">
        <f aca="false">Assumptions!D14</f>
        <v>10.6</v>
      </c>
      <c r="E7" s="4" t="n">
        <f aca="false">Assumptions!E14</f>
        <v>10.5</v>
      </c>
      <c r="F7" s="4" t="n">
        <f aca="false">Assumptions!F14</f>
        <v>10.6</v>
      </c>
      <c r="G7" s="4" t="n">
        <f aca="false">Assumptions!G14</f>
        <v>10.7</v>
      </c>
      <c r="H7" s="4" t="n">
        <f aca="false">Assumptions!H14</f>
        <v>10.8</v>
      </c>
      <c r="I7" s="4" t="n">
        <f aca="false">Assumptions!I14</f>
        <v>10.8</v>
      </c>
      <c r="J7" s="4" t="n">
        <f aca="false">Assumptions!J14</f>
        <v>10.8</v>
      </c>
      <c r="K7" s="4" t="n">
        <f aca="false">Assumptions!K14</f>
        <v>10.8</v>
      </c>
      <c r="L7" s="4" t="n">
        <f aca="false">Assumptions!L14</f>
        <v>10.8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52122.552832</v>
      </c>
      <c r="D8" s="0" t="n">
        <f aca="false">D6*D7/100</f>
        <v>48836.97048384</v>
      </c>
      <c r="E8" s="0" t="n">
        <f aca="false">E6*E7/100</f>
        <v>49101.888012408</v>
      </c>
      <c r="F8" s="0" t="n">
        <f aca="false">F6*F7/100</f>
        <v>50808.763167125</v>
      </c>
      <c r="G8" s="0" t="n">
        <f aca="false">G6*G7/100</f>
        <v>52570.2933995702</v>
      </c>
      <c r="H8" s="0" t="n">
        <f aca="false">H6*H7/100</f>
        <v>54388.1446666581</v>
      </c>
      <c r="I8" s="0" t="n">
        <f aca="false">I6*I7/100</f>
        <v>55475.9075599913</v>
      </c>
      <c r="J8" s="0" t="n">
        <f aca="false">J6*J7/100</f>
        <v>56585.4257111911</v>
      </c>
      <c r="K8" s="0" t="n">
        <f aca="false">K6*K7/100</f>
        <v>57717.1342254149</v>
      </c>
      <c r="L8" s="0" t="n">
        <f aca="false">L6*L7/100</f>
        <v>58582.8912387961</v>
      </c>
    </row>
    <row r="9" customFormat="false" ht="15" hidden="false" customHeight="false" outlineLevel="0" collapsed="false">
      <c r="A9" s="0" t="s">
        <v>94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-930.759872</v>
      </c>
      <c r="D10" s="0" t="n">
        <f aca="false">-D6*D9/100</f>
        <v>-921.45227328</v>
      </c>
      <c r="E10" s="0" t="n">
        <f aca="false">-E6*E9/100</f>
        <v>-935.2740573792</v>
      </c>
      <c r="F10" s="0" t="n">
        <f aca="false">-F6*F9/100</f>
        <v>-958.65590881368</v>
      </c>
      <c r="G10" s="0" t="n">
        <f aca="false">-G6*G9/100</f>
        <v>-982.622306534022</v>
      </c>
      <c r="H10" s="0" t="n">
        <f aca="false">-H6*H9/100</f>
        <v>-1007.18786419737</v>
      </c>
      <c r="I10" s="0" t="n">
        <f aca="false">-I6*I9/100</f>
        <v>-1027.33162148132</v>
      </c>
      <c r="J10" s="0" t="n">
        <f aca="false">-J6*J9/100</f>
        <v>-1047.87825391095</v>
      </c>
      <c r="K10" s="0" t="n">
        <f aca="false">-K6*K9/100</f>
        <v>-1068.83581898917</v>
      </c>
      <c r="L10" s="0" t="n">
        <f aca="false">-L6*L9/100</f>
        <v>-1084.868356274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49562.963184</v>
      </c>
      <c r="D11" s="0" t="n">
        <f aca="false">D8+D10+D24</f>
        <v>46302.97673232</v>
      </c>
      <c r="E11" s="0" t="n">
        <f aca="false">E8+E10+E24</f>
        <v>46529.8843546152</v>
      </c>
      <c r="F11" s="0" t="n">
        <f aca="false">F8+F10+F24</f>
        <v>48172.4594178874</v>
      </c>
      <c r="G11" s="0" t="n">
        <f aca="false">G8+G10+G24</f>
        <v>49868.0820566016</v>
      </c>
      <c r="H11" s="0" t="n">
        <f aca="false">H8+H10+H24</f>
        <v>51618.3780401153</v>
      </c>
      <c r="I11" s="0" t="n">
        <f aca="false">I8+I10+I24</f>
        <v>52650.7456009176</v>
      </c>
      <c r="J11" s="0" t="n">
        <f aca="false">J8+J10+J24</f>
        <v>53703.760512936</v>
      </c>
      <c r="K11" s="0" t="n">
        <f aca="false">K8+K10+K24</f>
        <v>54777.8357231947</v>
      </c>
      <c r="L11" s="0" t="n">
        <f aca="false">L8+L10+L24</f>
        <v>55599.5032590426</v>
      </c>
    </row>
    <row r="12" customFormat="false" ht="15" hidden="false" customHeight="false" outlineLevel="0" collapsed="false">
      <c r="A12" s="0" t="s">
        <v>111</v>
      </c>
      <c r="C12" s="4" t="n">
        <f aca="false">-C6*Assumptions!C17/100</f>
        <v>-8004.5348992</v>
      </c>
      <c r="D12" s="4" t="n">
        <f aca="false">-D6*Assumptions!D17/100</f>
        <v>-8108.780004864</v>
      </c>
      <c r="E12" s="4" t="n">
        <f aca="false">-E6*Assumptions!E17/100</f>
        <v>-8417.4665164128</v>
      </c>
      <c r="F12" s="4" t="n">
        <f aca="false">-F6*Assumptions!F17/100</f>
        <v>-8723.76877020449</v>
      </c>
      <c r="G12" s="4" t="n">
        <f aca="false">-G6*Assumptions!G17/100</f>
        <v>-9040.125220113</v>
      </c>
      <c r="H12" s="4" t="n">
        <f aca="false">-H6*Assumptions!H17/100</f>
        <v>-9366.84713703556</v>
      </c>
      <c r="I12" s="4" t="n">
        <f aca="false">-I6*Assumptions!I17/100</f>
        <v>-9656.9172419244</v>
      </c>
      <c r="J12" s="4" t="n">
        <f aca="false">-J6*Assumptions!J17/100</f>
        <v>-9954.84341215399</v>
      </c>
      <c r="K12" s="4" t="n">
        <f aca="false">-K6*Assumptions!K17/100</f>
        <v>-10153.9402803971</v>
      </c>
      <c r="L12" s="4" t="n">
        <f aca="false">-L6*Assumptions!L17/100</f>
        <v>-10306.249384603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41558.4282848</v>
      </c>
      <c r="D13" s="0" t="n">
        <f aca="false">D11+D12</f>
        <v>38194.196727456</v>
      </c>
      <c r="E13" s="0" t="n">
        <f aca="false">E11+E12</f>
        <v>38112.4178382024</v>
      </c>
      <c r="F13" s="0" t="n">
        <f aca="false">F11+F12</f>
        <v>39448.6906476829</v>
      </c>
      <c r="G13" s="0" t="n">
        <f aca="false">G11+G12</f>
        <v>40827.9568364886</v>
      </c>
      <c r="H13" s="0" t="n">
        <f aca="false">H11+H12</f>
        <v>42251.5309030798</v>
      </c>
      <c r="I13" s="0" t="n">
        <f aca="false">I11+I12</f>
        <v>42993.8283589932</v>
      </c>
      <c r="J13" s="0" t="n">
        <f aca="false">J11+J12</f>
        <v>43748.917100782</v>
      </c>
      <c r="K13" s="0" t="n">
        <f aca="false">K11+K12</f>
        <v>44623.8954427977</v>
      </c>
      <c r="L13" s="0" t="n">
        <f aca="false">L11+L12</f>
        <v>45293.2538744396</v>
      </c>
    </row>
    <row r="14" customFormat="false" ht="15" hidden="false" customHeight="false" outlineLevel="0" collapsed="false">
      <c r="A14" s="0" t="s">
        <v>98</v>
      </c>
      <c r="C14" s="4" t="n">
        <f aca="false">Assumptions!C19</f>
        <v>16.5</v>
      </c>
      <c r="D14" s="4" t="n">
        <f aca="false">Assumptions!D19</f>
        <v>17</v>
      </c>
      <c r="E14" s="4" t="n">
        <f aca="false">Assumptions!E19</f>
        <v>17.5</v>
      </c>
      <c r="F14" s="4" t="n">
        <f aca="false">Assumptions!F19</f>
        <v>18</v>
      </c>
      <c r="G14" s="4" t="n">
        <f aca="false">Assumptions!G19</f>
        <v>18.5</v>
      </c>
      <c r="H14" s="4" t="n">
        <f aca="false">Assumptions!H19</f>
        <v>18.5</v>
      </c>
      <c r="I14" s="4" t="n">
        <f aca="false">Assumptions!I19</f>
        <v>18.5</v>
      </c>
      <c r="J14" s="4" t="n">
        <f aca="false">Assumptions!J19</f>
        <v>18.5</v>
      </c>
      <c r="K14" s="4" t="n">
        <f aca="false">Assumptions!K19</f>
        <v>18.5</v>
      </c>
      <c r="L14" s="4" t="n">
        <f aca="false">Assumptions!L19</f>
        <v>18.5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34701.287617808</v>
      </c>
      <c r="D15" s="0" t="n">
        <f aca="false">D13-MAX(0,D13)*D14/100</f>
        <v>31701.1832837885</v>
      </c>
      <c r="E15" s="0" t="n">
        <f aca="false">E13-MAX(0,E13)*E14/100</f>
        <v>31442.744716517</v>
      </c>
      <c r="F15" s="0" t="n">
        <f aca="false">F13-MAX(0,F13)*F14/100</f>
        <v>32347.9263311</v>
      </c>
      <c r="G15" s="0" t="n">
        <f aca="false">G13-MAX(0,G13)*G14/100</f>
        <v>33274.7848217382</v>
      </c>
      <c r="H15" s="0" t="n">
        <f aca="false">H13-MAX(0,H13)*H14/100</f>
        <v>34434.99768601</v>
      </c>
      <c r="I15" s="0" t="n">
        <f aca="false">I13-MAX(0,I13)*I14/100</f>
        <v>35039.9701125795</v>
      </c>
      <c r="J15" s="0" t="n">
        <f aca="false">J13-MAX(0,J13)*J14/100</f>
        <v>35655.3674371373</v>
      </c>
      <c r="K15" s="0" t="n">
        <f aca="false">K13-MAX(0,K13)*K14/100</f>
        <v>36368.4747858801</v>
      </c>
      <c r="L15" s="0" t="n">
        <f aca="false">L13-MAX(0,L13)*L14/100</f>
        <v>36914.0019076683</v>
      </c>
    </row>
    <row r="16" customFormat="false" ht="15" hidden="false" customHeight="false" outlineLevel="0" collapsed="false">
      <c r="A16" s="0" t="s">
        <v>114</v>
      </c>
      <c r="C16" s="0" t="n">
        <f aca="false">-C12</f>
        <v>8004.5348992</v>
      </c>
      <c r="D16" s="0" t="n">
        <f aca="false">-D12</f>
        <v>8108.780004864</v>
      </c>
      <c r="E16" s="0" t="n">
        <f aca="false">-E12</f>
        <v>8417.4665164128</v>
      </c>
      <c r="F16" s="0" t="n">
        <f aca="false">-F12</f>
        <v>8723.76877020449</v>
      </c>
      <c r="G16" s="0" t="n">
        <f aca="false">-G12</f>
        <v>9040.125220113</v>
      </c>
      <c r="H16" s="0" t="n">
        <f aca="false">-H12</f>
        <v>9366.84713703556</v>
      </c>
      <c r="I16" s="0" t="n">
        <f aca="false">-I12</f>
        <v>9656.9172419244</v>
      </c>
      <c r="J16" s="0" t="n">
        <f aca="false">-J12</f>
        <v>9954.84341215399</v>
      </c>
      <c r="K16" s="0" t="n">
        <f aca="false">-K12</f>
        <v>10153.9402803971</v>
      </c>
      <c r="L16" s="0" t="n">
        <f aca="false">-L12</f>
        <v>10306.249384603</v>
      </c>
    </row>
    <row r="17" customFormat="false" ht="15" hidden="false" customHeight="false" outlineLevel="0" collapsed="false">
      <c r="A17" s="0" t="s">
        <v>115</v>
      </c>
      <c r="C17" s="4" t="n">
        <f aca="false">-C6*Assumptions!C18/100</f>
        <v>-11169.118464</v>
      </c>
      <c r="D17" s="4" t="n">
        <f aca="false">-D6*Assumptions!D18/100</f>
        <v>-10596.70114272</v>
      </c>
      <c r="E17" s="4" t="n">
        <f aca="false">-E6*Assumptions!E18/100</f>
        <v>-10288.0146311712</v>
      </c>
      <c r="F17" s="4" t="n">
        <f aca="false">-F6*Assumptions!F18/100</f>
        <v>-10065.8870425436</v>
      </c>
      <c r="G17" s="4" t="n">
        <f aca="false">-G6*Assumptions!G18/100</f>
        <v>-9826.22306534022</v>
      </c>
      <c r="H17" s="4" t="n">
        <f aca="false">-H6*Assumptions!H18/100</f>
        <v>-10071.8786419737</v>
      </c>
      <c r="I17" s="4" t="n">
        <f aca="false">-I6*Assumptions!I18/100</f>
        <v>-10273.3162148132</v>
      </c>
      <c r="J17" s="4" t="n">
        <f aca="false">-J6*Assumptions!J18/100</f>
        <v>-10478.7825391095</v>
      </c>
      <c r="K17" s="4" t="n">
        <f aca="false">-K6*Assumptions!K18/100</f>
        <v>-10688.3581898917</v>
      </c>
      <c r="L17" s="4" t="n">
        <f aca="false">-L6*Assumptions!L18/100</f>
        <v>-10848.68356274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(C6-B6)*Assumptions!$B$23/100</f>
        <v>687.753599999996</v>
      </c>
      <c r="D18" s="4" t="n">
        <f aca="false">(D6-C6)*Assumptions!$B$23/100</f>
        <v>-465.379936</v>
      </c>
      <c r="E18" s="4" t="n">
        <f aca="false">(E6-D6)*Assumptions!$B$23/100</f>
        <v>691.089204959996</v>
      </c>
      <c r="F18" s="4" t="n">
        <f aca="false">(F6-E6)*Assumptions!$B$23/100</f>
        <v>1169.092571724</v>
      </c>
      <c r="G18" s="4" t="n">
        <f aca="false">(G6-F6)*Assumptions!$B$23/100</f>
        <v>1198.3198860171</v>
      </c>
      <c r="H18" s="4" t="n">
        <f aca="false">(H6-G6)*Assumptions!$B$23/100</f>
        <v>1228.27788316752</v>
      </c>
      <c r="I18" s="4" t="n">
        <f aca="false">(I6-H6)*Assumptions!$B$23/100</f>
        <v>1007.18786419737</v>
      </c>
      <c r="J18" s="4" t="n">
        <f aca="false">(J6-I6)*Assumptions!$B$23/100</f>
        <v>1027.33162148132</v>
      </c>
      <c r="K18" s="4" t="n">
        <f aca="false">(K6-J6)*Assumptions!$B$23/100</f>
        <v>1047.87825391095</v>
      </c>
      <c r="L18" s="4" t="n">
        <f aca="false">(L6-K6)*Assumptions!$B$23/100</f>
        <v>801.626864241867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32224.457653008</v>
      </c>
      <c r="D19" s="0" t="n">
        <f aca="false">D15+D16+D17+D18</f>
        <v>28747.8822099325</v>
      </c>
      <c r="E19" s="0" t="n">
        <f aca="false">E15+E16+E17+E18</f>
        <v>30263.2858067186</v>
      </c>
      <c r="F19" s="0" t="n">
        <f aca="false">F15+F16+F17+F18</f>
        <v>32174.9006304848</v>
      </c>
      <c r="G19" s="0" t="n">
        <f aca="false">G15+G16+G17+G18</f>
        <v>33687.0068625281</v>
      </c>
      <c r="H19" s="0" t="n">
        <f aca="false">H15+H16+H17+H18</f>
        <v>34958.2440642394</v>
      </c>
      <c r="I19" s="0" t="n">
        <f aca="false">I15+I16+I17+I18</f>
        <v>35430.7590038881</v>
      </c>
      <c r="J19" s="0" t="n">
        <f aca="false">J15+J16+J17+J18</f>
        <v>36158.7599316632</v>
      </c>
      <c r="K19" s="0" t="n">
        <f aca="false">K15+K16+K17+K18</f>
        <v>36881.9351302965</v>
      </c>
      <c r="L19" s="0" t="n">
        <f aca="false">L15+L16+L17+L18</f>
        <v>37173.1945937731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29699.9609705143</v>
      </c>
      <c r="D21" s="0" t="n">
        <f aca="false">D19*D20</f>
        <v>24420.0405274544</v>
      </c>
      <c r="E21" s="0" t="n">
        <f aca="false">E19*E20</f>
        <v>23693.3715432037</v>
      </c>
      <c r="F21" s="0" t="n">
        <f aca="false">F19*F20</f>
        <v>23216.5808938346</v>
      </c>
      <c r="G21" s="0" t="n">
        <f aca="false">G19*G20</f>
        <v>22403.3897382104</v>
      </c>
      <c r="H21" s="0" t="n">
        <f aca="false">H19*H20</f>
        <v>21427.4840747673</v>
      </c>
      <c r="I21" s="0" t="n">
        <f aca="false">I19*I20</f>
        <v>20015.7693891748</v>
      </c>
      <c r="J21" s="0" t="n">
        <f aca="false">J19*J20</f>
        <v>18826.7615637438</v>
      </c>
      <c r="K21" s="0" t="n">
        <f aca="false">K19*K20</f>
        <v>17698.8910553167</v>
      </c>
      <c r="L21" s="0" t="n">
        <f aca="false">L19*L20</f>
        <v>16441.1617991542</v>
      </c>
    </row>
    <row r="23" customFormat="false" ht="15" hidden="false" customHeight="false" outlineLevel="0" collapsed="false">
      <c r="A23" s="0" t="s">
        <v>95</v>
      </c>
      <c r="C23" s="4" t="n">
        <f aca="false">Assumptions!C16</f>
        <v>0.35</v>
      </c>
      <c r="D23" s="4" t="n">
        <f aca="false">Assumptions!D16</f>
        <v>0.35</v>
      </c>
      <c r="E23" s="4" t="n">
        <f aca="false">Assumptions!E16</f>
        <v>0.35</v>
      </c>
      <c r="F23" s="4" t="n">
        <f aca="false">Assumptions!F16</f>
        <v>0.35</v>
      </c>
      <c r="G23" s="4" t="n">
        <f aca="false">Assumptions!G16</f>
        <v>0.35</v>
      </c>
      <c r="H23" s="4" t="n">
        <f aca="false">Assumptions!H16</f>
        <v>0.35</v>
      </c>
      <c r="I23" s="4" t="n">
        <f aca="false">Assumptions!I16</f>
        <v>0.35</v>
      </c>
      <c r="J23" s="4" t="n">
        <f aca="false">Assumptions!J16</f>
        <v>0.35</v>
      </c>
      <c r="K23" s="4" t="n">
        <f aca="false">Assumptions!K16</f>
        <v>0.35</v>
      </c>
      <c r="L23" s="4" t="n">
        <f aca="false">Assumptions!L16</f>
        <v>0.35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-1628.829776</v>
      </c>
      <c r="D24" s="0" t="n">
        <f aca="false">-D6*D23/100</f>
        <v>-1612.54147824</v>
      </c>
      <c r="E24" s="0" t="n">
        <f aca="false">-E6*E23/100</f>
        <v>-1636.7296004136</v>
      </c>
      <c r="F24" s="0" t="n">
        <f aca="false">-F6*F23/100</f>
        <v>-1677.64784042394</v>
      </c>
      <c r="G24" s="0" t="n">
        <f aca="false">-G6*G23/100</f>
        <v>-1719.58903643454</v>
      </c>
      <c r="H24" s="0" t="n">
        <f aca="false">-H6*H23/100</f>
        <v>-1762.5787623454</v>
      </c>
      <c r="I24" s="0" t="n">
        <f aca="false">-I6*I23/100</f>
        <v>-1797.83033759231</v>
      </c>
      <c r="J24" s="0" t="n">
        <f aca="false">-J6*J23/100</f>
        <v>-1833.78694434416</v>
      </c>
      <c r="K24" s="0" t="n">
        <f aca="false">-K6*K23/100</f>
        <v>-1870.46268323104</v>
      </c>
      <c r="L24" s="0" t="n">
        <f aca="false">-L6*L23/100</f>
        <v>-1898.5196234795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101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217843.411555374</v>
      </c>
    </row>
    <row r="31" customFormat="false" ht="15" hidden="false" customHeight="false" outlineLevel="0" collapsed="false">
      <c r="A31" s="0" t="s">
        <v>123</v>
      </c>
      <c r="B31" s="0" t="n">
        <f aca="false">L19</f>
        <v>37173.1945937731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539011.32160971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408905.140531504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408905.140531504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180852.779790696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398696.191346071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576074.991346071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89.8906650948247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-0.0401423908721332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6454.08904723832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6957.4110426181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91.9833937865868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279487.351945776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64.1623452302396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107</v>
      </c>
      <c r="B3" s="0" t="s">
        <v>68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Assumptions!C27</f>
        <v>4</v>
      </c>
      <c r="D5" s="4" t="n">
        <f aca="false">Assumptions!D27</f>
        <v>4.5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458502.4</v>
      </c>
      <c r="C6" s="0" t="n">
        <f aca="false">B6*(1+C5/100)</f>
        <v>476842.496</v>
      </c>
      <c r="D6" s="0" t="n">
        <f aca="false">C6*(1+D5/100)</f>
        <v>498300.40832</v>
      </c>
      <c r="E6" s="0" t="n">
        <f aca="false">D6*(1+E5/100)</f>
        <v>523215.428736</v>
      </c>
      <c r="F6" s="0" t="n">
        <f aca="false">E6*(1+F5/100)</f>
        <v>549376.2001728</v>
      </c>
      <c r="G6" s="0" t="n">
        <f aca="false">F6*(1+G5/100)</f>
        <v>574098.129180576</v>
      </c>
      <c r="H6" s="0" t="n">
        <f aca="false">G6*(1+H5/100)</f>
        <v>597062.054347799</v>
      </c>
      <c r="I6" s="0" t="n">
        <f aca="false">H6*(1+I5/100)</f>
        <v>617959.226249972</v>
      </c>
      <c r="J6" s="0" t="n">
        <f aca="false">I6*(1+J5/100)</f>
        <v>636498.003037471</v>
      </c>
      <c r="K6" s="0" t="n">
        <f aca="false">J6*(1+K5/100)</f>
        <v>652410.453113408</v>
      </c>
      <c r="L6" s="0" t="n">
        <f aca="false">K6*(1+L5/100)</f>
        <v>668720.714441243</v>
      </c>
    </row>
    <row r="7" customFormat="false" ht="15" hidden="false" customHeight="false" outlineLevel="0" collapsed="false">
      <c r="A7" s="0" t="s">
        <v>93</v>
      </c>
      <c r="C7" s="4" t="n">
        <f aca="false">Assumptions!C28</f>
        <v>11.8</v>
      </c>
      <c r="D7" s="4" t="n">
        <f aca="false">Assumptions!D28</f>
        <v>11.9</v>
      </c>
      <c r="E7" s="4" t="n">
        <f aca="false">Assumptions!E28</f>
        <v>12</v>
      </c>
      <c r="F7" s="4" t="n">
        <f aca="false">Assumptions!F28</f>
        <v>12.1</v>
      </c>
      <c r="G7" s="4" t="n">
        <f aca="false">Assumptions!G28</f>
        <v>12.2</v>
      </c>
      <c r="H7" s="4" t="n">
        <f aca="false">Assumptions!H28</f>
        <v>12.3</v>
      </c>
      <c r="I7" s="4" t="n">
        <f aca="false">Assumptions!I28</f>
        <v>12.3</v>
      </c>
      <c r="J7" s="4" t="n">
        <f aca="false">Assumptions!J28</f>
        <v>12.3</v>
      </c>
      <c r="K7" s="4" t="n">
        <f aca="false">Assumptions!K28</f>
        <v>12.3</v>
      </c>
      <c r="L7" s="4" t="n">
        <f aca="false">Assumptions!L28</f>
        <v>12.3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56267.414528</v>
      </c>
      <c r="D8" s="0" t="n">
        <f aca="false">D6*D7/100</f>
        <v>59297.74859008</v>
      </c>
      <c r="E8" s="0" t="n">
        <f aca="false">E6*E7/100</f>
        <v>62785.85144832</v>
      </c>
      <c r="F8" s="0" t="n">
        <f aca="false">F6*F7/100</f>
        <v>66474.5202209088</v>
      </c>
      <c r="G8" s="0" t="n">
        <f aca="false">G6*G7/100</f>
        <v>70039.9717600303</v>
      </c>
      <c r="H8" s="0" t="n">
        <f aca="false">H6*H7/100</f>
        <v>73438.6326847793</v>
      </c>
      <c r="I8" s="0" t="n">
        <f aca="false">I6*I7/100</f>
        <v>76008.9848287466</v>
      </c>
      <c r="J8" s="0" t="n">
        <f aca="false">J6*J7/100</f>
        <v>78289.254373609</v>
      </c>
      <c r="K8" s="0" t="n">
        <f aca="false">K6*K7/100</f>
        <v>80246.4857329492</v>
      </c>
      <c r="L8" s="0" t="n">
        <f aca="false">L6*L7/100</f>
        <v>82252.6478762729</v>
      </c>
    </row>
    <row r="9" customFormat="false" ht="15" hidden="false" customHeight="false" outlineLevel="0" collapsed="false">
      <c r="A9" s="0" t="s">
        <v>94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-953.684992</v>
      </c>
      <c r="D10" s="0" t="n">
        <f aca="false">-D6*D9/100</f>
        <v>-996.60081664</v>
      </c>
      <c r="E10" s="0" t="n">
        <f aca="false">-E6*E9/100</f>
        <v>-1046.430857472</v>
      </c>
      <c r="F10" s="0" t="n">
        <f aca="false">-F6*F9/100</f>
        <v>-1098.7524003456</v>
      </c>
      <c r="G10" s="0" t="n">
        <f aca="false">-G6*G9/100</f>
        <v>-1148.19625836115</v>
      </c>
      <c r="H10" s="0" t="n">
        <f aca="false">-H6*H9/100</f>
        <v>-1194.1241086956</v>
      </c>
      <c r="I10" s="0" t="n">
        <f aca="false">-I6*I9/100</f>
        <v>-1235.91845249994</v>
      </c>
      <c r="J10" s="0" t="n">
        <f aca="false">-J6*J9/100</f>
        <v>-1272.99600607494</v>
      </c>
      <c r="K10" s="0" t="n">
        <f aca="false">-K6*K9/100</f>
        <v>-1304.82090622682</v>
      </c>
      <c r="L10" s="0" t="n">
        <f aca="false">-L6*L9/100</f>
        <v>-1337.44142888249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53644.7808</v>
      </c>
      <c r="D11" s="0" t="n">
        <f aca="false">D8+D10+D24</f>
        <v>56557.09634432</v>
      </c>
      <c r="E11" s="0" t="n">
        <f aca="false">E8+E10+E24</f>
        <v>59908.166590272</v>
      </c>
      <c r="F11" s="0" t="n">
        <f aca="false">F8+F10+F24</f>
        <v>63452.9511199584</v>
      </c>
      <c r="G11" s="0" t="n">
        <f aca="false">G8+G10+G24</f>
        <v>66882.4320495371</v>
      </c>
      <c r="H11" s="0" t="n">
        <f aca="false">H8+H10+H24</f>
        <v>70154.7913858664</v>
      </c>
      <c r="I11" s="0" t="n">
        <f aca="false">I8+I10+I24</f>
        <v>72610.2090843718</v>
      </c>
      <c r="J11" s="0" t="n">
        <f aca="false">J8+J10+J24</f>
        <v>74788.5153569029</v>
      </c>
      <c r="K11" s="0" t="n">
        <f aca="false">K8+K10+K24</f>
        <v>76658.2282408255</v>
      </c>
      <c r="L11" s="0" t="n">
        <f aca="false">L8+L10+L24</f>
        <v>78574.6839468461</v>
      </c>
    </row>
    <row r="12" customFormat="false" ht="15" hidden="false" customHeight="false" outlineLevel="0" collapsed="false">
      <c r="A12" s="0" t="s">
        <v>111</v>
      </c>
      <c r="C12" s="4" t="n">
        <f aca="false">-C6*Assumptions!C31/100</f>
        <v>-8201.6909312</v>
      </c>
      <c r="D12" s="4" t="n">
        <f aca="false">-D6*Assumptions!D31/100</f>
        <v>-8720.2571456</v>
      </c>
      <c r="E12" s="4" t="n">
        <f aca="false">-E6*Assumptions!E31/100</f>
        <v>-9313.2346315008</v>
      </c>
      <c r="F12" s="4" t="n">
        <f aca="false">-F6*Assumptions!F31/100</f>
        <v>-9888.7716031104</v>
      </c>
      <c r="G12" s="4" t="n">
        <f aca="false">-G6*Assumptions!G31/100</f>
        <v>-10448.5859510865</v>
      </c>
      <c r="H12" s="4" t="n">
        <f aca="false">-H6*Assumptions!H31/100</f>
        <v>-10985.9417999995</v>
      </c>
      <c r="I12" s="4" t="n">
        <f aca="false">-I6*Assumptions!I31/100</f>
        <v>-11494.0416082495</v>
      </c>
      <c r="J12" s="4" t="n">
        <f aca="false">-J6*Assumptions!J31/100</f>
        <v>-11966.1624571045</v>
      </c>
      <c r="K12" s="4" t="n">
        <f aca="false">-K6*Assumptions!K31/100</f>
        <v>-12395.7986091548</v>
      </c>
      <c r="L12" s="4" t="n">
        <f aca="false">-L6*Assumptions!L31/100</f>
        <v>-12705.6935743836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45443.0898688</v>
      </c>
      <c r="D13" s="0" t="n">
        <f aca="false">D11+D12</f>
        <v>47836.83919872</v>
      </c>
      <c r="E13" s="0" t="n">
        <f aca="false">E11+E12</f>
        <v>50594.9319587712</v>
      </c>
      <c r="F13" s="0" t="n">
        <f aca="false">F11+F12</f>
        <v>53564.179516848</v>
      </c>
      <c r="G13" s="0" t="n">
        <f aca="false">G11+G12</f>
        <v>56433.8460984506</v>
      </c>
      <c r="H13" s="0" t="n">
        <f aca="false">H11+H12</f>
        <v>59168.8495858669</v>
      </c>
      <c r="I13" s="0" t="n">
        <f aca="false">I11+I12</f>
        <v>61116.1674761223</v>
      </c>
      <c r="J13" s="0" t="n">
        <f aca="false">J11+J12</f>
        <v>62822.3528997984</v>
      </c>
      <c r="K13" s="0" t="n">
        <f aca="false">K11+K12</f>
        <v>64262.4296316707</v>
      </c>
      <c r="L13" s="0" t="n">
        <f aca="false">L11+L12</f>
        <v>65868.9903724625</v>
      </c>
    </row>
    <row r="14" customFormat="false" ht="15" hidden="false" customHeight="false" outlineLevel="0" collapsed="false">
      <c r="A14" s="0" t="s">
        <v>98</v>
      </c>
      <c r="C14" s="4" t="n">
        <f aca="false">Assumptions!C33</f>
        <v>16.5</v>
      </c>
      <c r="D14" s="4" t="n">
        <f aca="false">Assumptions!D33</f>
        <v>16.75</v>
      </c>
      <c r="E14" s="4" t="n">
        <f aca="false">Assumptions!E33</f>
        <v>17</v>
      </c>
      <c r="F14" s="4" t="n">
        <f aca="false">Assumptions!F33</f>
        <v>17.25</v>
      </c>
      <c r="G14" s="4" t="n">
        <f aca="false">Assumptions!G33</f>
        <v>17.5</v>
      </c>
      <c r="H14" s="4" t="n">
        <f aca="false">Assumptions!H33</f>
        <v>17.5</v>
      </c>
      <c r="I14" s="4" t="n">
        <f aca="false">Assumptions!I33</f>
        <v>17.5</v>
      </c>
      <c r="J14" s="4" t="n">
        <f aca="false">Assumptions!J33</f>
        <v>17.5</v>
      </c>
      <c r="K14" s="4" t="n">
        <f aca="false">Assumptions!K33</f>
        <v>17.5</v>
      </c>
      <c r="L14" s="4" t="n">
        <f aca="false">Assumptions!L33</f>
        <v>17.5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37944.980040448</v>
      </c>
      <c r="D15" s="0" t="n">
        <f aca="false">D13-MAX(0,D13)*D14/100</f>
        <v>39824.1686329344</v>
      </c>
      <c r="E15" s="0" t="n">
        <f aca="false">E13-MAX(0,E13)*E14/100</f>
        <v>41993.7935257801</v>
      </c>
      <c r="F15" s="0" t="n">
        <f aca="false">F13-MAX(0,F13)*F14/100</f>
        <v>44324.3585501917</v>
      </c>
      <c r="G15" s="0" t="n">
        <f aca="false">G13-MAX(0,G13)*G14/100</f>
        <v>46557.9230312218</v>
      </c>
      <c r="H15" s="0" t="n">
        <f aca="false">H13-MAX(0,H13)*H14/100</f>
        <v>48814.3009083402</v>
      </c>
      <c r="I15" s="0" t="n">
        <f aca="false">I13-MAX(0,I13)*I14/100</f>
        <v>50420.8381678009</v>
      </c>
      <c r="J15" s="0" t="n">
        <f aca="false">J13-MAX(0,J13)*J14/100</f>
        <v>51828.4411423337</v>
      </c>
      <c r="K15" s="0" t="n">
        <f aca="false">K13-MAX(0,K13)*K14/100</f>
        <v>53016.5044461283</v>
      </c>
      <c r="L15" s="0" t="n">
        <f aca="false">L13-MAX(0,L13)*L14/100</f>
        <v>54341.9170572815</v>
      </c>
    </row>
    <row r="16" customFormat="false" ht="15" hidden="false" customHeight="false" outlineLevel="0" collapsed="false">
      <c r="A16" s="0" t="s">
        <v>114</v>
      </c>
      <c r="C16" s="0" t="n">
        <f aca="false">-C12</f>
        <v>8201.6909312</v>
      </c>
      <c r="D16" s="0" t="n">
        <f aca="false">-D12</f>
        <v>8720.2571456</v>
      </c>
      <c r="E16" s="0" t="n">
        <f aca="false">-E12</f>
        <v>9313.2346315008</v>
      </c>
      <c r="F16" s="0" t="n">
        <f aca="false">-F12</f>
        <v>9888.7716031104</v>
      </c>
      <c r="G16" s="0" t="n">
        <f aca="false">-G12</f>
        <v>10448.5859510865</v>
      </c>
      <c r="H16" s="0" t="n">
        <f aca="false">-H12</f>
        <v>10985.9417999995</v>
      </c>
      <c r="I16" s="0" t="n">
        <f aca="false">-I12</f>
        <v>11494.0416082495</v>
      </c>
      <c r="J16" s="0" t="n">
        <f aca="false">-J12</f>
        <v>11966.1624571045</v>
      </c>
      <c r="K16" s="0" t="n">
        <f aca="false">-K12</f>
        <v>12395.7986091548</v>
      </c>
      <c r="L16" s="0" t="n">
        <f aca="false">-L12</f>
        <v>12705.6935743836</v>
      </c>
    </row>
    <row r="17" customFormat="false" ht="15" hidden="false" customHeight="false" outlineLevel="0" collapsed="false">
      <c r="A17" s="0" t="s">
        <v>115</v>
      </c>
      <c r="C17" s="4" t="n">
        <f aca="false">-C6*Assumptions!C32/100</f>
        <v>-11444.219904</v>
      </c>
      <c r="D17" s="4" t="n">
        <f aca="false">-D6*Assumptions!D32/100</f>
        <v>-11959.20979968</v>
      </c>
      <c r="E17" s="4" t="n">
        <f aca="false">-E6*Assumptions!E32/100</f>
        <v>-12033.954860928</v>
      </c>
      <c r="F17" s="4" t="n">
        <f aca="false">-F6*Assumptions!F32/100</f>
        <v>-12635.6526039744</v>
      </c>
      <c r="G17" s="4" t="n">
        <f aca="false">-G6*Assumptions!G32/100</f>
        <v>-12630.1588419727</v>
      </c>
      <c r="H17" s="4" t="n">
        <f aca="false">-H6*Assumptions!H32/100</f>
        <v>-13135.3651956516</v>
      </c>
      <c r="I17" s="4" t="n">
        <f aca="false">-I6*Assumptions!I32/100</f>
        <v>-12977.1437512494</v>
      </c>
      <c r="J17" s="4" t="n">
        <f aca="false">-J6*Assumptions!J32/100</f>
        <v>-13366.4580637869</v>
      </c>
      <c r="K17" s="4" t="n">
        <f aca="false">-K6*Assumptions!K32/100</f>
        <v>-13048.2090622682</v>
      </c>
      <c r="L17" s="4" t="n">
        <f aca="false">-L6*Assumptions!L32/100</f>
        <v>-13374.4142888249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(C6-B6)*Assumptions!$B$37/100</f>
        <v>1834.0096</v>
      </c>
      <c r="D18" s="4" t="n">
        <f aca="false">(D6-C6)*Assumptions!$B$37/100</f>
        <v>2145.79123199999</v>
      </c>
      <c r="E18" s="4" t="n">
        <f aca="false">(E6-D6)*Assumptions!$B$37/100</f>
        <v>2491.5020416</v>
      </c>
      <c r="F18" s="4" t="n">
        <f aca="false">(F6-E6)*Assumptions!$B$37/100</f>
        <v>2616.07714368001</v>
      </c>
      <c r="G18" s="4" t="n">
        <f aca="false">(G6-F6)*Assumptions!$B$37/100</f>
        <v>2472.1929007776</v>
      </c>
      <c r="H18" s="4" t="n">
        <f aca="false">(H6-G6)*Assumptions!$B$37/100</f>
        <v>2296.39251672231</v>
      </c>
      <c r="I18" s="4" t="n">
        <f aca="false">(I6-H6)*Assumptions!$B$37/100</f>
        <v>2089.7171902173</v>
      </c>
      <c r="J18" s="4" t="n">
        <f aca="false">(J6-I6)*Assumptions!$B$37/100</f>
        <v>1853.87767874992</v>
      </c>
      <c r="K18" s="4" t="n">
        <f aca="false">(K6-J6)*Assumptions!$B$37/100</f>
        <v>1591.24500759367</v>
      </c>
      <c r="L18" s="4" t="n">
        <f aca="false">(L6-K6)*Assumptions!$B$37/100</f>
        <v>1631.02613278351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36536.460667648</v>
      </c>
      <c r="D19" s="0" t="n">
        <f aca="false">D15+D16+D17+D18</f>
        <v>38731.0072108544</v>
      </c>
      <c r="E19" s="0" t="n">
        <f aca="false">E15+E16+E17+E18</f>
        <v>41764.5753379529</v>
      </c>
      <c r="F19" s="0" t="n">
        <f aca="false">F15+F16+F17+F18</f>
        <v>44193.5546930077</v>
      </c>
      <c r="G19" s="0" t="n">
        <f aca="false">G15+G16+G17+G18</f>
        <v>46848.5430411132</v>
      </c>
      <c r="H19" s="0" t="n">
        <f aca="false">H15+H16+H17+H18</f>
        <v>48961.2700294104</v>
      </c>
      <c r="I19" s="0" t="n">
        <f aca="false">I15+I16+I17+I18</f>
        <v>51027.4532150182</v>
      </c>
      <c r="J19" s="0" t="n">
        <f aca="false">J15+J16+J17+J18</f>
        <v>52282.0232144012</v>
      </c>
      <c r="K19" s="0" t="n">
        <f aca="false">K15+K16+K17+K18</f>
        <v>53955.3390006086</v>
      </c>
      <c r="L19" s="0" t="n">
        <f aca="false">L15+L16+L17+L18</f>
        <v>55304.2224756238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33674.1572973714</v>
      </c>
      <c r="D21" s="0" t="n">
        <f aca="false">D19*D20</f>
        <v>32900.2588382462</v>
      </c>
      <c r="E21" s="0" t="n">
        <f aca="false">E19*E20</f>
        <v>32697.8242596036</v>
      </c>
      <c r="F21" s="0" t="n">
        <f aca="false">F19*F20</f>
        <v>31888.9325968637</v>
      </c>
      <c r="G21" s="0" t="n">
        <f aca="false">G19*G20</f>
        <v>31156.4091372236</v>
      </c>
      <c r="H21" s="0" t="n">
        <f aca="false">H19*H20</f>
        <v>30010.5700935011</v>
      </c>
      <c r="I21" s="0" t="n">
        <f aca="false">I19*I20</f>
        <v>28826.7529339869</v>
      </c>
      <c r="J21" s="0" t="n">
        <f aca="false">J19*J20</f>
        <v>27221.6521525596</v>
      </c>
      <c r="K21" s="0" t="n">
        <f aca="false">K19*K20</f>
        <v>25892.0705611245</v>
      </c>
      <c r="L21" s="0" t="n">
        <f aca="false">L19*L20</f>
        <v>24460.2509909241</v>
      </c>
    </row>
    <row r="23" customFormat="false" ht="15" hidden="false" customHeight="false" outlineLevel="0" collapsed="false">
      <c r="A23" s="0" t="s">
        <v>95</v>
      </c>
      <c r="C23" s="4" t="n">
        <f aca="false">Assumptions!C30</f>
        <v>0.35</v>
      </c>
      <c r="D23" s="4" t="n">
        <f aca="false">Assumptions!D30</f>
        <v>0.35</v>
      </c>
      <c r="E23" s="4" t="n">
        <f aca="false">Assumptions!E30</f>
        <v>0.35</v>
      </c>
      <c r="F23" s="4" t="n">
        <f aca="false">Assumptions!F30</f>
        <v>0.35</v>
      </c>
      <c r="G23" s="4" t="n">
        <f aca="false">Assumptions!G30</f>
        <v>0.35</v>
      </c>
      <c r="H23" s="4" t="n">
        <f aca="false">Assumptions!H30</f>
        <v>0.35</v>
      </c>
      <c r="I23" s="4" t="n">
        <f aca="false">Assumptions!I30</f>
        <v>0.35</v>
      </c>
      <c r="J23" s="4" t="n">
        <f aca="false">Assumptions!J30</f>
        <v>0.35</v>
      </c>
      <c r="K23" s="4" t="n">
        <f aca="false">Assumptions!K30</f>
        <v>0.35</v>
      </c>
      <c r="L23" s="4" t="n">
        <f aca="false">Assumptions!L30</f>
        <v>0.35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-1668.948736</v>
      </c>
      <c r="D24" s="0" t="n">
        <f aca="false">-D6*D23/100</f>
        <v>-1744.05142912</v>
      </c>
      <c r="E24" s="0" t="n">
        <f aca="false">-E6*E23/100</f>
        <v>-1831.254000576</v>
      </c>
      <c r="F24" s="0" t="n">
        <f aca="false">-F6*F23/100</f>
        <v>-1922.8167006048</v>
      </c>
      <c r="G24" s="0" t="n">
        <f aca="false">-G6*G23/100</f>
        <v>-2009.34345213202</v>
      </c>
      <c r="H24" s="0" t="n">
        <f aca="false">-H6*H23/100</f>
        <v>-2089.7171902173</v>
      </c>
      <c r="I24" s="0" t="n">
        <f aca="false">-I6*I23/100</f>
        <v>-2162.8572918749</v>
      </c>
      <c r="J24" s="0" t="n">
        <f aca="false">-J6*J23/100</f>
        <v>-2227.74301063115</v>
      </c>
      <c r="K24" s="0" t="n">
        <f aca="false">-K6*K23/100</f>
        <v>-2283.43658589693</v>
      </c>
      <c r="L24" s="0" t="n">
        <f aca="false">-L6*L23/100</f>
        <v>-2340.52250054435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101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298728.878861405</v>
      </c>
    </row>
    <row r="31" customFormat="false" ht="15" hidden="false" customHeight="false" outlineLevel="0" collapsed="false">
      <c r="A31" s="0" t="s">
        <v>123</v>
      </c>
      <c r="B31" s="0" t="n">
        <f aca="false">L19</f>
        <v>55304.2224756238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867850.875771327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718954.892183109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718954.892183109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317983.262882013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616712.141743418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794090.941743418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123.909845022607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0.323116337667992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7411.86692058393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9282.48391092378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126.514829307838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433925.437885664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79.2940942651772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107</v>
      </c>
      <c r="B3" s="0" t="s">
        <v>68</v>
      </c>
      <c r="C3" s="2" t="s">
        <v>82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  <c r="J3" s="2" t="s">
        <v>89</v>
      </c>
      <c r="K3" s="2" t="s">
        <v>90</v>
      </c>
      <c r="L3" s="2" t="s">
        <v>91</v>
      </c>
    </row>
    <row r="4" customFormat="false" ht="15" hidden="false" customHeight="false" outlineLevel="0" collapsed="false">
      <c r="A4" s="0" t="s">
        <v>108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92</v>
      </c>
      <c r="C5" s="4" t="n">
        <f aca="false">Assumptions!C41</f>
        <v>5.5</v>
      </c>
      <c r="D5" s="4" t="n">
        <f aca="false">Assumptions!D41</f>
        <v>7</v>
      </c>
      <c r="E5" s="4" t="n">
        <f aca="false">Assumptions!E41</f>
        <v>7.5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458502.4</v>
      </c>
      <c r="C6" s="0" t="n">
        <f aca="false">B6*(1+C5/100)</f>
        <v>483720.032</v>
      </c>
      <c r="D6" s="0" t="n">
        <f aca="false">C6*(1+D5/100)</f>
        <v>517580.43424</v>
      </c>
      <c r="E6" s="0" t="n">
        <f aca="false">D6*(1+E5/100)</f>
        <v>556398.966808</v>
      </c>
      <c r="F6" s="0" t="n">
        <f aca="false">E6*(1+F5/100)</f>
        <v>598128.8893186</v>
      </c>
      <c r="G6" s="0" t="n">
        <f aca="false">F6*(1+G5/100)</f>
        <v>639997.911570902</v>
      </c>
      <c r="H6" s="0" t="n">
        <f aca="false">G6*(1+H5/100)</f>
        <v>678397.786265156</v>
      </c>
      <c r="I6" s="0" t="n">
        <f aca="false">H6*(1+I5/100)</f>
        <v>712317.675578414</v>
      </c>
      <c r="J6" s="0" t="n">
        <f aca="false">I6*(1+J5/100)</f>
        <v>740810.382601551</v>
      </c>
      <c r="K6" s="0" t="n">
        <f aca="false">J6*(1+K5/100)</f>
        <v>766738.745992605</v>
      </c>
      <c r="L6" s="0" t="n">
        <f aca="false">K6*(1+L5/100)</f>
        <v>789740.908372383</v>
      </c>
    </row>
    <row r="7" customFormat="false" ht="15" hidden="false" customHeight="false" outlineLevel="0" collapsed="false">
      <c r="A7" s="0" t="s">
        <v>93</v>
      </c>
      <c r="C7" s="4" t="n">
        <f aca="false">Assumptions!C42</f>
        <v>12</v>
      </c>
      <c r="D7" s="4" t="n">
        <f aca="false">Assumptions!D42</f>
        <v>12.2</v>
      </c>
      <c r="E7" s="4" t="n">
        <f aca="false">Assumptions!E42</f>
        <v>12.4</v>
      </c>
      <c r="F7" s="4" t="n">
        <f aca="false">Assumptions!F42</f>
        <v>12.6</v>
      </c>
      <c r="G7" s="4" t="n">
        <f aca="false">Assumptions!G42</f>
        <v>12.8</v>
      </c>
      <c r="H7" s="4" t="n">
        <f aca="false">Assumptions!H42</f>
        <v>13</v>
      </c>
      <c r="I7" s="4" t="n">
        <f aca="false">Assumptions!I42</f>
        <v>13</v>
      </c>
      <c r="J7" s="4" t="n">
        <f aca="false">Assumptions!J42</f>
        <v>13</v>
      </c>
      <c r="K7" s="4" t="n">
        <f aca="false">Assumptions!K42</f>
        <v>13</v>
      </c>
      <c r="L7" s="4" t="n">
        <f aca="false">Assumptions!L42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58046.40384</v>
      </c>
      <c r="D8" s="0" t="n">
        <f aca="false">D6*D7/100</f>
        <v>63144.81297728</v>
      </c>
      <c r="E8" s="0" t="n">
        <f aca="false">E6*E7/100</f>
        <v>68993.471884192</v>
      </c>
      <c r="F8" s="0" t="n">
        <f aca="false">F6*F7/100</f>
        <v>75364.2400541436</v>
      </c>
      <c r="G8" s="0" t="n">
        <f aca="false">G6*G7/100</f>
        <v>81919.7326810755</v>
      </c>
      <c r="H8" s="0" t="n">
        <f aca="false">H6*H7/100</f>
        <v>88191.7122144703</v>
      </c>
      <c r="I8" s="0" t="n">
        <f aca="false">I6*I7/100</f>
        <v>92601.2978251938</v>
      </c>
      <c r="J8" s="0" t="n">
        <f aca="false">J6*J7/100</f>
        <v>96305.3497382016</v>
      </c>
      <c r="K8" s="0" t="n">
        <f aca="false">K6*K7/100</f>
        <v>99676.0369790386</v>
      </c>
      <c r="L8" s="0" t="n">
        <f aca="false">L6*L7/100</f>
        <v>102666.31808841</v>
      </c>
    </row>
    <row r="9" customFormat="false" ht="15" hidden="false" customHeight="false" outlineLevel="0" collapsed="false">
      <c r="A9" s="0" t="s">
        <v>94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109</v>
      </c>
      <c r="C10" s="0" t="n">
        <f aca="false">-C6*C9/100</f>
        <v>-967.440064</v>
      </c>
      <c r="D10" s="0" t="n">
        <f aca="false">-D6*D9/100</f>
        <v>-1035.16086848</v>
      </c>
      <c r="E10" s="0" t="n">
        <f aca="false">-E6*E9/100</f>
        <v>-1112.797933616</v>
      </c>
      <c r="F10" s="0" t="n">
        <f aca="false">-F6*F9/100</f>
        <v>-1196.2577786372</v>
      </c>
      <c r="G10" s="0" t="n">
        <f aca="false">-G6*G9/100</f>
        <v>-1279.9958231418</v>
      </c>
      <c r="H10" s="0" t="n">
        <f aca="false">-H6*H9/100</f>
        <v>-1356.79557253031</v>
      </c>
      <c r="I10" s="0" t="n">
        <f aca="false">-I6*I9/100</f>
        <v>-1424.63535115683</v>
      </c>
      <c r="J10" s="0" t="n">
        <f aca="false">-J6*J9/100</f>
        <v>-1481.6207652031</v>
      </c>
      <c r="K10" s="0" t="n">
        <f aca="false">-K6*K9/100</f>
        <v>-1533.47749198521</v>
      </c>
      <c r="L10" s="0" t="n">
        <f aca="false">-L6*L9/100</f>
        <v>-1579.48181674477</v>
      </c>
    </row>
    <row r="11" customFormat="false" ht="15" hidden="false" customHeight="false" outlineLevel="0" collapsed="false">
      <c r="A11" s="0" t="s">
        <v>110</v>
      </c>
      <c r="C11" s="0" t="n">
        <f aca="false">C8+C10+C24</f>
        <v>55385.943664</v>
      </c>
      <c r="D11" s="0" t="n">
        <f aca="false">D8+D10+D24</f>
        <v>60298.12058896</v>
      </c>
      <c r="E11" s="0" t="n">
        <f aca="false">E8+E10+E24</f>
        <v>65933.277566748</v>
      </c>
      <c r="F11" s="0" t="n">
        <f aca="false">F8+F10+F24</f>
        <v>72074.5311628913</v>
      </c>
      <c r="G11" s="0" t="n">
        <f aca="false">G8+G10+G24</f>
        <v>78399.7441674355</v>
      </c>
      <c r="H11" s="0" t="n">
        <f aca="false">H8+H10+H24</f>
        <v>84460.5243900119</v>
      </c>
      <c r="I11" s="0" t="n">
        <f aca="false">I8+I10+I24</f>
        <v>88683.5506095126</v>
      </c>
      <c r="J11" s="0" t="n">
        <f aca="false">J8+J10+J24</f>
        <v>92230.8926338931</v>
      </c>
      <c r="K11" s="0" t="n">
        <f aca="false">K8+K10+K24</f>
        <v>95458.9738760793</v>
      </c>
      <c r="L11" s="0" t="n">
        <f aca="false">L8+L10+L24</f>
        <v>98322.7430923617</v>
      </c>
    </row>
    <row r="12" customFormat="false" ht="15" hidden="false" customHeight="false" outlineLevel="0" collapsed="false">
      <c r="A12" s="0" t="s">
        <v>111</v>
      </c>
      <c r="C12" s="4" t="n">
        <f aca="false">-C6*Assumptions!C45/100</f>
        <v>-8319.9845504</v>
      </c>
      <c r="D12" s="4" t="n">
        <f aca="false">-D6*Assumptions!D45/100</f>
        <v>-9057.6575992</v>
      </c>
      <c r="E12" s="4" t="n">
        <f aca="false">-E6*Assumptions!E45/100</f>
        <v>-9903.9016091824</v>
      </c>
      <c r="F12" s="4" t="n">
        <f aca="false">-F6*Assumptions!F45/100</f>
        <v>-10766.3200077348</v>
      </c>
      <c r="G12" s="4" t="n">
        <f aca="false">-G6*Assumptions!G45/100</f>
        <v>-11647.9619905904</v>
      </c>
      <c r="H12" s="4" t="n">
        <f aca="false">-H6*Assumptions!H45/100</f>
        <v>-12482.5192672789</v>
      </c>
      <c r="I12" s="4" t="n">
        <f aca="false">-I6*Assumptions!I45/100</f>
        <v>-13249.1087657585</v>
      </c>
      <c r="J12" s="4" t="n">
        <f aca="false">-J6*Assumptions!J45/100</f>
        <v>-13927.2351929092</v>
      </c>
      <c r="K12" s="4" t="n">
        <f aca="false">-K6*Assumptions!K45/100</f>
        <v>-14568.0361738595</v>
      </c>
      <c r="L12" s="4" t="n">
        <f aca="false">-L6*Assumptions!L45/100</f>
        <v>-15005.0772590753</v>
      </c>
    </row>
    <row r="13" customFormat="false" ht="15" hidden="false" customHeight="false" outlineLevel="0" collapsed="false">
      <c r="A13" s="0" t="s">
        <v>112</v>
      </c>
      <c r="C13" s="0" t="n">
        <f aca="false">C11+C12</f>
        <v>47065.9591136</v>
      </c>
      <c r="D13" s="0" t="n">
        <f aca="false">D11+D12</f>
        <v>51240.46298976</v>
      </c>
      <c r="E13" s="0" t="n">
        <f aca="false">E11+E12</f>
        <v>56029.3759575656</v>
      </c>
      <c r="F13" s="0" t="n">
        <f aca="false">F11+F12</f>
        <v>61308.2111551565</v>
      </c>
      <c r="G13" s="0" t="n">
        <f aca="false">G11+G12</f>
        <v>66751.7821768451</v>
      </c>
      <c r="H13" s="0" t="n">
        <f aca="false">H11+H12</f>
        <v>71978.0051227331</v>
      </c>
      <c r="I13" s="0" t="n">
        <f aca="false">I11+I12</f>
        <v>75434.441843754</v>
      </c>
      <c r="J13" s="0" t="n">
        <f aca="false">J11+J12</f>
        <v>78303.6574409839</v>
      </c>
      <c r="K13" s="0" t="n">
        <f aca="false">K11+K12</f>
        <v>80890.9377022198</v>
      </c>
      <c r="L13" s="0" t="n">
        <f aca="false">L11+L12</f>
        <v>83317.6658332864</v>
      </c>
    </row>
    <row r="14" customFormat="false" ht="15" hidden="false" customHeight="false" outlineLevel="0" collapsed="false">
      <c r="A14" s="0" t="s">
        <v>98</v>
      </c>
      <c r="C14" s="4" t="n">
        <f aca="false">Assumptions!C47</f>
        <v>16.5</v>
      </c>
      <c r="D14" s="4" t="n">
        <f aca="false">Assumptions!D47</f>
        <v>16.5</v>
      </c>
      <c r="E14" s="4" t="n">
        <f aca="false">Assumptions!E47</f>
        <v>16.5</v>
      </c>
      <c r="F14" s="4" t="n">
        <f aca="false">Assumptions!F47</f>
        <v>16.75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113</v>
      </c>
      <c r="C15" s="0" t="n">
        <f aca="false">C13-MAX(0,C13)*C14/100</f>
        <v>39300.075859856</v>
      </c>
      <c r="D15" s="0" t="n">
        <f aca="false">D13-MAX(0,D13)*D14/100</f>
        <v>42785.7865964496</v>
      </c>
      <c r="E15" s="0" t="n">
        <f aca="false">E13-MAX(0,E13)*E14/100</f>
        <v>46784.5289245673</v>
      </c>
      <c r="F15" s="0" t="n">
        <f aca="false">F13-MAX(0,F13)*F14/100</f>
        <v>51039.0857866678</v>
      </c>
      <c r="G15" s="0" t="n">
        <f aca="false">G13-MAX(0,G13)*G14/100</f>
        <v>55403.9792067814</v>
      </c>
      <c r="H15" s="0" t="n">
        <f aca="false">H13-MAX(0,H13)*H14/100</f>
        <v>59741.7442518685</v>
      </c>
      <c r="I15" s="0" t="n">
        <f aca="false">I13-MAX(0,I13)*I14/100</f>
        <v>62610.5867303159</v>
      </c>
      <c r="J15" s="0" t="n">
        <f aca="false">J13-MAX(0,J13)*J14/100</f>
        <v>64992.0356760166</v>
      </c>
      <c r="K15" s="0" t="n">
        <f aca="false">K13-MAX(0,K13)*K14/100</f>
        <v>67139.4782928424</v>
      </c>
      <c r="L15" s="0" t="n">
        <f aca="false">L13-MAX(0,L13)*L14/100</f>
        <v>69153.6626416277</v>
      </c>
    </row>
    <row r="16" customFormat="false" ht="15" hidden="false" customHeight="false" outlineLevel="0" collapsed="false">
      <c r="A16" s="0" t="s">
        <v>114</v>
      </c>
      <c r="C16" s="0" t="n">
        <f aca="false">-C12</f>
        <v>8319.9845504</v>
      </c>
      <c r="D16" s="0" t="n">
        <f aca="false">-D12</f>
        <v>9057.6575992</v>
      </c>
      <c r="E16" s="0" t="n">
        <f aca="false">-E12</f>
        <v>9903.9016091824</v>
      </c>
      <c r="F16" s="0" t="n">
        <f aca="false">-F12</f>
        <v>10766.3200077348</v>
      </c>
      <c r="G16" s="0" t="n">
        <f aca="false">-G12</f>
        <v>11647.9619905904</v>
      </c>
      <c r="H16" s="0" t="n">
        <f aca="false">-H12</f>
        <v>12482.5192672789</v>
      </c>
      <c r="I16" s="0" t="n">
        <f aca="false">-I12</f>
        <v>13249.1087657585</v>
      </c>
      <c r="J16" s="0" t="n">
        <f aca="false">-J12</f>
        <v>13927.2351929092</v>
      </c>
      <c r="K16" s="0" t="n">
        <f aca="false">-K12</f>
        <v>14568.0361738595</v>
      </c>
      <c r="L16" s="0" t="n">
        <f aca="false">-L12</f>
        <v>15005.0772590753</v>
      </c>
    </row>
    <row r="17" customFormat="false" ht="15" hidden="false" customHeight="false" outlineLevel="0" collapsed="false">
      <c r="A17" s="0" t="s">
        <v>115</v>
      </c>
      <c r="C17" s="4" t="n">
        <f aca="false">-C6*Assumptions!C46/100</f>
        <v>-12093.0008</v>
      </c>
      <c r="D17" s="4" t="n">
        <f aca="false">-D6*Assumptions!D46/100</f>
        <v>-12939.510856</v>
      </c>
      <c r="E17" s="4" t="n">
        <f aca="false">-E6*Assumptions!E46/100</f>
        <v>-13353.575203392</v>
      </c>
      <c r="F17" s="4" t="n">
        <f aca="false">-F6*Assumptions!F46/100</f>
        <v>-14355.0933436464</v>
      </c>
      <c r="G17" s="4" t="n">
        <f aca="false">-G6*Assumptions!G46/100</f>
        <v>-14719.9519661307</v>
      </c>
      <c r="H17" s="4" t="n">
        <f aca="false">-H6*Assumptions!H46/100</f>
        <v>-14924.7512978334</v>
      </c>
      <c r="I17" s="4" t="n">
        <f aca="false">-I6*Assumptions!I46/100</f>
        <v>-14958.6711871467</v>
      </c>
      <c r="J17" s="4" t="n">
        <f aca="false">-J6*Assumptions!J46/100</f>
        <v>-15557.0180346326</v>
      </c>
      <c r="K17" s="4" t="n">
        <f aca="false">-K6*Assumptions!K46/100</f>
        <v>-15334.7749198521</v>
      </c>
      <c r="L17" s="4" t="n">
        <f aca="false">-L6*Assumptions!L46/100</f>
        <v>-15794.8181674477</v>
      </c>
    </row>
    <row r="18" customFormat="false" ht="15" hidden="false" customHeight="false" outlineLevel="0" collapsed="false">
      <c r="A18" s="0" t="s">
        <v>116</v>
      </c>
      <c r="C18" s="4" t="n">
        <f aca="false">(C6-B6)*Assumptions!$B$51/100</f>
        <v>2521.7632</v>
      </c>
      <c r="D18" s="4" t="n">
        <f aca="false">(D6-C6)*Assumptions!$B$51/100</f>
        <v>3386.040224</v>
      </c>
      <c r="E18" s="4" t="n">
        <f aca="false">(E6-D6)*Assumptions!$B$51/100</f>
        <v>3881.8532568</v>
      </c>
      <c r="F18" s="4" t="n">
        <f aca="false">(F6-E6)*Assumptions!$B$51/100</f>
        <v>4172.99225106</v>
      </c>
      <c r="G18" s="4" t="n">
        <f aca="false">(G6-F6)*Assumptions!$B$51/100</f>
        <v>4186.9022252302</v>
      </c>
      <c r="H18" s="4" t="n">
        <f aca="false">(H6-G6)*Assumptions!$B$51/100</f>
        <v>3839.98746942541</v>
      </c>
      <c r="I18" s="4" t="n">
        <f aca="false">(I6-H6)*Assumptions!$B$51/100</f>
        <v>3391.98893132579</v>
      </c>
      <c r="J18" s="4" t="n">
        <f aca="false">(J6-I6)*Assumptions!$B$51/100</f>
        <v>2849.27070231366</v>
      </c>
      <c r="K18" s="4" t="n">
        <f aca="false">(K6-J6)*Assumptions!$B$51/100</f>
        <v>2592.83633910542</v>
      </c>
      <c r="L18" s="4" t="n">
        <f aca="false">(L6-K6)*Assumptions!$B$51/100</f>
        <v>2300.21623797781</v>
      </c>
    </row>
    <row r="19" customFormat="false" ht="15" hidden="false" customHeight="false" outlineLevel="0" collapsed="false">
      <c r="A19" s="0" t="s">
        <v>117</v>
      </c>
      <c r="C19" s="0" t="n">
        <f aca="false">C15+C16+C17+C18</f>
        <v>38048.822810256</v>
      </c>
      <c r="D19" s="0" t="n">
        <f aca="false">D15+D16+D17+D18</f>
        <v>42289.9735636496</v>
      </c>
      <c r="E19" s="0" t="n">
        <f aca="false">E15+E16+E17+E18</f>
        <v>47216.7085871577</v>
      </c>
      <c r="F19" s="0" t="n">
        <f aca="false">F15+F16+F17+F18</f>
        <v>51623.3047018162</v>
      </c>
      <c r="G19" s="0" t="n">
        <f aca="false">G15+G16+G17+G18</f>
        <v>56518.8914564713</v>
      </c>
      <c r="H19" s="0" t="n">
        <f aca="false">H15+H16+H17+H18</f>
        <v>61139.4996907393</v>
      </c>
      <c r="I19" s="0" t="n">
        <f aca="false">I15+I16+I17+I18</f>
        <v>64293.0132402535</v>
      </c>
      <c r="J19" s="0" t="n">
        <f aca="false">J15+J16+J17+J18</f>
        <v>66211.5235366069</v>
      </c>
      <c r="K19" s="0" t="n">
        <f aca="false">K15+K16+K17+K18</f>
        <v>68965.5758859553</v>
      </c>
      <c r="L19" s="0" t="n">
        <f aca="false">L15+L16+L17+L18</f>
        <v>70664.1379712331</v>
      </c>
    </row>
    <row r="20" customFormat="false" ht="15" hidden="false" customHeight="false" outlineLevel="0" collapsed="false">
      <c r="A20" s="0" t="s">
        <v>118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119</v>
      </c>
      <c r="C21" s="0" t="n">
        <f aca="false">C19*C20</f>
        <v>35068.0394564571</v>
      </c>
      <c r="D21" s="0" t="n">
        <f aca="false">D19*D20</f>
        <v>35923.441622162</v>
      </c>
      <c r="E21" s="0" t="n">
        <f aca="false">E19*E20</f>
        <v>36966.3435341295</v>
      </c>
      <c r="F21" s="0" t="n">
        <f aca="false">F19*F20</f>
        <v>37250.0491417595</v>
      </c>
      <c r="G21" s="0" t="n">
        <f aca="false">G19*G20</f>
        <v>37587.6300924621</v>
      </c>
      <c r="H21" s="0" t="n">
        <f aca="false">H19*H20</f>
        <v>37475.1561764709</v>
      </c>
      <c r="I21" s="0" t="n">
        <f aca="false">I19*I20</f>
        <v>36320.8173499997</v>
      </c>
      <c r="J21" s="0" t="n">
        <f aca="false">J19*J20</f>
        <v>34474.3173922936</v>
      </c>
      <c r="K21" s="0" t="n">
        <f aca="false">K19*K20</f>
        <v>33095.1781640664</v>
      </c>
      <c r="L21" s="0" t="n">
        <f aca="false">L19*L20</f>
        <v>31253.7175908313</v>
      </c>
    </row>
    <row r="23" customFormat="false" ht="15" hidden="false" customHeight="false" outlineLevel="0" collapsed="false">
      <c r="A23" s="0" t="s">
        <v>95</v>
      </c>
      <c r="C23" s="4" t="n">
        <f aca="false">Assumptions!C44</f>
        <v>0.35</v>
      </c>
      <c r="D23" s="4" t="n">
        <f aca="false">Assumptions!D44</f>
        <v>0.35</v>
      </c>
      <c r="E23" s="4" t="n">
        <f aca="false">Assumptions!E44</f>
        <v>0.35</v>
      </c>
      <c r="F23" s="4" t="n">
        <f aca="false">Assumptions!F44</f>
        <v>0.35</v>
      </c>
      <c r="G23" s="4" t="n">
        <f aca="false">Assumptions!G44</f>
        <v>0.35</v>
      </c>
      <c r="H23" s="4" t="n">
        <f aca="false">Assumptions!H44</f>
        <v>0.35</v>
      </c>
      <c r="I23" s="4" t="n">
        <f aca="false">Assumptions!I44</f>
        <v>0.35</v>
      </c>
      <c r="J23" s="4" t="n">
        <f aca="false">Assumptions!J44</f>
        <v>0.35</v>
      </c>
      <c r="K23" s="4" t="n">
        <f aca="false">Assumptions!K44</f>
        <v>0.35</v>
      </c>
      <c r="L23" s="4" t="n">
        <f aca="false">Assumptions!L44</f>
        <v>0.35</v>
      </c>
    </row>
    <row r="24" customFormat="false" ht="15" hidden="false" customHeight="false" outlineLevel="0" collapsed="false">
      <c r="A24" s="0" t="s">
        <v>120</v>
      </c>
      <c r="C24" s="0" t="n">
        <f aca="false">-C6*C23/100</f>
        <v>-1693.020112</v>
      </c>
      <c r="D24" s="0" t="n">
        <f aca="false">-D6*D23/100</f>
        <v>-1811.53151984</v>
      </c>
      <c r="E24" s="0" t="n">
        <f aca="false">-E6*E23/100</f>
        <v>-1947.396383828</v>
      </c>
      <c r="F24" s="0" t="n">
        <f aca="false">-F6*F23/100</f>
        <v>-2093.4511126151</v>
      </c>
      <c r="G24" s="0" t="n">
        <f aca="false">-G6*G23/100</f>
        <v>-2239.99269049816</v>
      </c>
      <c r="H24" s="0" t="n">
        <f aca="false">-H6*H23/100</f>
        <v>-2374.39225192805</v>
      </c>
      <c r="I24" s="0" t="n">
        <f aca="false">-I6*I23/100</f>
        <v>-2493.11186452445</v>
      </c>
      <c r="J24" s="0" t="n">
        <f aca="false">-J6*J23/100</f>
        <v>-2592.83633910543</v>
      </c>
      <c r="K24" s="0" t="n">
        <f aca="false">-K6*K23/100</f>
        <v>-2683.58561097412</v>
      </c>
      <c r="L24" s="0" t="n">
        <f aca="false">-L6*L23/100</f>
        <v>-2764.09317930334</v>
      </c>
    </row>
    <row r="26" customFormat="false" ht="15" hidden="false" customHeight="false" outlineLevel="0" collapsed="false">
      <c r="A26" s="2" t="s">
        <v>121</v>
      </c>
    </row>
    <row r="27" customFormat="false" ht="15" hidden="false" customHeight="false" outlineLevel="0" collapsed="false">
      <c r="A27" s="0" t="s">
        <v>99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101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122</v>
      </c>
      <c r="B30" s="0" t="n">
        <f aca="false">SUM(C21:L21)</f>
        <v>355414.690520632</v>
      </c>
    </row>
    <row r="31" customFormat="false" ht="15" hidden="false" customHeight="false" outlineLevel="0" collapsed="false">
      <c r="A31" s="0" t="s">
        <v>123</v>
      </c>
      <c r="B31" s="0" t="n">
        <f aca="false">L19</f>
        <v>70664.1379712331</v>
      </c>
    </row>
    <row r="32" customFormat="false" ht="15" hidden="false" customHeight="false" outlineLevel="0" collapsed="false">
      <c r="A32" s="0" t="s">
        <v>124</v>
      </c>
      <c r="B32" s="0" t="n">
        <f aca="false">IF(B27&gt;B28,B31*(1+B28/100)/((B27-B28)/100),B31*B29)</f>
        <v>1207179.02367523</v>
      </c>
    </row>
    <row r="33" customFormat="false" ht="15" hidden="false" customHeight="false" outlineLevel="0" collapsed="false">
      <c r="A33" s="0" t="s">
        <v>125</v>
      </c>
      <c r="B33" s="0" t="n">
        <f aca="false">B31*B29</f>
        <v>989297.931597264</v>
      </c>
    </row>
    <row r="34" customFormat="false" ht="15" hidden="false" customHeight="false" outlineLevel="0" collapsed="false">
      <c r="A34" s="0" t="s">
        <v>126</v>
      </c>
      <c r="B34" s="0" t="n">
        <f aca="false">MAX(0,MIN(B32,B33))</f>
        <v>989297.931597264</v>
      </c>
    </row>
    <row r="35" customFormat="false" ht="15" hidden="false" customHeight="false" outlineLevel="0" collapsed="false">
      <c r="A35" s="0" t="s">
        <v>127</v>
      </c>
      <c r="B35" s="0" t="n">
        <f aca="false">B34/(1+B27/100)^L4</f>
        <v>437552.046271638</v>
      </c>
    </row>
    <row r="36" customFormat="false" ht="15" hidden="false" customHeight="false" outlineLevel="0" collapsed="false">
      <c r="A36" s="0" t="s">
        <v>128</v>
      </c>
      <c r="B36" s="0" t="n">
        <f aca="false">B30+B35</f>
        <v>792966.73679227</v>
      </c>
    </row>
    <row r="37" customFormat="false" ht="15" hidden="false" customHeight="false" outlineLevel="0" collapsed="false">
      <c r="A37" s="0" t="s">
        <v>129</v>
      </c>
      <c r="B37" s="0" t="n">
        <f aca="false">B36+Assumptions!$B$5-Assumptions!$B$4</f>
        <v>970345.53679227</v>
      </c>
    </row>
    <row r="38" customFormat="false" ht="15" hidden="false" customHeight="false" outlineLevel="0" collapsed="false">
      <c r="A38" s="0" t="s">
        <v>130</v>
      </c>
      <c r="B38" s="0" t="n">
        <f aca="false">B37/Assumptions!$B$3*Assumptions!$B$10</f>
        <v>151.412588611493</v>
      </c>
    </row>
    <row r="39" customFormat="false" ht="15" hidden="false" customHeight="false" outlineLevel="0" collapsed="false">
      <c r="A39" s="0" t="s">
        <v>131</v>
      </c>
      <c r="B39" s="4" t="n">
        <f aca="false">B38/Assumptions!$B$2-1</f>
        <v>0.616792190192128</v>
      </c>
    </row>
    <row r="41" customFormat="false" ht="15" hidden="false" customHeight="false" outlineLevel="0" collapsed="false">
      <c r="A41" s="0" t="s">
        <v>132</v>
      </c>
      <c r="B41" s="0" t="n">
        <f aca="false">SUMPRODUCT(-C10:L10/(1+$B$27/100)^C4:L4)</f>
        <v>8198.99178214976</v>
      </c>
    </row>
    <row r="42" customFormat="false" ht="15" hidden="false" customHeight="false" outlineLevel="0" collapsed="false">
      <c r="A42" s="0" t="s">
        <v>133</v>
      </c>
      <c r="B42" s="0" t="n">
        <f aca="false">IF(B27&gt;B28,-L10*(1+B28/100)/((B27-B28)/100),-L10*20)/(1+B27/100)^L4</f>
        <v>11934.1052522291</v>
      </c>
    </row>
    <row r="43" customFormat="false" ht="15" hidden="false" customHeight="false" outlineLevel="0" collapsed="false">
      <c r="A43" s="0" t="s">
        <v>134</v>
      </c>
      <c r="B43" s="0" t="n">
        <f aca="false">(B37+B41+B42)/Assumptions!$B$3*Assumptions!$B$10</f>
        <v>154.554154397243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135</v>
      </c>
      <c r="B46" s="0" t="n">
        <f aca="false">MAX(0,MIN(IF(B45&gt;B28,B31*(1+B28/100)/((B45-B28)/100),B31*B29),B31*B29))</f>
        <v>579445.931364112</v>
      </c>
    </row>
    <row r="47" customFormat="false" ht="15" hidden="false" customHeight="false" outlineLevel="0" collapsed="false">
      <c r="A47" s="0" t="s">
        <v>136</v>
      </c>
      <c r="B47" s="0" t="n">
        <f aca="false">(SUMPRODUCT(C19:L19/(1+B45/100)^C4:L4)+B46/(1+B45/100)^L4+Assumptions!$B$5-Assumptions!$B$4)/Assumptions!$B$3*Assumptions!$B$10</f>
        <v>91.0729993592979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2" t="s">
        <v>140</v>
      </c>
      <c r="B3" s="2" t="s">
        <v>141</v>
      </c>
      <c r="C3" s="2" t="s">
        <v>131</v>
      </c>
      <c r="D3" s="2" t="s">
        <v>142</v>
      </c>
      <c r="E3" s="2" t="s">
        <v>134</v>
      </c>
      <c r="F3" s="2" t="s">
        <v>143</v>
      </c>
    </row>
    <row r="4" customFormat="false" ht="15" hidden="false" customHeight="false" outlineLevel="0" collapsed="false">
      <c r="A4" s="0" t="s">
        <v>144</v>
      </c>
      <c r="B4" s="4" t="n">
        <f aca="false">DCF_Bear!$B$38</f>
        <v>89.8906650948247</v>
      </c>
      <c r="C4" s="0" t="n">
        <f aca="false">B4/Assumptions!$B$2-1</f>
        <v>-0.0401423908721332</v>
      </c>
      <c r="D4" s="4" t="n">
        <f aca="false">Assumptions!$B$24</f>
        <v>0.25</v>
      </c>
      <c r="E4" s="4" t="n">
        <f aca="false">DCF_Bear!$B$43</f>
        <v>91.9833937865868</v>
      </c>
      <c r="F4" s="4" t="n">
        <f aca="false">DCF_Bear!$B$47</f>
        <v>64.1623452302396</v>
      </c>
    </row>
    <row r="5" customFormat="false" ht="15" hidden="false" customHeight="false" outlineLevel="0" collapsed="false">
      <c r="A5" s="0" t="s">
        <v>145</v>
      </c>
      <c r="B5" s="4" t="n">
        <f aca="false">DCF_Base!$B$38</f>
        <v>123.909845022607</v>
      </c>
      <c r="C5" s="0" t="n">
        <f aca="false">B5/Assumptions!$B$2-1</f>
        <v>0.323116337667992</v>
      </c>
      <c r="D5" s="4" t="n">
        <f aca="false">Assumptions!$B$38</f>
        <v>0.5</v>
      </c>
      <c r="E5" s="4" t="n">
        <f aca="false">DCF_Base!$B$43</f>
        <v>126.514829307838</v>
      </c>
      <c r="F5" s="4" t="n">
        <f aca="false">DCF_Base!$B$47</f>
        <v>79.2940942651772</v>
      </c>
    </row>
    <row r="6" customFormat="false" ht="15" hidden="false" customHeight="false" outlineLevel="0" collapsed="false">
      <c r="A6" s="0" t="s">
        <v>146</v>
      </c>
      <c r="B6" s="4" t="n">
        <f aca="false">DCF_Bull!$B$38</f>
        <v>151.412588611493</v>
      </c>
      <c r="C6" s="0" t="n">
        <f aca="false">B6/Assumptions!$B$2-1</f>
        <v>0.616792190192128</v>
      </c>
      <c r="D6" s="4" t="n">
        <f aca="false">Assumptions!$B$52</f>
        <v>0.25</v>
      </c>
      <c r="E6" s="4" t="n">
        <f aca="false">DCF_Bull!$B$43</f>
        <v>154.554154397243</v>
      </c>
      <c r="F6" s="4" t="n">
        <f aca="false">DCF_Bull!$B$47</f>
        <v>91.0729993592979</v>
      </c>
    </row>
    <row r="8" customFormat="false" ht="15" hidden="false" customHeight="false" outlineLevel="0" collapsed="false">
      <c r="A8" s="0" t="s">
        <v>147</v>
      </c>
      <c r="B8" s="0" t="n">
        <f aca="false">SUMPRODUCT(B4:B6,D4:D6)</f>
        <v>122.280735937883</v>
      </c>
    </row>
    <row r="9" customFormat="false" ht="15" hidden="false" customHeight="false" outlineLevel="0" collapsed="false">
      <c r="A9" s="0" t="s">
        <v>148</v>
      </c>
      <c r="B9" s="0" t="n">
        <f aca="false">SUMPRODUCT(E4:E6,D4:D6)</f>
        <v>124.891801699876</v>
      </c>
    </row>
    <row r="10" customFormat="false" ht="15" hidden="false" customHeight="false" outlineLevel="0" collapsed="false">
      <c r="A10" s="0" t="s">
        <v>149</v>
      </c>
      <c r="B10" s="0" t="n">
        <f aca="false">1-Assumptions!$B$2/B8</f>
        <v>0.234139381958145</v>
      </c>
    </row>
    <row r="11" customFormat="false" ht="15" hidden="false" customHeight="false" outlineLevel="0" collapsed="false">
      <c r="A11" s="0" t="s">
        <v>150</v>
      </c>
      <c r="B11" s="0" t="n">
        <f aca="false">IF(ABS(B9-B8)&gt;0.01*ABS(B8),(Assumptions!$B$2-B8)/(B9-B8)*100,"n/a")</f>
        <v>-1096.51531396242</v>
      </c>
    </row>
    <row r="12" customFormat="false" ht="15" hidden="false" customHeight="false" outlineLevel="0" collapsed="false">
      <c r="A12" s="0" t="s">
        <v>151</v>
      </c>
      <c r="B12" s="0" t="n">
        <f aca="false">SUMPRODUCT(F4:F6,D4:D6)</f>
        <v>78.455883279973</v>
      </c>
    </row>
    <row r="14" customFormat="false" ht="15" hidden="false" customHeight="false" outlineLevel="0" collapsed="false">
      <c r="A14" s="2" t="s">
        <v>152</v>
      </c>
      <c r="C14" s="0" t="s">
        <v>153</v>
      </c>
    </row>
    <row r="15" customFormat="false" ht="15" hidden="false" customHeight="false" outlineLevel="0" collapsed="false">
      <c r="A15" s="0" t="s">
        <v>154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123.909845022607</v>
      </c>
      <c r="C15" s="3" t="n">
        <v>8.5</v>
      </c>
    </row>
    <row r="16" customFormat="false" ht="15" hidden="false" customHeight="false" outlineLevel="0" collapsed="false">
      <c r="A16" s="0" t="s">
        <v>155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120.579494177151</v>
      </c>
      <c r="C16" s="3" t="n">
        <v>9</v>
      </c>
    </row>
    <row r="17" customFormat="false" ht="15" hidden="false" customHeight="false" outlineLevel="0" collapsed="false">
      <c r="A17" s="0" t="s">
        <v>156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113.523670841107</v>
      </c>
      <c r="C17" s="3" t="n">
        <v>10</v>
      </c>
    </row>
    <row r="18" customFormat="false" ht="15" hidden="false" customHeight="false" outlineLevel="0" collapsed="false">
      <c r="A18" s="0" t="s">
        <v>157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103.600298035616</v>
      </c>
      <c r="C18" s="3" t="n">
        <v>11</v>
      </c>
    </row>
    <row r="19" customFormat="false" ht="15" hidden="false" customHeight="false" outlineLevel="0" collapsed="false">
      <c r="A19" s="0" t="s">
        <v>158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95.6782875404936</v>
      </c>
      <c r="C19" s="3" t="n">
        <v>12</v>
      </c>
    </row>
    <row r="20" customFormat="false" ht="15" hidden="false" customHeight="false" outlineLevel="0" collapsed="false">
      <c r="A20" s="0" t="s">
        <v>159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79.2940942651772</v>
      </c>
      <c r="C20" s="3" t="n">
        <v>15</v>
      </c>
    </row>
    <row r="22" customFormat="false" ht="15" hidden="false" customHeight="false" outlineLevel="0" collapsed="false">
      <c r="A22" s="2" t="s">
        <v>160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138.877922724014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138.877922724014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138.877922724014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138.877922724014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138.877922724014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131.046947165103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131.046947165103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131.046947165103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131.046947165103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131.046947165103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123.909845022607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123.909845022607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123.909845022607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123.909845022607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123.909845022607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113.505333283781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116.309009656612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117.397194550177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117.397194550177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117.397194550177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103.916567493252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105.971214643539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108.267584987978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110.851001625471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111.447174695662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2026-10-10T22:07:21Z</dcterms:created>
  <dc:creator>openpyxl</dc:creator>
  <dc:description/>
  <dc:language>en-NZ</dc:language>
  <cp:lastModifiedBy/>
  <dcterms:modified xsi:type="dcterms:W3CDTF">2026-10-10T22:07:21Z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