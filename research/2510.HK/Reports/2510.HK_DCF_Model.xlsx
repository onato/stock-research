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<sst xmlns="http://schemas.openxmlformats.org/spreadsheetml/2006/main" count="343" uniqueCount="162">
  <si>
    <t xml:space="preserve">Ticker</t>
  </si>
  <si>
    <t xml:space="preserve">2510.HK</t>
  </si>
  <si>
    <t xml:space="preserve">Company</t>
  </si>
  <si>
    <t xml:space="preserve">T.S. Lines Limited</t>
  </si>
  <si>
    <t xml:space="preserve">Valuation date</t>
  </si>
  <si>
    <t xml:space="preserve">2026-10-18</t>
  </si>
  <si>
    <t xml:space="preserve">Current price</t>
  </si>
  <si>
    <t xml:space="preserve">Price as of</t>
  </si>
  <si>
    <t xml:space="preserve">2026-10-16T08:08:14Z regular close (HKEX Friday close; valuation written Sunday 2026-10-18)</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</si>
  <si>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</si>
  <si>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</si>
  <si>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</si>
  <si>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</si>
  <si>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</si>
  <si>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</si>
  <si>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</si>
  <si>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</si>
  <si>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</si>
  <si>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</si>
  <si>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</si>
  <si>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</si>
  <si>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</si>
  <si>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2026-10-18T05:33:55Z</t>
  </si>
  <si>
    <t xml:space="preserve">Drivers file</t>
  </si>
  <si>
    <t xml:space="preserve">2510.HK_Drivers.json</t>
  </si>
  <si>
    <t xml:space="preserve">Convention</t>
  </si>
  <si>
    <t xml:space="preserve">Percents stored as percents; formulas divide by 100. Blue = input, green = link, black = formula.</t>
  </si>
  <si>
    <t xml:space="preserve">Methodology</t>
  </si>
  <si>
    <t xml:space="preserve">summary: A zero-debt, cash-rich, young-fleet intra-Asia carrier valued on mid-cycle owner cash flow rather than on the Red-Sea-boosted margins of the last three years. Leases are an operating cost, interest income is stripped because the cash is added back, the newbuild program is charged in full as it falls due, and the terminal value is capped at a cyclical multiple. The trailing 6-9x P/E and ~10% dividend yield the market shows are peak-earnings artefacts; the question that matters is what the fleet earns when freight rates normalise.
key_risks_to_valuation: Mid-cycle margin judgment (27% base) is the dominant driver: each 1pp of terminal EBITDA margin is worth roughly US$0.08-0.10/share (HK$0.6-0.8); Timing and scale of newbuild capex: the FY2027-28 outflows are modelled from the US$857.7m commitment; slippage into 2029 or vessel resales would shift value forward; Red Sea / Suez normalisation and the pace of orderbook deliveries determine whether FY2027 looks like the base (+1% revenue) or the bear (-8%); Tax: shipping income is currently exempt; a Pillar Two or Taiwan/HK regime change toward a 15% rate would cut terminal FCF by ~12%; USD/HKD peg: per-share HKD values assume the 7.75-7.85 band holds; Leadership transition to the second generation (June 2026) and the family's Wan Hai relationships are relationship-based rather than structural advantages</t>
  </si>
  <si>
    <t xml:space="preserve">Data sources</t>
  </si>
  <si>
    <t xml:space="preserve">price: Yahoo Finance chart API for 2510.HK at inputs.price_as_of; 52-week range HK$7.46-14.96. USD/HKD from Yahoo HKD=X on the same date.
financials: 2510.HK_Metrics.csv (core_metrics, millions USD); Annual Report 2025 (cash flow statement lines 2986-3045, note 4 other revenue, note 5(c) depreciation split, note 15(b) lease cash); Interim Report 2026 (balance sheet, cash flow statement, capital commitment US$857.7m, interim dividend US$0.070/share, no dilutive instruments); Annual Report 2024 for FY2023 lease cash and ROU depreciation comparatives.
qualitative: 2510.HK_Analysis.json (2026-10-18): business model, fleet program, orderbook and Red Sea risk, management's cautious H2 FY2026 commentary.</t>
  </si>
  <si>
    <t xml:space="preserve">Scenario narrative: bear</t>
  </si>
  <si>
    <t xml:space="preserve">Overcapacity cycle. Durable Suez normalisation coincides with peak newbuild deliveries, rates return to FY2023 levels, and T.S. Lines - a sub-scale regional carrier with no structural moat - takes the price cut while still funding US$858m of committed capex from cash. Owner FCF is negative for two years, the dividend is cut, and the business recovers only to a 21% mid-cycle margin. Equity value is then mostly the cash and the young fleet at a cyclical-trough multiple.</t>
  </si>
  <si>
    <t xml:space="preserve">Scenario narrative: base</t>
  </si>
  <si>
    <t xml:space="preserve">Mid-cycle reversion. The FY2024-FY2026 margins (37-40% EBITDA ex interest and disposal gains) are Red-Sea-supported peak-cycle numbers and are not extrapolated. Rates deflate through 2027-2028 as the record orderbook delivers, the Group's own ~93,600 TEU of newbuilds (+67% on today's ~140,000 TEU) is absorbed partly by replacing chartered-in tonnage and partly by the new semi long-haul services, and the business settles at a 27% EBITDA margin, ~12% owner-FCF margin and a ~9% return on today's book equity. The valuation lands below book value: at mid-cycle rates the committed US$1.15bn fleet program returns less than the 10.5% cost of capital.</t>
  </si>
  <si>
    <t xml:space="preserve">Scenario narrative: bull</t>
  </si>
  <si>
    <t xml:space="preserve">Disruption-supported rates persist (Red Sea, Hormuz, tariff-driven rerouting), China+1 keeps intra-Asia volumes compounding at 5-6%, and the diversification into Middle East, Mexico and Red Sea lanes lifts revenue per TEU. Margins hold around 30% and recover to 32% as the owned fleet reaches full utilisation; the zero-debt balance sheet lets the Group keep paying ~US$0.17/share of dividends through the build-out.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</si>
  <si>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</si>
  <si>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</si>
  <si>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</si>
  <si>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</si>
  <si>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</si>
  <si>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</si>
  <si>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</si>
  <si>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</si>
  <si>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</si>
  <si>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</si>
  <si>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</si>
  <si>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</si>
  <si>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</si>
  <si>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</si>
  <si>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</si>
  <si>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</si>
  <si>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</si>
  <si>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</si>
  <si>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</si>
  <si>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</si>
  <si>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</si>
  <si>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</si>
  <si>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</si>
  <si>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</si>
  <si>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</si>
  <si>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</si>
  <si>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</si>
  <si>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</si>
  <si>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</si>
  <si>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</si>
  <si>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</si>
  <si>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</si>
  <si>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</si>
  <si>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</si>
  <si>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</si>
  <si>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</si>
  <si>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</si>
  <si>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</si>
  <si>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</si>
  <si>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</si>
  <si>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</si>
  <si>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</si>
  <si>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</si>
  <si>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</si>
  <si>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</si>
  <si>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</si>
  <si>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</si>
  <si>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</si>
  <si>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</si>
  <si>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</si>
  <si>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</si>
  <si>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</si>
  <si>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</si>
  <si>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</si>
  <si>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</si>
  <si>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</si>
  <si>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</si>
  <si>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</si>
  <si>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</si>
  <si>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</si>
  <si>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</si>
  <si>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</si>
  <si>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</si>
  <si>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</si>
  <si>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</si>
  <si>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</si>
  <si>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</si>
  <si>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</si>
  <si>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</si>
  <si>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</si>
  <si>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2510.HK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</si>
  <si>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</si>
  <si>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</si>
  <si>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</si>
  <si>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</si>
  <si>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</si>
  <si>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</si>
  <si>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</si>
  <si>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</si>
  <si>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</si>
  <si>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</si>
  <si>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</si>
  <si>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</si>
  <si>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</si>
  <si>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</si>
  <si>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</si>
  <si>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</si>
  <si>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</si>
  <si>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</si>
  <si>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</si>
  <si>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</si>
  <si>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</si>
  <si>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</si>
  <si>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</si>
  <si>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</si>
  <si>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</si>
  <si>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</si>
  <si>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</si>
  <si>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</si>
  <si>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</si>
  <si>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</si>
  <si>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2510.HK owner-FCF component DCF: base case (millions, USD)</t>
  </si>
  <si>
    <t xml:space="preserve">2510.HK owner-FCF component DCF: bull case (millions, USD)</t>
  </si>
  <si>
    <t xml:space="preserve">2510.HK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</si>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</sst>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13.81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2443.47</v>
      </c>
      <c r="D2" s="0" t="n">
        <v>1091.34</v>
      </c>
      <c r="E2" s="0" t="n">
        <v>44.7</v>
      </c>
      <c r="I2" s="0" t="n">
        <v>1074.541</v>
      </c>
      <c r="J2" s="0" t="n">
        <v>44</v>
      </c>
      <c r="O2" s="0" t="n">
        <v>2150.967</v>
      </c>
      <c r="P2" s="0" t="n">
        <v>2773.362</v>
      </c>
      <c r="Q2" s="0" t="n">
        <v>622.395</v>
      </c>
      <c r="AA2" s="0" t="s">
        <v>18</v>
      </c>
      <c r="AB2" s="0" t="s">
        <v>14</v>
      </c>
    </row>
    <row r="3" customFormat="false" ht="15" hidden="false" customHeight="false" outlineLevel="0" collapsed="false">
      <c r="A3" s="0" t="s">
        <v>66</v>
      </c>
      <c r="B3" s="0" t="n">
        <v>874.602</v>
      </c>
      <c r="C3" s="0" t="n">
        <v>908.391</v>
      </c>
      <c r="D3" s="0" t="n">
        <v>-33.789</v>
      </c>
      <c r="E3" s="0" t="n">
        <v>-3.9</v>
      </c>
      <c r="F3" s="0" t="n">
        <v>-31.526</v>
      </c>
      <c r="G3" s="0" t="n">
        <v>-3.6</v>
      </c>
      <c r="H3" s="0" t="n">
        <v>176.214</v>
      </c>
      <c r="I3" s="0" t="n">
        <v>20.709</v>
      </c>
      <c r="J3" s="0" t="n">
        <v>2.4</v>
      </c>
      <c r="K3" s="0" t="n">
        <v>0.015</v>
      </c>
      <c r="L3" s="0" t="n">
        <v>129.002</v>
      </c>
      <c r="M3" s="0" t="n">
        <v>396.512</v>
      </c>
      <c r="N3" s="0" t="n">
        <v>-267.51</v>
      </c>
      <c r="O3" s="0" t="n">
        <v>1771.558</v>
      </c>
      <c r="P3" s="0" t="n">
        <v>2159.742</v>
      </c>
      <c r="Q3" s="0" t="n">
        <v>388.184</v>
      </c>
      <c r="R3" s="0" t="n">
        <v>217.209</v>
      </c>
      <c r="S3" s="0" t="n">
        <v>716.337</v>
      </c>
      <c r="T3" s="0" t="n">
        <v>1400</v>
      </c>
      <c r="U3" s="0" t="n">
        <v>0</v>
      </c>
      <c r="AA3" s="0" t="s">
        <v>18</v>
      </c>
      <c r="AB3" s="0" t="s">
        <v>14</v>
      </c>
      <c r="AC3" s="0" t="n">
        <v>20.382</v>
      </c>
    </row>
    <row r="4" customFormat="false" ht="15" hidden="false" customHeight="false" outlineLevel="0" collapsed="false">
      <c r="A4" s="0" t="s">
        <v>67</v>
      </c>
      <c r="B4" s="0" t="n">
        <v>1340.398</v>
      </c>
      <c r="C4" s="0" t="n">
        <v>1025.372</v>
      </c>
      <c r="D4" s="0" t="n">
        <v>315.026</v>
      </c>
      <c r="E4" s="0" t="n">
        <v>23.5</v>
      </c>
      <c r="F4" s="0" t="n">
        <v>366.63</v>
      </c>
      <c r="G4" s="0" t="n">
        <v>27.4</v>
      </c>
      <c r="H4" s="0" t="n">
        <v>543.59</v>
      </c>
      <c r="I4" s="0" t="n">
        <v>365.913</v>
      </c>
      <c r="J4" s="0" t="n">
        <v>27.3</v>
      </c>
      <c r="K4" s="0" t="n">
        <v>0.254</v>
      </c>
      <c r="L4" s="0" t="n">
        <v>480.661</v>
      </c>
      <c r="M4" s="0" t="n">
        <v>543.455</v>
      </c>
      <c r="N4" s="0" t="n">
        <v>-62.794</v>
      </c>
      <c r="O4" s="0" t="n">
        <v>1975.182</v>
      </c>
      <c r="P4" s="0" t="n">
        <v>2321.667</v>
      </c>
      <c r="Q4" s="0" t="n">
        <v>346.485</v>
      </c>
      <c r="R4" s="0" t="n">
        <v>156.634</v>
      </c>
      <c r="S4" s="0" t="n">
        <v>422.134</v>
      </c>
      <c r="T4" s="0" t="n">
        <v>1665.031</v>
      </c>
      <c r="U4" s="0" t="n">
        <v>0</v>
      </c>
      <c r="AA4" s="0" t="s">
        <v>18</v>
      </c>
      <c r="AB4" s="0" t="s">
        <v>14</v>
      </c>
      <c r="AC4" s="0" t="n">
        <v>366.202</v>
      </c>
    </row>
    <row r="5" customFormat="false" ht="15" hidden="false" customHeight="false" outlineLevel="0" collapsed="false">
      <c r="A5" s="0" t="s">
        <v>68</v>
      </c>
      <c r="B5" s="0" t="n">
        <v>1284.763</v>
      </c>
      <c r="C5" s="0" t="n">
        <v>1031.069</v>
      </c>
      <c r="D5" s="0" t="n">
        <v>253.694</v>
      </c>
      <c r="E5" s="0" t="n">
        <v>19.7</v>
      </c>
      <c r="F5" s="0" t="n">
        <v>330.96</v>
      </c>
      <c r="G5" s="0" t="n">
        <v>25.8</v>
      </c>
      <c r="H5" s="0" t="n">
        <v>487.262</v>
      </c>
      <c r="I5" s="0" t="n">
        <v>328.901</v>
      </c>
      <c r="J5" s="0" t="n">
        <v>25.6</v>
      </c>
      <c r="K5" s="0" t="n">
        <v>0.198</v>
      </c>
      <c r="L5" s="0" t="n">
        <v>502.145</v>
      </c>
      <c r="M5" s="0" t="n">
        <v>200.693</v>
      </c>
      <c r="N5" s="0" t="n">
        <v>301.452</v>
      </c>
      <c r="O5" s="0" t="n">
        <v>2120.832</v>
      </c>
      <c r="P5" s="0" t="n">
        <v>2459.091</v>
      </c>
      <c r="Q5" s="0" t="n">
        <v>338.259</v>
      </c>
      <c r="R5" s="0" t="n">
        <v>149.672</v>
      </c>
      <c r="S5" s="0" t="n">
        <v>485.686</v>
      </c>
      <c r="T5" s="0" t="n">
        <v>1665.031</v>
      </c>
      <c r="U5" s="0" t="n">
        <v>0</v>
      </c>
      <c r="AA5" s="0" t="s">
        <v>18</v>
      </c>
      <c r="AB5" s="0" t="s">
        <v>14</v>
      </c>
      <c r="AC5" s="0" t="n">
        <v>328.887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69</v>
      </c>
      <c r="B1" s="2" t="s">
        <v>70</v>
      </c>
    </row>
    <row r="2" customFormat="false" ht="15" hidden="false" customHeight="false" outlineLevel="0" collapsed="false">
      <c r="A2" s="0" t="s">
        <v>71</v>
      </c>
      <c r="B2" s="3" t="n">
        <v>13.81</v>
      </c>
    </row>
    <row r="3" customFormat="false" ht="15" hidden="false" customHeight="false" outlineLevel="0" collapsed="false">
      <c r="A3" s="0" t="s">
        <v>72</v>
      </c>
      <c r="B3" s="3" t="n">
        <v>1665.031</v>
      </c>
    </row>
    <row r="4" customFormat="false" ht="15" hidden="false" customHeight="false" outlineLevel="0" collapsed="false">
      <c r="A4" s="0" t="s">
        <v>73</v>
      </c>
      <c r="B4" s="3" t="n">
        <v>-559.328</v>
      </c>
    </row>
    <row r="5" customFormat="false" ht="15" hidden="false" customHeight="false" outlineLevel="0" collapsed="false">
      <c r="A5" s="0" t="s">
        <v>74</v>
      </c>
      <c r="B5" s="3" t="n">
        <v>-166.503</v>
      </c>
    </row>
    <row r="6" customFormat="false" ht="15" hidden="false" customHeight="false" outlineLevel="0" collapsed="false">
      <c r="A6" s="0" t="s">
        <v>75</v>
      </c>
      <c r="B6" s="3" t="n">
        <v>15</v>
      </c>
    </row>
    <row r="7" customFormat="false" ht="15" hidden="false" customHeight="false" outlineLevel="0" collapsed="false">
      <c r="A7" s="0" t="s">
        <v>76</v>
      </c>
      <c r="B7" s="3" t="n">
        <v>1323</v>
      </c>
    </row>
    <row r="8" customFormat="false" ht="15" hidden="false" customHeight="false" outlineLevel="0" collapsed="false">
      <c r="A8" s="0" t="s">
        <v>77</v>
      </c>
      <c r="B8" s="3" t="s">
        <v>78</v>
      </c>
    </row>
    <row r="9" customFormat="false" ht="15" hidden="false" customHeight="false" outlineLevel="0" collapsed="false">
      <c r="A9" s="0" t="s">
        <v>79</v>
      </c>
      <c r="B9" s="3" t="s">
        <v>80</v>
      </c>
    </row>
    <row r="10" customFormat="false" ht="15" hidden="false" customHeight="false" outlineLevel="0" collapsed="false">
      <c r="A10" s="0" t="s">
        <v>81</v>
      </c>
      <c r="B10" s="3" t="n">
        <v>7.8479</v>
      </c>
    </row>
    <row r="12" customFormat="false" ht="15" hidden="false" customHeight="false" outlineLevel="0" collapsed="false">
      <c r="A12" s="2" t="s">
        <v>82</v>
      </c>
      <c r="C12" s="2" t="s">
        <v>83</v>
      </c>
      <c r="D12" s="2" t="s">
        <v>84</v>
      </c>
      <c r="E12" s="2" t="s">
        <v>85</v>
      </c>
      <c r="F12" s="2" t="s">
        <v>86</v>
      </c>
      <c r="G12" s="2" t="s">
        <v>87</v>
      </c>
      <c r="H12" s="2" t="s">
        <v>88</v>
      </c>
      <c r="I12" s="2" t="s">
        <v>89</v>
      </c>
      <c r="J12" s="2" t="s">
        <v>90</v>
      </c>
      <c r="K12" s="2" t="s">
        <v>91</v>
      </c>
      <c r="L12" s="2" t="s">
        <v>92</v>
      </c>
    </row>
    <row r="13" customFormat="false" ht="15" hidden="false" customHeight="false" outlineLevel="0" collapsed="false">
      <c r="A13" s="0" t="s">
        <v>93</v>
      </c>
      <c r="C13" s="3" t="n">
        <v>-8</v>
      </c>
      <c r="D13" s="3" t="n">
        <v>-4</v>
      </c>
      <c r="E13" s="3" t="n">
        <v>3</v>
      </c>
      <c r="F13" s="3" t="n">
        <v>3</v>
      </c>
      <c r="G13" s="3" t="n">
        <v>3</v>
      </c>
      <c r="H13" s="3" t="n">
        <v>2.5</v>
      </c>
      <c r="I13" s="3" t="n">
        <v>2.5</v>
      </c>
      <c r="J13" s="3" t="n">
        <v>2.5</v>
      </c>
      <c r="K13" s="3" t="n">
        <v>2.5</v>
      </c>
      <c r="L13" s="3" t="n">
        <v>2.5</v>
      </c>
    </row>
    <row r="14" customFormat="false" ht="15" hidden="false" customHeight="false" outlineLevel="0" collapsed="false">
      <c r="A14" s="0" t="s">
        <v>94</v>
      </c>
      <c r="C14" s="3" t="n">
        <v>22</v>
      </c>
      <c r="D14" s="3" t="n">
        <v>16</v>
      </c>
      <c r="E14" s="3" t="n">
        <v>17</v>
      </c>
      <c r="F14" s="3" t="n">
        <v>19</v>
      </c>
      <c r="G14" s="3" t="n">
        <v>20</v>
      </c>
      <c r="H14" s="3" t="n">
        <v>21</v>
      </c>
      <c r="I14" s="3" t="n">
        <v>21</v>
      </c>
      <c r="J14" s="3" t="n">
        <v>21</v>
      </c>
      <c r="K14" s="3" t="n">
        <v>21</v>
      </c>
      <c r="L14" s="3" t="n">
        <v>21</v>
      </c>
    </row>
    <row r="15" customFormat="false" ht="15" hidden="false" customHeight="false" outlineLevel="0" collapsed="false">
      <c r="A15" s="0" t="s">
        <v>95</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96</v>
      </c>
      <c r="C16" s="3" t="n">
        <v>5</v>
      </c>
      <c r="D16" s="3" t="n">
        <v>4.5</v>
      </c>
      <c r="E16" s="3" t="n">
        <v>4</v>
      </c>
      <c r="F16" s="3" t="n">
        <v>4</v>
      </c>
      <c r="G16" s="3" t="n">
        <v>4</v>
      </c>
      <c r="H16" s="3" t="n">
        <v>4</v>
      </c>
      <c r="I16" s="3" t="n">
        <v>4</v>
      </c>
      <c r="J16" s="3" t="n">
        <v>4</v>
      </c>
      <c r="K16" s="3" t="n">
        <v>4</v>
      </c>
      <c r="L16" s="3" t="n">
        <v>4</v>
      </c>
    </row>
    <row r="17" customFormat="false" ht="15" hidden="false" customHeight="false" outlineLevel="0" collapsed="false">
      <c r="A17" s="0" t="s">
        <v>97</v>
      </c>
      <c r="C17" s="3" t="n">
        <v>10.5</v>
      </c>
      <c r="D17" s="3" t="n">
        <v>12.5</v>
      </c>
      <c r="E17" s="3" t="n">
        <v>12.5</v>
      </c>
      <c r="F17" s="3" t="n">
        <v>12.5</v>
      </c>
      <c r="G17" s="3" t="n">
        <v>12</v>
      </c>
      <c r="H17" s="3" t="n">
        <v>12</v>
      </c>
      <c r="I17" s="3" t="n">
        <v>11.5</v>
      </c>
      <c r="J17" s="3" t="n">
        <v>11.5</v>
      </c>
      <c r="K17" s="3" t="n">
        <v>11.5</v>
      </c>
      <c r="L17" s="3" t="n">
        <v>11.5</v>
      </c>
    </row>
    <row r="18" customFormat="false" ht="15" hidden="false" customHeight="false" outlineLevel="0" collapsed="false">
      <c r="A18" s="0" t="s">
        <v>98</v>
      </c>
      <c r="C18" s="3" t="n">
        <v>35</v>
      </c>
      <c r="D18" s="3" t="n">
        <v>32</v>
      </c>
      <c r="E18" s="3" t="n">
        <v>11</v>
      </c>
      <c r="F18" s="3" t="n">
        <v>10.5</v>
      </c>
      <c r="G18" s="3" t="n">
        <v>10.5</v>
      </c>
      <c r="H18" s="3" t="n">
        <v>10.5</v>
      </c>
      <c r="I18" s="3" t="n">
        <v>10.5</v>
      </c>
      <c r="J18" s="3" t="n">
        <v>10.5</v>
      </c>
      <c r="K18" s="3" t="n">
        <v>10.5</v>
      </c>
      <c r="L18" s="3" t="n">
        <v>10.5</v>
      </c>
    </row>
    <row r="19" customFormat="false" ht="15" hidden="false" customHeight="false" outlineLevel="0" collapsed="false">
      <c r="A19" s="0" t="s">
        <v>99</v>
      </c>
      <c r="C19" s="3" t="n">
        <v>2</v>
      </c>
      <c r="D19" s="3" t="n">
        <v>2</v>
      </c>
      <c r="E19" s="3" t="n">
        <v>2.5</v>
      </c>
      <c r="F19" s="3" t="n">
        <v>3</v>
      </c>
      <c r="G19" s="3" t="n">
        <v>3</v>
      </c>
      <c r="H19" s="3" t="n">
        <v>3</v>
      </c>
      <c r="I19" s="3" t="n">
        <v>3</v>
      </c>
      <c r="J19" s="3" t="n">
        <v>3</v>
      </c>
      <c r="K19" s="3" t="n">
        <v>3</v>
      </c>
      <c r="L19" s="3" t="n">
        <v>3</v>
      </c>
    </row>
    <row r="20" customFormat="false" ht="15" hidden="false" customHeight="false" outlineLevel="0" collapsed="false">
      <c r="A20" s="0" t="s">
        <v>100</v>
      </c>
      <c r="B20" s="3" t="n">
        <v>10.5</v>
      </c>
    </row>
    <row r="21" customFormat="false" ht="15" hidden="false" customHeight="false" outlineLevel="0" collapsed="false">
      <c r="A21" s="0" t="s">
        <v>101</v>
      </c>
      <c r="B21" s="3" t="n">
        <v>2</v>
      </c>
    </row>
    <row r="22" customFormat="false" ht="15" hidden="false" customHeight="false" outlineLevel="0" collapsed="false">
      <c r="A22" s="0" t="s">
        <v>102</v>
      </c>
      <c r="B22" s="3" t="n">
        <v>10</v>
      </c>
    </row>
    <row r="23" customFormat="false" ht="15" hidden="false" customHeight="false" outlineLevel="0" collapsed="false">
      <c r="A23" s="0" t="s">
        <v>103</v>
      </c>
      <c r="B23" s="3" t="n">
        <v>0</v>
      </c>
    </row>
    <row r="24" customFormat="false" ht="15" hidden="false" customHeight="false" outlineLevel="0" collapsed="false">
      <c r="A24" s="0" t="s">
        <v>104</v>
      </c>
      <c r="B24" s="3" t="n">
        <v>0.3</v>
      </c>
    </row>
    <row r="26" customFormat="false" ht="15" hidden="false" customHeight="false" outlineLevel="0" collapsed="false">
      <c r="A26" s="2" t="s">
        <v>105</v>
      </c>
      <c r="C26" s="2" t="s">
        <v>83</v>
      </c>
      <c r="D26" s="2" t="s">
        <v>84</v>
      </c>
      <c r="E26" s="2" t="s">
        <v>85</v>
      </c>
      <c r="F26" s="2" t="s">
        <v>86</v>
      </c>
      <c r="G26" s="2" t="s">
        <v>87</v>
      </c>
      <c r="H26" s="2" t="s">
        <v>88</v>
      </c>
      <c r="I26" s="2" t="s">
        <v>89</v>
      </c>
      <c r="J26" s="2" t="s">
        <v>90</v>
      </c>
      <c r="K26" s="2" t="s">
        <v>91</v>
      </c>
      <c r="L26" s="2" t="s">
        <v>92</v>
      </c>
    </row>
    <row r="27" customFormat="false" ht="15" hidden="false" customHeight="false" outlineLevel="0" collapsed="false">
      <c r="A27" s="0" t="s">
        <v>93</v>
      </c>
      <c r="C27" s="3" t="n">
        <v>1</v>
      </c>
      <c r="D27" s="3" t="n">
        <v>4</v>
      </c>
      <c r="E27" s="3" t="n">
        <v>4</v>
      </c>
      <c r="F27" s="3" t="n">
        <v>3.5</v>
      </c>
      <c r="G27" s="3" t="n">
        <v>3</v>
      </c>
      <c r="H27" s="3" t="n">
        <v>3</v>
      </c>
      <c r="I27" s="3" t="n">
        <v>2.5</v>
      </c>
      <c r="J27" s="3" t="n">
        <v>2.5</v>
      </c>
      <c r="K27" s="3" t="n">
        <v>2.5</v>
      </c>
      <c r="L27" s="3" t="n">
        <v>2.5</v>
      </c>
    </row>
    <row r="28" customFormat="false" ht="15" hidden="false" customHeight="false" outlineLevel="0" collapsed="false">
      <c r="A28" s="0" t="s">
        <v>94</v>
      </c>
      <c r="C28" s="3" t="n">
        <v>30</v>
      </c>
      <c r="D28" s="3" t="n">
        <v>25</v>
      </c>
      <c r="E28" s="3" t="n">
        <v>24</v>
      </c>
      <c r="F28" s="3" t="n">
        <v>25</v>
      </c>
      <c r="G28" s="3" t="n">
        <v>26</v>
      </c>
      <c r="H28" s="3" t="n">
        <v>27</v>
      </c>
      <c r="I28" s="3" t="n">
        <v>27</v>
      </c>
      <c r="J28" s="3" t="n">
        <v>27</v>
      </c>
      <c r="K28" s="3" t="n">
        <v>27</v>
      </c>
      <c r="L28" s="3" t="n">
        <v>27</v>
      </c>
    </row>
    <row r="29" customFormat="false" ht="15" hidden="false" customHeight="false" outlineLevel="0" collapsed="false">
      <c r="A29" s="0" t="s">
        <v>95</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96</v>
      </c>
      <c r="C30" s="3" t="n">
        <v>5</v>
      </c>
      <c r="D30" s="3" t="n">
        <v>4.5</v>
      </c>
      <c r="E30" s="3" t="n">
        <v>4</v>
      </c>
      <c r="F30" s="3" t="n">
        <v>4</v>
      </c>
      <c r="G30" s="3" t="n">
        <v>4</v>
      </c>
      <c r="H30" s="3" t="n">
        <v>4</v>
      </c>
      <c r="I30" s="3" t="n">
        <v>4</v>
      </c>
      <c r="J30" s="3" t="n">
        <v>4</v>
      </c>
      <c r="K30" s="3" t="n">
        <v>4</v>
      </c>
      <c r="L30" s="3" t="n">
        <v>4</v>
      </c>
    </row>
    <row r="31" customFormat="false" ht="15" hidden="false" customHeight="false" outlineLevel="0" collapsed="false">
      <c r="A31" s="0" t="s">
        <v>97</v>
      </c>
      <c r="C31" s="3" t="n">
        <v>10</v>
      </c>
      <c r="D31" s="3" t="n">
        <v>11.5</v>
      </c>
      <c r="E31" s="3" t="n">
        <v>11.5</v>
      </c>
      <c r="F31" s="3" t="n">
        <v>11.5</v>
      </c>
      <c r="G31" s="3" t="n">
        <v>11</v>
      </c>
      <c r="H31" s="3" t="n">
        <v>11</v>
      </c>
      <c r="I31" s="3" t="n">
        <v>10.5</v>
      </c>
      <c r="J31" s="3" t="n">
        <v>10.5</v>
      </c>
      <c r="K31" s="3" t="n">
        <v>10.5</v>
      </c>
      <c r="L31" s="3" t="n">
        <v>10.5</v>
      </c>
    </row>
    <row r="32" customFormat="false" ht="15" hidden="false" customHeight="false" outlineLevel="0" collapsed="false">
      <c r="A32" s="0" t="s">
        <v>98</v>
      </c>
      <c r="C32" s="3" t="n">
        <v>33</v>
      </c>
      <c r="D32" s="3" t="n">
        <v>28</v>
      </c>
      <c r="E32" s="3" t="n">
        <v>11</v>
      </c>
      <c r="F32" s="3" t="n">
        <v>10.5</v>
      </c>
      <c r="G32" s="3" t="n">
        <v>10.5</v>
      </c>
      <c r="H32" s="3" t="n">
        <v>10.5</v>
      </c>
      <c r="I32" s="3" t="n">
        <v>10.5</v>
      </c>
      <c r="J32" s="3" t="n">
        <v>10.5</v>
      </c>
      <c r="K32" s="3" t="n">
        <v>10.5</v>
      </c>
      <c r="L32" s="3" t="n">
        <v>10.5</v>
      </c>
    </row>
    <row r="33" customFormat="false" ht="15" hidden="false" customHeight="false" outlineLevel="0" collapsed="false">
      <c r="A33" s="0" t="s">
        <v>99</v>
      </c>
      <c r="C33" s="3" t="n">
        <v>2</v>
      </c>
      <c r="D33" s="3" t="n">
        <v>2</v>
      </c>
      <c r="E33" s="3" t="n">
        <v>2.5</v>
      </c>
      <c r="F33" s="3" t="n">
        <v>3</v>
      </c>
      <c r="G33" s="3" t="n">
        <v>3</v>
      </c>
      <c r="H33" s="3" t="n">
        <v>3</v>
      </c>
      <c r="I33" s="3" t="n">
        <v>3</v>
      </c>
      <c r="J33" s="3" t="n">
        <v>3</v>
      </c>
      <c r="K33" s="3" t="n">
        <v>3</v>
      </c>
      <c r="L33" s="3" t="n">
        <v>3</v>
      </c>
    </row>
    <row r="34" customFormat="false" ht="15" hidden="false" customHeight="false" outlineLevel="0" collapsed="false">
      <c r="A34" s="0" t="s">
        <v>100</v>
      </c>
      <c r="B34" s="3" t="n">
        <v>10.5</v>
      </c>
    </row>
    <row r="35" customFormat="false" ht="15" hidden="false" customHeight="false" outlineLevel="0" collapsed="false">
      <c r="A35" s="0" t="s">
        <v>101</v>
      </c>
      <c r="B35" s="3" t="n">
        <v>2.5</v>
      </c>
    </row>
    <row r="36" customFormat="false" ht="15" hidden="false" customHeight="false" outlineLevel="0" collapsed="false">
      <c r="A36" s="0" t="s">
        <v>102</v>
      </c>
      <c r="B36" s="3" t="n">
        <v>12</v>
      </c>
    </row>
    <row r="37" customFormat="false" ht="15" hidden="false" customHeight="false" outlineLevel="0" collapsed="false">
      <c r="A37" s="0" t="s">
        <v>103</v>
      </c>
      <c r="B37" s="3" t="n">
        <v>0</v>
      </c>
    </row>
    <row r="38" customFormat="false" ht="15" hidden="false" customHeight="false" outlineLevel="0" collapsed="false">
      <c r="A38" s="0" t="s">
        <v>104</v>
      </c>
      <c r="B38" s="3" t="n">
        <v>0.5</v>
      </c>
    </row>
    <row r="40" customFormat="false" ht="15" hidden="false" customHeight="false" outlineLevel="0" collapsed="false">
      <c r="A40" s="2" t="s">
        <v>106</v>
      </c>
      <c r="C40" s="2" t="s">
        <v>83</v>
      </c>
      <c r="D40" s="2" t="s">
        <v>84</v>
      </c>
      <c r="E40" s="2" t="s">
        <v>85</v>
      </c>
      <c r="F40" s="2" t="s">
        <v>86</v>
      </c>
      <c r="G40" s="2" t="s">
        <v>87</v>
      </c>
      <c r="H40" s="2" t="s">
        <v>88</v>
      </c>
      <c r="I40" s="2" t="s">
        <v>89</v>
      </c>
      <c r="J40" s="2" t="s">
        <v>90</v>
      </c>
      <c r="K40" s="2" t="s">
        <v>91</v>
      </c>
      <c r="L40" s="2" t="s">
        <v>92</v>
      </c>
    </row>
    <row r="41" customFormat="false" ht="15" hidden="false" customHeight="false" outlineLevel="0" collapsed="false">
      <c r="A41" s="0" t="s">
        <v>93</v>
      </c>
      <c r="C41" s="3" t="n">
        <v>5</v>
      </c>
      <c r="D41" s="3" t="n">
        <v>6</v>
      </c>
      <c r="E41" s="3" t="n">
        <v>5</v>
      </c>
      <c r="F41" s="3" t="n">
        <v>4</v>
      </c>
      <c r="G41" s="3" t="n">
        <v>3.5</v>
      </c>
      <c r="H41" s="3" t="n">
        <v>3</v>
      </c>
      <c r="I41" s="3" t="n">
        <v>3</v>
      </c>
      <c r="J41" s="3" t="n">
        <v>3</v>
      </c>
      <c r="K41" s="3" t="n">
        <v>2.5</v>
      </c>
      <c r="L41" s="3" t="n">
        <v>2.5</v>
      </c>
    </row>
    <row r="42" customFormat="false" ht="15" hidden="false" customHeight="false" outlineLevel="0" collapsed="false">
      <c r="A42" s="0" t="s">
        <v>94</v>
      </c>
      <c r="C42" s="3" t="n">
        <v>34</v>
      </c>
      <c r="D42" s="3" t="n">
        <v>30</v>
      </c>
      <c r="E42" s="3" t="n">
        <v>29</v>
      </c>
      <c r="F42" s="3" t="n">
        <v>30</v>
      </c>
      <c r="G42" s="3" t="n">
        <v>31</v>
      </c>
      <c r="H42" s="3" t="n">
        <v>32</v>
      </c>
      <c r="I42" s="3" t="n">
        <v>32</v>
      </c>
      <c r="J42" s="3" t="n">
        <v>32</v>
      </c>
      <c r="K42" s="3" t="n">
        <v>32</v>
      </c>
      <c r="L42" s="3" t="n">
        <v>32</v>
      </c>
    </row>
    <row r="43" customFormat="false" ht="15" hidden="false" customHeight="false" outlineLevel="0" collapsed="false">
      <c r="A43" s="0" t="s">
        <v>95</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96</v>
      </c>
      <c r="C44" s="3" t="n">
        <v>5</v>
      </c>
      <c r="D44" s="3" t="n">
        <v>4.5</v>
      </c>
      <c r="E44" s="3" t="n">
        <v>4</v>
      </c>
      <c r="F44" s="3" t="n">
        <v>4</v>
      </c>
      <c r="G44" s="3" t="n">
        <v>4</v>
      </c>
      <c r="H44" s="3" t="n">
        <v>4</v>
      </c>
      <c r="I44" s="3" t="n">
        <v>4</v>
      </c>
      <c r="J44" s="3" t="n">
        <v>4</v>
      </c>
      <c r="K44" s="3" t="n">
        <v>4</v>
      </c>
      <c r="L44" s="3" t="n">
        <v>4</v>
      </c>
    </row>
    <row r="45" customFormat="false" ht="15" hidden="false" customHeight="false" outlineLevel="0" collapsed="false">
      <c r="A45" s="0" t="s">
        <v>97</v>
      </c>
      <c r="C45" s="3" t="n">
        <v>10</v>
      </c>
      <c r="D45" s="3" t="n">
        <v>11.5</v>
      </c>
      <c r="E45" s="3" t="n">
        <v>11.5</v>
      </c>
      <c r="F45" s="3" t="n">
        <v>11.5</v>
      </c>
      <c r="G45" s="3" t="n">
        <v>11</v>
      </c>
      <c r="H45" s="3" t="n">
        <v>11</v>
      </c>
      <c r="I45" s="3" t="n">
        <v>10.5</v>
      </c>
      <c r="J45" s="3" t="n">
        <v>10.5</v>
      </c>
      <c r="K45" s="3" t="n">
        <v>10.5</v>
      </c>
      <c r="L45" s="3" t="n">
        <v>10.5</v>
      </c>
    </row>
    <row r="46" customFormat="false" ht="15" hidden="false" customHeight="false" outlineLevel="0" collapsed="false">
      <c r="A46" s="0" t="s">
        <v>98</v>
      </c>
      <c r="C46" s="3" t="n">
        <v>33</v>
      </c>
      <c r="D46" s="3" t="n">
        <v>28</v>
      </c>
      <c r="E46" s="3" t="n">
        <v>12</v>
      </c>
      <c r="F46" s="3" t="n">
        <v>11</v>
      </c>
      <c r="G46" s="3" t="n">
        <v>11</v>
      </c>
      <c r="H46" s="3" t="n">
        <v>11</v>
      </c>
      <c r="I46" s="3" t="n">
        <v>10.5</v>
      </c>
      <c r="J46" s="3" t="n">
        <v>10.5</v>
      </c>
      <c r="K46" s="3" t="n">
        <v>10.5</v>
      </c>
      <c r="L46" s="3" t="n">
        <v>10.5</v>
      </c>
    </row>
    <row r="47" customFormat="false" ht="15" hidden="false" customHeight="false" outlineLevel="0" collapsed="false">
      <c r="A47" s="0" t="s">
        <v>99</v>
      </c>
      <c r="C47" s="3" t="n">
        <v>2</v>
      </c>
      <c r="D47" s="3" t="n">
        <v>2</v>
      </c>
      <c r="E47" s="3" t="n">
        <v>2.5</v>
      </c>
      <c r="F47" s="3" t="n">
        <v>3</v>
      </c>
      <c r="G47" s="3" t="n">
        <v>3</v>
      </c>
      <c r="H47" s="3" t="n">
        <v>3</v>
      </c>
      <c r="I47" s="3" t="n">
        <v>3</v>
      </c>
      <c r="J47" s="3" t="n">
        <v>3</v>
      </c>
      <c r="K47" s="3" t="n">
        <v>3</v>
      </c>
      <c r="L47" s="3" t="n">
        <v>3</v>
      </c>
    </row>
    <row r="48" customFormat="false" ht="15" hidden="false" customHeight="false" outlineLevel="0" collapsed="false">
      <c r="A48" s="0" t="s">
        <v>100</v>
      </c>
      <c r="B48" s="3" t="n">
        <v>10.5</v>
      </c>
    </row>
    <row r="49" customFormat="false" ht="15" hidden="false" customHeight="false" outlineLevel="0" collapsed="false">
      <c r="A49" s="0" t="s">
        <v>101</v>
      </c>
      <c r="B49" s="3" t="n">
        <v>2.5</v>
      </c>
    </row>
    <row r="50" customFormat="false" ht="15" hidden="false" customHeight="false" outlineLevel="0" collapsed="false">
      <c r="A50" s="0" t="s">
        <v>102</v>
      </c>
      <c r="B50" s="3" t="n">
        <v>14</v>
      </c>
    </row>
    <row r="51" customFormat="false" ht="15" hidden="false" customHeight="false" outlineLevel="0" collapsed="false">
      <c r="A51" s="0" t="s">
        <v>103</v>
      </c>
      <c r="B51" s="3" t="n">
        <v>0</v>
      </c>
    </row>
    <row r="52" customFormat="false" ht="15" hidden="false" customHeight="false" outlineLevel="0" collapsed="false">
      <c r="A52" s="0" t="s">
        <v>104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107</v>
      </c>
    </row>
    <row r="3" customFormat="false" ht="15" hidden="false" customHeight="false" outlineLevel="0" collapsed="false">
      <c r="A3" s="0" t="s">
        <v>108</v>
      </c>
      <c r="B3" s="0" t="s">
        <v>78</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Assumptions!C13</f>
        <v>-8</v>
      </c>
      <c r="D5" s="4" t="n">
        <f aca="false">Assumptions!D13</f>
        <v>-4</v>
      </c>
      <c r="E5" s="4" t="n">
        <f aca="false">Assumptions!E13</f>
        <v>3</v>
      </c>
      <c r="F5" s="4" t="n">
        <f aca="false">Assumptions!F13</f>
        <v>3</v>
      </c>
      <c r="G5" s="4" t="n">
        <f aca="false">Assumptions!G13</f>
        <v>3</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38</v>
      </c>
      <c r="B6" s="3" t="n">
        <v>1323</v>
      </c>
      <c r="C6" s="0" t="n">
        <f aca="false">B6*(1+C5/100)</f>
        <v>1217.16</v>
      </c>
      <c r="D6" s="0" t="n">
        <f aca="false">C6*(1+D5/100)</f>
        <v>1168.4736</v>
      </c>
      <c r="E6" s="0" t="n">
        <f aca="false">D6*(1+E5/100)</f>
        <v>1203.527808</v>
      </c>
      <c r="F6" s="0" t="n">
        <f aca="false">E6*(1+F5/100)</f>
        <v>1239.63364224</v>
      </c>
      <c r="G6" s="0" t="n">
        <f aca="false">F6*(1+G5/100)</f>
        <v>1276.8226515072</v>
      </c>
      <c r="H6" s="0" t="n">
        <f aca="false">G6*(1+H5/100)</f>
        <v>1308.74321779488</v>
      </c>
      <c r="I6" s="0" t="n">
        <f aca="false">H6*(1+I5/100)</f>
        <v>1341.46179823975</v>
      </c>
      <c r="J6" s="0" t="n">
        <f aca="false">I6*(1+J5/100)</f>
        <v>1374.99834319575</v>
      </c>
      <c r="K6" s="0" t="n">
        <f aca="false">J6*(1+K5/100)</f>
        <v>1409.37330177564</v>
      </c>
      <c r="L6" s="0" t="n">
        <f aca="false">K6*(1+L5/100)</f>
        <v>1444.60763432003</v>
      </c>
    </row>
    <row r="7" customFormat="false" ht="15" hidden="false" customHeight="false" outlineLevel="0" collapsed="false">
      <c r="A7" s="0" t="s">
        <v>94</v>
      </c>
      <c r="C7" s="4" t="n">
        <f aca="false">Assumptions!C14</f>
        <v>22</v>
      </c>
      <c r="D7" s="4" t="n">
        <f aca="false">Assumptions!D14</f>
        <v>16</v>
      </c>
      <c r="E7" s="4" t="n">
        <f aca="false">Assumptions!E14</f>
        <v>17</v>
      </c>
      <c r="F7" s="4" t="n">
        <f aca="false">Assumptions!F14</f>
        <v>19</v>
      </c>
      <c r="G7" s="4" t="n">
        <f aca="false">Assumptions!G14</f>
        <v>20</v>
      </c>
      <c r="H7" s="4" t="n">
        <f aca="false">Assumptions!H14</f>
        <v>21</v>
      </c>
      <c r="I7" s="4" t="n">
        <f aca="false">Assumptions!I14</f>
        <v>21</v>
      </c>
      <c r="J7" s="4" t="n">
        <f aca="false">Assumptions!J14</f>
        <v>21</v>
      </c>
      <c r="K7" s="4" t="n">
        <f aca="false">Assumptions!K14</f>
        <v>21</v>
      </c>
      <c r="L7" s="4" t="n">
        <f aca="false">Assumptions!L14</f>
        <v>21</v>
      </c>
    </row>
    <row r="8" customFormat="false" ht="15" hidden="false" customHeight="false" outlineLevel="0" collapsed="false">
      <c r="A8" s="0" t="s">
        <v>44</v>
      </c>
      <c r="C8" s="0" t="n">
        <f aca="false">C6*C7/100</f>
        <v>267.7752</v>
      </c>
      <c r="D8" s="0" t="n">
        <f aca="false">D6*D7/100</f>
        <v>186.955776</v>
      </c>
      <c r="E8" s="0" t="n">
        <f aca="false">E6*E7/100</f>
        <v>204.59972736</v>
      </c>
      <c r="F8" s="0" t="n">
        <f aca="false">F6*F7/100</f>
        <v>235.5303920256</v>
      </c>
      <c r="G8" s="0" t="n">
        <f aca="false">G6*G7/100</f>
        <v>255.36453030144</v>
      </c>
      <c r="H8" s="0" t="n">
        <f aca="false">H6*H7/100</f>
        <v>274.836075736925</v>
      </c>
      <c r="I8" s="0" t="n">
        <f aca="false">I6*I7/100</f>
        <v>281.706977630348</v>
      </c>
      <c r="J8" s="0" t="n">
        <f aca="false">J6*J7/100</f>
        <v>288.749652071107</v>
      </c>
      <c r="K8" s="0" t="n">
        <f aca="false">K6*K7/100</f>
        <v>295.968393372884</v>
      </c>
      <c r="L8" s="0" t="n">
        <f aca="false">L6*L7/100</f>
        <v>303.367603207206</v>
      </c>
    </row>
    <row r="9" customFormat="false" ht="15" hidden="false" customHeight="false" outlineLevel="0" collapsed="false">
      <c r="A9" s="0" t="s">
        <v>95</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111</v>
      </c>
      <c r="C11" s="0" t="n">
        <f aca="false">C8+C10+C24</f>
        <v>206.9172</v>
      </c>
      <c r="D11" s="0" t="n">
        <f aca="false">D8+D10+D24</f>
        <v>134.374464</v>
      </c>
      <c r="E11" s="0" t="n">
        <f aca="false">E8+E10+E24</f>
        <v>156.45861504</v>
      </c>
      <c r="F11" s="0" t="n">
        <f aca="false">F8+F10+F24</f>
        <v>185.945046336</v>
      </c>
      <c r="G11" s="0" t="n">
        <f aca="false">G8+G10+G24</f>
        <v>204.291624241152</v>
      </c>
      <c r="H11" s="0" t="n">
        <f aca="false">H8+H10+H24</f>
        <v>222.48634702513</v>
      </c>
      <c r="I11" s="0" t="n">
        <f aca="false">I8+I10+I24</f>
        <v>228.048505700758</v>
      </c>
      <c r="J11" s="0" t="n">
        <f aca="false">J8+J10+J24</f>
        <v>233.749718343277</v>
      </c>
      <c r="K11" s="0" t="n">
        <f aca="false">K8+K10+K24</f>
        <v>239.593461301859</v>
      </c>
      <c r="L11" s="0" t="n">
        <f aca="false">L8+L10+L24</f>
        <v>245.583297834405</v>
      </c>
    </row>
    <row r="12" customFormat="false" ht="15" hidden="false" customHeight="false" outlineLevel="0" collapsed="false">
      <c r="A12" s="0" t="s">
        <v>112</v>
      </c>
      <c r="C12" s="4" t="n">
        <f aca="false">-C6*Assumptions!C17/100</f>
        <v>-127.8018</v>
      </c>
      <c r="D12" s="4" t="n">
        <f aca="false">-D6*Assumptions!D17/100</f>
        <v>-146.0592</v>
      </c>
      <c r="E12" s="4" t="n">
        <f aca="false">-E6*Assumptions!E17/100</f>
        <v>-150.440976</v>
      </c>
      <c r="F12" s="4" t="n">
        <f aca="false">-F6*Assumptions!F17/100</f>
        <v>-154.95420528</v>
      </c>
      <c r="G12" s="4" t="n">
        <f aca="false">-G6*Assumptions!G17/100</f>
        <v>-153.218718180864</v>
      </c>
      <c r="H12" s="4" t="n">
        <f aca="false">-H6*Assumptions!H17/100</f>
        <v>-157.049186135386</v>
      </c>
      <c r="I12" s="4" t="n">
        <f aca="false">-I6*Assumptions!I17/100</f>
        <v>-154.268106797571</v>
      </c>
      <c r="J12" s="4" t="n">
        <f aca="false">-J6*Assumptions!J17/100</f>
        <v>-158.124809467511</v>
      </c>
      <c r="K12" s="4" t="n">
        <f aca="false">-K6*Assumptions!K17/100</f>
        <v>-162.077929704198</v>
      </c>
      <c r="L12" s="4" t="n">
        <f aca="false">-L6*Assumptions!L17/100</f>
        <v>-166.129877946803</v>
      </c>
    </row>
    <row r="13" customFormat="false" ht="15" hidden="false" customHeight="false" outlineLevel="0" collapsed="false">
      <c r="A13" s="0" t="s">
        <v>113</v>
      </c>
      <c r="C13" s="0" t="n">
        <f aca="false">C11+C12</f>
        <v>79.1154</v>
      </c>
      <c r="D13" s="0" t="n">
        <f aca="false">D11+D12</f>
        <v>-11.684736</v>
      </c>
      <c r="E13" s="0" t="n">
        <f aca="false">E11+E12</f>
        <v>6.01763903999998</v>
      </c>
      <c r="F13" s="0" t="n">
        <f aca="false">F11+F12</f>
        <v>30.990841056</v>
      </c>
      <c r="G13" s="0" t="n">
        <f aca="false">G11+G12</f>
        <v>51.072906060288</v>
      </c>
      <c r="H13" s="0" t="n">
        <f aca="false">H11+H12</f>
        <v>65.437160889744</v>
      </c>
      <c r="I13" s="0" t="n">
        <f aca="false">I11+I12</f>
        <v>73.7803989031863</v>
      </c>
      <c r="J13" s="0" t="n">
        <f aca="false">J11+J12</f>
        <v>75.624908875766</v>
      </c>
      <c r="K13" s="0" t="n">
        <f aca="false">K11+K12</f>
        <v>77.5155315976601</v>
      </c>
      <c r="L13" s="0" t="n">
        <f aca="false">L11+L12</f>
        <v>79.4534198876016</v>
      </c>
    </row>
    <row r="14" customFormat="false" ht="15" hidden="false" customHeight="false" outlineLevel="0" collapsed="false">
      <c r="A14" s="0" t="s">
        <v>99</v>
      </c>
      <c r="C14" s="4" t="n">
        <f aca="false">Assumptions!C19</f>
        <v>2</v>
      </c>
      <c r="D14" s="4" t="n">
        <f aca="false">Assumptions!D19</f>
        <v>2</v>
      </c>
      <c r="E14" s="4" t="n">
        <f aca="false">Assumptions!E19</f>
        <v>2.5</v>
      </c>
      <c r="F14" s="4" t="n">
        <f aca="false">Assumptions!F19</f>
        <v>3</v>
      </c>
      <c r="G14" s="4" t="n">
        <f aca="false">Assumptions!G19</f>
        <v>3</v>
      </c>
      <c r="H14" s="4" t="n">
        <f aca="false">Assumptions!H19</f>
        <v>3</v>
      </c>
      <c r="I14" s="4" t="n">
        <f aca="false">Assumptions!I19</f>
        <v>3</v>
      </c>
      <c r="J14" s="4" t="n">
        <f aca="false">Assumptions!J19</f>
        <v>3</v>
      </c>
      <c r="K14" s="4" t="n">
        <f aca="false">Assumptions!K19</f>
        <v>3</v>
      </c>
      <c r="L14" s="4" t="n">
        <f aca="false">Assumptions!L19</f>
        <v>3</v>
      </c>
    </row>
    <row r="15" customFormat="false" ht="15" hidden="false" customHeight="false" outlineLevel="0" collapsed="false">
      <c r="A15" s="0" t="s">
        <v>114</v>
      </c>
      <c r="C15" s="0" t="n">
        <f aca="false">C13-MAX(0,C13)*C14/100</f>
        <v>77.533092</v>
      </c>
      <c r="D15" s="0" t="n">
        <f aca="false">D13-MAX(0,D13)*D14/100</f>
        <v>-11.684736</v>
      </c>
      <c r="E15" s="0" t="n">
        <f aca="false">E13-MAX(0,E13)*E14/100</f>
        <v>5.86719806399998</v>
      </c>
      <c r="F15" s="0" t="n">
        <f aca="false">F13-MAX(0,F13)*F14/100</f>
        <v>30.06111582432</v>
      </c>
      <c r="G15" s="0" t="n">
        <f aca="false">G13-MAX(0,G13)*G14/100</f>
        <v>49.5407188784794</v>
      </c>
      <c r="H15" s="0" t="n">
        <f aca="false">H13-MAX(0,H13)*H14/100</f>
        <v>63.4740460630516</v>
      </c>
      <c r="I15" s="0" t="n">
        <f aca="false">I13-MAX(0,I13)*I14/100</f>
        <v>71.5669869360907</v>
      </c>
      <c r="J15" s="0" t="n">
        <f aca="false">J13-MAX(0,J13)*J14/100</f>
        <v>73.356161609493</v>
      </c>
      <c r="K15" s="0" t="n">
        <f aca="false">K13-MAX(0,K13)*K14/100</f>
        <v>75.1900656497303</v>
      </c>
      <c r="L15" s="0" t="n">
        <f aca="false">L13-MAX(0,L13)*L14/100</f>
        <v>77.0698172909736</v>
      </c>
    </row>
    <row r="16" customFormat="false" ht="15" hidden="false" customHeight="false" outlineLevel="0" collapsed="false">
      <c r="A16" s="0" t="s">
        <v>115</v>
      </c>
      <c r="C16" s="0" t="n">
        <f aca="false">-C12</f>
        <v>127.8018</v>
      </c>
      <c r="D16" s="0" t="n">
        <f aca="false">-D12</f>
        <v>146.0592</v>
      </c>
      <c r="E16" s="0" t="n">
        <f aca="false">-E12</f>
        <v>150.440976</v>
      </c>
      <c r="F16" s="0" t="n">
        <f aca="false">-F12</f>
        <v>154.95420528</v>
      </c>
      <c r="G16" s="0" t="n">
        <f aca="false">-G12</f>
        <v>153.218718180864</v>
      </c>
      <c r="H16" s="0" t="n">
        <f aca="false">-H12</f>
        <v>157.049186135386</v>
      </c>
      <c r="I16" s="0" t="n">
        <f aca="false">-I12</f>
        <v>154.268106797571</v>
      </c>
      <c r="J16" s="0" t="n">
        <f aca="false">-J12</f>
        <v>158.124809467511</v>
      </c>
      <c r="K16" s="0" t="n">
        <f aca="false">-K12</f>
        <v>162.077929704198</v>
      </c>
      <c r="L16" s="0" t="n">
        <f aca="false">-L12</f>
        <v>166.129877946803</v>
      </c>
    </row>
    <row r="17" customFormat="false" ht="15" hidden="false" customHeight="false" outlineLevel="0" collapsed="false">
      <c r="A17" s="0" t="s">
        <v>116</v>
      </c>
      <c r="C17" s="4" t="n">
        <f aca="false">-C6*Assumptions!C18/100</f>
        <v>-426.006</v>
      </c>
      <c r="D17" s="4" t="n">
        <f aca="false">-D6*Assumptions!D18/100</f>
        <v>-373.911552</v>
      </c>
      <c r="E17" s="4" t="n">
        <f aca="false">-E6*Assumptions!E18/100</f>
        <v>-132.38805888</v>
      </c>
      <c r="F17" s="4" t="n">
        <f aca="false">-F6*Assumptions!F18/100</f>
        <v>-130.1615324352</v>
      </c>
      <c r="G17" s="4" t="n">
        <f aca="false">-G6*Assumptions!G18/100</f>
        <v>-134.066378408256</v>
      </c>
      <c r="H17" s="4" t="n">
        <f aca="false">-H6*Assumptions!H18/100</f>
        <v>-137.418037868462</v>
      </c>
      <c r="I17" s="4" t="n">
        <f aca="false">-I6*Assumptions!I18/100</f>
        <v>-140.853488815174</v>
      </c>
      <c r="J17" s="4" t="n">
        <f aca="false">-J6*Assumptions!J18/100</f>
        <v>-144.374826035553</v>
      </c>
      <c r="K17" s="4" t="n">
        <f aca="false">-K6*Assumptions!K18/100</f>
        <v>-147.984196686442</v>
      </c>
      <c r="L17" s="4" t="n">
        <f aca="false">-L6*Assumptions!L18/100</f>
        <v>-151.683801603603</v>
      </c>
    </row>
    <row r="18" customFormat="false" ht="15" hidden="false" customHeight="false" outlineLevel="0" collapsed="false">
      <c r="A18" s="0" t="s">
        <v>117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118</v>
      </c>
      <c r="C19" s="0" t="n">
        <f aca="false">C15+C16+C17+C18</f>
        <v>-220.671108</v>
      </c>
      <c r="D19" s="0" t="n">
        <f aca="false">D15+D16+D17+D18</f>
        <v>-239.537088</v>
      </c>
      <c r="E19" s="0" t="n">
        <f aca="false">E15+E16+E17+E18</f>
        <v>23.920115184</v>
      </c>
      <c r="F19" s="0" t="n">
        <f aca="false">F15+F16+F17+F18</f>
        <v>54.85378866912</v>
      </c>
      <c r="G19" s="0" t="n">
        <f aca="false">G15+G16+G17+G18</f>
        <v>68.6930586510874</v>
      </c>
      <c r="H19" s="0" t="n">
        <f aca="false">H15+H16+H17+H18</f>
        <v>83.1051943299748</v>
      </c>
      <c r="I19" s="0" t="n">
        <f aca="false">I15+I16+I17+I18</f>
        <v>84.9816049184882</v>
      </c>
      <c r="J19" s="0" t="n">
        <f aca="false">J15+J16+J17+J18</f>
        <v>87.1061450414505</v>
      </c>
      <c r="K19" s="0" t="n">
        <f aca="false">K15+K16+K17+K18</f>
        <v>89.2837986674867</v>
      </c>
      <c r="L19" s="0" t="n">
        <f aca="false">L15+L16+L17+L18</f>
        <v>91.5158936341739</v>
      </c>
    </row>
    <row r="20" customFormat="false" ht="15" hidden="false" customHeight="false" outlineLevel="0" collapsed="false">
      <c r="A20" s="0" t="s">
        <v>119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120</v>
      </c>
      <c r="C21" s="0" t="n">
        <f aca="false">C19*C20</f>
        <v>-199.702360180996</v>
      </c>
      <c r="D21" s="0" t="n">
        <f aca="false">D19*D20</f>
        <v>-196.177054523863</v>
      </c>
      <c r="E21" s="0" t="n">
        <f aca="false">E19*E20</f>
        <v>17.7286812820732</v>
      </c>
      <c r="F21" s="0" t="n">
        <f aca="false">F19*F20</f>
        <v>36.7923490655371</v>
      </c>
      <c r="G21" s="0" t="n">
        <f aca="false">G19*G20</f>
        <v>41.6966788070184</v>
      </c>
      <c r="H21" s="0" t="n">
        <f aca="false">H19*H20</f>
        <v>45.6514421075511</v>
      </c>
      <c r="I21" s="0" t="n">
        <f aca="false">I19*I20</f>
        <v>42.2463295535853</v>
      </c>
      <c r="J21" s="0" t="n">
        <f aca="false">J19*J20</f>
        <v>39.1877717578506</v>
      </c>
      <c r="K21" s="0" t="n">
        <f aca="false">K19*K20</f>
        <v>36.3506480106759</v>
      </c>
      <c r="L21" s="0" t="n">
        <f aca="false">L19*L20</f>
        <v>33.718926887731</v>
      </c>
    </row>
    <row r="23" customFormat="false" ht="15" hidden="false" customHeight="false" outlineLevel="0" collapsed="false">
      <c r="A23" s="0" t="s">
        <v>96</v>
      </c>
      <c r="C23" s="4" t="n">
        <f aca="false">Assumptions!C16</f>
        <v>5</v>
      </c>
      <c r="D23" s="4" t="n">
        <f aca="false">Assumptions!D16</f>
        <v>4.5</v>
      </c>
      <c r="E23" s="4" t="n">
        <f aca="false">Assumptions!E16</f>
        <v>4</v>
      </c>
      <c r="F23" s="4" t="n">
        <f aca="false">Assumptions!F16</f>
        <v>4</v>
      </c>
      <c r="G23" s="4" t="n">
        <f aca="false">Assumptions!G16</f>
        <v>4</v>
      </c>
      <c r="H23" s="4" t="n">
        <f aca="false">Assumptions!H16</f>
        <v>4</v>
      </c>
      <c r="I23" s="4" t="n">
        <f aca="false">Assumptions!I16</f>
        <v>4</v>
      </c>
      <c r="J23" s="4" t="n">
        <f aca="false">Assumptions!J16</f>
        <v>4</v>
      </c>
      <c r="K23" s="4" t="n">
        <f aca="false">Assumptions!K16</f>
        <v>4</v>
      </c>
      <c r="L23" s="4" t="n">
        <f aca="false">Assumptions!L16</f>
        <v>4</v>
      </c>
    </row>
    <row r="24" customFormat="false" ht="15" hidden="false" customHeight="false" outlineLevel="0" collapsed="false">
      <c r="A24" s="0" t="s">
        <v>121</v>
      </c>
      <c r="C24" s="0" t="n">
        <f aca="false">-C6*C23/100</f>
        <v>-60.858</v>
      </c>
      <c r="D24" s="0" t="n">
        <f aca="false">-D6*D23/100</f>
        <v>-52.581312</v>
      </c>
      <c r="E24" s="0" t="n">
        <f aca="false">-E6*E23/100</f>
        <v>-48.14111232</v>
      </c>
      <c r="F24" s="0" t="n">
        <f aca="false">-F6*F23/100</f>
        <v>-49.5853456896</v>
      </c>
      <c r="G24" s="0" t="n">
        <f aca="false">-G6*G23/100</f>
        <v>-51.072906060288</v>
      </c>
      <c r="H24" s="0" t="n">
        <f aca="false">-H6*H23/100</f>
        <v>-52.3497287117952</v>
      </c>
      <c r="I24" s="0" t="n">
        <f aca="false">-I6*I23/100</f>
        <v>-53.6584719295901</v>
      </c>
      <c r="J24" s="0" t="n">
        <f aca="false">-J6*J23/100</f>
        <v>-54.9999337278298</v>
      </c>
      <c r="K24" s="0" t="n">
        <f aca="false">-K6*K23/100</f>
        <v>-56.3749320710255</v>
      </c>
      <c r="L24" s="0" t="n">
        <f aca="false">-L6*L23/100</f>
        <v>-57.7843053728012</v>
      </c>
    </row>
    <row r="26" customFormat="false" ht="15" hidden="false" customHeight="false" outlineLevel="0" collapsed="false">
      <c r="A26" s="2" t="s">
        <v>122</v>
      </c>
    </row>
    <row r="27" customFormat="false" ht="15" hidden="false" customHeight="false" outlineLevel="0" collapsed="false">
      <c r="A27" s="0" t="s">
        <v>100</v>
      </c>
      <c r="B27" s="4" t="n">
        <f aca="false">Assumptions!$B$20</f>
        <v>10.5</v>
      </c>
    </row>
    <row r="28" customFormat="false" ht="15" hidden="false" customHeight="false" outlineLevel="0" collapsed="false">
      <c r="A28" s="0" t="s">
        <v>101</v>
      </c>
      <c r="B28" s="4" t="n">
        <f aca="false">Assumptions!$B$21</f>
        <v>2</v>
      </c>
    </row>
    <row r="29" customFormat="false" ht="15" hidden="false" customHeight="false" outlineLevel="0" collapsed="false">
      <c r="A29" s="0" t="s">
        <v>102</v>
      </c>
      <c r="B29" s="4" t="n">
        <f aca="false">Assumptions!$B$22</f>
        <v>10</v>
      </c>
    </row>
    <row r="30" customFormat="false" ht="15" hidden="false" customHeight="false" outlineLevel="0" collapsed="false">
      <c r="A30" s="0" t="s">
        <v>123</v>
      </c>
      <c r="B30" s="0" t="n">
        <f aca="false">SUM(C21:L21)</f>
        <v>-102.506587232836</v>
      </c>
    </row>
    <row r="31" customFormat="false" ht="15" hidden="false" customHeight="false" outlineLevel="0" collapsed="false">
      <c r="A31" s="0" t="s">
        <v>124</v>
      </c>
      <c r="B31" s="0" t="n">
        <f aca="false">L19</f>
        <v>91.5158936341739</v>
      </c>
    </row>
    <row r="32" customFormat="false" ht="15" hidden="false" customHeight="false" outlineLevel="0" collapsed="false">
      <c r="A32" s="0" t="s">
        <v>125</v>
      </c>
      <c r="B32" s="0" t="n">
        <f aca="false">IF(B27&gt;B28,B31*(1+B28/100)/((B27-B28)/100),B31*B29)</f>
        <v>1098.19072361009</v>
      </c>
    </row>
    <row r="33" customFormat="false" ht="15" hidden="false" customHeight="false" outlineLevel="0" collapsed="false">
      <c r="A33" s="0" t="s">
        <v>126</v>
      </c>
      <c r="B33" s="0" t="n">
        <f aca="false">B31*B29</f>
        <v>915.158936341739</v>
      </c>
    </row>
    <row r="34" customFormat="false" ht="15" hidden="false" customHeight="false" outlineLevel="0" collapsed="false">
      <c r="A34" s="0" t="s">
        <v>127</v>
      </c>
      <c r="B34" s="0" t="n">
        <f aca="false">MAX(0,MIN(B32,B33))</f>
        <v>915.158936341739</v>
      </c>
    </row>
    <row r="35" customFormat="false" ht="15" hidden="false" customHeight="false" outlineLevel="0" collapsed="false">
      <c r="A35" s="0" t="s">
        <v>128</v>
      </c>
      <c r="B35" s="0" t="n">
        <f aca="false">B34/(1+B27/100)^L4</f>
        <v>337.18926887731</v>
      </c>
    </row>
    <row r="36" customFormat="false" ht="15" hidden="false" customHeight="false" outlineLevel="0" collapsed="false">
      <c r="A36" s="0" t="s">
        <v>129</v>
      </c>
      <c r="B36" s="0" t="n">
        <f aca="false">B30+B35</f>
        <v>234.682681644474</v>
      </c>
    </row>
    <row r="37" customFormat="false" ht="15" hidden="false" customHeight="false" outlineLevel="0" collapsed="false">
      <c r="A37" s="0" t="s">
        <v>130</v>
      </c>
      <c r="B37" s="0" t="n">
        <f aca="false">B36+Assumptions!$B$5-Assumptions!$B$4</f>
        <v>627.507681644474</v>
      </c>
    </row>
    <row r="38" customFormat="false" ht="15" hidden="false" customHeight="false" outlineLevel="0" collapsed="false">
      <c r="A38" s="0" t="s">
        <v>131</v>
      </c>
      <c r="B38" s="0" t="n">
        <f aca="false">B37/Assumptions!$B$3*Assumptions!$B$10</f>
        <v>2.95767318132676</v>
      </c>
    </row>
    <row r="39" customFormat="false" ht="15" hidden="false" customHeight="false" outlineLevel="0" collapsed="false">
      <c r="A39" s="0" t="s">
        <v>132</v>
      </c>
      <c r="B39" s="4" t="n">
        <f aca="false">B38/Assumptions!$B$2-1</f>
        <v>-0.785831051315948</v>
      </c>
    </row>
    <row r="41" customFormat="false" ht="15" hidden="false" customHeight="false" outlineLevel="0" collapsed="false">
      <c r="A41" s="0" t="s">
        <v>133</v>
      </c>
      <c r="B41" s="0" t="n">
        <f aca="false">SUMPRODUCT(-C10:L10/(1+$B$27/100)^C4:L4)</f>
        <v>0</v>
      </c>
    </row>
    <row r="42" customFormat="false" ht="15" hidden="false" customHeight="false" outlineLevel="0" collapsed="false">
      <c r="A42" s="0" t="s">
        <v>134</v>
      </c>
      <c r="B42" s="0" t="n">
        <f aca="false">IF(B27&gt;B28,-L10*(1+B28/100)/((B27-B28)/100),-L10*20)/(1+B27/100)^L4</f>
        <v>0</v>
      </c>
    </row>
    <row r="43" customFormat="false" ht="15" hidden="false" customHeight="false" outlineLevel="0" collapsed="false">
      <c r="A43" s="0" t="s">
        <v>135</v>
      </c>
      <c r="B43" s="0" t="n">
        <f aca="false">(B37+B41+B42)/Assumptions!$B$3*Assumptions!$B$10</f>
        <v>2.95767318132676</v>
      </c>
    </row>
    <row r="45" customFormat="false" ht="15" hidden="false" customHeight="false" outlineLevel="0" collapsed="false">
      <c r="A45" s="0" t="s">
        <v>75</v>
      </c>
      <c r="B45" s="4" t="n">
        <f aca="false">Assumptions!$B$6</f>
        <v>15</v>
      </c>
    </row>
    <row r="46" customFormat="false" ht="15" hidden="false" customHeight="false" outlineLevel="0" collapsed="false">
      <c r="A46" s="0" t="s">
        <v>136</v>
      </c>
      <c r="B46" s="0" t="n">
        <f aca="false">MAX(0,MIN(IF(B45&gt;B28,B31*(1+B28/100)/((B45-B28)/100),B31*B29),B31*B29))</f>
        <v>718.04778082198</v>
      </c>
    </row>
    <row r="47" customFormat="false" ht="15" hidden="false" customHeight="false" outlineLevel="0" collapsed="false">
      <c r="A47" s="0" t="s">
        <v>137</v>
      </c>
      <c r="B47" s="0" t="n">
        <f aca="false">(SUMPRODUCT(C19:L19/(1+B45/100)^C4:L4)+B46/(1+B45/100)^L4+Assumptions!$B$5-Assumptions!$B$4)/Assumptions!$B$3*Assumptions!$B$10</f>
        <v>1.99327884800316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108</v>
      </c>
      <c r="B3" s="0" t="s">
        <v>78</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Assumptions!C27</f>
        <v>1</v>
      </c>
      <c r="D5" s="4" t="n">
        <f aca="false">Assumptions!D27</f>
        <v>4</v>
      </c>
      <c r="E5" s="4" t="n">
        <f aca="false">Assumptions!E27</f>
        <v>4</v>
      </c>
      <c r="F5" s="4" t="n">
        <f aca="false">Assumptions!F27</f>
        <v>3.5</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1323</v>
      </c>
      <c r="C6" s="0" t="n">
        <f aca="false">B6*(1+C5/100)</f>
        <v>1336.23</v>
      </c>
      <c r="D6" s="0" t="n">
        <f aca="false">C6*(1+D5/100)</f>
        <v>1389.6792</v>
      </c>
      <c r="E6" s="0" t="n">
        <f aca="false">D6*(1+E5/100)</f>
        <v>1445.266368</v>
      </c>
      <c r="F6" s="0" t="n">
        <f aca="false">E6*(1+F5/100)</f>
        <v>1495.85069088</v>
      </c>
      <c r="G6" s="0" t="n">
        <f aca="false">F6*(1+G5/100)</f>
        <v>1540.7262116064</v>
      </c>
      <c r="H6" s="0" t="n">
        <f aca="false">G6*(1+H5/100)</f>
        <v>1586.94799795459</v>
      </c>
      <c r="I6" s="0" t="n">
        <f aca="false">H6*(1+I5/100)</f>
        <v>1626.62169790346</v>
      </c>
      <c r="J6" s="0" t="n">
        <f aca="false">I6*(1+J5/100)</f>
        <v>1667.28724035104</v>
      </c>
      <c r="K6" s="0" t="n">
        <f aca="false">J6*(1+K5/100)</f>
        <v>1708.96942135982</v>
      </c>
      <c r="L6" s="0" t="n">
        <f aca="false">K6*(1+L5/100)</f>
        <v>1751.69365689381</v>
      </c>
    </row>
    <row r="7" customFormat="false" ht="15" hidden="false" customHeight="false" outlineLevel="0" collapsed="false">
      <c r="A7" s="0" t="s">
        <v>94</v>
      </c>
      <c r="C7" s="4" t="n">
        <f aca="false">Assumptions!C28</f>
        <v>30</v>
      </c>
      <c r="D7" s="4" t="n">
        <f aca="false">Assumptions!D28</f>
        <v>25</v>
      </c>
      <c r="E7" s="4" t="n">
        <f aca="false">Assumptions!E28</f>
        <v>24</v>
      </c>
      <c r="F7" s="4" t="n">
        <f aca="false">Assumptions!F28</f>
        <v>25</v>
      </c>
      <c r="G7" s="4" t="n">
        <f aca="false">Assumptions!G28</f>
        <v>26</v>
      </c>
      <c r="H7" s="4" t="n">
        <f aca="false">Assumptions!H28</f>
        <v>27</v>
      </c>
      <c r="I7" s="4" t="n">
        <f aca="false">Assumptions!I28</f>
        <v>27</v>
      </c>
      <c r="J7" s="4" t="n">
        <f aca="false">Assumptions!J28</f>
        <v>27</v>
      </c>
      <c r="K7" s="4" t="n">
        <f aca="false">Assumptions!K28</f>
        <v>27</v>
      </c>
      <c r="L7" s="4" t="n">
        <f aca="false">Assumptions!L28</f>
        <v>27</v>
      </c>
    </row>
    <row r="8" customFormat="false" ht="15" hidden="false" customHeight="false" outlineLevel="0" collapsed="false">
      <c r="A8" s="0" t="s">
        <v>44</v>
      </c>
      <c r="C8" s="0" t="n">
        <f aca="false">C6*C7/100</f>
        <v>400.869</v>
      </c>
      <c r="D8" s="0" t="n">
        <f aca="false">D6*D7/100</f>
        <v>347.4198</v>
      </c>
      <c r="E8" s="0" t="n">
        <f aca="false">E6*E7/100</f>
        <v>346.86392832</v>
      </c>
      <c r="F8" s="0" t="n">
        <f aca="false">F6*F7/100</f>
        <v>373.96267272</v>
      </c>
      <c r="G8" s="0" t="n">
        <f aca="false">G6*G7/100</f>
        <v>400.588815017664</v>
      </c>
      <c r="H8" s="0" t="n">
        <f aca="false">H6*H7/100</f>
        <v>428.47595944774</v>
      </c>
      <c r="I8" s="0" t="n">
        <f aca="false">I6*I7/100</f>
        <v>439.187858433933</v>
      </c>
      <c r="J8" s="0" t="n">
        <f aca="false">J6*J7/100</f>
        <v>450.167554894782</v>
      </c>
      <c r="K8" s="0" t="n">
        <f aca="false">K6*K7/100</f>
        <v>461.421743767151</v>
      </c>
      <c r="L8" s="0" t="n">
        <f aca="false">L6*L7/100</f>
        <v>472.95728736133</v>
      </c>
    </row>
    <row r="9" customFormat="false" ht="15" hidden="false" customHeight="false" outlineLevel="0" collapsed="false">
      <c r="A9" s="0" t="s">
        <v>95</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111</v>
      </c>
      <c r="C11" s="0" t="n">
        <f aca="false">C8+C10+C24</f>
        <v>334.0575</v>
      </c>
      <c r="D11" s="0" t="n">
        <f aca="false">D8+D10+D24</f>
        <v>284.884236</v>
      </c>
      <c r="E11" s="0" t="n">
        <f aca="false">E8+E10+E24</f>
        <v>289.0532736</v>
      </c>
      <c r="F11" s="0" t="n">
        <f aca="false">F8+F10+F24</f>
        <v>314.1286450848</v>
      </c>
      <c r="G11" s="0" t="n">
        <f aca="false">G8+G10+G24</f>
        <v>338.959766553408</v>
      </c>
      <c r="H11" s="0" t="n">
        <f aca="false">H8+H10+H24</f>
        <v>364.998039529556</v>
      </c>
      <c r="I11" s="0" t="n">
        <f aca="false">I8+I10+I24</f>
        <v>374.122990517795</v>
      </c>
      <c r="J11" s="0" t="n">
        <f aca="false">J8+J10+J24</f>
        <v>383.47606528074</v>
      </c>
      <c r="K11" s="0" t="n">
        <f aca="false">K8+K10+K24</f>
        <v>393.062966912758</v>
      </c>
      <c r="L11" s="0" t="n">
        <f aca="false">L8+L10+L24</f>
        <v>402.889541085577</v>
      </c>
    </row>
    <row r="12" customFormat="false" ht="15" hidden="false" customHeight="false" outlineLevel="0" collapsed="false">
      <c r="A12" s="0" t="s">
        <v>112</v>
      </c>
      <c r="C12" s="4" t="n">
        <f aca="false">-C6*Assumptions!C31/100</f>
        <v>-133.623</v>
      </c>
      <c r="D12" s="4" t="n">
        <f aca="false">-D6*Assumptions!D31/100</f>
        <v>-159.813108</v>
      </c>
      <c r="E12" s="4" t="n">
        <f aca="false">-E6*Assumptions!E31/100</f>
        <v>-166.20563232</v>
      </c>
      <c r="F12" s="4" t="n">
        <f aca="false">-F6*Assumptions!F31/100</f>
        <v>-172.0228294512</v>
      </c>
      <c r="G12" s="4" t="n">
        <f aca="false">-G6*Assumptions!G31/100</f>
        <v>-169.479883276704</v>
      </c>
      <c r="H12" s="4" t="n">
        <f aca="false">-H6*Assumptions!H31/100</f>
        <v>-174.564279775005</v>
      </c>
      <c r="I12" s="4" t="n">
        <f aca="false">-I6*Assumptions!I31/100</f>
        <v>-170.795278279863</v>
      </c>
      <c r="J12" s="4" t="n">
        <f aca="false">-J6*Assumptions!J31/100</f>
        <v>-175.06516023686</v>
      </c>
      <c r="K12" s="4" t="n">
        <f aca="false">-K6*Assumptions!K31/100</f>
        <v>-179.441789242781</v>
      </c>
      <c r="L12" s="4" t="n">
        <f aca="false">-L6*Assumptions!L31/100</f>
        <v>-183.927833973851</v>
      </c>
    </row>
    <row r="13" customFormat="false" ht="15" hidden="false" customHeight="false" outlineLevel="0" collapsed="false">
      <c r="A13" s="0" t="s">
        <v>113</v>
      </c>
      <c r="C13" s="0" t="n">
        <f aca="false">C11+C12</f>
        <v>200.4345</v>
      </c>
      <c r="D13" s="0" t="n">
        <f aca="false">D11+D12</f>
        <v>125.071128</v>
      </c>
      <c r="E13" s="0" t="n">
        <f aca="false">E11+E12</f>
        <v>122.84764128</v>
      </c>
      <c r="F13" s="0" t="n">
        <f aca="false">F11+F12</f>
        <v>142.1058156336</v>
      </c>
      <c r="G13" s="0" t="n">
        <f aca="false">G11+G12</f>
        <v>169.479883276704</v>
      </c>
      <c r="H13" s="0" t="n">
        <f aca="false">H11+H12</f>
        <v>190.433759754551</v>
      </c>
      <c r="I13" s="0" t="n">
        <f aca="false">I11+I12</f>
        <v>203.327712237932</v>
      </c>
      <c r="J13" s="0" t="n">
        <f aca="false">J11+J12</f>
        <v>208.41090504388</v>
      </c>
      <c r="K13" s="0" t="n">
        <f aca="false">K11+K12</f>
        <v>213.621177669977</v>
      </c>
      <c r="L13" s="0" t="n">
        <f aca="false">L11+L12</f>
        <v>218.961707111727</v>
      </c>
    </row>
    <row r="14" customFormat="false" ht="15" hidden="false" customHeight="false" outlineLevel="0" collapsed="false">
      <c r="A14" s="0" t="s">
        <v>99</v>
      </c>
      <c r="C14" s="4" t="n">
        <f aca="false">Assumptions!C33</f>
        <v>2</v>
      </c>
      <c r="D14" s="4" t="n">
        <f aca="false">Assumptions!D33</f>
        <v>2</v>
      </c>
      <c r="E14" s="4" t="n">
        <f aca="false">Assumptions!E33</f>
        <v>2.5</v>
      </c>
      <c r="F14" s="4" t="n">
        <f aca="false">Assumptions!F33</f>
        <v>3</v>
      </c>
      <c r="G14" s="4" t="n">
        <f aca="false">Assumptions!G33</f>
        <v>3</v>
      </c>
      <c r="H14" s="4" t="n">
        <f aca="false">Assumptions!H33</f>
        <v>3</v>
      </c>
      <c r="I14" s="4" t="n">
        <f aca="false">Assumptions!I33</f>
        <v>3</v>
      </c>
      <c r="J14" s="4" t="n">
        <f aca="false">Assumptions!J33</f>
        <v>3</v>
      </c>
      <c r="K14" s="4" t="n">
        <f aca="false">Assumptions!K33</f>
        <v>3</v>
      </c>
      <c r="L14" s="4" t="n">
        <f aca="false">Assumptions!L33</f>
        <v>3</v>
      </c>
    </row>
    <row r="15" customFormat="false" ht="15" hidden="false" customHeight="false" outlineLevel="0" collapsed="false">
      <c r="A15" s="0" t="s">
        <v>114</v>
      </c>
      <c r="C15" s="0" t="n">
        <f aca="false">C13-MAX(0,C13)*C14/100</f>
        <v>196.42581</v>
      </c>
      <c r="D15" s="0" t="n">
        <f aca="false">D13-MAX(0,D13)*D14/100</f>
        <v>122.56970544</v>
      </c>
      <c r="E15" s="0" t="n">
        <f aca="false">E13-MAX(0,E13)*E14/100</f>
        <v>119.776450248</v>
      </c>
      <c r="F15" s="0" t="n">
        <f aca="false">F13-MAX(0,F13)*F14/100</f>
        <v>137.842641164592</v>
      </c>
      <c r="G15" s="0" t="n">
        <f aca="false">G13-MAX(0,G13)*G14/100</f>
        <v>164.395486778403</v>
      </c>
      <c r="H15" s="0" t="n">
        <f aca="false">H13-MAX(0,H13)*H14/100</f>
        <v>184.720746961915</v>
      </c>
      <c r="I15" s="0" t="n">
        <f aca="false">I13-MAX(0,I13)*I14/100</f>
        <v>197.227880870794</v>
      </c>
      <c r="J15" s="0" t="n">
        <f aca="false">J13-MAX(0,J13)*J14/100</f>
        <v>202.158577892564</v>
      </c>
      <c r="K15" s="0" t="n">
        <f aca="false">K13-MAX(0,K13)*K14/100</f>
        <v>207.212542339878</v>
      </c>
      <c r="L15" s="0" t="n">
        <f aca="false">L13-MAX(0,L13)*L14/100</f>
        <v>212.392855898375</v>
      </c>
    </row>
    <row r="16" customFormat="false" ht="15" hidden="false" customHeight="false" outlineLevel="0" collapsed="false">
      <c r="A16" s="0" t="s">
        <v>115</v>
      </c>
      <c r="C16" s="0" t="n">
        <f aca="false">-C12</f>
        <v>133.623</v>
      </c>
      <c r="D16" s="0" t="n">
        <f aca="false">-D12</f>
        <v>159.813108</v>
      </c>
      <c r="E16" s="0" t="n">
        <f aca="false">-E12</f>
        <v>166.20563232</v>
      </c>
      <c r="F16" s="0" t="n">
        <f aca="false">-F12</f>
        <v>172.0228294512</v>
      </c>
      <c r="G16" s="0" t="n">
        <f aca="false">-G12</f>
        <v>169.479883276704</v>
      </c>
      <c r="H16" s="0" t="n">
        <f aca="false">-H12</f>
        <v>174.564279775005</v>
      </c>
      <c r="I16" s="0" t="n">
        <f aca="false">-I12</f>
        <v>170.795278279863</v>
      </c>
      <c r="J16" s="0" t="n">
        <f aca="false">-J12</f>
        <v>175.06516023686</v>
      </c>
      <c r="K16" s="0" t="n">
        <f aca="false">-K12</f>
        <v>179.441789242781</v>
      </c>
      <c r="L16" s="0" t="n">
        <f aca="false">-L12</f>
        <v>183.927833973851</v>
      </c>
    </row>
    <row r="17" customFormat="false" ht="15" hidden="false" customHeight="false" outlineLevel="0" collapsed="false">
      <c r="A17" s="0" t="s">
        <v>116</v>
      </c>
      <c r="C17" s="4" t="n">
        <f aca="false">-C6*Assumptions!C32/100</f>
        <v>-440.9559</v>
      </c>
      <c r="D17" s="4" t="n">
        <f aca="false">-D6*Assumptions!D32/100</f>
        <v>-389.110176</v>
      </c>
      <c r="E17" s="4" t="n">
        <f aca="false">-E6*Assumptions!E32/100</f>
        <v>-158.97930048</v>
      </c>
      <c r="F17" s="4" t="n">
        <f aca="false">-F6*Assumptions!F32/100</f>
        <v>-157.0643225424</v>
      </c>
      <c r="G17" s="4" t="n">
        <f aca="false">-G6*Assumptions!G32/100</f>
        <v>-161.776252218672</v>
      </c>
      <c r="H17" s="4" t="n">
        <f aca="false">-H6*Assumptions!H32/100</f>
        <v>-166.629539785232</v>
      </c>
      <c r="I17" s="4" t="n">
        <f aca="false">-I6*Assumptions!I32/100</f>
        <v>-170.795278279863</v>
      </c>
      <c r="J17" s="4" t="n">
        <f aca="false">-J6*Assumptions!J32/100</f>
        <v>-175.06516023686</v>
      </c>
      <c r="K17" s="4" t="n">
        <f aca="false">-K6*Assumptions!K32/100</f>
        <v>-179.441789242781</v>
      </c>
      <c r="L17" s="4" t="n">
        <f aca="false">-L6*Assumptions!L32/100</f>
        <v>-183.927833973851</v>
      </c>
    </row>
    <row r="18" customFormat="false" ht="15" hidden="false" customHeight="false" outlineLevel="0" collapsed="false">
      <c r="A18" s="0" t="s">
        <v>117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118</v>
      </c>
      <c r="C19" s="0" t="n">
        <f aca="false">C15+C16+C17+C18</f>
        <v>-110.90709</v>
      </c>
      <c r="D19" s="0" t="n">
        <f aca="false">D15+D16+D17+D18</f>
        <v>-106.72736256</v>
      </c>
      <c r="E19" s="0" t="n">
        <f aca="false">E15+E16+E17+E18</f>
        <v>127.002782088</v>
      </c>
      <c r="F19" s="0" t="n">
        <f aca="false">F15+F16+F17+F18</f>
        <v>152.801148073392</v>
      </c>
      <c r="G19" s="0" t="n">
        <f aca="false">G15+G16+G17+G18</f>
        <v>172.099117836435</v>
      </c>
      <c r="H19" s="0" t="n">
        <f aca="false">H15+H16+H17+H18</f>
        <v>192.655486951688</v>
      </c>
      <c r="I19" s="0" t="n">
        <f aca="false">I15+I16+I17+I18</f>
        <v>197.227880870794</v>
      </c>
      <c r="J19" s="0" t="n">
        <f aca="false">J15+J16+J17+J18</f>
        <v>202.158577892564</v>
      </c>
      <c r="K19" s="0" t="n">
        <f aca="false">K15+K16+K17+K18</f>
        <v>207.212542339878</v>
      </c>
      <c r="L19" s="0" t="n">
        <f aca="false">L15+L16+L17+L18</f>
        <v>212.392855898375</v>
      </c>
    </row>
    <row r="20" customFormat="false" ht="15" hidden="false" customHeight="false" outlineLevel="0" collapsed="false">
      <c r="A20" s="0" t="s">
        <v>119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120</v>
      </c>
      <c r="C21" s="0" t="n">
        <f aca="false">C19*C20</f>
        <v>-100.368407239819</v>
      </c>
      <c r="D21" s="0" t="n">
        <f aca="false">D19*D20</f>
        <v>-87.4080076656907</v>
      </c>
      <c r="E21" s="0" t="n">
        <f aca="false">E19*E20</f>
        <v>94.1296406081197</v>
      </c>
      <c r="F21" s="0" t="n">
        <f aca="false">F19*F20</f>
        <v>102.489058895141</v>
      </c>
      <c r="G21" s="0" t="n">
        <f aca="false">G19*G20</f>
        <v>104.464144999656</v>
      </c>
      <c r="H21" s="0" t="n">
        <f aca="false">H19*H20</f>
        <v>105.829736398376</v>
      </c>
      <c r="I21" s="0" t="n">
        <f aca="false">I19*I20</f>
        <v>98.0465603163741</v>
      </c>
      <c r="J21" s="0" t="n">
        <f aca="false">J19*J20</f>
        <v>90.9481668093063</v>
      </c>
      <c r="K21" s="0" t="n">
        <f aca="false">K19*K20</f>
        <v>84.3636841443791</v>
      </c>
      <c r="L21" s="0" t="n">
        <f aca="false">L19*L20</f>
        <v>78.255906106777</v>
      </c>
    </row>
    <row r="23" customFormat="false" ht="15" hidden="false" customHeight="false" outlineLevel="0" collapsed="false">
      <c r="A23" s="0" t="s">
        <v>96</v>
      </c>
      <c r="C23" s="4" t="n">
        <f aca="false">Assumptions!C30</f>
        <v>5</v>
      </c>
      <c r="D23" s="4" t="n">
        <f aca="false">Assumptions!D30</f>
        <v>4.5</v>
      </c>
      <c r="E23" s="4" t="n">
        <f aca="false">Assumptions!E30</f>
        <v>4</v>
      </c>
      <c r="F23" s="4" t="n">
        <f aca="false">Assumptions!F30</f>
        <v>4</v>
      </c>
      <c r="G23" s="4" t="n">
        <f aca="false">Assumptions!G30</f>
        <v>4</v>
      </c>
      <c r="H23" s="4" t="n">
        <f aca="false">Assumptions!H30</f>
        <v>4</v>
      </c>
      <c r="I23" s="4" t="n">
        <f aca="false">Assumptions!I30</f>
        <v>4</v>
      </c>
      <c r="J23" s="4" t="n">
        <f aca="false">Assumptions!J30</f>
        <v>4</v>
      </c>
      <c r="K23" s="4" t="n">
        <f aca="false">Assumptions!K30</f>
        <v>4</v>
      </c>
      <c r="L23" s="4" t="n">
        <f aca="false">Assumptions!L30</f>
        <v>4</v>
      </c>
    </row>
    <row r="24" customFormat="false" ht="15" hidden="false" customHeight="false" outlineLevel="0" collapsed="false">
      <c r="A24" s="0" t="s">
        <v>121</v>
      </c>
      <c r="C24" s="0" t="n">
        <f aca="false">-C6*C23/100</f>
        <v>-66.8115</v>
      </c>
      <c r="D24" s="0" t="n">
        <f aca="false">-D6*D23/100</f>
        <v>-62.535564</v>
      </c>
      <c r="E24" s="0" t="n">
        <f aca="false">-E6*E23/100</f>
        <v>-57.81065472</v>
      </c>
      <c r="F24" s="0" t="n">
        <f aca="false">-F6*F23/100</f>
        <v>-59.8340276352</v>
      </c>
      <c r="G24" s="0" t="n">
        <f aca="false">-G6*G23/100</f>
        <v>-61.629048464256</v>
      </c>
      <c r="H24" s="0" t="n">
        <f aca="false">-H6*H23/100</f>
        <v>-63.4779199181837</v>
      </c>
      <c r="I24" s="0" t="n">
        <f aca="false">-I6*I23/100</f>
        <v>-65.0648679161383</v>
      </c>
      <c r="J24" s="0" t="n">
        <f aca="false">-J6*J23/100</f>
        <v>-66.6914896140417</v>
      </c>
      <c r="K24" s="0" t="n">
        <f aca="false">-K6*K23/100</f>
        <v>-68.3587768543928</v>
      </c>
      <c r="L24" s="0" t="n">
        <f aca="false">-L6*L23/100</f>
        <v>-70.0677462757526</v>
      </c>
    </row>
    <row r="26" customFormat="false" ht="15" hidden="false" customHeight="false" outlineLevel="0" collapsed="false">
      <c r="A26" s="2" t="s">
        <v>122</v>
      </c>
    </row>
    <row r="27" customFormat="false" ht="15" hidden="false" customHeight="false" outlineLevel="0" collapsed="false">
      <c r="A27" s="0" t="s">
        <v>100</v>
      </c>
      <c r="B27" s="4" t="n">
        <f aca="false">Assumptions!$B$34</f>
        <v>10.5</v>
      </c>
    </row>
    <row r="28" customFormat="false" ht="15" hidden="false" customHeight="false" outlineLevel="0" collapsed="false">
      <c r="A28" s="0" t="s">
        <v>101</v>
      </c>
      <c r="B28" s="4" t="n">
        <f aca="false">Assumptions!$B$35</f>
        <v>2.5</v>
      </c>
    </row>
    <row r="29" customFormat="false" ht="15" hidden="false" customHeight="false" outlineLevel="0" collapsed="false">
      <c r="A29" s="0" t="s">
        <v>102</v>
      </c>
      <c r="B29" s="4" t="n">
        <f aca="false">Assumptions!$B$36</f>
        <v>12</v>
      </c>
    </row>
    <row r="30" customFormat="false" ht="15" hidden="false" customHeight="false" outlineLevel="0" collapsed="false">
      <c r="A30" s="0" t="s">
        <v>123</v>
      </c>
      <c r="B30" s="0" t="n">
        <f aca="false">SUM(C21:L21)</f>
        <v>570.750483372619</v>
      </c>
    </row>
    <row r="31" customFormat="false" ht="15" hidden="false" customHeight="false" outlineLevel="0" collapsed="false">
      <c r="A31" s="0" t="s">
        <v>124</v>
      </c>
      <c r="B31" s="0" t="n">
        <f aca="false">L19</f>
        <v>212.392855898375</v>
      </c>
    </row>
    <row r="32" customFormat="false" ht="15" hidden="false" customHeight="false" outlineLevel="0" collapsed="false">
      <c r="A32" s="0" t="s">
        <v>125</v>
      </c>
      <c r="B32" s="0" t="n">
        <f aca="false">IF(B27&gt;B28,B31*(1+B28/100)/((B27-B28)/100),B31*B29)</f>
        <v>2721.28346619793</v>
      </c>
    </row>
    <row r="33" customFormat="false" ht="15" hidden="false" customHeight="false" outlineLevel="0" collapsed="false">
      <c r="A33" s="0" t="s">
        <v>126</v>
      </c>
      <c r="B33" s="0" t="n">
        <f aca="false">B31*B29</f>
        <v>2548.7142707805</v>
      </c>
    </row>
    <row r="34" customFormat="false" ht="15" hidden="false" customHeight="false" outlineLevel="0" collapsed="false">
      <c r="A34" s="0" t="s">
        <v>127</v>
      </c>
      <c r="B34" s="0" t="n">
        <f aca="false">MAX(0,MIN(B32,B33))</f>
        <v>2548.7142707805</v>
      </c>
    </row>
    <row r="35" customFormat="false" ht="15" hidden="false" customHeight="false" outlineLevel="0" collapsed="false">
      <c r="A35" s="0" t="s">
        <v>128</v>
      </c>
      <c r="B35" s="0" t="n">
        <f aca="false">B34/(1+B27/100)^L4</f>
        <v>939.070873281324</v>
      </c>
    </row>
    <row r="36" customFormat="false" ht="15" hidden="false" customHeight="false" outlineLevel="0" collapsed="false">
      <c r="A36" s="0" t="s">
        <v>129</v>
      </c>
      <c r="B36" s="0" t="n">
        <f aca="false">B30+B35</f>
        <v>1509.82135665394</v>
      </c>
    </row>
    <row r="37" customFormat="false" ht="15" hidden="false" customHeight="false" outlineLevel="0" collapsed="false">
      <c r="A37" s="0" t="s">
        <v>130</v>
      </c>
      <c r="B37" s="0" t="n">
        <f aca="false">B36+Assumptions!$B$5-Assumptions!$B$4</f>
        <v>1902.64635665394</v>
      </c>
    </row>
    <row r="38" customFormat="false" ht="15" hidden="false" customHeight="false" outlineLevel="0" collapsed="false">
      <c r="A38" s="0" t="s">
        <v>131</v>
      </c>
      <c r="B38" s="0" t="n">
        <f aca="false">B37/Assumptions!$B$3*Assumptions!$B$10</f>
        <v>8.96786807115572</v>
      </c>
    </row>
    <row r="39" customFormat="false" ht="15" hidden="false" customHeight="false" outlineLevel="0" collapsed="false">
      <c r="A39" s="0" t="s">
        <v>132</v>
      </c>
      <c r="B39" s="4" t="n">
        <f aca="false">B38/Assumptions!$B$2-1</f>
        <v>-0.350625049155994</v>
      </c>
    </row>
    <row r="41" customFormat="false" ht="15" hidden="false" customHeight="false" outlineLevel="0" collapsed="false">
      <c r="A41" s="0" t="s">
        <v>133</v>
      </c>
      <c r="B41" s="0" t="n">
        <f aca="false">SUMPRODUCT(-C10:L10/(1+$B$27/100)^C4:L4)</f>
        <v>0</v>
      </c>
    </row>
    <row r="42" customFormat="false" ht="15" hidden="false" customHeight="false" outlineLevel="0" collapsed="false">
      <c r="A42" s="0" t="s">
        <v>134</v>
      </c>
      <c r="B42" s="0" t="n">
        <f aca="false">IF(B27&gt;B28,-L10*(1+B28/100)/((B27-B28)/100),-L10*20)/(1+B27/100)^L4</f>
        <v>0</v>
      </c>
    </row>
    <row r="43" customFormat="false" ht="15" hidden="false" customHeight="false" outlineLevel="0" collapsed="false">
      <c r="A43" s="0" t="s">
        <v>135</v>
      </c>
      <c r="B43" s="0" t="n">
        <f aca="false">(B37+B41+B42)/Assumptions!$B$3*Assumptions!$B$10</f>
        <v>8.96786807115572</v>
      </c>
    </row>
    <row r="45" customFormat="false" ht="15" hidden="false" customHeight="false" outlineLevel="0" collapsed="false">
      <c r="A45" s="0" t="s">
        <v>75</v>
      </c>
      <c r="B45" s="4" t="n">
        <f aca="false">Assumptions!$B$6</f>
        <v>15</v>
      </c>
    </row>
    <row r="46" customFormat="false" ht="15" hidden="false" customHeight="false" outlineLevel="0" collapsed="false">
      <c r="A46" s="0" t="s">
        <v>136</v>
      </c>
      <c r="B46" s="0" t="n">
        <f aca="false">MAX(0,MIN(IF(B45&gt;B28,B31*(1+B28/100)/((B45-B28)/100),B31*B29),B31*B29))</f>
        <v>1741.62141836668</v>
      </c>
    </row>
    <row r="47" customFormat="false" ht="15" hidden="false" customHeight="false" outlineLevel="0" collapsed="false">
      <c r="A47" s="0" t="s">
        <v>137</v>
      </c>
      <c r="B47" s="0" t="n">
        <f aca="false">(SUMPRODUCT(C19:L19/(1+B45/100)^C4:L4)+B46/(1+B45/100)^L4+Assumptions!$B$5-Assumptions!$B$4)/Assumptions!$B$3*Assumptions!$B$10</f>
        <v>5.83299829471396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108</v>
      </c>
      <c r="B3" s="0" t="s">
        <v>78</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Assumptions!C41</f>
        <v>5</v>
      </c>
      <c r="D5" s="4" t="n">
        <f aca="false">Assumptions!D41</f>
        <v>6</v>
      </c>
      <c r="E5" s="4" t="n">
        <f aca="false">Assumptions!E41</f>
        <v>5</v>
      </c>
      <c r="F5" s="4" t="n">
        <f aca="false">Assumptions!F41</f>
        <v>4</v>
      </c>
      <c r="G5" s="4" t="n">
        <f aca="false">Assumptions!G41</f>
        <v>3.5</v>
      </c>
      <c r="H5" s="4" t="n">
        <f aca="false">Assumptions!H41</f>
        <v>3</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38</v>
      </c>
      <c r="B6" s="3" t="n">
        <v>1323</v>
      </c>
      <c r="C6" s="0" t="n">
        <f aca="false">B6*(1+C5/100)</f>
        <v>1389.15</v>
      </c>
      <c r="D6" s="0" t="n">
        <f aca="false">C6*(1+D5/100)</f>
        <v>1472.499</v>
      </c>
      <c r="E6" s="0" t="n">
        <f aca="false">D6*(1+E5/100)</f>
        <v>1546.12395</v>
      </c>
      <c r="F6" s="0" t="n">
        <f aca="false">E6*(1+F5/100)</f>
        <v>1607.968908</v>
      </c>
      <c r="G6" s="0" t="n">
        <f aca="false">F6*(1+G5/100)</f>
        <v>1664.24781978</v>
      </c>
      <c r="H6" s="0" t="n">
        <f aca="false">G6*(1+H5/100)</f>
        <v>1714.1752543734</v>
      </c>
      <c r="I6" s="0" t="n">
        <f aca="false">H6*(1+I5/100)</f>
        <v>1765.6005120046</v>
      </c>
      <c r="J6" s="0" t="n">
        <f aca="false">I6*(1+J5/100)</f>
        <v>1818.56852736474</v>
      </c>
      <c r="K6" s="0" t="n">
        <f aca="false">J6*(1+K5/100)</f>
        <v>1864.03274054886</v>
      </c>
      <c r="L6" s="0" t="n">
        <f aca="false">K6*(1+L5/100)</f>
        <v>1910.63355906258</v>
      </c>
    </row>
    <row r="7" customFormat="false" ht="15" hidden="false" customHeight="false" outlineLevel="0" collapsed="false">
      <c r="A7" s="0" t="s">
        <v>94</v>
      </c>
      <c r="C7" s="4" t="n">
        <f aca="false">Assumptions!C42</f>
        <v>34</v>
      </c>
      <c r="D7" s="4" t="n">
        <f aca="false">Assumptions!D42</f>
        <v>30</v>
      </c>
      <c r="E7" s="4" t="n">
        <f aca="false">Assumptions!E42</f>
        <v>29</v>
      </c>
      <c r="F7" s="4" t="n">
        <f aca="false">Assumptions!F42</f>
        <v>30</v>
      </c>
      <c r="G7" s="4" t="n">
        <f aca="false">Assumptions!G42</f>
        <v>31</v>
      </c>
      <c r="H7" s="4" t="n">
        <f aca="false">Assumptions!H42</f>
        <v>32</v>
      </c>
      <c r="I7" s="4" t="n">
        <f aca="false">Assumptions!I42</f>
        <v>32</v>
      </c>
      <c r="J7" s="4" t="n">
        <f aca="false">Assumptions!J42</f>
        <v>32</v>
      </c>
      <c r="K7" s="4" t="n">
        <f aca="false">Assumptions!K42</f>
        <v>32</v>
      </c>
      <c r="L7" s="4" t="n">
        <f aca="false">Assumptions!L42</f>
        <v>32</v>
      </c>
    </row>
    <row r="8" customFormat="false" ht="15" hidden="false" customHeight="false" outlineLevel="0" collapsed="false">
      <c r="A8" s="0" t="s">
        <v>44</v>
      </c>
      <c r="C8" s="0" t="n">
        <f aca="false">C6*C7/100</f>
        <v>472.311</v>
      </c>
      <c r="D8" s="0" t="n">
        <f aca="false">D6*D7/100</f>
        <v>441.7497</v>
      </c>
      <c r="E8" s="0" t="n">
        <f aca="false">E6*E7/100</f>
        <v>448.3759455</v>
      </c>
      <c r="F8" s="0" t="n">
        <f aca="false">F6*F7/100</f>
        <v>482.3906724</v>
      </c>
      <c r="G8" s="0" t="n">
        <f aca="false">G6*G7/100</f>
        <v>515.9168241318</v>
      </c>
      <c r="H8" s="0" t="n">
        <f aca="false">H6*H7/100</f>
        <v>548.536081399488</v>
      </c>
      <c r="I8" s="0" t="n">
        <f aca="false">I6*I7/100</f>
        <v>564.992163841473</v>
      </c>
      <c r="J8" s="0" t="n">
        <f aca="false">J6*J7/100</f>
        <v>581.941928756717</v>
      </c>
      <c r="K8" s="0" t="n">
        <f aca="false">K6*K7/100</f>
        <v>596.490476975635</v>
      </c>
      <c r="L8" s="0" t="n">
        <f aca="false">L6*L7/100</f>
        <v>611.402738900026</v>
      </c>
    </row>
    <row r="9" customFormat="false" ht="15" hidden="false" customHeight="false" outlineLevel="0" collapsed="false">
      <c r="A9" s="0" t="s">
        <v>95</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111</v>
      </c>
      <c r="C11" s="0" t="n">
        <f aca="false">C8+C10+C24</f>
        <v>402.8535</v>
      </c>
      <c r="D11" s="0" t="n">
        <f aca="false">D8+D10+D24</f>
        <v>375.487245</v>
      </c>
      <c r="E11" s="0" t="n">
        <f aca="false">E8+E10+E24</f>
        <v>386.5309875</v>
      </c>
      <c r="F11" s="0" t="n">
        <f aca="false">F8+F10+F24</f>
        <v>418.07191608</v>
      </c>
      <c r="G11" s="0" t="n">
        <f aca="false">G8+G10+G24</f>
        <v>449.3469113406</v>
      </c>
      <c r="H11" s="0" t="n">
        <f aca="false">H8+H10+H24</f>
        <v>479.969071224552</v>
      </c>
      <c r="I11" s="0" t="n">
        <f aca="false">I8+I10+I24</f>
        <v>494.368143361289</v>
      </c>
      <c r="J11" s="0" t="n">
        <f aca="false">J8+J10+J24</f>
        <v>509.199187662127</v>
      </c>
      <c r="K11" s="0" t="n">
        <f aca="false">K8+K10+K24</f>
        <v>521.929167353681</v>
      </c>
      <c r="L11" s="0" t="n">
        <f aca="false">L8+L10+L24</f>
        <v>534.977396537523</v>
      </c>
    </row>
    <row r="12" customFormat="false" ht="15" hidden="false" customHeight="false" outlineLevel="0" collapsed="false">
      <c r="A12" s="0" t="s">
        <v>112</v>
      </c>
      <c r="C12" s="4" t="n">
        <f aca="false">-C6*Assumptions!C45/100</f>
        <v>-138.915</v>
      </c>
      <c r="D12" s="4" t="n">
        <f aca="false">-D6*Assumptions!D45/100</f>
        <v>-169.337385</v>
      </c>
      <c r="E12" s="4" t="n">
        <f aca="false">-E6*Assumptions!E45/100</f>
        <v>-177.80425425</v>
      </c>
      <c r="F12" s="4" t="n">
        <f aca="false">-F6*Assumptions!F45/100</f>
        <v>-184.91642442</v>
      </c>
      <c r="G12" s="4" t="n">
        <f aca="false">-G6*Assumptions!G45/100</f>
        <v>-183.0672601758</v>
      </c>
      <c r="H12" s="4" t="n">
        <f aca="false">-H6*Assumptions!H45/100</f>
        <v>-188.559277981074</v>
      </c>
      <c r="I12" s="4" t="n">
        <f aca="false">-I6*Assumptions!I45/100</f>
        <v>-185.388053760483</v>
      </c>
      <c r="J12" s="4" t="n">
        <f aca="false">-J6*Assumptions!J45/100</f>
        <v>-190.949695373298</v>
      </c>
      <c r="K12" s="4" t="n">
        <f aca="false">-K6*Assumptions!K45/100</f>
        <v>-195.72343775763</v>
      </c>
      <c r="L12" s="4" t="n">
        <f aca="false">-L6*Assumptions!L45/100</f>
        <v>-200.616523701571</v>
      </c>
    </row>
    <row r="13" customFormat="false" ht="15" hidden="false" customHeight="false" outlineLevel="0" collapsed="false">
      <c r="A13" s="0" t="s">
        <v>113</v>
      </c>
      <c r="C13" s="0" t="n">
        <f aca="false">C11+C12</f>
        <v>263.9385</v>
      </c>
      <c r="D13" s="0" t="n">
        <f aca="false">D11+D12</f>
        <v>206.14986</v>
      </c>
      <c r="E13" s="0" t="n">
        <f aca="false">E11+E12</f>
        <v>208.72673325</v>
      </c>
      <c r="F13" s="0" t="n">
        <f aca="false">F11+F12</f>
        <v>233.15549166</v>
      </c>
      <c r="G13" s="0" t="n">
        <f aca="false">G11+G12</f>
        <v>266.2796511648</v>
      </c>
      <c r="H13" s="0" t="n">
        <f aca="false">H11+H12</f>
        <v>291.409793243478</v>
      </c>
      <c r="I13" s="0" t="n">
        <f aca="false">I11+I12</f>
        <v>308.980089600805</v>
      </c>
      <c r="J13" s="0" t="n">
        <f aca="false">J11+J12</f>
        <v>318.24949228883</v>
      </c>
      <c r="K13" s="0" t="n">
        <f aca="false">K11+K12</f>
        <v>326.20572959605</v>
      </c>
      <c r="L13" s="0" t="n">
        <f aca="false">L11+L12</f>
        <v>334.360872835952</v>
      </c>
    </row>
    <row r="14" customFormat="false" ht="15" hidden="false" customHeight="false" outlineLevel="0" collapsed="false">
      <c r="A14" s="0" t="s">
        <v>99</v>
      </c>
      <c r="C14" s="4" t="n">
        <f aca="false">Assumptions!C47</f>
        <v>2</v>
      </c>
      <c r="D14" s="4" t="n">
        <f aca="false">Assumptions!D47</f>
        <v>2</v>
      </c>
      <c r="E14" s="4" t="n">
        <f aca="false">Assumptions!E47</f>
        <v>2.5</v>
      </c>
      <c r="F14" s="4" t="n">
        <f aca="false">Assumptions!F47</f>
        <v>3</v>
      </c>
      <c r="G14" s="4" t="n">
        <f aca="false">Assumptions!G47</f>
        <v>3</v>
      </c>
      <c r="H14" s="4" t="n">
        <f aca="false">Assumptions!H47</f>
        <v>3</v>
      </c>
      <c r="I14" s="4" t="n">
        <f aca="false">Assumptions!I47</f>
        <v>3</v>
      </c>
      <c r="J14" s="4" t="n">
        <f aca="false">Assumptions!J47</f>
        <v>3</v>
      </c>
      <c r="K14" s="4" t="n">
        <f aca="false">Assumptions!K47</f>
        <v>3</v>
      </c>
      <c r="L14" s="4" t="n">
        <f aca="false">Assumptions!L47</f>
        <v>3</v>
      </c>
    </row>
    <row r="15" customFormat="false" ht="15" hidden="false" customHeight="false" outlineLevel="0" collapsed="false">
      <c r="A15" s="0" t="s">
        <v>114</v>
      </c>
      <c r="C15" s="0" t="n">
        <f aca="false">C13-MAX(0,C13)*C14/100</f>
        <v>258.65973</v>
      </c>
      <c r="D15" s="0" t="n">
        <f aca="false">D13-MAX(0,D13)*D14/100</f>
        <v>202.0268628</v>
      </c>
      <c r="E15" s="0" t="n">
        <f aca="false">E13-MAX(0,E13)*E14/100</f>
        <v>203.50856491875</v>
      </c>
      <c r="F15" s="0" t="n">
        <f aca="false">F13-MAX(0,F13)*F14/100</f>
        <v>226.1608269102</v>
      </c>
      <c r="G15" s="0" t="n">
        <f aca="false">G13-MAX(0,G13)*G14/100</f>
        <v>258.291261629856</v>
      </c>
      <c r="H15" s="0" t="n">
        <f aca="false">H13-MAX(0,H13)*H14/100</f>
        <v>282.667499446174</v>
      </c>
      <c r="I15" s="0" t="n">
        <f aca="false">I13-MAX(0,I13)*I14/100</f>
        <v>299.710686912781</v>
      </c>
      <c r="J15" s="0" t="n">
        <f aca="false">J13-MAX(0,J13)*J14/100</f>
        <v>308.702007520165</v>
      </c>
      <c r="K15" s="0" t="n">
        <f aca="false">K13-MAX(0,K13)*K14/100</f>
        <v>316.419557708169</v>
      </c>
      <c r="L15" s="0" t="n">
        <f aca="false">L13-MAX(0,L13)*L14/100</f>
        <v>324.330046650873</v>
      </c>
    </row>
    <row r="16" customFormat="false" ht="15" hidden="false" customHeight="false" outlineLevel="0" collapsed="false">
      <c r="A16" s="0" t="s">
        <v>115</v>
      </c>
      <c r="C16" s="0" t="n">
        <f aca="false">-C12</f>
        <v>138.915</v>
      </c>
      <c r="D16" s="0" t="n">
        <f aca="false">-D12</f>
        <v>169.337385</v>
      </c>
      <c r="E16" s="0" t="n">
        <f aca="false">-E12</f>
        <v>177.80425425</v>
      </c>
      <c r="F16" s="0" t="n">
        <f aca="false">-F12</f>
        <v>184.91642442</v>
      </c>
      <c r="G16" s="0" t="n">
        <f aca="false">-G12</f>
        <v>183.0672601758</v>
      </c>
      <c r="H16" s="0" t="n">
        <f aca="false">-H12</f>
        <v>188.559277981074</v>
      </c>
      <c r="I16" s="0" t="n">
        <f aca="false">-I12</f>
        <v>185.388053760483</v>
      </c>
      <c r="J16" s="0" t="n">
        <f aca="false">-J12</f>
        <v>190.949695373298</v>
      </c>
      <c r="K16" s="0" t="n">
        <f aca="false">-K12</f>
        <v>195.72343775763</v>
      </c>
      <c r="L16" s="0" t="n">
        <f aca="false">-L12</f>
        <v>200.616523701571</v>
      </c>
    </row>
    <row r="17" customFormat="false" ht="15" hidden="false" customHeight="false" outlineLevel="0" collapsed="false">
      <c r="A17" s="0" t="s">
        <v>116</v>
      </c>
      <c r="C17" s="4" t="n">
        <f aca="false">-C6*Assumptions!C46/100</f>
        <v>-458.4195</v>
      </c>
      <c r="D17" s="4" t="n">
        <f aca="false">-D6*Assumptions!D46/100</f>
        <v>-412.29972</v>
      </c>
      <c r="E17" s="4" t="n">
        <f aca="false">-E6*Assumptions!E46/100</f>
        <v>-185.534874</v>
      </c>
      <c r="F17" s="4" t="n">
        <f aca="false">-F6*Assumptions!F46/100</f>
        <v>-176.87657988</v>
      </c>
      <c r="G17" s="4" t="n">
        <f aca="false">-G6*Assumptions!G46/100</f>
        <v>-183.0672601758</v>
      </c>
      <c r="H17" s="4" t="n">
        <f aca="false">-H6*Assumptions!H46/100</f>
        <v>-188.559277981074</v>
      </c>
      <c r="I17" s="4" t="n">
        <f aca="false">-I6*Assumptions!I46/100</f>
        <v>-185.388053760483</v>
      </c>
      <c r="J17" s="4" t="n">
        <f aca="false">-J6*Assumptions!J46/100</f>
        <v>-190.949695373298</v>
      </c>
      <c r="K17" s="4" t="n">
        <f aca="false">-K6*Assumptions!K46/100</f>
        <v>-195.72343775763</v>
      </c>
      <c r="L17" s="4" t="n">
        <f aca="false">-L6*Assumptions!L46/100</f>
        <v>-200.616523701571</v>
      </c>
    </row>
    <row r="18" customFormat="false" ht="15" hidden="false" customHeight="false" outlineLevel="0" collapsed="false">
      <c r="A18" s="0" t="s">
        <v>117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118</v>
      </c>
      <c r="C19" s="0" t="n">
        <f aca="false">C15+C16+C17+C18</f>
        <v>-60.84477</v>
      </c>
      <c r="D19" s="0" t="n">
        <f aca="false">D15+D16+D17+D18</f>
        <v>-40.9354722000001</v>
      </c>
      <c r="E19" s="0" t="n">
        <f aca="false">E15+E16+E17+E18</f>
        <v>195.77794516875</v>
      </c>
      <c r="F19" s="0" t="n">
        <f aca="false">F15+F16+F17+F18</f>
        <v>234.2006714502</v>
      </c>
      <c r="G19" s="0" t="n">
        <f aca="false">G15+G16+G17+G18</f>
        <v>258.291261629856</v>
      </c>
      <c r="H19" s="0" t="n">
        <f aca="false">H15+H16+H17+H18</f>
        <v>282.667499446174</v>
      </c>
      <c r="I19" s="0" t="n">
        <f aca="false">I15+I16+I17+I18</f>
        <v>299.710686912781</v>
      </c>
      <c r="J19" s="0" t="n">
        <f aca="false">J15+J16+J17+J18</f>
        <v>308.702007520165</v>
      </c>
      <c r="K19" s="0" t="n">
        <f aca="false">K15+K16+K17+K18</f>
        <v>316.419557708169</v>
      </c>
      <c r="L19" s="0" t="n">
        <f aca="false">L15+L16+L17+L18</f>
        <v>324.330046650873</v>
      </c>
    </row>
    <row r="20" customFormat="false" ht="15" hidden="false" customHeight="false" outlineLevel="0" collapsed="false">
      <c r="A20" s="0" t="s">
        <v>119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120</v>
      </c>
      <c r="C21" s="0" t="n">
        <f aca="false">C19*C20</f>
        <v>-55.0631402714932</v>
      </c>
      <c r="D21" s="0" t="n">
        <f aca="false">D19*D20</f>
        <v>-33.5254988227105</v>
      </c>
      <c r="E21" s="0" t="n">
        <f aca="false">E19*E20</f>
        <v>145.10318053475</v>
      </c>
      <c r="F21" s="0" t="n">
        <f aca="false">F19*F20</f>
        <v>157.086558001594</v>
      </c>
      <c r="G21" s="0" t="n">
        <f aca="false">G19*G20</f>
        <v>156.782766502554</v>
      </c>
      <c r="H21" s="0" t="n">
        <f aca="false">H19*H20</f>
        <v>155.275239901568</v>
      </c>
      <c r="I21" s="0" t="n">
        <f aca="false">I19*I20</f>
        <v>148.993143424315</v>
      </c>
      <c r="J21" s="0" t="n">
        <f aca="false">J19*J20</f>
        <v>138.880486630809</v>
      </c>
      <c r="K21" s="0" t="n">
        <f aca="false">K19*K20</f>
        <v>128.825790766135</v>
      </c>
      <c r="L21" s="0" t="n">
        <f aca="false">L19*L20</f>
        <v>119.499036683519</v>
      </c>
    </row>
    <row r="23" customFormat="false" ht="15" hidden="false" customHeight="false" outlineLevel="0" collapsed="false">
      <c r="A23" s="0" t="s">
        <v>96</v>
      </c>
      <c r="C23" s="4" t="n">
        <f aca="false">Assumptions!C44</f>
        <v>5</v>
      </c>
      <c r="D23" s="4" t="n">
        <f aca="false">Assumptions!D44</f>
        <v>4.5</v>
      </c>
      <c r="E23" s="4" t="n">
        <f aca="false">Assumptions!E44</f>
        <v>4</v>
      </c>
      <c r="F23" s="4" t="n">
        <f aca="false">Assumptions!F44</f>
        <v>4</v>
      </c>
      <c r="G23" s="4" t="n">
        <f aca="false">Assumptions!G44</f>
        <v>4</v>
      </c>
      <c r="H23" s="4" t="n">
        <f aca="false">Assumptions!H44</f>
        <v>4</v>
      </c>
      <c r="I23" s="4" t="n">
        <f aca="false">Assumptions!I44</f>
        <v>4</v>
      </c>
      <c r="J23" s="4" t="n">
        <f aca="false">Assumptions!J44</f>
        <v>4</v>
      </c>
      <c r="K23" s="4" t="n">
        <f aca="false">Assumptions!K44</f>
        <v>4</v>
      </c>
      <c r="L23" s="4" t="n">
        <f aca="false">Assumptions!L44</f>
        <v>4</v>
      </c>
    </row>
    <row r="24" customFormat="false" ht="15" hidden="false" customHeight="false" outlineLevel="0" collapsed="false">
      <c r="A24" s="0" t="s">
        <v>121</v>
      </c>
      <c r="C24" s="0" t="n">
        <f aca="false">-C6*C23/100</f>
        <v>-69.4575</v>
      </c>
      <c r="D24" s="0" t="n">
        <f aca="false">-D6*D23/100</f>
        <v>-66.262455</v>
      </c>
      <c r="E24" s="0" t="n">
        <f aca="false">-E6*E23/100</f>
        <v>-61.844958</v>
      </c>
      <c r="F24" s="0" t="n">
        <f aca="false">-F6*F23/100</f>
        <v>-64.31875632</v>
      </c>
      <c r="G24" s="0" t="n">
        <f aca="false">-G6*G23/100</f>
        <v>-66.5699127912</v>
      </c>
      <c r="H24" s="0" t="n">
        <f aca="false">-H6*H23/100</f>
        <v>-68.567010174936</v>
      </c>
      <c r="I24" s="0" t="n">
        <f aca="false">-I6*I23/100</f>
        <v>-70.6240204801841</v>
      </c>
      <c r="J24" s="0" t="n">
        <f aca="false">-J6*J23/100</f>
        <v>-72.7427410945896</v>
      </c>
      <c r="K24" s="0" t="n">
        <f aca="false">-K6*K23/100</f>
        <v>-74.5613096219544</v>
      </c>
      <c r="L24" s="0" t="n">
        <f aca="false">-L6*L23/100</f>
        <v>-76.4253423625032</v>
      </c>
    </row>
    <row r="26" customFormat="false" ht="15" hidden="false" customHeight="false" outlineLevel="0" collapsed="false">
      <c r="A26" s="2" t="s">
        <v>122</v>
      </c>
    </row>
    <row r="27" customFormat="false" ht="15" hidden="false" customHeight="false" outlineLevel="0" collapsed="false">
      <c r="A27" s="0" t="s">
        <v>100</v>
      </c>
      <c r="B27" s="4" t="n">
        <f aca="false">Assumptions!$B$48</f>
        <v>10.5</v>
      </c>
    </row>
    <row r="28" customFormat="false" ht="15" hidden="false" customHeight="false" outlineLevel="0" collapsed="false">
      <c r="A28" s="0" t="s">
        <v>101</v>
      </c>
      <c r="B28" s="4" t="n">
        <f aca="false">Assumptions!$B$49</f>
        <v>2.5</v>
      </c>
    </row>
    <row r="29" customFormat="false" ht="15" hidden="false" customHeight="false" outlineLevel="0" collapsed="false">
      <c r="A29" s="0" t="s">
        <v>102</v>
      </c>
      <c r="B29" s="4" t="n">
        <f aca="false">Assumptions!$B$50</f>
        <v>14</v>
      </c>
    </row>
    <row r="30" customFormat="false" ht="15" hidden="false" customHeight="false" outlineLevel="0" collapsed="false">
      <c r="A30" s="0" t="s">
        <v>123</v>
      </c>
      <c r="B30" s="0" t="n">
        <f aca="false">SUM(C21:L21)</f>
        <v>1061.85756335104</v>
      </c>
    </row>
    <row r="31" customFormat="false" ht="15" hidden="false" customHeight="false" outlineLevel="0" collapsed="false">
      <c r="A31" s="0" t="s">
        <v>124</v>
      </c>
      <c r="B31" s="0" t="n">
        <f aca="false">L19</f>
        <v>324.330046650873</v>
      </c>
    </row>
    <row r="32" customFormat="false" ht="15" hidden="false" customHeight="false" outlineLevel="0" collapsed="false">
      <c r="A32" s="0" t="s">
        <v>125</v>
      </c>
      <c r="B32" s="0" t="n">
        <f aca="false">IF(B27&gt;B28,B31*(1+B28/100)/((B27-B28)/100),B31*B29)</f>
        <v>4155.47872271431</v>
      </c>
    </row>
    <row r="33" customFormat="false" ht="15" hidden="false" customHeight="false" outlineLevel="0" collapsed="false">
      <c r="A33" s="0" t="s">
        <v>126</v>
      </c>
      <c r="B33" s="0" t="n">
        <f aca="false">B31*B29</f>
        <v>4540.62065311222</v>
      </c>
    </row>
    <row r="34" customFormat="false" ht="15" hidden="false" customHeight="false" outlineLevel="0" collapsed="false">
      <c r="A34" s="0" t="s">
        <v>127</v>
      </c>
      <c r="B34" s="0" t="n">
        <f aca="false">MAX(0,MIN(B32,B33))</f>
        <v>4155.47872271431</v>
      </c>
    </row>
    <row r="35" customFormat="false" ht="15" hidden="false" customHeight="false" outlineLevel="0" collapsed="false">
      <c r="A35" s="0" t="s">
        <v>128</v>
      </c>
      <c r="B35" s="0" t="n">
        <f aca="false">B34/(1+B27/100)^L4</f>
        <v>1531.08140750759</v>
      </c>
    </row>
    <row r="36" customFormat="false" ht="15" hidden="false" customHeight="false" outlineLevel="0" collapsed="false">
      <c r="A36" s="0" t="s">
        <v>129</v>
      </c>
      <c r="B36" s="0" t="n">
        <f aca="false">B30+B35</f>
        <v>2592.93897085863</v>
      </c>
    </row>
    <row r="37" customFormat="false" ht="15" hidden="false" customHeight="false" outlineLevel="0" collapsed="false">
      <c r="A37" s="0" t="s">
        <v>130</v>
      </c>
      <c r="B37" s="0" t="n">
        <f aca="false">B36+Assumptions!$B$5-Assumptions!$B$4</f>
        <v>2985.76397085863</v>
      </c>
    </row>
    <row r="38" customFormat="false" ht="15" hidden="false" customHeight="false" outlineLevel="0" collapsed="false">
      <c r="A38" s="0" t="s">
        <v>131</v>
      </c>
      <c r="B38" s="0" t="n">
        <f aca="false">B37/Assumptions!$B$3*Assumptions!$B$10</f>
        <v>14.0729974798676</v>
      </c>
    </row>
    <row r="39" customFormat="false" ht="15" hidden="false" customHeight="false" outlineLevel="0" collapsed="false">
      <c r="A39" s="0" t="s">
        <v>132</v>
      </c>
      <c r="B39" s="4" t="n">
        <f aca="false">B38/Assumptions!$B$2-1</f>
        <v>0.0190439884046061</v>
      </c>
    </row>
    <row r="41" customFormat="false" ht="15" hidden="false" customHeight="false" outlineLevel="0" collapsed="false">
      <c r="A41" s="0" t="s">
        <v>133</v>
      </c>
      <c r="B41" s="0" t="n">
        <f aca="false">SUMPRODUCT(-C10:L10/(1+$B$27/100)^C4:L4)</f>
        <v>0</v>
      </c>
    </row>
    <row r="42" customFormat="false" ht="15" hidden="false" customHeight="false" outlineLevel="0" collapsed="false">
      <c r="A42" s="0" t="s">
        <v>134</v>
      </c>
      <c r="B42" s="0" t="n">
        <f aca="false">IF(B27&gt;B28,-L10*(1+B28/100)/((B27-B28)/100),-L10*20)/(1+B27/100)^L4</f>
        <v>0</v>
      </c>
    </row>
    <row r="43" customFormat="false" ht="15" hidden="false" customHeight="false" outlineLevel="0" collapsed="false">
      <c r="A43" s="0" t="s">
        <v>135</v>
      </c>
      <c r="B43" s="0" t="n">
        <f aca="false">(B37+B41+B42)/Assumptions!$B$3*Assumptions!$B$10</f>
        <v>14.0729974798676</v>
      </c>
    </row>
    <row r="45" customFormat="false" ht="15" hidden="false" customHeight="false" outlineLevel="0" collapsed="false">
      <c r="A45" s="0" t="s">
        <v>75</v>
      </c>
      <c r="B45" s="4" t="n">
        <f aca="false">Assumptions!$B$6</f>
        <v>15</v>
      </c>
    </row>
    <row r="46" customFormat="false" ht="15" hidden="false" customHeight="false" outlineLevel="0" collapsed="false">
      <c r="A46" s="0" t="s">
        <v>136</v>
      </c>
      <c r="B46" s="0" t="n">
        <f aca="false">MAX(0,MIN(IF(B45&gt;B28,B31*(1+B28/100)/((B45-B28)/100),B31*B29),B31*B29))</f>
        <v>2659.50638253716</v>
      </c>
    </row>
    <row r="47" customFormat="false" ht="15" hidden="false" customHeight="false" outlineLevel="0" collapsed="false">
      <c r="A47" s="0" t="s">
        <v>137</v>
      </c>
      <c r="B47" s="0" t="n">
        <f aca="false">(SUMPRODUCT(C19:L19/(1+B45/100)^C4:L4)+B46/(1+B45/100)^L4+Assumptions!$B$5-Assumptions!$B$4)/Assumptions!$B$3*Assumptions!$B$10</f>
        <v>8.78245881531221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140</v>
      </c>
    </row>
    <row r="3" customFormat="false" ht="15" hidden="false" customHeight="false" outlineLevel="0" collapsed="false">
      <c r="A3" s="2" t="s">
        <v>141</v>
      </c>
      <c r="B3" s="2" t="s">
        <v>142</v>
      </c>
      <c r="C3" s="2" t="s">
        <v>132</v>
      </c>
      <c r="D3" s="2" t="s">
        <v>143</v>
      </c>
      <c r="E3" s="2" t="s">
        <v>135</v>
      </c>
      <c r="F3" s="2" t="s">
        <v>144</v>
      </c>
    </row>
    <row r="4" customFormat="false" ht="15" hidden="false" customHeight="false" outlineLevel="0" collapsed="false">
      <c r="A4" s="0" t="s">
        <v>145</v>
      </c>
      <c r="B4" s="4" t="n">
        <f aca="false">DCF_Bear!$B$38</f>
        <v>2.95767318132676</v>
      </c>
      <c r="C4" s="0" t="n">
        <f aca="false">B4/Assumptions!$B$2-1</f>
        <v>-0.785831051315948</v>
      </c>
      <c r="D4" s="4" t="n">
        <f aca="false">Assumptions!$B$24</f>
        <v>0.3</v>
      </c>
      <c r="E4" s="4" t="n">
        <f aca="false">DCF_Bear!$B$43</f>
        <v>2.95767318132676</v>
      </c>
      <c r="F4" s="4" t="n">
        <f aca="false">DCF_Bear!$B$47</f>
        <v>1.99327884800316</v>
      </c>
    </row>
    <row r="5" customFormat="false" ht="15" hidden="false" customHeight="false" outlineLevel="0" collapsed="false">
      <c r="A5" s="0" t="s">
        <v>146</v>
      </c>
      <c r="B5" s="4" t="n">
        <f aca="false">DCF_Base!$B$38</f>
        <v>8.96786807115572</v>
      </c>
      <c r="C5" s="0" t="n">
        <f aca="false">B5/Assumptions!$B$2-1</f>
        <v>-0.350625049155994</v>
      </c>
      <c r="D5" s="4" t="n">
        <f aca="false">Assumptions!$B$38</f>
        <v>0.5</v>
      </c>
      <c r="E5" s="4" t="n">
        <f aca="false">DCF_Base!$B$43</f>
        <v>8.96786807115572</v>
      </c>
      <c r="F5" s="4" t="n">
        <f aca="false">DCF_Base!$B$47</f>
        <v>5.83299829471396</v>
      </c>
    </row>
    <row r="6" customFormat="false" ht="15" hidden="false" customHeight="false" outlineLevel="0" collapsed="false">
      <c r="A6" s="0" t="s">
        <v>147</v>
      </c>
      <c r="B6" s="4" t="n">
        <f aca="false">DCF_Bull!$B$38</f>
        <v>14.0729974798676</v>
      </c>
      <c r="C6" s="0" t="n">
        <f aca="false">B6/Assumptions!$B$2-1</f>
        <v>0.0190439884046061</v>
      </c>
      <c r="D6" s="4" t="n">
        <f aca="false">Assumptions!$B$52</f>
        <v>0.2</v>
      </c>
      <c r="E6" s="4" t="n">
        <f aca="false">DCF_Bull!$B$43</f>
        <v>14.0729974798676</v>
      </c>
      <c r="F6" s="4" t="n">
        <f aca="false">DCF_Bull!$B$47</f>
        <v>8.78245881531221</v>
      </c>
    </row>
    <row r="8" customFormat="false" ht="15" hidden="false" customHeight="false" outlineLevel="0" collapsed="false">
      <c r="A8" s="0" t="s">
        <v>148</v>
      </c>
      <c r="B8" s="0" t="n">
        <f aca="false">SUMPRODUCT(B4:B6,D4:D6)</f>
        <v>8.18583548594941</v>
      </c>
    </row>
    <row r="9" customFormat="false" ht="15" hidden="false" customHeight="false" outlineLevel="0" collapsed="false">
      <c r="A9" s="0" t="s">
        <v>149</v>
      </c>
      <c r="B9" s="0" t="n">
        <f aca="false">SUMPRODUCT(E4:E6,D4:D6)</f>
        <v>8.18583548594941</v>
      </c>
    </row>
    <row r="10" customFormat="false" ht="15" hidden="false" customHeight="false" outlineLevel="0" collapsed="false">
      <c r="A10" s="0" t="s">
        <v>150</v>
      </c>
      <c r="B10" s="0" t="n">
        <f aca="false">1-Assumptions!$B$2/B8</f>
        <v>-0.687060535690486</v>
      </c>
    </row>
    <row r="11" customFormat="false" ht="15" hidden="false" customHeight="false" outlineLevel="0" collapsed="false">
      <c r="A11" s="0" t="s">
        <v>151</v>
      </c>
      <c r="B11" s="0" t="str">
        <f aca="false">IF(ABS(B9-B8)&gt;0.01*ABS(B8),(Assumptions!$B$2-B8)/(B9-B8)*100,"n/a")</f>
        <v>n/a</v>
      </c>
    </row>
    <row r="12" customFormat="false" ht="15" hidden="false" customHeight="false" outlineLevel="0" collapsed="false">
      <c r="A12" s="0" t="s">
        <v>152</v>
      </c>
      <c r="B12" s="0" t="n">
        <f aca="false">SUMPRODUCT(F4:F6,D4:D6)</f>
        <v>5.27097456482037</v>
      </c>
    </row>
    <row r="14" customFormat="false" ht="15" hidden="false" customHeight="false" outlineLevel="0" collapsed="false">
      <c r="A14" s="2" t="s">
        <v>153</v>
      </c>
      <c r="C14" s="0" t="s">
        <v>154</v>
      </c>
    </row>
    <row r="15" customFormat="false" ht="15" hidden="false" customHeight="false" outlineLevel="0" collapsed="false">
      <c r="A15" s="0" t="s">
        <v>155</v>
      </c>
      <c r="B15" s="0" t="n">
        <f aca="false">(SUMPRODUCT(DCF_Base!$C$19:$L$19/(1+$C$15/100)^DCF_Base!$C$4:$L$4)+MAX(0,MIN(IF($C$15&gt;DCF_Base!$B$28,DCF_Base!$L$19*(1+DCF_Base!$B$28/100)/(($C$15-DCF_Base!$B$28)/100),DCF_Base!$L$19*DCF_Base!$B$29),DCF_Base!$L$19*DCF_Base!$B$29))/(1+$C$15/100)^DCF_Base!$L$4+Assumptions!$B$5-Assumptions!$B$4)/Assumptions!$B$3*Assumptions!$B$10</f>
        <v>9.92335231903735</v>
      </c>
      <c r="C15" s="3" t="n">
        <v>9</v>
      </c>
    </row>
    <row r="16" customFormat="false" ht="15" hidden="false" customHeight="false" outlineLevel="0" collapsed="false">
      <c r="A16" s="0" t="s">
        <v>156</v>
      </c>
      <c r="B16" s="0" t="n">
        <f aca="false">(SUMPRODUCT(DCF_Base!$C$19:$L$19/(1+$C$16/100)^DCF_Base!$C$4:$L$4)+MAX(0,MIN(IF($C$16&gt;DCF_Base!$B$28,DCF_Base!$L$19*(1+DCF_Base!$B$28/100)/(($C$16-DCF_Base!$B$28)/100),DCF_Base!$L$19*DCF_Base!$B$29),DCF_Base!$L$19*DCF_Base!$B$29))/(1+$C$16/100)^DCF_Base!$L$4+Assumptions!$B$5-Assumptions!$B$4)/Assumptions!$B$3*Assumptions!$B$10</f>
        <v>9.27171581601809</v>
      </c>
      <c r="C16" s="3" t="n">
        <v>10</v>
      </c>
    </row>
    <row r="17" customFormat="false" ht="15" hidden="false" customHeight="false" outlineLevel="0" collapsed="false">
      <c r="A17" s="0" t="s">
        <v>157</v>
      </c>
      <c r="B17" s="0" t="n">
        <f aca="false">(SUMPRODUCT(DCF_Base!$C$19:$L$19/(1+$C$17/100)^DCF_Base!$C$4:$L$4)+MAX(0,MIN(IF($C$17&gt;DCF_Base!$B$28,DCF_Base!$L$19*(1+DCF_Base!$B$28/100)/(($C$17-DCF_Base!$B$28)/100),DCF_Base!$L$19*DCF_Base!$B$29),DCF_Base!$L$19*DCF_Base!$B$29))/(1+$C$17/100)^DCF_Base!$L$4+Assumptions!$B$5-Assumptions!$B$4)/Assumptions!$B$3*Assumptions!$B$10</f>
        <v>8.96786807115572</v>
      </c>
      <c r="C17" s="3" t="n">
        <v>10.5</v>
      </c>
    </row>
    <row r="18" customFormat="false" ht="15" hidden="false" customHeight="false" outlineLevel="0" collapsed="false">
      <c r="A18" s="0" t="s">
        <v>158</v>
      </c>
      <c r="B18" s="0" t="n">
        <f aca="false">(SUMPRODUCT(DCF_Base!$C$19:$L$19/(1+$C$18/100)^DCF_Base!$C$4:$L$4)+MAX(0,MIN(IF($C$18&gt;DCF_Base!$B$28,DCF_Base!$L$19*(1+DCF_Base!$B$28/100)/(($C$18-DCF_Base!$B$28)/100),DCF_Base!$L$19*DCF_Base!$B$29),DCF_Base!$L$19*DCF_Base!$B$29))/(1+$C$18/100)^DCF_Base!$L$4+Assumptions!$B$5-Assumptions!$B$4)/Assumptions!$B$3*Assumptions!$B$10</f>
        <v>8.67768582295114</v>
      </c>
      <c r="C18" s="3" t="n">
        <v>11</v>
      </c>
    </row>
    <row r="19" customFormat="false" ht="15" hidden="false" customHeight="false" outlineLevel="0" collapsed="false">
      <c r="A19" s="0" t="s">
        <v>159</v>
      </c>
      <c r="B19" s="0" t="n">
        <f aca="false">(SUMPRODUCT(DCF_Base!$C$19:$L$19/(1+$C$19/100)^DCF_Base!$C$4:$L$4)+MAX(0,MIN(IF($C$19&gt;DCF_Base!$B$28,DCF_Base!$L$19*(1+DCF_Base!$B$28/100)/(($C$19-DCF_Base!$B$28)/100),DCF_Base!$L$19*DCF_Base!$B$29),DCF_Base!$L$19*DCF_Base!$B$29))/(1+$C$19/100)^DCF_Base!$L$4+Assumptions!$B$5-Assumptions!$B$4)/Assumptions!$B$3*Assumptions!$B$10</f>
        <v>7.74543396929104</v>
      </c>
      <c r="C19" s="3" t="n">
        <v>12</v>
      </c>
    </row>
    <row r="20" customFormat="false" ht="15" hidden="false" customHeight="false" outlineLevel="0" collapsed="false">
      <c r="A20" s="0" t="s">
        <v>160</v>
      </c>
      <c r="B20" s="0" t="n">
        <f aca="false">(SUMPRODUCT(DCF_Base!$C$19:$L$19/(1+$C$20/100)^DCF_Base!$C$4:$L$4)+MAX(0,MIN(IF($C$20&gt;DCF_Base!$B$28,DCF_Base!$L$19*(1+DCF_Base!$B$28/100)/(($C$20-DCF_Base!$B$28)/100),DCF_Base!$L$19*DCF_Base!$B$29),DCF_Base!$L$19*DCF_Base!$B$29))/(1+$C$20/100)^DCF_Base!$L$4+Assumptions!$B$5-Assumptions!$B$4)/Assumptions!$B$3*Assumptions!$B$10</f>
        <v>5.83299829471396</v>
      </c>
      <c r="C20" s="3" t="n">
        <v>15</v>
      </c>
    </row>
    <row r="22" customFormat="false" ht="15" hidden="false" customHeight="false" outlineLevel="0" collapsed="false">
      <c r="A22" s="2" t="s">
        <v>161</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10.2727227221241</v>
      </c>
      <c r="C24" s="0" t="n">
        <f aca="false">(SUMPRODUCT(DCF_Base!$C$19:$L$19/(1+$A$24/100)^DCF_Base!$C$4:$L$4)+MAX(0,MIN(IF($A$24&gt;$C$23,DCF_Base!$L$19*(1+$C$23/100)/(($A$24-$C$23)/100),DCF_Base!$L$19*DCF_Base!$B$29),DCF_Base!$L$19*DCF_Base!$B$29))/(1+$A$24/100)^DCF_Base!$L$4+Assumptions!$B$5-Assumptions!$B$4)/Assumptions!$B$3*Assumptions!$B$10</f>
        <v>10.2727227221241</v>
      </c>
      <c r="D24" s="0" t="n">
        <f aca="false">(SUMPRODUCT(DCF_Base!$C$19:$L$19/(1+$A$24/100)^DCF_Base!$C$4:$L$4)+MAX(0,MIN(IF($A$24&gt;$D$23,DCF_Base!$L$19*(1+$D$23/100)/(($A$24-$D$23)/100),DCF_Base!$L$19*DCF_Base!$B$29),DCF_Base!$L$19*DCF_Base!$B$29))/(1+$A$24/100)^DCF_Base!$L$4+Assumptions!$B$5-Assumptions!$B$4)/Assumptions!$B$3*Assumptions!$B$10</f>
        <v>10.2727227221241</v>
      </c>
      <c r="E24" s="0" t="n">
        <f aca="false">(SUMPRODUCT(DCF_Base!$C$19:$L$19/(1+$A$24/100)^DCF_Base!$C$4:$L$4)+MAX(0,MIN(IF($A$24&gt;$E$23,DCF_Base!$L$19*(1+$E$23/100)/(($A$24-$E$23)/100),DCF_Base!$L$19*DCF_Base!$B$29),DCF_Base!$L$19*DCF_Base!$B$29))/(1+$A$24/100)^DCF_Base!$L$4+Assumptions!$B$5-Assumptions!$B$4)/Assumptions!$B$3*Assumptions!$B$10</f>
        <v>10.2727227221241</v>
      </c>
      <c r="F24" s="0" t="n">
        <f aca="false">(SUMPRODUCT(DCF_Base!$C$19:$L$19/(1+$A$24/100)^DCF_Base!$C$4:$L$4)+MAX(0,MIN(IF($A$24&gt;$F$23,DCF_Base!$L$19*(1+$F$23/100)/(($A$24-$F$23)/100),DCF_Base!$L$19*DCF_Base!$B$29),DCF_Base!$L$19*DCF_Base!$B$29))/(1+$A$24/100)^DCF_Base!$L$4+Assumptions!$B$5-Assumptions!$B$4)/Assumptions!$B$3*Assumptions!$B$10</f>
        <v>10.2727227221241</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9.58995452426774</v>
      </c>
      <c r="C25" s="0" t="n">
        <f aca="false">(SUMPRODUCT(DCF_Base!$C$19:$L$19/(1+$A$25/100)^DCF_Base!$C$4:$L$4)+MAX(0,MIN(IF($A$25&gt;$C$23,DCF_Base!$L$19*(1+$C$23/100)/(($A$25-$C$23)/100),DCF_Base!$L$19*DCF_Base!$B$29),DCF_Base!$L$19*DCF_Base!$B$29))/(1+$A$25/100)^DCF_Base!$L$4+Assumptions!$B$5-Assumptions!$B$4)/Assumptions!$B$3*Assumptions!$B$10</f>
        <v>9.58995452426774</v>
      </c>
      <c r="D25" s="0" t="n">
        <f aca="false">(SUMPRODUCT(DCF_Base!$C$19:$L$19/(1+$A$25/100)^DCF_Base!$C$4:$L$4)+MAX(0,MIN(IF($A$25&gt;$D$23,DCF_Base!$L$19*(1+$D$23/100)/(($A$25-$D$23)/100),DCF_Base!$L$19*DCF_Base!$B$29),DCF_Base!$L$19*DCF_Base!$B$29))/(1+$A$25/100)^DCF_Base!$L$4+Assumptions!$B$5-Assumptions!$B$4)/Assumptions!$B$3*Assumptions!$B$10</f>
        <v>9.58995452426774</v>
      </c>
      <c r="E25" s="0" t="n">
        <f aca="false">(SUMPRODUCT(DCF_Base!$C$19:$L$19/(1+$A$25/100)^DCF_Base!$C$4:$L$4)+MAX(0,MIN(IF($A$25&gt;$E$23,DCF_Base!$L$19*(1+$E$23/100)/(($A$25-$E$23)/100),DCF_Base!$L$19*DCF_Base!$B$29),DCF_Base!$L$19*DCF_Base!$B$29))/(1+$A$25/100)^DCF_Base!$L$4+Assumptions!$B$5-Assumptions!$B$4)/Assumptions!$B$3*Assumptions!$B$10</f>
        <v>9.58995452426774</v>
      </c>
      <c r="F25" s="0" t="n">
        <f aca="false">(SUMPRODUCT(DCF_Base!$C$19:$L$19/(1+$A$25/100)^DCF_Base!$C$4:$L$4)+MAX(0,MIN(IF($A$25&gt;$F$23,DCF_Base!$L$19*(1+$F$23/100)/(($A$25-$F$23)/100),DCF_Base!$L$19*DCF_Base!$B$29),DCF_Base!$L$19*DCF_Base!$B$29))/(1+$A$25/100)^DCF_Base!$L$4+Assumptions!$B$5-Assumptions!$B$4)/Assumptions!$B$3*Assumptions!$B$10</f>
        <v>9.58995452426774</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8.70147734089438</v>
      </c>
      <c r="C26" s="0" t="n">
        <f aca="false">(SUMPRODUCT(DCF_Base!$C$19:$L$19/(1+$A$26/100)^DCF_Base!$C$4:$L$4)+MAX(0,MIN(IF($A$26&gt;$C$23,DCF_Base!$L$19*(1+$C$23/100)/(($A$26-$C$23)/100),DCF_Base!$L$19*DCF_Base!$B$29),DCF_Base!$L$19*DCF_Base!$B$29))/(1+$A$26/100)^DCF_Base!$L$4+Assumptions!$B$5-Assumptions!$B$4)/Assumptions!$B$3*Assumptions!$B$10</f>
        <v>8.96786807115572</v>
      </c>
      <c r="D26" s="0" t="n">
        <f aca="false">(SUMPRODUCT(DCF_Base!$C$19:$L$19/(1+$A$26/100)^DCF_Base!$C$4:$L$4)+MAX(0,MIN(IF($A$26&gt;$D$23,DCF_Base!$L$19*(1+$D$23/100)/(($A$26-$D$23)/100),DCF_Base!$L$19*DCF_Base!$B$29),DCF_Base!$L$19*DCF_Base!$B$29))/(1+$A$26/100)^DCF_Base!$L$4+Assumptions!$B$5-Assumptions!$B$4)/Assumptions!$B$3*Assumptions!$B$10</f>
        <v>8.96786807115572</v>
      </c>
      <c r="E26" s="0" t="n">
        <f aca="false">(SUMPRODUCT(DCF_Base!$C$19:$L$19/(1+$A$26/100)^DCF_Base!$C$4:$L$4)+MAX(0,MIN(IF($A$26&gt;$E$23,DCF_Base!$L$19*(1+$E$23/100)/(($A$26-$E$23)/100),DCF_Base!$L$19*DCF_Base!$B$29),DCF_Base!$L$19*DCF_Base!$B$29))/(1+$A$26/100)^DCF_Base!$L$4+Assumptions!$B$5-Assumptions!$B$4)/Assumptions!$B$3*Assumptions!$B$10</f>
        <v>8.96786807115572</v>
      </c>
      <c r="F26" s="0" t="n">
        <f aca="false">(SUMPRODUCT(DCF_Base!$C$19:$L$19/(1+$A$26/100)^DCF_Base!$C$4:$L$4)+MAX(0,MIN(IF($A$26&gt;$F$23,DCF_Base!$L$19*(1+$F$23/100)/(($A$26-$F$23)/100),DCF_Base!$L$19*DCF_Base!$B$29),DCF_Base!$L$19*DCF_Base!$B$29))/(1+$A$26/100)^DCF_Base!$L$4+Assumptions!$B$5-Assumptions!$B$4)/Assumptions!$B$3*Assumptions!$B$10</f>
        <v>8.96786807115572</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7.77690094220257</v>
      </c>
      <c r="C27" s="0" t="n">
        <f aca="false">(SUMPRODUCT(DCF_Base!$C$19:$L$19/(1+$A$27/100)^DCF_Base!$C$4:$L$4)+MAX(0,MIN(IF($A$27&gt;$C$23,DCF_Base!$L$19*(1+$C$23/100)/(($A$27-$C$23)/100),DCF_Base!$L$19*DCF_Base!$B$29),DCF_Base!$L$19*DCF_Base!$B$29))/(1+$A$27/100)^DCF_Base!$L$4+Assumptions!$B$5-Assumptions!$B$4)/Assumptions!$B$3*Assumptions!$B$10</f>
        <v>7.9747088429486</v>
      </c>
      <c r="D27" s="0" t="n">
        <f aca="false">(SUMPRODUCT(DCF_Base!$C$19:$L$19/(1+$A$27/100)^DCF_Base!$C$4:$L$4)+MAX(0,MIN(IF($A$27&gt;$D$23,DCF_Base!$L$19*(1+$D$23/100)/(($A$27-$D$23)/100),DCF_Base!$L$19*DCF_Base!$B$29),DCF_Base!$L$19*DCF_Base!$B$29))/(1+$A$27/100)^DCF_Base!$L$4+Assumptions!$B$5-Assumptions!$B$4)/Assumptions!$B$3*Assumptions!$B$10</f>
        <v>8.19449539933308</v>
      </c>
      <c r="E27" s="0" t="n">
        <f aca="false">(SUMPRODUCT(DCF_Base!$C$19:$L$19/(1+$A$27/100)^DCF_Base!$C$4:$L$4)+MAX(0,MIN(IF($A$27&gt;$E$23,DCF_Base!$L$19*(1+$E$23/100)/(($A$27-$E$23)/100),DCF_Base!$L$19*DCF_Base!$B$29),DCF_Base!$L$19*DCF_Base!$B$29))/(1+$A$27/100)^DCF_Base!$L$4+Assumptions!$B$5-Assumptions!$B$4)/Assumptions!$B$3*Assumptions!$B$10</f>
        <v>8.40048369657234</v>
      </c>
      <c r="F27" s="0" t="n">
        <f aca="false">(SUMPRODUCT(DCF_Base!$C$19:$L$19/(1+$A$27/100)^DCF_Base!$C$4:$L$4)+MAX(0,MIN(IF($A$27&gt;$F$23,DCF_Base!$L$19*(1+$F$23/100)/(($A$27-$F$23)/100),DCF_Base!$L$19*DCF_Base!$B$29),DCF_Base!$L$19*DCF_Base!$B$29))/(1+$A$27/100)^DCF_Base!$L$4+Assumptions!$B$5-Assumptions!$B$4)/Assumptions!$B$3*Assumptions!$B$10</f>
        <v>8.40048369657234</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7.02768724731315</v>
      </c>
      <c r="C28" s="0" t="n">
        <f aca="false">(SUMPRODUCT(DCF_Base!$C$19:$L$19/(1+$A$28/100)^DCF_Base!$C$4:$L$4)+MAX(0,MIN(IF($A$28&gt;$C$23,DCF_Base!$L$19*(1+$C$23/100)/(($A$28-$C$23)/100),DCF_Base!$L$19*DCF_Base!$B$29),DCF_Base!$L$19*DCF_Base!$B$29))/(1+$A$28/100)^DCF_Base!$L$4+Assumptions!$B$5-Assumptions!$B$4)/Assumptions!$B$3*Assumptions!$B$10</f>
        <v>7.17782377225651</v>
      </c>
      <c r="D28" s="0" t="n">
        <f aca="false">(SUMPRODUCT(DCF_Base!$C$19:$L$19/(1+$A$28/100)^DCF_Base!$C$4:$L$4)+MAX(0,MIN(IF($A$28&gt;$D$23,DCF_Base!$L$19*(1+$D$23/100)/(($A$28-$D$23)/100),DCF_Base!$L$19*DCF_Base!$B$29),DCF_Base!$L$19*DCF_Base!$B$29))/(1+$A$28/100)^DCF_Base!$L$4+Assumptions!$B$5-Assumptions!$B$4)/Assumptions!$B$3*Assumptions!$B$10</f>
        <v>7.34297394969421</v>
      </c>
      <c r="E28" s="0" t="n">
        <f aca="false">(SUMPRODUCT(DCF_Base!$C$19:$L$19/(1+$A$28/100)^DCF_Base!$C$4:$L$4)+MAX(0,MIN(IF($A$28&gt;$E$23,DCF_Base!$L$19*(1+$E$23/100)/(($A$28-$E$23)/100),DCF_Base!$L$19*DCF_Base!$B$29),DCF_Base!$L$19*DCF_Base!$B$29))/(1+$A$28/100)^DCF_Base!$L$4+Assumptions!$B$5-Assumptions!$B$4)/Assumptions!$B$3*Assumptions!$B$10</f>
        <v>7.52550835633588</v>
      </c>
      <c r="F28" s="0" t="n">
        <f aca="false">(SUMPRODUCT(DCF_Base!$C$19:$L$19/(1+$A$28/100)^DCF_Base!$C$4:$L$4)+MAX(0,MIN(IF($A$28&gt;$F$23,DCF_Base!$L$19*(1+$F$23/100)/(($A$28-$F$23)/100),DCF_Base!$L$19*DCF_Base!$B$29),DCF_Base!$L$19*DCF_Base!$B$29))/(1+$A$28/100)^DCF_Base!$L$4+Assumptions!$B$5-Assumptions!$B$4)/Assumptions!$B$3*Assumptions!$B$10</f>
        <v>7.72832436371552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2026-10-18T05:33:55Z</dcterms:created>
  <dc:creator>openpyxl</dc:creator>
  <dc:description/>
  <dc:language>en-NZ</dc:language>
  <cp:lastModifiedBy/>
  <dcterms:modified xsi:type="dcterms:W3CDTF">2026-10-18T05:33:55Z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