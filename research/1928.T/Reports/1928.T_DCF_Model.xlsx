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<sst xmlns="http://schemas.openxmlformats.org/spreadsheetml/2006/main" count="379" uniqueCount="172">
  <si>
    <t xml:space="preserve">Ticker</t>
  </si>
  <si>
    <t xml:space="preserve">1928.T</t>
  </si>
  <si>
    <t xml:space="preserve">Company</t>
  </si>
  <si>
    <t xml:space="preserve">Sekisui House, Ltd.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</si>
  <si>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</si>
  <si>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</si>
  <si>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</si>
  <si>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</si>
  <si>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2026-10-26T02:30:00Z (11:30 JST, intraday TSE print, not a close; 52-week range 3181-3832)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</si>
  <si>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</si>
  <si>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</si>
  <si>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</si>
  <si>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</si>
  <si>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</si>
  <si>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</si>
  <si>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</si>
  <si>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</si>
  <si>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</si>
  <si>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</si>
  <si>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</si>
  <si>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</si>
  <si>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2026-10-26T03:44:25Z</t>
  </si>
  <si>
    <t xml:space="preserve">Drivers file</t>
  </si>
  <si>
    <t xml:space="preserve">1928.T_Drivers.json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</si>
  <si>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</si>
  <si>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</si>
  <si>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</si>
  <si>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Sekisui House screens cheap on earnings (P/E ~10x, P/B ~1.0x, 4% dividend yield) but a homebuilder-developer's earnings are not its free cash flow: FY2021-25 owner FCF was 54% of net income because every yen of growth is pre-funded by land and buildings for sale, now JPY3.2tn. This DCF charges that inventory investment explicitly (negative working-capital capture), charges the MDC acquisition debt once in the bridge, adds back the investment-securities portfolio whose income is excluded from the flows, and caps the exit at 15x owner FCF so no re-rating is assumed. The result is a value that depends mostly on whether US homebuilding margins recover and on how much capital the growth consumes - the two axes the scenarios span. A 7% JPY WACC is used in all scenarios; risk is in the flows and weights, not stacked in the rate.
key_risks_to_valuation: US housing cycle: mortgage-rate and incentive trajectory drives ~40% of the swing in consolidated operating profit; FY2025 US homebuilding was loss-making; Inventory valuation: JPY3.2tn of land/buildings for sale (overseas 2.45tn) is exposed to write-downs; FY2024-25 evaluation losses were 17.5bn and 19.8bn; Working-capital intensity assumption (-60% capture) is the single largest driver of owner FCF; a land-light US model would add materially, a land-heavy one subtract; Leverage: net debt JPY1.46tn (~3.7x EBITDA) after MDC; interest expense 39bn/yr; deleveraging competes with the 145-yen dividend floor and buybacks; USD/JPY translation: ~31% of revenue is USD/AUD; a 10% yen appreciation cuts reported overseas revenue by ~130bn; Japan demographics: new housing starts in secular decline, capping the legacy custom-detached and rental-construction segments; Terminal multiple: 15x cap binds in all three scenarios; the market has paid 9-11x earnings for this stock for a decade, so even the house exit multiple assumes no discount for cyclicality</t>
  </si>
  <si>
    <t xml:space="preserve">Data sources</t>
  </si>
  <si>
    <t xml:space="preserve">price: Yahoo Finance chart API at inputs.price_as_of (intraday TSE print); 52-week range 3181-3832
financials: 1928.T_Metrics.csv / core_metrics (FY2010-FY2025 annual, J-GAAP consolidated, JPY millions); FY2025 tanshin (year ended 2026-01-31) for the income statement, cash flow (PP&amp;E capex 66,930; intangibles 28,158; interest paid 38,632; taxes paid 87,324) and the March-2026 treasury-share cancellation; Q2 FY2026 tanshin (six months ended 2026-07-31) for the latest balance sheet (debt, cash, investment securities, NCI), share counts and the 2026-09-10 revised FY2026 forecast; Q2 FY2026 presentation for the KPI table (ROE, ROIC, payout, BPS), 7th MTP investment plan and land-bank roll-forward
qualitative: 1928.T_Analysis.json (2026-10-26): business model, segment mix, 7th Mid-Term Management Plan (FY2026-28), US integration, bull/bear cases</t>
  </si>
  <si>
    <t xml:space="preserve">Scenario narrative: bear</t>
  </si>
  <si>
    <t xml:space="preserve">The FY2025 US margin collapse was the start of a cycle, not a blip: affordability stays stretched, incentives and tariff-driven cost inflation keep US homebuilding at or below break-even through FY2027, and a land bank bought at 2021-24 prices (overseas inventory 2.45tn, 1.9x overseas revenue) takes further valuation losses. Japan's Development segment normalises from an unusually strong FY2025 and starts fall faster on demographics and the post-Energy-Act hangover. Consolidated revenue dips in FY2027, EBITDA troughs at 7.8%, and the post-MDC balance sheet (net debt ~3.7x EBITDA) means deleveraging rather than returns absorbs the cash. The firm survives easily - the bear is a decade of ~2% growth at 8% margins while carrying the inventory.</t>
  </si>
  <si>
    <t xml:space="preserve">Scenario narrative: base</t>
  </si>
  <si>
    <t xml:space="preserve">Management's FY2026 numbers (sales +1.5%, OP 350bn) are met, then the two axes that decide Sekisui House's next decade both move moderately: (1) US homebuilding - Sekisui House U.S. (MDC/Richmond American + Woodside + Chesmar + Holt, one company since January 2026, #6 US builder) recovers from the FY2025 operating loss as mortgage rates ease and incentives fade, taking overseas OP from 39bn toward the 56bn guided and beyond; (2) Japan - new housing starts keep shrinking ~1-2%/yr but rental housing management (713bn, 9.7% margin, growing 3-4%), remodeling and urban redevelopment lift the mix. Revenue compounds ~3%/yr to ~5.4tn by FY2035, EBITDA margin reaches 10%, and the land bank is turned rather than grown (WC consumes 60% of each yen of incremental revenue). Leverage falls gradually toward the MTP's soundness target; the 145-yen dividend floor is comfortably covered by owner FCF of ~150-250bn.</t>
  </si>
  <si>
    <t xml:space="preserve">Scenario narrative: bull</t>
  </si>
  <si>
    <t xml:space="preserve">US demand recovers with lower rates and the one-company integration delivers the cost/land synergies the MDC deal was justified on: US homebuilding margins return to mid-to-high single digits, overseas revenue grows high single digits, and the 7th MTP's high-12% ROE is reached by FY2028 (EBITDA ~11%). Japan's Development and urban-redevelopment pipeline (Grand Green Osaka etc.) delivers, and a move to lot options in the US improves inventory turnover (WC -50%). The company resumes buybacks as leverage normalises. Terminal value is still capped at 15x FCF - the bull is a margin and growth story, not a re-rating story.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</si>
  <si>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</si>
  <si>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</si>
  <si>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</si>
  <si>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</si>
  <si>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</si>
  <si>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</si>
  <si>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</si>
  <si>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</si>
  <si>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</si>
  <si>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</si>
  <si>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</si>
  <si>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</si>
  <si>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</si>
  <si>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</si>
  <si>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</si>
  <si>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</si>
  <si>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</si>
  <si>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</si>
  <si>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</si>
  <si>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</si>
  <si>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</si>
  <si>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</si>
  <si>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</si>
  <si>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</si>
  <si>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</si>
  <si>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</si>
  <si>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</si>
  <si>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</si>
  <si>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</si>
  <si>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</si>
  <si>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</si>
  <si>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</si>
  <si>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</si>
  <si>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</si>
  <si>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</si>
  <si>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</si>
  <si>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</si>
  <si>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</si>
  <si>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</si>
  <si>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</si>
  <si>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</si>
  <si>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</si>
  <si>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</si>
  <si>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</si>
  <si>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</si>
  <si>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</si>
  <si>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</si>
  <si>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</si>
  <si>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</si>
  <si>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</si>
  <si>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</si>
  <si>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</si>
  <si>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</si>
  <si>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</si>
  <si>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</si>
  <si>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</si>
  <si>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</si>
  <si>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</si>
  <si>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</si>
  <si>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</si>
  <si>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</si>
  <si>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</si>
  <si>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</si>
  <si>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</si>
  <si>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</si>
  <si>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</si>
  <si>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</si>
  <si>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</si>
  <si>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</si>
  <si>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</si>
  <si>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</si>
  <si>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</si>
  <si>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</si>
  <si>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</si>
  <si>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</si>
  <si>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</si>
  <si>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</si>
  <si>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</si>
  <si>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</si>
  <si>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</si>
  <si>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</si>
  <si>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1928.T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</si>
  <si>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</si>
  <si>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</si>
  <si>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</si>
  <si>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</si>
  <si>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</si>
  <si>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</si>
  <si>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</si>
  <si>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</si>
  <si>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</si>
  <si>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</si>
  <si>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</si>
  <si>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</si>
  <si>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</si>
  <si>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</si>
  <si>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</si>
  <si>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</si>
  <si>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</si>
  <si>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</si>
  <si>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</si>
  <si>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</si>
  <si>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</si>
  <si>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</si>
  <si>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</si>
  <si>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</si>
  <si>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</si>
  <si>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</si>
  <si>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</si>
  <si>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</si>
  <si>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</si>
  <si>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</si>
  <si>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1928.T owner-FCF component DCF: base case (millions, JPY)</t>
  </si>
  <si>
    <t xml:space="preserve">1928.T owner-FCF component DCF: bull case (millions, JPY)</t>
  </si>
  <si>
    <t xml:space="preserve">1928.T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</si>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</sst>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3569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1488369</v>
      </c>
      <c r="F2" s="0" t="n">
        <v>56354</v>
      </c>
      <c r="G2" s="0" t="n">
        <v>3.79</v>
      </c>
      <c r="I2" s="0" t="n">
        <v>30421</v>
      </c>
      <c r="J2" s="0" t="n">
        <v>2.04</v>
      </c>
      <c r="K2" s="0" t="n">
        <v>45</v>
      </c>
      <c r="L2" s="0" t="n">
        <v>85061</v>
      </c>
      <c r="O2" s="0" t="n">
        <v>736962</v>
      </c>
      <c r="P2" s="0" t="n">
        <v>1341308</v>
      </c>
      <c r="S2" s="0" t="n">
        <v>151983</v>
      </c>
      <c r="T2" s="0" t="n">
        <v>676.02</v>
      </c>
      <c r="AA2" s="0" t="s">
        <v>17</v>
      </c>
      <c r="AB2" s="0" t="s">
        <v>14</v>
      </c>
      <c r="AC2" s="0" t="n">
        <v>1090.67</v>
      </c>
    </row>
    <row r="3" customFormat="false" ht="15" hidden="false" customHeight="false" outlineLevel="0" collapsed="false">
      <c r="A3" s="0" t="s">
        <v>65</v>
      </c>
      <c r="B3" s="0" t="n">
        <v>1530577</v>
      </c>
      <c r="D3" s="0" t="n">
        <v>275324</v>
      </c>
      <c r="E3" s="0" t="n">
        <v>17.99</v>
      </c>
      <c r="F3" s="0" t="n">
        <v>70897</v>
      </c>
      <c r="G3" s="0" t="n">
        <v>4.63</v>
      </c>
      <c r="H3" s="0" t="n">
        <v>88931</v>
      </c>
      <c r="I3" s="0" t="n">
        <v>28962</v>
      </c>
      <c r="J3" s="0" t="n">
        <v>1.89</v>
      </c>
      <c r="K3" s="0" t="n">
        <v>41.12</v>
      </c>
      <c r="L3" s="0" t="n">
        <v>26306</v>
      </c>
      <c r="M3" s="0" t="n">
        <v>30510</v>
      </c>
      <c r="N3" s="0" t="n">
        <v>-4204</v>
      </c>
      <c r="O3" s="0" t="n">
        <v>743830</v>
      </c>
      <c r="P3" s="0" t="n">
        <v>1445828</v>
      </c>
      <c r="Q3" s="0" t="n">
        <v>695454</v>
      </c>
      <c r="R3" s="0" t="n">
        <v>213733</v>
      </c>
      <c r="S3" s="0" t="n">
        <v>169524</v>
      </c>
      <c r="T3" s="0" t="n">
        <v>704.33</v>
      </c>
      <c r="AA3" s="0" t="s">
        <v>17</v>
      </c>
      <c r="AB3" s="0" t="s">
        <v>14</v>
      </c>
      <c r="AC3" s="0" t="n">
        <v>1107.43</v>
      </c>
    </row>
    <row r="4" customFormat="false" ht="15" hidden="false" customHeight="false" outlineLevel="0" collapsed="false">
      <c r="A4" s="0" t="s">
        <v>66</v>
      </c>
      <c r="B4" s="0" t="n">
        <v>1613816</v>
      </c>
      <c r="D4" s="0" t="n">
        <v>299503</v>
      </c>
      <c r="E4" s="0" t="n">
        <v>18.56</v>
      </c>
      <c r="F4" s="0" t="n">
        <v>86196</v>
      </c>
      <c r="G4" s="0" t="n">
        <v>5.34</v>
      </c>
      <c r="H4" s="0" t="n">
        <v>105211</v>
      </c>
      <c r="I4" s="0" t="n">
        <v>46458</v>
      </c>
      <c r="J4" s="0" t="n">
        <v>2.88</v>
      </c>
      <c r="K4" s="0" t="n">
        <v>64.32</v>
      </c>
      <c r="L4" s="0" t="n">
        <v>82582</v>
      </c>
      <c r="M4" s="0" t="n">
        <v>54713</v>
      </c>
      <c r="N4" s="0" t="n">
        <v>27869</v>
      </c>
      <c r="O4" s="0" t="n">
        <v>806406</v>
      </c>
      <c r="P4" s="0" t="n">
        <v>1539272</v>
      </c>
      <c r="Q4" s="0" t="n">
        <v>725208</v>
      </c>
      <c r="R4" s="0" t="n">
        <v>217027</v>
      </c>
      <c r="S4" s="0" t="n">
        <v>179242</v>
      </c>
      <c r="T4" s="0" t="n">
        <v>722.29</v>
      </c>
      <c r="AA4" s="0" t="s">
        <v>17</v>
      </c>
      <c r="AB4" s="0" t="s">
        <v>14</v>
      </c>
      <c r="AC4" s="0" t="n">
        <v>1200.63</v>
      </c>
    </row>
    <row r="5" customFormat="false" ht="15" hidden="false" customHeight="false" outlineLevel="0" collapsed="false">
      <c r="A5" s="0" t="s">
        <v>67</v>
      </c>
      <c r="B5" s="0" t="n">
        <v>1805102</v>
      </c>
      <c r="D5" s="0" t="n">
        <v>358499</v>
      </c>
      <c r="E5" s="0" t="n">
        <v>19.86</v>
      </c>
      <c r="F5" s="0" t="n">
        <v>131930</v>
      </c>
      <c r="G5" s="0" t="n">
        <v>7.31</v>
      </c>
      <c r="H5" s="0" t="n">
        <v>154511</v>
      </c>
      <c r="I5" s="0" t="n">
        <v>79801</v>
      </c>
      <c r="J5" s="0" t="n">
        <v>4.42</v>
      </c>
      <c r="K5" s="0" t="n">
        <v>110.5</v>
      </c>
      <c r="L5" s="0" t="n">
        <v>78073</v>
      </c>
      <c r="M5" s="0" t="n">
        <v>75930</v>
      </c>
      <c r="N5" s="0" t="n">
        <v>2143</v>
      </c>
      <c r="O5" s="0" t="n">
        <v>930944</v>
      </c>
      <c r="P5" s="0" t="n">
        <v>1769005</v>
      </c>
      <c r="Q5" s="0" t="n">
        <v>827589</v>
      </c>
      <c r="R5" s="0" t="n">
        <v>250987</v>
      </c>
      <c r="S5" s="0" t="n">
        <v>181324</v>
      </c>
      <c r="T5" s="0" t="n">
        <v>722.18</v>
      </c>
      <c r="AA5" s="0" t="s">
        <v>17</v>
      </c>
      <c r="AB5" s="0" t="s">
        <v>14</v>
      </c>
      <c r="AC5" s="0" t="n">
        <v>1358.6</v>
      </c>
    </row>
    <row r="6" customFormat="false" ht="15" hidden="false" customHeight="false" outlineLevel="0" collapsed="false">
      <c r="A6" s="0" t="s">
        <v>68</v>
      </c>
      <c r="B6" s="0" t="n">
        <v>1912721</v>
      </c>
      <c r="D6" s="0" t="n">
        <v>368446</v>
      </c>
      <c r="E6" s="0" t="n">
        <v>19.26</v>
      </c>
      <c r="F6" s="0" t="n">
        <v>146595</v>
      </c>
      <c r="G6" s="0" t="n">
        <v>7.66</v>
      </c>
      <c r="H6" s="0" t="n">
        <v>172287</v>
      </c>
      <c r="I6" s="0" t="n">
        <v>90224</v>
      </c>
      <c r="J6" s="0" t="n">
        <v>4.72</v>
      </c>
      <c r="K6" s="0" t="n">
        <v>125.22</v>
      </c>
      <c r="L6" s="0" t="n">
        <v>117358</v>
      </c>
      <c r="M6" s="0" t="n">
        <v>119997</v>
      </c>
      <c r="N6" s="0" t="n">
        <v>-2639</v>
      </c>
      <c r="O6" s="0" t="n">
        <v>1068423</v>
      </c>
      <c r="P6" s="0" t="n">
        <v>1929409</v>
      </c>
      <c r="Q6" s="0" t="n">
        <v>850345</v>
      </c>
      <c r="R6" s="0" t="n">
        <v>335736</v>
      </c>
      <c r="S6" s="0" t="n">
        <v>195008</v>
      </c>
      <c r="T6" s="0" t="n">
        <v>720.52</v>
      </c>
      <c r="AA6" s="0" t="s">
        <v>17</v>
      </c>
      <c r="AB6" s="0" t="s">
        <v>14</v>
      </c>
      <c r="AC6" s="0" t="n">
        <v>1527.52</v>
      </c>
    </row>
    <row r="7" customFormat="false" ht="15" hidden="false" customHeight="false" outlineLevel="0" collapsed="false">
      <c r="A7" s="0" t="s">
        <v>69</v>
      </c>
      <c r="B7" s="0" t="n">
        <v>1858879</v>
      </c>
      <c r="D7" s="0" t="n">
        <v>373867</v>
      </c>
      <c r="E7" s="0" t="n">
        <v>20.11</v>
      </c>
      <c r="F7" s="0" t="n">
        <v>149645</v>
      </c>
      <c r="G7" s="0" t="n">
        <v>8.05</v>
      </c>
      <c r="H7" s="0" t="n">
        <v>174083</v>
      </c>
      <c r="I7" s="0" t="n">
        <v>84302</v>
      </c>
      <c r="J7" s="0" t="n">
        <v>4.54</v>
      </c>
      <c r="K7" s="0" t="n">
        <v>119.41</v>
      </c>
      <c r="L7" s="0" t="n">
        <v>45884</v>
      </c>
      <c r="M7" s="0" t="n">
        <v>77817</v>
      </c>
      <c r="N7" s="0" t="n">
        <v>-31933</v>
      </c>
      <c r="O7" s="0" t="n">
        <v>1057696</v>
      </c>
      <c r="P7" s="0" t="n">
        <v>2029794</v>
      </c>
      <c r="Q7" s="0" t="n">
        <v>961366</v>
      </c>
      <c r="R7" s="0" t="n">
        <v>421321</v>
      </c>
      <c r="S7" s="0" t="n">
        <v>192338</v>
      </c>
      <c r="T7" s="0" t="n">
        <v>705.99</v>
      </c>
      <c r="AA7" s="0" t="s">
        <v>17</v>
      </c>
      <c r="AB7" s="0" t="s">
        <v>14</v>
      </c>
      <c r="AC7" s="0" t="n">
        <v>1508.81</v>
      </c>
    </row>
    <row r="8" customFormat="false" ht="15" hidden="false" customHeight="false" outlineLevel="0" collapsed="false">
      <c r="A8" s="0" t="s">
        <v>70</v>
      </c>
      <c r="B8" s="0" t="n">
        <v>2026931</v>
      </c>
      <c r="D8" s="0" t="n">
        <v>418297</v>
      </c>
      <c r="E8" s="0" t="n">
        <v>20.64</v>
      </c>
      <c r="F8" s="0" t="n">
        <v>184164</v>
      </c>
      <c r="G8" s="0" t="n">
        <v>9.09</v>
      </c>
      <c r="H8" s="0" t="n">
        <v>207289</v>
      </c>
      <c r="I8" s="0" t="n">
        <v>121853</v>
      </c>
      <c r="J8" s="0" t="n">
        <v>6.01</v>
      </c>
      <c r="K8" s="0" t="n">
        <v>175.22</v>
      </c>
      <c r="L8" s="0" t="n">
        <v>115820</v>
      </c>
      <c r="M8" s="0" t="n">
        <v>94588</v>
      </c>
      <c r="N8" s="0" t="n">
        <v>21232</v>
      </c>
      <c r="O8" s="0" t="n">
        <v>1103359</v>
      </c>
      <c r="P8" s="0" t="n">
        <v>2184895</v>
      </c>
      <c r="Q8" s="0" t="n">
        <v>1066630</v>
      </c>
      <c r="R8" s="0" t="n">
        <v>486591</v>
      </c>
      <c r="S8" s="0" t="n">
        <v>204701</v>
      </c>
      <c r="T8" s="0" t="n">
        <v>695.43</v>
      </c>
      <c r="AA8" s="0" t="s">
        <v>17</v>
      </c>
      <c r="AB8" s="0" t="s">
        <v>14</v>
      </c>
      <c r="AC8" s="0" t="n">
        <v>1598.9</v>
      </c>
    </row>
    <row r="9" customFormat="false" ht="15" hidden="false" customHeight="false" outlineLevel="0" collapsed="false">
      <c r="A9" s="0" t="s">
        <v>71</v>
      </c>
      <c r="B9" s="0" t="n">
        <v>2159363</v>
      </c>
      <c r="D9" s="0" t="n">
        <v>445082</v>
      </c>
      <c r="E9" s="0" t="n">
        <v>20.61</v>
      </c>
      <c r="F9" s="0" t="n">
        <v>195540</v>
      </c>
      <c r="G9" s="0" t="n">
        <v>9.06</v>
      </c>
      <c r="H9" s="0" t="n">
        <v>217523</v>
      </c>
      <c r="I9" s="0" t="n">
        <v>133244</v>
      </c>
      <c r="J9" s="0" t="n">
        <v>6.17</v>
      </c>
      <c r="K9" s="0" t="n">
        <v>192.82</v>
      </c>
      <c r="L9" s="0" t="n">
        <v>165355</v>
      </c>
      <c r="M9" s="0" t="n">
        <v>62899</v>
      </c>
      <c r="N9" s="0" t="n">
        <v>102456</v>
      </c>
      <c r="O9" s="0" t="n">
        <v>1194975</v>
      </c>
      <c r="P9" s="0" t="n">
        <v>2419012</v>
      </c>
      <c r="Q9" s="0" t="n">
        <v>1210891</v>
      </c>
      <c r="R9" s="0" t="n">
        <v>616339</v>
      </c>
      <c r="S9" s="0" t="n">
        <v>324693</v>
      </c>
      <c r="T9" s="0" t="n">
        <v>691.03</v>
      </c>
      <c r="AA9" s="0" t="s">
        <v>17</v>
      </c>
      <c r="AB9" s="0" t="s">
        <v>14</v>
      </c>
      <c r="AC9" s="0" t="n">
        <v>1731.6</v>
      </c>
    </row>
    <row r="10" customFormat="false" ht="15" hidden="false" customHeight="false" outlineLevel="0" collapsed="false">
      <c r="A10" s="0" t="s">
        <v>72</v>
      </c>
      <c r="B10" s="0" t="n">
        <v>2160316</v>
      </c>
      <c r="D10" s="0" t="n">
        <v>444596</v>
      </c>
      <c r="E10" s="0" t="n">
        <v>20.58</v>
      </c>
      <c r="F10" s="0" t="n">
        <v>189223</v>
      </c>
      <c r="G10" s="0" t="n">
        <v>8.76</v>
      </c>
      <c r="H10" s="0" t="n">
        <v>211378</v>
      </c>
      <c r="I10" s="0" t="n">
        <v>128582</v>
      </c>
      <c r="J10" s="0" t="n">
        <v>5.95</v>
      </c>
      <c r="K10" s="0" t="n">
        <v>186.29</v>
      </c>
      <c r="L10" s="0" t="n">
        <v>125088</v>
      </c>
      <c r="M10" s="0" t="n">
        <v>53877</v>
      </c>
      <c r="N10" s="0" t="n">
        <v>71211</v>
      </c>
      <c r="O10" s="0" t="n">
        <v>1182808</v>
      </c>
      <c r="P10" s="0" t="n">
        <v>2413035</v>
      </c>
      <c r="Q10" s="0" t="n">
        <v>1216130</v>
      </c>
      <c r="R10" s="0" t="n">
        <v>632781</v>
      </c>
      <c r="S10" s="0" t="n">
        <v>342898</v>
      </c>
      <c r="T10" s="0" t="n">
        <v>690.22</v>
      </c>
      <c r="AA10" s="0" t="s">
        <v>17</v>
      </c>
      <c r="AB10" s="0" t="s">
        <v>14</v>
      </c>
      <c r="AC10" s="0" t="n">
        <v>1718.82</v>
      </c>
    </row>
    <row r="11" customFormat="false" ht="15" hidden="false" customHeight="false" outlineLevel="0" collapsed="false">
      <c r="A11" s="0" t="s">
        <v>73</v>
      </c>
      <c r="B11" s="0" t="n">
        <v>2415186</v>
      </c>
      <c r="D11" s="0" t="n">
        <v>478036</v>
      </c>
      <c r="E11" s="0" t="n">
        <v>19.79</v>
      </c>
      <c r="F11" s="0" t="n">
        <v>205256</v>
      </c>
      <c r="G11" s="0" t="n">
        <v>8.5</v>
      </c>
      <c r="H11" s="0" t="n">
        <v>226774</v>
      </c>
      <c r="I11" s="0" t="n">
        <v>141256</v>
      </c>
      <c r="J11" s="0" t="n">
        <v>5.85</v>
      </c>
      <c r="K11" s="0" t="n">
        <v>205.57</v>
      </c>
      <c r="L11" s="0" t="n">
        <v>363766</v>
      </c>
      <c r="M11" s="0" t="n">
        <v>66622</v>
      </c>
      <c r="N11" s="0" t="n">
        <v>297144</v>
      </c>
      <c r="O11" s="0" t="n">
        <v>1266195</v>
      </c>
      <c r="P11" s="0" t="n">
        <v>2634748</v>
      </c>
      <c r="Q11" s="0" t="n">
        <v>1327897</v>
      </c>
      <c r="R11" s="0" t="n">
        <v>579107</v>
      </c>
      <c r="S11" s="0" t="n">
        <v>583297</v>
      </c>
      <c r="T11" s="0" t="n">
        <v>687.14</v>
      </c>
      <c r="AA11" s="0" t="s">
        <v>17</v>
      </c>
      <c r="AB11" s="0" t="s">
        <v>14</v>
      </c>
      <c r="AC11" s="0" t="n">
        <v>1852.62</v>
      </c>
    </row>
    <row r="12" customFormat="false" ht="15" hidden="false" customHeight="false" outlineLevel="0" collapsed="false">
      <c r="A12" s="0" t="s">
        <v>74</v>
      </c>
      <c r="B12" s="0" t="n">
        <v>2446904</v>
      </c>
      <c r="D12" s="0" t="n">
        <v>473511</v>
      </c>
      <c r="E12" s="0" t="n">
        <v>19.35</v>
      </c>
      <c r="F12" s="0" t="n">
        <v>186519</v>
      </c>
      <c r="G12" s="0" t="n">
        <v>7.62</v>
      </c>
      <c r="H12" s="0" t="n">
        <v>208245</v>
      </c>
      <c r="I12" s="0" t="n">
        <v>123542</v>
      </c>
      <c r="J12" s="0" t="n">
        <v>5.05</v>
      </c>
      <c r="K12" s="0" t="n">
        <v>181.02</v>
      </c>
      <c r="L12" s="0" t="n">
        <v>191972</v>
      </c>
      <c r="M12" s="0" t="n">
        <v>87490</v>
      </c>
      <c r="N12" s="0" t="n">
        <v>104482</v>
      </c>
      <c r="O12" s="0" t="n">
        <v>1326535</v>
      </c>
      <c r="P12" s="0" t="n">
        <v>2625861</v>
      </c>
      <c r="Q12" s="0" t="n">
        <v>1256974</v>
      </c>
      <c r="R12" s="0" t="n">
        <v>555204</v>
      </c>
      <c r="S12" s="0" t="n">
        <v>600234</v>
      </c>
      <c r="T12" s="0" t="n">
        <v>682.48</v>
      </c>
      <c r="AA12" s="0" t="s">
        <v>17</v>
      </c>
      <c r="AB12" s="0" t="s">
        <v>14</v>
      </c>
      <c r="AC12" s="0" t="n">
        <v>1948.12</v>
      </c>
    </row>
    <row r="13" customFormat="false" ht="15" hidden="false" customHeight="false" outlineLevel="0" collapsed="false">
      <c r="A13" s="0" t="s">
        <v>75</v>
      </c>
      <c r="B13" s="0" t="n">
        <v>2589579</v>
      </c>
      <c r="D13" s="0" t="n">
        <v>528877</v>
      </c>
      <c r="E13" s="0" t="n">
        <v>20.42</v>
      </c>
      <c r="F13" s="0" t="n">
        <v>230160</v>
      </c>
      <c r="G13" s="0" t="n">
        <v>8.89</v>
      </c>
      <c r="H13" s="0" t="n">
        <v>254229</v>
      </c>
      <c r="I13" s="0" t="n">
        <v>153905</v>
      </c>
      <c r="J13" s="0" t="n">
        <v>5.94</v>
      </c>
      <c r="K13" s="0" t="n">
        <v>227.25</v>
      </c>
      <c r="L13" s="0" t="n">
        <v>118034</v>
      </c>
      <c r="M13" s="0" t="n">
        <v>82951</v>
      </c>
      <c r="N13" s="0" t="n">
        <v>35083</v>
      </c>
      <c r="O13" s="0" t="n">
        <v>1473940</v>
      </c>
      <c r="P13" s="0" t="n">
        <v>2801189</v>
      </c>
      <c r="Q13" s="0" t="n">
        <v>1280229</v>
      </c>
      <c r="R13" s="0" t="n">
        <v>542009</v>
      </c>
      <c r="S13" s="0" t="n">
        <v>515174</v>
      </c>
      <c r="T13" s="0" t="n">
        <v>677.25</v>
      </c>
      <c r="AA13" s="0" t="s">
        <v>17</v>
      </c>
      <c r="AB13" s="0" t="s">
        <v>14</v>
      </c>
      <c r="AC13" s="0" t="n">
        <v>2184.36</v>
      </c>
    </row>
    <row r="14" customFormat="false" ht="15" hidden="false" customHeight="false" outlineLevel="0" collapsed="false">
      <c r="A14" s="0" t="s">
        <v>76</v>
      </c>
      <c r="B14" s="0" t="n">
        <v>2928835</v>
      </c>
      <c r="D14" s="0" t="n">
        <v>584297</v>
      </c>
      <c r="E14" s="0" t="n">
        <v>19.95</v>
      </c>
      <c r="F14" s="0" t="n">
        <v>261489</v>
      </c>
      <c r="G14" s="0" t="n">
        <v>8.93</v>
      </c>
      <c r="H14" s="0" t="n">
        <v>288200</v>
      </c>
      <c r="I14" s="0" t="n">
        <v>184520</v>
      </c>
      <c r="J14" s="0" t="n">
        <v>6.3</v>
      </c>
      <c r="K14" s="0" t="n">
        <v>276.46</v>
      </c>
      <c r="L14" s="0" t="n">
        <v>125464</v>
      </c>
      <c r="M14" s="0" t="n">
        <v>92162</v>
      </c>
      <c r="N14" s="0" t="n">
        <v>33302</v>
      </c>
      <c r="O14" s="0" t="n">
        <v>1632830</v>
      </c>
      <c r="P14" s="0" t="n">
        <v>3007537</v>
      </c>
      <c r="Q14" s="0" t="n">
        <v>1339990</v>
      </c>
      <c r="R14" s="0" t="n">
        <v>764539</v>
      </c>
      <c r="S14" s="0" t="n">
        <v>332747</v>
      </c>
      <c r="T14" s="0" t="n">
        <v>667.44</v>
      </c>
      <c r="AA14" s="0" t="s">
        <v>17</v>
      </c>
      <c r="AB14" s="0" t="s">
        <v>14</v>
      </c>
      <c r="AC14" s="0" t="n">
        <v>2466.04</v>
      </c>
    </row>
    <row r="15" customFormat="false" ht="15" hidden="false" customHeight="false" outlineLevel="0" collapsed="false">
      <c r="A15" s="0" t="s">
        <v>77</v>
      </c>
      <c r="B15" s="0" t="n">
        <v>3107242</v>
      </c>
      <c r="D15" s="0" t="n">
        <v>623745</v>
      </c>
      <c r="E15" s="0" t="n">
        <v>20.07</v>
      </c>
      <c r="F15" s="0" t="n">
        <v>270956</v>
      </c>
      <c r="G15" s="0" t="n">
        <v>8.72</v>
      </c>
      <c r="H15" s="0" t="n">
        <v>298701</v>
      </c>
      <c r="I15" s="0" t="n">
        <v>202325</v>
      </c>
      <c r="J15" s="0" t="n">
        <v>6.51</v>
      </c>
      <c r="K15" s="0" t="n">
        <v>309.19</v>
      </c>
      <c r="L15" s="0" t="n">
        <v>15683</v>
      </c>
      <c r="M15" s="0" t="n">
        <v>76937</v>
      </c>
      <c r="N15" s="0" t="n">
        <v>-61254</v>
      </c>
      <c r="O15" s="0" t="n">
        <v>1754585</v>
      </c>
      <c r="P15" s="0" t="n">
        <v>3352798</v>
      </c>
      <c r="Q15" s="0" t="n">
        <v>1558745</v>
      </c>
      <c r="R15" s="0" t="n">
        <v>750799</v>
      </c>
      <c r="S15" s="0" t="n">
        <v>292901</v>
      </c>
      <c r="T15" s="0" t="n">
        <v>654.37</v>
      </c>
      <c r="AA15" s="0" t="s">
        <v>17</v>
      </c>
      <c r="AB15" s="0" t="s">
        <v>14</v>
      </c>
      <c r="AC15" s="0" t="n">
        <v>2707.9</v>
      </c>
    </row>
    <row r="16" customFormat="false" ht="15" hidden="false" customHeight="false" outlineLevel="0" collapsed="false">
      <c r="A16" s="0" t="s">
        <v>78</v>
      </c>
      <c r="B16" s="0" t="n">
        <v>4058583</v>
      </c>
      <c r="D16" s="0" t="n">
        <v>785993</v>
      </c>
      <c r="E16" s="0" t="n">
        <v>19.37</v>
      </c>
      <c r="F16" s="0" t="n">
        <v>331366</v>
      </c>
      <c r="G16" s="0" t="n">
        <v>8.16</v>
      </c>
      <c r="H16" s="0" t="n">
        <v>366601</v>
      </c>
      <c r="I16" s="0" t="n">
        <v>217705</v>
      </c>
      <c r="J16" s="0" t="n">
        <v>5.36</v>
      </c>
      <c r="K16" s="0" t="n">
        <v>335.84</v>
      </c>
      <c r="L16" s="0" t="n">
        <v>62885</v>
      </c>
      <c r="M16" s="0" t="n">
        <v>76693</v>
      </c>
      <c r="N16" s="0" t="n">
        <v>-13808</v>
      </c>
      <c r="O16" s="0" t="n">
        <v>1962199</v>
      </c>
      <c r="P16" s="0" t="n">
        <v>4808848</v>
      </c>
      <c r="Q16" s="0" t="n">
        <v>2790249</v>
      </c>
      <c r="R16" s="0" t="n">
        <v>1847083</v>
      </c>
      <c r="S16" s="0" t="n">
        <v>390307</v>
      </c>
      <c r="T16" s="0" t="n">
        <v>648.24</v>
      </c>
      <c r="AA16" s="0" t="s">
        <v>17</v>
      </c>
      <c r="AB16" s="0" t="s">
        <v>14</v>
      </c>
      <c r="AC16" s="0" t="n">
        <v>3027.64</v>
      </c>
    </row>
    <row r="17" customFormat="false" ht="15" hidden="false" customHeight="false" outlineLevel="0" collapsed="false">
      <c r="A17" s="0" t="s">
        <v>79</v>
      </c>
      <c r="B17" s="0" t="n">
        <v>4197922</v>
      </c>
      <c r="D17" s="0" t="n">
        <v>839819</v>
      </c>
      <c r="E17" s="0" t="n">
        <v>20.01</v>
      </c>
      <c r="F17" s="0" t="n">
        <v>341402</v>
      </c>
      <c r="G17" s="0" t="n">
        <v>8.13</v>
      </c>
      <c r="H17" s="0" t="n">
        <v>384163</v>
      </c>
      <c r="I17" s="0" t="n">
        <v>232095</v>
      </c>
      <c r="J17" s="0" t="n">
        <v>5.53</v>
      </c>
      <c r="K17" s="0" t="n">
        <v>357.98</v>
      </c>
      <c r="L17" s="0" t="n">
        <v>216325</v>
      </c>
      <c r="M17" s="0" t="n">
        <v>66930</v>
      </c>
      <c r="N17" s="0" t="n">
        <v>149395</v>
      </c>
      <c r="O17" s="0" t="n">
        <v>2139555</v>
      </c>
      <c r="P17" s="0" t="n">
        <v>5006637</v>
      </c>
      <c r="Q17" s="0" t="n">
        <v>2818400</v>
      </c>
      <c r="R17" s="0" t="n">
        <v>1848889</v>
      </c>
      <c r="S17" s="0" t="n">
        <v>434925</v>
      </c>
      <c r="T17" s="0" t="n">
        <v>648.35</v>
      </c>
      <c r="AA17" s="0" t="s">
        <v>17</v>
      </c>
      <c r="AB17" s="0" t="s">
        <v>14</v>
      </c>
      <c r="AC17" s="0" t="n">
        <v>3300.57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3569</v>
      </c>
    </row>
    <row r="3" customFormat="false" ht="15" hidden="false" customHeight="false" outlineLevel="0" collapsed="false">
      <c r="A3" s="0" t="s">
        <v>83</v>
      </c>
      <c r="B3" s="3" t="n">
        <v>648.4</v>
      </c>
    </row>
    <row r="4" customFormat="false" ht="15" hidden="false" customHeight="false" outlineLevel="0" collapsed="false">
      <c r="A4" s="0" t="s">
        <v>84</v>
      </c>
      <c r="B4" s="3" t="n">
        <v>1455219</v>
      </c>
    </row>
    <row r="5" customFormat="false" ht="15" hidden="false" customHeight="false" outlineLevel="0" collapsed="false">
      <c r="A5" s="0" t="s">
        <v>85</v>
      </c>
      <c r="B5" s="3" t="n">
        <v>139077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4197922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-0.5</v>
      </c>
      <c r="D13" s="3" t="n">
        <v>-3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104</v>
      </c>
      <c r="C14" s="3" t="n">
        <v>9</v>
      </c>
      <c r="D14" s="3" t="n">
        <v>8.3</v>
      </c>
      <c r="E14" s="3" t="n">
        <v>7.8</v>
      </c>
      <c r="F14" s="3" t="n">
        <v>7.8</v>
      </c>
      <c r="G14" s="3" t="n">
        <v>8</v>
      </c>
      <c r="H14" s="3" t="n">
        <v>8</v>
      </c>
      <c r="I14" s="3" t="n">
        <v>8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1.05</v>
      </c>
      <c r="D17" s="3" t="n">
        <v>1.1</v>
      </c>
      <c r="E17" s="3" t="n">
        <v>1.15</v>
      </c>
      <c r="F17" s="3" t="n">
        <v>1.2</v>
      </c>
      <c r="G17" s="3" t="n">
        <v>1.25</v>
      </c>
      <c r="H17" s="3" t="n">
        <v>1.25</v>
      </c>
      <c r="I17" s="3" t="n">
        <v>1.25</v>
      </c>
      <c r="J17" s="3" t="n">
        <v>1.25</v>
      </c>
      <c r="K17" s="3" t="n">
        <v>1.25</v>
      </c>
      <c r="L17" s="3" t="n">
        <v>1.25</v>
      </c>
    </row>
    <row r="18" customFormat="false" ht="15" hidden="false" customHeight="false" outlineLevel="0" collapsed="false">
      <c r="A18" s="0" t="s">
        <v>108</v>
      </c>
      <c r="C18" s="3" t="n">
        <v>2.5</v>
      </c>
      <c r="D18" s="3" t="n">
        <v>2.2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109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110</v>
      </c>
      <c r="B20" s="3" t="n">
        <v>7</v>
      </c>
    </row>
    <row r="21" customFormat="false" ht="15" hidden="false" customHeight="false" outlineLevel="0" collapsed="false">
      <c r="A21" s="0" t="s">
        <v>111</v>
      </c>
      <c r="B21" s="3" t="n">
        <v>0.5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-70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1.5</v>
      </c>
      <c r="D27" s="3" t="n">
        <v>4</v>
      </c>
      <c r="E27" s="3" t="n">
        <v>4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1.5</v>
      </c>
    </row>
    <row r="28" customFormat="false" ht="15" hidden="false" customHeight="false" outlineLevel="0" collapsed="false">
      <c r="A28" s="0" t="s">
        <v>104</v>
      </c>
      <c r="C28" s="3" t="n">
        <v>9.3</v>
      </c>
      <c r="D28" s="3" t="n">
        <v>9.5</v>
      </c>
      <c r="E28" s="3" t="n">
        <v>9.7</v>
      </c>
      <c r="F28" s="3" t="n">
        <v>9.8</v>
      </c>
      <c r="G28" s="3" t="n">
        <v>9.9</v>
      </c>
      <c r="H28" s="3" t="n">
        <v>10</v>
      </c>
      <c r="I28" s="3" t="n">
        <v>10</v>
      </c>
      <c r="J28" s="3" t="n">
        <v>10</v>
      </c>
      <c r="K28" s="3" t="n">
        <v>10</v>
      </c>
      <c r="L28" s="3" t="n">
        <v>10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1.05</v>
      </c>
      <c r="D31" s="3" t="n">
        <v>1.1</v>
      </c>
      <c r="E31" s="3" t="n">
        <v>1.15</v>
      </c>
      <c r="F31" s="3" t="n">
        <v>1.2</v>
      </c>
      <c r="G31" s="3" t="n">
        <v>1.25</v>
      </c>
      <c r="H31" s="3" t="n">
        <v>1.3</v>
      </c>
      <c r="I31" s="3" t="n">
        <v>1.3</v>
      </c>
      <c r="J31" s="3" t="n">
        <v>1.3</v>
      </c>
      <c r="K31" s="3" t="n">
        <v>1.3</v>
      </c>
      <c r="L31" s="3" t="n">
        <v>1.3</v>
      </c>
    </row>
    <row r="32" customFormat="false" ht="15" hidden="false" customHeight="false" outlineLevel="0" collapsed="false">
      <c r="A32" s="0" t="s">
        <v>108</v>
      </c>
      <c r="C32" s="3" t="n">
        <v>2.5</v>
      </c>
      <c r="D32" s="3" t="n">
        <v>2.4</v>
      </c>
      <c r="E32" s="3" t="n">
        <v>2.3</v>
      </c>
      <c r="F32" s="3" t="n">
        <v>2.2</v>
      </c>
      <c r="G32" s="3" t="n">
        <v>2.1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109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110</v>
      </c>
      <c r="B34" s="3" t="n">
        <v>7</v>
      </c>
    </row>
    <row r="35" customFormat="false" ht="15" hidden="false" customHeight="false" outlineLevel="0" collapsed="false">
      <c r="A35" s="0" t="s">
        <v>111</v>
      </c>
      <c r="B35" s="3" t="n">
        <v>1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-60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2.5</v>
      </c>
      <c r="D41" s="3" t="n">
        <v>7</v>
      </c>
      <c r="E41" s="3" t="n">
        <v>7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104</v>
      </c>
      <c r="C42" s="3" t="n">
        <v>9.6</v>
      </c>
      <c r="D42" s="3" t="n">
        <v>10</v>
      </c>
      <c r="E42" s="3" t="n">
        <v>10.5</v>
      </c>
      <c r="F42" s="3" t="n">
        <v>10.8</v>
      </c>
      <c r="G42" s="3" t="n">
        <v>11</v>
      </c>
      <c r="H42" s="3" t="n">
        <v>11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1.05</v>
      </c>
      <c r="D45" s="3" t="n">
        <v>1.1</v>
      </c>
      <c r="E45" s="3" t="n">
        <v>1.15</v>
      </c>
      <c r="F45" s="3" t="n">
        <v>1.2</v>
      </c>
      <c r="G45" s="3" t="n">
        <v>1.25</v>
      </c>
      <c r="H45" s="3" t="n">
        <v>1.3</v>
      </c>
      <c r="I45" s="3" t="n">
        <v>1.3</v>
      </c>
      <c r="J45" s="3" t="n">
        <v>1.3</v>
      </c>
      <c r="K45" s="3" t="n">
        <v>1.3</v>
      </c>
      <c r="L45" s="3" t="n">
        <v>1.3</v>
      </c>
    </row>
    <row r="46" customFormat="false" ht="15" hidden="false" customHeight="false" outlineLevel="0" collapsed="false">
      <c r="A46" s="0" t="s">
        <v>108</v>
      </c>
      <c r="C46" s="3" t="n">
        <v>2.5</v>
      </c>
      <c r="D46" s="3" t="n">
        <v>2.4</v>
      </c>
      <c r="E46" s="3" t="n">
        <v>2.3</v>
      </c>
      <c r="F46" s="3" t="n">
        <v>2.2</v>
      </c>
      <c r="G46" s="3" t="n">
        <v>2.1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109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110</v>
      </c>
      <c r="B48" s="3" t="n">
        <v>7</v>
      </c>
    </row>
    <row r="49" customFormat="false" ht="15" hidden="false" customHeight="false" outlineLevel="0" collapsed="false">
      <c r="A49" s="0" t="s">
        <v>111</v>
      </c>
      <c r="B49" s="3" t="n">
        <v>1.5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-50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-0.5</v>
      </c>
      <c r="D5" s="4" t="n">
        <f aca="false">Assumptions!D13</f>
        <v>-3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4197922</v>
      </c>
      <c r="C6" s="0" t="n">
        <f aca="false">B6*(1+C5/100)</f>
        <v>4176932.39</v>
      </c>
      <c r="D6" s="0" t="n">
        <f aca="false">C6*(1+D5/100)</f>
        <v>4051624.4183</v>
      </c>
      <c r="E6" s="0" t="n">
        <f aca="false">D6*(1+E5/100)</f>
        <v>4051624.4183</v>
      </c>
      <c r="F6" s="0" t="n">
        <f aca="false">E6*(1+F5/100)</f>
        <v>4132656.906666</v>
      </c>
      <c r="G6" s="0" t="n">
        <f aca="false">F6*(1+G5/100)</f>
        <v>4215310.04479932</v>
      </c>
      <c r="H6" s="0" t="n">
        <f aca="false">G6*(1+H5/100)</f>
        <v>4299616.24569531</v>
      </c>
      <c r="I6" s="0" t="n">
        <f aca="false">H6*(1+I5/100)</f>
        <v>4364110.48938074</v>
      </c>
      <c r="J6" s="0" t="n">
        <f aca="false">I6*(1+J5/100)</f>
        <v>4429572.14672145</v>
      </c>
      <c r="K6" s="0" t="n">
        <f aca="false">J6*(1+K5/100)</f>
        <v>4473867.86818866</v>
      </c>
      <c r="L6" s="0" t="n">
        <f aca="false">K6*(1+L5/100)</f>
        <v>4518606.54687055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9</v>
      </c>
      <c r="D7" s="4" t="n">
        <f aca="false">Assumptions!D14</f>
        <v>8.3</v>
      </c>
      <c r="E7" s="4" t="n">
        <f aca="false">Assumptions!E14</f>
        <v>7.8</v>
      </c>
      <c r="F7" s="4" t="n">
        <f aca="false">Assumptions!F14</f>
        <v>7.8</v>
      </c>
      <c r="G7" s="4" t="n">
        <f aca="false">Assumptions!G14</f>
        <v>8</v>
      </c>
      <c r="H7" s="4" t="n">
        <f aca="false">Assumptions!H14</f>
        <v>8</v>
      </c>
      <c r="I7" s="4" t="n">
        <f aca="false">Assumptions!I14</f>
        <v>8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375923.9151</v>
      </c>
      <c r="D8" s="0" t="n">
        <f aca="false">D6*D7/100</f>
        <v>336284.8267189</v>
      </c>
      <c r="E8" s="0" t="n">
        <f aca="false">E6*E7/100</f>
        <v>316026.7046274</v>
      </c>
      <c r="F8" s="0" t="n">
        <f aca="false">F6*F7/100</f>
        <v>322347.238719948</v>
      </c>
      <c r="G8" s="0" t="n">
        <f aca="false">G6*G7/100</f>
        <v>337224.803583946</v>
      </c>
      <c r="H8" s="0" t="n">
        <f aca="false">H6*H7/100</f>
        <v>343969.299655625</v>
      </c>
      <c r="I8" s="0" t="n">
        <f aca="false">I6*I7/100</f>
        <v>349128.839150459</v>
      </c>
      <c r="J8" s="0" t="n">
        <f aca="false">J6*J7/100</f>
        <v>354365.771737716</v>
      </c>
      <c r="K8" s="0" t="n">
        <f aca="false">K6*K7/100</f>
        <v>357909.429455093</v>
      </c>
      <c r="L8" s="0" t="n">
        <f aca="false">L6*L7/100</f>
        <v>361488.523749644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375923.9151</v>
      </c>
      <c r="D11" s="0" t="n">
        <f aca="false">D8+D10+D24</f>
        <v>336284.8267189</v>
      </c>
      <c r="E11" s="0" t="n">
        <f aca="false">E8+E10+E24</f>
        <v>316026.7046274</v>
      </c>
      <c r="F11" s="0" t="n">
        <f aca="false">F8+F10+F24</f>
        <v>322347.238719948</v>
      </c>
      <c r="G11" s="0" t="n">
        <f aca="false">G8+G10+G24</f>
        <v>337224.803583946</v>
      </c>
      <c r="H11" s="0" t="n">
        <f aca="false">H8+H10+H24</f>
        <v>343969.299655625</v>
      </c>
      <c r="I11" s="0" t="n">
        <f aca="false">I8+I10+I24</f>
        <v>349128.839150459</v>
      </c>
      <c r="J11" s="0" t="n">
        <f aca="false">J8+J10+J24</f>
        <v>354365.771737716</v>
      </c>
      <c r="K11" s="0" t="n">
        <f aca="false">K8+K10+K24</f>
        <v>357909.429455093</v>
      </c>
      <c r="L11" s="0" t="n">
        <f aca="false">L8+L10+L24</f>
        <v>361488.523749644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-43857.790095</v>
      </c>
      <c r="D12" s="4" t="n">
        <f aca="false">-D6*Assumptions!D17/100</f>
        <v>-44567.8686013</v>
      </c>
      <c r="E12" s="4" t="n">
        <f aca="false">-E6*Assumptions!E17/100</f>
        <v>-46593.68081045</v>
      </c>
      <c r="F12" s="4" t="n">
        <f aca="false">-F6*Assumptions!F17/100</f>
        <v>-49591.882879992</v>
      </c>
      <c r="G12" s="4" t="n">
        <f aca="false">-G6*Assumptions!G17/100</f>
        <v>-52691.3755599915</v>
      </c>
      <c r="H12" s="4" t="n">
        <f aca="false">-H6*Assumptions!H17/100</f>
        <v>-53745.2030711913</v>
      </c>
      <c r="I12" s="4" t="n">
        <f aca="false">-I6*Assumptions!I17/100</f>
        <v>-54551.3811172592</v>
      </c>
      <c r="J12" s="4" t="n">
        <f aca="false">-J6*Assumptions!J17/100</f>
        <v>-55369.6518340181</v>
      </c>
      <c r="K12" s="4" t="n">
        <f aca="false">-K6*Assumptions!K17/100</f>
        <v>-55923.3483523583</v>
      </c>
      <c r="L12" s="4" t="n">
        <f aca="false">-L6*Assumptions!L17/100</f>
        <v>-56482.5818358819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332066.125005</v>
      </c>
      <c r="D13" s="0" t="n">
        <f aca="false">D11+D12</f>
        <v>291716.9581176</v>
      </c>
      <c r="E13" s="0" t="n">
        <f aca="false">E11+E12</f>
        <v>269433.02381695</v>
      </c>
      <c r="F13" s="0" t="n">
        <f aca="false">F11+F12</f>
        <v>272755.355839956</v>
      </c>
      <c r="G13" s="0" t="n">
        <f aca="false">G11+G12</f>
        <v>284533.428023954</v>
      </c>
      <c r="H13" s="0" t="n">
        <f aca="false">H11+H12</f>
        <v>290224.096584433</v>
      </c>
      <c r="I13" s="0" t="n">
        <f aca="false">I11+I12</f>
        <v>294577.4580332</v>
      </c>
      <c r="J13" s="0" t="n">
        <f aca="false">J11+J12</f>
        <v>298996.119903698</v>
      </c>
      <c r="K13" s="0" t="n">
        <f aca="false">K11+K12</f>
        <v>301986.081102735</v>
      </c>
      <c r="L13" s="0" t="n">
        <f aca="false">L11+L12</f>
        <v>305005.941913762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232446.2875035</v>
      </c>
      <c r="D15" s="0" t="n">
        <f aca="false">D13-MAX(0,D13)*D14/100</f>
        <v>204201.87068232</v>
      </c>
      <c r="E15" s="0" t="n">
        <f aca="false">E13-MAX(0,E13)*E14/100</f>
        <v>188603.116671865</v>
      </c>
      <c r="F15" s="0" t="n">
        <f aca="false">F13-MAX(0,F13)*F14/100</f>
        <v>190928.749087969</v>
      </c>
      <c r="G15" s="0" t="n">
        <f aca="false">G13-MAX(0,G13)*G14/100</f>
        <v>199173.399616768</v>
      </c>
      <c r="H15" s="0" t="n">
        <f aca="false">H13-MAX(0,H13)*H14/100</f>
        <v>203156.867609103</v>
      </c>
      <c r="I15" s="0" t="n">
        <f aca="false">I13-MAX(0,I13)*I14/100</f>
        <v>206204.22062324</v>
      </c>
      <c r="J15" s="0" t="n">
        <f aca="false">J13-MAX(0,J13)*J14/100</f>
        <v>209297.283932588</v>
      </c>
      <c r="K15" s="0" t="n">
        <f aca="false">K13-MAX(0,K13)*K14/100</f>
        <v>211390.256771914</v>
      </c>
      <c r="L15" s="0" t="n">
        <f aca="false">L13-MAX(0,L13)*L14/100</f>
        <v>213504.159339633</v>
      </c>
    </row>
    <row r="16" customFormat="false" ht="15" hidden="false" customHeight="false" outlineLevel="0" collapsed="false">
      <c r="A16" s="0" t="s">
        <v>125</v>
      </c>
      <c r="C16" s="0" t="n">
        <f aca="false">-C12</f>
        <v>43857.790095</v>
      </c>
      <c r="D16" s="0" t="n">
        <f aca="false">-D12</f>
        <v>44567.8686013</v>
      </c>
      <c r="E16" s="0" t="n">
        <f aca="false">-E12</f>
        <v>46593.68081045</v>
      </c>
      <c r="F16" s="0" t="n">
        <f aca="false">-F12</f>
        <v>49591.882879992</v>
      </c>
      <c r="G16" s="0" t="n">
        <f aca="false">-G12</f>
        <v>52691.3755599915</v>
      </c>
      <c r="H16" s="0" t="n">
        <f aca="false">-H12</f>
        <v>53745.2030711913</v>
      </c>
      <c r="I16" s="0" t="n">
        <f aca="false">-I12</f>
        <v>54551.3811172592</v>
      </c>
      <c r="J16" s="0" t="n">
        <f aca="false">-J12</f>
        <v>55369.6518340181</v>
      </c>
      <c r="K16" s="0" t="n">
        <f aca="false">-K12</f>
        <v>55923.3483523583</v>
      </c>
      <c r="L16" s="0" t="n">
        <f aca="false">-L12</f>
        <v>56482.5818358819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-104423.30975</v>
      </c>
      <c r="D17" s="4" t="n">
        <f aca="false">-D6*Assumptions!D18/100</f>
        <v>-89135.7372026</v>
      </c>
      <c r="E17" s="4" t="n">
        <f aca="false">-E6*Assumptions!E18/100</f>
        <v>-72929.2395294</v>
      </c>
      <c r="F17" s="4" t="n">
        <f aca="false">-F6*Assumptions!F18/100</f>
        <v>-74387.824319988</v>
      </c>
      <c r="G17" s="4" t="n">
        <f aca="false">-G6*Assumptions!G18/100</f>
        <v>-75875.5808063878</v>
      </c>
      <c r="H17" s="4" t="n">
        <f aca="false">-H6*Assumptions!H18/100</f>
        <v>-77393.0924225155</v>
      </c>
      <c r="I17" s="4" t="n">
        <f aca="false">-I6*Assumptions!I18/100</f>
        <v>-78553.9888088533</v>
      </c>
      <c r="J17" s="4" t="n">
        <f aca="false">-J6*Assumptions!J18/100</f>
        <v>-79732.2986409861</v>
      </c>
      <c r="K17" s="4" t="n">
        <f aca="false">-K6*Assumptions!K18/100</f>
        <v>-80529.6216273959</v>
      </c>
      <c r="L17" s="4" t="n">
        <f aca="false">-L6*Assumptions!L18/100</f>
        <v>-81334.9178436699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14692.7269999999</v>
      </c>
      <c r="D18" s="4" t="n">
        <f aca="false">(D6-C6)*Assumptions!$B$23/100</f>
        <v>87715.5801900001</v>
      </c>
      <c r="E18" s="4" t="n">
        <f aca="false">(E6-D6)*Assumptions!$B$23/100</f>
        <v>-0</v>
      </c>
      <c r="F18" s="4" t="n">
        <f aca="false">(F6-E6)*Assumptions!$B$23/100</f>
        <v>-56722.7418561999</v>
      </c>
      <c r="G18" s="4" t="n">
        <f aca="false">(G6-F6)*Assumptions!$B$23/100</f>
        <v>-57857.1966933243</v>
      </c>
      <c r="H18" s="4" t="n">
        <f aca="false">(H6-G6)*Assumptions!$B$23/100</f>
        <v>-59014.3406271906</v>
      </c>
      <c r="I18" s="4" t="n">
        <f aca="false">(I6-H6)*Assumptions!$B$23/100</f>
        <v>-45145.9705798003</v>
      </c>
      <c r="J18" s="4" t="n">
        <f aca="false">(J6-I6)*Assumptions!$B$23/100</f>
        <v>-45823.1601384977</v>
      </c>
      <c r="K18" s="4" t="n">
        <f aca="false">(K6-J6)*Assumptions!$B$23/100</f>
        <v>-31007.0050270502</v>
      </c>
      <c r="L18" s="4" t="n">
        <f aca="false">(L6-K6)*Assumptions!$B$23/100</f>
        <v>-31317.0750773207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186573.4948485</v>
      </c>
      <c r="D19" s="0" t="n">
        <f aca="false">D15+D16+D17+D18</f>
        <v>247349.58227102</v>
      </c>
      <c r="E19" s="0" t="n">
        <f aca="false">E15+E16+E17+E18</f>
        <v>162267.557952915</v>
      </c>
      <c r="F19" s="0" t="n">
        <f aca="false">F15+F16+F17+F18</f>
        <v>109410.065791773</v>
      </c>
      <c r="G19" s="0" t="n">
        <f aca="false">G15+G16+G17+G18</f>
        <v>118131.997677047</v>
      </c>
      <c r="H19" s="0" t="n">
        <f aca="false">H15+H16+H17+H18</f>
        <v>120494.637630588</v>
      </c>
      <c r="I19" s="0" t="n">
        <f aca="false">I15+I16+I17+I18</f>
        <v>137055.642351845</v>
      </c>
      <c r="J19" s="0" t="n">
        <f aca="false">J15+J16+J17+J18</f>
        <v>139111.476987123</v>
      </c>
      <c r="K19" s="0" t="n">
        <f aca="false">K15+K16+K17+K18</f>
        <v>155776.978469826</v>
      </c>
      <c r="L19" s="0" t="n">
        <f aca="false">L15+L16+L17+L18</f>
        <v>157334.748254525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174367.75219486</v>
      </c>
      <c r="D21" s="0" t="n">
        <f aca="false">D19*D20</f>
        <v>216044.70457771</v>
      </c>
      <c r="E21" s="0" t="n">
        <f aca="false">E19*E20</f>
        <v>132458.663045228</v>
      </c>
      <c r="F21" s="0" t="n">
        <f aca="false">F19*F20</f>
        <v>83468.4153423485</v>
      </c>
      <c r="G21" s="0" t="n">
        <f aca="false">G19*G20</f>
        <v>84226.4816985315</v>
      </c>
      <c r="H21" s="0" t="n">
        <f aca="false">H19*H20</f>
        <v>80290.6647967311</v>
      </c>
      <c r="I21" s="0" t="n">
        <f aca="false">I19*I20</f>
        <v>85351.3658984386</v>
      </c>
      <c r="J21" s="0" t="n">
        <f aca="false">J19*J20</f>
        <v>80964.1461559952</v>
      </c>
      <c r="K21" s="0" t="n">
        <f aca="false">K19*K20</f>
        <v>84732.3549075429</v>
      </c>
      <c r="L21" s="0" t="n">
        <f aca="false">L19*L20</f>
        <v>79981.0079033816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1101885.55652077</v>
      </c>
    </row>
    <row r="31" customFormat="false" ht="15" hidden="false" customHeight="false" outlineLevel="0" collapsed="false">
      <c r="A31" s="0" t="s">
        <v>134</v>
      </c>
      <c r="B31" s="0" t="n">
        <f aca="false">L19</f>
        <v>157334.748254525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2432637.2614738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2360021.22381787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2360021.22381787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1199715.11855072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2301600.67507149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985458.675071491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1519.83139276911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-0.574157637217957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1519.83139276911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1090492.56548826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-365.626400488687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4197922</v>
      </c>
      <c r="C6" s="0" t="n">
        <f aca="false">B6*(1+C5/100)</f>
        <v>4260890.83</v>
      </c>
      <c r="D6" s="0" t="n">
        <f aca="false">C6*(1+D5/100)</f>
        <v>4431326.4632</v>
      </c>
      <c r="E6" s="0" t="n">
        <f aca="false">D6*(1+E5/100)</f>
        <v>4608579.521728</v>
      </c>
      <c r="F6" s="0" t="n">
        <f aca="false">E6*(1+F5/100)</f>
        <v>4746836.90737984</v>
      </c>
      <c r="G6" s="0" t="n">
        <f aca="false">F6*(1+G5/100)</f>
        <v>4889242.01460124</v>
      </c>
      <c r="H6" s="0" t="n">
        <f aca="false">G6*(1+H5/100)</f>
        <v>5011473.06496627</v>
      </c>
      <c r="I6" s="0" t="n">
        <f aca="false">H6*(1+I5/100)</f>
        <v>5136759.89159042</v>
      </c>
      <c r="J6" s="0" t="n">
        <f aca="false">I6*(1+J5/100)</f>
        <v>5239495.08942223</v>
      </c>
      <c r="K6" s="0" t="n">
        <f aca="false">J6*(1+K5/100)</f>
        <v>5344284.99121068</v>
      </c>
      <c r="L6" s="0" t="n">
        <f aca="false">K6*(1+L5/100)</f>
        <v>5424449.26607883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9.3</v>
      </c>
      <c r="D7" s="4" t="n">
        <f aca="false">Assumptions!D28</f>
        <v>9.5</v>
      </c>
      <c r="E7" s="4" t="n">
        <f aca="false">Assumptions!E28</f>
        <v>9.7</v>
      </c>
      <c r="F7" s="4" t="n">
        <f aca="false">Assumptions!F28</f>
        <v>9.8</v>
      </c>
      <c r="G7" s="4" t="n">
        <f aca="false">Assumptions!G28</f>
        <v>9.9</v>
      </c>
      <c r="H7" s="4" t="n">
        <f aca="false">Assumptions!H28</f>
        <v>10</v>
      </c>
      <c r="I7" s="4" t="n">
        <f aca="false">Assumptions!I28</f>
        <v>10</v>
      </c>
      <c r="J7" s="4" t="n">
        <f aca="false">Assumptions!J28</f>
        <v>10</v>
      </c>
      <c r="K7" s="4" t="n">
        <f aca="false">Assumptions!K28</f>
        <v>10</v>
      </c>
      <c r="L7" s="4" t="n">
        <f aca="false">Assumptions!L28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396262.84719</v>
      </c>
      <c r="D8" s="0" t="n">
        <f aca="false">D6*D7/100</f>
        <v>420976.014004</v>
      </c>
      <c r="E8" s="0" t="n">
        <f aca="false">E6*E7/100</f>
        <v>447032.213607616</v>
      </c>
      <c r="F8" s="0" t="n">
        <f aca="false">F6*F7/100</f>
        <v>465190.016923224</v>
      </c>
      <c r="G8" s="0" t="n">
        <f aca="false">G6*G7/100</f>
        <v>484034.959445522</v>
      </c>
      <c r="H8" s="0" t="n">
        <f aca="false">H6*H7/100</f>
        <v>501147.306496627</v>
      </c>
      <c r="I8" s="0" t="n">
        <f aca="false">I6*I7/100</f>
        <v>513675.989159042</v>
      </c>
      <c r="J8" s="0" t="n">
        <f aca="false">J6*J7/100</f>
        <v>523949.508942223</v>
      </c>
      <c r="K8" s="0" t="n">
        <f aca="false">K6*K7/100</f>
        <v>534428.499121068</v>
      </c>
      <c r="L8" s="0" t="n">
        <f aca="false">L6*L7/100</f>
        <v>542444.926607883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396262.84719</v>
      </c>
      <c r="D11" s="0" t="n">
        <f aca="false">D8+D10+D24</f>
        <v>420976.014004</v>
      </c>
      <c r="E11" s="0" t="n">
        <f aca="false">E8+E10+E24</f>
        <v>447032.213607616</v>
      </c>
      <c r="F11" s="0" t="n">
        <f aca="false">F8+F10+F24</f>
        <v>465190.016923224</v>
      </c>
      <c r="G11" s="0" t="n">
        <f aca="false">G8+G10+G24</f>
        <v>484034.959445522</v>
      </c>
      <c r="H11" s="0" t="n">
        <f aca="false">H8+H10+H24</f>
        <v>501147.306496627</v>
      </c>
      <c r="I11" s="0" t="n">
        <f aca="false">I8+I10+I24</f>
        <v>513675.989159042</v>
      </c>
      <c r="J11" s="0" t="n">
        <f aca="false">J8+J10+J24</f>
        <v>523949.508942223</v>
      </c>
      <c r="K11" s="0" t="n">
        <f aca="false">K8+K10+K24</f>
        <v>534428.499121068</v>
      </c>
      <c r="L11" s="0" t="n">
        <f aca="false">L8+L10+L24</f>
        <v>542444.926607883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-44739.353715</v>
      </c>
      <c r="D12" s="4" t="n">
        <f aca="false">-D6*Assumptions!D31/100</f>
        <v>-48744.5910952</v>
      </c>
      <c r="E12" s="4" t="n">
        <f aca="false">-E6*Assumptions!E31/100</f>
        <v>-52998.664499872</v>
      </c>
      <c r="F12" s="4" t="n">
        <f aca="false">-F6*Assumptions!F31/100</f>
        <v>-56962.0428885581</v>
      </c>
      <c r="G12" s="4" t="n">
        <f aca="false">-G6*Assumptions!G31/100</f>
        <v>-61115.5251825154</v>
      </c>
      <c r="H12" s="4" t="n">
        <f aca="false">-H6*Assumptions!H31/100</f>
        <v>-65149.1498445615</v>
      </c>
      <c r="I12" s="4" t="n">
        <f aca="false">-I6*Assumptions!I31/100</f>
        <v>-66777.8785906755</v>
      </c>
      <c r="J12" s="4" t="n">
        <f aca="false">-J6*Assumptions!J31/100</f>
        <v>-68113.436162489</v>
      </c>
      <c r="K12" s="4" t="n">
        <f aca="false">-K6*Assumptions!K31/100</f>
        <v>-69475.7048857388</v>
      </c>
      <c r="L12" s="4" t="n">
        <f aca="false">-L6*Assumptions!L31/100</f>
        <v>-70517.8404590249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351523.493475</v>
      </c>
      <c r="D13" s="0" t="n">
        <f aca="false">D11+D12</f>
        <v>372231.4229088</v>
      </c>
      <c r="E13" s="0" t="n">
        <f aca="false">E11+E12</f>
        <v>394033.549107744</v>
      </c>
      <c r="F13" s="0" t="n">
        <f aca="false">F11+F12</f>
        <v>408227.974034666</v>
      </c>
      <c r="G13" s="0" t="n">
        <f aca="false">G11+G12</f>
        <v>422919.434263007</v>
      </c>
      <c r="H13" s="0" t="n">
        <f aca="false">H11+H12</f>
        <v>435998.156652065</v>
      </c>
      <c r="I13" s="0" t="n">
        <f aca="false">I11+I12</f>
        <v>446898.110568367</v>
      </c>
      <c r="J13" s="0" t="n">
        <f aca="false">J11+J12</f>
        <v>455836.072779734</v>
      </c>
      <c r="K13" s="0" t="n">
        <f aca="false">K11+K12</f>
        <v>464952.794235329</v>
      </c>
      <c r="L13" s="0" t="n">
        <f aca="false">L11+L12</f>
        <v>471927.086148859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246066.4454325</v>
      </c>
      <c r="D15" s="0" t="n">
        <f aca="false">D13-MAX(0,D13)*D14/100</f>
        <v>260561.99603616</v>
      </c>
      <c r="E15" s="0" t="n">
        <f aca="false">E13-MAX(0,E13)*E14/100</f>
        <v>275823.484375421</v>
      </c>
      <c r="F15" s="0" t="n">
        <f aca="false">F13-MAX(0,F13)*F14/100</f>
        <v>285759.581824266</v>
      </c>
      <c r="G15" s="0" t="n">
        <f aca="false">G13-MAX(0,G13)*G14/100</f>
        <v>296043.603984105</v>
      </c>
      <c r="H15" s="0" t="n">
        <f aca="false">H13-MAX(0,H13)*H14/100</f>
        <v>305198.709656446</v>
      </c>
      <c r="I15" s="0" t="n">
        <f aca="false">I13-MAX(0,I13)*I14/100</f>
        <v>312828.677397857</v>
      </c>
      <c r="J15" s="0" t="n">
        <f aca="false">J13-MAX(0,J13)*J14/100</f>
        <v>319085.250945814</v>
      </c>
      <c r="K15" s="0" t="n">
        <f aca="false">K13-MAX(0,K13)*K14/100</f>
        <v>325466.95596473</v>
      </c>
      <c r="L15" s="0" t="n">
        <f aca="false">L13-MAX(0,L13)*L14/100</f>
        <v>330348.960304201</v>
      </c>
    </row>
    <row r="16" customFormat="false" ht="15" hidden="false" customHeight="false" outlineLevel="0" collapsed="false">
      <c r="A16" s="0" t="s">
        <v>125</v>
      </c>
      <c r="C16" s="0" t="n">
        <f aca="false">-C12</f>
        <v>44739.353715</v>
      </c>
      <c r="D16" s="0" t="n">
        <f aca="false">-D12</f>
        <v>48744.5910952</v>
      </c>
      <c r="E16" s="0" t="n">
        <f aca="false">-E12</f>
        <v>52998.664499872</v>
      </c>
      <c r="F16" s="0" t="n">
        <f aca="false">-F12</f>
        <v>56962.0428885581</v>
      </c>
      <c r="G16" s="0" t="n">
        <f aca="false">-G12</f>
        <v>61115.5251825154</v>
      </c>
      <c r="H16" s="0" t="n">
        <f aca="false">-H12</f>
        <v>65149.1498445615</v>
      </c>
      <c r="I16" s="0" t="n">
        <f aca="false">-I12</f>
        <v>66777.8785906755</v>
      </c>
      <c r="J16" s="0" t="n">
        <f aca="false">-J12</f>
        <v>68113.436162489</v>
      </c>
      <c r="K16" s="0" t="n">
        <f aca="false">-K12</f>
        <v>69475.7048857388</v>
      </c>
      <c r="L16" s="0" t="n">
        <f aca="false">-L12</f>
        <v>70517.8404590249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-106522.27075</v>
      </c>
      <c r="D17" s="4" t="n">
        <f aca="false">-D6*Assumptions!D32/100</f>
        <v>-106351.8351168</v>
      </c>
      <c r="E17" s="4" t="n">
        <f aca="false">-E6*Assumptions!E32/100</f>
        <v>-105997.328999744</v>
      </c>
      <c r="F17" s="4" t="n">
        <f aca="false">-F6*Assumptions!F32/100</f>
        <v>-104430.411962356</v>
      </c>
      <c r="G17" s="4" t="n">
        <f aca="false">-G6*Assumptions!G32/100</f>
        <v>-102674.082306626</v>
      </c>
      <c r="H17" s="4" t="n">
        <f aca="false">-H6*Assumptions!H32/100</f>
        <v>-100229.461299325</v>
      </c>
      <c r="I17" s="4" t="n">
        <f aca="false">-I6*Assumptions!I32/100</f>
        <v>-102735.197831808</v>
      </c>
      <c r="J17" s="4" t="n">
        <f aca="false">-J6*Assumptions!J32/100</f>
        <v>-104789.901788445</v>
      </c>
      <c r="K17" s="4" t="n">
        <f aca="false">-K6*Assumptions!K32/100</f>
        <v>-106885.699824214</v>
      </c>
      <c r="L17" s="4" t="n">
        <f aca="false">-L6*Assumptions!L32/100</f>
        <v>-108488.985321577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-37781.2979999995</v>
      </c>
      <c r="D18" s="4" t="n">
        <f aca="false">(D6-C6)*Assumptions!$B$37/100</f>
        <v>-102261.37992</v>
      </c>
      <c r="E18" s="4" t="n">
        <f aca="false">(E6-D6)*Assumptions!$B$37/100</f>
        <v>-106351.8351168</v>
      </c>
      <c r="F18" s="4" t="n">
        <f aca="false">(F6-E6)*Assumptions!$B$37/100</f>
        <v>-82954.4313911039</v>
      </c>
      <c r="G18" s="4" t="n">
        <f aca="false">(G6-F6)*Assumptions!$B$37/100</f>
        <v>-85443.0643328374</v>
      </c>
      <c r="H18" s="4" t="n">
        <f aca="false">(H6-G6)*Assumptions!$B$37/100</f>
        <v>-73338.6302190185</v>
      </c>
      <c r="I18" s="4" t="n">
        <f aca="false">(I6-H6)*Assumptions!$B$37/100</f>
        <v>-75172.0959744936</v>
      </c>
      <c r="J18" s="4" t="n">
        <f aca="false">(J6-I6)*Assumptions!$B$37/100</f>
        <v>-61641.1186990852</v>
      </c>
      <c r="K18" s="4" t="n">
        <f aca="false">(K6-J6)*Assumptions!$B$37/100</f>
        <v>-62873.9410730666</v>
      </c>
      <c r="L18" s="4" t="n">
        <f aca="false">(L6-K6)*Assumptions!$B$37/100</f>
        <v>-48098.5649208957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146502.230397501</v>
      </c>
      <c r="D19" s="0" t="n">
        <f aca="false">D15+D16+D17+D18</f>
        <v>100693.37209456</v>
      </c>
      <c r="E19" s="0" t="n">
        <f aca="false">E15+E16+E17+E18</f>
        <v>116472.984758748</v>
      </c>
      <c r="F19" s="0" t="n">
        <f aca="false">F15+F16+F17+F18</f>
        <v>155336.781359364</v>
      </c>
      <c r="G19" s="0" t="n">
        <f aca="false">G15+G16+G17+G18</f>
        <v>169041.982527157</v>
      </c>
      <c r="H19" s="0" t="n">
        <f aca="false">H15+H16+H17+H18</f>
        <v>196779.767982663</v>
      </c>
      <c r="I19" s="0" t="n">
        <f aca="false">I15+I16+I17+I18</f>
        <v>201699.26218223</v>
      </c>
      <c r="J19" s="0" t="n">
        <f aca="false">J15+J16+J17+J18</f>
        <v>220767.666620773</v>
      </c>
      <c r="K19" s="0" t="n">
        <f aca="false">K15+K16+K17+K18</f>
        <v>225183.019953189</v>
      </c>
      <c r="L19" s="0" t="n">
        <f aca="false">L15+L16+L17+L18</f>
        <v>244279.250520753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136917.972334113</v>
      </c>
      <c r="D21" s="0" t="n">
        <f aca="false">D19*D20</f>
        <v>87949.4908678137</v>
      </c>
      <c r="E21" s="0" t="n">
        <f aca="false">E19*E20</f>
        <v>95076.6501737069</v>
      </c>
      <c r="F21" s="0" t="n">
        <f aca="false">F19*F20</f>
        <v>118505.686753932</v>
      </c>
      <c r="G21" s="0" t="n">
        <f aca="false">G19*G20</f>
        <v>120524.597294383</v>
      </c>
      <c r="H21" s="0" t="n">
        <f aca="false">H19*H20</f>
        <v>131122.668199665</v>
      </c>
      <c r="I21" s="0" t="n">
        <f aca="false">I19*I20</f>
        <v>125608.163462296</v>
      </c>
      <c r="J21" s="0" t="n">
        <f aca="false">J19*J20</f>
        <v>128488.791966869</v>
      </c>
      <c r="K21" s="0" t="n">
        <f aca="false">K19*K20</f>
        <v>122484.642809539</v>
      </c>
      <c r="L21" s="0" t="n">
        <f aca="false">L19*L20</f>
        <v>124179.184085424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1190857.84794774</v>
      </c>
    </row>
    <row r="31" customFormat="false" ht="15" hidden="false" customHeight="false" outlineLevel="0" collapsed="false">
      <c r="A31" s="0" t="s">
        <v>134</v>
      </c>
      <c r="B31" s="0" t="n">
        <f aca="false">L19</f>
        <v>244279.250520753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4112034.05043268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3664188.7578113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3664188.7578113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1862687.76128137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3053545.60922911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1737403.60922911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2679.52438190794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-0.249222644464013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2679.52438190794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1762300.30732829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-108.102153554697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2.5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4197922</v>
      </c>
      <c r="C6" s="0" t="n">
        <f aca="false">B6*(1+C5/100)</f>
        <v>4302870.05</v>
      </c>
      <c r="D6" s="0" t="n">
        <f aca="false">C6*(1+D5/100)</f>
        <v>4604070.9535</v>
      </c>
      <c r="E6" s="0" t="n">
        <f aca="false">D6*(1+E5/100)</f>
        <v>4926355.920245</v>
      </c>
      <c r="F6" s="0" t="n">
        <f aca="false">E6*(1+F5/100)</f>
        <v>5172673.71625725</v>
      </c>
      <c r="G6" s="0" t="n">
        <f aca="false">F6*(1+G5/100)</f>
        <v>5431307.40207011</v>
      </c>
      <c r="H6" s="0" t="n">
        <f aca="false">G6*(1+H5/100)</f>
        <v>5648559.69815292</v>
      </c>
      <c r="I6" s="0" t="n">
        <f aca="false">H6*(1+I5/100)</f>
        <v>5874502.08607903</v>
      </c>
      <c r="J6" s="0" t="n">
        <f aca="false">I6*(1+J5/100)</f>
        <v>6050737.14866141</v>
      </c>
      <c r="K6" s="0" t="n">
        <f aca="false">J6*(1+K5/100)</f>
        <v>6232259.26312125</v>
      </c>
      <c r="L6" s="0" t="n">
        <f aca="false">K6*(1+L5/100)</f>
        <v>6388065.74469928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9.6</v>
      </c>
      <c r="D7" s="4" t="n">
        <f aca="false">Assumptions!D42</f>
        <v>10</v>
      </c>
      <c r="E7" s="4" t="n">
        <f aca="false">Assumptions!E42</f>
        <v>10.5</v>
      </c>
      <c r="F7" s="4" t="n">
        <f aca="false">Assumptions!F42</f>
        <v>10.8</v>
      </c>
      <c r="G7" s="4" t="n">
        <f aca="false">Assumptions!G42</f>
        <v>11</v>
      </c>
      <c r="H7" s="4" t="n">
        <f aca="false">Assumptions!H42</f>
        <v>11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413075.5248</v>
      </c>
      <c r="D8" s="0" t="n">
        <f aca="false">D6*D7/100</f>
        <v>460407.09535</v>
      </c>
      <c r="E8" s="0" t="n">
        <f aca="false">E6*E7/100</f>
        <v>517267.371625725</v>
      </c>
      <c r="F8" s="0" t="n">
        <f aca="false">F6*F7/100</f>
        <v>558648.761355783</v>
      </c>
      <c r="G8" s="0" t="n">
        <f aca="false">G6*G7/100</f>
        <v>597443.814227712</v>
      </c>
      <c r="H8" s="0" t="n">
        <f aca="false">H6*H7/100</f>
        <v>621341.566796821</v>
      </c>
      <c r="I8" s="0" t="n">
        <f aca="false">I6*I7/100</f>
        <v>646195.229468694</v>
      </c>
      <c r="J8" s="0" t="n">
        <f aca="false">J6*J7/100</f>
        <v>665581.086352755</v>
      </c>
      <c r="K8" s="0" t="n">
        <f aca="false">K6*K7/100</f>
        <v>685548.518943337</v>
      </c>
      <c r="L8" s="0" t="n">
        <f aca="false">L6*L7/100</f>
        <v>702687.231916921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413075.5248</v>
      </c>
      <c r="D11" s="0" t="n">
        <f aca="false">D8+D10+D24</f>
        <v>460407.09535</v>
      </c>
      <c r="E11" s="0" t="n">
        <f aca="false">E8+E10+E24</f>
        <v>517267.371625725</v>
      </c>
      <c r="F11" s="0" t="n">
        <f aca="false">F8+F10+F24</f>
        <v>558648.761355783</v>
      </c>
      <c r="G11" s="0" t="n">
        <f aca="false">G8+G10+G24</f>
        <v>597443.814227712</v>
      </c>
      <c r="H11" s="0" t="n">
        <f aca="false">H8+H10+H24</f>
        <v>621341.566796821</v>
      </c>
      <c r="I11" s="0" t="n">
        <f aca="false">I8+I10+I24</f>
        <v>646195.229468694</v>
      </c>
      <c r="J11" s="0" t="n">
        <f aca="false">J8+J10+J24</f>
        <v>665581.086352755</v>
      </c>
      <c r="K11" s="0" t="n">
        <f aca="false">K8+K10+K24</f>
        <v>685548.518943337</v>
      </c>
      <c r="L11" s="0" t="n">
        <f aca="false">L8+L10+L24</f>
        <v>702687.231916921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-45180.135525</v>
      </c>
      <c r="D12" s="4" t="n">
        <f aca="false">-D6*Assumptions!D45/100</f>
        <v>-50644.7804885</v>
      </c>
      <c r="E12" s="4" t="n">
        <f aca="false">-E6*Assumptions!E45/100</f>
        <v>-56653.0930828175</v>
      </c>
      <c r="F12" s="4" t="n">
        <f aca="false">-F6*Assumptions!F45/100</f>
        <v>-62072.084595087</v>
      </c>
      <c r="G12" s="4" t="n">
        <f aca="false">-G6*Assumptions!G45/100</f>
        <v>-67891.3425258764</v>
      </c>
      <c r="H12" s="4" t="n">
        <f aca="false">-H6*Assumptions!H45/100</f>
        <v>-73431.2760759879</v>
      </c>
      <c r="I12" s="4" t="n">
        <f aca="false">-I6*Assumptions!I45/100</f>
        <v>-76368.5271190274</v>
      </c>
      <c r="J12" s="4" t="n">
        <f aca="false">-J6*Assumptions!J45/100</f>
        <v>-78659.5829325983</v>
      </c>
      <c r="K12" s="4" t="n">
        <f aca="false">-K6*Assumptions!K45/100</f>
        <v>-81019.3704205762</v>
      </c>
      <c r="L12" s="4" t="n">
        <f aca="false">-L6*Assumptions!L45/100</f>
        <v>-83044.8546810906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367895.389275</v>
      </c>
      <c r="D13" s="0" t="n">
        <f aca="false">D11+D12</f>
        <v>409762.3148615</v>
      </c>
      <c r="E13" s="0" t="n">
        <f aca="false">E11+E12</f>
        <v>460614.278542908</v>
      </c>
      <c r="F13" s="0" t="n">
        <f aca="false">F11+F12</f>
        <v>496576.676760696</v>
      </c>
      <c r="G13" s="0" t="n">
        <f aca="false">G11+G12</f>
        <v>529552.471701836</v>
      </c>
      <c r="H13" s="0" t="n">
        <f aca="false">H11+H12</f>
        <v>547910.290720833</v>
      </c>
      <c r="I13" s="0" t="n">
        <f aca="false">I11+I12</f>
        <v>569826.702349666</v>
      </c>
      <c r="J13" s="0" t="n">
        <f aca="false">J11+J12</f>
        <v>586921.503420156</v>
      </c>
      <c r="K13" s="0" t="n">
        <f aca="false">K11+K12</f>
        <v>604529.148522761</v>
      </c>
      <c r="L13" s="0" t="n">
        <f aca="false">L11+L12</f>
        <v>619642.37723583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257526.7724925</v>
      </c>
      <c r="D15" s="0" t="n">
        <f aca="false">D13-MAX(0,D13)*D14/100</f>
        <v>286833.62040305</v>
      </c>
      <c r="E15" s="0" t="n">
        <f aca="false">E13-MAX(0,E13)*E14/100</f>
        <v>322429.994980035</v>
      </c>
      <c r="F15" s="0" t="n">
        <f aca="false">F13-MAX(0,F13)*F14/100</f>
        <v>347603.673732487</v>
      </c>
      <c r="G15" s="0" t="n">
        <f aca="false">G13-MAX(0,G13)*G14/100</f>
        <v>370686.730191285</v>
      </c>
      <c r="H15" s="0" t="n">
        <f aca="false">H13-MAX(0,H13)*H14/100</f>
        <v>383537.203504583</v>
      </c>
      <c r="I15" s="0" t="n">
        <f aca="false">I13-MAX(0,I13)*I14/100</f>
        <v>398878.691644766</v>
      </c>
      <c r="J15" s="0" t="n">
        <f aca="false">J13-MAX(0,J13)*J14/100</f>
        <v>410845.052394109</v>
      </c>
      <c r="K15" s="0" t="n">
        <f aca="false">K13-MAX(0,K13)*K14/100</f>
        <v>423170.403965933</v>
      </c>
      <c r="L15" s="0" t="n">
        <f aca="false">L13-MAX(0,L13)*L14/100</f>
        <v>433749.664065081</v>
      </c>
    </row>
    <row r="16" customFormat="false" ht="15" hidden="false" customHeight="false" outlineLevel="0" collapsed="false">
      <c r="A16" s="0" t="s">
        <v>125</v>
      </c>
      <c r="C16" s="0" t="n">
        <f aca="false">-C12</f>
        <v>45180.135525</v>
      </c>
      <c r="D16" s="0" t="n">
        <f aca="false">-D12</f>
        <v>50644.7804885</v>
      </c>
      <c r="E16" s="0" t="n">
        <f aca="false">-E12</f>
        <v>56653.0930828175</v>
      </c>
      <c r="F16" s="0" t="n">
        <f aca="false">-F12</f>
        <v>62072.084595087</v>
      </c>
      <c r="G16" s="0" t="n">
        <f aca="false">-G12</f>
        <v>67891.3425258764</v>
      </c>
      <c r="H16" s="0" t="n">
        <f aca="false">-H12</f>
        <v>73431.2760759879</v>
      </c>
      <c r="I16" s="0" t="n">
        <f aca="false">-I12</f>
        <v>76368.5271190274</v>
      </c>
      <c r="J16" s="0" t="n">
        <f aca="false">-J12</f>
        <v>78659.5829325983</v>
      </c>
      <c r="K16" s="0" t="n">
        <f aca="false">-K12</f>
        <v>81019.3704205762</v>
      </c>
      <c r="L16" s="0" t="n">
        <f aca="false">-L12</f>
        <v>83044.8546810906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-107571.75125</v>
      </c>
      <c r="D17" s="4" t="n">
        <f aca="false">-D6*Assumptions!D46/100</f>
        <v>-110497.702884</v>
      </c>
      <c r="E17" s="4" t="n">
        <f aca="false">-E6*Assumptions!E46/100</f>
        <v>-113306.186165635</v>
      </c>
      <c r="F17" s="4" t="n">
        <f aca="false">-F6*Assumptions!F46/100</f>
        <v>-113798.82175766</v>
      </c>
      <c r="G17" s="4" t="n">
        <f aca="false">-G6*Assumptions!G46/100</f>
        <v>-114057.455443472</v>
      </c>
      <c r="H17" s="4" t="n">
        <f aca="false">-H6*Assumptions!H46/100</f>
        <v>-112971.193963058</v>
      </c>
      <c r="I17" s="4" t="n">
        <f aca="false">-I6*Assumptions!I46/100</f>
        <v>-117490.041721581</v>
      </c>
      <c r="J17" s="4" t="n">
        <f aca="false">-J6*Assumptions!J46/100</f>
        <v>-121014.742973228</v>
      </c>
      <c r="K17" s="4" t="n">
        <f aca="false">-K6*Assumptions!K46/100</f>
        <v>-124645.185262425</v>
      </c>
      <c r="L17" s="4" t="n">
        <f aca="false">-L6*Assumptions!L46/100</f>
        <v>-127761.314893986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-52474.0249999999</v>
      </c>
      <c r="D18" s="4" t="n">
        <f aca="false">(D6-C6)*Assumptions!$B$51/100</f>
        <v>-150600.45175</v>
      </c>
      <c r="E18" s="4" t="n">
        <f aca="false">(E6-D6)*Assumptions!$B$51/100</f>
        <v>-161142.4833725</v>
      </c>
      <c r="F18" s="4" t="n">
        <f aca="false">(F6-E6)*Assumptions!$B$51/100</f>
        <v>-123158.898006125</v>
      </c>
      <c r="G18" s="4" t="n">
        <f aca="false">(G6-F6)*Assumptions!$B$51/100</f>
        <v>-129316.842906431</v>
      </c>
      <c r="H18" s="4" t="n">
        <f aca="false">(H6-G6)*Assumptions!$B$51/100</f>
        <v>-108626.148041402</v>
      </c>
      <c r="I18" s="4" t="n">
        <f aca="false">(I6-H6)*Assumptions!$B$51/100</f>
        <v>-112971.193963058</v>
      </c>
      <c r="J18" s="4" t="n">
        <f aca="false">(J6-I6)*Assumptions!$B$51/100</f>
        <v>-88117.5312911854</v>
      </c>
      <c r="K18" s="4" t="n">
        <f aca="false">(K6-J6)*Assumptions!$B$51/100</f>
        <v>-90761.0572299212</v>
      </c>
      <c r="L18" s="4" t="n">
        <f aca="false">(L6-K6)*Assumptions!$B$51/100</f>
        <v>-77903.2407890153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142661.1317675</v>
      </c>
      <c r="D19" s="0" t="n">
        <f aca="false">D15+D16+D17+D18</f>
        <v>76380.24625755</v>
      </c>
      <c r="E19" s="0" t="n">
        <f aca="false">E15+E16+E17+E18</f>
        <v>104634.418524718</v>
      </c>
      <c r="F19" s="0" t="n">
        <f aca="false">F15+F16+F17+F18</f>
        <v>172718.03856379</v>
      </c>
      <c r="G19" s="0" t="n">
        <f aca="false">G15+G16+G17+G18</f>
        <v>195203.774367258</v>
      </c>
      <c r="H19" s="0" t="n">
        <f aca="false">H15+H16+H17+H18</f>
        <v>235371.13757611</v>
      </c>
      <c r="I19" s="0" t="n">
        <f aca="false">I15+I16+I17+I18</f>
        <v>244785.983079155</v>
      </c>
      <c r="J19" s="0" t="n">
        <f aca="false">J15+J16+J17+J18</f>
        <v>280372.361062294</v>
      </c>
      <c r="K19" s="0" t="n">
        <f aca="false">K15+K16+K17+K18</f>
        <v>288783.531894163</v>
      </c>
      <c r="L19" s="0" t="n">
        <f aca="false">L15+L16+L17+L18</f>
        <v>311129.963063171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133328.160530374</v>
      </c>
      <c r="D21" s="0" t="n">
        <f aca="false">D19*D20</f>
        <v>66713.4651563892</v>
      </c>
      <c r="E21" s="0" t="n">
        <f aca="false">E19*E20</f>
        <v>85412.8536914358</v>
      </c>
      <c r="F21" s="0" t="n">
        <f aca="false">F19*F20</f>
        <v>131765.764654555</v>
      </c>
      <c r="G21" s="0" t="n">
        <f aca="false">G19*G20</f>
        <v>139177.593306903</v>
      </c>
      <c r="H21" s="0" t="n">
        <f aca="false">H19*H20</f>
        <v>156837.727234688</v>
      </c>
      <c r="I21" s="0" t="n">
        <f aca="false">I19*I20</f>
        <v>152440.40777951</v>
      </c>
      <c r="J21" s="0" t="n">
        <f aca="false">J19*J20</f>
        <v>163179.266806651</v>
      </c>
      <c r="K21" s="0" t="n">
        <f aca="false">K19*K20</f>
        <v>157079.107299861</v>
      </c>
      <c r="L21" s="0" t="n">
        <f aca="false">L19*L20</f>
        <v>158162.696485064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1344097.04294543</v>
      </c>
    </row>
    <row r="31" customFormat="false" ht="15" hidden="false" customHeight="false" outlineLevel="0" collapsed="false">
      <c r="A31" s="0" t="s">
        <v>134</v>
      </c>
      <c r="B31" s="0" t="n">
        <f aca="false">L19</f>
        <v>311129.963063171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5741762.04562033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4666949.44594756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4666949.44594756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2372440.44727595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3716537.49022138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2400395.49022138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3702.02882514094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0.0372734169629974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3702.02882514094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2339236.38895643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235.847331729592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1519.83139276911</v>
      </c>
      <c r="C4" s="0" t="n">
        <f aca="false">B4/Assumptions!$B$2-1</f>
        <v>-0.574157637217957</v>
      </c>
      <c r="D4" s="4" t="n">
        <f aca="false">Assumptions!$B$24</f>
        <v>0.25</v>
      </c>
      <c r="E4" s="4" t="n">
        <f aca="false">DCF_Bear!$B$43</f>
        <v>1519.83139276911</v>
      </c>
      <c r="F4" s="4" t="n">
        <f aca="false">DCF_Bear!$B$47</f>
        <v>-365.626400488687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2679.52438190794</v>
      </c>
      <c r="C5" s="0" t="n">
        <f aca="false">B5/Assumptions!$B$2-1</f>
        <v>-0.249222644464013</v>
      </c>
      <c r="D5" s="4" t="n">
        <f aca="false">Assumptions!$B$38</f>
        <v>0.5</v>
      </c>
      <c r="E5" s="4" t="n">
        <f aca="false">DCF_Base!$B$43</f>
        <v>2679.52438190794</v>
      </c>
      <c r="F5" s="4" t="n">
        <f aca="false">DCF_Base!$B$47</f>
        <v>-108.102153554697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3702.02882514094</v>
      </c>
      <c r="C6" s="0" t="n">
        <f aca="false">B6/Assumptions!$B$2-1</f>
        <v>0.0372734169629974</v>
      </c>
      <c r="D6" s="4" t="n">
        <f aca="false">Assumptions!$B$52</f>
        <v>0.25</v>
      </c>
      <c r="E6" s="4" t="n">
        <f aca="false">DCF_Bull!$B$43</f>
        <v>3702.02882514094</v>
      </c>
      <c r="F6" s="4" t="n">
        <f aca="false">DCF_Bull!$B$47</f>
        <v>235.847331729592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2645.22724543148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2645.22724543148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-0.349222455713001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-86.4958439671221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2679.52438190794</v>
      </c>
      <c r="C15" s="3" t="n">
        <v>7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1636.21535473724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1176.72410369678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812.007526521706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516.027291819696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-108.102153554697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3485.19098998491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3485.19098998491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3485.19098998491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3485.19098998491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3485.19098998491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3062.87185720552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3062.87185720552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3062.87185720552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3062.87185720552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3062.87185720552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2542.72700805866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2679.52438190794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2679.52438190794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2679.52438190794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2679.52438190794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1894.88292564621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2051.93675399889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2231.42684354481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2331.14355995921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2331.14355995921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1395.2954988116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1508.66954865896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1636.21535473724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1780.76726829263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1945.96945521307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2026-10-26T03:44:25Z</dcterms:created>
  <dc:creator>openpyxl</dc:creator>
  <dc:description/>
  <dc:language>en-NZ</dc:language>
  <cp:lastModifiedBy/>
  <dcterms:modified xsi:type="dcterms:W3CDTF">2026-10-26T03:44:25Z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