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<sst xmlns="http://schemas.openxmlformats.org/spreadsheetml/2006/main" count="359" uniqueCount="170">
  <si>
    <t xml:space="preserve">Ticker</t>
  </si>
  <si>
    <t xml:space="preserve">6099.HK</t>
  </si>
  <si>
    <t xml:space="preserve">Company</t>
  </si>
  <si>
    <t xml:space="preserve">China Merchants Securities Co.,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</si>
  <si>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</si>
  <si>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</si>
  <si>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</si>
  <si>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</si>
  <si>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HKEX regular close (Friday); valuation dated Saturday 2026-10-24</t>
  </si>
  <si>
    <t xml:space="preserve">Balance sheet date</t>
  </si>
  <si>
    <t xml:space="preserve">2026-06-30</t>
  </si>
  <si>
    <t xml:space="preserve">Model</t>
  </si>
  <si>
    <t xml:space="preserve">Broker FCFE capitalisation at cost of equity (bank-style, net debt held at zero, engine route), earnings retention for net-capital growth as the reinvestment charge, perpetual-bond distributions charged in the flow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</si>
  <si>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</si>
  <si>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</si>
  <si>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</si>
  <si>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</si>
  <si>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</si>
  <si>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</si>
  <si>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</si>
  <si>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</si>
  <si>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</si>
  <si>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2026-10-23T12:59:32Z</t>
  </si>
  <si>
    <t xml:space="preserve">Drivers file</t>
  </si>
  <si>
    <t xml:space="preserve">6099.HK_Drivers.json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</si>
  <si>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</si>
  <si>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</si>
  <si>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</si>
  <si>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securities firm is worth the equity cash flow it can distribute after funding the growth of its own regulatory capital, discounted at the cost of equity; reported free cash flow is margin-loan and repo noise and net debt is zero by construction. For China Merchants Securities that flow is profit to ordinary shareholders (after income tax, NCI and perpetual-bond coupons) less the earnings retained to grow net capital with the balance sheet. The firm earns ~9-10% on ordinary equity across a cycle against an 11% cost of equity, so fair value sits at or a little below ordinary book (RMB14.46 / HKD 16.99 per share). The valuation is dated at a cyclical earnings peak - H1 2026 profit doubled on investment gains in a China equity rally - so FY2026E is the undiscounted base year and the first discounted year mean-reverts; the H share at ~0.76x ordinary book and ~9.6x trailing earnings already prices much of that reversion, which is why the weighted value lands close to the price. The dominant risk is not capital but the earnings cycle: each 5pt on FY2027 revenue is ~RMB0.4/share.
key_risks_to_valuation: Cycle: H1 2026 net investment gains RMB12.9bn (+213%) and A-share ADT RMB3.26tn (+99%) are a peak, not a run-rate; the bear case (revenue -30%, margin 28-29%) is the FY2022 trough repeated on a 16%-larger balance sheet with mark-to-market losses on the trading book.; Consolidation: Guotai Haitong (merged) and CICC (post Dongxing/Cinda) now outrank CMS on several league tables; share loss in underwriting and institutional business is in the bear case, and an M&amp;A deal as acquirer paid in shares is a dilution the flat share count does not model.; Regulation: CSRC fee rules (mutual-fund sales fees, buy-side advisory shift), margin-trading and capital/risk-control requirements can compress fee economics and raise the retention charge; state-policy capital allocation as an SASAC-controlled SOE.; Perpetual capital: RMB19bn of perpetual subordinated bonds (+RMB4bn since FY2024) are charged at their ~3.5% coupon in the flow; deducting face instead (preferred-like treatment) would take a further HKD ~2.6/share off every scenario.; Tax: FY2022-24 effective tax of 5-7% relied on tax-exempt fund distributions and CGB interest; the model assumes ~15% as taxable trading gains dominate, each 5pt of tax rate being ~RMB0.6/share.; Currency and listing: RMB flows against an HKD quote (a 10% RMB move is a 10% move in HKD value; CNYHKD is at the top of its 52-week range); the H share trades at a ~47% discount to the A share; 10% H-share dividend withholding is not modelled.</t>
  </si>
  <si>
    <t xml:space="preserve">Data sources</t>
  </si>
  <si>
    <t xml:space="preserve">price: Yahoo Finance chart API (6099.HK) at inputs.price_as_of; 52-week range 12.31-18.65 HKD. CNYHKD=X and 600999.SS from the same source (see fx_note).
financials: core_metrics / 6099.HK_Metrics.csv (RMB millions) derived from the FY2018-FY2025 annual reports and H1 2024-H1 2026 interim reports (HKEX PDFs, pdftotext); H1 2026 interim income statement, balance sheet, EPS note (perpetual distributions) and net-capital disclosures read directly from research/6099.HK/Extracted/6099.HK_HalfYear_H1-2026.txt; FY2025 dividend and perpetual-distribution lines from 6099.HK_Annual_FY2025.txt.
qualitative: research/6099.HK/Reports/6099.HK_Analysis.json (2026-10-24): competitive position vs CITIC / Guotai Haitong / CICC, consolidation risk, segment outlook, industry 2026 forecast and sell-side sentiment.</t>
  </si>
  <si>
    <t xml:space="preserve">Scenario narrative: bear</t>
  </si>
  <si>
    <t xml:space="preserve">The rally reverses and consolidated rivals take share: FY2027 revenue -30% to ~RMB33bn, margin 28-32%, retention stays above half to defend the dividend, ROE ~6-7%; FCFE ~RMB3.4bn recovering to ~RMB6.5bn; terminal P/B ~0.5x.</t>
  </si>
  <si>
    <t xml:space="preserve">Scenario narrative: base</t>
  </si>
  <si>
    <t xml:space="preserve">FY2026 is the cyclical peak (PBT ~RMB20.7bn, 44% margin). FY2027 revenue resets -12% to ~RMB41bn as investment gains revert to RMB10-11bn; pre-tax margin 36-37%, retention glides from 45% to 33% of ordinary profit as the payout rises toward two-thirds; FCFE ~RMB6.8bn rising to ~RMB13bn by FY2036; terminal ordinary ROE ~9%, terminal P/B ~0.76x.</t>
  </si>
  <si>
    <t xml:space="preserve">Scenario narrative: bull</t>
  </si>
  <si>
    <t xml:space="preserve">The upcycle persists: FY2027 holds the FY2026E revenue, margin settles at 39%, balance sheet grows 4-5% on retained earnings and ROE ~11-12% clears the 11% cost of equity; FCFE ~RMB9.5bn rising to ~RMB16bn; terminal P/B ~1.1x.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</si>
  <si>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</si>
  <si>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</si>
  <si>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</si>
  <si>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</si>
  <si>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</si>
  <si>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</si>
  <si>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</si>
  <si>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</si>
  <si>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</si>
  <si>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</si>
  <si>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</si>
  <si>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</si>
  <si>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</si>
  <si>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</si>
  <si>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</si>
  <si>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</si>
  <si>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</si>
  <si>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</si>
  <si>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</si>
  <si>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</si>
  <si>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</si>
  <si>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</si>
  <si>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</si>
  <si>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</si>
  <si>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</si>
  <si>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</si>
  <si>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</si>
  <si>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CustomerBalances</t>
  </si>
  <si>
    <t xml:space="preserve">FeeAndCommissionIncome</t>
  </si>
  <si>
    <t xml:space="preserve">MarginAccountsReceivable</t>
  </si>
  <si>
    <t xml:space="preserve">NetInvestmentIncome</t>
  </si>
  <si>
    <t xml:space="preserve">OperatingCashFlowCAS</t>
  </si>
  <si>
    <t xml:space="preserve">OtherEquityInstruments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</si>
  <si>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</si>
  <si>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</si>
  <si>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</si>
  <si>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</si>
  <si>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</si>
  <si>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</si>
  <si>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</si>
  <si>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</si>
  <si>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</si>
  <si>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</si>
  <si>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</si>
  <si>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</si>
  <si>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</si>
  <si>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</si>
  <si>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</si>
  <si>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</si>
  <si>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</si>
  <si>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(year ending 2026-12-31, unreported: H1 2026 actual + H2 estimate)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</si>
  <si>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</si>
  <si>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</si>
  <si>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</si>
  <si>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</si>
  <si>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</si>
  <si>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</si>
  <si>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</si>
  <si>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</si>
  <si>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</si>
  <si>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</si>
  <si>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</si>
  <si>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</si>
  <si>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</si>
  <si>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</si>
  <si>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</si>
  <si>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</si>
  <si>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</si>
  <si>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</si>
  <si>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</si>
  <si>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</si>
  <si>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</si>
  <si>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</si>
  <si>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</si>
  <si>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</si>
  <si>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</si>
  <si>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</si>
  <si>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</si>
  <si>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</si>
  <si>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6099.HK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</si>
  <si>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</si>
  <si>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</si>
  <si>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</si>
  <si>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</si>
  <si>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</si>
  <si>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</si>
  <si>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</si>
  <si>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</si>
  <si>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</si>
  <si>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</si>
  <si>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</si>
  <si>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</si>
  <si>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</si>
  <si>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</si>
  <si>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</si>
  <si>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</si>
  <si>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</si>
  <si>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</si>
  <si>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</si>
  <si>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</si>
  <si>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</si>
  <si>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</si>
  <si>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</si>
  <si>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</si>
  <si>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</si>
  <si>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</si>
  <si>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</si>
  <si>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</si>
  <si>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</si>
  <si>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</si>
  <si>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6099.HK owner-FCF component DCF: base case (millions, CNY)</t>
  </si>
  <si>
    <t xml:space="preserve">6099.HK owner-FCF component DCF: bull case (millions, CNY)</t>
  </si>
  <si>
    <t xml:space="preserve">6099.HK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</si>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</sst>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12.93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18069.548</v>
      </c>
      <c r="F2" s="0" t="n">
        <v>4530.012</v>
      </c>
      <c r="G2" s="0" t="n">
        <v>25.1</v>
      </c>
      <c r="I2" s="0" t="n">
        <v>4424.986</v>
      </c>
      <c r="J2" s="0" t="n">
        <v>24.5</v>
      </c>
      <c r="K2" s="0" t="n">
        <v>0.54</v>
      </c>
      <c r="L2" s="0" t="n">
        <v>36690.925</v>
      </c>
      <c r="M2" s="0" t="n">
        <v>461.339</v>
      </c>
      <c r="N2" s="0" t="n">
        <v>36229.586</v>
      </c>
      <c r="O2" s="0" t="n">
        <v>80722.846</v>
      </c>
      <c r="P2" s="0" t="n">
        <v>304930.705</v>
      </c>
      <c r="Q2" s="0" t="n">
        <v>224138.351</v>
      </c>
      <c r="R2" s="0" t="n">
        <v>91231.444</v>
      </c>
      <c r="S2" s="0" t="n">
        <v>11143.119</v>
      </c>
      <c r="T2" s="0" t="n">
        <v>6699.409</v>
      </c>
      <c r="U2" s="0" t="n">
        <v>0</v>
      </c>
      <c r="AA2" s="0" t="s">
        <v>18</v>
      </c>
      <c r="AB2" s="0" t="s">
        <v>14</v>
      </c>
      <c r="AD2" s="0" t="n">
        <v>7753.532</v>
      </c>
      <c r="AF2" s="0" t="n">
        <v>2120.062</v>
      </c>
      <c r="AH2" s="0" t="n">
        <v>15000</v>
      </c>
    </row>
    <row r="3" customFormat="false" ht="15" hidden="false" customHeight="false" outlineLevel="0" collapsed="false">
      <c r="A3" s="0" t="s">
        <v>71</v>
      </c>
      <c r="B3" s="0" t="n">
        <v>25659.101</v>
      </c>
      <c r="F3" s="0" t="n">
        <v>7891.629</v>
      </c>
      <c r="G3" s="0" t="n">
        <v>30.8</v>
      </c>
      <c r="I3" s="0" t="n">
        <v>7282.381</v>
      </c>
      <c r="J3" s="0" t="n">
        <v>28.4</v>
      </c>
      <c r="K3" s="0" t="n">
        <v>0.97</v>
      </c>
      <c r="L3" s="0" t="n">
        <v>-1149.49</v>
      </c>
      <c r="M3" s="0" t="n">
        <v>241.338</v>
      </c>
      <c r="N3" s="0" t="n">
        <v>-1390.828</v>
      </c>
      <c r="O3" s="0" t="n">
        <v>85048.321</v>
      </c>
      <c r="P3" s="0" t="n">
        <v>381771.889</v>
      </c>
      <c r="Q3" s="0" t="n">
        <v>296644.038</v>
      </c>
      <c r="R3" s="0" t="n">
        <v>103607.406</v>
      </c>
      <c r="S3" s="0" t="n">
        <v>13173.74</v>
      </c>
      <c r="T3" s="0" t="n">
        <v>6699.409</v>
      </c>
      <c r="U3" s="0" t="n">
        <v>0</v>
      </c>
      <c r="AA3" s="0" t="s">
        <v>18</v>
      </c>
      <c r="AB3" s="0" t="s">
        <v>14</v>
      </c>
      <c r="AD3" s="0" t="n">
        <v>8858.493</v>
      </c>
      <c r="AF3" s="0" t="n">
        <v>6159.67</v>
      </c>
      <c r="AH3" s="0" t="n">
        <v>15000</v>
      </c>
    </row>
    <row r="4" customFormat="false" ht="15" hidden="false" customHeight="false" outlineLevel="0" collapsed="false">
      <c r="A4" s="0" t="s">
        <v>72</v>
      </c>
      <c r="B4" s="0" t="n">
        <v>32469.316</v>
      </c>
      <c r="F4" s="0" t="n">
        <v>10266.231</v>
      </c>
      <c r="G4" s="0" t="n">
        <v>31.6</v>
      </c>
      <c r="I4" s="0" t="n">
        <v>9491.639</v>
      </c>
      <c r="J4" s="0" t="n">
        <v>29.2</v>
      </c>
      <c r="K4" s="0" t="n">
        <v>1.06</v>
      </c>
      <c r="L4" s="0" t="n">
        <v>-33343.495</v>
      </c>
      <c r="M4" s="0" t="n">
        <v>373.714</v>
      </c>
      <c r="N4" s="0" t="n">
        <v>-33717.209</v>
      </c>
      <c r="O4" s="0" t="n">
        <v>105736.805</v>
      </c>
      <c r="P4" s="0" t="n">
        <v>499726.679</v>
      </c>
      <c r="Q4" s="0" t="n">
        <v>393901.966</v>
      </c>
      <c r="R4" s="0" t="n">
        <v>133159.038</v>
      </c>
      <c r="S4" s="0" t="n">
        <v>19443.988</v>
      </c>
      <c r="T4" s="0" t="n">
        <v>8696.526</v>
      </c>
      <c r="U4" s="0" t="n">
        <v>0</v>
      </c>
      <c r="AA4" s="0" t="s">
        <v>18</v>
      </c>
      <c r="AB4" s="0" t="s">
        <v>14</v>
      </c>
      <c r="AC4" s="0" t="n">
        <v>85441.243</v>
      </c>
      <c r="AD4" s="0" t="n">
        <v>12798.077</v>
      </c>
      <c r="AE4" s="0" t="n">
        <v>81754.35</v>
      </c>
      <c r="AF4" s="0" t="n">
        <v>6783.213</v>
      </c>
      <c r="AH4" s="0" t="n">
        <v>15000</v>
      </c>
    </row>
    <row r="5" customFormat="false" ht="15" hidden="false" customHeight="false" outlineLevel="0" collapsed="false">
      <c r="A5" s="0" t="s">
        <v>73</v>
      </c>
      <c r="B5" s="0" t="n">
        <v>40342.422</v>
      </c>
      <c r="F5" s="0" t="n">
        <v>12103.596</v>
      </c>
      <c r="G5" s="0" t="n">
        <v>30</v>
      </c>
      <c r="I5" s="0" t="n">
        <v>11645.065</v>
      </c>
      <c r="J5" s="0" t="n">
        <v>28.9</v>
      </c>
      <c r="K5" s="0" t="n">
        <v>1.25</v>
      </c>
      <c r="L5" s="0" t="n">
        <v>-54318.605</v>
      </c>
      <c r="M5" s="0" t="n">
        <v>412.759</v>
      </c>
      <c r="N5" s="0" t="n">
        <v>-54731.364</v>
      </c>
      <c r="O5" s="0" t="n">
        <v>112503.03</v>
      </c>
      <c r="P5" s="0" t="n">
        <v>597221.128</v>
      </c>
      <c r="Q5" s="0" t="n">
        <v>484630.677</v>
      </c>
      <c r="R5" s="0" t="n">
        <v>179477.984</v>
      </c>
      <c r="S5" s="0" t="n">
        <v>14597.238</v>
      </c>
      <c r="T5" s="0" t="n">
        <v>8696.526</v>
      </c>
      <c r="U5" s="0" t="n">
        <v>0</v>
      </c>
      <c r="AA5" s="0" t="s">
        <v>18</v>
      </c>
      <c r="AB5" s="0" t="s">
        <v>14</v>
      </c>
      <c r="AC5" s="0" t="n">
        <v>99605.342</v>
      </c>
      <c r="AD5" s="0" t="n">
        <v>15304.295</v>
      </c>
      <c r="AE5" s="0" t="n">
        <v>98686.506</v>
      </c>
      <c r="AF5" s="0" t="n">
        <v>9454.795</v>
      </c>
      <c r="AH5" s="0" t="n">
        <v>15000</v>
      </c>
    </row>
    <row r="6" customFormat="false" ht="15" hidden="false" customHeight="false" outlineLevel="0" collapsed="false">
      <c r="A6" s="0" t="s">
        <v>74</v>
      </c>
      <c r="B6" s="0" t="n">
        <v>29335.8</v>
      </c>
      <c r="F6" s="0" t="n">
        <v>6869.949</v>
      </c>
      <c r="G6" s="0" t="n">
        <v>23.4</v>
      </c>
      <c r="I6" s="0" t="n">
        <v>8070.244</v>
      </c>
      <c r="J6" s="0" t="n">
        <v>27.5</v>
      </c>
      <c r="K6" s="0" t="n">
        <v>0.86</v>
      </c>
      <c r="L6" s="0" t="n">
        <v>55303.455</v>
      </c>
      <c r="M6" s="0" t="n">
        <v>560.25</v>
      </c>
      <c r="N6" s="0" t="n">
        <v>54743.205</v>
      </c>
      <c r="O6" s="0" t="n">
        <v>115174.595</v>
      </c>
      <c r="P6" s="0" t="n">
        <v>611677.015</v>
      </c>
      <c r="Q6" s="0" t="n">
        <v>496419.932</v>
      </c>
      <c r="R6" s="0" t="n">
        <v>171547.784</v>
      </c>
      <c r="S6" s="0" t="n">
        <v>30226.988</v>
      </c>
      <c r="T6" s="0" t="n">
        <v>8696.526</v>
      </c>
      <c r="U6" s="0" t="n">
        <v>0</v>
      </c>
      <c r="AA6" s="0" t="s">
        <v>18</v>
      </c>
      <c r="AB6" s="0" t="s">
        <v>14</v>
      </c>
      <c r="AC6" s="0" t="n">
        <v>106377.654</v>
      </c>
      <c r="AD6" s="0" t="n">
        <v>11916.981</v>
      </c>
      <c r="AE6" s="0" t="n">
        <v>81541.116</v>
      </c>
      <c r="AF6" s="0" t="n">
        <v>5115.011</v>
      </c>
      <c r="AH6" s="0" t="n">
        <v>15000</v>
      </c>
    </row>
    <row r="7" customFormat="false" ht="15" hidden="false" customHeight="false" outlineLevel="0" collapsed="false">
      <c r="A7" s="0" t="s">
        <v>75</v>
      </c>
      <c r="B7" s="0" t="n">
        <v>30020.438</v>
      </c>
      <c r="F7" s="0" t="n">
        <v>7761.235</v>
      </c>
      <c r="G7" s="0" t="n">
        <v>25.9</v>
      </c>
      <c r="I7" s="0" t="n">
        <v>8763.96</v>
      </c>
      <c r="J7" s="0" t="n">
        <v>29.2</v>
      </c>
      <c r="K7" s="0" t="n">
        <v>0.94</v>
      </c>
      <c r="L7" s="0" t="n">
        <v>15768.912</v>
      </c>
      <c r="M7" s="0" t="n">
        <v>608.244</v>
      </c>
      <c r="N7" s="0" t="n">
        <v>15160.668</v>
      </c>
      <c r="O7" s="0" t="n">
        <v>121961.428</v>
      </c>
      <c r="P7" s="0" t="n">
        <v>695852.992</v>
      </c>
      <c r="Q7" s="0" t="n">
        <v>573816.059</v>
      </c>
      <c r="R7" s="0" t="n">
        <v>187108.651</v>
      </c>
      <c r="S7" s="0" t="n">
        <v>29781.625</v>
      </c>
      <c r="T7" s="0" t="n">
        <v>8696.526</v>
      </c>
      <c r="U7" s="0" t="n">
        <v>0</v>
      </c>
      <c r="AA7" s="0" t="s">
        <v>18</v>
      </c>
      <c r="AB7" s="0" t="s">
        <v>14</v>
      </c>
      <c r="AC7" s="0" t="n">
        <v>117852.233</v>
      </c>
      <c r="AD7" s="0" t="n">
        <v>10485.053</v>
      </c>
      <c r="AE7" s="0" t="n">
        <v>83666.02</v>
      </c>
      <c r="AF7" s="0" t="n">
        <v>6730.073</v>
      </c>
      <c r="AH7" s="0" t="n">
        <v>15000</v>
      </c>
    </row>
    <row r="8" customFormat="false" ht="15" hidden="false" customHeight="false" outlineLevel="0" collapsed="false">
      <c r="A8" s="0" t="s">
        <v>76</v>
      </c>
      <c r="B8" s="0" t="n">
        <v>30622.282</v>
      </c>
      <c r="F8" s="0" t="n">
        <v>9736.474</v>
      </c>
      <c r="G8" s="0" t="n">
        <v>31.8</v>
      </c>
      <c r="I8" s="0" t="n">
        <v>10385.872</v>
      </c>
      <c r="J8" s="0" t="n">
        <v>33.9</v>
      </c>
      <c r="K8" s="0" t="n">
        <v>1.13</v>
      </c>
      <c r="L8" s="0" t="n">
        <v>22261.032</v>
      </c>
      <c r="M8" s="0" t="n">
        <v>763.707</v>
      </c>
      <c r="N8" s="0" t="n">
        <v>21497.325</v>
      </c>
      <c r="O8" s="0" t="n">
        <v>130178.629</v>
      </c>
      <c r="P8" s="0" t="n">
        <v>721160.331</v>
      </c>
      <c r="Q8" s="0" t="n">
        <v>590908.098</v>
      </c>
      <c r="R8" s="0" t="n">
        <v>185655.792</v>
      </c>
      <c r="S8" s="0" t="n">
        <v>27559.062</v>
      </c>
      <c r="T8" s="0" t="n">
        <v>8696.526</v>
      </c>
      <c r="U8" s="0" t="n">
        <v>0</v>
      </c>
      <c r="AA8" s="0" t="s">
        <v>18</v>
      </c>
      <c r="AB8" s="0" t="s">
        <v>14</v>
      </c>
      <c r="AC8" s="0" t="n">
        <v>151610.717</v>
      </c>
      <c r="AD8" s="0" t="n">
        <v>10691.787</v>
      </c>
      <c r="AE8" s="0" t="n">
        <v>95572.702</v>
      </c>
      <c r="AF8" s="0" t="n">
        <v>9527.453</v>
      </c>
      <c r="AH8" s="0" t="n">
        <v>15000</v>
      </c>
    </row>
    <row r="9" customFormat="false" ht="15" hidden="false" customHeight="false" outlineLevel="0" collapsed="false">
      <c r="A9" s="0" t="s">
        <v>77</v>
      </c>
      <c r="B9" s="0" t="n">
        <v>34616.375</v>
      </c>
      <c r="F9" s="0" t="n">
        <v>12688.595</v>
      </c>
      <c r="G9" s="0" t="n">
        <v>36.7</v>
      </c>
      <c r="I9" s="0" t="n">
        <v>12349.523</v>
      </c>
      <c r="J9" s="0" t="n">
        <v>35.7</v>
      </c>
      <c r="K9" s="0" t="n">
        <v>1.35</v>
      </c>
      <c r="L9" s="0" t="n">
        <v>-33384.021</v>
      </c>
      <c r="M9" s="0" t="n">
        <v>722.522</v>
      </c>
      <c r="N9" s="0" t="n">
        <v>-34106.543</v>
      </c>
      <c r="O9" s="0" t="n">
        <v>138004.658</v>
      </c>
      <c r="P9" s="0" t="n">
        <v>753477.09</v>
      </c>
      <c r="Q9" s="0" t="n">
        <v>615430.259</v>
      </c>
      <c r="R9" s="0" t="n">
        <v>215139.322</v>
      </c>
      <c r="S9" s="0" t="n">
        <v>21165.896</v>
      </c>
      <c r="T9" s="0" t="n">
        <v>8696.526</v>
      </c>
      <c r="U9" s="0" t="n">
        <v>0</v>
      </c>
      <c r="AA9" s="0" t="s">
        <v>18</v>
      </c>
      <c r="AB9" s="0" t="s">
        <v>14</v>
      </c>
      <c r="AC9" s="0" t="n">
        <v>155015.825</v>
      </c>
      <c r="AD9" s="0" t="n">
        <v>14948.444</v>
      </c>
      <c r="AE9" s="0" t="n">
        <v>133353.124</v>
      </c>
      <c r="AF9" s="0" t="n">
        <v>9785.158</v>
      </c>
      <c r="AH9" s="0" t="n">
        <v>17000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12.93</v>
      </c>
    </row>
    <row r="3" customFormat="false" ht="15" hidden="false" customHeight="false" outlineLevel="0" collapsed="false">
      <c r="A3" s="0" t="s">
        <v>81</v>
      </c>
      <c r="B3" s="3" t="n">
        <v>8696.526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47000</v>
      </c>
    </row>
    <row r="8" customFormat="false" ht="15" hidden="false" customHeight="false" outlineLevel="0" collapsed="false">
      <c r="A8" s="0" t="s">
        <v>86</v>
      </c>
      <c r="B8" s="3" t="s">
        <v>87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1.1747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-30</v>
      </c>
      <c r="D13" s="3" t="n">
        <v>-3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103</v>
      </c>
      <c r="C14" s="3" t="n">
        <v>29</v>
      </c>
      <c r="D14" s="3" t="n">
        <v>28</v>
      </c>
      <c r="E14" s="3" t="n">
        <v>29</v>
      </c>
      <c r="F14" s="3" t="n">
        <v>30</v>
      </c>
      <c r="G14" s="3" t="n">
        <v>31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107</v>
      </c>
      <c r="C18" s="3" t="n">
        <v>12.6</v>
      </c>
      <c r="D18" s="3" t="n">
        <v>11.9</v>
      </c>
      <c r="E18" s="3" t="n">
        <v>11.7</v>
      </c>
      <c r="F18" s="3" t="n">
        <v>11.4</v>
      </c>
      <c r="G18" s="3" t="n">
        <v>11.2</v>
      </c>
      <c r="H18" s="3" t="n">
        <v>10.9</v>
      </c>
      <c r="I18" s="3" t="n">
        <v>10.4</v>
      </c>
      <c r="J18" s="3" t="n">
        <v>10.1</v>
      </c>
      <c r="K18" s="3" t="n">
        <v>9.8</v>
      </c>
      <c r="L18" s="3" t="n">
        <v>9.6</v>
      </c>
    </row>
    <row r="19" customFormat="false" ht="15" hidden="false" customHeight="false" outlineLevel="0" collapsed="false">
      <c r="A19" s="0" t="s">
        <v>108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109</v>
      </c>
      <c r="B20" s="3" t="n">
        <v>11</v>
      </c>
    </row>
    <row r="21" customFormat="false" ht="15" hidden="false" customHeight="false" outlineLevel="0" collapsed="false">
      <c r="A21" s="0" t="s">
        <v>110</v>
      </c>
      <c r="B21" s="3" t="n">
        <v>2.5</v>
      </c>
    </row>
    <row r="22" customFormat="false" ht="15" hidden="false" customHeight="false" outlineLevel="0" collapsed="false">
      <c r="A22" s="0" t="s">
        <v>111</v>
      </c>
      <c r="B22" s="3" t="n">
        <v>15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0.3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-12</v>
      </c>
      <c r="D27" s="3" t="n">
        <v>2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103</v>
      </c>
      <c r="C28" s="3" t="n">
        <v>37</v>
      </c>
      <c r="D28" s="3" t="n">
        <v>36</v>
      </c>
      <c r="E28" s="3" t="n">
        <v>36</v>
      </c>
      <c r="F28" s="3" t="n">
        <v>36.5</v>
      </c>
      <c r="G28" s="3" t="n">
        <v>36.5</v>
      </c>
      <c r="H28" s="3" t="n">
        <v>37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107</v>
      </c>
      <c r="C32" s="3" t="n">
        <v>13.4</v>
      </c>
      <c r="D32" s="3" t="n">
        <v>12.8</v>
      </c>
      <c r="E32" s="3" t="n">
        <v>12.2</v>
      </c>
      <c r="F32" s="3" t="n">
        <v>11.6</v>
      </c>
      <c r="G32" s="3" t="n">
        <v>11</v>
      </c>
      <c r="H32" s="3" t="n">
        <v>10.6</v>
      </c>
      <c r="I32" s="3" t="n">
        <v>10.2</v>
      </c>
      <c r="J32" s="3" t="n">
        <v>10</v>
      </c>
      <c r="K32" s="3" t="n">
        <v>9.9</v>
      </c>
      <c r="L32" s="3" t="n">
        <v>9.8</v>
      </c>
    </row>
    <row r="33" customFormat="false" ht="15" hidden="false" customHeight="false" outlineLevel="0" collapsed="false">
      <c r="A33" s="0" t="s">
        <v>108</v>
      </c>
      <c r="C33" s="3" t="n">
        <v>19.5</v>
      </c>
      <c r="D33" s="3" t="n">
        <v>19.5</v>
      </c>
      <c r="E33" s="3" t="n">
        <v>19.5</v>
      </c>
      <c r="F33" s="3" t="n">
        <v>19.5</v>
      </c>
      <c r="G33" s="3" t="n">
        <v>19.5</v>
      </c>
      <c r="H33" s="3" t="n">
        <v>19.5</v>
      </c>
      <c r="I33" s="3" t="n">
        <v>19.5</v>
      </c>
      <c r="J33" s="3" t="n">
        <v>19.5</v>
      </c>
      <c r="K33" s="3" t="n">
        <v>19.5</v>
      </c>
      <c r="L33" s="3" t="n">
        <v>19.5</v>
      </c>
    </row>
    <row r="34" customFormat="false" ht="15" hidden="false" customHeight="false" outlineLevel="0" collapsed="false">
      <c r="A34" s="0" t="s">
        <v>109</v>
      </c>
      <c r="B34" s="3" t="n">
        <v>11</v>
      </c>
    </row>
    <row r="35" customFormat="false" ht="15" hidden="false" customHeight="false" outlineLevel="0" collapsed="false">
      <c r="A35" s="0" t="s">
        <v>110</v>
      </c>
      <c r="B35" s="3" t="n">
        <v>3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0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103</v>
      </c>
      <c r="C42" s="3" t="n">
        <v>42</v>
      </c>
      <c r="D42" s="3" t="n">
        <v>40</v>
      </c>
      <c r="E42" s="3" t="n">
        <v>39</v>
      </c>
      <c r="F42" s="3" t="n">
        <v>39</v>
      </c>
      <c r="G42" s="3" t="n">
        <v>39</v>
      </c>
      <c r="H42" s="3" t="n">
        <v>39</v>
      </c>
      <c r="I42" s="3" t="n">
        <v>39</v>
      </c>
      <c r="J42" s="3" t="n">
        <v>39</v>
      </c>
      <c r="K42" s="3" t="n">
        <v>39</v>
      </c>
      <c r="L42" s="3" t="n">
        <v>39</v>
      </c>
    </row>
    <row r="43" customFormat="false" ht="15" hidden="false" customHeight="false" outlineLevel="0" collapsed="false">
      <c r="A43" s="0" t="s">
        <v>104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107</v>
      </c>
      <c r="C46" s="3" t="n">
        <v>13.6</v>
      </c>
      <c r="D46" s="3" t="n">
        <v>12.6</v>
      </c>
      <c r="E46" s="3" t="n">
        <v>11.7</v>
      </c>
      <c r="F46" s="3" t="n">
        <v>11</v>
      </c>
      <c r="G46" s="3" t="n">
        <v>10.4</v>
      </c>
      <c r="H46" s="3" t="n">
        <v>10.1</v>
      </c>
      <c r="I46" s="3" t="n">
        <v>9.8</v>
      </c>
      <c r="J46" s="3" t="n">
        <v>9.6</v>
      </c>
      <c r="K46" s="3" t="n">
        <v>9.5</v>
      </c>
      <c r="L46" s="3" t="n">
        <v>9.5</v>
      </c>
    </row>
    <row r="47" customFormat="false" ht="15" hidden="false" customHeight="false" outlineLevel="0" collapsed="false">
      <c r="A47" s="0" t="s">
        <v>108</v>
      </c>
      <c r="C47" s="3" t="n">
        <v>19</v>
      </c>
      <c r="D47" s="3" t="n">
        <v>19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109</v>
      </c>
      <c r="B48" s="3" t="n">
        <v>11</v>
      </c>
    </row>
    <row r="49" customFormat="false" ht="15" hidden="false" customHeight="false" outlineLevel="0" collapsed="false">
      <c r="A49" s="0" t="s">
        <v>110</v>
      </c>
      <c r="B49" s="3" t="n">
        <v>3.5</v>
      </c>
    </row>
    <row r="50" customFormat="false" ht="15" hidden="false" customHeight="false" outlineLevel="0" collapsed="false">
      <c r="A50" s="0" t="s">
        <v>111</v>
      </c>
      <c r="B50" s="3" t="n">
        <v>15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-30</v>
      </c>
      <c r="D5" s="4" t="n">
        <f aca="false">Assumptions!D13</f>
        <v>-3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47000</v>
      </c>
      <c r="C6" s="0" t="n">
        <f aca="false">B6*(1+C5/100)</f>
        <v>32900</v>
      </c>
      <c r="D6" s="0" t="n">
        <f aca="false">C6*(1+D5/100)</f>
        <v>31913</v>
      </c>
      <c r="E6" s="0" t="n">
        <f aca="false">D6*(1+E5/100)</f>
        <v>32551.26</v>
      </c>
      <c r="F6" s="0" t="n">
        <f aca="false">E6*(1+F5/100)</f>
        <v>33365.0415</v>
      </c>
      <c r="G6" s="0" t="n">
        <f aca="false">F6*(1+G5/100)</f>
        <v>34199.1675375</v>
      </c>
      <c r="H6" s="0" t="n">
        <f aca="false">G6*(1+H5/100)</f>
        <v>35054.1467259375</v>
      </c>
      <c r="I6" s="0" t="n">
        <f aca="false">H6*(1+I5/100)</f>
        <v>35930.5003940859</v>
      </c>
      <c r="J6" s="0" t="n">
        <f aca="false">I6*(1+J5/100)</f>
        <v>36828.7629039381</v>
      </c>
      <c r="K6" s="0" t="n">
        <f aca="false">J6*(1+K5/100)</f>
        <v>37749.4819765365</v>
      </c>
      <c r="L6" s="0" t="n">
        <f aca="false">K6*(1+L5/100)</f>
        <v>38693.2190259499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29</v>
      </c>
      <c r="D7" s="4" t="n">
        <f aca="false">Assumptions!D14</f>
        <v>28</v>
      </c>
      <c r="E7" s="4" t="n">
        <f aca="false">Assumptions!E14</f>
        <v>29</v>
      </c>
      <c r="F7" s="4" t="n">
        <f aca="false">Assumptions!F14</f>
        <v>30</v>
      </c>
      <c r="G7" s="4" t="n">
        <f aca="false">Assumptions!G14</f>
        <v>31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9541</v>
      </c>
      <c r="D8" s="0" t="n">
        <f aca="false">D6*D7/100</f>
        <v>8935.64</v>
      </c>
      <c r="E8" s="0" t="n">
        <f aca="false">E6*E7/100</f>
        <v>9439.8654</v>
      </c>
      <c r="F8" s="0" t="n">
        <f aca="false">F6*F7/100</f>
        <v>10009.51245</v>
      </c>
      <c r="G8" s="0" t="n">
        <f aca="false">G6*G7/100</f>
        <v>10601.741936625</v>
      </c>
      <c r="H8" s="0" t="n">
        <f aca="false">H6*H7/100</f>
        <v>11217.3269523</v>
      </c>
      <c r="I8" s="0" t="n">
        <f aca="false">I6*I7/100</f>
        <v>11497.7601261075</v>
      </c>
      <c r="J8" s="0" t="n">
        <f aca="false">J6*J7/100</f>
        <v>11785.2041292602</v>
      </c>
      <c r="K8" s="0" t="n">
        <f aca="false">K6*K7/100</f>
        <v>12079.8342324917</v>
      </c>
      <c r="L8" s="0" t="n">
        <f aca="false">L6*L7/100</f>
        <v>12381.830088304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9541</v>
      </c>
      <c r="D11" s="0" t="n">
        <f aca="false">D8+D10+D24</f>
        <v>8935.64</v>
      </c>
      <c r="E11" s="0" t="n">
        <f aca="false">E8+E10+E24</f>
        <v>9439.8654</v>
      </c>
      <c r="F11" s="0" t="n">
        <f aca="false">F8+F10+F24</f>
        <v>10009.51245</v>
      </c>
      <c r="G11" s="0" t="n">
        <f aca="false">G8+G10+G24</f>
        <v>10601.741936625</v>
      </c>
      <c r="H11" s="0" t="n">
        <f aca="false">H8+H10+H24</f>
        <v>11217.3269523</v>
      </c>
      <c r="I11" s="0" t="n">
        <f aca="false">I8+I10+I24</f>
        <v>11497.7601261075</v>
      </c>
      <c r="J11" s="0" t="n">
        <f aca="false">J8+J10+J24</f>
        <v>11785.2041292602</v>
      </c>
      <c r="K11" s="0" t="n">
        <f aca="false">K8+K10+K24</f>
        <v>12079.8342324917</v>
      </c>
      <c r="L11" s="0" t="n">
        <f aca="false">L8+L10+L24</f>
        <v>12381.830088304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9541</v>
      </c>
      <c r="D13" s="0" t="n">
        <f aca="false">D11+D12</f>
        <v>8935.64</v>
      </c>
      <c r="E13" s="0" t="n">
        <f aca="false">E11+E12</f>
        <v>9439.8654</v>
      </c>
      <c r="F13" s="0" t="n">
        <f aca="false">F11+F12</f>
        <v>10009.51245</v>
      </c>
      <c r="G13" s="0" t="n">
        <f aca="false">G11+G12</f>
        <v>10601.741936625</v>
      </c>
      <c r="H13" s="0" t="n">
        <f aca="false">H11+H12</f>
        <v>11217.3269523</v>
      </c>
      <c r="I13" s="0" t="n">
        <f aca="false">I11+I12</f>
        <v>11497.7601261075</v>
      </c>
      <c r="J13" s="0" t="n">
        <f aca="false">J11+J12</f>
        <v>11785.2041292602</v>
      </c>
      <c r="K13" s="0" t="n">
        <f aca="false">K11+K12</f>
        <v>12079.8342324917</v>
      </c>
      <c r="L13" s="0" t="n">
        <f aca="false">L11+L12</f>
        <v>12381.830088304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7537.39</v>
      </c>
      <c r="D15" s="0" t="n">
        <f aca="false">D13-MAX(0,D13)*D14/100</f>
        <v>7059.1556</v>
      </c>
      <c r="E15" s="0" t="n">
        <f aca="false">E13-MAX(0,E13)*E14/100</f>
        <v>7457.493666</v>
      </c>
      <c r="F15" s="0" t="n">
        <f aca="false">F13-MAX(0,F13)*F14/100</f>
        <v>7907.5148355</v>
      </c>
      <c r="G15" s="0" t="n">
        <f aca="false">G13-MAX(0,G13)*G14/100</f>
        <v>8375.37612993375</v>
      </c>
      <c r="H15" s="0" t="n">
        <f aca="false">H13-MAX(0,H13)*H14/100</f>
        <v>8861.688292317</v>
      </c>
      <c r="I15" s="0" t="n">
        <f aca="false">I13-MAX(0,I13)*I14/100</f>
        <v>9083.23049962492</v>
      </c>
      <c r="J15" s="0" t="n">
        <f aca="false">J13-MAX(0,J13)*J14/100</f>
        <v>9310.31126211555</v>
      </c>
      <c r="K15" s="0" t="n">
        <f aca="false">K13-MAX(0,K13)*K14/100</f>
        <v>9543.06904366843</v>
      </c>
      <c r="L15" s="0" t="n">
        <f aca="false">L13-MAX(0,L13)*L14/100</f>
        <v>9781.64576976014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-4145.4</v>
      </c>
      <c r="D17" s="4" t="n">
        <f aca="false">-D6*Assumptions!D18/100</f>
        <v>-3797.647</v>
      </c>
      <c r="E17" s="4" t="n">
        <f aca="false">-E6*Assumptions!E18/100</f>
        <v>-3808.49742</v>
      </c>
      <c r="F17" s="4" t="n">
        <f aca="false">-F6*Assumptions!F18/100</f>
        <v>-3803.614731</v>
      </c>
      <c r="G17" s="4" t="n">
        <f aca="false">-G6*Assumptions!G18/100</f>
        <v>-3830.3067642</v>
      </c>
      <c r="H17" s="4" t="n">
        <f aca="false">-H6*Assumptions!H18/100</f>
        <v>-3820.90199312719</v>
      </c>
      <c r="I17" s="4" t="n">
        <f aca="false">-I6*Assumptions!I18/100</f>
        <v>-3736.77204098494</v>
      </c>
      <c r="J17" s="4" t="n">
        <f aca="false">-J6*Assumptions!J18/100</f>
        <v>-3719.70505329775</v>
      </c>
      <c r="K17" s="4" t="n">
        <f aca="false">-K6*Assumptions!K18/100</f>
        <v>-3699.44923370058</v>
      </c>
      <c r="L17" s="4" t="n">
        <f aca="false">-L6*Assumptions!L18/100</f>
        <v>-3714.54902649119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3391.99</v>
      </c>
      <c r="D19" s="0" t="n">
        <f aca="false">D15+D16+D17+D18</f>
        <v>3261.5086</v>
      </c>
      <c r="E19" s="0" t="n">
        <f aca="false">E15+E16+E17+E18</f>
        <v>3648.996246</v>
      </c>
      <c r="F19" s="0" t="n">
        <f aca="false">F15+F16+F17+F18</f>
        <v>4103.9001045</v>
      </c>
      <c r="G19" s="0" t="n">
        <f aca="false">G15+G16+G17+G18</f>
        <v>4545.06936573375</v>
      </c>
      <c r="H19" s="0" t="n">
        <f aca="false">H15+H16+H17+H18</f>
        <v>5040.78629918981</v>
      </c>
      <c r="I19" s="0" t="n">
        <f aca="false">I15+I16+I17+I18</f>
        <v>5346.45845863999</v>
      </c>
      <c r="J19" s="0" t="n">
        <f aca="false">J15+J16+J17+J18</f>
        <v>5590.6062088178</v>
      </c>
      <c r="K19" s="0" t="n">
        <f aca="false">K15+K16+K17+K18</f>
        <v>5843.61980996785</v>
      </c>
      <c r="L19" s="0" t="n">
        <f aca="false">L15+L16+L17+L18</f>
        <v>6067.09674326895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3055.84684684685</v>
      </c>
      <c r="D21" s="0" t="n">
        <f aca="false">D19*D20</f>
        <v>2647.11354597841</v>
      </c>
      <c r="E21" s="0" t="n">
        <f aca="false">E19*E20</f>
        <v>2668.11460547472</v>
      </c>
      <c r="F21" s="0" t="n">
        <f aca="false">F19*F20</f>
        <v>2703.36611363105</v>
      </c>
      <c r="G21" s="0" t="n">
        <f aca="false">G19*G20</f>
        <v>2697.27745121296</v>
      </c>
      <c r="H21" s="0" t="n">
        <f aca="false">H19*H20</f>
        <v>2695.01020154377</v>
      </c>
      <c r="I21" s="0" t="n">
        <f aca="false">I19*I20</f>
        <v>2575.16668508223</v>
      </c>
      <c r="J21" s="0" t="n">
        <f aca="false">J19*J20</f>
        <v>2425.91216437427</v>
      </c>
      <c r="K21" s="0" t="n">
        <f aca="false">K19*K20</f>
        <v>2284.41573859194</v>
      </c>
      <c r="L21" s="0" t="n">
        <f aca="false">L19*L20</f>
        <v>2136.73730420244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25888.9606569386</v>
      </c>
    </row>
    <row r="31" customFormat="false" ht="15" hidden="false" customHeight="false" outlineLevel="0" collapsed="false">
      <c r="A31" s="0" t="s">
        <v>133</v>
      </c>
      <c r="B31" s="0" t="n">
        <f aca="false">L19</f>
        <v>6067.09674326895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73162.0489629491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91006.4511490342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73162.0489629491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25766.5380800882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51655.4987370269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51655.4987370269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6.97746598657734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-0.460366126328125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6.97746598657734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49750.1932948054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4.57859512249035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-12</v>
      </c>
      <c r="D5" s="4" t="n">
        <f aca="false">Assumptions!D27</f>
        <v>2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47000</v>
      </c>
      <c r="C6" s="0" t="n">
        <f aca="false">B6*(1+C5/100)</f>
        <v>41360</v>
      </c>
      <c r="D6" s="0" t="n">
        <f aca="false">C6*(1+D5/100)</f>
        <v>42187.2</v>
      </c>
      <c r="E6" s="0" t="n">
        <f aca="false">D6*(1+E5/100)</f>
        <v>43874.688</v>
      </c>
      <c r="F6" s="0" t="n">
        <f aca="false">E6*(1+F5/100)</f>
        <v>45629.67552</v>
      </c>
      <c r="G6" s="0" t="n">
        <f aca="false">F6*(1+G5/100)</f>
        <v>47454.8625408</v>
      </c>
      <c r="H6" s="0" t="n">
        <f aca="false">G6*(1+H5/100)</f>
        <v>49115.782729728</v>
      </c>
      <c r="I6" s="0" t="n">
        <f aca="false">H6*(1+I5/100)</f>
        <v>50589.2562116199</v>
      </c>
      <c r="J6" s="0" t="n">
        <f aca="false">I6*(1+J5/100)</f>
        <v>52106.9338979685</v>
      </c>
      <c r="K6" s="0" t="n">
        <f aca="false">J6*(1+K5/100)</f>
        <v>53670.1419149075</v>
      </c>
      <c r="L6" s="0" t="n">
        <f aca="false">K6*(1+L5/100)</f>
        <v>55280.2461723547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37</v>
      </c>
      <c r="D7" s="4" t="n">
        <f aca="false">Assumptions!D28</f>
        <v>36</v>
      </c>
      <c r="E7" s="4" t="n">
        <f aca="false">Assumptions!E28</f>
        <v>36</v>
      </c>
      <c r="F7" s="4" t="n">
        <f aca="false">Assumptions!F28</f>
        <v>36.5</v>
      </c>
      <c r="G7" s="4" t="n">
        <f aca="false">Assumptions!G28</f>
        <v>36.5</v>
      </c>
      <c r="H7" s="4" t="n">
        <f aca="false">Assumptions!H28</f>
        <v>37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15303.2</v>
      </c>
      <c r="D8" s="0" t="n">
        <f aca="false">D6*D7/100</f>
        <v>15187.392</v>
      </c>
      <c r="E8" s="0" t="n">
        <f aca="false">E6*E7/100</f>
        <v>15794.88768</v>
      </c>
      <c r="F8" s="0" t="n">
        <f aca="false">F6*F7/100</f>
        <v>16654.8315648</v>
      </c>
      <c r="G8" s="0" t="n">
        <f aca="false">G6*G7/100</f>
        <v>17321.024827392</v>
      </c>
      <c r="H8" s="0" t="n">
        <f aca="false">H6*H7/100</f>
        <v>18172.8396099994</v>
      </c>
      <c r="I8" s="0" t="n">
        <f aca="false">I6*I7/100</f>
        <v>18718.0247982993</v>
      </c>
      <c r="J8" s="0" t="n">
        <f aca="false">J6*J7/100</f>
        <v>19279.5655422483</v>
      </c>
      <c r="K8" s="0" t="n">
        <f aca="false">K6*K7/100</f>
        <v>19857.9525085158</v>
      </c>
      <c r="L8" s="0" t="n">
        <f aca="false">L6*L7/100</f>
        <v>20453.6910837713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15303.2</v>
      </c>
      <c r="D11" s="0" t="n">
        <f aca="false">D8+D10+D24</f>
        <v>15187.392</v>
      </c>
      <c r="E11" s="0" t="n">
        <f aca="false">E8+E10+E24</f>
        <v>15794.88768</v>
      </c>
      <c r="F11" s="0" t="n">
        <f aca="false">F8+F10+F24</f>
        <v>16654.8315648</v>
      </c>
      <c r="G11" s="0" t="n">
        <f aca="false">G8+G10+G24</f>
        <v>17321.024827392</v>
      </c>
      <c r="H11" s="0" t="n">
        <f aca="false">H8+H10+H24</f>
        <v>18172.8396099994</v>
      </c>
      <c r="I11" s="0" t="n">
        <f aca="false">I8+I10+I24</f>
        <v>18718.0247982993</v>
      </c>
      <c r="J11" s="0" t="n">
        <f aca="false">J8+J10+J24</f>
        <v>19279.5655422483</v>
      </c>
      <c r="K11" s="0" t="n">
        <f aca="false">K8+K10+K24</f>
        <v>19857.9525085158</v>
      </c>
      <c r="L11" s="0" t="n">
        <f aca="false">L8+L10+L24</f>
        <v>20453.6910837713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15303.2</v>
      </c>
      <c r="D13" s="0" t="n">
        <f aca="false">D11+D12</f>
        <v>15187.392</v>
      </c>
      <c r="E13" s="0" t="n">
        <f aca="false">E11+E12</f>
        <v>15794.88768</v>
      </c>
      <c r="F13" s="0" t="n">
        <f aca="false">F11+F12</f>
        <v>16654.8315648</v>
      </c>
      <c r="G13" s="0" t="n">
        <f aca="false">G11+G12</f>
        <v>17321.024827392</v>
      </c>
      <c r="H13" s="0" t="n">
        <f aca="false">H11+H12</f>
        <v>18172.8396099994</v>
      </c>
      <c r="I13" s="0" t="n">
        <f aca="false">I11+I12</f>
        <v>18718.0247982993</v>
      </c>
      <c r="J13" s="0" t="n">
        <f aca="false">J11+J12</f>
        <v>19279.5655422483</v>
      </c>
      <c r="K13" s="0" t="n">
        <f aca="false">K11+K12</f>
        <v>19857.9525085158</v>
      </c>
      <c r="L13" s="0" t="n">
        <f aca="false">L11+L12</f>
        <v>20453.6910837713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19.5</v>
      </c>
      <c r="D14" s="4" t="n">
        <f aca="false">Assumptions!D33</f>
        <v>19.5</v>
      </c>
      <c r="E14" s="4" t="n">
        <f aca="false">Assumptions!E33</f>
        <v>19.5</v>
      </c>
      <c r="F14" s="4" t="n">
        <f aca="false">Assumptions!F33</f>
        <v>19.5</v>
      </c>
      <c r="G14" s="4" t="n">
        <f aca="false">Assumptions!G33</f>
        <v>19.5</v>
      </c>
      <c r="H14" s="4" t="n">
        <f aca="false">Assumptions!H33</f>
        <v>19.5</v>
      </c>
      <c r="I14" s="4" t="n">
        <f aca="false">Assumptions!I33</f>
        <v>19.5</v>
      </c>
      <c r="J14" s="4" t="n">
        <f aca="false">Assumptions!J33</f>
        <v>19.5</v>
      </c>
      <c r="K14" s="4" t="n">
        <f aca="false">Assumptions!K33</f>
        <v>19.5</v>
      </c>
      <c r="L14" s="4" t="n">
        <f aca="false">Assumptions!L33</f>
        <v>19.5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12319.076</v>
      </c>
      <c r="D15" s="0" t="n">
        <f aca="false">D13-MAX(0,D13)*D14/100</f>
        <v>12225.85056</v>
      </c>
      <c r="E15" s="0" t="n">
        <f aca="false">E13-MAX(0,E13)*E14/100</f>
        <v>12714.8845824</v>
      </c>
      <c r="F15" s="0" t="n">
        <f aca="false">F13-MAX(0,F13)*F14/100</f>
        <v>13407.139409664</v>
      </c>
      <c r="G15" s="0" t="n">
        <f aca="false">G13-MAX(0,G13)*G14/100</f>
        <v>13943.4249860506</v>
      </c>
      <c r="H15" s="0" t="n">
        <f aca="false">H13-MAX(0,H13)*H14/100</f>
        <v>14629.1358860495</v>
      </c>
      <c r="I15" s="0" t="n">
        <f aca="false">I13-MAX(0,I13)*I14/100</f>
        <v>15068.009962631</v>
      </c>
      <c r="J15" s="0" t="n">
        <f aca="false">J13-MAX(0,J13)*J14/100</f>
        <v>15520.0502615099</v>
      </c>
      <c r="K15" s="0" t="n">
        <f aca="false">K13-MAX(0,K13)*K14/100</f>
        <v>15985.6517693552</v>
      </c>
      <c r="L15" s="0" t="n">
        <f aca="false">L13-MAX(0,L13)*L14/100</f>
        <v>16465.2213224359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-5542.24</v>
      </c>
      <c r="D17" s="4" t="n">
        <f aca="false">-D6*Assumptions!D32/100</f>
        <v>-5399.9616</v>
      </c>
      <c r="E17" s="4" t="n">
        <f aca="false">-E6*Assumptions!E32/100</f>
        <v>-5352.711936</v>
      </c>
      <c r="F17" s="4" t="n">
        <f aca="false">-F6*Assumptions!F32/100</f>
        <v>-5293.04236032</v>
      </c>
      <c r="G17" s="4" t="n">
        <f aca="false">-G6*Assumptions!G32/100</f>
        <v>-5220.034879488</v>
      </c>
      <c r="H17" s="4" t="n">
        <f aca="false">-H6*Assumptions!H32/100</f>
        <v>-5206.27296935117</v>
      </c>
      <c r="I17" s="4" t="n">
        <f aca="false">-I6*Assumptions!I32/100</f>
        <v>-5160.10413358522</v>
      </c>
      <c r="J17" s="4" t="n">
        <f aca="false">-J6*Assumptions!J32/100</f>
        <v>-5210.69338979685</v>
      </c>
      <c r="K17" s="4" t="n">
        <f aca="false">-K6*Assumptions!K32/100</f>
        <v>-5313.34404957584</v>
      </c>
      <c r="L17" s="4" t="n">
        <f aca="false">-L6*Assumptions!L32/100</f>
        <v>-5417.46412489076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6776.836</v>
      </c>
      <c r="D19" s="0" t="n">
        <f aca="false">D15+D16+D17+D18</f>
        <v>6825.88896</v>
      </c>
      <c r="E19" s="0" t="n">
        <f aca="false">E15+E16+E17+E18</f>
        <v>7362.1726464</v>
      </c>
      <c r="F19" s="0" t="n">
        <f aca="false">F15+F16+F17+F18</f>
        <v>8114.097049344</v>
      </c>
      <c r="G19" s="0" t="n">
        <f aca="false">G15+G16+G17+G18</f>
        <v>8723.39010656256</v>
      </c>
      <c r="H19" s="0" t="n">
        <f aca="false">H15+H16+H17+H18</f>
        <v>9422.86291669832</v>
      </c>
      <c r="I19" s="0" t="n">
        <f aca="false">I15+I16+I17+I18</f>
        <v>9907.90582904575</v>
      </c>
      <c r="J19" s="0" t="n">
        <f aca="false">J15+J16+J17+J18</f>
        <v>10309.3568717131</v>
      </c>
      <c r="K19" s="0" t="n">
        <f aca="false">K15+K16+K17+K18</f>
        <v>10672.3077197794</v>
      </c>
      <c r="L19" s="0" t="n">
        <f aca="false">L15+L16+L17+L18</f>
        <v>11047.7571975451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6105.25765765766</v>
      </c>
      <c r="D21" s="0" t="n">
        <f aca="false">D19*D20</f>
        <v>5540.04460676893</v>
      </c>
      <c r="E21" s="0" t="n">
        <f aca="false">E19*E20</f>
        <v>5383.15718669729</v>
      </c>
      <c r="F21" s="0" t="n">
        <f aca="false">F19*F20</f>
        <v>5345.00705362144</v>
      </c>
      <c r="G21" s="0" t="n">
        <f aca="false">G19*G20</f>
        <v>5176.90744391244</v>
      </c>
      <c r="H21" s="0" t="n">
        <f aca="false">H19*H20</f>
        <v>5037.84730813366</v>
      </c>
      <c r="I21" s="0" t="n">
        <f aca="false">I19*I20</f>
        <v>4772.2261768739</v>
      </c>
      <c r="J21" s="0" t="n">
        <f aca="false">J19*J20</f>
        <v>4473.50310642837</v>
      </c>
      <c r="K21" s="0" t="n">
        <f aca="false">K19*K20</f>
        <v>4172.06945608845</v>
      </c>
      <c r="L21" s="0" t="n">
        <f aca="false">L19*L20</f>
        <v>3890.84861024428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49896.8686064264</v>
      </c>
    </row>
    <row r="31" customFormat="false" ht="15" hidden="false" customHeight="false" outlineLevel="0" collapsed="false">
      <c r="A31" s="0" t="s">
        <v>133</v>
      </c>
      <c r="B31" s="0" t="n">
        <f aca="false">L19</f>
        <v>11047.7571975451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142239.873918393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165716.357963176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142239.873918393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50094.6758568952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99991.5444633216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99991.5444633216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13.5065504640662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0.0445901364320347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13.5065504640662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94826.5826122621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8.81299173114886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0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47000</v>
      </c>
      <c r="C6" s="0" t="n">
        <f aca="false">B6*(1+C5/100)</f>
        <v>47000</v>
      </c>
      <c r="D6" s="0" t="n">
        <f aca="false">C6*(1+D5/100)</f>
        <v>49350</v>
      </c>
      <c r="E6" s="0" t="n">
        <f aca="false">D6*(1+E5/100)</f>
        <v>51817.5</v>
      </c>
      <c r="F6" s="0" t="n">
        <f aca="false">E6*(1+F5/100)</f>
        <v>54149.2875</v>
      </c>
      <c r="G6" s="0" t="n">
        <f aca="false">F6*(1+G5/100)</f>
        <v>56315.259</v>
      </c>
      <c r="H6" s="0" t="n">
        <f aca="false">G6*(1+H5/100)</f>
        <v>58567.86936</v>
      </c>
      <c r="I6" s="0" t="n">
        <f aca="false">H6*(1+I5/100)</f>
        <v>60617.7447876</v>
      </c>
      <c r="J6" s="0" t="n">
        <f aca="false">I6*(1+J5/100)</f>
        <v>62739.365855166</v>
      </c>
      <c r="K6" s="0" t="n">
        <f aca="false">J6*(1+K5/100)</f>
        <v>64935.2436600968</v>
      </c>
      <c r="L6" s="0" t="n">
        <f aca="false">K6*(1+L5/100)</f>
        <v>67207.9771882002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42</v>
      </c>
      <c r="D7" s="4" t="n">
        <f aca="false">Assumptions!D42</f>
        <v>40</v>
      </c>
      <c r="E7" s="4" t="n">
        <f aca="false">Assumptions!E42</f>
        <v>39</v>
      </c>
      <c r="F7" s="4" t="n">
        <f aca="false">Assumptions!F42</f>
        <v>39</v>
      </c>
      <c r="G7" s="4" t="n">
        <f aca="false">Assumptions!G42</f>
        <v>39</v>
      </c>
      <c r="H7" s="4" t="n">
        <f aca="false">Assumptions!H42</f>
        <v>39</v>
      </c>
      <c r="I7" s="4" t="n">
        <f aca="false">Assumptions!I42</f>
        <v>39</v>
      </c>
      <c r="J7" s="4" t="n">
        <f aca="false">Assumptions!J42</f>
        <v>39</v>
      </c>
      <c r="K7" s="4" t="n">
        <f aca="false">Assumptions!K42</f>
        <v>39</v>
      </c>
      <c r="L7" s="4" t="n">
        <f aca="false">Assumptions!L42</f>
        <v>39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19740</v>
      </c>
      <c r="D8" s="0" t="n">
        <f aca="false">D6*D7/100</f>
        <v>19740</v>
      </c>
      <c r="E8" s="0" t="n">
        <f aca="false">E6*E7/100</f>
        <v>20208.825</v>
      </c>
      <c r="F8" s="0" t="n">
        <f aca="false">F6*F7/100</f>
        <v>21118.222125</v>
      </c>
      <c r="G8" s="0" t="n">
        <f aca="false">G6*G7/100</f>
        <v>21962.95101</v>
      </c>
      <c r="H8" s="0" t="n">
        <f aca="false">H6*H7/100</f>
        <v>22841.4690504</v>
      </c>
      <c r="I8" s="0" t="n">
        <f aca="false">I6*I7/100</f>
        <v>23640.920467164</v>
      </c>
      <c r="J8" s="0" t="n">
        <f aca="false">J6*J7/100</f>
        <v>24468.3526835147</v>
      </c>
      <c r="K8" s="0" t="n">
        <f aca="false">K6*K7/100</f>
        <v>25324.7450274378</v>
      </c>
      <c r="L8" s="0" t="n">
        <f aca="false">L6*L7/100</f>
        <v>26211.1111033981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19740</v>
      </c>
      <c r="D11" s="0" t="n">
        <f aca="false">D8+D10+D24</f>
        <v>19740</v>
      </c>
      <c r="E11" s="0" t="n">
        <f aca="false">E8+E10+E24</f>
        <v>20208.825</v>
      </c>
      <c r="F11" s="0" t="n">
        <f aca="false">F8+F10+F24</f>
        <v>21118.222125</v>
      </c>
      <c r="G11" s="0" t="n">
        <f aca="false">G8+G10+G24</f>
        <v>21962.95101</v>
      </c>
      <c r="H11" s="0" t="n">
        <f aca="false">H8+H10+H24</f>
        <v>22841.4690504</v>
      </c>
      <c r="I11" s="0" t="n">
        <f aca="false">I8+I10+I24</f>
        <v>23640.920467164</v>
      </c>
      <c r="J11" s="0" t="n">
        <f aca="false">J8+J10+J24</f>
        <v>24468.3526835147</v>
      </c>
      <c r="K11" s="0" t="n">
        <f aca="false">K8+K10+K24</f>
        <v>25324.7450274378</v>
      </c>
      <c r="L11" s="0" t="n">
        <f aca="false">L8+L10+L24</f>
        <v>26211.1111033981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19740</v>
      </c>
      <c r="D13" s="0" t="n">
        <f aca="false">D11+D12</f>
        <v>19740</v>
      </c>
      <c r="E13" s="0" t="n">
        <f aca="false">E11+E12</f>
        <v>20208.825</v>
      </c>
      <c r="F13" s="0" t="n">
        <f aca="false">F11+F12</f>
        <v>21118.222125</v>
      </c>
      <c r="G13" s="0" t="n">
        <f aca="false">G11+G12</f>
        <v>21962.95101</v>
      </c>
      <c r="H13" s="0" t="n">
        <f aca="false">H11+H12</f>
        <v>22841.4690504</v>
      </c>
      <c r="I13" s="0" t="n">
        <f aca="false">I11+I12</f>
        <v>23640.920467164</v>
      </c>
      <c r="J13" s="0" t="n">
        <f aca="false">J11+J12</f>
        <v>24468.3526835147</v>
      </c>
      <c r="K13" s="0" t="n">
        <f aca="false">K11+K12</f>
        <v>25324.7450274378</v>
      </c>
      <c r="L13" s="0" t="n">
        <f aca="false">L11+L12</f>
        <v>26211.1111033981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15989.4</v>
      </c>
      <c r="D15" s="0" t="n">
        <f aca="false">D13-MAX(0,D13)*D14/100</f>
        <v>15989.4</v>
      </c>
      <c r="E15" s="0" t="n">
        <f aca="false">E13-MAX(0,E13)*E14/100</f>
        <v>16369.14825</v>
      </c>
      <c r="F15" s="0" t="n">
        <f aca="false">F13-MAX(0,F13)*F14/100</f>
        <v>17105.75992125</v>
      </c>
      <c r="G15" s="0" t="n">
        <f aca="false">G13-MAX(0,G13)*G14/100</f>
        <v>17789.9903181</v>
      </c>
      <c r="H15" s="0" t="n">
        <f aca="false">H13-MAX(0,H13)*H14/100</f>
        <v>18501.589930824</v>
      </c>
      <c r="I15" s="0" t="n">
        <f aca="false">I13-MAX(0,I13)*I14/100</f>
        <v>19149.1455784028</v>
      </c>
      <c r="J15" s="0" t="n">
        <f aca="false">J13-MAX(0,J13)*J14/100</f>
        <v>19819.3656736469</v>
      </c>
      <c r="K15" s="0" t="n">
        <f aca="false">K13-MAX(0,K13)*K14/100</f>
        <v>20513.0434722246</v>
      </c>
      <c r="L15" s="0" t="n">
        <f aca="false">L13-MAX(0,L13)*L14/100</f>
        <v>21230.9999937524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-6392</v>
      </c>
      <c r="D17" s="4" t="n">
        <f aca="false">-D6*Assumptions!D46/100</f>
        <v>-6218.1</v>
      </c>
      <c r="E17" s="4" t="n">
        <f aca="false">-E6*Assumptions!E46/100</f>
        <v>-6062.6475</v>
      </c>
      <c r="F17" s="4" t="n">
        <f aca="false">-F6*Assumptions!F46/100</f>
        <v>-5956.421625</v>
      </c>
      <c r="G17" s="4" t="n">
        <f aca="false">-G6*Assumptions!G46/100</f>
        <v>-5856.786936</v>
      </c>
      <c r="H17" s="4" t="n">
        <f aca="false">-H6*Assumptions!H46/100</f>
        <v>-5915.35480536</v>
      </c>
      <c r="I17" s="4" t="n">
        <f aca="false">-I6*Assumptions!I46/100</f>
        <v>-5940.5389891848</v>
      </c>
      <c r="J17" s="4" t="n">
        <f aca="false">-J6*Assumptions!J46/100</f>
        <v>-6022.97912209593</v>
      </c>
      <c r="K17" s="4" t="n">
        <f aca="false">-K6*Assumptions!K46/100</f>
        <v>-6168.8481477092</v>
      </c>
      <c r="L17" s="4" t="n">
        <f aca="false">-L6*Assumptions!L46/100</f>
        <v>-6384.75783287902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9597.4</v>
      </c>
      <c r="D19" s="0" t="n">
        <f aca="false">D15+D16+D17+D18</f>
        <v>9771.3</v>
      </c>
      <c r="E19" s="0" t="n">
        <f aca="false">E15+E16+E17+E18</f>
        <v>10306.50075</v>
      </c>
      <c r="F19" s="0" t="n">
        <f aca="false">F15+F16+F17+F18</f>
        <v>11149.33829625</v>
      </c>
      <c r="G19" s="0" t="n">
        <f aca="false">G15+G16+G17+G18</f>
        <v>11933.2033821</v>
      </c>
      <c r="H19" s="0" t="n">
        <f aca="false">H15+H16+H17+H18</f>
        <v>12586.235125464</v>
      </c>
      <c r="I19" s="0" t="n">
        <f aca="false">I15+I16+I17+I18</f>
        <v>13208.606589218</v>
      </c>
      <c r="J19" s="0" t="n">
        <f aca="false">J15+J16+J17+J18</f>
        <v>13796.386551551</v>
      </c>
      <c r="K19" s="0" t="n">
        <f aca="false">K15+K16+K17+K18</f>
        <v>14344.1953245154</v>
      </c>
      <c r="L19" s="0" t="n">
        <f aca="false">L15+L16+L17+L18</f>
        <v>14846.2421608734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8646.30630630631</v>
      </c>
      <c r="D21" s="0" t="n">
        <f aca="false">D19*D20</f>
        <v>7930.60628195763</v>
      </c>
      <c r="E21" s="0" t="n">
        <f aca="false">E19*E20</f>
        <v>7536.02451977178</v>
      </c>
      <c r="F21" s="0" t="n">
        <f aca="false">F19*F20</f>
        <v>7344.41447696092</v>
      </c>
      <c r="G21" s="0" t="n">
        <f aca="false">G19*G20</f>
        <v>7081.77539510013</v>
      </c>
      <c r="H21" s="0" t="n">
        <f aca="false">H19*H20</f>
        <v>6729.11527068819</v>
      </c>
      <c r="I21" s="0" t="n">
        <f aca="false">I19*I20</f>
        <v>6362.03645984455</v>
      </c>
      <c r="J21" s="0" t="n">
        <f aca="false">J19*J20</f>
        <v>5986.61767788766</v>
      </c>
      <c r="K21" s="0" t="n">
        <f aca="false">K19*K20</f>
        <v>5607.50127872199</v>
      </c>
      <c r="L21" s="0" t="n">
        <f aca="false">L19*L20</f>
        <v>5228.61605718672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68453.0137244259</v>
      </c>
    </row>
    <row r="31" customFormat="false" ht="15" hidden="false" customHeight="false" outlineLevel="0" collapsed="false">
      <c r="A31" s="0" t="s">
        <v>133</v>
      </c>
      <c r="B31" s="0" t="n">
        <f aca="false">L19</f>
        <v>14846.2421608734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204878.141820053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222693.632413101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204878.141820053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72154.9015891768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140607.915313603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140607.915313603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18.9928849886597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0.468900617839113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18.9928849886597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133616.179447861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12.225886189512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6.97746598657734</v>
      </c>
      <c r="C4" s="0" t="n">
        <f aca="false">B4/Assumptions!$B$2-1</f>
        <v>-0.460366126328125</v>
      </c>
      <c r="D4" s="4" t="n">
        <f aca="false">Assumptions!$B$24</f>
        <v>0.3</v>
      </c>
      <c r="E4" s="4" t="n">
        <f aca="false">DCF_Bear!$B$43</f>
        <v>6.97746598657734</v>
      </c>
      <c r="F4" s="4" t="n">
        <f aca="false">DCF_Bear!$B$47</f>
        <v>4.57859512249035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13.5065504640662</v>
      </c>
      <c r="C5" s="0" t="n">
        <f aca="false">B5/Assumptions!$B$2-1</f>
        <v>0.0445901364320347</v>
      </c>
      <c r="D5" s="4" t="n">
        <f aca="false">Assumptions!$B$38</f>
        <v>0.5</v>
      </c>
      <c r="E5" s="4" t="n">
        <f aca="false">DCF_Base!$B$43</f>
        <v>13.5065504640662</v>
      </c>
      <c r="F5" s="4" t="n">
        <f aca="false">DCF_Base!$B$47</f>
        <v>8.81299173114886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18.9928849886597</v>
      </c>
      <c r="C6" s="0" t="n">
        <f aca="false">B6/Assumptions!$B$2-1</f>
        <v>0.468900617839113</v>
      </c>
      <c r="D6" s="4" t="n">
        <f aca="false">Assumptions!$B$52</f>
        <v>0.2</v>
      </c>
      <c r="E6" s="4" t="n">
        <f aca="false">DCF_Bull!$B$43</f>
        <v>18.9928849886597</v>
      </c>
      <c r="F6" s="4" t="n">
        <f aca="false">DCF_Bull!$B$47</f>
        <v>12.225886189512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12.6450920257383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12.6450920257383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-0.0225311111759281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8.22525164022393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16.8655167046576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15.528970302813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13.5065504640662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11.9371628078218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8.81299173114886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16.5953613840045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16.8655167046576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16.8655167046576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16.8655167046576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16.8655167046576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14.398828090843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14.9262277897623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15.528970302813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15.6933546245541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15.6933546245541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12.6963061640684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13.0775975993615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13.5065504640662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13.9926970440649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14.548293135492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11.3392324874947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11.6224626392286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11.9371628078218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12.2888865256613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12.6845757082307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10.2330930784942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10.4481420247072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10.6846958655416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10.9461501106743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11.2366548274884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2026-10-23T12:59:32Z</dcterms:created>
  <dc:creator>openpyxl</dc:creator>
  <dc:description/>
  <dc:language>en-NZ</dc:language>
  <cp:lastModifiedBy/>
  <dcterms:modified xsi:type="dcterms:W3CDTF">2026-10-23T12:59:32Z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