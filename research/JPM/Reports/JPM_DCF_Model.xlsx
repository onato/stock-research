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<sst xmlns="http://schemas.openxmlformats.org/spreadsheetml/2006/main" count="386" uniqueCount="174">
  <si>
    <t xml:space="preserve">Ticker</t>
  </si>
  <si>
    <t xml:space="preserve">JPM</t>
  </si>
  <si>
    <t xml:space="preserve">Company</t>
  </si>
  <si>
    <t xml:space="preserve">JPMorgan Chase &amp; Co.</t>
  </si>
  <si>
    <t xml:space="preserve">Valuation date</t>
  </si>
  <si>
    <t xml:space="preserve">2026-09-29</t>
  </si>
  <si>
    <t xml:space="preserve">Current price</t>
  </si>
  <si>
    <t xml:space="preserve">Price as of</t>
  </si>
  <si>
    <t xml:space="preserve">2026-09-28T20:00:02Z NYSE regular close</t>
  </si>
  <si>
    <t xml:space="preserve">Balance sheet date</t>
  </si>
  <si>
    <t xml:space="preserve">2026-06-30</t>
  </si>
  <si>
    <t xml:space="preserve">Model</t>
  </si>
  <si>
    <t xml:space="preserve">Bank FCFE capitalisation at cost of equity (engine route; GAAP earnings after regulatory capital retention, preferred stock deducted in the equity bridge, net debt zero)</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</si>
  <si>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</si>
  <si>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</si>
  <si>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</si>
  <si>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</si>
  <si>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</si>
  <si>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</si>
  <si>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</si>
  <si>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</si>
  <si>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2026-09-28T22:20:34Z</t>
  </si>
  <si>
    <t xml:space="preserve">Drivers file</t>
  </si>
  <si>
    <t xml:space="preserve">JPM_Drivers.json</t>
  </si>
  <si>
    <t xml:space="preserve">Convention</t>
  </si>
  <si>
    <t xml:space="preserve">Percents stored as percents; formulas divide by 100. Blue = input, green = link, black = formula.</t>
  </si>
  <si>
    <t xml:space="preserve">Methodology</t>
  </si>
  <si>
    <t xml:space="preserve">summary: A bank is valued on what it can distribute after funding its regulatory capital, discounted at a USD cost of equity - never on statutory operating cash flow (which is trading, loan and deposit movement) and never with deposits or wholesale funding treated as net debt. GAAP net income is the flow; capital retention at NPAT x g/ROTE is the reinvestment; preferred stock is deducted at liquidation value so the common claim is valued; 10% is the return an owner requires from a ~13x-levered G-SIB with the most cyclical fee line in US banking. The result is the residual-income answer in FCFE form: at a ~22% return on tangible common equity and 2.5% growth the franchise is worth ~2.6x tangible book, so the ~3.0x the market pays after the Q2 2026 record embeds either a sustained ~25% ROTCE (the FY2024-26 run-rate, not the 17% through-cycle target management still guides to) or a cost of equity below 9%. Value the underlying: the Q2 2026 'record' includes ~$6.4bn of one-off other income and a record trading quarter, neither of which is in the FY0 base.
key_risks_to_valuation: Markets and IB revenue: ~$45bn of the FY2026E base is trading and investment banking; a 20% reversion is ~$9bn of revenue (~4.4%) and, against a fixed cost base, ~10% of pre-tax income; Credit cycle: every 100bp on the provision rate over ~$204bn of revenue is ~$2bn pre-tax (~3% of NPAT); a FY2020-style build (~14.6% of revenue) would halve one year's earnings; Net interest income: the ~$105.5bn FY2026 managed guide is 'market dependent'; every 25bp of deposit-beta or curve shift on ~$3.5tn of interest-earning assets is ~$2-4bn of NII (~2-4% of revenue); Efficiency: the base assumes ~53% holds as AI savings offset ~$20bn of tech spend; every 1pp of efficiency ratio is ~$2.1bn pre-tax (~3% of NPAT); Capital: the ~$45-55bn excess CET1 is unmodelled upside (~$17-20/share) if the Basel III Endgame final rule leaves it surplus, and a retention drag if JPM's expected ~4% RWA uplift is the outcome; Share count: the ~21m Q3 2026 repurchase estimate and the ~4m dilutive-award count are approximations until the Q3 10-Q cover prints; each 25m shares is ~1% of value per share; Terminal value carries a large share of value at a 10% cost of equity; the cap (15x FCFE, ~12.8x earnings) is not binding in the base (Gordon at 2.5% gives 13.7x), so the sensitivity grid is the honest range</t>
  </si>
  <si>
    <t xml:space="preserve">Data sources</t>
  </si>
  <si>
    <t xml:space="preserve">price: Yahoo Finance chart API at inputs.price_as_of (NYSE regular close); 52-week range 279.1-366.5.
financials: SEC XBRL companyfacts (CIK 0000019617) for FY2018-FY2025 annual NII, noninterest income, noninterest expense, provision, pretax income, income tax, net income, diluted EPS, equity, goodwill, intangibles, preferred stock, dividends, repurchases and share counts, and for the Q2 2026 10-Q (accession 0001628280-26-054343, filed 2026-08-06) income statement, balance sheet, share-based compensation, repurchases, diluted/basic shares and cover-page share count; JPM_Metrics.csv / JPM.duckdb (93 periods) for the reported history and kpis (buybacks, cash taxes, securities interest income). The quarterly CSV Revenue rows are an ASC-606 fee subset and were not used.
qualitative: JPM_Analysis.json (2026-09-29): segments and revenue mix, Q2 2026 results and guidance (NII ~$105.5bn, adjusted expense ~$107.5bn, card NCO ~3.2%, CET1 14.1%/14.2%, $1.65 dividend, $50bn buyback), Basel III Endgame re-proposal and JPM's expected ~4% RWA increase, AI programme (~$2bn savings, ~10% headcount over five years), private-credit/NBFI exposure (Tricolor, First Brands), Dimon's macro warnings, competitive position, bull/bear cases.</t>
  </si>
  <si>
    <t xml:space="preserve">Scenario narrative: bear</t>
  </si>
  <si>
    <t xml:space="preserve">Elevated asset prices and the 'increasingly complex set of risks' Dimon flags resolve into a market correction and a mid-sized credit cycle in FY2027-28: markets revenue falls ~20% from a record, IB fees ~25%, card net charge-offs return to 3.6-3.9%, and the first real private-credit/NBFI losses land after Tricolor and First Brands. Costs are not cut, provisions peak at ~$26bn, EPS troughs near $18, and Basel III Endgame's ~4% RWA uplift for JPM absorbs capital that would otherwise fund buybacks. ROTCE troughs at ~17%, still above the cost of equity, so the franchise remains worth well above tangible book but far below today's price.</t>
  </si>
  <si>
    <t xml:space="preserve">Scenario narrative: base</t>
  </si>
  <si>
    <t xml:space="preserve">JPMorgan compounds revenue at ~4% off an FY2026 base that already embeds the 2022-26 rate reset, First Republic and a record trading half, with the efficiency ratio holding ~53% as AI savings offset a ~$20bn tech budget and volume-driven compensation, and provisions normalising from a light FY2026 to ~7% of revenue. GAAP EPS reaches ~$25 in FY2027 and ~$36 by FY2031; ~82-89% of earnings are distributed through the $6.60 dividend and $35-40bn/yr of buybacks. At a 10% cost of equity and a ~22% return on tangible common equity the franchise is worth ~2.6x tangible book, against the ~3.0x the market pays after the Q2 2026 record.</t>
  </si>
  <si>
    <t xml:space="preserve">Scenario narrative: bull</t>
  </si>
  <si>
    <t xml:space="preserve">The capital-markets cycle runs for years, JPM's IB and markets share keeps rising, NII compounds 5-6% on deposit share gains, and the AI programme delivers the guided ~10% headcount reduction, taking the efficiency ratio to 50%. ROTCE holds ~24-25% (the FY2024-26 run-rate) rather than reverting to the 17% through-cycle target, FY2028 EPS clears $30, and the Basel III final rule leaves the ~$50bn excess CET1 surplus, so the ~3x TBV multiple is sustained.</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</si>
  <si>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</si>
  <si>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</si>
  <si>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</si>
  <si>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</si>
  <si>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</si>
  <si>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</si>
  <si>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</si>
  <si>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</si>
  <si>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</si>
  <si>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</si>
  <si>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</si>
  <si>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</si>
  <si>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</si>
  <si>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</si>
  <si>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</si>
  <si>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</si>
  <si>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</si>
  <si>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</si>
  <si>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</si>
  <si>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</si>
  <si>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</si>
  <si>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</si>
  <si>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</si>
  <si>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</si>
  <si>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</si>
  <si>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</si>
  <si>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</si>
  <si>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</si>
  <si>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</si>
  <si>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</si>
  <si>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</si>
  <si>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</si>
  <si>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</si>
  <si>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</si>
  <si>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</si>
  <si>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</si>
  <si>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</si>
  <si>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</si>
  <si>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</si>
  <si>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</si>
  <si>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</si>
  <si>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</si>
  <si>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</si>
  <si>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</si>
  <si>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</si>
  <si>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</si>
  <si>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</si>
  <si>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</si>
  <si>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</si>
  <si>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</si>
  <si>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</si>
  <si>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</si>
  <si>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</si>
  <si>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</si>
  <si>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</si>
  <si>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</si>
  <si>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</si>
  <si>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</si>
  <si>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</si>
  <si>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</si>
  <si>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</si>
  <si>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</si>
  <si>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</si>
  <si>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</si>
  <si>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</si>
  <si>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</si>
  <si>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</si>
  <si>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</si>
  <si>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</si>
  <si>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</si>
  <si>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</si>
  <si>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</si>
  <si>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</si>
  <si>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</si>
  <si>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</si>
  <si>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</si>
  <si>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</si>
  <si>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</si>
  <si>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</si>
  <si>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</si>
  <si>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</si>
  <si>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</si>
  <si>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</si>
  <si>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</si>
  <si>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JPM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</si>
  <si>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</si>
  <si>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</si>
  <si>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</si>
  <si>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</si>
  <si>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</si>
  <si>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</si>
  <si>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</si>
  <si>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</si>
  <si>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</si>
  <si>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</si>
  <si>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</si>
  <si>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</si>
  <si>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</si>
  <si>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</si>
  <si>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</si>
  <si>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</si>
  <si>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</si>
  <si>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</si>
  <si>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</si>
  <si>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</si>
  <si>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</si>
  <si>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</si>
  <si>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</si>
  <si>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</si>
  <si>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</si>
  <si>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</si>
  <si>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</si>
  <si>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</si>
  <si>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</si>
  <si>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</si>
  <si>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JPM owner-FCF component DCF: base case (millions, USD)</t>
  </si>
  <si>
    <t xml:space="preserve">JPM owner-FCF component DCF: bull case (millions, USD)</t>
  </si>
  <si>
    <t xml:space="preserve">JPM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</si>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</sst>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336.59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71372</v>
      </c>
      <c r="I2" s="0" t="n">
        <v>15365</v>
      </c>
      <c r="J2" s="0" t="n">
        <v>21.5280502157709</v>
      </c>
      <c r="K2" s="0" t="n">
        <v>4.38</v>
      </c>
      <c r="L2" s="0" t="n">
        <v>-110560</v>
      </c>
      <c r="O2" s="0" t="n">
        <v>123221</v>
      </c>
      <c r="T2" s="0" t="n">
        <v>3445</v>
      </c>
      <c r="U2" s="0" t="n">
        <v>2025</v>
      </c>
      <c r="AA2" s="0" t="s">
        <v>17</v>
      </c>
      <c r="AB2" s="0" t="s">
        <v>14</v>
      </c>
    </row>
    <row r="3" customFormat="false" ht="15" hidden="false" customHeight="false" outlineLevel="0" collapsed="false">
      <c r="A3" s="0" t="s">
        <v>64</v>
      </c>
      <c r="B3" s="0" t="n">
        <v>67252</v>
      </c>
      <c r="I3" s="0" t="n">
        <v>5605</v>
      </c>
      <c r="J3" s="0" t="n">
        <v>8.33432462975079</v>
      </c>
      <c r="K3" s="0" t="n">
        <v>1.35</v>
      </c>
      <c r="L3" s="0" t="n">
        <v>23930</v>
      </c>
      <c r="O3" s="0" t="n">
        <v>166884</v>
      </c>
      <c r="P3" s="0" t="n">
        <v>2175052</v>
      </c>
      <c r="Q3" s="0" t="n">
        <v>2008168</v>
      </c>
      <c r="R3" s="0" t="n">
        <v>270683</v>
      </c>
      <c r="T3" s="0" t="n">
        <v>3732.8</v>
      </c>
      <c r="U3" s="0" t="n">
        <v>2637</v>
      </c>
      <c r="AA3" s="0" t="s">
        <v>17</v>
      </c>
      <c r="AB3" s="0" t="s">
        <v>14</v>
      </c>
    </row>
    <row r="4" customFormat="false" ht="15" hidden="false" customHeight="false" outlineLevel="0" collapsed="false">
      <c r="A4" s="0" t="s">
        <v>65</v>
      </c>
      <c r="B4" s="0" t="n">
        <v>100434</v>
      </c>
      <c r="I4" s="0" t="n">
        <v>11728</v>
      </c>
      <c r="J4" s="0" t="n">
        <v>11.6773204293367</v>
      </c>
      <c r="K4" s="0" t="n">
        <v>2.27</v>
      </c>
      <c r="L4" s="0" t="n">
        <v>122797</v>
      </c>
      <c r="O4" s="0" t="n">
        <v>165365</v>
      </c>
      <c r="P4" s="0" t="n">
        <v>2119673</v>
      </c>
      <c r="Q4" s="0" t="n">
        <v>1958828</v>
      </c>
      <c r="R4" s="0" t="n">
        <v>266318</v>
      </c>
      <c r="T4" s="0" t="n">
        <v>3942</v>
      </c>
      <c r="U4" s="0" t="n">
        <v>3355</v>
      </c>
      <c r="V4" s="0" t="n">
        <v>0.2</v>
      </c>
      <c r="AA4" s="0" t="s">
        <v>17</v>
      </c>
      <c r="AB4" s="0" t="s">
        <v>14</v>
      </c>
    </row>
    <row r="5" customFormat="false" ht="15" hidden="false" customHeight="false" outlineLevel="0" collapsed="false">
      <c r="A5" s="0" t="s">
        <v>66</v>
      </c>
      <c r="B5" s="0" t="n">
        <v>102694</v>
      </c>
      <c r="I5" s="0" t="n">
        <v>17370</v>
      </c>
      <c r="J5" s="0" t="n">
        <v>16.9143280035835</v>
      </c>
      <c r="K5" s="0" t="n">
        <v>3.98</v>
      </c>
      <c r="L5" s="0" t="n">
        <v>-3752</v>
      </c>
      <c r="O5" s="0" t="n">
        <v>176106</v>
      </c>
      <c r="P5" s="0" t="n">
        <v>2117605</v>
      </c>
      <c r="Q5" s="0" t="n">
        <v>1941499</v>
      </c>
      <c r="R5" s="0" t="n">
        <v>270653</v>
      </c>
      <c r="T5" s="0" t="n">
        <v>3976.9</v>
      </c>
      <c r="U5" s="0" t="n">
        <v>3251</v>
      </c>
      <c r="V5" s="0" t="n">
        <v>0.2</v>
      </c>
      <c r="AA5" s="0" t="s">
        <v>17</v>
      </c>
      <c r="AB5" s="0" t="s">
        <v>14</v>
      </c>
    </row>
    <row r="6" customFormat="false" ht="15" hidden="false" customHeight="false" outlineLevel="0" collapsed="false">
      <c r="A6" s="0" t="s">
        <v>67</v>
      </c>
      <c r="B6" s="0" t="n">
        <v>97234</v>
      </c>
      <c r="I6" s="0" t="n">
        <v>18976</v>
      </c>
      <c r="J6" s="0" t="n">
        <v>19.5158072279244</v>
      </c>
      <c r="K6" s="0" t="n">
        <v>4.5</v>
      </c>
      <c r="L6" s="0" t="n">
        <v>95932</v>
      </c>
      <c r="O6" s="0" t="n">
        <v>183573</v>
      </c>
      <c r="P6" s="0" t="n">
        <v>2265792</v>
      </c>
      <c r="Q6" s="0" t="n">
        <v>2082219</v>
      </c>
      <c r="R6" s="0" t="n">
        <v>256775</v>
      </c>
      <c r="T6" s="0" t="n">
        <v>3920.3</v>
      </c>
      <c r="U6" s="0" t="n">
        <v>2675</v>
      </c>
      <c r="V6" s="0" t="n">
        <v>1</v>
      </c>
      <c r="AA6" s="0" t="s">
        <v>17</v>
      </c>
      <c r="AB6" s="0" t="s">
        <v>14</v>
      </c>
    </row>
    <row r="7" customFormat="false" ht="15" hidden="false" customHeight="false" outlineLevel="0" collapsed="false">
      <c r="A7" s="0" t="s">
        <v>68</v>
      </c>
      <c r="B7" s="0" t="n">
        <v>97031</v>
      </c>
      <c r="I7" s="0" t="n">
        <v>21284</v>
      </c>
      <c r="J7" s="0" t="n">
        <v>21.9352578042069</v>
      </c>
      <c r="K7" s="0" t="n">
        <v>5.22</v>
      </c>
      <c r="L7" s="0" t="n">
        <v>25079</v>
      </c>
      <c r="O7" s="0" t="n">
        <v>204069</v>
      </c>
      <c r="P7" s="0" t="n">
        <v>2359141</v>
      </c>
      <c r="Q7" s="0" t="n">
        <v>2155072</v>
      </c>
      <c r="R7" s="0" t="n">
        <v>249024</v>
      </c>
      <c r="T7" s="0" t="n">
        <v>3822.2</v>
      </c>
      <c r="U7" s="0" t="n">
        <v>2545</v>
      </c>
      <c r="V7" s="0" t="n">
        <v>1.2</v>
      </c>
      <c r="AA7" s="0" t="s">
        <v>17</v>
      </c>
      <c r="AB7" s="0" t="s">
        <v>14</v>
      </c>
    </row>
    <row r="8" customFormat="false" ht="15" hidden="false" customHeight="false" outlineLevel="0" collapsed="false">
      <c r="A8" s="0" t="s">
        <v>69</v>
      </c>
      <c r="B8" s="0" t="n">
        <v>97367</v>
      </c>
      <c r="I8" s="0" t="n">
        <v>17886</v>
      </c>
      <c r="J8" s="0" t="n">
        <v>18.369673503343</v>
      </c>
      <c r="K8" s="0" t="n">
        <v>4.38</v>
      </c>
      <c r="L8" s="0" t="n">
        <v>107953</v>
      </c>
      <c r="O8" s="0" t="n">
        <v>210857</v>
      </c>
      <c r="P8" s="0" t="n">
        <v>2414879</v>
      </c>
      <c r="Q8" s="0" t="n">
        <v>2204511</v>
      </c>
      <c r="R8" s="0" t="n">
        <v>267889</v>
      </c>
      <c r="T8" s="0" t="n">
        <v>3814.9</v>
      </c>
      <c r="U8" s="0" t="n">
        <v>2219</v>
      </c>
      <c r="V8" s="0" t="n">
        <v>1.44</v>
      </c>
      <c r="AA8" s="0" t="s">
        <v>17</v>
      </c>
      <c r="AB8" s="0" t="s">
        <v>14</v>
      </c>
    </row>
    <row r="9" customFormat="false" ht="15" hidden="false" customHeight="false" outlineLevel="0" collapsed="false">
      <c r="A9" s="0" t="s">
        <v>70</v>
      </c>
      <c r="B9" s="0" t="n">
        <v>95112</v>
      </c>
      <c r="I9" s="0" t="n">
        <v>21745</v>
      </c>
      <c r="J9" s="0" t="n">
        <v>22.8625199764488</v>
      </c>
      <c r="K9" s="0" t="n">
        <v>5.33</v>
      </c>
      <c r="L9" s="0" t="n">
        <v>36593</v>
      </c>
      <c r="O9" s="0" t="n">
        <v>231727</v>
      </c>
      <c r="P9" s="0" t="n">
        <v>2572274</v>
      </c>
      <c r="Q9" s="0" t="n">
        <v>2340547</v>
      </c>
      <c r="T9" s="0" t="n">
        <v>3797.5</v>
      </c>
      <c r="U9" s="0" t="n">
        <v>2190</v>
      </c>
      <c r="V9" s="0" t="n">
        <v>1.58</v>
      </c>
      <c r="AA9" s="0" t="s">
        <v>17</v>
      </c>
      <c r="AB9" s="0" t="s">
        <v>14</v>
      </c>
    </row>
    <row r="10" customFormat="false" ht="15" hidden="false" customHeight="false" outlineLevel="0" collapsed="false">
      <c r="A10" s="0" t="s">
        <v>71</v>
      </c>
      <c r="B10" s="0" t="n">
        <v>93543</v>
      </c>
      <c r="I10" s="0" t="n">
        <v>24442</v>
      </c>
      <c r="J10" s="0" t="n">
        <v>26.129159851619</v>
      </c>
      <c r="K10" s="0" t="n">
        <v>6.05</v>
      </c>
      <c r="L10" s="0" t="n">
        <v>73466</v>
      </c>
      <c r="O10" s="0" t="n">
        <v>247573</v>
      </c>
      <c r="P10" s="0" t="n">
        <v>2351698</v>
      </c>
      <c r="Q10" s="0" t="n">
        <v>2104125</v>
      </c>
      <c r="S10" s="0" t="n">
        <v>361683</v>
      </c>
      <c r="T10" s="0" t="n">
        <v>3773.6</v>
      </c>
      <c r="U10" s="0" t="n">
        <v>1987</v>
      </c>
      <c r="V10" s="0" t="n">
        <v>1.72</v>
      </c>
      <c r="AA10" s="0" t="s">
        <v>17</v>
      </c>
      <c r="AB10" s="0" t="s">
        <v>14</v>
      </c>
    </row>
    <row r="11" customFormat="false" ht="15" hidden="false" customHeight="false" outlineLevel="0" collapsed="false">
      <c r="A11" s="0" t="s">
        <v>72</v>
      </c>
      <c r="B11" s="0" t="n">
        <v>96569</v>
      </c>
      <c r="I11" s="0" t="n">
        <v>24733</v>
      </c>
      <c r="J11" s="0" t="n">
        <v>25.6117387567439</v>
      </c>
      <c r="K11" s="0" t="n">
        <v>6.24</v>
      </c>
      <c r="L11" s="0" t="n">
        <v>21884</v>
      </c>
      <c r="O11" s="0" t="n">
        <v>254190</v>
      </c>
      <c r="P11" s="0" t="n">
        <v>2490972</v>
      </c>
      <c r="Q11" s="0" t="n">
        <v>2236782</v>
      </c>
      <c r="S11" s="0" t="n">
        <v>391154</v>
      </c>
      <c r="T11" s="0" t="n">
        <v>3690</v>
      </c>
      <c r="U11" s="0" t="n">
        <v>1940</v>
      </c>
      <c r="V11" s="0" t="n">
        <v>1.88</v>
      </c>
      <c r="AA11" s="0" t="s">
        <v>17</v>
      </c>
      <c r="AB11" s="0" t="s">
        <v>14</v>
      </c>
    </row>
    <row r="12" customFormat="false" ht="15" hidden="false" customHeight="false" outlineLevel="0" collapsed="false">
      <c r="A12" s="0" t="s">
        <v>73</v>
      </c>
      <c r="B12" s="0" t="n">
        <v>100705</v>
      </c>
      <c r="I12" s="0" t="n">
        <v>24441</v>
      </c>
      <c r="J12" s="0" t="n">
        <v>24.2698972245668</v>
      </c>
      <c r="K12" s="0" t="n">
        <v>6.35</v>
      </c>
      <c r="L12" s="0" t="n">
        <v>-10827</v>
      </c>
      <c r="O12" s="0" t="n">
        <v>255693</v>
      </c>
      <c r="P12" s="0" t="n">
        <v>2533600</v>
      </c>
      <c r="Q12" s="0" t="n">
        <v>2277907</v>
      </c>
      <c r="S12" s="0" t="n">
        <v>431304</v>
      </c>
      <c r="T12" s="0" t="n">
        <v>3576.8</v>
      </c>
      <c r="U12" s="0" t="n">
        <v>2070</v>
      </c>
      <c r="V12" s="0" t="n">
        <v>2.12</v>
      </c>
      <c r="AA12" s="0" t="s">
        <v>17</v>
      </c>
      <c r="AB12" s="0" t="s">
        <v>14</v>
      </c>
    </row>
    <row r="13" customFormat="false" ht="15" hidden="false" customHeight="false" outlineLevel="0" collapsed="false">
      <c r="A13" s="0" t="s">
        <v>74</v>
      </c>
      <c r="B13" s="0" t="n">
        <v>108783</v>
      </c>
      <c r="I13" s="0" t="n">
        <v>32474</v>
      </c>
      <c r="J13" s="0" t="n">
        <v>29.8520908597851</v>
      </c>
      <c r="K13" s="0" t="n">
        <v>9.04</v>
      </c>
      <c r="L13" s="0" t="n">
        <v>15614</v>
      </c>
      <c r="O13" s="0" t="n">
        <v>256515</v>
      </c>
      <c r="P13" s="0" t="n">
        <v>2622532</v>
      </c>
      <c r="Q13" s="0" t="n">
        <v>2366017</v>
      </c>
      <c r="S13" s="0" t="n">
        <v>278793</v>
      </c>
      <c r="T13" s="0" t="n">
        <v>3414</v>
      </c>
      <c r="U13" s="0" t="n">
        <v>2322</v>
      </c>
      <c r="V13" s="0" t="n">
        <v>2.72</v>
      </c>
      <c r="AA13" s="0" t="s">
        <v>17</v>
      </c>
      <c r="AB13" s="0" t="s">
        <v>14</v>
      </c>
    </row>
    <row r="14" customFormat="false" ht="15" hidden="false" customHeight="false" outlineLevel="0" collapsed="false">
      <c r="A14" s="0" t="s">
        <v>75</v>
      </c>
      <c r="B14" s="0" t="n">
        <v>115720</v>
      </c>
      <c r="I14" s="0" t="n">
        <v>36431</v>
      </c>
      <c r="J14" s="0" t="n">
        <v>31.4820255789838</v>
      </c>
      <c r="K14" s="0" t="n">
        <v>10.75</v>
      </c>
      <c r="L14" s="0" t="n">
        <v>4092</v>
      </c>
      <c r="O14" s="0" t="n">
        <v>261330</v>
      </c>
      <c r="P14" s="0" t="n">
        <v>2686477</v>
      </c>
      <c r="Q14" s="0" t="n">
        <v>2426049</v>
      </c>
      <c r="T14" s="0" t="n">
        <v>3230.4</v>
      </c>
      <c r="U14" s="0" t="n">
        <v>2256</v>
      </c>
      <c r="V14" s="0" t="n">
        <v>3.4</v>
      </c>
      <c r="AA14" s="0" t="s">
        <v>17</v>
      </c>
      <c r="AB14" s="0" t="s">
        <v>14</v>
      </c>
    </row>
    <row r="15" customFormat="false" ht="15" hidden="false" customHeight="false" outlineLevel="0" collapsed="false">
      <c r="A15" s="0" t="s">
        <v>76</v>
      </c>
      <c r="B15" s="0" t="n">
        <v>119951</v>
      </c>
      <c r="I15" s="0" t="n">
        <v>29131</v>
      </c>
      <c r="J15" s="0" t="n">
        <v>24.2857500145893</v>
      </c>
      <c r="K15" s="0" t="n">
        <v>8.89</v>
      </c>
      <c r="L15" s="0" t="n">
        <v>-79910</v>
      </c>
      <c r="O15" s="0" t="n">
        <v>279354</v>
      </c>
      <c r="P15" s="0" t="n">
        <v>3384757</v>
      </c>
      <c r="Q15" s="0" t="n">
        <v>3105403</v>
      </c>
      <c r="T15" s="0" t="n">
        <v>3087.4</v>
      </c>
      <c r="U15" s="0" t="n">
        <v>2451</v>
      </c>
      <c r="V15" s="0" t="n">
        <v>3.6</v>
      </c>
      <c r="AA15" s="0" t="s">
        <v>17</v>
      </c>
      <c r="AB15" s="0" t="s">
        <v>14</v>
      </c>
    </row>
    <row r="16" customFormat="false" ht="15" hidden="false" customHeight="false" outlineLevel="0" collapsed="false">
      <c r="A16" s="0" t="s">
        <v>77</v>
      </c>
      <c r="B16" s="0" t="n">
        <v>121649</v>
      </c>
      <c r="I16" s="0" t="n">
        <v>48334</v>
      </c>
      <c r="J16" s="0" t="n">
        <v>39.7323446966272</v>
      </c>
      <c r="K16" s="0" t="n">
        <v>15.39</v>
      </c>
      <c r="L16" s="0" t="n">
        <v>78084</v>
      </c>
      <c r="O16" s="0" t="n">
        <v>294127</v>
      </c>
      <c r="P16" s="0" t="n">
        <v>3743567</v>
      </c>
      <c r="Q16" s="0" t="n">
        <v>3449440</v>
      </c>
      <c r="T16" s="0" t="n">
        <v>3026.6</v>
      </c>
      <c r="U16" s="0" t="n">
        <v>2929</v>
      </c>
      <c r="V16" s="0" t="n">
        <v>3.8</v>
      </c>
      <c r="AA16" s="0" t="s">
        <v>17</v>
      </c>
      <c r="AB16" s="0" t="s">
        <v>14</v>
      </c>
    </row>
    <row r="17" customFormat="false" ht="15" hidden="false" customHeight="false" outlineLevel="0" collapsed="false">
      <c r="A17" s="0" t="s">
        <v>78</v>
      </c>
      <c r="B17" s="0" t="n">
        <v>128695</v>
      </c>
      <c r="I17" s="0" t="n">
        <v>37676</v>
      </c>
      <c r="J17" s="0" t="n">
        <v>29.2754186254322</v>
      </c>
      <c r="K17" s="0" t="n">
        <v>12.1</v>
      </c>
      <c r="L17" s="0" t="n">
        <v>107119</v>
      </c>
      <c r="O17" s="0" t="n">
        <v>292332</v>
      </c>
      <c r="P17" s="0" t="n">
        <v>3665743</v>
      </c>
      <c r="Q17" s="0" t="n">
        <v>3373411</v>
      </c>
      <c r="T17" s="0" t="n">
        <v>2970</v>
      </c>
      <c r="U17" s="0" t="n">
        <v>2794</v>
      </c>
      <c r="V17" s="0" t="n">
        <v>4</v>
      </c>
      <c r="AA17" s="0" t="s">
        <v>17</v>
      </c>
      <c r="AB17" s="0" t="s">
        <v>14</v>
      </c>
    </row>
    <row r="18" customFormat="false" ht="15" hidden="false" customHeight="false" outlineLevel="0" collapsed="false">
      <c r="A18" s="0" t="s">
        <v>79</v>
      </c>
      <c r="B18" s="0" t="n">
        <v>158104</v>
      </c>
      <c r="I18" s="0" t="n">
        <v>49552</v>
      </c>
      <c r="J18" s="0" t="n">
        <v>31.3413955371148</v>
      </c>
      <c r="K18" s="0" t="n">
        <v>16.25</v>
      </c>
      <c r="L18" s="0" t="n">
        <v>12974</v>
      </c>
      <c r="O18" s="0" t="n">
        <v>327878</v>
      </c>
      <c r="P18" s="0" t="n">
        <v>3875393</v>
      </c>
      <c r="Q18" s="0" t="n">
        <v>3547515</v>
      </c>
      <c r="T18" s="0" t="n">
        <v>2943.1</v>
      </c>
      <c r="U18" s="0" t="n">
        <v>3117</v>
      </c>
      <c r="V18" s="0" t="n">
        <v>4.1</v>
      </c>
      <c r="AA18" s="0" t="s">
        <v>17</v>
      </c>
      <c r="AB18" s="0" t="s">
        <v>14</v>
      </c>
    </row>
    <row r="19" customFormat="false" ht="15" hidden="false" customHeight="false" outlineLevel="0" collapsed="false">
      <c r="A19" s="0" t="s">
        <v>80</v>
      </c>
      <c r="B19" s="0" t="n">
        <v>177556</v>
      </c>
      <c r="I19" s="0" t="n">
        <v>58471</v>
      </c>
      <c r="J19" s="0" t="n">
        <v>32.9310189461353</v>
      </c>
      <c r="K19" s="0" t="n">
        <v>19.79</v>
      </c>
      <c r="L19" s="0" t="n">
        <v>-42012</v>
      </c>
      <c r="O19" s="0" t="n">
        <v>344758</v>
      </c>
      <c r="P19" s="0" t="n">
        <v>4002814</v>
      </c>
      <c r="Q19" s="0" t="n">
        <v>3658056</v>
      </c>
      <c r="T19" s="0" t="n">
        <v>2879</v>
      </c>
      <c r="U19" s="0" t="n">
        <v>3504</v>
      </c>
      <c r="V19" s="0" t="n">
        <v>4.8</v>
      </c>
      <c r="AA19" s="0" t="s">
        <v>17</v>
      </c>
      <c r="AB19" s="0" t="s">
        <v>14</v>
      </c>
    </row>
    <row r="20" customFormat="false" ht="15" hidden="false" customHeight="false" outlineLevel="0" collapsed="false">
      <c r="A20" s="0" t="s">
        <v>81</v>
      </c>
      <c r="B20" s="0" t="n">
        <v>182447</v>
      </c>
      <c r="I20" s="0" t="n">
        <v>57048</v>
      </c>
      <c r="J20" s="0" t="n">
        <v>31.268258727192</v>
      </c>
      <c r="K20" s="0" t="n">
        <v>20.05</v>
      </c>
      <c r="L20" s="0" t="n">
        <v>-147782</v>
      </c>
      <c r="O20" s="0" t="n">
        <v>362438</v>
      </c>
      <c r="P20" s="0" t="n">
        <v>4424900</v>
      </c>
      <c r="Q20" s="0" t="n">
        <v>4062462</v>
      </c>
      <c r="T20" s="0" t="n">
        <v>2781.5</v>
      </c>
      <c r="U20" s="0" t="n">
        <v>3614</v>
      </c>
      <c r="V20" s="0" t="n">
        <v>5.8</v>
      </c>
      <c r="AA20" s="0" t="s">
        <v>17</v>
      </c>
      <c r="AB20"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336.59</v>
      </c>
    </row>
    <row r="3" customFormat="false" ht="15" hidden="false" customHeight="false" outlineLevel="0" collapsed="false">
      <c r="A3" s="0" t="s">
        <v>85</v>
      </c>
      <c r="B3" s="3" t="n">
        <v>2641</v>
      </c>
    </row>
    <row r="4" customFormat="false" ht="15" hidden="false" customHeight="false" outlineLevel="0" collapsed="false">
      <c r="A4" s="0" t="s">
        <v>86</v>
      </c>
      <c r="B4" s="3" t="n">
        <v>0</v>
      </c>
    </row>
    <row r="5" customFormat="false" ht="15" hidden="false" customHeight="false" outlineLevel="0" collapsed="false">
      <c r="A5" s="0" t="s">
        <v>87</v>
      </c>
      <c r="B5" s="3" t="n">
        <v>-21200</v>
      </c>
    </row>
    <row r="6" customFormat="false" ht="15" hidden="false" customHeight="false" outlineLevel="0" collapsed="false">
      <c r="A6" s="0" t="s">
        <v>88</v>
      </c>
      <c r="B6" s="3" t="n">
        <v>15</v>
      </c>
    </row>
    <row r="7" customFormat="false" ht="15" hidden="false" customHeight="false" outlineLevel="0" collapsed="false">
      <c r="A7" s="0" t="s">
        <v>89</v>
      </c>
      <c r="B7" s="3" t="n">
        <v>204700</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-3</v>
      </c>
      <c r="D13" s="3" t="n">
        <v>0</v>
      </c>
      <c r="E13" s="3" t="n">
        <v>2.5</v>
      </c>
      <c r="F13" s="3" t="n">
        <v>3</v>
      </c>
      <c r="G13" s="3" t="n">
        <v>3</v>
      </c>
      <c r="H13" s="3" t="n">
        <v>2.5</v>
      </c>
      <c r="I13" s="3" t="n">
        <v>2.5</v>
      </c>
      <c r="J13" s="3" t="n">
        <v>2.5</v>
      </c>
      <c r="K13" s="3" t="n">
        <v>2</v>
      </c>
      <c r="L13" s="3" t="n">
        <v>2</v>
      </c>
    </row>
    <row r="14" customFormat="false" ht="15" hidden="false" customHeight="false" outlineLevel="0" collapsed="false">
      <c r="A14" s="0" t="s">
        <v>107</v>
      </c>
      <c r="C14" s="3" t="n">
        <v>38</v>
      </c>
      <c r="D14" s="3" t="n">
        <v>33</v>
      </c>
      <c r="E14" s="3" t="n">
        <v>36.5</v>
      </c>
      <c r="F14" s="3" t="n">
        <v>38</v>
      </c>
      <c r="G14" s="3" t="n">
        <v>38.5</v>
      </c>
      <c r="H14" s="3" t="n">
        <v>38.5</v>
      </c>
      <c r="I14" s="3" t="n">
        <v>38.5</v>
      </c>
      <c r="J14" s="3" t="n">
        <v>38.5</v>
      </c>
      <c r="K14" s="3" t="n">
        <v>38.5</v>
      </c>
      <c r="L14" s="3" t="n">
        <v>38.5</v>
      </c>
    </row>
    <row r="15" customFormat="false" ht="15" hidden="false" customHeight="false" outlineLevel="0" collapsed="false">
      <c r="A15" s="0" t="s">
        <v>108</v>
      </c>
      <c r="C15" s="3" t="n">
        <v>2</v>
      </c>
      <c r="D15" s="3" t="n">
        <v>2</v>
      </c>
      <c r="E15" s="3" t="n">
        <v>2</v>
      </c>
      <c r="F15" s="3" t="n">
        <v>2</v>
      </c>
      <c r="G15" s="3" t="n">
        <v>2</v>
      </c>
      <c r="H15" s="3" t="n">
        <v>2</v>
      </c>
      <c r="I15" s="3" t="n">
        <v>2</v>
      </c>
      <c r="J15" s="3" t="n">
        <v>2</v>
      </c>
      <c r="K15" s="3" t="n">
        <v>2</v>
      </c>
      <c r="L15" s="3" t="n">
        <v>2</v>
      </c>
    </row>
    <row r="16" customFormat="false" ht="15" hidden="false" customHeight="false" outlineLevel="0" collapsed="false">
      <c r="A16" s="0" t="s">
        <v>109</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110</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111</v>
      </c>
      <c r="C18" s="3" t="n">
        <v>4.5</v>
      </c>
      <c r="D18" s="3" t="n">
        <v>5</v>
      </c>
      <c r="E18" s="3" t="n">
        <v>4.5</v>
      </c>
      <c r="F18" s="3" t="n">
        <v>4.4</v>
      </c>
      <c r="G18" s="3" t="n">
        <v>4.4</v>
      </c>
      <c r="H18" s="3" t="n">
        <v>3.6</v>
      </c>
      <c r="I18" s="3" t="n">
        <v>3.6</v>
      </c>
      <c r="J18" s="3" t="n">
        <v>3.6</v>
      </c>
      <c r="K18" s="3" t="n">
        <v>2.9</v>
      </c>
      <c r="L18" s="3" t="n">
        <v>2.9</v>
      </c>
    </row>
    <row r="19" customFormat="false" ht="15" hidden="false" customHeight="false" outlineLevel="0" collapsed="false">
      <c r="A19" s="0" t="s">
        <v>112</v>
      </c>
      <c r="C19" s="3" t="n">
        <v>21.5</v>
      </c>
      <c r="D19" s="3" t="n">
        <v>21.5</v>
      </c>
      <c r="E19" s="3" t="n">
        <v>21.5</v>
      </c>
      <c r="F19" s="3" t="n">
        <v>21.5</v>
      </c>
      <c r="G19" s="3" t="n">
        <v>21.5</v>
      </c>
      <c r="H19" s="3" t="n">
        <v>21.5</v>
      </c>
      <c r="I19" s="3" t="n">
        <v>21.5</v>
      </c>
      <c r="J19" s="3" t="n">
        <v>21.5</v>
      </c>
      <c r="K19" s="3" t="n">
        <v>21.5</v>
      </c>
      <c r="L19" s="3" t="n">
        <v>21.5</v>
      </c>
    </row>
    <row r="20" customFormat="false" ht="15" hidden="false" customHeight="false" outlineLevel="0" collapsed="false">
      <c r="A20" s="0" t="s">
        <v>113</v>
      </c>
      <c r="B20" s="3" t="n">
        <v>10</v>
      </c>
    </row>
    <row r="21" customFormat="false" ht="15" hidden="false" customHeight="false" outlineLevel="0" collapsed="false">
      <c r="A21" s="0" t="s">
        <v>114</v>
      </c>
      <c r="B21" s="3" t="n">
        <v>2</v>
      </c>
    </row>
    <row r="22" customFormat="false" ht="15" hidden="false" customHeight="false" outlineLevel="0" collapsed="false">
      <c r="A22" s="0" t="s">
        <v>115</v>
      </c>
      <c r="B22" s="3" t="n">
        <v>15</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4</v>
      </c>
      <c r="D27" s="3" t="n">
        <v>4</v>
      </c>
      <c r="E27" s="3" t="n">
        <v>4</v>
      </c>
      <c r="F27" s="3" t="n">
        <v>3.5</v>
      </c>
      <c r="G27" s="3" t="n">
        <v>3.5</v>
      </c>
      <c r="H27" s="3" t="n">
        <v>3</v>
      </c>
      <c r="I27" s="3" t="n">
        <v>3</v>
      </c>
      <c r="J27" s="3" t="n">
        <v>3</v>
      </c>
      <c r="K27" s="3" t="n">
        <v>2.5</v>
      </c>
      <c r="L27" s="3" t="n">
        <v>2.5</v>
      </c>
    </row>
    <row r="28" customFormat="false" ht="15" hidden="false" customHeight="false" outlineLevel="0" collapsed="false">
      <c r="A28" s="0" t="s">
        <v>107</v>
      </c>
      <c r="C28" s="3" t="n">
        <v>42.5</v>
      </c>
      <c r="D28" s="3" t="n">
        <v>42</v>
      </c>
      <c r="E28" s="3" t="n">
        <v>41.5</v>
      </c>
      <c r="F28" s="3" t="n">
        <v>41.5</v>
      </c>
      <c r="G28" s="3" t="n">
        <v>41.5</v>
      </c>
      <c r="H28" s="3" t="n">
        <v>41.5</v>
      </c>
      <c r="I28" s="3" t="n">
        <v>41.5</v>
      </c>
      <c r="J28" s="3" t="n">
        <v>41.5</v>
      </c>
      <c r="K28" s="3" t="n">
        <v>41.5</v>
      </c>
      <c r="L28" s="3" t="n">
        <v>41.5</v>
      </c>
    </row>
    <row r="29" customFormat="false" ht="15" hidden="false" customHeight="false" outlineLevel="0" collapsed="false">
      <c r="A29" s="0" t="s">
        <v>108</v>
      </c>
      <c r="C29" s="3" t="n">
        <v>2</v>
      </c>
      <c r="D29" s="3" t="n">
        <v>2</v>
      </c>
      <c r="E29" s="3" t="n">
        <v>2</v>
      </c>
      <c r="F29" s="3" t="n">
        <v>2</v>
      </c>
      <c r="G29" s="3" t="n">
        <v>2</v>
      </c>
      <c r="H29" s="3" t="n">
        <v>2</v>
      </c>
      <c r="I29" s="3" t="n">
        <v>2</v>
      </c>
      <c r="J29" s="3" t="n">
        <v>2</v>
      </c>
      <c r="K29" s="3" t="n">
        <v>2</v>
      </c>
      <c r="L29" s="3" t="n">
        <v>2</v>
      </c>
    </row>
    <row r="30" customFormat="false" ht="15" hidden="false" customHeight="false" outlineLevel="0" collapsed="false">
      <c r="A30" s="0" t="s">
        <v>109</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110</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111</v>
      </c>
      <c r="C32" s="3" t="n">
        <v>5.8</v>
      </c>
      <c r="D32" s="3" t="n">
        <v>5.8</v>
      </c>
      <c r="E32" s="3" t="n">
        <v>5.8</v>
      </c>
      <c r="F32" s="3" t="n">
        <v>5.1</v>
      </c>
      <c r="G32" s="3" t="n">
        <v>5.1</v>
      </c>
      <c r="H32" s="3" t="n">
        <v>4.4</v>
      </c>
      <c r="I32" s="3" t="n">
        <v>4.4</v>
      </c>
      <c r="J32" s="3" t="n">
        <v>4.4</v>
      </c>
      <c r="K32" s="3" t="n">
        <v>3.6</v>
      </c>
      <c r="L32" s="3" t="n">
        <v>3.6</v>
      </c>
    </row>
    <row r="33" customFormat="false" ht="15" hidden="false" customHeight="false" outlineLevel="0" collapsed="false">
      <c r="A33" s="0" t="s">
        <v>112</v>
      </c>
      <c r="C33" s="3" t="n">
        <v>21.5</v>
      </c>
      <c r="D33" s="3" t="n">
        <v>21.5</v>
      </c>
      <c r="E33" s="3" t="n">
        <v>21.5</v>
      </c>
      <c r="F33" s="3" t="n">
        <v>21.5</v>
      </c>
      <c r="G33" s="3" t="n">
        <v>21.5</v>
      </c>
      <c r="H33" s="3" t="n">
        <v>21.5</v>
      </c>
      <c r="I33" s="3" t="n">
        <v>21.5</v>
      </c>
      <c r="J33" s="3" t="n">
        <v>21.5</v>
      </c>
      <c r="K33" s="3" t="n">
        <v>21.5</v>
      </c>
      <c r="L33" s="3" t="n">
        <v>21.5</v>
      </c>
    </row>
    <row r="34" customFormat="false" ht="15" hidden="false" customHeight="false" outlineLevel="0" collapsed="false">
      <c r="A34" s="0" t="s">
        <v>113</v>
      </c>
      <c r="B34" s="3" t="n">
        <v>10</v>
      </c>
    </row>
    <row r="35" customFormat="false" ht="15" hidden="false" customHeight="false" outlineLevel="0" collapsed="false">
      <c r="A35" s="0" t="s">
        <v>114</v>
      </c>
      <c r="B35" s="3" t="n">
        <v>2.5</v>
      </c>
    </row>
    <row r="36" customFormat="false" ht="15" hidden="false" customHeight="false" outlineLevel="0" collapsed="false">
      <c r="A36" s="0" t="s">
        <v>115</v>
      </c>
      <c r="B36" s="3" t="n">
        <v>15</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6</v>
      </c>
      <c r="D41" s="3" t="n">
        <v>5.5</v>
      </c>
      <c r="E41" s="3" t="n">
        <v>5</v>
      </c>
      <c r="F41" s="3" t="n">
        <v>4.5</v>
      </c>
      <c r="G41" s="3" t="n">
        <v>4</v>
      </c>
      <c r="H41" s="3" t="n">
        <v>4</v>
      </c>
      <c r="I41" s="3" t="n">
        <v>3.5</v>
      </c>
      <c r="J41" s="3" t="n">
        <v>3.5</v>
      </c>
      <c r="K41" s="3" t="n">
        <v>3</v>
      </c>
      <c r="L41" s="3" t="n">
        <v>3</v>
      </c>
    </row>
    <row r="42" customFormat="false" ht="15" hidden="false" customHeight="false" outlineLevel="0" collapsed="false">
      <c r="A42" s="0" t="s">
        <v>107</v>
      </c>
      <c r="C42" s="3" t="n">
        <v>43.5</v>
      </c>
      <c r="D42" s="3" t="n">
        <v>44</v>
      </c>
      <c r="E42" s="3" t="n">
        <v>44.5</v>
      </c>
      <c r="F42" s="3" t="n">
        <v>45</v>
      </c>
      <c r="G42" s="3" t="n">
        <v>45</v>
      </c>
      <c r="H42" s="3" t="n">
        <v>45</v>
      </c>
      <c r="I42" s="3" t="n">
        <v>45</v>
      </c>
      <c r="J42" s="3" t="n">
        <v>45</v>
      </c>
      <c r="K42" s="3" t="n">
        <v>45</v>
      </c>
      <c r="L42" s="3" t="n">
        <v>45</v>
      </c>
    </row>
    <row r="43" customFormat="false" ht="15" hidden="false" customHeight="false" outlineLevel="0" collapsed="false">
      <c r="A43" s="0" t="s">
        <v>108</v>
      </c>
      <c r="C43" s="3" t="n">
        <v>2</v>
      </c>
      <c r="D43" s="3" t="n">
        <v>2</v>
      </c>
      <c r="E43" s="3" t="n">
        <v>2</v>
      </c>
      <c r="F43" s="3" t="n">
        <v>2</v>
      </c>
      <c r="G43" s="3" t="n">
        <v>2</v>
      </c>
      <c r="H43" s="3" t="n">
        <v>2</v>
      </c>
      <c r="I43" s="3" t="n">
        <v>2</v>
      </c>
      <c r="J43" s="3" t="n">
        <v>2</v>
      </c>
      <c r="K43" s="3" t="n">
        <v>2</v>
      </c>
      <c r="L43" s="3" t="n">
        <v>2</v>
      </c>
    </row>
    <row r="44" customFormat="false" ht="15" hidden="false" customHeight="false" outlineLevel="0" collapsed="false">
      <c r="A44" s="0" t="s">
        <v>109</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110</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111</v>
      </c>
      <c r="C46" s="3" t="n">
        <v>8</v>
      </c>
      <c r="D46" s="3" t="n">
        <v>7.3</v>
      </c>
      <c r="E46" s="3" t="n">
        <v>7.3</v>
      </c>
      <c r="F46" s="3" t="n">
        <v>6.5</v>
      </c>
      <c r="G46" s="3" t="n">
        <v>5.8</v>
      </c>
      <c r="H46" s="3" t="n">
        <v>5.8</v>
      </c>
      <c r="I46" s="3" t="n">
        <v>5.1</v>
      </c>
      <c r="J46" s="3" t="n">
        <v>5.1</v>
      </c>
      <c r="K46" s="3" t="n">
        <v>4.4</v>
      </c>
      <c r="L46" s="3" t="n">
        <v>4.4</v>
      </c>
    </row>
    <row r="47" customFormat="false" ht="15" hidden="false" customHeight="false" outlineLevel="0" collapsed="false">
      <c r="A47" s="0" t="s">
        <v>112</v>
      </c>
      <c r="C47" s="3" t="n">
        <v>21.5</v>
      </c>
      <c r="D47" s="3" t="n">
        <v>21.5</v>
      </c>
      <c r="E47" s="3" t="n">
        <v>21.5</v>
      </c>
      <c r="F47" s="3" t="n">
        <v>21.5</v>
      </c>
      <c r="G47" s="3" t="n">
        <v>21.5</v>
      </c>
      <c r="H47" s="3" t="n">
        <v>21.5</v>
      </c>
      <c r="I47" s="3" t="n">
        <v>21.5</v>
      </c>
      <c r="J47" s="3" t="n">
        <v>21.5</v>
      </c>
      <c r="K47" s="3" t="n">
        <v>21.5</v>
      </c>
      <c r="L47" s="3" t="n">
        <v>21.5</v>
      </c>
    </row>
    <row r="48" customFormat="false" ht="15" hidden="false" customHeight="false" outlineLevel="0" collapsed="false">
      <c r="A48" s="0" t="s">
        <v>113</v>
      </c>
      <c r="B48" s="3" t="n">
        <v>10</v>
      </c>
    </row>
    <row r="49" customFormat="false" ht="15" hidden="false" customHeight="false" outlineLevel="0" collapsed="false">
      <c r="A49" s="0" t="s">
        <v>114</v>
      </c>
      <c r="B49" s="3" t="n">
        <v>3</v>
      </c>
    </row>
    <row r="50" customFormat="false" ht="15" hidden="false" customHeight="false" outlineLevel="0" collapsed="false">
      <c r="A50" s="0" t="s">
        <v>115</v>
      </c>
      <c r="B50" s="3" t="n">
        <v>15</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-3</v>
      </c>
      <c r="D5" s="4" t="n">
        <f aca="false">Assumptions!D13</f>
        <v>0</v>
      </c>
      <c r="E5" s="4" t="n">
        <f aca="false">Assumptions!E13</f>
        <v>2.5</v>
      </c>
      <c r="F5" s="4" t="n">
        <f aca="false">Assumptions!F13</f>
        <v>3</v>
      </c>
      <c r="G5" s="4" t="n">
        <f aca="false">Assumptions!G13</f>
        <v>3</v>
      </c>
      <c r="H5" s="4" t="n">
        <f aca="false">Assumptions!H13</f>
        <v>2.5</v>
      </c>
      <c r="I5" s="4" t="n">
        <f aca="false">Assumptions!I13</f>
        <v>2.5</v>
      </c>
      <c r="J5" s="4" t="n">
        <f aca="false">Assumptions!J13</f>
        <v>2.5</v>
      </c>
      <c r="K5" s="4" t="n">
        <f aca="false">Assumptions!K13</f>
        <v>2</v>
      </c>
      <c r="L5" s="4" t="n">
        <f aca="false">Assumptions!L13</f>
        <v>2</v>
      </c>
    </row>
    <row r="6" customFormat="false" ht="15" hidden="false" customHeight="false" outlineLevel="0" collapsed="false">
      <c r="A6" s="0" t="s">
        <v>37</v>
      </c>
      <c r="B6" s="3" t="n">
        <v>204700</v>
      </c>
      <c r="C6" s="0" t="n">
        <f aca="false">B6*(1+C5/100)</f>
        <v>198559</v>
      </c>
      <c r="D6" s="0" t="n">
        <f aca="false">C6*(1+D5/100)</f>
        <v>198559</v>
      </c>
      <c r="E6" s="0" t="n">
        <f aca="false">D6*(1+E5/100)</f>
        <v>203522.975</v>
      </c>
      <c r="F6" s="0" t="n">
        <f aca="false">E6*(1+F5/100)</f>
        <v>209628.66425</v>
      </c>
      <c r="G6" s="0" t="n">
        <f aca="false">F6*(1+G5/100)</f>
        <v>215917.5241775</v>
      </c>
      <c r="H6" s="0" t="n">
        <f aca="false">G6*(1+H5/100)</f>
        <v>221315.462281937</v>
      </c>
      <c r="I6" s="0" t="n">
        <f aca="false">H6*(1+I5/100)</f>
        <v>226848.348838986</v>
      </c>
      <c r="J6" s="0" t="n">
        <f aca="false">I6*(1+J5/100)</f>
        <v>232519.557559961</v>
      </c>
      <c r="K6" s="0" t="n">
        <f aca="false">J6*(1+K5/100)</f>
        <v>237169.94871116</v>
      </c>
      <c r="L6" s="0" t="n">
        <f aca="false">K6*(1+L5/100)</f>
        <v>241913.347685383</v>
      </c>
    </row>
    <row r="7" customFormat="false" ht="15" hidden="false" customHeight="false" outlineLevel="0" collapsed="false">
      <c r="A7" s="0" t="s">
        <v>107</v>
      </c>
      <c r="C7" s="4" t="n">
        <f aca="false">Assumptions!C14</f>
        <v>38</v>
      </c>
      <c r="D7" s="4" t="n">
        <f aca="false">Assumptions!D14</f>
        <v>33</v>
      </c>
      <c r="E7" s="4" t="n">
        <f aca="false">Assumptions!E14</f>
        <v>36.5</v>
      </c>
      <c r="F7" s="4" t="n">
        <f aca="false">Assumptions!F14</f>
        <v>38</v>
      </c>
      <c r="G7" s="4" t="n">
        <f aca="false">Assumptions!G14</f>
        <v>38.5</v>
      </c>
      <c r="H7" s="4" t="n">
        <f aca="false">Assumptions!H14</f>
        <v>38.5</v>
      </c>
      <c r="I7" s="4" t="n">
        <f aca="false">Assumptions!I14</f>
        <v>38.5</v>
      </c>
      <c r="J7" s="4" t="n">
        <f aca="false">Assumptions!J14</f>
        <v>38.5</v>
      </c>
      <c r="K7" s="4" t="n">
        <f aca="false">Assumptions!K14</f>
        <v>38.5</v>
      </c>
      <c r="L7" s="4" t="n">
        <f aca="false">Assumptions!L14</f>
        <v>38.5</v>
      </c>
    </row>
    <row r="8" customFormat="false" ht="15" hidden="false" customHeight="false" outlineLevel="0" collapsed="false">
      <c r="A8" s="0" t="s">
        <v>43</v>
      </c>
      <c r="C8" s="0" t="n">
        <f aca="false">C6*C7/100</f>
        <v>75452.42</v>
      </c>
      <c r="D8" s="0" t="n">
        <f aca="false">D6*D7/100</f>
        <v>65524.47</v>
      </c>
      <c r="E8" s="0" t="n">
        <f aca="false">E6*E7/100</f>
        <v>74285.885875</v>
      </c>
      <c r="F8" s="0" t="n">
        <f aca="false">F6*F7/100</f>
        <v>79658.892415</v>
      </c>
      <c r="G8" s="0" t="n">
        <f aca="false">G6*G7/100</f>
        <v>83128.2468083375</v>
      </c>
      <c r="H8" s="0" t="n">
        <f aca="false">H6*H7/100</f>
        <v>85206.4529785459</v>
      </c>
      <c r="I8" s="0" t="n">
        <f aca="false">I6*I7/100</f>
        <v>87336.6143030096</v>
      </c>
      <c r="J8" s="0" t="n">
        <f aca="false">J6*J7/100</f>
        <v>89520.0296605848</v>
      </c>
      <c r="K8" s="0" t="n">
        <f aca="false">K6*K7/100</f>
        <v>91310.4302537965</v>
      </c>
      <c r="L8" s="0" t="n">
        <f aca="false">L6*L7/100</f>
        <v>93136.6388588724</v>
      </c>
    </row>
    <row r="9" customFormat="false" ht="15" hidden="false" customHeight="false" outlineLevel="0" collapsed="false">
      <c r="A9" s="0" t="s">
        <v>108</v>
      </c>
      <c r="C9" s="4" t="n">
        <f aca="false">Assumptions!C15</f>
        <v>2</v>
      </c>
      <c r="D9" s="4" t="n">
        <f aca="false">Assumptions!D15</f>
        <v>2</v>
      </c>
      <c r="E9" s="4" t="n">
        <f aca="false">Assumptions!E15</f>
        <v>2</v>
      </c>
      <c r="F9" s="4" t="n">
        <f aca="false">Assumptions!F15</f>
        <v>2</v>
      </c>
      <c r="G9" s="4" t="n">
        <f aca="false">Assumptions!G15</f>
        <v>2</v>
      </c>
      <c r="H9" s="4" t="n">
        <f aca="false">Assumptions!H15</f>
        <v>2</v>
      </c>
      <c r="I9" s="4" t="n">
        <f aca="false">Assumptions!I15</f>
        <v>2</v>
      </c>
      <c r="J9" s="4" t="n">
        <f aca="false">Assumptions!J15</f>
        <v>2</v>
      </c>
      <c r="K9" s="4" t="n">
        <f aca="false">Assumptions!K15</f>
        <v>2</v>
      </c>
      <c r="L9" s="4" t="n">
        <f aca="false">Assumptions!L15</f>
        <v>2</v>
      </c>
    </row>
    <row r="10" customFormat="false" ht="15" hidden="false" customHeight="false" outlineLevel="0" collapsed="false">
      <c r="A10" s="0" t="s">
        <v>123</v>
      </c>
      <c r="C10" s="0" t="n">
        <f aca="false">-C6*C9/100</f>
        <v>-3971.18</v>
      </c>
      <c r="D10" s="0" t="n">
        <f aca="false">-D6*D9/100</f>
        <v>-3971.18</v>
      </c>
      <c r="E10" s="0" t="n">
        <f aca="false">-E6*E9/100</f>
        <v>-4070.4595</v>
      </c>
      <c r="F10" s="0" t="n">
        <f aca="false">-F6*F9/100</f>
        <v>-4192.573285</v>
      </c>
      <c r="G10" s="0" t="n">
        <f aca="false">-G6*G9/100</f>
        <v>-4318.35048355</v>
      </c>
      <c r="H10" s="0" t="n">
        <f aca="false">-H6*H9/100</f>
        <v>-4426.30924563875</v>
      </c>
      <c r="I10" s="0" t="n">
        <f aca="false">-I6*I9/100</f>
        <v>-4536.96697677972</v>
      </c>
      <c r="J10" s="0" t="n">
        <f aca="false">-J6*J9/100</f>
        <v>-4650.39115119921</v>
      </c>
      <c r="K10" s="0" t="n">
        <f aca="false">-K6*K9/100</f>
        <v>-4743.39897422319</v>
      </c>
      <c r="L10" s="0" t="n">
        <f aca="false">-L6*L9/100</f>
        <v>-4838.26695370766</v>
      </c>
    </row>
    <row r="11" customFormat="false" ht="15" hidden="false" customHeight="false" outlineLevel="0" collapsed="false">
      <c r="A11" s="0" t="s">
        <v>124</v>
      </c>
      <c r="C11" s="0" t="n">
        <f aca="false">C8+C10+C24</f>
        <v>71481.24</v>
      </c>
      <c r="D11" s="0" t="n">
        <f aca="false">D8+D10+D24</f>
        <v>61553.29</v>
      </c>
      <c r="E11" s="0" t="n">
        <f aca="false">E8+E10+E24</f>
        <v>70215.426375</v>
      </c>
      <c r="F11" s="0" t="n">
        <f aca="false">F8+F10+F24</f>
        <v>75466.31913</v>
      </c>
      <c r="G11" s="0" t="n">
        <f aca="false">G8+G10+G24</f>
        <v>78809.8963247875</v>
      </c>
      <c r="H11" s="0" t="n">
        <f aca="false">H8+H10+H24</f>
        <v>80780.1437329072</v>
      </c>
      <c r="I11" s="0" t="n">
        <f aca="false">I8+I10+I24</f>
        <v>82799.6473262299</v>
      </c>
      <c r="J11" s="0" t="n">
        <f aca="false">J8+J10+J24</f>
        <v>84869.6385093856</v>
      </c>
      <c r="K11" s="0" t="n">
        <f aca="false">K8+K10+K24</f>
        <v>86567.0312795733</v>
      </c>
      <c r="L11" s="0" t="n">
        <f aca="false">L8+L10+L24</f>
        <v>88298.3719051648</v>
      </c>
    </row>
    <row r="12" customFormat="false" ht="15" hidden="false" customHeight="false" outlineLevel="0" collapsed="false">
      <c r="A12" s="0" t="s">
        <v>125</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126</v>
      </c>
      <c r="C13" s="0" t="n">
        <f aca="false">C11+C12</f>
        <v>71481.24</v>
      </c>
      <c r="D13" s="0" t="n">
        <f aca="false">D11+D12</f>
        <v>61553.29</v>
      </c>
      <c r="E13" s="0" t="n">
        <f aca="false">E11+E12</f>
        <v>70215.426375</v>
      </c>
      <c r="F13" s="0" t="n">
        <f aca="false">F11+F12</f>
        <v>75466.31913</v>
      </c>
      <c r="G13" s="0" t="n">
        <f aca="false">G11+G12</f>
        <v>78809.8963247875</v>
      </c>
      <c r="H13" s="0" t="n">
        <f aca="false">H11+H12</f>
        <v>80780.1437329072</v>
      </c>
      <c r="I13" s="0" t="n">
        <f aca="false">I11+I12</f>
        <v>82799.6473262299</v>
      </c>
      <c r="J13" s="0" t="n">
        <f aca="false">J11+J12</f>
        <v>84869.6385093856</v>
      </c>
      <c r="K13" s="0" t="n">
        <f aca="false">K11+K12</f>
        <v>86567.0312795733</v>
      </c>
      <c r="L13" s="0" t="n">
        <f aca="false">L11+L12</f>
        <v>88298.3719051648</v>
      </c>
    </row>
    <row r="14" customFormat="false" ht="15" hidden="false" customHeight="false" outlineLevel="0" collapsed="false">
      <c r="A14" s="0" t="s">
        <v>112</v>
      </c>
      <c r="C14" s="4" t="n">
        <f aca="false">Assumptions!C19</f>
        <v>21.5</v>
      </c>
      <c r="D14" s="4" t="n">
        <f aca="false">Assumptions!D19</f>
        <v>21.5</v>
      </c>
      <c r="E14" s="4" t="n">
        <f aca="false">Assumptions!E19</f>
        <v>21.5</v>
      </c>
      <c r="F14" s="4" t="n">
        <f aca="false">Assumptions!F19</f>
        <v>21.5</v>
      </c>
      <c r="G14" s="4" t="n">
        <f aca="false">Assumptions!G19</f>
        <v>21.5</v>
      </c>
      <c r="H14" s="4" t="n">
        <f aca="false">Assumptions!H19</f>
        <v>21.5</v>
      </c>
      <c r="I14" s="4" t="n">
        <f aca="false">Assumptions!I19</f>
        <v>21.5</v>
      </c>
      <c r="J14" s="4" t="n">
        <f aca="false">Assumptions!J19</f>
        <v>21.5</v>
      </c>
      <c r="K14" s="4" t="n">
        <f aca="false">Assumptions!K19</f>
        <v>21.5</v>
      </c>
      <c r="L14" s="4" t="n">
        <f aca="false">Assumptions!L19</f>
        <v>21.5</v>
      </c>
    </row>
    <row r="15" customFormat="false" ht="15" hidden="false" customHeight="false" outlineLevel="0" collapsed="false">
      <c r="A15" s="0" t="s">
        <v>127</v>
      </c>
      <c r="C15" s="0" t="n">
        <f aca="false">C13-MAX(0,C13)*C14/100</f>
        <v>56112.7734</v>
      </c>
      <c r="D15" s="0" t="n">
        <f aca="false">D13-MAX(0,D13)*D14/100</f>
        <v>48319.33265</v>
      </c>
      <c r="E15" s="0" t="n">
        <f aca="false">E13-MAX(0,E13)*E14/100</f>
        <v>55119.109704375</v>
      </c>
      <c r="F15" s="0" t="n">
        <f aca="false">F13-MAX(0,F13)*F14/100</f>
        <v>59241.06051705</v>
      </c>
      <c r="G15" s="0" t="n">
        <f aca="false">G13-MAX(0,G13)*G14/100</f>
        <v>61865.7686149582</v>
      </c>
      <c r="H15" s="0" t="n">
        <f aca="false">H13-MAX(0,H13)*H14/100</f>
        <v>63412.4128303321</v>
      </c>
      <c r="I15" s="0" t="n">
        <f aca="false">I13-MAX(0,I13)*I14/100</f>
        <v>64997.7231510904</v>
      </c>
      <c r="J15" s="0" t="n">
        <f aca="false">J13-MAX(0,J13)*J14/100</f>
        <v>66622.6662298677</v>
      </c>
      <c r="K15" s="0" t="n">
        <f aca="false">K13-MAX(0,K13)*K14/100</f>
        <v>67955.119554465</v>
      </c>
      <c r="L15" s="0" t="n">
        <f aca="false">L13-MAX(0,L13)*L14/100</f>
        <v>69314.2219455543</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-C6*Assumptions!C18/100</f>
        <v>-8935.155</v>
      </c>
      <c r="D17" s="4" t="n">
        <f aca="false">-D6*Assumptions!D18/100</f>
        <v>-9927.95</v>
      </c>
      <c r="E17" s="4" t="n">
        <f aca="false">-E6*Assumptions!E18/100</f>
        <v>-9158.533875</v>
      </c>
      <c r="F17" s="4" t="n">
        <f aca="false">-F6*Assumptions!F18/100</f>
        <v>-9223.661227</v>
      </c>
      <c r="G17" s="4" t="n">
        <f aca="false">-G6*Assumptions!G18/100</f>
        <v>-9500.37106381</v>
      </c>
      <c r="H17" s="4" t="n">
        <f aca="false">-H6*Assumptions!H18/100</f>
        <v>-7967.35664214975</v>
      </c>
      <c r="I17" s="4" t="n">
        <f aca="false">-I6*Assumptions!I18/100</f>
        <v>-8166.54055820349</v>
      </c>
      <c r="J17" s="4" t="n">
        <f aca="false">-J6*Assumptions!J18/100</f>
        <v>-8370.70407215858</v>
      </c>
      <c r="K17" s="4" t="n">
        <f aca="false">-K6*Assumptions!K18/100</f>
        <v>-6877.92851262363</v>
      </c>
      <c r="L17" s="4" t="n">
        <f aca="false">-L6*Assumptions!L18/100</f>
        <v>-7015.4870828761</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47177.6184</v>
      </c>
      <c r="D19" s="0" t="n">
        <f aca="false">D15+D16+D17+D18</f>
        <v>38391.38265</v>
      </c>
      <c r="E19" s="0" t="n">
        <f aca="false">E15+E16+E17+E18</f>
        <v>45960.575829375</v>
      </c>
      <c r="F19" s="0" t="n">
        <f aca="false">F15+F16+F17+F18</f>
        <v>50017.39929005</v>
      </c>
      <c r="G19" s="0" t="n">
        <f aca="false">G15+G16+G17+G18</f>
        <v>52365.3975511482</v>
      </c>
      <c r="H19" s="0" t="n">
        <f aca="false">H15+H16+H17+H18</f>
        <v>55445.0561881824</v>
      </c>
      <c r="I19" s="0" t="n">
        <f aca="false">I15+I16+I17+I18</f>
        <v>56831.1825928869</v>
      </c>
      <c r="J19" s="0" t="n">
        <f aca="false">J15+J16+J17+J18</f>
        <v>58251.9621577091</v>
      </c>
      <c r="K19" s="0" t="n">
        <f aca="false">K15+K16+K17+K18</f>
        <v>61077.1910418414</v>
      </c>
      <c r="L19" s="0" t="n">
        <f aca="false">L15+L16+L17+L18</f>
        <v>62298.7348626782</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42888.744</v>
      </c>
      <c r="D21" s="0" t="n">
        <f aca="false">D19*D20</f>
        <v>31728.4154132231</v>
      </c>
      <c r="E21" s="0" t="n">
        <f aca="false">E19*E20</f>
        <v>34530.8608785687</v>
      </c>
      <c r="F21" s="0" t="n">
        <f aca="false">F19*F20</f>
        <v>34162.5567174715</v>
      </c>
      <c r="G21" s="0" t="n">
        <f aca="false">G19*G20</f>
        <v>32514.7919299776</v>
      </c>
      <c r="H21" s="0" t="n">
        <f aca="false">H19*H20</f>
        <v>31297.2887685958</v>
      </c>
      <c r="I21" s="0" t="n">
        <f aca="false">I19*I20</f>
        <v>29163.3827161915</v>
      </c>
      <c r="J21" s="0" t="n">
        <f aca="false">J19*J20</f>
        <v>27174.9702582694</v>
      </c>
      <c r="K21" s="0" t="n">
        <f aca="false">K19*K20</f>
        <v>25902.6912577262</v>
      </c>
      <c r="L21" s="0" t="n">
        <f aca="false">L19*L20</f>
        <v>24018.8591662552</v>
      </c>
    </row>
    <row r="23" customFormat="false" ht="15" hidden="false" customHeight="false" outlineLevel="0" collapsed="false">
      <c r="A23" s="0" t="s">
        <v>109</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Assumptions!$B$20</f>
        <v>10</v>
      </c>
    </row>
    <row r="28" customFormat="false" ht="15" hidden="false" customHeight="false" outlineLevel="0" collapsed="false">
      <c r="A28" s="0" t="s">
        <v>114</v>
      </c>
      <c r="B28" s="4" t="n">
        <f aca="false">Assumptions!$B$21</f>
        <v>2</v>
      </c>
    </row>
    <row r="29" customFormat="false" ht="15" hidden="false" customHeight="false" outlineLevel="0" collapsed="false">
      <c r="A29" s="0" t="s">
        <v>115</v>
      </c>
      <c r="B29" s="4" t="n">
        <f aca="false">Assumptions!$B$22</f>
        <v>15</v>
      </c>
    </row>
    <row r="30" customFormat="false" ht="15" hidden="false" customHeight="false" outlineLevel="0" collapsed="false">
      <c r="A30" s="0" t="s">
        <v>136</v>
      </c>
      <c r="B30" s="0" t="n">
        <f aca="false">SUM(C21:L21)</f>
        <v>313382.561106279</v>
      </c>
    </row>
    <row r="31" customFormat="false" ht="15" hidden="false" customHeight="false" outlineLevel="0" collapsed="false">
      <c r="A31" s="0" t="s">
        <v>137</v>
      </c>
      <c r="B31" s="0" t="n">
        <f aca="false">L19</f>
        <v>62298.7348626782</v>
      </c>
    </row>
    <row r="32" customFormat="false" ht="15" hidden="false" customHeight="false" outlineLevel="0" collapsed="false">
      <c r="A32" s="0" t="s">
        <v>138</v>
      </c>
      <c r="B32" s="0" t="n">
        <f aca="false">IF(B27&gt;B28,B31*(1+B28/100)/((B27-B28)/100),B31*B29)</f>
        <v>794308.869499147</v>
      </c>
    </row>
    <row r="33" customFormat="false" ht="15" hidden="false" customHeight="false" outlineLevel="0" collapsed="false">
      <c r="A33" s="0" t="s">
        <v>139</v>
      </c>
      <c r="B33" s="0" t="n">
        <f aca="false">B31*B29</f>
        <v>934481.022940174</v>
      </c>
    </row>
    <row r="34" customFormat="false" ht="15" hidden="false" customHeight="false" outlineLevel="0" collapsed="false">
      <c r="A34" s="0" t="s">
        <v>140</v>
      </c>
      <c r="B34" s="0" t="n">
        <f aca="false">MAX(0,MIN(B32,B33))</f>
        <v>794308.869499147</v>
      </c>
    </row>
    <row r="35" customFormat="false" ht="15" hidden="false" customHeight="false" outlineLevel="0" collapsed="false">
      <c r="A35" s="0" t="s">
        <v>141</v>
      </c>
      <c r="B35" s="0" t="n">
        <f aca="false">B34/(1+B27/100)^L4</f>
        <v>306240.454369754</v>
      </c>
    </row>
    <row r="36" customFormat="false" ht="15" hidden="false" customHeight="false" outlineLevel="0" collapsed="false">
      <c r="A36" s="0" t="s">
        <v>142</v>
      </c>
      <c r="B36" s="0" t="n">
        <f aca="false">B30+B35</f>
        <v>619623.015476033</v>
      </c>
    </row>
    <row r="37" customFormat="false" ht="15" hidden="false" customHeight="false" outlineLevel="0" collapsed="false">
      <c r="A37" s="0" t="s">
        <v>143</v>
      </c>
      <c r="B37" s="0" t="n">
        <f aca="false">B36+Assumptions!$B$5-Assumptions!$B$4</f>
        <v>598423.015476033</v>
      </c>
    </row>
    <row r="38" customFormat="false" ht="15" hidden="false" customHeight="false" outlineLevel="0" collapsed="false">
      <c r="A38" s="0" t="s">
        <v>144</v>
      </c>
      <c r="B38" s="0" t="n">
        <f aca="false">B37/Assumptions!$B$3*Assumptions!$B$10</f>
        <v>226.589555273015</v>
      </c>
    </row>
    <row r="39" customFormat="false" ht="15" hidden="false" customHeight="false" outlineLevel="0" collapsed="false">
      <c r="A39" s="0" t="s">
        <v>145</v>
      </c>
      <c r="B39" s="4" t="n">
        <f aca="false">B38/Assumptions!$B$2-1</f>
        <v>-0.326808415957054</v>
      </c>
    </row>
    <row r="41" customFormat="false" ht="15" hidden="false" customHeight="false" outlineLevel="0" collapsed="false">
      <c r="A41" s="0" t="s">
        <v>146</v>
      </c>
      <c r="B41" s="0" t="n">
        <f aca="false">SUMPRODUCT(-C10:L10/(1+$B$27/100)^C4:L4)</f>
        <v>26368.4518783948</v>
      </c>
    </row>
    <row r="42" customFormat="false" ht="15" hidden="false" customHeight="false" outlineLevel="0" collapsed="false">
      <c r="A42" s="0" t="s">
        <v>147</v>
      </c>
      <c r="B42" s="0" t="n">
        <f aca="false">IF(B27&gt;B28,-L10*(1+B28/100)/((B27-B28)/100),-L10*20)/(1+B27/100)^L4</f>
        <v>23783.3572950008</v>
      </c>
    </row>
    <row r="43" customFormat="false" ht="15" hidden="false" customHeight="false" outlineLevel="0" collapsed="false">
      <c r="A43" s="0" t="s">
        <v>148</v>
      </c>
      <c r="B43" s="0" t="n">
        <f aca="false">(B37+B41+B42)/Assumptions!$B$3*Assumptions!$B$10</f>
        <v>245.579259617353</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488805.458153322</v>
      </c>
    </row>
    <row r="47" customFormat="false" ht="15" hidden="false" customHeight="false" outlineLevel="0" collapsed="false">
      <c r="A47" s="0" t="s">
        <v>150</v>
      </c>
      <c r="B47" s="0" t="n">
        <f aca="false">(SUMPRODUCT(C19:L19/(1+B45/100)^C4:L4)+B46/(1+B45/100)^L4+Assumptions!$B$5-Assumptions!$B$4)/Assumptions!$B$3*Assumptions!$B$10</f>
        <v>133.157982245989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4</v>
      </c>
      <c r="D5" s="4" t="n">
        <f aca="false">Assumptions!D27</f>
        <v>4</v>
      </c>
      <c r="E5" s="4" t="n">
        <f aca="false">Assumptions!E27</f>
        <v>4</v>
      </c>
      <c r="F5" s="4" t="n">
        <f aca="false">Assumptions!F27</f>
        <v>3.5</v>
      </c>
      <c r="G5" s="4" t="n">
        <f aca="false">Assumptions!G27</f>
        <v>3.5</v>
      </c>
      <c r="H5" s="4" t="n">
        <f aca="false">Assumptions!H27</f>
        <v>3</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204700</v>
      </c>
      <c r="C6" s="0" t="n">
        <f aca="false">B6*(1+C5/100)</f>
        <v>212888</v>
      </c>
      <c r="D6" s="0" t="n">
        <f aca="false">C6*(1+D5/100)</f>
        <v>221403.52</v>
      </c>
      <c r="E6" s="0" t="n">
        <f aca="false">D6*(1+E5/100)</f>
        <v>230259.6608</v>
      </c>
      <c r="F6" s="0" t="n">
        <f aca="false">E6*(1+F5/100)</f>
        <v>238318.748928</v>
      </c>
      <c r="G6" s="0" t="n">
        <f aca="false">F6*(1+G5/100)</f>
        <v>246659.90514048</v>
      </c>
      <c r="H6" s="0" t="n">
        <f aca="false">G6*(1+H5/100)</f>
        <v>254059.702294694</v>
      </c>
      <c r="I6" s="0" t="n">
        <f aca="false">H6*(1+I5/100)</f>
        <v>261681.493363535</v>
      </c>
      <c r="J6" s="0" t="n">
        <f aca="false">I6*(1+J5/100)</f>
        <v>269531.938164441</v>
      </c>
      <c r="K6" s="0" t="n">
        <f aca="false">J6*(1+K5/100)</f>
        <v>276270.236618552</v>
      </c>
      <c r="L6" s="0" t="n">
        <f aca="false">K6*(1+L5/100)</f>
        <v>283176.992534016</v>
      </c>
    </row>
    <row r="7" customFormat="false" ht="15" hidden="false" customHeight="false" outlineLevel="0" collapsed="false">
      <c r="A7" s="0" t="s">
        <v>107</v>
      </c>
      <c r="C7" s="4" t="n">
        <f aca="false">Assumptions!C28</f>
        <v>42.5</v>
      </c>
      <c r="D7" s="4" t="n">
        <f aca="false">Assumptions!D28</f>
        <v>42</v>
      </c>
      <c r="E7" s="4" t="n">
        <f aca="false">Assumptions!E28</f>
        <v>41.5</v>
      </c>
      <c r="F7" s="4" t="n">
        <f aca="false">Assumptions!F28</f>
        <v>41.5</v>
      </c>
      <c r="G7" s="4" t="n">
        <f aca="false">Assumptions!G28</f>
        <v>41.5</v>
      </c>
      <c r="H7" s="4" t="n">
        <f aca="false">Assumptions!H28</f>
        <v>41.5</v>
      </c>
      <c r="I7" s="4" t="n">
        <f aca="false">Assumptions!I28</f>
        <v>41.5</v>
      </c>
      <c r="J7" s="4" t="n">
        <f aca="false">Assumptions!J28</f>
        <v>41.5</v>
      </c>
      <c r="K7" s="4" t="n">
        <f aca="false">Assumptions!K28</f>
        <v>41.5</v>
      </c>
      <c r="L7" s="4" t="n">
        <f aca="false">Assumptions!L28</f>
        <v>41.5</v>
      </c>
    </row>
    <row r="8" customFormat="false" ht="15" hidden="false" customHeight="false" outlineLevel="0" collapsed="false">
      <c r="A8" s="0" t="s">
        <v>43</v>
      </c>
      <c r="C8" s="0" t="n">
        <f aca="false">C6*C7/100</f>
        <v>90477.4</v>
      </c>
      <c r="D8" s="0" t="n">
        <f aca="false">D6*D7/100</f>
        <v>92989.4784</v>
      </c>
      <c r="E8" s="0" t="n">
        <f aca="false">E6*E7/100</f>
        <v>95557.759232</v>
      </c>
      <c r="F8" s="0" t="n">
        <f aca="false">F6*F7/100</f>
        <v>98902.28080512</v>
      </c>
      <c r="G8" s="0" t="n">
        <f aca="false">G6*G7/100</f>
        <v>102363.860633299</v>
      </c>
      <c r="H8" s="0" t="n">
        <f aca="false">H6*H7/100</f>
        <v>105434.776452298</v>
      </c>
      <c r="I8" s="0" t="n">
        <f aca="false">I6*I7/100</f>
        <v>108597.819745867</v>
      </c>
      <c r="J8" s="0" t="n">
        <f aca="false">J6*J7/100</f>
        <v>111855.754338243</v>
      </c>
      <c r="K8" s="0" t="n">
        <f aca="false">K6*K7/100</f>
        <v>114652.148196699</v>
      </c>
      <c r="L8" s="0" t="n">
        <f aca="false">L6*L7/100</f>
        <v>117518.451901617</v>
      </c>
    </row>
    <row r="9" customFormat="false" ht="15" hidden="false" customHeight="false" outlineLevel="0" collapsed="false">
      <c r="A9" s="0" t="s">
        <v>108</v>
      </c>
      <c r="C9" s="4" t="n">
        <f aca="false">Assumptions!C29</f>
        <v>2</v>
      </c>
      <c r="D9" s="4" t="n">
        <f aca="false">Assumptions!D29</f>
        <v>2</v>
      </c>
      <c r="E9" s="4" t="n">
        <f aca="false">Assumptions!E29</f>
        <v>2</v>
      </c>
      <c r="F9" s="4" t="n">
        <f aca="false">Assumptions!F29</f>
        <v>2</v>
      </c>
      <c r="G9" s="4" t="n">
        <f aca="false">Assumptions!G29</f>
        <v>2</v>
      </c>
      <c r="H9" s="4" t="n">
        <f aca="false">Assumptions!H29</f>
        <v>2</v>
      </c>
      <c r="I9" s="4" t="n">
        <f aca="false">Assumptions!I29</f>
        <v>2</v>
      </c>
      <c r="J9" s="4" t="n">
        <f aca="false">Assumptions!J29</f>
        <v>2</v>
      </c>
      <c r="K9" s="4" t="n">
        <f aca="false">Assumptions!K29</f>
        <v>2</v>
      </c>
      <c r="L9" s="4" t="n">
        <f aca="false">Assumptions!L29</f>
        <v>2</v>
      </c>
    </row>
    <row r="10" customFormat="false" ht="15" hidden="false" customHeight="false" outlineLevel="0" collapsed="false">
      <c r="A10" s="0" t="s">
        <v>123</v>
      </c>
      <c r="C10" s="0" t="n">
        <f aca="false">-C6*C9/100</f>
        <v>-4257.76</v>
      </c>
      <c r="D10" s="0" t="n">
        <f aca="false">-D6*D9/100</f>
        <v>-4428.0704</v>
      </c>
      <c r="E10" s="0" t="n">
        <f aca="false">-E6*E9/100</f>
        <v>-4605.193216</v>
      </c>
      <c r="F10" s="0" t="n">
        <f aca="false">-F6*F9/100</f>
        <v>-4766.37497856</v>
      </c>
      <c r="G10" s="0" t="n">
        <f aca="false">-G6*G9/100</f>
        <v>-4933.1981028096</v>
      </c>
      <c r="H10" s="0" t="n">
        <f aca="false">-H6*H9/100</f>
        <v>-5081.19404589389</v>
      </c>
      <c r="I10" s="0" t="n">
        <f aca="false">-I6*I9/100</f>
        <v>-5233.6298672707</v>
      </c>
      <c r="J10" s="0" t="n">
        <f aca="false">-J6*J9/100</f>
        <v>-5390.63876328883</v>
      </c>
      <c r="K10" s="0" t="n">
        <f aca="false">-K6*K9/100</f>
        <v>-5525.40473237105</v>
      </c>
      <c r="L10" s="0" t="n">
        <f aca="false">-L6*L9/100</f>
        <v>-5663.53985068032</v>
      </c>
    </row>
    <row r="11" customFormat="false" ht="15" hidden="false" customHeight="false" outlineLevel="0" collapsed="false">
      <c r="A11" s="0" t="s">
        <v>124</v>
      </c>
      <c r="C11" s="0" t="n">
        <f aca="false">C8+C10+C24</f>
        <v>86219.64</v>
      </c>
      <c r="D11" s="0" t="n">
        <f aca="false">D8+D10+D24</f>
        <v>88561.408</v>
      </c>
      <c r="E11" s="0" t="n">
        <f aca="false">E8+E10+E24</f>
        <v>90952.566016</v>
      </c>
      <c r="F11" s="0" t="n">
        <f aca="false">F8+F10+F24</f>
        <v>94135.90582656</v>
      </c>
      <c r="G11" s="0" t="n">
        <f aca="false">G8+G10+G24</f>
        <v>97430.6625304896</v>
      </c>
      <c r="H11" s="0" t="n">
        <f aca="false">H8+H10+H24</f>
        <v>100353.582406404</v>
      </c>
      <c r="I11" s="0" t="n">
        <f aca="false">I8+I10+I24</f>
        <v>103364.189878596</v>
      </c>
      <c r="J11" s="0" t="n">
        <f aca="false">J8+J10+J24</f>
        <v>106465.115574954</v>
      </c>
      <c r="K11" s="0" t="n">
        <f aca="false">K8+K10+K24</f>
        <v>109126.743464328</v>
      </c>
      <c r="L11" s="0" t="n">
        <f aca="false">L8+L10+L24</f>
        <v>111854.912050936</v>
      </c>
    </row>
    <row r="12" customFormat="false" ht="15" hidden="false" customHeight="false" outlineLevel="0" collapsed="false">
      <c r="A12" s="0" t="s">
        <v>125</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126</v>
      </c>
      <c r="C13" s="0" t="n">
        <f aca="false">C11+C12</f>
        <v>86219.64</v>
      </c>
      <c r="D13" s="0" t="n">
        <f aca="false">D11+D12</f>
        <v>88561.408</v>
      </c>
      <c r="E13" s="0" t="n">
        <f aca="false">E11+E12</f>
        <v>90952.566016</v>
      </c>
      <c r="F13" s="0" t="n">
        <f aca="false">F11+F12</f>
        <v>94135.90582656</v>
      </c>
      <c r="G13" s="0" t="n">
        <f aca="false">G11+G12</f>
        <v>97430.6625304896</v>
      </c>
      <c r="H13" s="0" t="n">
        <f aca="false">H11+H12</f>
        <v>100353.582406404</v>
      </c>
      <c r="I13" s="0" t="n">
        <f aca="false">I11+I12</f>
        <v>103364.189878596</v>
      </c>
      <c r="J13" s="0" t="n">
        <f aca="false">J11+J12</f>
        <v>106465.115574954</v>
      </c>
      <c r="K13" s="0" t="n">
        <f aca="false">K11+K12</f>
        <v>109126.743464328</v>
      </c>
      <c r="L13" s="0" t="n">
        <f aca="false">L11+L12</f>
        <v>111854.912050936</v>
      </c>
    </row>
    <row r="14" customFormat="false" ht="15" hidden="false" customHeight="false" outlineLevel="0" collapsed="false">
      <c r="A14" s="0" t="s">
        <v>112</v>
      </c>
      <c r="C14" s="4" t="n">
        <f aca="false">Assumptions!C33</f>
        <v>21.5</v>
      </c>
      <c r="D14" s="4" t="n">
        <f aca="false">Assumptions!D33</f>
        <v>21.5</v>
      </c>
      <c r="E14" s="4" t="n">
        <f aca="false">Assumptions!E33</f>
        <v>21.5</v>
      </c>
      <c r="F14" s="4" t="n">
        <f aca="false">Assumptions!F33</f>
        <v>21.5</v>
      </c>
      <c r="G14" s="4" t="n">
        <f aca="false">Assumptions!G33</f>
        <v>21.5</v>
      </c>
      <c r="H14" s="4" t="n">
        <f aca="false">Assumptions!H33</f>
        <v>21.5</v>
      </c>
      <c r="I14" s="4" t="n">
        <f aca="false">Assumptions!I33</f>
        <v>21.5</v>
      </c>
      <c r="J14" s="4" t="n">
        <f aca="false">Assumptions!J33</f>
        <v>21.5</v>
      </c>
      <c r="K14" s="4" t="n">
        <f aca="false">Assumptions!K33</f>
        <v>21.5</v>
      </c>
      <c r="L14" s="4" t="n">
        <f aca="false">Assumptions!L33</f>
        <v>21.5</v>
      </c>
    </row>
    <row r="15" customFormat="false" ht="15" hidden="false" customHeight="false" outlineLevel="0" collapsed="false">
      <c r="A15" s="0" t="s">
        <v>127</v>
      </c>
      <c r="C15" s="0" t="n">
        <f aca="false">C13-MAX(0,C13)*C14/100</f>
        <v>67682.4174</v>
      </c>
      <c r="D15" s="0" t="n">
        <f aca="false">D13-MAX(0,D13)*D14/100</f>
        <v>69520.70528</v>
      </c>
      <c r="E15" s="0" t="n">
        <f aca="false">E13-MAX(0,E13)*E14/100</f>
        <v>71397.76432256</v>
      </c>
      <c r="F15" s="0" t="n">
        <f aca="false">F13-MAX(0,F13)*F14/100</f>
        <v>73896.6860738496</v>
      </c>
      <c r="G15" s="0" t="n">
        <f aca="false">G13-MAX(0,G13)*G14/100</f>
        <v>76483.0700864343</v>
      </c>
      <c r="H15" s="0" t="n">
        <f aca="false">H13-MAX(0,H13)*H14/100</f>
        <v>78777.5621890274</v>
      </c>
      <c r="I15" s="0" t="n">
        <f aca="false">I13-MAX(0,I13)*I14/100</f>
        <v>81140.8890546982</v>
      </c>
      <c r="J15" s="0" t="n">
        <f aca="false">J13-MAX(0,J13)*J14/100</f>
        <v>83575.1157263392</v>
      </c>
      <c r="K15" s="0" t="n">
        <f aca="false">K13-MAX(0,K13)*K14/100</f>
        <v>85664.4936194976</v>
      </c>
      <c r="L15" s="0" t="n">
        <f aca="false">L13-MAX(0,L13)*L14/100</f>
        <v>87806.1059599851</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-C6*Assumptions!C32/100</f>
        <v>-12347.504</v>
      </c>
      <c r="D17" s="4" t="n">
        <f aca="false">-D6*Assumptions!D32/100</f>
        <v>-12841.40416</v>
      </c>
      <c r="E17" s="4" t="n">
        <f aca="false">-E6*Assumptions!E32/100</f>
        <v>-13355.0603264</v>
      </c>
      <c r="F17" s="4" t="n">
        <f aca="false">-F6*Assumptions!F32/100</f>
        <v>-12154.256195328</v>
      </c>
      <c r="G17" s="4" t="n">
        <f aca="false">-G6*Assumptions!G32/100</f>
        <v>-12579.6551621645</v>
      </c>
      <c r="H17" s="4" t="n">
        <f aca="false">-H6*Assumptions!H32/100</f>
        <v>-11178.6269009666</v>
      </c>
      <c r="I17" s="4" t="n">
        <f aca="false">-I6*Assumptions!I32/100</f>
        <v>-11513.9857079956</v>
      </c>
      <c r="J17" s="4" t="n">
        <f aca="false">-J6*Assumptions!J32/100</f>
        <v>-11859.4052792354</v>
      </c>
      <c r="K17" s="4" t="n">
        <f aca="false">-K6*Assumptions!K32/100</f>
        <v>-9945.72851826788</v>
      </c>
      <c r="L17" s="4" t="n">
        <f aca="false">-L6*Assumptions!L32/100</f>
        <v>-10194.3717312246</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55334.9134</v>
      </c>
      <c r="D19" s="0" t="n">
        <f aca="false">D15+D16+D17+D18</f>
        <v>56679.30112</v>
      </c>
      <c r="E19" s="0" t="n">
        <f aca="false">E15+E16+E17+E18</f>
        <v>58042.70399616</v>
      </c>
      <c r="F19" s="0" t="n">
        <f aca="false">F15+F16+F17+F18</f>
        <v>61742.4298785216</v>
      </c>
      <c r="G19" s="0" t="n">
        <f aca="false">G15+G16+G17+G18</f>
        <v>63903.4149242699</v>
      </c>
      <c r="H19" s="0" t="n">
        <f aca="false">H15+H16+H17+H18</f>
        <v>67598.9352880608</v>
      </c>
      <c r="I19" s="0" t="n">
        <f aca="false">I15+I16+I17+I18</f>
        <v>69626.9033467026</v>
      </c>
      <c r="J19" s="0" t="n">
        <f aca="false">J15+J16+J17+J18</f>
        <v>71715.7104471038</v>
      </c>
      <c r="K19" s="0" t="n">
        <f aca="false">K15+K16+K17+K18</f>
        <v>75718.7651012297</v>
      </c>
      <c r="L19" s="0" t="n">
        <f aca="false">L15+L16+L17+L18</f>
        <v>77611.7342287605</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50304.4667272727</v>
      </c>
      <c r="D21" s="0" t="n">
        <f aca="false">D19*D20</f>
        <v>46842.3976198347</v>
      </c>
      <c r="E21" s="0" t="n">
        <f aca="false">E19*E20</f>
        <v>43608.3425966642</v>
      </c>
      <c r="F21" s="0" t="n">
        <f aca="false">F19*F20</f>
        <v>42170.9103739646</v>
      </c>
      <c r="G21" s="0" t="n">
        <f aca="false">G19*G20</f>
        <v>39678.9929427758</v>
      </c>
      <c r="H21" s="0" t="n">
        <f aca="false">H19*H20</f>
        <v>38157.8366695027</v>
      </c>
      <c r="I21" s="0" t="n">
        <f aca="false">I19*I20</f>
        <v>35729.6106996252</v>
      </c>
      <c r="J21" s="0" t="n">
        <f aca="false">J19*J20</f>
        <v>33455.9082005582</v>
      </c>
      <c r="K21" s="0" t="n">
        <f aca="false">K19*K20</f>
        <v>32112.1479455371</v>
      </c>
      <c r="L21" s="0" t="n">
        <f aca="false">L19*L20</f>
        <v>29922.6833128869</v>
      </c>
    </row>
    <row r="23" customFormat="false" ht="15" hidden="false" customHeight="false" outlineLevel="0" collapsed="false">
      <c r="A23" s="0" t="s">
        <v>109</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Assumptions!$B$34</f>
        <v>10</v>
      </c>
    </row>
    <row r="28" customFormat="false" ht="15" hidden="false" customHeight="false" outlineLevel="0" collapsed="false">
      <c r="A28" s="0" t="s">
        <v>114</v>
      </c>
      <c r="B28" s="4" t="n">
        <f aca="false">Assumptions!$B$35</f>
        <v>2.5</v>
      </c>
    </row>
    <row r="29" customFormat="false" ht="15" hidden="false" customHeight="false" outlineLevel="0" collapsed="false">
      <c r="A29" s="0" t="s">
        <v>115</v>
      </c>
      <c r="B29" s="4" t="n">
        <f aca="false">Assumptions!$B$36</f>
        <v>15</v>
      </c>
    </row>
    <row r="30" customFormat="false" ht="15" hidden="false" customHeight="false" outlineLevel="0" collapsed="false">
      <c r="A30" s="0" t="s">
        <v>136</v>
      </c>
      <c r="B30" s="0" t="n">
        <f aca="false">SUM(C21:L21)</f>
        <v>391983.297088622</v>
      </c>
    </row>
    <row r="31" customFormat="false" ht="15" hidden="false" customHeight="false" outlineLevel="0" collapsed="false">
      <c r="A31" s="0" t="s">
        <v>137</v>
      </c>
      <c r="B31" s="0" t="n">
        <f aca="false">L19</f>
        <v>77611.7342287605</v>
      </c>
    </row>
    <row r="32" customFormat="false" ht="15" hidden="false" customHeight="false" outlineLevel="0" collapsed="false">
      <c r="A32" s="0" t="s">
        <v>138</v>
      </c>
      <c r="B32" s="0" t="n">
        <f aca="false">IF(B27&gt;B28,B31*(1+B28/100)/((B27-B28)/100),B31*B29)</f>
        <v>1060693.70112639</v>
      </c>
    </row>
    <row r="33" customFormat="false" ht="15" hidden="false" customHeight="false" outlineLevel="0" collapsed="false">
      <c r="A33" s="0" t="s">
        <v>139</v>
      </c>
      <c r="B33" s="0" t="n">
        <f aca="false">B31*B29</f>
        <v>1164176.01343141</v>
      </c>
    </row>
    <row r="34" customFormat="false" ht="15" hidden="false" customHeight="false" outlineLevel="0" collapsed="false">
      <c r="A34" s="0" t="s">
        <v>140</v>
      </c>
      <c r="B34" s="0" t="n">
        <f aca="false">MAX(0,MIN(B32,B33))</f>
        <v>1060693.70112639</v>
      </c>
    </row>
    <row r="35" customFormat="false" ht="15" hidden="false" customHeight="false" outlineLevel="0" collapsed="false">
      <c r="A35" s="0" t="s">
        <v>141</v>
      </c>
      <c r="B35" s="0" t="n">
        <f aca="false">B34/(1+B27/100)^L4</f>
        <v>408943.338609454</v>
      </c>
    </row>
    <row r="36" customFormat="false" ht="15" hidden="false" customHeight="false" outlineLevel="0" collapsed="false">
      <c r="A36" s="0" t="s">
        <v>142</v>
      </c>
      <c r="B36" s="0" t="n">
        <f aca="false">B30+B35</f>
        <v>800926.635698076</v>
      </c>
    </row>
    <row r="37" customFormat="false" ht="15" hidden="false" customHeight="false" outlineLevel="0" collapsed="false">
      <c r="A37" s="0" t="s">
        <v>143</v>
      </c>
      <c r="B37" s="0" t="n">
        <f aca="false">B36+Assumptions!$B$5-Assumptions!$B$4</f>
        <v>779726.635698076</v>
      </c>
    </row>
    <row r="38" customFormat="false" ht="15" hidden="false" customHeight="false" outlineLevel="0" collapsed="false">
      <c r="A38" s="0" t="s">
        <v>144</v>
      </c>
      <c r="B38" s="0" t="n">
        <f aca="false">B37/Assumptions!$B$3*Assumptions!$B$10</f>
        <v>295.239165353304</v>
      </c>
    </row>
    <row r="39" customFormat="false" ht="15" hidden="false" customHeight="false" outlineLevel="0" collapsed="false">
      <c r="A39" s="0" t="s">
        <v>145</v>
      </c>
      <c r="B39" s="4" t="n">
        <f aca="false">B38/Assumptions!$B$2-1</f>
        <v>-0.122852237578942</v>
      </c>
    </row>
    <row r="41" customFormat="false" ht="15" hidden="false" customHeight="false" outlineLevel="0" collapsed="false">
      <c r="A41" s="0" t="s">
        <v>146</v>
      </c>
      <c r="B41" s="0" t="n">
        <f aca="false">SUMPRODUCT(-C10:L10/(1+$B$27/100)^C4:L4)</f>
        <v>29904.3339490784</v>
      </c>
    </row>
    <row r="42" customFormat="false" ht="15" hidden="false" customHeight="false" outlineLevel="0" collapsed="false">
      <c r="A42" s="0" t="s">
        <v>147</v>
      </c>
      <c r="B42" s="0" t="n">
        <f aca="false">IF(B27&gt;B28,-L10*(1+B28/100)/((B27-B28)/100),-L10*20)/(1+B27/100)^L4</f>
        <v>29841.7103792359</v>
      </c>
    </row>
    <row r="43" customFormat="false" ht="15" hidden="false" customHeight="false" outlineLevel="0" collapsed="false">
      <c r="A43" s="0" t="s">
        <v>148</v>
      </c>
      <c r="B43" s="0" t="n">
        <f aca="false">(B37+B41+B42)/Assumptions!$B$3*Assumptions!$B$10</f>
        <v>317.861673618474</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636416.220675836</v>
      </c>
    </row>
    <row r="47" customFormat="false" ht="15" hidden="false" customHeight="false" outlineLevel="0" collapsed="false">
      <c r="A47" s="0" t="s">
        <v>150</v>
      </c>
      <c r="B47" s="0" t="n">
        <f aca="false">(SUMPRODUCT(C19:L19/(1+B45/100)^C4:L4)+B46/(1+B45/100)^L4+Assumptions!$B$5-Assumptions!$B$4)/Assumptions!$B$3*Assumptions!$B$10</f>
        <v>171.100626891792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6</v>
      </c>
      <c r="D5" s="4" t="n">
        <f aca="false">Assumptions!D41</f>
        <v>5.5</v>
      </c>
      <c r="E5" s="4" t="n">
        <f aca="false">Assumptions!E41</f>
        <v>5</v>
      </c>
      <c r="F5" s="4" t="n">
        <f aca="false">Assumptions!F41</f>
        <v>4.5</v>
      </c>
      <c r="G5" s="4" t="n">
        <f aca="false">Assumptions!G41</f>
        <v>4</v>
      </c>
      <c r="H5" s="4" t="n">
        <f aca="false">Assumptions!H41</f>
        <v>4</v>
      </c>
      <c r="I5" s="4" t="n">
        <f aca="false">Assumptions!I41</f>
        <v>3.5</v>
      </c>
      <c r="J5" s="4" t="n">
        <f aca="false">Assumptions!J41</f>
        <v>3.5</v>
      </c>
      <c r="K5" s="4" t="n">
        <f aca="false">Assumptions!K41</f>
        <v>3</v>
      </c>
      <c r="L5" s="4" t="n">
        <f aca="false">Assumptions!L41</f>
        <v>3</v>
      </c>
    </row>
    <row r="6" customFormat="false" ht="15" hidden="false" customHeight="false" outlineLevel="0" collapsed="false">
      <c r="A6" s="0" t="s">
        <v>37</v>
      </c>
      <c r="B6" s="3" t="n">
        <v>204700</v>
      </c>
      <c r="C6" s="0" t="n">
        <f aca="false">B6*(1+C5/100)</f>
        <v>216982</v>
      </c>
      <c r="D6" s="0" t="n">
        <f aca="false">C6*(1+D5/100)</f>
        <v>228916.01</v>
      </c>
      <c r="E6" s="0" t="n">
        <f aca="false">D6*(1+E5/100)</f>
        <v>240361.8105</v>
      </c>
      <c r="F6" s="0" t="n">
        <f aca="false">E6*(1+F5/100)</f>
        <v>251178.0919725</v>
      </c>
      <c r="G6" s="0" t="n">
        <f aca="false">F6*(1+G5/100)</f>
        <v>261225.2156514</v>
      </c>
      <c r="H6" s="0" t="n">
        <f aca="false">G6*(1+H5/100)</f>
        <v>271674.224277456</v>
      </c>
      <c r="I6" s="0" t="n">
        <f aca="false">H6*(1+I5/100)</f>
        <v>281182.822127167</v>
      </c>
      <c r="J6" s="0" t="n">
        <f aca="false">I6*(1+J5/100)</f>
        <v>291024.220901618</v>
      </c>
      <c r="K6" s="0" t="n">
        <f aca="false">J6*(1+K5/100)</f>
        <v>299754.947528666</v>
      </c>
      <c r="L6" s="0" t="n">
        <f aca="false">K6*(1+L5/100)</f>
        <v>308747.595954526</v>
      </c>
    </row>
    <row r="7" customFormat="false" ht="15" hidden="false" customHeight="false" outlineLevel="0" collapsed="false">
      <c r="A7" s="0" t="s">
        <v>107</v>
      </c>
      <c r="C7" s="4" t="n">
        <f aca="false">Assumptions!C42</f>
        <v>43.5</v>
      </c>
      <c r="D7" s="4" t="n">
        <f aca="false">Assumptions!D42</f>
        <v>44</v>
      </c>
      <c r="E7" s="4" t="n">
        <f aca="false">Assumptions!E42</f>
        <v>44.5</v>
      </c>
      <c r="F7" s="4" t="n">
        <f aca="false">Assumptions!F42</f>
        <v>45</v>
      </c>
      <c r="G7" s="4" t="n">
        <f aca="false">Assumptions!G42</f>
        <v>45</v>
      </c>
      <c r="H7" s="4" t="n">
        <f aca="false">Assumptions!H42</f>
        <v>45</v>
      </c>
      <c r="I7" s="4" t="n">
        <f aca="false">Assumptions!I42</f>
        <v>45</v>
      </c>
      <c r="J7" s="4" t="n">
        <f aca="false">Assumptions!J42</f>
        <v>45</v>
      </c>
      <c r="K7" s="4" t="n">
        <f aca="false">Assumptions!K42</f>
        <v>45</v>
      </c>
      <c r="L7" s="4" t="n">
        <f aca="false">Assumptions!L42</f>
        <v>45</v>
      </c>
    </row>
    <row r="8" customFormat="false" ht="15" hidden="false" customHeight="false" outlineLevel="0" collapsed="false">
      <c r="A8" s="0" t="s">
        <v>43</v>
      </c>
      <c r="C8" s="0" t="n">
        <f aca="false">C6*C7/100</f>
        <v>94387.17</v>
      </c>
      <c r="D8" s="0" t="n">
        <f aca="false">D6*D7/100</f>
        <v>100723.0444</v>
      </c>
      <c r="E8" s="0" t="n">
        <f aca="false">E6*E7/100</f>
        <v>106961.0056725</v>
      </c>
      <c r="F8" s="0" t="n">
        <f aca="false">F6*F7/100</f>
        <v>113030.141387625</v>
      </c>
      <c r="G8" s="0" t="n">
        <f aca="false">G6*G7/100</f>
        <v>117551.34704313</v>
      </c>
      <c r="H8" s="0" t="n">
        <f aca="false">H6*H7/100</f>
        <v>122253.400924855</v>
      </c>
      <c r="I8" s="0" t="n">
        <f aca="false">I6*I7/100</f>
        <v>126532.269957225</v>
      </c>
      <c r="J8" s="0" t="n">
        <f aca="false">J6*J7/100</f>
        <v>130960.899405728</v>
      </c>
      <c r="K8" s="0" t="n">
        <f aca="false">K6*K7/100</f>
        <v>134889.7263879</v>
      </c>
      <c r="L8" s="0" t="n">
        <f aca="false">L6*L7/100</f>
        <v>138936.418179537</v>
      </c>
    </row>
    <row r="9" customFormat="false" ht="15" hidden="false" customHeight="false" outlineLevel="0" collapsed="false">
      <c r="A9" s="0" t="s">
        <v>108</v>
      </c>
      <c r="C9" s="4" t="n">
        <f aca="false">Assumptions!C43</f>
        <v>2</v>
      </c>
      <c r="D9" s="4" t="n">
        <f aca="false">Assumptions!D43</f>
        <v>2</v>
      </c>
      <c r="E9" s="4" t="n">
        <f aca="false">Assumptions!E43</f>
        <v>2</v>
      </c>
      <c r="F9" s="4" t="n">
        <f aca="false">Assumptions!F43</f>
        <v>2</v>
      </c>
      <c r="G9" s="4" t="n">
        <f aca="false">Assumptions!G43</f>
        <v>2</v>
      </c>
      <c r="H9" s="4" t="n">
        <f aca="false">Assumptions!H43</f>
        <v>2</v>
      </c>
      <c r="I9" s="4" t="n">
        <f aca="false">Assumptions!I43</f>
        <v>2</v>
      </c>
      <c r="J9" s="4" t="n">
        <f aca="false">Assumptions!J43</f>
        <v>2</v>
      </c>
      <c r="K9" s="4" t="n">
        <f aca="false">Assumptions!K43</f>
        <v>2</v>
      </c>
      <c r="L9" s="4" t="n">
        <f aca="false">Assumptions!L43</f>
        <v>2</v>
      </c>
    </row>
    <row r="10" customFormat="false" ht="15" hidden="false" customHeight="false" outlineLevel="0" collapsed="false">
      <c r="A10" s="0" t="s">
        <v>123</v>
      </c>
      <c r="C10" s="0" t="n">
        <f aca="false">-C6*C9/100</f>
        <v>-4339.64</v>
      </c>
      <c r="D10" s="0" t="n">
        <f aca="false">-D6*D9/100</f>
        <v>-4578.3202</v>
      </c>
      <c r="E10" s="0" t="n">
        <f aca="false">-E6*E9/100</f>
        <v>-4807.23621</v>
      </c>
      <c r="F10" s="0" t="n">
        <f aca="false">-F6*F9/100</f>
        <v>-5023.56183945</v>
      </c>
      <c r="G10" s="0" t="n">
        <f aca="false">-G6*G9/100</f>
        <v>-5224.504313028</v>
      </c>
      <c r="H10" s="0" t="n">
        <f aca="false">-H6*H9/100</f>
        <v>-5433.48448554912</v>
      </c>
      <c r="I10" s="0" t="n">
        <f aca="false">-I6*I9/100</f>
        <v>-5623.65644254334</v>
      </c>
      <c r="J10" s="0" t="n">
        <f aca="false">-J6*J9/100</f>
        <v>-5820.48441803236</v>
      </c>
      <c r="K10" s="0" t="n">
        <f aca="false">-K6*K9/100</f>
        <v>-5995.09895057333</v>
      </c>
      <c r="L10" s="0" t="n">
        <f aca="false">-L6*L9/100</f>
        <v>-6174.95191909053</v>
      </c>
    </row>
    <row r="11" customFormat="false" ht="15" hidden="false" customHeight="false" outlineLevel="0" collapsed="false">
      <c r="A11" s="0" t="s">
        <v>124</v>
      </c>
      <c r="C11" s="0" t="n">
        <f aca="false">C8+C10+C24</f>
        <v>90047.53</v>
      </c>
      <c r="D11" s="0" t="n">
        <f aca="false">D8+D10+D24</f>
        <v>96144.7242</v>
      </c>
      <c r="E11" s="0" t="n">
        <f aca="false">E8+E10+E24</f>
        <v>102153.7694625</v>
      </c>
      <c r="F11" s="0" t="n">
        <f aca="false">F8+F10+F24</f>
        <v>108006.579548175</v>
      </c>
      <c r="G11" s="0" t="n">
        <f aca="false">G8+G10+G24</f>
        <v>112326.842730102</v>
      </c>
      <c r="H11" s="0" t="n">
        <f aca="false">H8+H10+H24</f>
        <v>116819.916439306</v>
      </c>
      <c r="I11" s="0" t="n">
        <f aca="false">I8+I10+I24</f>
        <v>120908.613514682</v>
      </c>
      <c r="J11" s="0" t="n">
        <f aca="false">J8+J10+J24</f>
        <v>125140.414987696</v>
      </c>
      <c r="K11" s="0" t="n">
        <f aca="false">K8+K10+K24</f>
        <v>128894.627437327</v>
      </c>
      <c r="L11" s="0" t="n">
        <f aca="false">L8+L10+L24</f>
        <v>132761.466260446</v>
      </c>
    </row>
    <row r="12" customFormat="false" ht="15" hidden="false" customHeight="false" outlineLevel="0" collapsed="false">
      <c r="A12" s="0" t="s">
        <v>125</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126</v>
      </c>
      <c r="C13" s="0" t="n">
        <f aca="false">C11+C12</f>
        <v>90047.53</v>
      </c>
      <c r="D13" s="0" t="n">
        <f aca="false">D11+D12</f>
        <v>96144.7242</v>
      </c>
      <c r="E13" s="0" t="n">
        <f aca="false">E11+E12</f>
        <v>102153.7694625</v>
      </c>
      <c r="F13" s="0" t="n">
        <f aca="false">F11+F12</f>
        <v>108006.579548175</v>
      </c>
      <c r="G13" s="0" t="n">
        <f aca="false">G11+G12</f>
        <v>112326.842730102</v>
      </c>
      <c r="H13" s="0" t="n">
        <f aca="false">H11+H12</f>
        <v>116819.916439306</v>
      </c>
      <c r="I13" s="0" t="n">
        <f aca="false">I11+I12</f>
        <v>120908.613514682</v>
      </c>
      <c r="J13" s="0" t="n">
        <f aca="false">J11+J12</f>
        <v>125140.414987696</v>
      </c>
      <c r="K13" s="0" t="n">
        <f aca="false">K11+K12</f>
        <v>128894.627437327</v>
      </c>
      <c r="L13" s="0" t="n">
        <f aca="false">L11+L12</f>
        <v>132761.466260446</v>
      </c>
    </row>
    <row r="14" customFormat="false" ht="15" hidden="false" customHeight="false" outlineLevel="0" collapsed="false">
      <c r="A14" s="0" t="s">
        <v>112</v>
      </c>
      <c r="C14" s="4" t="n">
        <f aca="false">Assumptions!C47</f>
        <v>21.5</v>
      </c>
      <c r="D14" s="4" t="n">
        <f aca="false">Assumptions!D47</f>
        <v>21.5</v>
      </c>
      <c r="E14" s="4" t="n">
        <f aca="false">Assumptions!E47</f>
        <v>21.5</v>
      </c>
      <c r="F14" s="4" t="n">
        <f aca="false">Assumptions!F47</f>
        <v>21.5</v>
      </c>
      <c r="G14" s="4" t="n">
        <f aca="false">Assumptions!G47</f>
        <v>21.5</v>
      </c>
      <c r="H14" s="4" t="n">
        <f aca="false">Assumptions!H47</f>
        <v>21.5</v>
      </c>
      <c r="I14" s="4" t="n">
        <f aca="false">Assumptions!I47</f>
        <v>21.5</v>
      </c>
      <c r="J14" s="4" t="n">
        <f aca="false">Assumptions!J47</f>
        <v>21.5</v>
      </c>
      <c r="K14" s="4" t="n">
        <f aca="false">Assumptions!K47</f>
        <v>21.5</v>
      </c>
      <c r="L14" s="4" t="n">
        <f aca="false">Assumptions!L47</f>
        <v>21.5</v>
      </c>
    </row>
    <row r="15" customFormat="false" ht="15" hidden="false" customHeight="false" outlineLevel="0" collapsed="false">
      <c r="A15" s="0" t="s">
        <v>127</v>
      </c>
      <c r="C15" s="0" t="n">
        <f aca="false">C13-MAX(0,C13)*C14/100</f>
        <v>70687.31105</v>
      </c>
      <c r="D15" s="0" t="n">
        <f aca="false">D13-MAX(0,D13)*D14/100</f>
        <v>75473.608497</v>
      </c>
      <c r="E15" s="0" t="n">
        <f aca="false">E13-MAX(0,E13)*E14/100</f>
        <v>80190.7090280625</v>
      </c>
      <c r="F15" s="0" t="n">
        <f aca="false">F13-MAX(0,F13)*F14/100</f>
        <v>84785.1649453174</v>
      </c>
      <c r="G15" s="0" t="n">
        <f aca="false">G13-MAX(0,G13)*G14/100</f>
        <v>88176.5715431301</v>
      </c>
      <c r="H15" s="0" t="n">
        <f aca="false">H13-MAX(0,H13)*H14/100</f>
        <v>91703.6344048553</v>
      </c>
      <c r="I15" s="0" t="n">
        <f aca="false">I13-MAX(0,I13)*I14/100</f>
        <v>94913.2616090252</v>
      </c>
      <c r="J15" s="0" t="n">
        <f aca="false">J13-MAX(0,J13)*J14/100</f>
        <v>98235.2257653411</v>
      </c>
      <c r="K15" s="0" t="n">
        <f aca="false">K13-MAX(0,K13)*K14/100</f>
        <v>101182.282538301</v>
      </c>
      <c r="L15" s="0" t="n">
        <f aca="false">L13-MAX(0,L13)*L14/100</f>
        <v>104217.75101445</v>
      </c>
    </row>
    <row r="16" customFormat="false" ht="15" hidden="false" customHeight="false" outlineLevel="0" collapsed="false">
      <c r="A16" s="0" t="s">
        <v>128</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129</v>
      </c>
      <c r="C17" s="4" t="n">
        <f aca="false">-C6*Assumptions!C46/100</f>
        <v>-17358.56</v>
      </c>
      <c r="D17" s="4" t="n">
        <f aca="false">-D6*Assumptions!D46/100</f>
        <v>-16710.86873</v>
      </c>
      <c r="E17" s="4" t="n">
        <f aca="false">-E6*Assumptions!E46/100</f>
        <v>-17546.4121665</v>
      </c>
      <c r="F17" s="4" t="n">
        <f aca="false">-F6*Assumptions!F46/100</f>
        <v>-16326.5759782125</v>
      </c>
      <c r="G17" s="4" t="n">
        <f aca="false">-G6*Assumptions!G46/100</f>
        <v>-15151.0625077812</v>
      </c>
      <c r="H17" s="4" t="n">
        <f aca="false">-H6*Assumptions!H46/100</f>
        <v>-15757.1050080924</v>
      </c>
      <c r="I17" s="4" t="n">
        <f aca="false">-I6*Assumptions!I46/100</f>
        <v>-14340.3239284855</v>
      </c>
      <c r="J17" s="4" t="n">
        <f aca="false">-J6*Assumptions!J46/100</f>
        <v>-14842.2352659825</v>
      </c>
      <c r="K17" s="4" t="n">
        <f aca="false">-K6*Assumptions!K46/100</f>
        <v>-13189.2176912613</v>
      </c>
      <c r="L17" s="4" t="n">
        <f aca="false">-L6*Assumptions!L46/100</f>
        <v>-13584.8942219992</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53328.75105</v>
      </c>
      <c r="D19" s="0" t="n">
        <f aca="false">D15+D16+D17+D18</f>
        <v>58762.739767</v>
      </c>
      <c r="E19" s="0" t="n">
        <f aca="false">E15+E16+E17+E18</f>
        <v>62644.2968615625</v>
      </c>
      <c r="F19" s="0" t="n">
        <f aca="false">F15+F16+F17+F18</f>
        <v>68458.5889671049</v>
      </c>
      <c r="G19" s="0" t="n">
        <f aca="false">G15+G16+G17+G18</f>
        <v>73025.5090353489</v>
      </c>
      <c r="H19" s="0" t="n">
        <f aca="false">H15+H16+H17+H18</f>
        <v>75946.5293967628</v>
      </c>
      <c r="I19" s="0" t="n">
        <f aca="false">I15+I16+I17+I18</f>
        <v>80572.9376805397</v>
      </c>
      <c r="J19" s="0" t="n">
        <f aca="false">J15+J16+J17+J18</f>
        <v>83392.9904993586</v>
      </c>
      <c r="K19" s="0" t="n">
        <f aca="false">K15+K16+K17+K18</f>
        <v>87993.06484704</v>
      </c>
      <c r="L19" s="0" t="n">
        <f aca="false">L15+L16+L17+L18</f>
        <v>90632.8567924512</v>
      </c>
    </row>
    <row r="20" customFormat="false" ht="15" hidden="false" customHeight="false" outlineLevel="0" collapsed="false">
      <c r="A20" s="0" t="s">
        <v>132</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133</v>
      </c>
      <c r="C21" s="0" t="n">
        <f aca="false">C19*C20</f>
        <v>48480.6827727273</v>
      </c>
      <c r="D21" s="0" t="n">
        <f aca="false">D19*D20</f>
        <v>48564.2477413223</v>
      </c>
      <c r="E21" s="0" t="n">
        <f aca="false">E19*E20</f>
        <v>47065.5874241642</v>
      </c>
      <c r="F21" s="0" t="n">
        <f aca="false">F19*F20</f>
        <v>46758.1373998394</v>
      </c>
      <c r="G21" s="0" t="n">
        <f aca="false">G19*G20</f>
        <v>45343.0956872971</v>
      </c>
      <c r="H21" s="0" t="n">
        <f aca="false">H19*H20</f>
        <v>42869.8359225354</v>
      </c>
      <c r="I21" s="0" t="n">
        <f aca="false">I19*I20</f>
        <v>41346.6570804657</v>
      </c>
      <c r="J21" s="0" t="n">
        <f aca="false">J19*J20</f>
        <v>38903.4455257109</v>
      </c>
      <c r="K21" s="0" t="n">
        <f aca="false">K19*K20</f>
        <v>37317.6492349253</v>
      </c>
      <c r="L21" s="0" t="n">
        <f aca="false">L19*L20</f>
        <v>34942.8897381573</v>
      </c>
    </row>
    <row r="23" customFormat="false" ht="15" hidden="false" customHeight="false" outlineLevel="0" collapsed="false">
      <c r="A23" s="0" t="s">
        <v>109</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134</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135</v>
      </c>
    </row>
    <row r="27" customFormat="false" ht="15" hidden="false" customHeight="false" outlineLevel="0" collapsed="false">
      <c r="A27" s="0" t="s">
        <v>113</v>
      </c>
      <c r="B27" s="4" t="n">
        <f aca="false">Assumptions!$B$48</f>
        <v>10</v>
      </c>
    </row>
    <row r="28" customFormat="false" ht="15" hidden="false" customHeight="false" outlineLevel="0" collapsed="false">
      <c r="A28" s="0" t="s">
        <v>114</v>
      </c>
      <c r="B28" s="4" t="n">
        <f aca="false">Assumptions!$B$49</f>
        <v>3</v>
      </c>
    </row>
    <row r="29" customFormat="false" ht="15" hidden="false" customHeight="false" outlineLevel="0" collapsed="false">
      <c r="A29" s="0" t="s">
        <v>115</v>
      </c>
      <c r="B29" s="4" t="n">
        <f aca="false">Assumptions!$B$50</f>
        <v>15</v>
      </c>
    </row>
    <row r="30" customFormat="false" ht="15" hidden="false" customHeight="false" outlineLevel="0" collapsed="false">
      <c r="A30" s="0" t="s">
        <v>136</v>
      </c>
      <c r="B30" s="0" t="n">
        <f aca="false">SUM(C21:L21)</f>
        <v>431592.228527145</v>
      </c>
    </row>
    <row r="31" customFormat="false" ht="15" hidden="false" customHeight="false" outlineLevel="0" collapsed="false">
      <c r="A31" s="0" t="s">
        <v>137</v>
      </c>
      <c r="B31" s="0" t="n">
        <f aca="false">L19</f>
        <v>90632.8567924512</v>
      </c>
    </row>
    <row r="32" customFormat="false" ht="15" hidden="false" customHeight="false" outlineLevel="0" collapsed="false">
      <c r="A32" s="0" t="s">
        <v>138</v>
      </c>
      <c r="B32" s="0" t="n">
        <f aca="false">IF(B27&gt;B28,B31*(1+B28/100)/((B27-B28)/100),B31*B29)</f>
        <v>1333597.74994607</v>
      </c>
    </row>
    <row r="33" customFormat="false" ht="15" hidden="false" customHeight="false" outlineLevel="0" collapsed="false">
      <c r="A33" s="0" t="s">
        <v>139</v>
      </c>
      <c r="B33" s="0" t="n">
        <f aca="false">B31*B29</f>
        <v>1359492.85188677</v>
      </c>
    </row>
    <row r="34" customFormat="false" ht="15" hidden="false" customHeight="false" outlineLevel="0" collapsed="false">
      <c r="A34" s="0" t="s">
        <v>140</v>
      </c>
      <c r="B34" s="0" t="n">
        <f aca="false">MAX(0,MIN(B32,B33))</f>
        <v>1333597.74994607</v>
      </c>
    </row>
    <row r="35" customFormat="false" ht="15" hidden="false" customHeight="false" outlineLevel="0" collapsed="false">
      <c r="A35" s="0" t="s">
        <v>141</v>
      </c>
      <c r="B35" s="0" t="n">
        <f aca="false">B34/(1+B27/100)^L4</f>
        <v>514159.663290028</v>
      </c>
    </row>
    <row r="36" customFormat="false" ht="15" hidden="false" customHeight="false" outlineLevel="0" collapsed="false">
      <c r="A36" s="0" t="s">
        <v>142</v>
      </c>
      <c r="B36" s="0" t="n">
        <f aca="false">B30+B35</f>
        <v>945751.891817173</v>
      </c>
    </row>
    <row r="37" customFormat="false" ht="15" hidden="false" customHeight="false" outlineLevel="0" collapsed="false">
      <c r="A37" s="0" t="s">
        <v>143</v>
      </c>
      <c r="B37" s="0" t="n">
        <f aca="false">B36+Assumptions!$B$5-Assumptions!$B$4</f>
        <v>924551.891817173</v>
      </c>
    </row>
    <row r="38" customFormat="false" ht="15" hidden="false" customHeight="false" outlineLevel="0" collapsed="false">
      <c r="A38" s="0" t="s">
        <v>144</v>
      </c>
      <c r="B38" s="0" t="n">
        <f aca="false">B37/Assumptions!$B$3*Assumptions!$B$10</f>
        <v>350.07644521665</v>
      </c>
    </row>
    <row r="39" customFormat="false" ht="15" hidden="false" customHeight="false" outlineLevel="0" collapsed="false">
      <c r="A39" s="0" t="s">
        <v>145</v>
      </c>
      <c r="B39" s="4" t="n">
        <f aca="false">B38/Assumptions!$B$2-1</f>
        <v>0.040067872535281</v>
      </c>
    </row>
    <row r="41" customFormat="false" ht="15" hidden="false" customHeight="false" outlineLevel="0" collapsed="false">
      <c r="A41" s="0" t="s">
        <v>146</v>
      </c>
      <c r="B41" s="0" t="n">
        <f aca="false">SUMPRODUCT(-C10:L10/(1+$B$27/100)^C4:L4)</f>
        <v>31607.1798500705</v>
      </c>
    </row>
    <row r="42" customFormat="false" ht="15" hidden="false" customHeight="false" outlineLevel="0" collapsed="false">
      <c r="A42" s="0" t="s">
        <v>147</v>
      </c>
      <c r="B42" s="0" t="n">
        <f aca="false">IF(B27&gt;B28,-L10*(1+B28/100)/((B27-B28)/100),-L10*20)/(1+B27/100)^L4</f>
        <v>35030.4659029146</v>
      </c>
    </row>
    <row r="43" customFormat="false" ht="15" hidden="false" customHeight="false" outlineLevel="0" collapsed="false">
      <c r="A43" s="0" t="s">
        <v>148</v>
      </c>
      <c r="B43" s="0" t="n">
        <f aca="false">(B37+B41+B42)/Assumptions!$B$3*Assumptions!$B$10</f>
        <v>375.308420132585</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777932.020801873</v>
      </c>
    </row>
    <row r="47" customFormat="false" ht="15" hidden="false" customHeight="false" outlineLevel="0" collapsed="false">
      <c r="A47" s="0" t="s">
        <v>150</v>
      </c>
      <c r="B47" s="0" t="n">
        <f aca="false">(SUMPRODUCT(C19:L19/(1+B45/100)^C4:L4)+B46/(1+B45/100)^L4+Assumptions!$B$5-Assumptions!$B$4)/Assumptions!$B$3*Assumptions!$B$10</f>
        <v>195.508546294635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226.589555273015</v>
      </c>
      <c r="C4" s="0" t="n">
        <f aca="false">B4/Assumptions!$B$2-1</f>
        <v>-0.326808415957054</v>
      </c>
      <c r="D4" s="4" t="n">
        <f aca="false">Assumptions!$B$24</f>
        <v>0.25</v>
      </c>
      <c r="E4" s="4" t="n">
        <f aca="false">DCF_Bear!$B$43</f>
        <v>245.579259617353</v>
      </c>
      <c r="F4" s="4" t="n">
        <f aca="false">DCF_Bear!$B$47</f>
        <v>133.157982245989</v>
      </c>
    </row>
    <row r="5" customFormat="false" ht="15" hidden="false" customHeight="false" outlineLevel="0" collapsed="false">
      <c r="A5" s="0" t="s">
        <v>159</v>
      </c>
      <c r="B5" s="4" t="n">
        <f aca="false">DCF_Base!$B$38</f>
        <v>295.239165353304</v>
      </c>
      <c r="C5" s="0" t="n">
        <f aca="false">B5/Assumptions!$B$2-1</f>
        <v>-0.122852237578942</v>
      </c>
      <c r="D5" s="4" t="n">
        <f aca="false">Assumptions!$B$38</f>
        <v>0.5</v>
      </c>
      <c r="E5" s="4" t="n">
        <f aca="false">DCF_Base!$B$43</f>
        <v>317.861673618474</v>
      </c>
      <c r="F5" s="4" t="n">
        <f aca="false">DCF_Base!$B$47</f>
        <v>171.100626891792</v>
      </c>
    </row>
    <row r="6" customFormat="false" ht="15" hidden="false" customHeight="false" outlineLevel="0" collapsed="false">
      <c r="A6" s="0" t="s">
        <v>160</v>
      </c>
      <c r="B6" s="4" t="n">
        <f aca="false">DCF_Bull!$B$38</f>
        <v>350.07644521665</v>
      </c>
      <c r="C6" s="0" t="n">
        <f aca="false">B6/Assumptions!$B$2-1</f>
        <v>0.040067872535281</v>
      </c>
      <c r="D6" s="4" t="n">
        <f aca="false">Assumptions!$B$52</f>
        <v>0.25</v>
      </c>
      <c r="E6" s="4" t="n">
        <f aca="false">DCF_Bull!$B$43</f>
        <v>375.308420132585</v>
      </c>
      <c r="F6" s="4" t="n">
        <f aca="false">DCF_Bull!$B$47</f>
        <v>195.508546294635</v>
      </c>
    </row>
    <row r="8" customFormat="false" ht="15" hidden="false" customHeight="false" outlineLevel="0" collapsed="false">
      <c r="A8" s="0" t="s">
        <v>161</v>
      </c>
      <c r="B8" s="0" t="n">
        <f aca="false">SUMPRODUCT(B4:B6,D4:D6)</f>
        <v>291.786082799068</v>
      </c>
    </row>
    <row r="9" customFormat="false" ht="15" hidden="false" customHeight="false" outlineLevel="0" collapsed="false">
      <c r="A9" s="0" t="s">
        <v>162</v>
      </c>
      <c r="B9" s="0" t="n">
        <f aca="false">SUMPRODUCT(E4:E6,D4:D6)</f>
        <v>314.152756746722</v>
      </c>
    </row>
    <row r="10" customFormat="false" ht="15" hidden="false" customHeight="false" outlineLevel="0" collapsed="false">
      <c r="A10" s="0" t="s">
        <v>163</v>
      </c>
      <c r="B10" s="0" t="n">
        <f aca="false">1-Assumptions!$B$2/B8</f>
        <v>-0.153550562696936</v>
      </c>
    </row>
    <row r="11" customFormat="false" ht="15" hidden="false" customHeight="false" outlineLevel="0" collapsed="false">
      <c r="A11" s="0" t="s">
        <v>164</v>
      </c>
      <c r="B11" s="0" t="n">
        <f aca="false">IF(ABS(B9-B8)&gt;0.01*ABS(B8),(Assumptions!$B$2-B8)/(B9-B8)*100,"n/a")</f>
        <v>200.315510950758</v>
      </c>
    </row>
    <row r="12" customFormat="false" ht="15" hidden="false" customHeight="false" outlineLevel="0" collapsed="false">
      <c r="A12" s="0" t="s">
        <v>165</v>
      </c>
      <c r="B12" s="0" t="n">
        <f aca="false">SUMPRODUCT(F4:F6,D4:D6)</f>
        <v>167.716945581052</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333.645882852508</v>
      </c>
      <c r="C15" s="3" t="n">
        <v>9</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295.239165353304</v>
      </c>
      <c r="C16" s="3" t="n">
        <v>10</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258.6260956419</v>
      </c>
      <c r="C17" s="3" t="n">
        <v>11</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229.769886673544</v>
      </c>
      <c r="C18" s="3" t="n">
        <v>12</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171.100626891792</v>
      </c>
      <c r="C19" s="3" t="n">
        <v>15</v>
      </c>
    </row>
    <row r="21" customFormat="false" ht="15" hidden="false" customHeight="false" outlineLevel="0" collapsed="false">
      <c r="A21" s="2" t="s">
        <v>173</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359.188606531047</v>
      </c>
      <c r="C23" s="0" t="n">
        <f aca="false">(SUMPRODUCT(DCF_Base!$C$19:$L$19/(1+$A$23/100)^DCF_Base!$C$4:$L$4)+MAX(0,MIN(IF($A$23&gt;$C$22,DCF_Base!$L$19*(1+$C$22/100)/(($A$23-$C$22)/100),DCF_Base!$L$19*DCF_Base!$B$29),DCF_Base!$L$19*DCF_Base!$B$29))/(1+$A$23/100)^DCF_Base!$L$4+Assumptions!$B$5-Assumptions!$B$4)/Assumptions!$B$3*Assumptions!$B$10</f>
        <v>359.188606531047</v>
      </c>
      <c r="D23" s="0" t="n">
        <f aca="false">(SUMPRODUCT(DCF_Base!$C$19:$L$19/(1+$A$23/100)^DCF_Base!$C$4:$L$4)+MAX(0,MIN(IF($A$23&gt;$D$22,DCF_Base!$L$19*(1+$D$22/100)/(($A$23-$D$22)/100),DCF_Base!$L$19*DCF_Base!$B$29),DCF_Base!$L$19*DCF_Base!$B$29))/(1+$A$23/100)^DCF_Base!$L$4+Assumptions!$B$5-Assumptions!$B$4)/Assumptions!$B$3*Assumptions!$B$10</f>
        <v>359.188606531047</v>
      </c>
      <c r="E23" s="0" t="n">
        <f aca="false">(SUMPRODUCT(DCF_Base!$C$19:$L$19/(1+$A$23/100)^DCF_Base!$C$4:$L$4)+MAX(0,MIN(IF($A$23&gt;$E$22,DCF_Base!$L$19*(1+$E$22/100)/(($A$23-$E$22)/100),DCF_Base!$L$19*DCF_Base!$B$29),DCF_Base!$L$19*DCF_Base!$B$29))/(1+$A$23/100)^DCF_Base!$L$4+Assumptions!$B$5-Assumptions!$B$4)/Assumptions!$B$3*Assumptions!$B$10</f>
        <v>359.188606531047</v>
      </c>
      <c r="F23" s="0" t="n">
        <f aca="false">(SUMPRODUCT(DCF_Base!$C$19:$L$19/(1+$A$23/100)^DCF_Base!$C$4:$L$4)+MAX(0,MIN(IF($A$23&gt;$F$22,DCF_Base!$L$19*(1+$F$22/100)/(($A$23-$F$22)/100),DCF_Base!$L$19*DCF_Base!$B$29),DCF_Base!$L$19*DCF_Base!$B$29))/(1+$A$23/100)^DCF_Base!$L$4+Assumptions!$B$5-Assumptions!$B$4)/Assumptions!$B$3*Assumptions!$B$10</f>
        <v>359.188606531047</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315.43942630415</v>
      </c>
      <c r="C24" s="0" t="n">
        <f aca="false">(SUMPRODUCT(DCF_Base!$C$19:$L$19/(1+$A$24/100)^DCF_Base!$C$4:$L$4)+MAX(0,MIN(IF($A$24&gt;$C$22,DCF_Base!$L$19*(1+$C$22/100)/(($A$24-$C$22)/100),DCF_Base!$L$19*DCF_Base!$B$29),DCF_Base!$L$19*DCF_Base!$B$29))/(1+$A$24/100)^DCF_Base!$L$4+Assumptions!$B$5-Assumptions!$B$4)/Assumptions!$B$3*Assumptions!$B$10</f>
        <v>328.325814380585</v>
      </c>
      <c r="D24" s="0" t="n">
        <f aca="false">(SUMPRODUCT(DCF_Base!$C$19:$L$19/(1+$A$24/100)^DCF_Base!$C$4:$L$4)+MAX(0,MIN(IF($A$24&gt;$D$22,DCF_Base!$L$19*(1+$D$22/100)/(($A$24-$D$22)/100),DCF_Base!$L$19*DCF_Base!$B$29),DCF_Base!$L$19*DCF_Base!$B$29))/(1+$A$24/100)^DCF_Base!$L$4+Assumptions!$B$5-Assumptions!$B$4)/Assumptions!$B$3*Assumptions!$B$10</f>
        <v>333.645882852508</v>
      </c>
      <c r="E24" s="0" t="n">
        <f aca="false">(SUMPRODUCT(DCF_Base!$C$19:$L$19/(1+$A$24/100)^DCF_Base!$C$4:$L$4)+MAX(0,MIN(IF($A$24&gt;$E$22,DCF_Base!$L$19*(1+$E$22/100)/(($A$24-$E$22)/100),DCF_Base!$L$19*DCF_Base!$B$29),DCF_Base!$L$19*DCF_Base!$B$29))/(1+$A$24/100)^DCF_Base!$L$4+Assumptions!$B$5-Assumptions!$B$4)/Assumptions!$B$3*Assumptions!$B$10</f>
        <v>333.645882852508</v>
      </c>
      <c r="F24" s="0" t="n">
        <f aca="false">(SUMPRODUCT(DCF_Base!$C$19:$L$19/(1+$A$24/100)^DCF_Base!$C$4:$L$4)+MAX(0,MIN(IF($A$24&gt;$F$22,DCF_Base!$L$19*(1+$F$22/100)/(($A$24-$F$22)/100),DCF_Base!$L$19*DCF_Base!$B$29),DCF_Base!$L$19*DCF_Base!$B$29))/(1+$A$24/100)^DCF_Base!$L$4+Assumptions!$B$5-Assumptions!$B$4)/Assumptions!$B$3*Assumptions!$B$10</f>
        <v>333.645882852508</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275.689261265176</v>
      </c>
      <c r="C25" s="0" t="n">
        <f aca="false">(SUMPRODUCT(DCF_Base!$C$19:$L$19/(1+$A$25/100)^DCF_Base!$C$4:$L$4)+MAX(0,MIN(IF($A$25&gt;$C$22,DCF_Base!$L$19*(1+$C$22/100)/(($A$25-$C$22)/100),DCF_Base!$L$19*DCF_Base!$B$29),DCF_Base!$L$19*DCF_Base!$B$29))/(1+$A$25/100)^DCF_Base!$L$4+Assumptions!$B$5-Assumptions!$B$4)/Assumptions!$B$3*Assumptions!$B$10</f>
        <v>284.853278806486</v>
      </c>
      <c r="D25" s="0" t="n">
        <f aca="false">(SUMPRODUCT(DCF_Base!$C$19:$L$19/(1+$A$25/100)^DCF_Base!$C$4:$L$4)+MAX(0,MIN(IF($A$25&gt;$D$22,DCF_Base!$L$19*(1+$D$22/100)/(($A$25-$D$22)/100),DCF_Base!$L$19*DCF_Base!$B$29),DCF_Base!$L$19*DCF_Base!$B$29))/(1+$A$25/100)^DCF_Base!$L$4+Assumptions!$B$5-Assumptions!$B$4)/Assumptions!$B$3*Assumptions!$B$10</f>
        <v>295.239165353304</v>
      </c>
      <c r="E25" s="0" t="n">
        <f aca="false">(SUMPRODUCT(DCF_Base!$C$19:$L$19/(1+$A$25/100)^DCF_Base!$C$4:$L$4)+MAX(0,MIN(IF($A$25&gt;$E$22,DCF_Base!$L$19*(1+$E$22/100)/(($A$25-$E$22)/100),DCF_Base!$L$19*DCF_Base!$B$29),DCF_Base!$L$19*DCF_Base!$B$29))/(1+$A$25/100)^DCF_Base!$L$4+Assumptions!$B$5-Assumptions!$B$4)/Assumptions!$B$3*Assumptions!$B$10</f>
        <v>307.108749978239</v>
      </c>
      <c r="F25" s="0" t="n">
        <f aca="false">(SUMPRODUCT(DCF_Base!$C$19:$L$19/(1+$A$25/100)^DCF_Base!$C$4:$L$4)+MAX(0,MIN(IF($A$25&gt;$F$22,DCF_Base!$L$19*(1+$F$22/100)/(($A$25-$F$22)/100),DCF_Base!$L$19*DCF_Base!$B$29),DCF_Base!$L$19*DCF_Base!$B$29))/(1+$A$25/100)^DCF_Base!$L$4+Assumptions!$B$5-Assumptions!$B$4)/Assumptions!$B$3*Assumptions!$B$10</f>
        <v>310.345909421403</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244.399216357074</v>
      </c>
      <c r="C26" s="0" t="n">
        <f aca="false">(SUMPRODUCT(DCF_Base!$C$19:$L$19/(1+$A$26/100)^DCF_Base!$C$4:$L$4)+MAX(0,MIN(IF($A$26&gt;$C$22,DCF_Base!$L$19*(1+$C$22/100)/(($A$26-$C$22)/100),DCF_Base!$L$19*DCF_Base!$B$29),DCF_Base!$L$19*DCF_Base!$B$29))/(1+$A$26/100)^DCF_Base!$L$4+Assumptions!$B$5-Assumptions!$B$4)/Assumptions!$B$3*Assumptions!$B$10</f>
        <v>251.117464908242</v>
      </c>
      <c r="D26" s="0" t="n">
        <f aca="false">(SUMPRODUCT(DCF_Base!$C$19:$L$19/(1+$A$26/100)^DCF_Base!$C$4:$L$4)+MAX(0,MIN(IF($A$26&gt;$D$22,DCF_Base!$L$19*(1+$D$22/100)/(($A$26-$D$22)/100),DCF_Base!$L$19*DCF_Base!$B$29),DCF_Base!$L$19*DCF_Base!$B$29))/(1+$A$26/100)^DCF_Base!$L$4+Assumptions!$B$5-Assumptions!$B$4)/Assumptions!$B$3*Assumptions!$B$10</f>
        <v>258.6260956419</v>
      </c>
      <c r="E26" s="0" t="n">
        <f aca="false">(SUMPRODUCT(DCF_Base!$C$19:$L$19/(1+$A$26/100)^DCF_Base!$C$4:$L$4)+MAX(0,MIN(IF($A$26&gt;$E$22,DCF_Base!$L$19*(1+$E$22/100)/(($A$26-$E$22)/100),DCF_Base!$L$19*DCF_Base!$B$29),DCF_Base!$L$19*DCF_Base!$B$29))/(1+$A$26/100)^DCF_Base!$L$4+Assumptions!$B$5-Assumptions!$B$4)/Assumptions!$B$3*Assumptions!$B$10</f>
        <v>267.073305217265</v>
      </c>
      <c r="F26" s="0" t="n">
        <f aca="false">(SUMPRODUCT(DCF_Base!$C$19:$L$19/(1+$A$26/100)^DCF_Base!$C$4:$L$4)+MAX(0,MIN(IF($A$26&gt;$F$22,DCF_Base!$L$19*(1+$F$22/100)/(($A$26-$F$22)/100),DCF_Base!$L$19*DCF_Base!$B$29),DCF_Base!$L$19*DCF_Base!$B$29))/(1+$A$26/100)^DCF_Base!$L$4+Assumptions!$B$5-Assumptions!$B$4)/Assumptions!$B$3*Assumptions!$B$10</f>
        <v>276.646809402679</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219.145989019869</v>
      </c>
      <c r="C27" s="0" t="n">
        <f aca="false">(SUMPRODUCT(DCF_Base!$C$19:$L$19/(1+$A$27/100)^DCF_Base!$C$4:$L$4)+MAX(0,MIN(IF($A$27&gt;$C$22,DCF_Base!$L$19*(1+$C$22/100)/(($A$27-$C$22)/100),DCF_Base!$L$19*DCF_Base!$B$29),DCF_Base!$L$19*DCF_Base!$B$29))/(1+$A$27/100)^DCF_Base!$L$4+Assumptions!$B$5-Assumptions!$B$4)/Assumptions!$B$3*Assumptions!$B$10</f>
        <v>224.192340405364</v>
      </c>
      <c r="D27" s="0" t="n">
        <f aca="false">(SUMPRODUCT(DCF_Base!$C$19:$L$19/(1+$A$27/100)^DCF_Base!$C$4:$L$4)+MAX(0,MIN(IF($A$27&gt;$D$22,DCF_Base!$L$19*(1+$D$22/100)/(($A$27-$D$22)/100),DCF_Base!$L$19*DCF_Base!$B$29),DCF_Base!$L$19*DCF_Base!$B$29))/(1+$A$27/100)^DCF_Base!$L$4+Assumptions!$B$5-Assumptions!$B$4)/Assumptions!$B$3*Assumptions!$B$10</f>
        <v>229.769886673544</v>
      </c>
      <c r="E27" s="0" t="n">
        <f aca="false">(SUMPRODUCT(DCF_Base!$C$19:$L$19/(1+$A$27/100)^DCF_Base!$C$4:$L$4)+MAX(0,MIN(IF($A$27&gt;$E$22,DCF_Base!$L$19*(1+$E$22/100)/(($A$27-$E$22)/100),DCF_Base!$L$19*DCF_Base!$B$29),DCF_Base!$L$19*DCF_Base!$B$29))/(1+$A$27/100)^DCF_Base!$L$4+Assumptions!$B$5-Assumptions!$B$4)/Assumptions!$B$3*Assumptions!$B$10</f>
        <v>235.967160304854</v>
      </c>
      <c r="F27" s="0" t="n">
        <f aca="false">(SUMPRODUCT(DCF_Base!$C$19:$L$19/(1+$A$27/100)^DCF_Base!$C$4:$L$4)+MAX(0,MIN(IF($A$27&gt;$F$22,DCF_Base!$L$19*(1+$F$22/100)/(($A$27-$F$22)/100),DCF_Base!$L$19*DCF_Base!$B$29),DCF_Base!$L$19*DCF_Base!$B$29))/(1+$A$27/100)^DCF_Base!$L$4+Assumptions!$B$5-Assumptions!$B$4)/Assumptions!$B$3*Assumptions!$B$10</f>
        <v>242.893524951613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2026-09-28T22:20:34Z</dcterms:created>
  <dc:creator>openpyxl</dc:creator>
  <dc:description/>
  <dc:language>en-NZ</dc:language>
  <cp:lastModifiedBy/>
  <dcterms:modified xsi:type="dcterms:W3CDTF">2026-09-28T22:20:34Z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