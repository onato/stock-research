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quidation Waterfall" sheetId="1" r:id="rId1"/>
    <sheet name="Historical Loss Record" sheetId="2" r:id="rId2"/>
    <sheet name="Sensitivity" sheetId="3" r:id="rId3"/>
    <sheet name="Model_Info" sheetId="4" r:id="rId4"/>
  </sheets>
  <calcPr calcId="124519" fullCalcOnLoad="1"/>
</workbook>
</file>

<file path=xl/sharedStrings.xml><?xml version="1.0" encoding="utf-8"?>
<sst xmlns="http://schemas.openxmlformats.org/spreadsheetml/2006/main" count="92" uniqueCount="92">
  <si>
    <t>CBD.NZ (Cannasouth Limited) - LIQUIDATION WATERFALL VALUATION</t>
  </si>
  <si>
    <t>NOT A DCF MODEL - Cannasouth is delisted, in receivership, and heading to liquidation.</t>
  </si>
  <si>
    <t>Gray cells are INPUTS - adjust cost/recovery assumptions to see the waterfall residual change</t>
  </si>
  <si>
    <t>STATUS</t>
  </si>
  <si>
    <t>Delisted from NZX Main Board</t>
  </si>
  <si>
    <t>17-Dec-2024</t>
  </si>
  <si>
    <t>Placed into receivership</t>
  </si>
  <si>
    <t>22-May-2025</t>
  </si>
  <si>
    <t>Receiver</t>
  </si>
  <si>
    <t>Kevin Davies, Principle Insolvency</t>
  </si>
  <si>
    <t>Operating subsidiaries sold</t>
  </si>
  <si>
    <t>Feb-2026, to Marshall Road Holdings</t>
  </si>
  <si>
    <t>Receiver stated outcome</t>
  </si>
  <si>
    <t>Liquidation expected</t>
  </si>
  <si>
    <t>Last traded price (STALE - not live)</t>
  </si>
  <si>
    <t>Shares outstanding (millions, FY2022 last audited)</t>
  </si>
  <si>
    <t>CREDITOR WATERFALL (NZD, absolute dollars)</t>
  </si>
  <si>
    <t>1. Gross realisations (Feb-2026 subsidiary sale)</t>
  </si>
  <si>
    <t>2. Additional speculative recovery (bull only)</t>
  </si>
  <si>
    <t>&lt;- 0 for Base/Bear, up to ~250,000 in Bull (disputed related-party clawback)</t>
  </si>
  <si>
    <t>3. Less: Receivership + liquidation costs</t>
  </si>
  <si>
    <t>&lt;- assumption; range NZ$0.6m-1.5m (fees, legal, admin wind-down)</t>
  </si>
  <si>
    <t>4. Less: Secured GSA noteholders</t>
  </si>
  <si>
    <t>&lt;- per receiver's Jul-2025 report; reported NOT fully repaid by the sale</t>
  </si>
  <si>
    <t>5. Less: Preferential creditors (employee/IRD)</t>
  </si>
  <si>
    <t>&lt;- unquantified in disclosed reporting; already irrelevant given secured shortfall</t>
  </si>
  <si>
    <t>6. Less: Unsecured creditors</t>
  </si>
  <si>
    <t>&lt;- per receiver's Jul-2025 report</t>
  </si>
  <si>
    <t>RESIDUAL TO ORDINARY SHAREHOLDERS</t>
  </si>
  <si>
    <t>&lt;- floored at zero; equity cannot be negative</t>
  </si>
  <si>
    <t>INTRINSIC VALUE PER SHARE (NZ$)</t>
  </si>
  <si>
    <t>Upside/(Downside) vs stale last-traded price</t>
  </si>
  <si>
    <t>SCENARIOS</t>
  </si>
  <si>
    <t>Scenario</t>
  </si>
  <si>
    <t>Gross Realisations</t>
  </si>
  <si>
    <t>Addl Recovery</t>
  </si>
  <si>
    <t>Receivership Costs</t>
  </si>
  <si>
    <t>Secured Notes</t>
  </si>
  <si>
    <t>Unsecured</t>
  </si>
  <si>
    <t>Residual</t>
  </si>
  <si>
    <t>IV/Share</t>
  </si>
  <si>
    <t>Probability</t>
  </si>
  <si>
    <t>Bear</t>
  </si>
  <si>
    <t>Base</t>
  </si>
  <si>
    <t>Bull (speculative)</t>
  </si>
  <si>
    <t>PROBABILITY-WEIGHTED IV</t>
  </si>
  <si>
    <t>Note: probability-weighted IV rounds to NZ$0.0000/share (precise value ~NZ$0.00002/share).</t>
  </si>
  <si>
    <t>Ordinary equity in Cannasouth Limited is worthless. Secured noteholders are already under-recovered.</t>
  </si>
  <si>
    <t>Historical Financial Record (from CSV - last audited FY2022)</t>
  </si>
  <si>
    <t>No audited accounts filed for FY2023 or later - itself a cited reason for the Dec-2024 delisting.</t>
  </si>
  <si>
    <t>Period</t>
  </si>
  <si>
    <t>Revenue (NZ$m)</t>
  </si>
  <si>
    <t>NetIncome (NZ$m)</t>
  </si>
  <si>
    <t>FreeCashFlow (NZ$m)</t>
  </si>
  <si>
    <t>ShareholdersEquity (NZ$m)</t>
  </si>
  <si>
    <t>CashAndEquivalents (NZ$m)</t>
  </si>
  <si>
    <t>TotalDebt (NZ$m)</t>
  </si>
  <si>
    <t>SharesOutstanding (m)</t>
  </si>
  <si>
    <t>FY2021</t>
  </si>
  <si>
    <t>FY2022</t>
  </si>
  <si>
    <t>Accumulated deficit at 31-Dec-2022 (NZ$m):</t>
  </si>
  <si>
    <t>Approx. total shareholder capital raised over listed life (NZ$m):</t>
  </si>
  <si>
    <t>Feb-2026 receivership sale proceeds (NZ$m):</t>
  </si>
  <si>
    <t>Observation: revenue was nominal every year on record while losses/FCF burn were multi-millions,</t>
  </si>
  <si>
    <t>Observation: revenue was nominal every year on record (FY2022 NZ$0.141m) while losses (NZ$8.22m) and FCF burn (-NZ$5.70m) were in the multi-millions - a structurally unviable unit-economics gap that was never closed before the company collapsed into administration in Mar-2024, delisting in Dec-2024, and receivership in May-2025.</t>
  </si>
  <si>
    <t>Sensitivity: Residual to Equity (NZ$/share)</t>
  </si>
  <si>
    <t>Rows = receivership/liquidation cost assumption. Columns = additional speculative recovery.</t>
  </si>
  <si>
    <t>Costs \ Addl Recovery</t>
  </si>
  <si>
    <t>Note: the receiver has publicly stated the confirmed NZ$4.7m sale is insufficient to fully repay</t>
  </si>
  <si>
    <t>the NZ$2.53m secured GSA noteholder claim - so the true operating point sits at or near the</t>
  </si>
  <si>
    <t>zero-residual cells in this grid (low-recovery / high-cost combinations), not the favourable corner.</t>
  </si>
  <si>
    <t>Model Provenance &amp; Methodology</t>
  </si>
  <si>
    <t>Built by</t>
  </si>
  <si>
    <t>Claude Agent (DCF/valuation skill) - liquidation waterfall variant, not a standard DCF</t>
  </si>
  <si>
    <t>Data vintage</t>
  </si>
  <si>
    <t>Valuation date 2026-08-09; last-traded price NZ$0.098 as of 17-Dec-2024 (STALE, pre-delisting, not live); last audited accounts FY2022 (31-Dec-2022); receiver disclosures via first receiver report (Jul-2025) and Feb-2026 asset-sale reporting</t>
  </si>
  <si>
    <t>Why not a DCF</t>
  </si>
  <si>
    <t>Cannasouth has no going-concern business, no positive or repeatable FCF (FY2021 -NZ$3.43m, FY2022 -NZ$5.70m), no audited accounts since FY2022, and its operating subsidiaries were sold out of the listed entity in Feb-2026. A discounted-cash-flow model requires a projectable future cash flow stream and a defensible terminal value; neither exists here. See CBD.NZ_DCF.json valuation_philosophy block for the full reasoning.</t>
  </si>
  <si>
    <t>Methodology</t>
  </si>
  <si>
    <t>Creditor-priority liquidation waterfall applied to the confirmed Feb-2026 NZ$4.7m subsidiary sale: gross realisations, less assumed receivership/liquidation costs (NZ$0.6-1.5m range), less secured GSA noteholders (~NZ$2.53m, reported by the receiver as NOT fully repaid), less unsecured creditors (~NZ$0.109m), residual to ordinary equity floored at zero.</t>
  </si>
  <si>
    <t>Key disclosed fact driving the valuation</t>
  </si>
  <si>
    <t>The receiver has publicly stated the Feb-2026 sale proceeds were insufficient to fully repay secured GSA noteholders. This means the secured tier is already underwater, so unsecured creditors and ordinary shareholders (both junior to secured) recover nothing in the base and bear cases.</t>
  </si>
  <si>
    <t>Scenario weights</t>
  </si>
  <si>
    <t>Bear 60% / Base 37% / Bull 3% (bull is an explicitly speculative, low-probability liquidator claw-back scenario worth ~NZ$0.0007/share even if it occurs)</t>
  </si>
  <si>
    <t>Entry price</t>
  </si>
  <si>
    <t>Set to NZ$0.00 - the security is delisted, untradeable, and uninvestable. The standard 15%-IRR entry-price formula does not apply (no cash flow stream exists to discount).</t>
  </si>
  <si>
    <t>What to refresh after next update</t>
  </si>
  <si>
    <t>Watch for: (1) final liquidator distribution report confirming actual amounts paid to secured/unsecured creditors and any residual, (2) resolution of the disputed related-party asset-sale/loan clawback litigation referenced in Feb-2026 reporting, (3) formal deregistration/removal from the NZ Companies Register, which would close out this valuation permanently at NIL.</t>
  </si>
  <si>
    <t>Cell colour conventions</t>
  </si>
  <si>
    <t>Gray cells (light blue-gray, #dfe6e9) on the Liquidation Waterfall sheet are INPUTS you can adjust (gross realisations, additional recovery, cost/creditor assumptions). White cells are FORMULAS that recalculate automatically. Red result cells emphasize the near-zero/worthless outcome (intentional - this is not a bug, it is the correct conclusion for an insolvent entity with an under-recovered secured creditor).</t>
  </si>
  <si>
    <t>Staleness warning</t>
  </si>
  <si>
    <t>All figures in this model describe a specific point in time (per the receiver reports referenced) and WILL go stale as the liquidation process concludes. Do not treat this as a live valuation without checking for a final liquidator distribution report.</t>
  </si>
</sst>
</file>

<file path=xl/styles.xml><?xml version="1.0" encoding="utf-8"?>
<styleSheet xmlns="http://schemas.openxmlformats.org/spreadsheetml/2006/main">
  <numFmts count="4">
    <numFmt numFmtId="164" formatCode="&quot;NZ$&quot;0.0000"/>
    <numFmt numFmtId="165" formatCode="#,##0"/>
    <numFmt numFmtId="166" formatCode="0.0%"/>
    <numFmt numFmtId="167" formatCode="#,##0.000"/>
  </numFmts>
  <fonts count="7">
    <font>
      <sz val="11"/>
      <color theme="1"/>
      <name val="Calibri"/>
      <family val="2"/>
      <scheme val="minor"/>
    </font>
    <font>
      <b/>
      <sz val="16"/>
      <color theme="1"/>
      <name val="Calibri"/>
      <family val="2"/>
      <scheme val="minor"/>
    </font>
    <font>
      <b/>
      <i/>
      <sz val="11"/>
      <color rgb="FFD63031"/>
      <name val="Calibri"/>
      <family val="2"/>
      <scheme val="minor"/>
    </font>
    <font>
      <i/>
      <sz val="11"/>
      <color rgb="FF808080"/>
      <name val="Calibri"/>
      <family val="2"/>
      <scheme val="minor"/>
    </font>
    <font>
      <b/>
      <sz val="12"/>
      <color theme="1"/>
      <name val="Calibri"/>
      <family val="2"/>
      <scheme val="minor"/>
    </font>
    <font>
      <b/>
      <sz val="11"/>
      <color theme="1"/>
      <name val="Calibri"/>
      <family val="2"/>
      <scheme val="minor"/>
    </font>
    <font>
      <b/>
      <sz val="11"/>
      <color rgb="FFFFFFFF"/>
      <name val="Calibri"/>
      <family val="2"/>
      <scheme val="minor"/>
    </font>
  </fonts>
  <fills count="5">
    <fill>
      <patternFill patternType="none"/>
    </fill>
    <fill>
      <patternFill patternType="gray125"/>
    </fill>
    <fill>
      <patternFill patternType="solid">
        <fgColor rgb="FFDFE6E9"/>
        <bgColor indexed="64"/>
      </patternFill>
    </fill>
    <fill>
      <patternFill patternType="solid">
        <fgColor rgb="FFD63031"/>
        <bgColor indexed="64"/>
      </patternFill>
    </fill>
    <fill>
      <patternFill patternType="solid">
        <fgColor rgb="FF2D3436"/>
        <bgColor indexed="64"/>
      </patternFill>
    </fill>
  </fills>
  <borders count="3">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1" xfId="0" applyFont="1" applyBorder="1"/>
    <xf numFmtId="164" fontId="0" fillId="0" borderId="2" xfId="0" applyNumberFormat="1" applyBorder="1"/>
    <xf numFmtId="165" fontId="0" fillId="2" borderId="2" xfId="0" applyNumberFormat="1" applyFill="1" applyBorder="1"/>
    <xf numFmtId="0" fontId="5" fillId="0" borderId="0" xfId="0" applyFont="1"/>
    <xf numFmtId="165" fontId="0" fillId="0" borderId="2" xfId="0" applyNumberFormat="1" applyBorder="1"/>
    <xf numFmtId="164" fontId="6" fillId="3" borderId="2" xfId="0" applyNumberFormat="1" applyFont="1" applyFill="1" applyBorder="1"/>
    <xf numFmtId="166" fontId="0" fillId="0" borderId="2" xfId="0" applyNumberFormat="1" applyBorder="1"/>
    <xf numFmtId="0" fontId="6" fillId="4" borderId="2" xfId="0" applyFont="1" applyFill="1" applyBorder="1"/>
    <xf numFmtId="167" fontId="0" fillId="0" borderId="2" xfId="0" applyNumberFormat="1" applyBorder="1"/>
    <xf numFmtId="0" fontId="0" fillId="0" borderId="2" xfId="0" applyBorder="1" applyAlignment="1">
      <alignment vertical="top" wrapText="1"/>
    </xf>
    <xf numFmtId="165" fontId="6" fillId="4" borderId="0" xfId="0" applyNumberFormat="1"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41"/>
  <sheetViews>
    <sheetView tabSelected="1" workbookViewId="0"/>
  </sheetViews>
  <sheetFormatPr defaultRowHeight="15"/>
  <cols>
    <col min="1" max="1" width="38.7109375" customWidth="1"/>
    <col min="2" max="6" width="16.7109375" customWidth="1"/>
  </cols>
  <sheetData>
    <row r="1" spans="1:2">
      <c r="A1" s="1" t="s">
        <v>0</v>
      </c>
    </row>
    <row r="2" spans="1:2">
      <c r="A2" s="2" t="s">
        <v>1</v>
      </c>
    </row>
    <row r="3" spans="1:2">
      <c r="A3" s="3" t="s">
        <v>2</v>
      </c>
    </row>
    <row r="5" spans="1:2">
      <c r="A5" s="4" t="s">
        <v>3</v>
      </c>
    </row>
    <row r="6" spans="1:2">
      <c r="A6" t="s">
        <v>4</v>
      </c>
      <c r="B6" t="s">
        <v>5</v>
      </c>
    </row>
    <row r="7" spans="1:2">
      <c r="A7" t="s">
        <v>6</v>
      </c>
      <c r="B7" t="s">
        <v>7</v>
      </c>
    </row>
    <row r="8" spans="1:2">
      <c r="A8" t="s">
        <v>8</v>
      </c>
      <c r="B8" t="s">
        <v>9</v>
      </c>
    </row>
    <row r="9" spans="1:2">
      <c r="A9" t="s">
        <v>10</v>
      </c>
      <c r="B9" t="s">
        <v>11</v>
      </c>
    </row>
    <row r="10" spans="1:2">
      <c r="A10" t="s">
        <v>12</v>
      </c>
      <c r="B10" t="s">
        <v>13</v>
      </c>
    </row>
    <row r="11" spans="1:2">
      <c r="A11" t="s">
        <v>14</v>
      </c>
      <c r="B11" s="5">
        <v>0.098</v>
      </c>
    </row>
    <row r="12" spans="1:2">
      <c r="A12" t="s">
        <v>15</v>
      </c>
      <c r="B12" s="6">
        <v>140.436</v>
      </c>
    </row>
    <row r="14" spans="1:2">
      <c r="A14" s="4" t="s">
        <v>16</v>
      </c>
    </row>
    <row r="16" spans="1:2">
      <c r="A16" s="7" t="s">
        <v>17</v>
      </c>
      <c r="B16" s="6">
        <v>4700000</v>
      </c>
    </row>
    <row r="17" spans="1:9">
      <c r="A17" s="7" t="s">
        <v>18</v>
      </c>
      <c r="B17" s="6">
        <v>0</v>
      </c>
      <c r="C17" t="s">
        <v>19</v>
      </c>
    </row>
    <row r="18" spans="1:9">
      <c r="A18" t="s">
        <v>20</v>
      </c>
      <c r="B18" s="6">
        <v>1000000</v>
      </c>
      <c r="C18" t="s">
        <v>21</v>
      </c>
    </row>
    <row r="19" spans="1:9">
      <c r="A19" t="s">
        <v>22</v>
      </c>
      <c r="B19" s="6">
        <v>2530000</v>
      </c>
      <c r="C19" t="s">
        <v>23</v>
      </c>
    </row>
    <row r="20" spans="1:9">
      <c r="A20" t="s">
        <v>24</v>
      </c>
      <c r="B20" s="6">
        <v>0</v>
      </c>
      <c r="C20" t="s">
        <v>25</v>
      </c>
    </row>
    <row r="21" spans="1:9">
      <c r="A21" t="s">
        <v>26</v>
      </c>
      <c r="B21" s="6">
        <v>109000</v>
      </c>
      <c r="C21" t="s">
        <v>27</v>
      </c>
    </row>
    <row r="23" spans="1:9">
      <c r="A23" s="7" t="s">
        <v>28</v>
      </c>
      <c r="B23" s="8">
        <f>MAX(0,B16+B17-B18-B19-B20-B21)</f>
        <v>0</v>
      </c>
      <c r="C23" t="s">
        <v>29</v>
      </c>
    </row>
    <row r="25" spans="1:9">
      <c r="A25" s="7" t="s">
        <v>30</v>
      </c>
      <c r="B25" s="9">
        <f>B23/(B12*1000000)</f>
        <v>0</v>
      </c>
    </row>
    <row r="27" spans="1:9">
      <c r="A27" t="s">
        <v>31</v>
      </c>
      <c r="B27" s="10">
        <f>(B25-B11)/B11</f>
        <v>0</v>
      </c>
    </row>
    <row r="30" spans="1:9">
      <c r="A30" s="4" t="s">
        <v>32</v>
      </c>
    </row>
    <row r="32" spans="1:9">
      <c r="A32" s="11" t="s">
        <v>33</v>
      </c>
      <c r="B32" s="11" t="s">
        <v>34</v>
      </c>
      <c r="C32" s="11" t="s">
        <v>35</v>
      </c>
      <c r="D32" s="11" t="s">
        <v>36</v>
      </c>
      <c r="E32" s="11" t="s">
        <v>37</v>
      </c>
      <c r="F32" s="11" t="s">
        <v>38</v>
      </c>
      <c r="G32" s="11" t="s">
        <v>39</v>
      </c>
      <c r="H32" s="11" t="s">
        <v>40</v>
      </c>
      <c r="I32" s="11" t="s">
        <v>41</v>
      </c>
    </row>
    <row r="34" spans="1:9">
      <c r="A34" t="s">
        <v>42</v>
      </c>
      <c r="B34" s="8">
        <v>4700000</v>
      </c>
      <c r="C34" s="8">
        <v>0</v>
      </c>
      <c r="D34" s="8">
        <v>1500000</v>
      </c>
      <c r="E34" s="8">
        <v>2530000</v>
      </c>
      <c r="F34" s="8">
        <v>109000</v>
      </c>
      <c r="G34" s="8">
        <v>0</v>
      </c>
      <c r="H34" s="5">
        <v>0</v>
      </c>
      <c r="I34" s="10">
        <v>0.6</v>
      </c>
    </row>
    <row r="35" spans="1:9">
      <c r="A35" t="s">
        <v>43</v>
      </c>
      <c r="B35" s="8">
        <v>4700000</v>
      </c>
      <c r="C35" s="8">
        <v>0</v>
      </c>
      <c r="D35" s="8">
        <v>1000000</v>
      </c>
      <c r="E35" s="8">
        <v>2530000</v>
      </c>
      <c r="F35" s="8">
        <v>109000</v>
      </c>
      <c r="G35" s="8">
        <v>0</v>
      </c>
      <c r="H35" s="5">
        <v>0</v>
      </c>
      <c r="I35" s="10">
        <v>0.37</v>
      </c>
    </row>
    <row r="36" spans="1:9">
      <c r="A36" t="s">
        <v>44</v>
      </c>
      <c r="B36" s="8">
        <v>4700000</v>
      </c>
      <c r="C36" s="8">
        <v>100000</v>
      </c>
      <c r="D36" s="8">
        <v>600000</v>
      </c>
      <c r="E36" s="8">
        <v>2530000</v>
      </c>
      <c r="F36" s="8">
        <v>109000</v>
      </c>
      <c r="G36" s="8">
        <v>100000</v>
      </c>
      <c r="H36" s="5">
        <v>0.0007</v>
      </c>
      <c r="I36" s="10">
        <v>0.03</v>
      </c>
    </row>
    <row r="38" spans="1:9">
      <c r="A38" s="7" t="s">
        <v>45</v>
      </c>
      <c r="H38" s="9">
        <f>SUMPRODUCT(H33:H35,I33:I35)</f>
        <v>0</v>
      </c>
    </row>
    <row r="40" spans="1:9">
      <c r="A40" t="s">
        <v>46</v>
      </c>
    </row>
    <row r="41" spans="1:9">
      <c r="A41" t="s">
        <v>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2"/>
  <sheetViews>
    <sheetView workbookViewId="0"/>
  </sheetViews>
  <sheetFormatPr defaultRowHeight="15"/>
  <cols>
    <col min="1" max="1" width="22.7109375" customWidth="1"/>
    <col min="2" max="3" width="16.7109375" customWidth="1"/>
  </cols>
  <sheetData>
    <row r="1" spans="1:8">
      <c r="A1" s="1" t="s">
        <v>48</v>
      </c>
    </row>
    <row r="2" spans="1:8">
      <c r="A2" s="2" t="s">
        <v>49</v>
      </c>
    </row>
    <row r="4" spans="1:8">
      <c r="A4" s="11" t="s">
        <v>50</v>
      </c>
      <c r="B4" s="11" t="s">
        <v>51</v>
      </c>
      <c r="C4" s="11" t="s">
        <v>52</v>
      </c>
      <c r="D4" s="11" t="s">
        <v>53</v>
      </c>
      <c r="E4" s="11" t="s">
        <v>54</v>
      </c>
      <c r="F4" s="11" t="s">
        <v>55</v>
      </c>
      <c r="G4" s="11" t="s">
        <v>56</v>
      </c>
      <c r="H4" s="11" t="s">
        <v>57</v>
      </c>
    </row>
    <row r="5" spans="1:8">
      <c r="A5" t="s">
        <v>58</v>
      </c>
      <c r="B5" s="12">
        <v>0.205772</v>
      </c>
      <c r="C5" s="12">
        <v>-3.117408</v>
      </c>
      <c r="D5" s="12">
        <v>-3.434806</v>
      </c>
      <c r="E5" s="12">
        <v>17.062874</v>
      </c>
      <c r="F5" s="12">
        <v>5.515247</v>
      </c>
      <c r="G5" s="12">
        <v>5.573685</v>
      </c>
      <c r="H5" s="12">
        <v>127.518857</v>
      </c>
    </row>
    <row r="6" spans="1:8">
      <c r="A6" t="s">
        <v>59</v>
      </c>
      <c r="B6" s="12">
        <v>0.140601</v>
      </c>
      <c r="C6" s="12">
        <v>-8.222690999999999</v>
      </c>
      <c r="D6" s="12">
        <v>-5.70491</v>
      </c>
      <c r="E6" s="12">
        <v>11.868368</v>
      </c>
      <c r="F6" s="12">
        <v>1.911668</v>
      </c>
      <c r="G6" s="12">
        <v>3.671577</v>
      </c>
      <c r="H6" s="12">
        <v>140.435616</v>
      </c>
    </row>
    <row r="8" spans="1:8">
      <c r="A8" s="7" t="s">
        <v>60</v>
      </c>
      <c r="B8">
        <v>17.4</v>
      </c>
    </row>
    <row r="9" spans="1:8">
      <c r="A9" s="7" t="s">
        <v>61</v>
      </c>
      <c r="B9">
        <v>30</v>
      </c>
    </row>
    <row r="10" spans="1:8">
      <c r="A10" s="7" t="s">
        <v>62</v>
      </c>
      <c r="B10">
        <v>4.7</v>
      </c>
    </row>
    <row r="12" spans="1:8">
      <c r="A12" s="13" t="s">
        <v>64</v>
      </c>
      <c r="B12" s="13"/>
      <c r="C12" s="13"/>
      <c r="D12" s="13"/>
      <c r="E12" s="13"/>
      <c r="F12" s="13"/>
      <c r="G12" s="13"/>
      <c r="H12" s="13"/>
    </row>
  </sheetData>
  <mergeCells count="1">
    <mergeCell ref="A12:H1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3"/>
  <sheetViews>
    <sheetView workbookViewId="0"/>
  </sheetViews>
  <sheetFormatPr defaultRowHeight="15"/>
  <cols>
    <col min="1" max="1" width="22.7109375" customWidth="1"/>
    <col min="2" max="6" width="13.7109375" customWidth="1"/>
  </cols>
  <sheetData>
    <row r="1" spans="1:6">
      <c r="A1" s="1" t="s">
        <v>65</v>
      </c>
    </row>
    <row r="2" spans="1:6">
      <c r="A2" t="s">
        <v>66</v>
      </c>
    </row>
    <row r="4" spans="1:6">
      <c r="A4" s="11" t="s">
        <v>67</v>
      </c>
      <c r="B4" s="14">
        <v>0</v>
      </c>
      <c r="C4" s="14">
        <v>100000</v>
      </c>
      <c r="D4" s="14">
        <v>250000</v>
      </c>
      <c r="E4" s="14">
        <v>500000</v>
      </c>
      <c r="F4" s="14">
        <v>1000000</v>
      </c>
    </row>
    <row r="5" spans="1:6">
      <c r="A5" s="14">
        <v>600000</v>
      </c>
      <c r="B5" s="5">
        <f>MAX(0,4700000+0-600000-2530000-109000)/140436000.0</f>
        <v>0</v>
      </c>
      <c r="C5" s="5">
        <f>MAX(0,4700000+100000-600000-2530000-109000)/140436000.0</f>
        <v>0</v>
      </c>
      <c r="D5" s="5">
        <f>MAX(0,4700000+250000-600000-2530000-109000)/140436000.0</f>
        <v>0</v>
      </c>
      <c r="E5" s="5">
        <f>MAX(0,4700000+500000-600000-2530000-109000)/140436000.0</f>
        <v>0</v>
      </c>
      <c r="F5" s="5">
        <f>MAX(0,4700000+1000000-600000-2530000-109000)/140436000.0</f>
        <v>0</v>
      </c>
    </row>
    <row r="6" spans="1:6">
      <c r="A6" s="14">
        <v>900000</v>
      </c>
      <c r="B6" s="5">
        <f>MAX(0,4700000+0-900000-2530000-109000)/140436000.0</f>
        <v>0</v>
      </c>
      <c r="C6" s="5">
        <f>MAX(0,4700000+100000-900000-2530000-109000)/140436000.0</f>
        <v>0</v>
      </c>
      <c r="D6" s="5">
        <f>MAX(0,4700000+250000-900000-2530000-109000)/140436000.0</f>
        <v>0</v>
      </c>
      <c r="E6" s="5">
        <f>MAX(0,4700000+500000-900000-2530000-109000)/140436000.0</f>
        <v>0</v>
      </c>
      <c r="F6" s="5">
        <f>MAX(0,4700000+1000000-900000-2530000-109000)/140436000.0</f>
        <v>0</v>
      </c>
    </row>
    <row r="7" spans="1:6">
      <c r="A7" s="14">
        <v>1000000</v>
      </c>
      <c r="B7" s="5">
        <f>MAX(0,4700000+0-1000000-2530000-109000)/140436000.0</f>
        <v>0</v>
      </c>
      <c r="C7" s="5">
        <f>MAX(0,4700000+100000-1000000-2530000-109000)/140436000.0</f>
        <v>0</v>
      </c>
      <c r="D7" s="5">
        <f>MAX(0,4700000+250000-1000000-2530000-109000)/140436000.0</f>
        <v>0</v>
      </c>
      <c r="E7" s="5">
        <f>MAX(0,4700000+500000-1000000-2530000-109000)/140436000.0</f>
        <v>0</v>
      </c>
      <c r="F7" s="5">
        <f>MAX(0,4700000+1000000-1000000-2530000-109000)/140436000.0</f>
        <v>0</v>
      </c>
    </row>
    <row r="8" spans="1:6">
      <c r="A8" s="14">
        <v>1200000</v>
      </c>
      <c r="B8" s="5">
        <f>MAX(0,4700000+0-1200000-2530000-109000)/140436000.0</f>
        <v>0</v>
      </c>
      <c r="C8" s="5">
        <f>MAX(0,4700000+100000-1200000-2530000-109000)/140436000.0</f>
        <v>0</v>
      </c>
      <c r="D8" s="5">
        <f>MAX(0,4700000+250000-1200000-2530000-109000)/140436000.0</f>
        <v>0</v>
      </c>
      <c r="E8" s="5">
        <f>MAX(0,4700000+500000-1200000-2530000-109000)/140436000.0</f>
        <v>0</v>
      </c>
      <c r="F8" s="5">
        <f>MAX(0,4700000+1000000-1200000-2530000-109000)/140436000.0</f>
        <v>0</v>
      </c>
    </row>
    <row r="9" spans="1:6">
      <c r="A9" s="14">
        <v>1500000</v>
      </c>
      <c r="B9" s="5">
        <f>MAX(0,4700000+0-1500000-2530000-109000)/140436000.0</f>
        <v>0</v>
      </c>
      <c r="C9" s="5">
        <f>MAX(0,4700000+100000-1500000-2530000-109000)/140436000.0</f>
        <v>0</v>
      </c>
      <c r="D9" s="5">
        <f>MAX(0,4700000+250000-1500000-2530000-109000)/140436000.0</f>
        <v>0</v>
      </c>
      <c r="E9" s="5">
        <f>MAX(0,4700000+500000-1500000-2530000-109000)/140436000.0</f>
        <v>0</v>
      </c>
      <c r="F9" s="5">
        <f>MAX(0,4700000+1000000-1500000-2530000-109000)/140436000.0</f>
        <v>0</v>
      </c>
    </row>
    <row r="11" spans="1:6">
      <c r="A11" t="s">
        <v>68</v>
      </c>
    </row>
    <row r="12" spans="1:6">
      <c r="A12" t="s">
        <v>69</v>
      </c>
    </row>
    <row r="13" spans="1:6">
      <c r="A13" t="s">
        <v>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3"/>
  <sheetViews>
    <sheetView workbookViewId="0"/>
  </sheetViews>
  <sheetFormatPr defaultRowHeight="15"/>
  <cols>
    <col min="1" max="1" width="30.7109375" customWidth="1"/>
    <col min="2" max="2" width="90.7109375" customWidth="1"/>
  </cols>
  <sheetData>
    <row r="1" spans="1:2">
      <c r="A1" s="1" t="s">
        <v>71</v>
      </c>
    </row>
    <row r="4" spans="1:2" ht="45" customHeight="1">
      <c r="A4" s="7" t="s">
        <v>72</v>
      </c>
      <c r="B4" s="13" t="s">
        <v>73</v>
      </c>
    </row>
    <row r="5" spans="1:2" ht="45" customHeight="1">
      <c r="A5" s="7" t="s">
        <v>74</v>
      </c>
      <c r="B5" s="13" t="s">
        <v>75</v>
      </c>
    </row>
    <row r="6" spans="1:2" ht="45" customHeight="1">
      <c r="A6" s="7" t="s">
        <v>76</v>
      </c>
      <c r="B6" s="13" t="s">
        <v>77</v>
      </c>
    </row>
    <row r="7" spans="1:2" ht="45" customHeight="1">
      <c r="A7" s="7" t="s">
        <v>78</v>
      </c>
      <c r="B7" s="13" t="s">
        <v>79</v>
      </c>
    </row>
    <row r="8" spans="1:2" ht="45" customHeight="1">
      <c r="A8" s="7" t="s">
        <v>80</v>
      </c>
      <c r="B8" s="13" t="s">
        <v>81</v>
      </c>
    </row>
    <row r="9" spans="1:2" ht="45" customHeight="1">
      <c r="A9" s="7" t="s">
        <v>82</v>
      </c>
      <c r="B9" s="13" t="s">
        <v>83</v>
      </c>
    </row>
    <row r="10" spans="1:2" ht="45" customHeight="1">
      <c r="A10" s="7" t="s">
        <v>84</v>
      </c>
      <c r="B10" s="13" t="s">
        <v>85</v>
      </c>
    </row>
    <row r="11" spans="1:2" ht="45" customHeight="1">
      <c r="A11" s="7" t="s">
        <v>86</v>
      </c>
      <c r="B11" s="13" t="s">
        <v>87</v>
      </c>
    </row>
    <row r="12" spans="1:2" ht="45" customHeight="1">
      <c r="A12" s="7" t="s">
        <v>88</v>
      </c>
      <c r="B12" s="13" t="s">
        <v>89</v>
      </c>
    </row>
    <row r="13" spans="1:2" ht="45" customHeight="1">
      <c r="A13" s="7" t="s">
        <v>90</v>
      </c>
      <c r="B13" s="13"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Liquidation Waterfall</vt:lpstr>
      <vt:lpstr>Historical Loss Record</vt:lpstr>
      <vt:lpstr>Sensitivity</vt:lpstr>
      <vt:lpstr>Model_Info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2026-08-09T10:10:24Z</dcterms:created>
  <dcterms:modified xsi:type="dcterms:W3CDTF">2026-08-09T10:10:24Z</dcterms:modified>
</cp:coreProperties>
</file>