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<sst xmlns="http://schemas.openxmlformats.org/spreadsheetml/2006/main" count="348" uniqueCount="163">
  <si>
    <t xml:space="preserve">Ticker</t>
  </si>
  <si>
    <t xml:space="preserve">IHG.L</t>
  </si>
  <si>
    <t xml:space="preserve">Company</t>
  </si>
  <si>
    <t xml:space="preserve">InterContinental Hotels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</si>
  <si>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</si>
  <si>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</si>
  <si>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</si>
  <si>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</si>
  <si>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2026-10-09T17:03:55Z regular close (LSE)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</si>
  <si>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</si>
  <si>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</si>
  <si>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</si>
  <si>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</si>
  <si>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</si>
  <si>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</si>
  <si>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</si>
  <si>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</si>
  <si>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</si>
  <si>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</si>
  <si>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</si>
  <si>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</si>
  <si>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2026-10-09T23:32:06Z</t>
  </si>
  <si>
    <t xml:space="preserve">Drivers file</t>
  </si>
  <si>
    <t xml:space="preserve">IHG.L_Drivers.json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</si>
  <si>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</si>
  <si>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</si>
  <si>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</si>
  <si>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IHG is a high-quality, asset-light compounder - 1.03m rooms almost entirely franchised or managed, a 66% fee margin, ~100% conversion of adjusted earnings into free cash flow, and a disciplined return of all surplus cash through dividends and buybacks funded within a 2.5-3.0x leverage band. The house model values that stream on a strict owner-FCF basis (SBC and equity-award taxes expensed, key money treated as the growth capex it is, leases held as debt, one 8.75% USD WACC, terminal value the lower of Gordon at 3% and a 20x cap). The market pays a premium multiple (~25x adjusted earnings, ~2.6x net debt/EBITDA) for the predictability of the fee algorithm; the DCF asks what that algorithm is worth at a normal discount rate rather than whether the multiple will persist. Negative book equity is a disclosed capital-allocation outcome, not a risk signal.
key_risks_to_valuation: Lodging-cycle risk: RevPAR is procyclical and the Americas (~60% of fee operating profit) drive it; the last three recessions each cut IHG fee revenue by double digits.; Greater China (~8% of fee revenue, ~11% of system) has had weak RevPAR for two years; a prolonged slump drags system growth and signings.; Fee-margin expansion depends on holding the fee cost base to 1-3% growth; technology, loyalty and brand-launch spend could outrun that.; Key money intensity: securing conversions and new-build signings costs ~$180m a year and is rising; if it keeps growing faster than fees the asset-light economics erode.; Leverage at 2.6x net debt/EBITDA with $1.0bn of borrowings current at 30 June 2026 (2027 bond maturities) - refinancing is routine for an investment-grade issuer but raises the interest bill ($230-240m guided for 2026).; Terminal value is ~60% of enterprise value; each 1pp on WACC moves the base value by roughly 15%.; Share-price currency changed from GBP to USD in 2025-26: compare IHG.L only against USD figures; sterling-based investors carry GBPUSD exposure.
sanity_check_note: Multiples sanity check: P/E, EV/EBITDA and P/S all pass, each below its FY2021-FY2025 average. The only trip is the P/B rule, which is void on negative book equity (see warnings[0]); the valuation was deliberately NOT adjusted for it. Negative equity here is the arithmetic of a franchisor that returns more than it earns through buybacks, not a solvency signal: net debt/adjusted EBITDA is 2.63x inside the 2.5-3.0x investment-grade target.</t>
  </si>
  <si>
    <t xml:space="preserve">Data sources</t>
  </si>
  <si>
    <t xml:space="preserve">price: Yahoo Finance chart API for IHG.L (LSE, quoted in USD) at inputs.price_as_of; 52-week range 117.9-175.7; parity-checked against the NYSE ADR IHG (1:1).
financials: IHG.L_Metrics.csv / core_metrics (FY2021-FY2025 annual, H1 FY2023-H1 FY2026 half-years, USD millions) derived from the Annual Report and Form 20-F 2025 (net debt note 22, equity note 28, EPS note, cash flow statement) and the 2026 Half Year Results (notes 7, 8, 10; growth-algorithm and outlook sections).
qualitative: 2026 Half Year Results growth-algorithm, outlook and risk sections; FY2025 Annual Report strategic report and capital-expenditure KPMs. IHG.L_Analysis.json was not yet written when this valuation was built (parallel qualitative-analyst run).</t>
  </si>
  <si>
    <t xml:space="preserve">Scenario narrative: bear</t>
  </si>
  <si>
    <t xml:space="preserve">Lodging is cyclical and IHG's fee stream is geared to it: in the 2008-09 downturn RevPAR fell ~10% and fee revenue dropped double digits. A 2027-28 US-led recession (the Americas is ~60% of fee operating profit), a prolonged Greater China slump, or a geopolitical travel shock cuts RevPAR for two years while owners stall conversions and signings; margin gives back ~2pp through negative operating leverage. Leverage at 2.6x EBITDA remains serviceable but the buyback pace halves. Growth resumes at trend from a lower base, and the market re-rates IHG from ~25x to a mid-cycle 15x FCF. Not a solvency case: the business stays cash generative throughout.</t>
  </si>
  <si>
    <t xml:space="preserve">Scenario narrative: base</t>
  </si>
  <si>
    <t xml:space="preserve">IHG keeps compounding as an asset-light fee business. Net system size grows ~4% a year (1.03m rooms, 340k-room pipeline, 100k+ rooms signed in each of 2024 and 2025) and global RevPAR adds +1-2% in a mid-cycle environment, giving fee revenue growth of 6-7% - the lower-middle of management's 'high-single-digit' algorithm. Fee margin rises ~100bps a year from 65.9% through operating leverage as the fee cost base is held to 1-3% growth, which is ~0.5pp a year on the total-revenue EBITDA margin used here. Key money of ~$180m a year keeps funding conversions. Net debt stays in the 2.5-3.0x target range with ~$950m a year of buybacks, which are value-neutral in this model (SBC expensed, count flat). Near term, the H1 2026 run-rate (revenue +5.6%, fee revenue +7%, adjusted operating profit +10%) carries into year 1.</t>
  </si>
  <si>
    <t xml:space="preserve">Scenario narrative: bull</t>
  </si>
  <si>
    <t xml:space="preserve">The structural tailwinds management cites compound together: hotel room nights grow at the 3.6% decade CAGR Oxford Economics forecasts while US net supply growth sits below 1%, lifting RevPAR to +3-4%; Greater China returns to growth; conversions (Garner, Ruby, voco) accelerate net system growth to 5%+; the 2024-25 step-ups in co-brand card and loyalty-point fees become ongoing growth streams; and fee margin expands at the top of the 100-150bps range. Adjusted EPS compounds at the upper end of the 12-15% target. The DCF then approaches today's premium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</si>
  <si>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</si>
  <si>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</si>
  <si>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</si>
  <si>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</si>
  <si>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</si>
  <si>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</si>
  <si>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</si>
  <si>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</si>
  <si>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</si>
  <si>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</si>
  <si>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</si>
  <si>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</si>
  <si>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</si>
  <si>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</si>
  <si>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</si>
  <si>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</si>
  <si>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</si>
  <si>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</si>
  <si>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</si>
  <si>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</si>
  <si>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</si>
  <si>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</si>
  <si>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</si>
  <si>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</si>
  <si>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</si>
  <si>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</si>
  <si>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</si>
  <si>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AdjustedOperatingProfit</t>
  </si>
  <si>
    <t xml:space="preserve">CapexIntangibles</t>
  </si>
  <si>
    <t xml:space="preserve">CapexPPE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</si>
  <si>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</si>
  <si>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</si>
  <si>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</si>
  <si>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</si>
  <si>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</si>
  <si>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</si>
  <si>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</si>
  <si>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</si>
  <si>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</si>
  <si>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</si>
  <si>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</si>
  <si>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</si>
  <si>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</si>
  <si>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</si>
  <si>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</si>
  <si>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</si>
  <si>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</si>
  <si>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</si>
  <si>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</si>
  <si>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</si>
  <si>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</si>
  <si>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</si>
  <si>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</si>
  <si>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</si>
  <si>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</si>
  <si>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</si>
  <si>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</si>
  <si>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</si>
  <si>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</si>
  <si>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</si>
  <si>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</si>
  <si>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</si>
  <si>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</si>
  <si>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</si>
  <si>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</si>
  <si>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</si>
  <si>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</si>
  <si>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</si>
  <si>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</si>
  <si>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</si>
  <si>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</si>
  <si>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</si>
  <si>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IHG.L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</si>
  <si>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</si>
  <si>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</si>
  <si>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</si>
  <si>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</si>
  <si>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</si>
  <si>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</si>
  <si>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</si>
  <si>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</si>
  <si>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</si>
  <si>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</si>
  <si>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</si>
  <si>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</si>
  <si>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</si>
  <si>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</si>
  <si>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</si>
  <si>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</si>
  <si>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</si>
  <si>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</si>
  <si>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</si>
  <si>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</si>
  <si>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</si>
  <si>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</si>
  <si>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</si>
  <si>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</si>
  <si>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</si>
  <si>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</si>
  <si>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</si>
  <si>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</si>
  <si>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</si>
  <si>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</si>
  <si>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IHG.L owner-FCF component DCF: base case (millions, USD)</t>
  </si>
  <si>
    <t xml:space="preserve">IHG.L owner-FCF component DCF: bull case (millions, USD)</t>
  </si>
  <si>
    <t xml:space="preserve">IHG.L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</si>
  <si>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</si>
  <si>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</si>
  <si>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</si>
  <si>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</si>
  <si>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</si>
  <si>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</si>
  <si>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</si>
  <si>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</si>
  <si>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</si>
  <si>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</si>
  <si>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</si>
  <si>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</si>
  <si>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</si>
  <si>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</si>
  <si>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8.75%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</si>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</sst>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159.05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2907</v>
      </c>
      <c r="C2" s="0" t="n">
        <v>486</v>
      </c>
      <c r="F2" s="0" t="n">
        <v>494</v>
      </c>
      <c r="G2" s="0" t="n">
        <v>17</v>
      </c>
      <c r="H2" s="0" t="n">
        <v>686</v>
      </c>
      <c r="I2" s="0" t="n">
        <v>265</v>
      </c>
      <c r="J2" s="0" t="n">
        <v>9.1</v>
      </c>
      <c r="K2" s="0" t="n">
        <v>1.446</v>
      </c>
      <c r="L2" s="0" t="n">
        <v>636</v>
      </c>
      <c r="M2" s="0" t="n">
        <v>52</v>
      </c>
      <c r="N2" s="0" t="n">
        <v>584</v>
      </c>
      <c r="O2" s="0" t="n">
        <v>-1481</v>
      </c>
      <c r="P2" s="0" t="n">
        <v>4716</v>
      </c>
      <c r="Q2" s="0" t="n">
        <v>6190</v>
      </c>
      <c r="R2" s="0" t="n">
        <v>2845</v>
      </c>
      <c r="S2" s="0" t="n">
        <v>1450</v>
      </c>
      <c r="T2" s="0" t="n">
        <v>184</v>
      </c>
      <c r="U2" s="0" t="n">
        <v>41</v>
      </c>
      <c r="AA2" s="0" t="s">
        <v>17</v>
      </c>
      <c r="AB2" s="0" t="s">
        <v>14</v>
      </c>
      <c r="AC2" s="0" t="n">
        <v>534</v>
      </c>
      <c r="AD2" s="0" t="n">
        <v>35</v>
      </c>
      <c r="AE2" s="0" t="n">
        <v>17</v>
      </c>
    </row>
    <row r="3" customFormat="false" ht="15" hidden="false" customHeight="false" outlineLevel="0" collapsed="false">
      <c r="A3" s="0" t="s">
        <v>67</v>
      </c>
      <c r="B3" s="0" t="n">
        <v>3892</v>
      </c>
      <c r="C3" s="0" t="n">
        <v>648</v>
      </c>
      <c r="F3" s="0" t="n">
        <v>628</v>
      </c>
      <c r="G3" s="0" t="n">
        <v>16.1</v>
      </c>
      <c r="H3" s="0" t="n">
        <v>782</v>
      </c>
      <c r="I3" s="0" t="n">
        <v>376</v>
      </c>
      <c r="J3" s="0" t="n">
        <v>9.7</v>
      </c>
      <c r="K3" s="0" t="n">
        <v>2.06</v>
      </c>
      <c r="L3" s="0" t="n">
        <v>646</v>
      </c>
      <c r="M3" s="0" t="n">
        <v>99</v>
      </c>
      <c r="N3" s="0" t="n">
        <v>547</v>
      </c>
      <c r="O3" s="0" t="n">
        <v>-1615</v>
      </c>
      <c r="P3" s="0" t="n">
        <v>4216</v>
      </c>
      <c r="Q3" s="0" t="n">
        <v>5824</v>
      </c>
      <c r="R3" s="0" t="n">
        <v>2396</v>
      </c>
      <c r="S3" s="0" t="n">
        <v>976</v>
      </c>
      <c r="T3" s="0" t="n">
        <v>182</v>
      </c>
      <c r="U3" s="0" t="n">
        <v>46</v>
      </c>
      <c r="AA3" s="0" t="s">
        <v>17</v>
      </c>
      <c r="AB3" s="0" t="s">
        <v>14</v>
      </c>
      <c r="AC3" s="0" t="n">
        <v>828</v>
      </c>
      <c r="AD3" s="0" t="n">
        <v>45</v>
      </c>
      <c r="AE3" s="0" t="n">
        <v>54</v>
      </c>
    </row>
    <row r="4" customFormat="false" ht="15" hidden="false" customHeight="false" outlineLevel="0" collapsed="false">
      <c r="A4" s="0" t="s">
        <v>68</v>
      </c>
      <c r="B4" s="0" t="n">
        <v>4624</v>
      </c>
      <c r="C4" s="0" t="n">
        <v>742</v>
      </c>
      <c r="F4" s="0" t="n">
        <v>1066</v>
      </c>
      <c r="G4" s="0" t="n">
        <v>23.1</v>
      </c>
      <c r="H4" s="0" t="n">
        <v>1216</v>
      </c>
      <c r="I4" s="0" t="n">
        <v>750</v>
      </c>
      <c r="J4" s="0" t="n">
        <v>16.2</v>
      </c>
      <c r="K4" s="0" t="n">
        <v>4.412</v>
      </c>
      <c r="L4" s="0" t="n">
        <v>893</v>
      </c>
      <c r="M4" s="0" t="n">
        <v>82</v>
      </c>
      <c r="N4" s="0" t="n">
        <v>811</v>
      </c>
      <c r="O4" s="0" t="n">
        <v>-1950</v>
      </c>
      <c r="P4" s="0" t="n">
        <v>4813</v>
      </c>
      <c r="Q4" s="0" t="n">
        <v>6759</v>
      </c>
      <c r="R4" s="0" t="n">
        <v>3166</v>
      </c>
      <c r="S4" s="0" t="n">
        <v>1322</v>
      </c>
      <c r="T4" s="0" t="n">
        <v>170</v>
      </c>
      <c r="U4" s="0" t="n">
        <v>56</v>
      </c>
      <c r="V4" s="0" t="n">
        <v>1.428</v>
      </c>
      <c r="AA4" s="0" t="s">
        <v>17</v>
      </c>
      <c r="AB4" s="0" t="s">
        <v>14</v>
      </c>
      <c r="AC4" s="0" t="n">
        <v>1019</v>
      </c>
      <c r="AD4" s="0" t="n">
        <v>54</v>
      </c>
      <c r="AE4" s="0" t="n">
        <v>28</v>
      </c>
    </row>
    <row r="5" customFormat="false" ht="15" hidden="false" customHeight="false" outlineLevel="0" collapsed="false">
      <c r="A5" s="0" t="s">
        <v>69</v>
      </c>
      <c r="B5" s="0" t="n">
        <v>4923</v>
      </c>
      <c r="C5" s="0" t="n">
        <v>745</v>
      </c>
      <c r="F5" s="0" t="n">
        <v>1041</v>
      </c>
      <c r="G5" s="0" t="n">
        <v>21.1</v>
      </c>
      <c r="H5" s="0" t="n">
        <v>1186</v>
      </c>
      <c r="I5" s="0" t="n">
        <v>628</v>
      </c>
      <c r="J5" s="0" t="n">
        <v>12.8</v>
      </c>
      <c r="K5" s="0" t="n">
        <v>3.853</v>
      </c>
      <c r="L5" s="0" t="n">
        <v>724</v>
      </c>
      <c r="M5" s="0" t="n">
        <v>78</v>
      </c>
      <c r="N5" s="0" t="n">
        <v>646</v>
      </c>
      <c r="O5" s="0" t="n">
        <v>-2312</v>
      </c>
      <c r="P5" s="0" t="n">
        <v>4748</v>
      </c>
      <c r="Q5" s="0" t="n">
        <v>7056</v>
      </c>
      <c r="R5" s="0" t="n">
        <v>3274</v>
      </c>
      <c r="S5" s="0" t="n">
        <v>1008</v>
      </c>
      <c r="T5" s="0" t="n">
        <v>163</v>
      </c>
      <c r="U5" s="0" t="n">
        <v>67</v>
      </c>
      <c r="V5" s="0" t="n">
        <v>1.572</v>
      </c>
      <c r="AA5" s="0" t="s">
        <v>17</v>
      </c>
      <c r="AB5" s="0" t="s">
        <v>14</v>
      </c>
      <c r="AC5" s="0" t="n">
        <v>1124</v>
      </c>
      <c r="AD5" s="0" t="n">
        <v>49</v>
      </c>
      <c r="AE5" s="0" t="n">
        <v>29</v>
      </c>
    </row>
    <row r="6" customFormat="false" ht="15" hidden="false" customHeight="false" outlineLevel="0" collapsed="false">
      <c r="A6" s="0" t="s">
        <v>70</v>
      </c>
      <c r="B6" s="0" t="n">
        <v>5189</v>
      </c>
      <c r="C6" s="0" t="n">
        <v>764</v>
      </c>
      <c r="F6" s="0" t="n">
        <v>1198</v>
      </c>
      <c r="G6" s="0" t="n">
        <v>23.1</v>
      </c>
      <c r="H6" s="0" t="n">
        <v>1344</v>
      </c>
      <c r="I6" s="0" t="n">
        <v>759</v>
      </c>
      <c r="J6" s="0" t="n">
        <v>14.6</v>
      </c>
      <c r="K6" s="0" t="n">
        <v>4.865</v>
      </c>
      <c r="L6" s="0" t="n">
        <v>898</v>
      </c>
      <c r="M6" s="0" t="n">
        <v>77</v>
      </c>
      <c r="N6" s="0" t="n">
        <v>821</v>
      </c>
      <c r="O6" s="0" t="n">
        <v>-2741</v>
      </c>
      <c r="P6" s="0" t="n">
        <v>5345</v>
      </c>
      <c r="Q6" s="0" t="n">
        <v>8081</v>
      </c>
      <c r="R6" s="0" t="n">
        <v>4201</v>
      </c>
      <c r="S6" s="0" t="n">
        <v>1129</v>
      </c>
      <c r="T6" s="0" t="n">
        <v>155.8</v>
      </c>
      <c r="U6" s="0" t="n">
        <v>72</v>
      </c>
      <c r="V6" s="0" t="n">
        <v>1.73</v>
      </c>
      <c r="AA6" s="0" t="s">
        <v>17</v>
      </c>
      <c r="AB6" s="0" t="s">
        <v>14</v>
      </c>
      <c r="AC6" s="0" t="n">
        <v>1265</v>
      </c>
      <c r="AD6" s="0" t="n">
        <v>49</v>
      </c>
      <c r="AE6" s="0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159.05</v>
      </c>
    </row>
    <row r="3" customFormat="false" ht="15" hidden="false" customHeight="false" outlineLevel="0" collapsed="false">
      <c r="A3" s="0" t="s">
        <v>74</v>
      </c>
      <c r="B3" s="3" t="n">
        <v>149.8</v>
      </c>
    </row>
    <row r="4" customFormat="false" ht="15" hidden="false" customHeight="false" outlineLevel="0" collapsed="false">
      <c r="A4" s="0" t="s">
        <v>75</v>
      </c>
      <c r="B4" s="3" t="n">
        <v>3663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5189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4</v>
      </c>
      <c r="D13" s="3" t="n">
        <v>1</v>
      </c>
      <c r="E13" s="3" t="n">
        <v>0</v>
      </c>
      <c r="F13" s="3" t="n">
        <v>3</v>
      </c>
      <c r="G13" s="3" t="n">
        <v>4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95</v>
      </c>
      <c r="C14" s="3" t="n">
        <v>27.3</v>
      </c>
      <c r="D14" s="3" t="n">
        <v>26.5</v>
      </c>
      <c r="E14" s="3" t="n">
        <v>25.8</v>
      </c>
      <c r="F14" s="3" t="n">
        <v>26</v>
      </c>
      <c r="G14" s="3" t="n">
        <v>26.3</v>
      </c>
      <c r="H14" s="3" t="n">
        <v>26.5</v>
      </c>
      <c r="I14" s="3" t="n">
        <v>26.5</v>
      </c>
      <c r="J14" s="3" t="n">
        <v>26.5</v>
      </c>
      <c r="K14" s="3" t="n">
        <v>26.5</v>
      </c>
      <c r="L14" s="3" t="n">
        <v>26.5</v>
      </c>
    </row>
    <row r="15" customFormat="false" ht="15" hidden="false" customHeight="false" outlineLevel="0" collapsed="false">
      <c r="A15" s="0" t="s">
        <v>96</v>
      </c>
      <c r="C15" s="3" t="n">
        <v>1.6</v>
      </c>
      <c r="D15" s="3" t="n">
        <v>1.7</v>
      </c>
      <c r="E15" s="3" t="n">
        <v>1.7</v>
      </c>
      <c r="F15" s="3" t="n">
        <v>1.6</v>
      </c>
      <c r="G15" s="3" t="n">
        <v>1.6</v>
      </c>
      <c r="H15" s="3" t="n">
        <v>1.6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99</v>
      </c>
      <c r="C18" s="3" t="n">
        <v>3.3</v>
      </c>
      <c r="D18" s="3" t="n">
        <v>3.2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100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101</v>
      </c>
      <c r="B20" s="3" t="n">
        <v>8.75</v>
      </c>
    </row>
    <row r="21" customFormat="false" ht="15" hidden="false" customHeight="false" outlineLevel="0" collapsed="false">
      <c r="A21" s="0" t="s">
        <v>102</v>
      </c>
      <c r="B21" s="3" t="n">
        <v>2.5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5</v>
      </c>
    </row>
    <row r="24" customFormat="false" ht="15" hidden="false" customHeight="false" outlineLevel="0" collapsed="false">
      <c r="A24" s="0" t="s">
        <v>105</v>
      </c>
      <c r="B24" s="3" t="n">
        <v>0.2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5.5</v>
      </c>
      <c r="D27" s="3" t="n">
        <v>6</v>
      </c>
      <c r="E27" s="3" t="n">
        <v>6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27.8</v>
      </c>
      <c r="D28" s="3" t="n">
        <v>28.3</v>
      </c>
      <c r="E28" s="3" t="n">
        <v>28.8</v>
      </c>
      <c r="F28" s="3" t="n">
        <v>29.3</v>
      </c>
      <c r="G28" s="3" t="n">
        <v>29.7</v>
      </c>
      <c r="H28" s="3" t="n">
        <v>30</v>
      </c>
      <c r="I28" s="3" t="n">
        <v>30.3</v>
      </c>
      <c r="J28" s="3" t="n">
        <v>30.5</v>
      </c>
      <c r="K28" s="3" t="n">
        <v>30.7</v>
      </c>
      <c r="L28" s="3" t="n">
        <v>30.8</v>
      </c>
    </row>
    <row r="29" customFormat="false" ht="15" hidden="false" customHeight="false" outlineLevel="0" collapsed="false">
      <c r="A29" s="0" t="s">
        <v>96</v>
      </c>
      <c r="C29" s="3" t="n">
        <v>1.6</v>
      </c>
      <c r="D29" s="3" t="n">
        <v>1.6</v>
      </c>
      <c r="E29" s="3" t="n">
        <v>1.6</v>
      </c>
      <c r="F29" s="3" t="n">
        <v>1.55</v>
      </c>
      <c r="G29" s="3" t="n">
        <v>1.55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2.7</v>
      </c>
      <c r="D31" s="3" t="n">
        <v>2.7</v>
      </c>
      <c r="E31" s="3" t="n">
        <v>2.7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99</v>
      </c>
      <c r="C32" s="3" t="n">
        <v>3.3</v>
      </c>
      <c r="D32" s="3" t="n">
        <v>3.3</v>
      </c>
      <c r="E32" s="3" t="n">
        <v>3.2</v>
      </c>
      <c r="F32" s="3" t="n">
        <v>3.2</v>
      </c>
      <c r="G32" s="3" t="n">
        <v>3.1</v>
      </c>
      <c r="H32" s="3" t="n">
        <v>3.1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100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101</v>
      </c>
      <c r="B34" s="3" t="n">
        <v>8.75</v>
      </c>
    </row>
    <row r="35" customFormat="false" ht="15" hidden="false" customHeight="false" outlineLevel="0" collapsed="false">
      <c r="A35" s="0" t="s">
        <v>102</v>
      </c>
      <c r="B35" s="3" t="n">
        <v>3</v>
      </c>
    </row>
    <row r="36" customFormat="false" ht="15" hidden="false" customHeight="false" outlineLevel="0" collapsed="false">
      <c r="A36" s="0" t="s">
        <v>103</v>
      </c>
      <c r="B36" s="3" t="n">
        <v>20</v>
      </c>
    </row>
    <row r="37" customFormat="false" ht="15" hidden="false" customHeight="false" outlineLevel="0" collapsed="false">
      <c r="A37" s="0" t="s">
        <v>104</v>
      </c>
      <c r="B37" s="3" t="n">
        <v>10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6.5</v>
      </c>
      <c r="D41" s="3" t="n">
        <v>8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95</v>
      </c>
      <c r="C42" s="3" t="n">
        <v>28</v>
      </c>
      <c r="D42" s="3" t="n">
        <v>28.8</v>
      </c>
      <c r="E42" s="3" t="n">
        <v>29.6</v>
      </c>
      <c r="F42" s="3" t="n">
        <v>30.4</v>
      </c>
      <c r="G42" s="3" t="n">
        <v>31.1</v>
      </c>
      <c r="H42" s="3" t="n">
        <v>31.7</v>
      </c>
      <c r="I42" s="3" t="n">
        <v>32.2</v>
      </c>
      <c r="J42" s="3" t="n">
        <v>32.6</v>
      </c>
      <c r="K42" s="3" t="n">
        <v>32.9</v>
      </c>
      <c r="L42" s="3" t="n">
        <v>33</v>
      </c>
    </row>
    <row r="43" customFormat="false" ht="15" hidden="false" customHeight="false" outlineLevel="0" collapsed="false">
      <c r="A43" s="0" t="s">
        <v>96</v>
      </c>
      <c r="C43" s="3" t="n">
        <v>1.6</v>
      </c>
      <c r="D43" s="3" t="n">
        <v>1.6</v>
      </c>
      <c r="E43" s="3" t="n">
        <v>1.55</v>
      </c>
      <c r="F43" s="3" t="n">
        <v>1.55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2.7</v>
      </c>
      <c r="D45" s="3" t="n">
        <v>2.7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99</v>
      </c>
      <c r="C46" s="3" t="n">
        <v>3.5</v>
      </c>
      <c r="D46" s="3" t="n">
        <v>3.5</v>
      </c>
      <c r="E46" s="3" t="n">
        <v>3.5</v>
      </c>
      <c r="F46" s="3" t="n">
        <v>3.4</v>
      </c>
      <c r="G46" s="3" t="n">
        <v>3.4</v>
      </c>
      <c r="H46" s="3" t="n">
        <v>3.3</v>
      </c>
      <c r="I46" s="3" t="n">
        <v>3.2</v>
      </c>
      <c r="J46" s="3" t="n">
        <v>3.1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100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101</v>
      </c>
      <c r="B48" s="3" t="n">
        <v>8.75</v>
      </c>
    </row>
    <row r="49" customFormat="false" ht="15" hidden="false" customHeight="false" outlineLevel="0" collapsed="false">
      <c r="A49" s="0" t="s">
        <v>102</v>
      </c>
      <c r="B49" s="3" t="n">
        <v>3.5</v>
      </c>
    </row>
    <row r="50" customFormat="false" ht="15" hidden="false" customHeight="false" outlineLevel="0" collapsed="false">
      <c r="A50" s="0" t="s">
        <v>103</v>
      </c>
      <c r="B50" s="3" t="n">
        <v>20</v>
      </c>
    </row>
    <row r="51" customFormat="false" ht="15" hidden="false" customHeight="false" outlineLevel="0" collapsed="false">
      <c r="A51" s="0" t="s">
        <v>104</v>
      </c>
      <c r="B51" s="3" t="n">
        <v>10</v>
      </c>
    </row>
    <row r="52" customFormat="false" ht="15" hidden="false" customHeight="false" outlineLevel="0" collapsed="false">
      <c r="A52" s="0" t="s">
        <v>105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5189</v>
      </c>
      <c r="C6" s="0" t="n">
        <f aca="false">B6*(1+C5/100)</f>
        <v>5396.56</v>
      </c>
      <c r="D6" s="0" t="n">
        <f aca="false">C6*(1+D5/100)</f>
        <v>5450.5256</v>
      </c>
      <c r="E6" s="0" t="n">
        <f aca="false">D6*(1+E5/100)</f>
        <v>5450.5256</v>
      </c>
      <c r="F6" s="0" t="n">
        <f aca="false">E6*(1+F5/100)</f>
        <v>5614.041368</v>
      </c>
      <c r="G6" s="0" t="n">
        <f aca="false">F6*(1+G5/100)</f>
        <v>5838.60302272</v>
      </c>
      <c r="H6" s="0" t="n">
        <f aca="false">G6*(1+H5/100)</f>
        <v>6072.1471436288</v>
      </c>
      <c r="I6" s="0" t="n">
        <f aca="false">H6*(1+I5/100)</f>
        <v>6284.67229365581</v>
      </c>
      <c r="J6" s="0" t="n">
        <f aca="false">I6*(1+J5/100)</f>
        <v>6473.21246246548</v>
      </c>
      <c r="K6" s="0" t="n">
        <f aca="false">J6*(1+K5/100)</f>
        <v>6667.40883633945</v>
      </c>
      <c r="L6" s="0" t="n">
        <f aca="false">K6*(1+L5/100)</f>
        <v>6834.09405724794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27.3</v>
      </c>
      <c r="D7" s="4" t="n">
        <f aca="false">Assumptions!D14</f>
        <v>26.5</v>
      </c>
      <c r="E7" s="4" t="n">
        <f aca="false">Assumptions!E14</f>
        <v>25.8</v>
      </c>
      <c r="F7" s="4" t="n">
        <f aca="false">Assumptions!F14</f>
        <v>26</v>
      </c>
      <c r="G7" s="4" t="n">
        <f aca="false">Assumptions!G14</f>
        <v>26.3</v>
      </c>
      <c r="H7" s="4" t="n">
        <f aca="false">Assumptions!H14</f>
        <v>26.5</v>
      </c>
      <c r="I7" s="4" t="n">
        <f aca="false">Assumptions!I14</f>
        <v>26.5</v>
      </c>
      <c r="J7" s="4" t="n">
        <f aca="false">Assumptions!J14</f>
        <v>26.5</v>
      </c>
      <c r="K7" s="4" t="n">
        <f aca="false">Assumptions!K14</f>
        <v>26.5</v>
      </c>
      <c r="L7" s="4" t="n">
        <f aca="false">Assumptions!L14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1473.26088</v>
      </c>
      <c r="D8" s="0" t="n">
        <f aca="false">D6*D7/100</f>
        <v>1444.389284</v>
      </c>
      <c r="E8" s="0" t="n">
        <f aca="false">E6*E7/100</f>
        <v>1406.2356048</v>
      </c>
      <c r="F8" s="0" t="n">
        <f aca="false">F6*F7/100</f>
        <v>1459.65075568</v>
      </c>
      <c r="G8" s="0" t="n">
        <f aca="false">G6*G7/100</f>
        <v>1535.55259497536</v>
      </c>
      <c r="H8" s="0" t="n">
        <f aca="false">H6*H7/100</f>
        <v>1609.11899306163</v>
      </c>
      <c r="I8" s="0" t="n">
        <f aca="false">I6*I7/100</f>
        <v>1665.43815781879</v>
      </c>
      <c r="J8" s="0" t="n">
        <f aca="false">J6*J7/100</f>
        <v>1715.40130255335</v>
      </c>
      <c r="K8" s="0" t="n">
        <f aca="false">K6*K7/100</f>
        <v>1766.86334162995</v>
      </c>
      <c r="L8" s="0" t="n">
        <f aca="false">L6*L7/100</f>
        <v>1811.0349251707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1.6</v>
      </c>
      <c r="D9" s="4" t="n">
        <f aca="false">Assumptions!D15</f>
        <v>1.7</v>
      </c>
      <c r="E9" s="4" t="n">
        <f aca="false">Assumptions!E15</f>
        <v>1.7</v>
      </c>
      <c r="F9" s="4" t="n">
        <f aca="false">Assumptions!F15</f>
        <v>1.6</v>
      </c>
      <c r="G9" s="4" t="n">
        <f aca="false">Assumptions!G15</f>
        <v>1.6</v>
      </c>
      <c r="H9" s="4" t="n">
        <f aca="false">Assumptions!H15</f>
        <v>1.6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-86.34496</v>
      </c>
      <c r="D10" s="0" t="n">
        <f aca="false">-D6*D9/100</f>
        <v>-92.6589352</v>
      </c>
      <c r="E10" s="0" t="n">
        <f aca="false">-E6*E9/100</f>
        <v>-92.6589352</v>
      </c>
      <c r="F10" s="0" t="n">
        <f aca="false">-F6*F9/100</f>
        <v>-89.824661888</v>
      </c>
      <c r="G10" s="0" t="n">
        <f aca="false">-G6*G9/100</f>
        <v>-93.41764836352</v>
      </c>
      <c r="H10" s="0" t="n">
        <f aca="false">-H6*H9/100</f>
        <v>-97.1543542980608</v>
      </c>
      <c r="I10" s="0" t="n">
        <f aca="false">-I6*I9/100</f>
        <v>-94.2700844048372</v>
      </c>
      <c r="J10" s="0" t="n">
        <f aca="false">-J6*J9/100</f>
        <v>-97.0981869369823</v>
      </c>
      <c r="K10" s="0" t="n">
        <f aca="false">-K6*K9/100</f>
        <v>-100.011132545092</v>
      </c>
      <c r="L10" s="0" t="n">
        <f aca="false">-L6*L9/100</f>
        <v>-102.511410858719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1386.91592</v>
      </c>
      <c r="D11" s="0" t="n">
        <f aca="false">D8+D10+D24</f>
        <v>1351.7303488</v>
      </c>
      <c r="E11" s="0" t="n">
        <f aca="false">E8+E10+E24</f>
        <v>1313.5766696</v>
      </c>
      <c r="F11" s="0" t="n">
        <f aca="false">F8+F10+F24</f>
        <v>1369.826093792</v>
      </c>
      <c r="G11" s="0" t="n">
        <f aca="false">G8+G10+G24</f>
        <v>1442.13494661184</v>
      </c>
      <c r="H11" s="0" t="n">
        <f aca="false">H8+H10+H24</f>
        <v>1511.96463876357</v>
      </c>
      <c r="I11" s="0" t="n">
        <f aca="false">I8+I10+I24</f>
        <v>1571.16807341395</v>
      </c>
      <c r="J11" s="0" t="n">
        <f aca="false">J8+J10+J24</f>
        <v>1618.30311561637</v>
      </c>
      <c r="K11" s="0" t="n">
        <f aca="false">K8+K10+K24</f>
        <v>1666.85220908486</v>
      </c>
      <c r="L11" s="0" t="n">
        <f aca="false">L8+L10+L24</f>
        <v>1708.52351431198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-151.10368</v>
      </c>
      <c r="D12" s="4" t="n">
        <f aca="false">-D6*Assumptions!D17/100</f>
        <v>-152.6147168</v>
      </c>
      <c r="E12" s="4" t="n">
        <f aca="false">-E6*Assumptions!E17/100</f>
        <v>-152.6147168</v>
      </c>
      <c r="F12" s="4" t="n">
        <f aca="false">-F6*Assumptions!F17/100</f>
        <v>-157.193158304</v>
      </c>
      <c r="G12" s="4" t="n">
        <f aca="false">-G6*Assumptions!G17/100</f>
        <v>-163.48088463616</v>
      </c>
      <c r="H12" s="4" t="n">
        <f aca="false">-H6*Assumptions!H17/100</f>
        <v>-170.020120021606</v>
      </c>
      <c r="I12" s="4" t="n">
        <f aca="false">-I6*Assumptions!I17/100</f>
        <v>-175.970824222363</v>
      </c>
      <c r="J12" s="4" t="n">
        <f aca="false">-J6*Assumptions!J17/100</f>
        <v>-181.249948949034</v>
      </c>
      <c r="K12" s="4" t="n">
        <f aca="false">-K6*Assumptions!K17/100</f>
        <v>-186.687447417505</v>
      </c>
      <c r="L12" s="4" t="n">
        <f aca="false">-L6*Assumptions!L17/100</f>
        <v>-191.354633602942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1235.81224</v>
      </c>
      <c r="D13" s="0" t="n">
        <f aca="false">D11+D12</f>
        <v>1199.115632</v>
      </c>
      <c r="E13" s="0" t="n">
        <f aca="false">E11+E12</f>
        <v>1160.9619528</v>
      </c>
      <c r="F13" s="0" t="n">
        <f aca="false">F11+F12</f>
        <v>1212.632935488</v>
      </c>
      <c r="G13" s="0" t="n">
        <f aca="false">G11+G12</f>
        <v>1278.65406197568</v>
      </c>
      <c r="H13" s="0" t="n">
        <f aca="false">H11+H12</f>
        <v>1341.94451874197</v>
      </c>
      <c r="I13" s="0" t="n">
        <f aca="false">I11+I12</f>
        <v>1395.19724919159</v>
      </c>
      <c r="J13" s="0" t="n">
        <f aca="false">J11+J12</f>
        <v>1437.05316666734</v>
      </c>
      <c r="K13" s="0" t="n">
        <f aca="false">K11+K12</f>
        <v>1480.16476166736</v>
      </c>
      <c r="L13" s="0" t="n">
        <f aca="false">L11+L12</f>
        <v>1517.16888070904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902.1429352</v>
      </c>
      <c r="D15" s="0" t="n">
        <f aca="false">D13-MAX(0,D13)*D14/100</f>
        <v>875.35441136</v>
      </c>
      <c r="E15" s="0" t="n">
        <f aca="false">E13-MAX(0,E13)*E14/100</f>
        <v>847.502225544</v>
      </c>
      <c r="F15" s="0" t="n">
        <f aca="false">F13-MAX(0,F13)*F14/100</f>
        <v>885.22204290624</v>
      </c>
      <c r="G15" s="0" t="n">
        <f aca="false">G13-MAX(0,G13)*G14/100</f>
        <v>933.417465242247</v>
      </c>
      <c r="H15" s="0" t="n">
        <f aca="false">H13-MAX(0,H13)*H14/100</f>
        <v>979.619498681635</v>
      </c>
      <c r="I15" s="0" t="n">
        <f aca="false">I13-MAX(0,I13)*I14/100</f>
        <v>1018.49399190986</v>
      </c>
      <c r="J15" s="0" t="n">
        <f aca="false">J13-MAX(0,J13)*J14/100</f>
        <v>1049.04881166716</v>
      </c>
      <c r="K15" s="0" t="n">
        <f aca="false">K13-MAX(0,K13)*K14/100</f>
        <v>1080.52027601717</v>
      </c>
      <c r="L15" s="0" t="n">
        <f aca="false">L13-MAX(0,L13)*L14/100</f>
        <v>1107.5332829176</v>
      </c>
    </row>
    <row r="16" customFormat="false" ht="15" hidden="false" customHeight="false" outlineLevel="0" collapsed="false">
      <c r="A16" s="0" t="s">
        <v>116</v>
      </c>
      <c r="C16" s="0" t="n">
        <f aca="false">-C12</f>
        <v>151.10368</v>
      </c>
      <c r="D16" s="0" t="n">
        <f aca="false">-D12</f>
        <v>152.6147168</v>
      </c>
      <c r="E16" s="0" t="n">
        <f aca="false">-E12</f>
        <v>152.6147168</v>
      </c>
      <c r="F16" s="0" t="n">
        <f aca="false">-F12</f>
        <v>157.193158304</v>
      </c>
      <c r="G16" s="0" t="n">
        <f aca="false">-G12</f>
        <v>163.48088463616</v>
      </c>
      <c r="H16" s="0" t="n">
        <f aca="false">-H12</f>
        <v>170.020120021606</v>
      </c>
      <c r="I16" s="0" t="n">
        <f aca="false">-I12</f>
        <v>175.970824222363</v>
      </c>
      <c r="J16" s="0" t="n">
        <f aca="false">-J12</f>
        <v>181.249948949034</v>
      </c>
      <c r="K16" s="0" t="n">
        <f aca="false">-K12</f>
        <v>186.687447417505</v>
      </c>
      <c r="L16" s="0" t="n">
        <f aca="false">-L12</f>
        <v>191.354633602942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-178.08648</v>
      </c>
      <c r="D17" s="4" t="n">
        <f aca="false">-D6*Assumptions!D18/100</f>
        <v>-174.4168192</v>
      </c>
      <c r="E17" s="4" t="n">
        <f aca="false">-E6*Assumptions!E18/100</f>
        <v>-163.515768</v>
      </c>
      <c r="F17" s="4" t="n">
        <f aca="false">-F6*Assumptions!F18/100</f>
        <v>-168.42124104</v>
      </c>
      <c r="G17" s="4" t="n">
        <f aca="false">-G6*Assumptions!G18/100</f>
        <v>-175.1580906816</v>
      </c>
      <c r="H17" s="4" t="n">
        <f aca="false">-H6*Assumptions!H18/100</f>
        <v>-182.164414308864</v>
      </c>
      <c r="I17" s="4" t="n">
        <f aca="false">-I6*Assumptions!I18/100</f>
        <v>-188.540168809674</v>
      </c>
      <c r="J17" s="4" t="n">
        <f aca="false">-J6*Assumptions!J18/100</f>
        <v>-194.196373873965</v>
      </c>
      <c r="K17" s="4" t="n">
        <f aca="false">-K6*Assumptions!K18/100</f>
        <v>-200.022265090184</v>
      </c>
      <c r="L17" s="4" t="n">
        <f aca="false">-L6*Assumptions!L18/100</f>
        <v>-205.022821717438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10.378</v>
      </c>
      <c r="D18" s="4" t="n">
        <f aca="false">(D6-C6)*Assumptions!$B$23/100</f>
        <v>2.69828000000002</v>
      </c>
      <c r="E18" s="4" t="n">
        <f aca="false">(E6-D6)*Assumptions!$B$23/100</f>
        <v>0</v>
      </c>
      <c r="F18" s="4" t="n">
        <f aca="false">(F6-E6)*Assumptions!$B$23/100</f>
        <v>8.17578840000001</v>
      </c>
      <c r="G18" s="4" t="n">
        <f aca="false">(G6-F6)*Assumptions!$B$23/100</f>
        <v>11.228082736</v>
      </c>
      <c r="H18" s="4" t="n">
        <f aca="false">(H6-G6)*Assumptions!$B$23/100</f>
        <v>11.67720604544</v>
      </c>
      <c r="I18" s="4" t="n">
        <f aca="false">(I6-H6)*Assumptions!$B$23/100</f>
        <v>10.6262575013504</v>
      </c>
      <c r="J18" s="4" t="n">
        <f aca="false">(J6-I6)*Assumptions!$B$23/100</f>
        <v>9.42700844048372</v>
      </c>
      <c r="K18" s="4" t="n">
        <f aca="false">(K6-J6)*Assumptions!$B$23/100</f>
        <v>9.70981869369825</v>
      </c>
      <c r="L18" s="4" t="n">
        <f aca="false">(L6-K6)*Assumptions!$B$23/100</f>
        <v>8.33426104542427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885.5381352</v>
      </c>
      <c r="D19" s="0" t="n">
        <f aca="false">D15+D16+D17+D18</f>
        <v>856.25058896</v>
      </c>
      <c r="E19" s="0" t="n">
        <f aca="false">E15+E16+E17+E18</f>
        <v>836.601174344</v>
      </c>
      <c r="F19" s="0" t="n">
        <f aca="false">F15+F16+F17+F18</f>
        <v>882.16974857024</v>
      </c>
      <c r="G19" s="0" t="n">
        <f aca="false">G15+G16+G17+G18</f>
        <v>932.968341932807</v>
      </c>
      <c r="H19" s="0" t="n">
        <f aca="false">H15+H16+H17+H18</f>
        <v>979.152410439817</v>
      </c>
      <c r="I19" s="0" t="n">
        <f aca="false">I15+I16+I17+I18</f>
        <v>1016.5509048239</v>
      </c>
      <c r="J19" s="0" t="n">
        <f aca="false">J15+J16+J17+J18</f>
        <v>1045.52939518271</v>
      </c>
      <c r="K19" s="0" t="n">
        <f aca="false">K15+K16+K17+K18</f>
        <v>1076.89527703819</v>
      </c>
      <c r="L19" s="0" t="n">
        <f aca="false">L15+L16+L17+L18</f>
        <v>1102.19935584853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814.287940413794</v>
      </c>
      <c r="D21" s="0" t="n">
        <f aca="false">D19*D20</f>
        <v>724.006311182984</v>
      </c>
      <c r="E21" s="0" t="n">
        <f aca="false">E19*E20</f>
        <v>650.475094667949</v>
      </c>
      <c r="F21" s="0" t="n">
        <f aca="false">F19*F20</f>
        <v>630.717815377813</v>
      </c>
      <c r="G21" s="0" t="n">
        <f aca="false">G19*G20</f>
        <v>613.367243604432</v>
      </c>
      <c r="H21" s="0" t="n">
        <f aca="false">H19*H20</f>
        <v>591.935932111741</v>
      </c>
      <c r="I21" s="0" t="n">
        <f aca="false">I19*I20</f>
        <v>565.098652713912</v>
      </c>
      <c r="J21" s="0" t="n">
        <f aca="false">J19*J20</f>
        <v>534.44389758679</v>
      </c>
      <c r="K21" s="0" t="n">
        <f aca="false">K19*K20</f>
        <v>506.185944381052</v>
      </c>
      <c r="L21" s="0" t="n">
        <f aca="false">L19*L20</f>
        <v>476.395331177775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8.75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6106.91416321824</v>
      </c>
    </row>
    <row r="31" customFormat="false" ht="15" hidden="false" customHeight="false" outlineLevel="0" collapsed="false">
      <c r="A31" s="0" t="s">
        <v>125</v>
      </c>
      <c r="B31" s="0" t="n">
        <f aca="false">L19</f>
        <v>1102.19935584853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18076.0694359159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16532.9903377279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16532.9903377279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7145.92996766662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13252.8441308849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9589.84413088486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64.0176510739977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-0.597499836064145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607.516532270134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726.646862175202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72.9239487672243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9038.03471795793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21.5800055615643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5.5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5189</v>
      </c>
      <c r="C6" s="0" t="n">
        <f aca="false">B6*(1+C5/100)</f>
        <v>5474.395</v>
      </c>
      <c r="D6" s="0" t="n">
        <f aca="false">C6*(1+D5/100)</f>
        <v>5802.8587</v>
      </c>
      <c r="E6" s="0" t="n">
        <f aca="false">D6*(1+E5/100)</f>
        <v>6151.030222</v>
      </c>
      <c r="F6" s="0" t="n">
        <f aca="false">E6*(1+F5/100)</f>
        <v>6489.33688421</v>
      </c>
      <c r="G6" s="0" t="n">
        <f aca="false">F6*(1+G5/100)</f>
        <v>6846.25041284155</v>
      </c>
      <c r="H6" s="0" t="n">
        <f aca="false">G6*(1+H5/100)</f>
        <v>7188.56293348363</v>
      </c>
      <c r="I6" s="0" t="n">
        <f aca="false">H6*(1+I5/100)</f>
        <v>7512.04826549039</v>
      </c>
      <c r="J6" s="0" t="n">
        <f aca="false">I6*(1+J5/100)</f>
        <v>7812.53019611001</v>
      </c>
      <c r="K6" s="0" t="n">
        <f aca="false">J6*(1+K5/100)</f>
        <v>8085.96875297386</v>
      </c>
      <c r="L6" s="0" t="n">
        <f aca="false">K6*(1+L5/100)</f>
        <v>8328.54781556307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27.8</v>
      </c>
      <c r="D7" s="4" t="n">
        <f aca="false">Assumptions!D28</f>
        <v>28.3</v>
      </c>
      <c r="E7" s="4" t="n">
        <f aca="false">Assumptions!E28</f>
        <v>28.8</v>
      </c>
      <c r="F7" s="4" t="n">
        <f aca="false">Assumptions!F28</f>
        <v>29.3</v>
      </c>
      <c r="G7" s="4" t="n">
        <f aca="false">Assumptions!G28</f>
        <v>29.7</v>
      </c>
      <c r="H7" s="4" t="n">
        <f aca="false">Assumptions!H28</f>
        <v>30</v>
      </c>
      <c r="I7" s="4" t="n">
        <f aca="false">Assumptions!I28</f>
        <v>30.3</v>
      </c>
      <c r="J7" s="4" t="n">
        <f aca="false">Assumptions!J28</f>
        <v>30.5</v>
      </c>
      <c r="K7" s="4" t="n">
        <f aca="false">Assumptions!K28</f>
        <v>30.7</v>
      </c>
      <c r="L7" s="4" t="n">
        <f aca="false">Assumptions!L28</f>
        <v>30.8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1521.88181</v>
      </c>
      <c r="D8" s="0" t="n">
        <f aca="false">D6*D7/100</f>
        <v>1642.2090121</v>
      </c>
      <c r="E8" s="0" t="n">
        <f aca="false">E6*E7/100</f>
        <v>1771.496703936</v>
      </c>
      <c r="F8" s="0" t="n">
        <f aca="false">F6*F7/100</f>
        <v>1901.37570707353</v>
      </c>
      <c r="G8" s="0" t="n">
        <f aca="false">G6*G7/100</f>
        <v>2033.33637261394</v>
      </c>
      <c r="H8" s="0" t="n">
        <f aca="false">H6*H7/100</f>
        <v>2156.56888004509</v>
      </c>
      <c r="I8" s="0" t="n">
        <f aca="false">I6*I7/100</f>
        <v>2276.15062444359</v>
      </c>
      <c r="J8" s="0" t="n">
        <f aca="false">J6*J7/100</f>
        <v>2382.82170981355</v>
      </c>
      <c r="K8" s="0" t="n">
        <f aca="false">K6*K7/100</f>
        <v>2482.39240716297</v>
      </c>
      <c r="L8" s="0" t="n">
        <f aca="false">L6*L7/100</f>
        <v>2565.19272719343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1.6</v>
      </c>
      <c r="D9" s="4" t="n">
        <f aca="false">Assumptions!D29</f>
        <v>1.6</v>
      </c>
      <c r="E9" s="4" t="n">
        <f aca="false">Assumptions!E29</f>
        <v>1.6</v>
      </c>
      <c r="F9" s="4" t="n">
        <f aca="false">Assumptions!F29</f>
        <v>1.55</v>
      </c>
      <c r="G9" s="4" t="n">
        <f aca="false">Assumptions!G29</f>
        <v>1.55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-87.59032</v>
      </c>
      <c r="D10" s="0" t="n">
        <f aca="false">-D6*D9/100</f>
        <v>-92.8457392</v>
      </c>
      <c r="E10" s="0" t="n">
        <f aca="false">-E6*E9/100</f>
        <v>-98.416483552</v>
      </c>
      <c r="F10" s="0" t="n">
        <f aca="false">-F6*F9/100</f>
        <v>-100.584721705255</v>
      </c>
      <c r="G10" s="0" t="n">
        <f aca="false">-G6*G9/100</f>
        <v>-106.116881399044</v>
      </c>
      <c r="H10" s="0" t="n">
        <f aca="false">-H6*H9/100</f>
        <v>-107.828444002254</v>
      </c>
      <c r="I10" s="0" t="n">
        <f aca="false">-I6*I9/100</f>
        <v>-112.680723982356</v>
      </c>
      <c r="J10" s="0" t="n">
        <f aca="false">-J6*J9/100</f>
        <v>-117.18795294165</v>
      </c>
      <c r="K10" s="0" t="n">
        <f aca="false">-K6*K9/100</f>
        <v>-121.289531294608</v>
      </c>
      <c r="L10" s="0" t="n">
        <f aca="false">-L6*L9/100</f>
        <v>-124.928217233446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1434.29149</v>
      </c>
      <c r="D11" s="0" t="n">
        <f aca="false">D8+D10+D24</f>
        <v>1549.3632729</v>
      </c>
      <c r="E11" s="0" t="n">
        <f aca="false">E8+E10+E24</f>
        <v>1673.080220384</v>
      </c>
      <c r="F11" s="0" t="n">
        <f aca="false">F8+F10+F24</f>
        <v>1800.79098536828</v>
      </c>
      <c r="G11" s="0" t="n">
        <f aca="false">G8+G10+G24</f>
        <v>1927.2194912149</v>
      </c>
      <c r="H11" s="0" t="n">
        <f aca="false">H8+H10+H24</f>
        <v>2048.74043604283</v>
      </c>
      <c r="I11" s="0" t="n">
        <f aca="false">I8+I10+I24</f>
        <v>2163.46990046123</v>
      </c>
      <c r="J11" s="0" t="n">
        <f aca="false">J8+J10+J24</f>
        <v>2265.6337568719</v>
      </c>
      <c r="K11" s="0" t="n">
        <f aca="false">K8+K10+K24</f>
        <v>2361.10287586837</v>
      </c>
      <c r="L11" s="0" t="n">
        <f aca="false">L8+L10+L24</f>
        <v>2440.26450995998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-147.808665</v>
      </c>
      <c r="D12" s="4" t="n">
        <f aca="false">-D6*Assumptions!D31/100</f>
        <v>-156.6771849</v>
      </c>
      <c r="E12" s="4" t="n">
        <f aca="false">-E6*Assumptions!E31/100</f>
        <v>-166.077815994</v>
      </c>
      <c r="F12" s="4" t="n">
        <f aca="false">-F6*Assumptions!F31/100</f>
        <v>-175.21209587367</v>
      </c>
      <c r="G12" s="4" t="n">
        <f aca="false">-G6*Assumptions!G31/100</f>
        <v>-184.848761146722</v>
      </c>
      <c r="H12" s="4" t="n">
        <f aca="false">-H6*Assumptions!H31/100</f>
        <v>-194.091199204058</v>
      </c>
      <c r="I12" s="4" t="n">
        <f aca="false">-I6*Assumptions!I31/100</f>
        <v>-202.825303168241</v>
      </c>
      <c r="J12" s="4" t="n">
        <f aca="false">-J6*Assumptions!J31/100</f>
        <v>-210.93831529497</v>
      </c>
      <c r="K12" s="4" t="n">
        <f aca="false">-K6*Assumptions!K31/100</f>
        <v>-218.321156330294</v>
      </c>
      <c r="L12" s="4" t="n">
        <f aca="false">-L6*Assumptions!L31/100</f>
        <v>-224.870791020203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1286.482825</v>
      </c>
      <c r="D13" s="0" t="n">
        <f aca="false">D11+D12</f>
        <v>1392.686088</v>
      </c>
      <c r="E13" s="0" t="n">
        <f aca="false">E11+E12</f>
        <v>1507.00240439</v>
      </c>
      <c r="F13" s="0" t="n">
        <f aca="false">F11+F12</f>
        <v>1625.57888949461</v>
      </c>
      <c r="G13" s="0" t="n">
        <f aca="false">G11+G12</f>
        <v>1742.37073006817</v>
      </c>
      <c r="H13" s="0" t="n">
        <f aca="false">H11+H12</f>
        <v>1854.64923683878</v>
      </c>
      <c r="I13" s="0" t="n">
        <f aca="false">I11+I12</f>
        <v>1960.64459729299</v>
      </c>
      <c r="J13" s="0" t="n">
        <f aca="false">J11+J12</f>
        <v>2054.69544157693</v>
      </c>
      <c r="K13" s="0" t="n">
        <f aca="false">K11+K12</f>
        <v>2142.78171953807</v>
      </c>
      <c r="L13" s="0" t="n">
        <f aca="false">L11+L12</f>
        <v>2215.39371893978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939.13246225</v>
      </c>
      <c r="D15" s="0" t="n">
        <f aca="false">D13-MAX(0,D13)*D14/100</f>
        <v>1016.66084424</v>
      </c>
      <c r="E15" s="0" t="n">
        <f aca="false">E13-MAX(0,E13)*E14/100</f>
        <v>1100.1117552047</v>
      </c>
      <c r="F15" s="0" t="n">
        <f aca="false">F13-MAX(0,F13)*F14/100</f>
        <v>1186.67258933106</v>
      </c>
      <c r="G15" s="0" t="n">
        <f aca="false">G13-MAX(0,G13)*G14/100</f>
        <v>1271.93063294977</v>
      </c>
      <c r="H15" s="0" t="n">
        <f aca="false">H13-MAX(0,H13)*H14/100</f>
        <v>1353.89394289231</v>
      </c>
      <c r="I15" s="0" t="n">
        <f aca="false">I13-MAX(0,I13)*I14/100</f>
        <v>1431.27055602388</v>
      </c>
      <c r="J15" s="0" t="n">
        <f aca="false">J13-MAX(0,J13)*J14/100</f>
        <v>1499.92767235116</v>
      </c>
      <c r="K15" s="0" t="n">
        <f aca="false">K13-MAX(0,K13)*K14/100</f>
        <v>1564.23065526279</v>
      </c>
      <c r="L15" s="0" t="n">
        <f aca="false">L13-MAX(0,L13)*L14/100</f>
        <v>1617.23741482604</v>
      </c>
    </row>
    <row r="16" customFormat="false" ht="15" hidden="false" customHeight="false" outlineLevel="0" collapsed="false">
      <c r="A16" s="0" t="s">
        <v>116</v>
      </c>
      <c r="C16" s="0" t="n">
        <f aca="false">-C12</f>
        <v>147.808665</v>
      </c>
      <c r="D16" s="0" t="n">
        <f aca="false">-D12</f>
        <v>156.6771849</v>
      </c>
      <c r="E16" s="0" t="n">
        <f aca="false">-E12</f>
        <v>166.077815994</v>
      </c>
      <c r="F16" s="0" t="n">
        <f aca="false">-F12</f>
        <v>175.21209587367</v>
      </c>
      <c r="G16" s="0" t="n">
        <f aca="false">-G12</f>
        <v>184.848761146722</v>
      </c>
      <c r="H16" s="0" t="n">
        <f aca="false">-H12</f>
        <v>194.091199204058</v>
      </c>
      <c r="I16" s="0" t="n">
        <f aca="false">-I12</f>
        <v>202.825303168241</v>
      </c>
      <c r="J16" s="0" t="n">
        <f aca="false">-J12</f>
        <v>210.93831529497</v>
      </c>
      <c r="K16" s="0" t="n">
        <f aca="false">-K12</f>
        <v>218.321156330294</v>
      </c>
      <c r="L16" s="0" t="n">
        <f aca="false">-L12</f>
        <v>224.870791020203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-180.655035</v>
      </c>
      <c r="D17" s="4" t="n">
        <f aca="false">-D6*Assumptions!D32/100</f>
        <v>-191.4943371</v>
      </c>
      <c r="E17" s="4" t="n">
        <f aca="false">-E6*Assumptions!E32/100</f>
        <v>-196.832967104</v>
      </c>
      <c r="F17" s="4" t="n">
        <f aca="false">-F6*Assumptions!F32/100</f>
        <v>-207.65878029472</v>
      </c>
      <c r="G17" s="4" t="n">
        <f aca="false">-G6*Assumptions!G32/100</f>
        <v>-212.233762798088</v>
      </c>
      <c r="H17" s="4" t="n">
        <f aca="false">-H6*Assumptions!H32/100</f>
        <v>-222.845450937992</v>
      </c>
      <c r="I17" s="4" t="n">
        <f aca="false">-I6*Assumptions!I32/100</f>
        <v>-225.361447964712</v>
      </c>
      <c r="J17" s="4" t="n">
        <f aca="false">-J6*Assumptions!J32/100</f>
        <v>-234.3759058833</v>
      </c>
      <c r="K17" s="4" t="n">
        <f aca="false">-K6*Assumptions!K32/100</f>
        <v>-242.579062589216</v>
      </c>
      <c r="L17" s="4" t="n">
        <f aca="false">-L6*Assumptions!L32/100</f>
        <v>-249.856434466892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28.5395</v>
      </c>
      <c r="D18" s="4" t="n">
        <f aca="false">(D6-C6)*Assumptions!$B$37/100</f>
        <v>32.84637</v>
      </c>
      <c r="E18" s="4" t="n">
        <f aca="false">(E6-D6)*Assumptions!$B$37/100</f>
        <v>34.8171522000001</v>
      </c>
      <c r="F18" s="4" t="n">
        <f aca="false">(F6-E6)*Assumptions!$B$37/100</f>
        <v>33.830666221</v>
      </c>
      <c r="G18" s="4" t="n">
        <f aca="false">(G6-F6)*Assumptions!$B$37/100</f>
        <v>35.691352863155</v>
      </c>
      <c r="H18" s="4" t="n">
        <f aca="false">(H6-G6)*Assumptions!$B$37/100</f>
        <v>34.2312520642078</v>
      </c>
      <c r="I18" s="4" t="n">
        <f aca="false">(I6-H6)*Assumptions!$B$37/100</f>
        <v>32.3485332006762</v>
      </c>
      <c r="J18" s="4" t="n">
        <f aca="false">(J6-I6)*Assumptions!$B$37/100</f>
        <v>30.0481930619616</v>
      </c>
      <c r="K18" s="4" t="n">
        <f aca="false">(K6-J6)*Assumptions!$B$37/100</f>
        <v>27.343855686385</v>
      </c>
      <c r="L18" s="4" t="n">
        <f aca="false">(L6-K6)*Assumptions!$B$37/100</f>
        <v>24.2579062589216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934.82559225</v>
      </c>
      <c r="D19" s="0" t="n">
        <f aca="false">D15+D16+D17+D18</f>
        <v>1014.69006204</v>
      </c>
      <c r="E19" s="0" t="n">
        <f aca="false">E15+E16+E17+E18</f>
        <v>1104.1737562947</v>
      </c>
      <c r="F19" s="0" t="n">
        <f aca="false">F15+F16+F17+F18</f>
        <v>1188.05657113101</v>
      </c>
      <c r="G19" s="0" t="n">
        <f aca="false">G15+G16+G17+G18</f>
        <v>1280.23698416156</v>
      </c>
      <c r="H19" s="0" t="n">
        <f aca="false">H15+H16+H17+H18</f>
        <v>1359.37094322258</v>
      </c>
      <c r="I19" s="0" t="n">
        <f aca="false">I15+I16+I17+I18</f>
        <v>1441.08294442809</v>
      </c>
      <c r="J19" s="0" t="n">
        <f aca="false">J15+J16+J17+J18</f>
        <v>1506.53827482479</v>
      </c>
      <c r="K19" s="0" t="n">
        <f aca="false">K15+K16+K17+K18</f>
        <v>1567.31660469026</v>
      </c>
      <c r="L19" s="0" t="n">
        <f aca="false">L15+L16+L17+L18</f>
        <v>1616.50967763827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859.60974</v>
      </c>
      <c r="D21" s="0" t="n">
        <f aca="false">D19*D20</f>
        <v>857.975478538249</v>
      </c>
      <c r="E21" s="0" t="n">
        <f aca="false">E19*E20</f>
        <v>858.518432297023</v>
      </c>
      <c r="F21" s="0" t="n">
        <f aca="false">F19*F20</f>
        <v>849.415258575197</v>
      </c>
      <c r="G21" s="0" t="n">
        <f aca="false">G19*G20</f>
        <v>841.674250713407</v>
      </c>
      <c r="H21" s="0" t="n">
        <f aca="false">H19*H20</f>
        <v>821.792907603256</v>
      </c>
      <c r="I21" s="0" t="n">
        <f aca="false">I19*I20</f>
        <v>801.095180261912</v>
      </c>
      <c r="J21" s="0" t="n">
        <f aca="false">J19*J20</f>
        <v>770.098087314261</v>
      </c>
      <c r="K21" s="0" t="n">
        <f aca="false">K19*K20</f>
        <v>736.704536276934</v>
      </c>
      <c r="L21" s="0" t="n">
        <f aca="false">L19*L20</f>
        <v>698.691810282997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8.75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8095.57568186324</v>
      </c>
    </row>
    <row r="31" customFormat="false" ht="15" hidden="false" customHeight="false" outlineLevel="0" collapsed="false">
      <c r="A31" s="0" t="s">
        <v>125</v>
      </c>
      <c r="B31" s="0" t="n">
        <f aca="false">L19</f>
        <v>1616.50967763827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28956.6081385638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32330.1935527654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28956.6081385638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12515.6967755041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20611.2724573674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16948.2724573674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113.139335496444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-0.288655545448323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675.985657826033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967.246721270791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124.108844035141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13875.0413997285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39.0899763582693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6.5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5189</v>
      </c>
      <c r="C6" s="0" t="n">
        <f aca="false">B6*(1+C5/100)</f>
        <v>5526.285</v>
      </c>
      <c r="D6" s="0" t="n">
        <f aca="false">C6*(1+D5/100)</f>
        <v>5968.3878</v>
      </c>
      <c r="E6" s="0" t="n">
        <f aca="false">D6*(1+E5/100)</f>
        <v>6445.858824</v>
      </c>
      <c r="F6" s="0" t="n">
        <f aca="false">E6*(1+F5/100)</f>
        <v>6929.2982358</v>
      </c>
      <c r="G6" s="0" t="n">
        <f aca="false">F6*(1+G5/100)</f>
        <v>7414.349112306</v>
      </c>
      <c r="H6" s="0" t="n">
        <f aca="false">G6*(1+H5/100)</f>
        <v>7896.28180460589</v>
      </c>
      <c r="I6" s="0" t="n">
        <f aca="false">H6*(1+I5/100)</f>
        <v>8370.05871288224</v>
      </c>
      <c r="J6" s="0" t="n">
        <f aca="false">I6*(1+J5/100)</f>
        <v>8788.56164852636</v>
      </c>
      <c r="K6" s="0" t="n">
        <f aca="false">J6*(1+K5/100)</f>
        <v>9140.10411446741</v>
      </c>
      <c r="L6" s="0" t="n">
        <f aca="false">K6*(1+L5/100)</f>
        <v>9460.00775847377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28</v>
      </c>
      <c r="D7" s="4" t="n">
        <f aca="false">Assumptions!D42</f>
        <v>28.8</v>
      </c>
      <c r="E7" s="4" t="n">
        <f aca="false">Assumptions!E42</f>
        <v>29.6</v>
      </c>
      <c r="F7" s="4" t="n">
        <f aca="false">Assumptions!F42</f>
        <v>30.4</v>
      </c>
      <c r="G7" s="4" t="n">
        <f aca="false">Assumptions!G42</f>
        <v>31.1</v>
      </c>
      <c r="H7" s="4" t="n">
        <f aca="false">Assumptions!H42</f>
        <v>31.7</v>
      </c>
      <c r="I7" s="4" t="n">
        <f aca="false">Assumptions!I42</f>
        <v>32.2</v>
      </c>
      <c r="J7" s="4" t="n">
        <f aca="false">Assumptions!J42</f>
        <v>32.6</v>
      </c>
      <c r="K7" s="4" t="n">
        <f aca="false">Assumptions!K42</f>
        <v>32.9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1547.3598</v>
      </c>
      <c r="D8" s="0" t="n">
        <f aca="false">D6*D7/100</f>
        <v>1718.8956864</v>
      </c>
      <c r="E8" s="0" t="n">
        <f aca="false">E6*E7/100</f>
        <v>1907.974211904</v>
      </c>
      <c r="F8" s="0" t="n">
        <f aca="false">F6*F7/100</f>
        <v>2106.5066636832</v>
      </c>
      <c r="G8" s="0" t="n">
        <f aca="false">G6*G7/100</f>
        <v>2305.86257392717</v>
      </c>
      <c r="H8" s="0" t="n">
        <f aca="false">H6*H7/100</f>
        <v>2503.12133206007</v>
      </c>
      <c r="I8" s="0" t="n">
        <f aca="false">I6*I7/100</f>
        <v>2695.15890554808</v>
      </c>
      <c r="J8" s="0" t="n">
        <f aca="false">J6*J7/100</f>
        <v>2865.07109741959</v>
      </c>
      <c r="K8" s="0" t="n">
        <f aca="false">K6*K7/100</f>
        <v>3007.09425365978</v>
      </c>
      <c r="L8" s="0" t="n">
        <f aca="false">L6*L7/100</f>
        <v>3121.80256029634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1.6</v>
      </c>
      <c r="D9" s="4" t="n">
        <f aca="false">Assumptions!D43</f>
        <v>1.6</v>
      </c>
      <c r="E9" s="4" t="n">
        <f aca="false">Assumptions!E43</f>
        <v>1.55</v>
      </c>
      <c r="F9" s="4" t="n">
        <f aca="false">Assumptions!F43</f>
        <v>1.55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-88.42056</v>
      </c>
      <c r="D10" s="0" t="n">
        <f aca="false">-D6*D9/100</f>
        <v>-95.4942048</v>
      </c>
      <c r="E10" s="0" t="n">
        <f aca="false">-E6*E9/100</f>
        <v>-99.910811772</v>
      </c>
      <c r="F10" s="0" t="n">
        <f aca="false">-F6*F9/100</f>
        <v>-107.4041226549</v>
      </c>
      <c r="G10" s="0" t="n">
        <f aca="false">-G6*G9/100</f>
        <v>-111.21523668459</v>
      </c>
      <c r="H10" s="0" t="n">
        <f aca="false">-H6*H9/100</f>
        <v>-118.444227069088</v>
      </c>
      <c r="I10" s="0" t="n">
        <f aca="false">-I6*I9/100</f>
        <v>-125.550880693234</v>
      </c>
      <c r="J10" s="0" t="n">
        <f aca="false">-J6*J9/100</f>
        <v>-131.828424727895</v>
      </c>
      <c r="K10" s="0" t="n">
        <f aca="false">-K6*K9/100</f>
        <v>-137.101561717011</v>
      </c>
      <c r="L10" s="0" t="n">
        <f aca="false">-L6*L9/100</f>
        <v>-141.900116377107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1458.93924</v>
      </c>
      <c r="D11" s="0" t="n">
        <f aca="false">D8+D10+D24</f>
        <v>1623.4014816</v>
      </c>
      <c r="E11" s="0" t="n">
        <f aca="false">E8+E10+E24</f>
        <v>1808.063400132</v>
      </c>
      <c r="F11" s="0" t="n">
        <f aca="false">F8+F10+F24</f>
        <v>1999.1025410283</v>
      </c>
      <c r="G11" s="0" t="n">
        <f aca="false">G8+G10+G24</f>
        <v>2194.64733724258</v>
      </c>
      <c r="H11" s="0" t="n">
        <f aca="false">H8+H10+H24</f>
        <v>2384.67710499098</v>
      </c>
      <c r="I11" s="0" t="n">
        <f aca="false">I8+I10+I24</f>
        <v>2569.60802485485</v>
      </c>
      <c r="J11" s="0" t="n">
        <f aca="false">J8+J10+J24</f>
        <v>2733.2426726917</v>
      </c>
      <c r="K11" s="0" t="n">
        <f aca="false">K8+K10+K24</f>
        <v>2869.99269194277</v>
      </c>
      <c r="L11" s="0" t="n">
        <f aca="false">L8+L10+L24</f>
        <v>2979.90244391924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-149.209695</v>
      </c>
      <c r="D12" s="4" t="n">
        <f aca="false">-D6*Assumptions!D45/100</f>
        <v>-161.1464706</v>
      </c>
      <c r="E12" s="4" t="n">
        <f aca="false">-E6*Assumptions!E45/100</f>
        <v>-174.038188248</v>
      </c>
      <c r="F12" s="4" t="n">
        <f aca="false">-F6*Assumptions!F45/100</f>
        <v>-187.0910523666</v>
      </c>
      <c r="G12" s="4" t="n">
        <f aca="false">-G6*Assumptions!G45/100</f>
        <v>-200.187426032262</v>
      </c>
      <c r="H12" s="4" t="n">
        <f aca="false">-H6*Assumptions!H45/100</f>
        <v>-213.199608724359</v>
      </c>
      <c r="I12" s="4" t="n">
        <f aca="false">-I6*Assumptions!I45/100</f>
        <v>-225.991585247821</v>
      </c>
      <c r="J12" s="4" t="n">
        <f aca="false">-J6*Assumptions!J45/100</f>
        <v>-237.291164510212</v>
      </c>
      <c r="K12" s="4" t="n">
        <f aca="false">-K6*Assumptions!K45/100</f>
        <v>-246.78281109062</v>
      </c>
      <c r="L12" s="4" t="n">
        <f aca="false">-L6*Assumptions!L45/100</f>
        <v>-255.420209478792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1309.729545</v>
      </c>
      <c r="D13" s="0" t="n">
        <f aca="false">D11+D12</f>
        <v>1462.255011</v>
      </c>
      <c r="E13" s="0" t="n">
        <f aca="false">E11+E12</f>
        <v>1634.025211884</v>
      </c>
      <c r="F13" s="0" t="n">
        <f aca="false">F11+F12</f>
        <v>1812.0114886617</v>
      </c>
      <c r="G13" s="0" t="n">
        <f aca="false">G11+G12</f>
        <v>1994.45991121031</v>
      </c>
      <c r="H13" s="0" t="n">
        <f aca="false">H11+H12</f>
        <v>2171.47749626662</v>
      </c>
      <c r="I13" s="0" t="n">
        <f aca="false">I11+I12</f>
        <v>2343.61643960703</v>
      </c>
      <c r="J13" s="0" t="n">
        <f aca="false">J11+J12</f>
        <v>2495.95150818149</v>
      </c>
      <c r="K13" s="0" t="n">
        <f aca="false">K11+K12</f>
        <v>2623.20988085215</v>
      </c>
      <c r="L13" s="0" t="n">
        <f aca="false">L11+L12</f>
        <v>2724.48223444045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956.10256785</v>
      </c>
      <c r="D15" s="0" t="n">
        <f aca="false">D13-MAX(0,D13)*D14/100</f>
        <v>1067.44615803</v>
      </c>
      <c r="E15" s="0" t="n">
        <f aca="false">E13-MAX(0,E13)*E14/100</f>
        <v>1192.83840467532</v>
      </c>
      <c r="F15" s="0" t="n">
        <f aca="false">F13-MAX(0,F13)*F14/100</f>
        <v>1322.76838672304</v>
      </c>
      <c r="G15" s="0" t="n">
        <f aca="false">G13-MAX(0,G13)*G14/100</f>
        <v>1455.95573518353</v>
      </c>
      <c r="H15" s="0" t="n">
        <f aca="false">H13-MAX(0,H13)*H14/100</f>
        <v>1585.17857227463</v>
      </c>
      <c r="I15" s="0" t="n">
        <f aca="false">I13-MAX(0,I13)*I14/100</f>
        <v>1710.84000091313</v>
      </c>
      <c r="J15" s="0" t="n">
        <f aca="false">J13-MAX(0,J13)*J14/100</f>
        <v>1822.04460097248</v>
      </c>
      <c r="K15" s="0" t="n">
        <f aca="false">K13-MAX(0,K13)*K14/100</f>
        <v>1914.94321302207</v>
      </c>
      <c r="L15" s="0" t="n">
        <f aca="false">L13-MAX(0,L13)*L14/100</f>
        <v>1988.87203114153</v>
      </c>
    </row>
    <row r="16" customFormat="false" ht="15" hidden="false" customHeight="false" outlineLevel="0" collapsed="false">
      <c r="A16" s="0" t="s">
        <v>116</v>
      </c>
      <c r="C16" s="0" t="n">
        <f aca="false">-C12</f>
        <v>149.209695</v>
      </c>
      <c r="D16" s="0" t="n">
        <f aca="false">-D12</f>
        <v>161.1464706</v>
      </c>
      <c r="E16" s="0" t="n">
        <f aca="false">-E12</f>
        <v>174.038188248</v>
      </c>
      <c r="F16" s="0" t="n">
        <f aca="false">-F12</f>
        <v>187.0910523666</v>
      </c>
      <c r="G16" s="0" t="n">
        <f aca="false">-G12</f>
        <v>200.187426032262</v>
      </c>
      <c r="H16" s="0" t="n">
        <f aca="false">-H12</f>
        <v>213.199608724359</v>
      </c>
      <c r="I16" s="0" t="n">
        <f aca="false">-I12</f>
        <v>225.991585247821</v>
      </c>
      <c r="J16" s="0" t="n">
        <f aca="false">-J12</f>
        <v>237.291164510212</v>
      </c>
      <c r="K16" s="0" t="n">
        <f aca="false">-K12</f>
        <v>246.78281109062</v>
      </c>
      <c r="L16" s="0" t="n">
        <f aca="false">-L12</f>
        <v>255.420209478792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-193.419975</v>
      </c>
      <c r="D17" s="4" t="n">
        <f aca="false">-D6*Assumptions!D46/100</f>
        <v>-208.893573</v>
      </c>
      <c r="E17" s="4" t="n">
        <f aca="false">-E6*Assumptions!E46/100</f>
        <v>-225.60505884</v>
      </c>
      <c r="F17" s="4" t="n">
        <f aca="false">-F6*Assumptions!F46/100</f>
        <v>-235.5961400172</v>
      </c>
      <c r="G17" s="4" t="n">
        <f aca="false">-G6*Assumptions!G46/100</f>
        <v>-252.087869818404</v>
      </c>
      <c r="H17" s="4" t="n">
        <f aca="false">-H6*Assumptions!H46/100</f>
        <v>-260.577299551994</v>
      </c>
      <c r="I17" s="4" t="n">
        <f aca="false">-I6*Assumptions!I46/100</f>
        <v>-267.841878812232</v>
      </c>
      <c r="J17" s="4" t="n">
        <f aca="false">-J6*Assumptions!J46/100</f>
        <v>-272.445411104317</v>
      </c>
      <c r="K17" s="4" t="n">
        <f aca="false">-K6*Assumptions!K46/100</f>
        <v>-274.203123434022</v>
      </c>
      <c r="L17" s="4" t="n">
        <f aca="false">-L6*Assumptions!L46/100</f>
        <v>-283.800232754213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33.7285</v>
      </c>
      <c r="D18" s="4" t="n">
        <f aca="false">(D6-C6)*Assumptions!$B$51/100</f>
        <v>44.2102800000001</v>
      </c>
      <c r="E18" s="4" t="n">
        <f aca="false">(E6-D6)*Assumptions!$B$51/100</f>
        <v>47.7471024</v>
      </c>
      <c r="F18" s="4" t="n">
        <f aca="false">(F6-E6)*Assumptions!$B$51/100</f>
        <v>48.34394118</v>
      </c>
      <c r="G18" s="4" t="n">
        <f aca="false">(G6-F6)*Assumptions!$B$51/100</f>
        <v>48.5050876506</v>
      </c>
      <c r="H18" s="4" t="n">
        <f aca="false">(H6-G6)*Assumptions!$B$51/100</f>
        <v>48.193269229989</v>
      </c>
      <c r="I18" s="4" t="n">
        <f aca="false">(I6-H6)*Assumptions!$B$51/100</f>
        <v>47.3776908276353</v>
      </c>
      <c r="J18" s="4" t="n">
        <f aca="false">(J6-I6)*Assumptions!$B$51/100</f>
        <v>41.8502935644112</v>
      </c>
      <c r="K18" s="4" t="n">
        <f aca="false">(K6-J6)*Assumptions!$B$51/100</f>
        <v>35.1542465941055</v>
      </c>
      <c r="L18" s="4" t="n">
        <f aca="false">(L6-K6)*Assumptions!$B$51/100</f>
        <v>31.9903644006359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945.62078785</v>
      </c>
      <c r="D19" s="0" t="n">
        <f aca="false">D15+D16+D17+D18</f>
        <v>1063.90933563</v>
      </c>
      <c r="E19" s="0" t="n">
        <f aca="false">E15+E16+E17+E18</f>
        <v>1189.01863648332</v>
      </c>
      <c r="F19" s="0" t="n">
        <f aca="false">F15+F16+F17+F18</f>
        <v>1322.60724025244</v>
      </c>
      <c r="G19" s="0" t="n">
        <f aca="false">G15+G16+G17+G18</f>
        <v>1452.56037904799</v>
      </c>
      <c r="H19" s="0" t="n">
        <f aca="false">H15+H16+H17+H18</f>
        <v>1585.99415067699</v>
      </c>
      <c r="I19" s="0" t="n">
        <f aca="false">I15+I16+I17+I18</f>
        <v>1716.36739817636</v>
      </c>
      <c r="J19" s="0" t="n">
        <f aca="false">J15+J16+J17+J18</f>
        <v>1828.74064794279</v>
      </c>
      <c r="K19" s="0" t="n">
        <f aca="false">K15+K16+K17+K18</f>
        <v>1922.67714727277</v>
      </c>
      <c r="L19" s="0" t="n">
        <f aca="false">L15+L16+L17+L18</f>
        <v>1992.48237226674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869.536356643678</v>
      </c>
      <c r="D21" s="0" t="n">
        <f aca="false">D19*D20</f>
        <v>899.593043735236</v>
      </c>
      <c r="E21" s="0" t="n">
        <f aca="false">E19*E20</f>
        <v>924.487119845255</v>
      </c>
      <c r="F21" s="0" t="n">
        <f aca="false">F19*F20</f>
        <v>945.613869129948</v>
      </c>
      <c r="G21" s="0" t="n">
        <f aca="false">G19*G20</f>
        <v>954.965903794666</v>
      </c>
      <c r="H21" s="0" t="n">
        <f aca="false">H19*H20</f>
        <v>958.79550098136</v>
      </c>
      <c r="I21" s="0" t="n">
        <f aca="false">I19*I20</f>
        <v>954.125267774528</v>
      </c>
      <c r="J21" s="0" t="n">
        <f aca="false">J19*J20</f>
        <v>934.798470578764</v>
      </c>
      <c r="K21" s="0" t="n">
        <f aca="false">K19*K20</f>
        <v>903.738894842994</v>
      </c>
      <c r="L21" s="0" t="n">
        <f aca="false">L19*L20</f>
        <v>861.195658085957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8.75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9206.85008541239</v>
      </c>
    </row>
    <row r="31" customFormat="false" ht="15" hidden="false" customHeight="false" outlineLevel="0" collapsed="false">
      <c r="A31" s="0" t="s">
        <v>125</v>
      </c>
      <c r="B31" s="0" t="n">
        <f aca="false">L19</f>
        <v>1992.48237226674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39280.3667675443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39849.6474453348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39280.3667675443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16977.8572594089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26184.7073448213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22521.7073448213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150.345175866631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-0.054730110866831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724.20172954595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1209.12483567082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163.251227703859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17932.3413504007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50.8966671237426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64.0176510739977</v>
      </c>
      <c r="C4" s="0" t="n">
        <f aca="false">B4/Assumptions!$B$2-1</f>
        <v>-0.597499836064145</v>
      </c>
      <c r="D4" s="4" t="n">
        <f aca="false">Assumptions!$B$24</f>
        <v>0.2</v>
      </c>
      <c r="E4" s="4" t="n">
        <f aca="false">DCF_Bear!$B$43</f>
        <v>72.9239487672243</v>
      </c>
      <c r="F4" s="4" t="n">
        <f aca="false">DCF_Bear!$B$47</f>
        <v>21.5800055615643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113.139335496444</v>
      </c>
      <c r="C5" s="0" t="n">
        <f aca="false">B5/Assumptions!$B$2-1</f>
        <v>-0.288655545448323</v>
      </c>
      <c r="D5" s="4" t="n">
        <f aca="false">Assumptions!$B$38</f>
        <v>0.5</v>
      </c>
      <c r="E5" s="4" t="n">
        <f aca="false">DCF_Base!$B$43</f>
        <v>124.108844035141</v>
      </c>
      <c r="F5" s="4" t="n">
        <f aca="false">DCF_Base!$B$47</f>
        <v>39.0899763582693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150.345175866631</v>
      </c>
      <c r="C6" s="0" t="n">
        <f aca="false">B6/Assumptions!$B$2-1</f>
        <v>-0.054730110866831</v>
      </c>
      <c r="D6" s="4" t="n">
        <f aca="false">Assumptions!$B$52</f>
        <v>0.3</v>
      </c>
      <c r="E6" s="4" t="n">
        <f aca="false">DCF_Bull!$B$43</f>
        <v>163.251227703859</v>
      </c>
      <c r="F6" s="4" t="n">
        <f aca="false">DCF_Bull!$B$47</f>
        <v>50.8966671237426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114.476750723011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125.614580082173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-0.389365080642785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400.196913057588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39.1299894285703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113.139335496444</v>
      </c>
      <c r="C15" s="3" t="n">
        <v>8.75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107.185418741767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87.6463224909798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73.0236743847547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61.6768708027584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39.0899763582693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147.592382524904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147.592382524904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147.592382524904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147.592382524904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147.592382524904</v>
      </c>
    </row>
    <row r="25" customFormat="false" ht="15" hidden="false" customHeight="false" outlineLevel="0" collapsed="false">
      <c r="A25" s="3" t="n">
        <v>7.75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123.077805713017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132.207449698313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134.643433592302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134.643433592302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134.643433592302</v>
      </c>
    </row>
    <row r="26" customFormat="false" ht="15" hidden="false" customHeight="false" outlineLevel="0" collapsed="false">
      <c r="A26" s="3" t="n">
        <v>8.75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100.070662613304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106.082252139549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113.139335496444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121.540625207034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122.873243574921</v>
      </c>
    </row>
    <row r="27" customFormat="false" ht="15" hidden="false" customHeight="false" outlineLevel="0" collapsed="false">
      <c r="A27" s="3" t="n">
        <v>9.75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83.0553687316436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87.2121390723459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91.9847272413003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97.5209295172875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104.019949580403</v>
      </c>
    </row>
    <row r="28" customFormat="false" ht="15" hidden="false" customHeight="false" outlineLevel="0" collapsed="false">
      <c r="A28" s="3" t="n">
        <v>10.75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69.9742306595781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72.9560469584847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76.3226137475729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80.1535345765352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84.5519992320106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2026-10-09T23:32:06Z</dcterms:created>
  <dc:creator>openpyxl</dc:creator>
  <dc:description/>
  <dc:language>en-NZ</dc:language>
  <cp:lastModifiedBy/>
  <dcterms:modified xsi:type="dcterms:W3CDTF">2026-10-09T23:32:06Z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